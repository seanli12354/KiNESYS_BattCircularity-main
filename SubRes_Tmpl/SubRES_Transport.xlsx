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<sst xmlns="http://schemas.openxmlformats.org/spreadsheetml/2006/main" count="7898" uniqueCount="788">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</sst>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0"/>
    </font>
    <font>
      <sz val="9"/>
      <name val="Tahoma"/>
      <charset val="1"/>
    </font>
    <font>
      <b/>
      <sz val="9"/>
      <name val="Tahoma"/>
      <charset val="1"/>
    </font>
    <font>
      <b/>
      <sz val="9"/>
      <name val="Tahoma"/>
      <charset val="134"/>
    </font>
    <font>
      <b/>
      <sz val="9"/>
      <name val="Times New Roman"/>
      <charset val="134"/>
    </font>
    <font>
      <sz val="9"/>
      <name val="Tahoma"/>
      <charset val="134"/>
    </font>
    <font>
      <sz val="9"/>
      <name val="Times New Roman"/>
      <charset val="134"/>
    </font>
  </fonts>
  <fills count="73">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2" borderId="28" applyNumberFormat="0" applyAlignment="0" applyProtection="0">
      <alignment vertical="center"/>
    </xf>
    <xf numFmtId="0" fontId="75" fillId="52" borderId="9" applyNumberFormat="0" applyAlignment="0" applyProtection="0">
      <alignment vertical="center"/>
    </xf>
    <xf numFmtId="0" fontId="76" fillId="53"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4" borderId="0" applyNumberFormat="0" applyBorder="0" applyAlignment="0" applyProtection="0">
      <alignment vertical="center"/>
    </xf>
    <xf numFmtId="0" fontId="80" fillId="55"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6" borderId="0" applyNumberFormat="0" applyBorder="0" applyAlignment="0" applyProtection="0">
      <alignment vertical="center"/>
    </xf>
    <xf numFmtId="0" fontId="81" fillId="57" borderId="0" applyNumberFormat="0" applyBorder="0" applyAlignment="0" applyProtection="0">
      <alignment vertical="center"/>
    </xf>
    <xf numFmtId="0" fontId="81" fillId="46" borderId="0" applyNumberFormat="0" applyBorder="0" applyAlignment="0" applyProtection="0">
      <alignment vertical="center"/>
    </xf>
    <xf numFmtId="0" fontId="82" fillId="58" borderId="0" applyNumberFormat="0" applyBorder="0" applyAlignment="0" applyProtection="0">
      <alignment vertical="center"/>
    </xf>
    <xf numFmtId="0" fontId="82" fillId="59" borderId="0" applyNumberFormat="0" applyBorder="0" applyAlignment="0" applyProtection="0">
      <alignment vertical="center"/>
    </xf>
    <xf numFmtId="0" fontId="81" fillId="60" borderId="0" applyNumberFormat="0" applyBorder="0" applyAlignment="0" applyProtection="0">
      <alignment vertical="center"/>
    </xf>
    <xf numFmtId="0" fontId="81" fillId="61" borderId="0" applyNumberFormat="0" applyBorder="0" applyAlignment="0" applyProtection="0">
      <alignment vertical="center"/>
    </xf>
    <xf numFmtId="0" fontId="82" fillId="62" borderId="0" applyNumberFormat="0" applyBorder="0" applyAlignment="0" applyProtection="0">
      <alignment vertical="center"/>
    </xf>
    <xf numFmtId="0" fontId="82" fillId="63" borderId="0" applyNumberFormat="0" applyBorder="0" applyAlignment="0" applyProtection="0">
      <alignment vertical="center"/>
    </xf>
    <xf numFmtId="0" fontId="81" fillId="64" borderId="0" applyNumberFormat="0" applyBorder="0" applyAlignment="0" applyProtection="0">
      <alignment vertical="center"/>
    </xf>
    <xf numFmtId="0" fontId="81" fillId="65" borderId="0" applyNumberFormat="0" applyBorder="0" applyAlignment="0" applyProtection="0">
      <alignment vertical="center"/>
    </xf>
    <xf numFmtId="0" fontId="0" fillId="13" borderId="0" applyNumberFormat="0" applyBorder="0" applyAlignment="0" applyProtection="0"/>
    <xf numFmtId="0" fontId="82" fillId="66" borderId="0" applyNumberFormat="0" applyBorder="0" applyAlignment="0" applyProtection="0">
      <alignment vertical="center"/>
    </xf>
    <xf numFmtId="0" fontId="81" fillId="67" borderId="0" applyNumberFormat="0" applyBorder="0" applyAlignment="0" applyProtection="0">
      <alignment vertical="center"/>
    </xf>
    <xf numFmtId="0" fontId="81" fillId="68"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9" borderId="0" applyNumberFormat="0" applyBorder="0" applyAlignment="0" applyProtection="0">
      <alignment vertical="center"/>
    </xf>
    <xf numFmtId="0" fontId="81" fillId="70" borderId="0" applyNumberFormat="0" applyBorder="0" applyAlignment="0" applyProtection="0">
      <alignment vertical="center"/>
    </xf>
    <xf numFmtId="0" fontId="82" fillId="23" borderId="0" applyNumberFormat="0" applyBorder="0" applyAlignment="0" applyProtection="0">
      <alignment vertical="center"/>
    </xf>
    <xf numFmtId="0" fontId="82" fillId="71" borderId="0" applyNumberFormat="0" applyBorder="0" applyAlignment="0" applyProtection="0">
      <alignment vertical="center"/>
    </xf>
    <xf numFmtId="0" fontId="81" fillId="72"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24" fillId="0" borderId="8" xfId="61" applyBorder="1"/>
    <xf numFmtId="0" fontId="24" fillId="0" borderId="8" xfId="61" applyFill="1" applyBorder="1"/>
    <xf numFmtId="188" fontId="24" fillId="0" borderId="8" xfId="61" applyNumberFormat="1" applyBorder="1"/>
    <xf numFmtId="0" fontId="0" fillId="0" borderId="8" xfId="0"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24" fillId="49" borderId="0" xfId="61" applyFill="1"/>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50"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1" borderId="0" xfId="0" applyNumberFormat="1" applyFont="1" applyFill="1"/>
    <xf numFmtId="0" fontId="9" fillId="0" borderId="0" xfId="0" applyFont="1" applyAlignment="1">
      <alignment horizontal="right"/>
    </xf>
    <xf numFmtId="2" fontId="0" fillId="51" borderId="0" xfId="0" applyNumberFormat="1" applyFill="1"/>
    <xf numFmtId="1" fontId="0" fillId="27" borderId="0" xfId="0" applyNumberFormat="1" applyFill="1"/>
    <xf numFmtId="0" fontId="9" fillId="50"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1"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50"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8"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42" customFormat="1" ht="156" customHeight="1" spans="2:6">
      <c r="B7" s="443" t="s">
        <v>8</v>
      </c>
      <c r="C7" s="444"/>
      <c r="D7" s="444"/>
      <c r="E7" s="444"/>
      <c r="F7" s="444"/>
    </row>
    <row r="9" spans="2:6">
      <c r="B9" s="445"/>
    </row>
    <row r="10" ht="15.5" spans="2:6">
      <c r="B10" s="446" t="s">
        <v>9</v>
      </c>
    </row>
    <row r="11" spans="2:6">
      <c r="B11" s="44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9">
        <v>0.721601948104536</v>
      </c>
      <c r="C43" s="86">
        <v>20812.7133591781</v>
      </c>
      <c r="D43" s="86">
        <v>17365.3568320155</v>
      </c>
      <c r="E43" s="86">
        <v>16391.8817697786</v>
      </c>
      <c r="F43" s="86">
        <v>16107.9621769284</v>
      </c>
    </row>
    <row r="44" spans="2:6">
      <c r="B44" s="429">
        <v>0.731601948104536</v>
      </c>
      <c r="C44" s="86">
        <v>20851.3897050157</v>
      </c>
      <c r="D44" s="86">
        <v>17382.3083966418</v>
      </c>
      <c r="E44" s="86">
        <v>16398.0451175294</v>
      </c>
      <c r="F44" s="86">
        <v>16110.4092865014</v>
      </c>
    </row>
    <row r="45" spans="2:6">
      <c r="B45" s="429">
        <v>0.744101948104536</v>
      </c>
      <c r="C45" s="86">
        <v>20931.9431774786</v>
      </c>
      <c r="D45" s="86">
        <v>17404.5453307715</v>
      </c>
      <c r="E45" s="86">
        <v>16408.4434288326</v>
      </c>
      <c r="F45" s="86">
        <v>16116.8340630847</v>
      </c>
    </row>
    <row r="46" spans="2:6">
      <c r="B46" s="429">
        <v>0.754101948104536</v>
      </c>
      <c r="C46" s="86">
        <v>21037.7835001907</v>
      </c>
      <c r="D46" s="86">
        <v>17418.0069824979</v>
      </c>
      <c r="E46" s="86">
        <v>16417.1598686968</v>
      </c>
      <c r="F46" s="86">
        <v>16124.0886285498</v>
      </c>
    </row>
    <row r="47" spans="2:6">
      <c r="B47" s="429">
        <v>0.764101948104536</v>
      </c>
      <c r="C47" s="86">
        <v>21236.3171139848</v>
      </c>
      <c r="D47" s="86">
        <v>17424.2997644047</v>
      </c>
      <c r="E47" s="86">
        <v>16427.4256488727</v>
      </c>
      <c r="F47" s="86">
        <v>16136.0835188483</v>
      </c>
    </row>
    <row r="48" spans="2:6">
      <c r="B48" s="429">
        <v>0.811601948104536</v>
      </c>
      <c r="C48" s="86">
        <v>59492.3733506709</v>
      </c>
      <c r="D48" s="86">
        <v>18038.1548667216</v>
      </c>
      <c r="E48" s="86">
        <v>16838.025219281</v>
      </c>
      <c r="F48" s="86">
        <v>16485.1364888066</v>
      </c>
    </row>
    <row r="49" spans="2:6">
      <c r="B49" s="429">
        <v>0.819101948104536</v>
      </c>
      <c r="C49" s="86">
        <v>103206.415841584</v>
      </c>
      <c r="D49" s="86">
        <v>18410.7431620057</v>
      </c>
      <c r="E49" s="86">
        <v>17196.0487970128</v>
      </c>
      <c r="F49" s="86">
        <v>16848.2003984707</v>
      </c>
    </row>
    <row r="50" spans="2:6">
      <c r="B50" s="429">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9">
        <v>0.738964852080722</v>
      </c>
      <c r="C92" s="86">
        <v>23212.7756758373</v>
      </c>
      <c r="D92" s="86">
        <v>19821.2097898767</v>
      </c>
      <c r="E92" s="86">
        <v>18883.5786556431</v>
      </c>
      <c r="F92" s="86">
        <v>18610.1131502571</v>
      </c>
    </row>
    <row r="93" spans="2:6">
      <c r="B93" s="429">
        <v>0.748964852080722</v>
      </c>
      <c r="C93" s="86">
        <v>23245.1719509279</v>
      </c>
      <c r="D93" s="86">
        <v>19835.3294001618</v>
      </c>
      <c r="E93" s="86">
        <v>18887.3935814335</v>
      </c>
      <c r="F93" s="86">
        <v>18610.3188052591</v>
      </c>
    </row>
    <row r="94" spans="2:6">
      <c r="B94" s="429">
        <v>0.758964852080722</v>
      </c>
      <c r="C94" s="86">
        <v>23332.8004095118</v>
      </c>
      <c r="D94" s="86">
        <v>19856.7086648975</v>
      </c>
      <c r="E94" s="86">
        <v>18901.4352903486</v>
      </c>
      <c r="F94" s="86">
        <v>18622.1162109176</v>
      </c>
    </row>
    <row r="95" spans="2:6">
      <c r="B95" s="429">
        <v>0.768964852080722</v>
      </c>
      <c r="C95" s="86">
        <v>23598.5211216196</v>
      </c>
      <c r="D95" s="86">
        <v>19920.8585524424</v>
      </c>
      <c r="E95" s="86">
        <v>18954.9502341197</v>
      </c>
      <c r="F95" s="86">
        <v>18673.3320676582</v>
      </c>
    </row>
    <row r="96" spans="2:6">
      <c r="B96" s="429">
        <v>0.778964852080722</v>
      </c>
      <c r="C96" s="86">
        <v>24105.6371789567</v>
      </c>
      <c r="D96" s="86">
        <v>19990.4900793941</v>
      </c>
      <c r="E96" s="86">
        <v>19029.9871027869</v>
      </c>
      <c r="F96" s="86">
        <v>18752.4778030617</v>
      </c>
    </row>
    <row r="97" spans="2:6">
      <c r="B97" s="429">
        <v>0.821464852080722</v>
      </c>
      <c r="C97" s="86">
        <v>62041.5748450451</v>
      </c>
      <c r="D97" s="86">
        <v>20649.567937699</v>
      </c>
      <c r="E97" s="86">
        <v>19513.0905822758</v>
      </c>
      <c r="F97" s="86">
        <v>19185.9657397574</v>
      </c>
    </row>
    <row r="98" spans="2:6">
      <c r="B98" s="429">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30">
        <v>0.825473325119398</v>
      </c>
      <c r="C125" s="86">
        <v>38790.2507063985</v>
      </c>
      <c r="D125" s="86">
        <v>26275.8323091074</v>
      </c>
      <c r="E125" s="86">
        <v>21981.4594899507</v>
      </c>
      <c r="F125" s="86">
        <v>20924.2567986138</v>
      </c>
    </row>
    <row r="126" spans="2:6">
      <c r="B126" s="430">
        <v>0.790095896899995</v>
      </c>
      <c r="C126" s="86">
        <v>38995.3914357923</v>
      </c>
      <c r="D126" s="86">
        <v>26441.685967644</v>
      </c>
      <c r="E126" s="86">
        <v>22123.2713366406</v>
      </c>
      <c r="F126" s="86">
        <v>21062.2358926905</v>
      </c>
    </row>
    <row r="127" spans="2:6">
      <c r="B127" s="430">
        <v>0.754718468680593</v>
      </c>
      <c r="C127" s="86">
        <v>39349.3407829814</v>
      </c>
      <c r="D127" s="86">
        <v>26607.5396261806</v>
      </c>
      <c r="E127" s="86">
        <v>22265.0831833305</v>
      </c>
      <c r="F127" s="86">
        <v>21200.2149867671</v>
      </c>
    </row>
    <row r="128" spans="2:6">
      <c r="B128" s="430">
        <v>0.71934104046119</v>
      </c>
      <c r="C128" s="86">
        <v>41112.1865178866</v>
      </c>
      <c r="D128" s="86">
        <v>26773.3932847172</v>
      </c>
      <c r="E128" s="86">
        <v>22406.8950300204</v>
      </c>
      <c r="F128" s="86">
        <v>21338.1940808438</v>
      </c>
    </row>
    <row r="129" spans="2:6">
      <c r="B129" s="430">
        <v>0.688208903628116</v>
      </c>
      <c r="C129" s="86">
        <v>41503.3848501339</v>
      </c>
      <c r="D129" s="86">
        <v>27942.636601134</v>
      </c>
      <c r="E129" s="86">
        <v>22548.7068767103</v>
      </c>
      <c r="F129" s="86">
        <v>21476.1731749205</v>
      </c>
    </row>
    <row r="130" spans="2:6">
      <c r="B130" s="430">
        <v>0.666274898132086</v>
      </c>
      <c r="C130" s="86">
        <v>41725.4719857748</v>
      </c>
      <c r="D130" s="86">
        <v>28117.4747821718</v>
      </c>
      <c r="E130" s="86">
        <v>22690.5187234002</v>
      </c>
      <c r="F130" s="86">
        <v>21614.1522689971</v>
      </c>
    </row>
    <row r="131" spans="2:6">
      <c r="B131" s="430">
        <v>0.646227688807758</v>
      </c>
      <c r="C131" s="86">
        <v>41947.5591214156</v>
      </c>
      <c r="D131" s="86">
        <v>28292.3129632096</v>
      </c>
      <c r="E131" s="86">
        <v>22832.3305700901</v>
      </c>
      <c r="F131" s="86">
        <v>21752.1313630738</v>
      </c>
    </row>
    <row r="132" spans="2:6">
      <c r="B132" s="43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9">
        <v>0.67394485824384</v>
      </c>
      <c r="C43" s="86">
        <v>46420.5894379047</v>
      </c>
      <c r="D43" s="86">
        <v>41366.3503226909</v>
      </c>
      <c r="E43" s="86">
        <v>40062.051264038</v>
      </c>
      <c r="F43" s="86">
        <v>39681.6449526152</v>
      </c>
    </row>
    <row r="44" spans="2:6">
      <c r="B44" s="429">
        <v>0.68394485824384</v>
      </c>
      <c r="C44" s="86">
        <v>46586.7153388341</v>
      </c>
      <c r="D44" s="86">
        <v>41403.0640612314</v>
      </c>
      <c r="E44" s="86">
        <v>40074.718798282</v>
      </c>
      <c r="F44" s="86">
        <v>39685.9984662329</v>
      </c>
    </row>
    <row r="45" spans="2:6">
      <c r="B45" s="429">
        <v>0.69644485824384</v>
      </c>
      <c r="C45" s="86">
        <v>46895.5549242849</v>
      </c>
      <c r="D45" s="86">
        <v>41450.0904967378</v>
      </c>
      <c r="E45" s="86">
        <v>40091.6431393694</v>
      </c>
      <c r="F45" s="86">
        <v>39692.5456257088</v>
      </c>
    </row>
    <row r="46" spans="2:6">
      <c r="B46" s="429">
        <v>0.70644485824384</v>
      </c>
      <c r="C46" s="86">
        <v>47296.9339030488</v>
      </c>
      <c r="D46" s="86">
        <v>41477.6046442004</v>
      </c>
      <c r="E46" s="86">
        <v>40099.9929086037</v>
      </c>
      <c r="F46" s="86">
        <v>39694.2190592769</v>
      </c>
    </row>
    <row r="47" spans="2:6">
      <c r="B47" s="429">
        <v>0.71644485824384</v>
      </c>
      <c r="C47" s="86">
        <v>48114.0274154616</v>
      </c>
      <c r="D47" s="86">
        <v>41493.4285240087</v>
      </c>
      <c r="E47" s="86">
        <v>40105.0232544859</v>
      </c>
      <c r="F47" s="86">
        <v>39695.4986628482</v>
      </c>
    </row>
    <row r="48" spans="2:6">
      <c r="B48" s="429">
        <v>0.76394485824384</v>
      </c>
      <c r="C48" s="86">
        <v>108321.206334626</v>
      </c>
      <c r="D48" s="86">
        <v>42684.1712265634</v>
      </c>
      <c r="E48" s="86">
        <v>40858.0547139347</v>
      </c>
      <c r="F48" s="86">
        <v>40312.2161868235</v>
      </c>
    </row>
    <row r="49" spans="2:6">
      <c r="B49" s="429">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9">
        <v>0.681174187474557</v>
      </c>
      <c r="C92" s="86">
        <v>51440.7459313854</v>
      </c>
      <c r="D92" s="86">
        <v>46706.7080184522</v>
      </c>
      <c r="E92" s="86">
        <v>45580.1340914831</v>
      </c>
      <c r="F92" s="86">
        <v>45251.5623354427</v>
      </c>
    </row>
    <row r="93" spans="2:6">
      <c r="B93" s="429">
        <v>0.691174187474557</v>
      </c>
      <c r="C93" s="86">
        <v>51577.4854864152</v>
      </c>
      <c r="D93" s="86">
        <v>46741.3895358659</v>
      </c>
      <c r="E93" s="86">
        <v>45593.9298490815</v>
      </c>
      <c r="F93" s="86">
        <v>45258.2171330664</v>
      </c>
    </row>
    <row r="94" spans="2:6">
      <c r="B94" s="429">
        <v>0.701174187474558</v>
      </c>
      <c r="C94" s="86">
        <v>51744.7385893361</v>
      </c>
      <c r="D94" s="86">
        <v>46767.8651887659</v>
      </c>
      <c r="E94" s="86">
        <v>45609.6055331491</v>
      </c>
      <c r="F94" s="86">
        <v>45270.4459129525</v>
      </c>
    </row>
    <row r="95" spans="2:6">
      <c r="B95" s="429">
        <v>0.711174187474558</v>
      </c>
      <c r="C95" s="86">
        <v>52142.2598779451</v>
      </c>
      <c r="D95" s="86">
        <v>46815.2390501714</v>
      </c>
      <c r="E95" s="86">
        <v>45655.1275196581</v>
      </c>
      <c r="F95" s="86">
        <v>45316.6087676516</v>
      </c>
    </row>
    <row r="96" spans="2:6">
      <c r="B96" s="429">
        <v>0.721174187474558</v>
      </c>
      <c r="C96" s="86">
        <v>89000.5769890931</v>
      </c>
      <c r="D96" s="86">
        <v>46947.3311112412</v>
      </c>
      <c r="E96" s="86">
        <v>45791.8210350174</v>
      </c>
      <c r="F96" s="86">
        <v>45458.8942731283</v>
      </c>
    </row>
    <row r="97" spans="2:6">
      <c r="B97" s="429">
        <v>0.763674187474558</v>
      </c>
      <c r="C97" s="86">
        <v>132026.044813868</v>
      </c>
      <c r="D97" s="86">
        <v>49050.9346681268</v>
      </c>
      <c r="E97" s="86">
        <v>47340.1327279361</v>
      </c>
      <c r="F97" s="86">
        <v>46851.3291719859</v>
      </c>
    </row>
    <row r="98" spans="2:6">
      <c r="B98" s="429">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30">
        <v>1.21127654163236</v>
      </c>
      <c r="C125" s="86">
        <v>79718.0909809694</v>
      </c>
      <c r="D125" s="86">
        <v>61463.5157484667</v>
      </c>
      <c r="E125" s="86">
        <v>52764.0624504946</v>
      </c>
      <c r="F125" s="86">
        <v>50622.4026954895</v>
      </c>
    </row>
    <row r="126" spans="2:6">
      <c r="B126" s="430">
        <v>1.15936468984812</v>
      </c>
      <c r="C126" s="86">
        <v>80087.3442938782</v>
      </c>
      <c r="D126" s="86">
        <v>61762.0523338325</v>
      </c>
      <c r="E126" s="86">
        <v>53019.3237745364</v>
      </c>
      <c r="F126" s="86">
        <v>50870.7650648275</v>
      </c>
    </row>
    <row r="127" spans="2:6">
      <c r="B127" s="430">
        <v>1.10745283806388</v>
      </c>
      <c r="C127" s="86">
        <v>80720.8345572165</v>
      </c>
      <c r="D127" s="86">
        <v>62060.5889191984</v>
      </c>
      <c r="E127" s="86">
        <v>53274.5850985782</v>
      </c>
      <c r="F127" s="86">
        <v>51119.1274341655</v>
      </c>
    </row>
    <row r="128" spans="2:6">
      <c r="B128" s="430">
        <v>1.05554098627963</v>
      </c>
      <c r="C128" s="86">
        <v>83856.4532804314</v>
      </c>
      <c r="D128" s="86">
        <v>62359.1255045642</v>
      </c>
      <c r="E128" s="86">
        <v>53529.84642262</v>
      </c>
      <c r="F128" s="86">
        <v>51367.4898035034</v>
      </c>
    </row>
    <row r="129" spans="2:6">
      <c r="B129" s="430">
        <v>1.00362913449539</v>
      </c>
      <c r="C129" s="86">
        <v>84556.5351760012</v>
      </c>
      <c r="D129" s="86">
        <v>64439.8011173345</v>
      </c>
      <c r="E129" s="86">
        <v>53785.1077466618</v>
      </c>
      <c r="F129" s="86">
        <v>51615.8521728414</v>
      </c>
    </row>
    <row r="130" spans="2:6">
      <c r="B130" s="430">
        <v>0.951717282711143</v>
      </c>
      <c r="C130" s="86">
        <v>84956.2920201548</v>
      </c>
      <c r="D130" s="86">
        <v>64754.5098432026</v>
      </c>
      <c r="E130" s="86">
        <v>54040.3690707036</v>
      </c>
      <c r="F130" s="86">
        <v>51864.2145421794</v>
      </c>
    </row>
    <row r="131" spans="2:6">
      <c r="B131" s="430">
        <v>0.899805430926899</v>
      </c>
      <c r="C131" s="86">
        <v>85356.0488643084</v>
      </c>
      <c r="D131" s="86">
        <v>65069.2185690706</v>
      </c>
      <c r="E131" s="86">
        <v>54295.6303947454</v>
      </c>
      <c r="F131" s="86">
        <v>52112.5769115174</v>
      </c>
    </row>
    <row r="132" spans="2:6">
      <c r="B132" s="43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71" t="s">
        <v>10</v>
      </c>
      <c r="C1" s="372"/>
      <c r="D1" s="372"/>
      <c r="E1" s="372"/>
      <c r="F1" s="373"/>
      <c r="Q1" t="s">
        <v>42</v>
      </c>
      <c r="U1" t="s">
        <v>43</v>
      </c>
      <c r="V1" t="str">
        <f>"Trd_car_"&amp;Q1</f>
        <v>Trd_car_gsl</v>
      </c>
    </row>
    <row r="2" spans="2:27">
      <c r="B2" s="397" t="s">
        <v>9</v>
      </c>
      <c r="C2" s="398"/>
      <c r="D2" s="398"/>
      <c r="E2" s="398"/>
      <c r="F2" s="398"/>
      <c r="I2" s="380">
        <v>0.0520099378899987</v>
      </c>
      <c r="J2" s="379" t="s">
        <v>44</v>
      </c>
      <c r="Q2" t="s">
        <v>45</v>
      </c>
      <c r="U2" t="s">
        <v>46</v>
      </c>
      <c r="V2" t="str">
        <f t="shared" ref="V2:V11" si="0">"Trd_car_"&amp;Q2</f>
        <v>Trd_car_gsl-hyb</v>
      </c>
    </row>
    <row r="3" spans="2:27">
      <c r="I3" s="399">
        <f>31536000/10^9</f>
        <v>0.031536</v>
      </c>
      <c r="J3" s="379" t="s">
        <v>47</v>
      </c>
      <c r="Q3" t="s">
        <v>48</v>
      </c>
      <c r="U3" t="s">
        <v>49</v>
      </c>
      <c r="V3" t="str">
        <f t="shared" si="0"/>
        <v>Trd_car_gsl-pih</v>
      </c>
    </row>
    <row r="4" spans="2:27">
      <c r="I4" s="379">
        <v>0.038</v>
      </c>
      <c r="J4" s="379" t="s">
        <v>50</v>
      </c>
      <c r="Q4" t="s">
        <v>51</v>
      </c>
      <c r="U4" t="s">
        <v>52</v>
      </c>
      <c r="V4" t="str">
        <f t="shared" si="0"/>
        <v>Trd_car_dsl</v>
      </c>
    </row>
    <row r="5" spans="2:27">
      <c r="I5" s="380">
        <f>1.406/26.137</f>
        <v>0.053793472854574</v>
      </c>
      <c r="J5" s="379" t="s">
        <v>53</v>
      </c>
      <c r="Q5" t="s">
        <v>54</v>
      </c>
      <c r="U5" t="s">
        <v>55</v>
      </c>
      <c r="V5" t="str">
        <f t="shared" si="0"/>
        <v>Trd_car_dsl-hyb</v>
      </c>
    </row>
    <row r="6" spans="2:27">
      <c r="I6" s="380">
        <v>0.02559</v>
      </c>
      <c r="J6" s="379"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81">
        <v>2015</v>
      </c>
      <c r="C11" s="381"/>
      <c r="D11" s="381"/>
      <c r="Q11" t="s">
        <v>68</v>
      </c>
      <c r="U11" t="s">
        <v>69</v>
      </c>
      <c r="V11" t="str">
        <f t="shared" si="0"/>
        <v>Trd_car_hh2</v>
      </c>
    </row>
    <row r="12" ht="15.75" customHeight="1" spans="2:27">
      <c r="B12" s="46" t="s">
        <v>12</v>
      </c>
      <c r="C12" s="47" t="s">
        <v>13</v>
      </c>
      <c r="D12" s="48">
        <v>6.80390448385318</v>
      </c>
      <c r="G12" s="75">
        <f>D12*$I$3/100*10^9/10^6</f>
        <v>2.14567931802794</v>
      </c>
      <c r="H12" s="75"/>
      <c r="I12" s="431">
        <f>1/G12</f>
        <v>0.466052868011556</v>
      </c>
    </row>
    <row r="13" ht="15.5" spans="2:27">
      <c r="B13" s="46" t="s">
        <v>14</v>
      </c>
      <c r="C13" s="47" t="s">
        <v>15</v>
      </c>
      <c r="D13" s="68">
        <v>19114.1080717123</v>
      </c>
      <c r="I13" s="393" t="s">
        <v>70</v>
      </c>
      <c r="V13" s="432">
        <v>0.9015</v>
      </c>
    </row>
    <row r="14" spans="2:27">
      <c r="B14" s="406"/>
      <c r="C14" s="407"/>
      <c r="D14" s="408"/>
      <c r="I14" s="393"/>
    </row>
    <row r="15" ht="15.25" spans="2:27">
      <c r="B15" s="406"/>
      <c r="C15" s="407"/>
      <c r="D15" s="408"/>
      <c r="I15" s="393"/>
      <c r="K15" s="384" t="s">
        <v>71</v>
      </c>
      <c r="W15" s="384" t="s">
        <v>72</v>
      </c>
      <c r="X15" s="385"/>
      <c r="Y15" s="385"/>
      <c r="Z15" s="385"/>
      <c r="AA15" s="385"/>
    </row>
    <row r="16" spans="2:27">
      <c r="I16" t="s">
        <v>73</v>
      </c>
      <c r="J16" t="s">
        <v>74</v>
      </c>
      <c r="K16" t="s">
        <v>75</v>
      </c>
      <c r="L16" t="s">
        <v>76</v>
      </c>
      <c r="M16">
        <f>C20</f>
        <v>2020</v>
      </c>
      <c r="N16">
        <f>D20</f>
        <v>2030</v>
      </c>
      <c r="O16">
        <f>E20</f>
        <v>2040</v>
      </c>
      <c r="P16">
        <v>2050</v>
      </c>
      <c r="Q16">
        <v>2060</v>
      </c>
      <c r="R16">
        <v>0</v>
      </c>
      <c r="U16" s="386" t="s">
        <v>77</v>
      </c>
      <c r="W16" s="385" t="s">
        <v>78</v>
      </c>
      <c r="X16" s="385" t="s">
        <v>79</v>
      </c>
      <c r="Y16" s="385" t="s">
        <v>80</v>
      </c>
      <c r="Z16" s="385" t="s">
        <v>81</v>
      </c>
      <c r="AA16" s="385" t="s">
        <v>82</v>
      </c>
    </row>
    <row r="17" ht="15" customHeight="1" spans="2:27">
      <c r="B17" s="387" t="s">
        <v>16</v>
      </c>
      <c r="C17" s="387" t="s">
        <v>43</v>
      </c>
      <c r="D17" s="387"/>
      <c r="E17" s="387"/>
      <c r="F17" s="387"/>
      <c r="J17" t="str">
        <f>IFERROR(VLOOKUP(C17,$U$1:$V$11,2,FALSE),J16)</f>
        <v>Trd_car_gsl</v>
      </c>
      <c r="K17" t="str">
        <f>IFERROR(IF(VALUE(C17)&gt;2020,J17&amp;"_"&amp;TEXT(B17*100,"00"),"\I:"),"\I:")</f>
        <v>\I:</v>
      </c>
      <c r="L17" t="str">
        <f>LEFT(K17,7)</f>
        <v>\I:</v>
      </c>
      <c r="M17" s="390" t="str">
        <f>IF($K17="\I:","",C17)</f>
        <v/>
      </c>
      <c r="N17" s="390" t="str">
        <f>IF($K17="\I:","",D17)</f>
        <v/>
      </c>
      <c r="O17" s="390" t="str">
        <f>IF($K17="\I:","",E17)</f>
        <v/>
      </c>
      <c r="P17" s="390" t="str">
        <f>IF($K17="\I:","",F17)</f>
        <v/>
      </c>
      <c r="U17" s="386"/>
      <c r="W17" t="s">
        <v>83</v>
      </c>
      <c r="X17" t="str">
        <f t="shared" ref="X17:X48" si="1">K17</f>
        <v>\I:</v>
      </c>
      <c r="Y17" t="str">
        <f ca="1" t="shared" ref="Y17:Y48" si="2">OFFSET($V$1,MATCH(J17,$V$1:$V$11,0)-1,-1)&amp;" -- "&amp;TEXT(B17,"00%")</f>
        <v>ICE medium size gasoline car -- Reduction of specific energy consumption relative to 2015 gasoline vehicle (%)</v>
      </c>
      <c r="Z17" s="388" t="s">
        <v>84</v>
      </c>
      <c r="AA17" s="388" t="s">
        <v>85</v>
      </c>
    </row>
    <row r="18" spans="2:27">
      <c r="B18" s="387"/>
      <c r="C18" s="387"/>
      <c r="D18" s="387"/>
      <c r="E18" s="387"/>
      <c r="F18" s="387"/>
      <c r="J18" t="str">
        <f t="shared" ref="J18:J81" si="3">IFERROR(VLOOKUP(C18,$U$1:$V$11,2,FALSE),J17)</f>
        <v>Trd_car_gsl</v>
      </c>
      <c r="K18" t="str">
        <f t="shared" ref="K18:K81" si="4">IFERROR(IF(VALUE(C18)&gt;2020,J18&amp;"_"&amp;TEXT(B18*100,"00"),"\I:"),"\I:")</f>
        <v>\I:</v>
      </c>
      <c r="L18" t="str">
        <f t="shared" ref="L18:L81" si="5">LEFT(K18,7)</f>
        <v>\I:</v>
      </c>
      <c r="M18" s="390" t="str">
        <f t="shared" ref="M18:M81" si="6">IF($K18="\I:","",C18)</f>
        <v/>
      </c>
      <c r="N18" s="390" t="str">
        <f t="shared" ref="N18:N81" si="7">IF($K18="\I:","",D18)</f>
        <v/>
      </c>
      <c r="O18" s="390" t="str">
        <f t="shared" ref="O18:O81" si="8">IF($K18="\I:","",E18)</f>
        <v/>
      </c>
      <c r="P18" s="390" t="str">
        <f t="shared" ref="P18:P81" si="9">IF($K18="\I:","",F18)</f>
        <v/>
      </c>
      <c r="U18" s="386"/>
      <c r="W18" t="s">
        <v>83</v>
      </c>
      <c r="X18" t="str">
        <f t="shared" si="1"/>
        <v>\I:</v>
      </c>
      <c r="Y18" t="str">
        <f ca="1" t="shared" si="2"/>
        <v>ICE medium size gasoline car -- 00%</v>
      </c>
      <c r="Z18" s="388" t="s">
        <v>84</v>
      </c>
      <c r="AA18" s="388" t="s">
        <v>85</v>
      </c>
    </row>
    <row r="19" spans="2:27">
      <c r="B19" s="387"/>
      <c r="C19" s="387"/>
      <c r="D19" s="387"/>
      <c r="E19" s="387"/>
      <c r="F19" s="387"/>
      <c r="J19" t="str">
        <f t="shared" si="3"/>
        <v>Trd_car_gsl</v>
      </c>
      <c r="K19" t="str">
        <f t="shared" si="4"/>
        <v>\I:</v>
      </c>
      <c r="L19" t="str">
        <f t="shared" si="5"/>
        <v>\I:</v>
      </c>
      <c r="M19" s="390" t="str">
        <f t="shared" si="6"/>
        <v/>
      </c>
      <c r="N19" s="390" t="str">
        <f t="shared" si="7"/>
        <v/>
      </c>
      <c r="O19" s="390" t="str">
        <f t="shared" si="8"/>
        <v/>
      </c>
      <c r="P19" s="390" t="str">
        <f t="shared" si="9"/>
        <v/>
      </c>
      <c r="U19" s="386"/>
      <c r="W19" t="s">
        <v>83</v>
      </c>
      <c r="X19" t="str">
        <f t="shared" si="1"/>
        <v>\I:</v>
      </c>
      <c r="Y19" t="str">
        <f ca="1" t="shared" si="2"/>
        <v>ICE medium size gasoline car -- 00%</v>
      </c>
      <c r="Z19" s="388" t="s">
        <v>84</v>
      </c>
      <c r="AA19" s="388" t="s">
        <v>85</v>
      </c>
    </row>
    <row r="20" spans="2:27">
      <c r="B20" s="88">
        <v>0</v>
      </c>
      <c r="C20" s="51">
        <v>2020</v>
      </c>
      <c r="D20" s="51">
        <v>2030</v>
      </c>
      <c r="E20" s="51">
        <v>2040</v>
      </c>
      <c r="F20" s="51">
        <v>2050</v>
      </c>
      <c r="I20" s="382">
        <v>1</v>
      </c>
      <c r="J20" s="44" t="str">
        <f t="shared" si="3"/>
        <v>Trd_car_gsl</v>
      </c>
      <c r="K20" s="44" t="str">
        <f>IFERROR(IF(VALUE(C20)&gt;200,J20&amp;"_"&amp;TEXT(B20*100,"00"),"\I:"),"\I:")</f>
        <v>Trd_car_gsl_00</v>
      </c>
      <c r="L20" t="str">
        <f t="shared" si="5"/>
        <v>Trd_car</v>
      </c>
      <c r="M20" s="427">
        <f>D13</f>
        <v>19114.1080717123</v>
      </c>
      <c r="N20" s="390"/>
      <c r="O20" s="390"/>
      <c r="P20" s="390"/>
      <c r="U20" s="386"/>
      <c r="W20" t="s">
        <v>83</v>
      </c>
      <c r="X20" t="str">
        <f t="shared" si="1"/>
        <v>Trd_car_gsl_00</v>
      </c>
      <c r="Y20" t="str">
        <f ca="1" t="shared" si="2"/>
        <v>ICE medium size gasoline car -- 00%</v>
      </c>
      <c r="Z20" s="388" t="s">
        <v>84</v>
      </c>
      <c r="AA20" s="388"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90">
        <f t="shared" si="6"/>
        <v>19378.3288901274</v>
      </c>
      <c r="N21" s="390">
        <f t="shared" si="7"/>
        <v>19184.953531911</v>
      </c>
      <c r="O21" s="390">
        <f t="shared" si="8"/>
        <v>19184.953531911</v>
      </c>
      <c r="P21" s="390">
        <f t="shared" si="9"/>
        <v>19184.953531911</v>
      </c>
      <c r="Q21">
        <f t="shared" ref="Q21:Q26" si="10">P21</f>
        <v>19184.953531911</v>
      </c>
      <c r="R21">
        <v>3</v>
      </c>
      <c r="U21" s="386"/>
      <c r="W21" t="s">
        <v>83</v>
      </c>
      <c r="X21" t="str">
        <f t="shared" si="1"/>
        <v>Trd_car_gsl_13</v>
      </c>
      <c r="Y21" t="str">
        <f ca="1" t="shared" si="2"/>
        <v>ICE medium size gasoline car -- 13%</v>
      </c>
      <c r="Z21" s="388" t="s">
        <v>84</v>
      </c>
      <c r="AA21" s="388"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90">
        <f t="shared" si="6"/>
        <v>20194.1761225306</v>
      </c>
      <c r="N22" s="390">
        <f t="shared" si="7"/>
        <v>19445.9060345472</v>
      </c>
      <c r="O22" s="390">
        <f t="shared" si="8"/>
        <v>19445.9060345472</v>
      </c>
      <c r="P22" s="390">
        <f t="shared" si="9"/>
        <v>19445.9060345472</v>
      </c>
      <c r="Q22">
        <f t="shared" si="10"/>
        <v>19445.9060345472</v>
      </c>
      <c r="R22">
        <v>3</v>
      </c>
      <c r="U22" s="386"/>
      <c r="W22" t="s">
        <v>83</v>
      </c>
      <c r="X22" t="str">
        <f t="shared" si="1"/>
        <v>Trd_car_gsl_23</v>
      </c>
      <c r="Y22" t="str">
        <f ca="1" t="shared" si="2"/>
        <v>ICE medium size gasoline car -- 23%</v>
      </c>
      <c r="Z22" s="388" t="s">
        <v>84</v>
      </c>
      <c r="AA22" s="388"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90">
        <f t="shared" si="6"/>
        <v>21957.3236536115</v>
      </c>
      <c r="N23" s="390">
        <f t="shared" si="7"/>
        <v>20077.20524873</v>
      </c>
      <c r="O23" s="390">
        <f t="shared" si="8"/>
        <v>20077.20524873</v>
      </c>
      <c r="P23" s="390">
        <f t="shared" si="9"/>
        <v>20077.20524873</v>
      </c>
      <c r="Q23">
        <f t="shared" si="10"/>
        <v>20077.20524873</v>
      </c>
      <c r="R23">
        <v>3</v>
      </c>
      <c r="U23" s="386"/>
      <c r="W23" t="s">
        <v>83</v>
      </c>
      <c r="X23" t="str">
        <f t="shared" si="1"/>
        <v>Trd_car_gsl_33</v>
      </c>
      <c r="Y23" t="str">
        <f ca="1" t="shared" si="2"/>
        <v>ICE medium size gasoline car -- 33%</v>
      </c>
      <c r="Z23" s="388" t="s">
        <v>84</v>
      </c>
      <c r="AA23" s="388"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90">
        <f t="shared" si="6"/>
        <v>24470.6482852451</v>
      </c>
      <c r="N24" s="390">
        <f t="shared" si="7"/>
        <v>20810.3469623741</v>
      </c>
      <c r="O24" s="390">
        <f t="shared" si="8"/>
        <v>20810.3469623741</v>
      </c>
      <c r="P24" s="390">
        <f t="shared" si="9"/>
        <v>20810.3469623741</v>
      </c>
      <c r="Q24">
        <f t="shared" si="10"/>
        <v>20810.3469623741</v>
      </c>
      <c r="R24">
        <v>3</v>
      </c>
      <c r="U24" s="386"/>
      <c r="W24" t="s">
        <v>83</v>
      </c>
      <c r="X24" t="str">
        <f t="shared" si="1"/>
        <v>Trd_car_gsl_38</v>
      </c>
      <c r="Y24" t="str">
        <f ca="1" t="shared" si="2"/>
        <v>ICE medium size gasoline car -- 38%</v>
      </c>
      <c r="Z24" s="388" t="s">
        <v>84</v>
      </c>
      <c r="AA24" s="388"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90">
        <f t="shared" si="6"/>
        <v>53739.8034564757</v>
      </c>
      <c r="N25" s="390">
        <f t="shared" si="7"/>
        <v>22623.2610961166</v>
      </c>
      <c r="O25" s="390">
        <f t="shared" si="8"/>
        <v>22623.2610961166</v>
      </c>
      <c r="P25" s="390">
        <f t="shared" si="9"/>
        <v>22623.2610961166</v>
      </c>
      <c r="Q25">
        <f t="shared" si="10"/>
        <v>22623.2610961166</v>
      </c>
      <c r="R25">
        <v>3</v>
      </c>
      <c r="U25" s="386"/>
      <c r="W25" t="s">
        <v>83</v>
      </c>
      <c r="X25" t="str">
        <f t="shared" si="1"/>
        <v>Trd_car_gsl_43</v>
      </c>
      <c r="Y25" t="str">
        <f ca="1" t="shared" si="2"/>
        <v>ICE medium size gasoline car -- 43%</v>
      </c>
      <c r="Z25" s="388" t="s">
        <v>84</v>
      </c>
      <c r="AA25" s="388"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90">
        <f t="shared" si="6"/>
        <v>118918.12</v>
      </c>
      <c r="N26" s="390">
        <f t="shared" si="7"/>
        <v>41097.3054936037</v>
      </c>
      <c r="O26" s="390">
        <f t="shared" si="8"/>
        <v>41097.3054936037</v>
      </c>
      <c r="P26" s="390">
        <f t="shared" si="9"/>
        <v>41097.3054936037</v>
      </c>
      <c r="Q26">
        <f t="shared" si="10"/>
        <v>41097.3054936037</v>
      </c>
      <c r="R26">
        <v>3</v>
      </c>
      <c r="U26" s="386"/>
      <c r="W26" t="s">
        <v>83</v>
      </c>
      <c r="X26" t="str">
        <f t="shared" si="1"/>
        <v>Trd_car_gsl_48</v>
      </c>
      <c r="Y26" t="str">
        <f ca="1" t="shared" si="2"/>
        <v>ICE medium size gasoline car -- 48%</v>
      </c>
      <c r="Z26" s="388" t="s">
        <v>84</v>
      </c>
      <c r="AA26" s="388" t="s">
        <v>85</v>
      </c>
    </row>
    <row r="27" spans="2:27">
      <c r="C27" s="97"/>
      <c r="D27" s="97"/>
      <c r="E27" s="97"/>
      <c r="F27" s="97"/>
      <c r="J27" t="str">
        <f t="shared" si="3"/>
        <v>Trd_car_gsl</v>
      </c>
      <c r="K27" t="str">
        <f t="shared" si="4"/>
        <v>\I:</v>
      </c>
      <c r="L27" t="str">
        <f t="shared" si="5"/>
        <v>\I:</v>
      </c>
      <c r="M27" s="390" t="str">
        <f t="shared" si="6"/>
        <v/>
      </c>
      <c r="N27" s="390" t="str">
        <f t="shared" si="7"/>
        <v/>
      </c>
      <c r="O27" s="390" t="str">
        <f t="shared" si="8"/>
        <v/>
      </c>
      <c r="P27" s="390" t="str">
        <f t="shared" si="9"/>
        <v/>
      </c>
      <c r="U27" s="386"/>
      <c r="X27" t="str">
        <f t="shared" si="1"/>
        <v>\I:</v>
      </c>
      <c r="Y27" t="str">
        <f ca="1" t="shared" si="2"/>
        <v>ICE medium size gasoline car -- 00%</v>
      </c>
      <c r="Z27" s="388" t="s">
        <v>84</v>
      </c>
      <c r="AA27" s="388" t="s">
        <v>85</v>
      </c>
    </row>
    <row r="28" spans="2:27">
      <c r="J28" t="str">
        <f t="shared" si="3"/>
        <v>Trd_car_gsl</v>
      </c>
      <c r="K28" t="str">
        <f t="shared" si="4"/>
        <v>\I:</v>
      </c>
      <c r="L28" t="str">
        <f t="shared" si="5"/>
        <v>\I:</v>
      </c>
      <c r="M28" s="390" t="str">
        <f t="shared" si="6"/>
        <v/>
      </c>
      <c r="N28" s="390" t="str">
        <f t="shared" si="7"/>
        <v/>
      </c>
      <c r="O28" s="390" t="str">
        <f t="shared" si="8"/>
        <v/>
      </c>
      <c r="P28" s="390" t="str">
        <f t="shared" si="9"/>
        <v/>
      </c>
      <c r="U28" s="386"/>
      <c r="X28" t="str">
        <f t="shared" si="1"/>
        <v>\I:</v>
      </c>
      <c r="Y28" t="str">
        <f ca="1" t="shared" si="2"/>
        <v>ICE medium size gasoline car -- 00%</v>
      </c>
      <c r="Z28" s="388" t="s">
        <v>84</v>
      </c>
      <c r="AA28" s="388" t="s">
        <v>85</v>
      </c>
    </row>
    <row r="29" spans="2:27">
      <c r="J29" t="str">
        <f t="shared" si="3"/>
        <v>Trd_car_gsl</v>
      </c>
      <c r="K29" t="str">
        <f t="shared" si="4"/>
        <v>\I:</v>
      </c>
      <c r="L29" t="str">
        <f t="shared" si="5"/>
        <v>\I:</v>
      </c>
      <c r="M29" s="390" t="str">
        <f t="shared" si="6"/>
        <v/>
      </c>
      <c r="N29" s="390" t="str">
        <f t="shared" si="7"/>
        <v/>
      </c>
      <c r="O29" s="390" t="str">
        <f t="shared" si="8"/>
        <v/>
      </c>
      <c r="P29" s="390" t="str">
        <f t="shared" si="9"/>
        <v/>
      </c>
      <c r="U29" s="386"/>
      <c r="X29" t="str">
        <f t="shared" si="1"/>
        <v>\I:</v>
      </c>
      <c r="Y29" t="str">
        <f ca="1" t="shared" si="2"/>
        <v>ICE medium size gasoline car -- 00%</v>
      </c>
      <c r="Z29" s="388" t="s">
        <v>84</v>
      </c>
      <c r="AA29" s="388" t="s">
        <v>85</v>
      </c>
    </row>
    <row r="30" spans="2:27">
      <c r="J30" t="str">
        <f t="shared" si="3"/>
        <v>Trd_car_gsl</v>
      </c>
      <c r="K30" t="str">
        <f t="shared" si="4"/>
        <v>\I:</v>
      </c>
      <c r="L30" t="str">
        <f t="shared" si="5"/>
        <v>\I:</v>
      </c>
      <c r="M30" s="390" t="str">
        <f t="shared" si="6"/>
        <v/>
      </c>
      <c r="N30" s="390" t="str">
        <f t="shared" si="7"/>
        <v/>
      </c>
      <c r="O30" s="390" t="str">
        <f t="shared" si="8"/>
        <v/>
      </c>
      <c r="P30" s="390" t="str">
        <f t="shared" si="9"/>
        <v/>
      </c>
      <c r="U30" s="386"/>
      <c r="X30" t="str">
        <f t="shared" si="1"/>
        <v>\I:</v>
      </c>
      <c r="Y30" t="str">
        <f ca="1" t="shared" si="2"/>
        <v>ICE medium size gasoline car -- 00%</v>
      </c>
      <c r="Z30" s="388" t="s">
        <v>84</v>
      </c>
      <c r="AA30" s="388" t="s">
        <v>85</v>
      </c>
    </row>
    <row r="31" ht="15" customHeight="1" spans="2:27">
      <c r="B31" s="387" t="s">
        <v>16</v>
      </c>
      <c r="C31" s="387" t="s">
        <v>46</v>
      </c>
      <c r="D31" s="387"/>
      <c r="E31" s="387"/>
      <c r="F31" s="387"/>
      <c r="J31" t="str">
        <f t="shared" si="3"/>
        <v>Trd_car_gsl-hyb</v>
      </c>
      <c r="K31" t="str">
        <f t="shared" si="4"/>
        <v>\I:</v>
      </c>
      <c r="L31" t="str">
        <f t="shared" si="5"/>
        <v>\I:</v>
      </c>
      <c r="M31" s="390" t="str">
        <f t="shared" si="6"/>
        <v/>
      </c>
      <c r="N31" s="390" t="str">
        <f t="shared" si="7"/>
        <v/>
      </c>
      <c r="O31" s="390" t="str">
        <f t="shared" si="8"/>
        <v/>
      </c>
      <c r="P31" s="390" t="str">
        <f t="shared" si="9"/>
        <v/>
      </c>
      <c r="U31" s="386"/>
      <c r="X31" t="str">
        <f t="shared" si="1"/>
        <v>\I:</v>
      </c>
      <c r="Y31" t="str">
        <f ca="1" t="shared" si="2"/>
        <v>ICE medium size hybrid gasoline car -- Reduction of specific energy consumption relative to 2015 gasoline vehicle (%)</v>
      </c>
      <c r="Z31" s="388" t="s">
        <v>84</v>
      </c>
      <c r="AA31" s="388" t="s">
        <v>85</v>
      </c>
    </row>
    <row r="32" spans="2:27">
      <c r="B32" s="387"/>
      <c r="C32" s="387"/>
      <c r="D32" s="387"/>
      <c r="E32" s="387"/>
      <c r="F32" s="387"/>
      <c r="J32" t="str">
        <f t="shared" si="3"/>
        <v>Trd_car_gsl-hyb</v>
      </c>
      <c r="K32" t="str">
        <f t="shared" si="4"/>
        <v>\I:</v>
      </c>
      <c r="L32" t="str">
        <f t="shared" si="5"/>
        <v>\I:</v>
      </c>
      <c r="M32" s="390" t="str">
        <f t="shared" si="6"/>
        <v/>
      </c>
      <c r="N32" s="390" t="str">
        <f t="shared" si="7"/>
        <v/>
      </c>
      <c r="O32" s="390" t="str">
        <f t="shared" si="8"/>
        <v/>
      </c>
      <c r="P32" s="390" t="str">
        <f t="shared" si="9"/>
        <v/>
      </c>
      <c r="U32" s="386"/>
      <c r="X32" t="str">
        <f t="shared" si="1"/>
        <v>\I:</v>
      </c>
      <c r="Y32" t="str">
        <f ca="1" t="shared" si="2"/>
        <v>ICE medium size hybrid gasoline car -- 00%</v>
      </c>
      <c r="Z32" s="388" t="s">
        <v>84</v>
      </c>
      <c r="AA32" s="388" t="s">
        <v>85</v>
      </c>
    </row>
    <row r="33" spans="2:27">
      <c r="B33" s="387"/>
      <c r="C33" s="387"/>
      <c r="D33" s="387"/>
      <c r="E33" s="387"/>
      <c r="F33" s="387"/>
      <c r="J33" t="str">
        <f t="shared" si="3"/>
        <v>Trd_car_gsl-hyb</v>
      </c>
      <c r="K33" t="str">
        <f t="shared" si="4"/>
        <v>\I:</v>
      </c>
      <c r="L33" t="str">
        <f t="shared" si="5"/>
        <v>\I:</v>
      </c>
      <c r="M33" s="390" t="str">
        <f t="shared" si="6"/>
        <v/>
      </c>
      <c r="N33" s="390" t="str">
        <f t="shared" si="7"/>
        <v/>
      </c>
      <c r="O33" s="390" t="str">
        <f t="shared" si="8"/>
        <v/>
      </c>
      <c r="P33" s="390" t="str">
        <f t="shared" si="9"/>
        <v/>
      </c>
      <c r="U33" s="386"/>
      <c r="X33" t="str">
        <f t="shared" si="1"/>
        <v>\I:</v>
      </c>
      <c r="Y33" t="str">
        <f ca="1" t="shared" si="2"/>
        <v>ICE medium size hybrid gasoline car -- 00%</v>
      </c>
      <c r="Z33" s="388" t="s">
        <v>84</v>
      </c>
      <c r="AA33" s="388" t="s">
        <v>85</v>
      </c>
    </row>
    <row r="34" spans="2:27">
      <c r="B34" s="88"/>
      <c r="C34" s="51">
        <v>2020</v>
      </c>
      <c r="D34" s="51">
        <v>2030</v>
      </c>
      <c r="E34" s="51">
        <v>2040</v>
      </c>
      <c r="F34" s="51">
        <v>2050</v>
      </c>
      <c r="J34" t="str">
        <f t="shared" si="3"/>
        <v>Trd_car_gsl-hyb</v>
      </c>
      <c r="K34" t="str">
        <f t="shared" si="4"/>
        <v>\I:</v>
      </c>
      <c r="L34" t="str">
        <f t="shared" si="5"/>
        <v>\I:</v>
      </c>
      <c r="M34" s="390" t="str">
        <f t="shared" si="6"/>
        <v/>
      </c>
      <c r="N34" s="390" t="str">
        <f t="shared" si="7"/>
        <v/>
      </c>
      <c r="O34" s="390" t="str">
        <f t="shared" si="8"/>
        <v/>
      </c>
      <c r="P34" s="390" t="str">
        <f t="shared" si="9"/>
        <v/>
      </c>
      <c r="U34" s="386"/>
      <c r="X34" t="str">
        <f t="shared" si="1"/>
        <v>\I:</v>
      </c>
      <c r="Y34" t="str">
        <f ca="1" t="shared" si="2"/>
        <v>ICE medium size hybrid gasoline car -- 00%</v>
      </c>
      <c r="Z34" s="388" t="s">
        <v>84</v>
      </c>
      <c r="AA34" s="388"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90">
        <f t="shared" si="6"/>
        <v>21857.3437291488</v>
      </c>
      <c r="N35" s="390">
        <f t="shared" si="7"/>
        <v>20782.1308961293</v>
      </c>
      <c r="O35" s="390">
        <f t="shared" si="8"/>
        <v>20782.1308961293</v>
      </c>
      <c r="P35" s="390">
        <f t="shared" si="9"/>
        <v>20782.1308961293</v>
      </c>
      <c r="Q35">
        <f t="shared" ref="Q35:Q41" si="12">P35</f>
        <v>20782.1308961293</v>
      </c>
      <c r="R35">
        <v>3</v>
      </c>
      <c r="U35" s="386"/>
      <c r="X35" t="str">
        <f t="shared" si="1"/>
        <v>Trd_car_gsl-hyb_24</v>
      </c>
      <c r="Y35" t="str">
        <f ca="1" t="shared" si="2"/>
        <v>ICE medium size hybrid gasoline car -- 24%</v>
      </c>
      <c r="Z35" s="388" t="s">
        <v>84</v>
      </c>
      <c r="AA35" s="388"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90">
        <f t="shared" si="6"/>
        <v>22033.1168992347</v>
      </c>
      <c r="N36" s="390">
        <f t="shared" si="7"/>
        <v>20950.8914334757</v>
      </c>
      <c r="O36" s="390">
        <f t="shared" si="8"/>
        <v>20950.8914334757</v>
      </c>
      <c r="P36" s="390">
        <f t="shared" si="9"/>
        <v>20950.8914334757</v>
      </c>
      <c r="Q36">
        <f t="shared" si="12"/>
        <v>20950.8914334757</v>
      </c>
      <c r="R36">
        <v>3</v>
      </c>
      <c r="U36" s="386"/>
      <c r="X36" t="str">
        <f t="shared" si="1"/>
        <v>Trd_car_gsl-hyb_34</v>
      </c>
      <c r="Y36" t="str">
        <f ca="1" t="shared" si="2"/>
        <v>ICE medium size hybrid gasoline car -- 34%</v>
      </c>
      <c r="Z36" s="388" t="s">
        <v>84</v>
      </c>
      <c r="AA36" s="388"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90">
        <f t="shared" si="6"/>
        <v>22246.2283331628</v>
      </c>
      <c r="N37" s="390">
        <f t="shared" si="7"/>
        <v>21100.8204868737</v>
      </c>
      <c r="O37" s="390">
        <f t="shared" si="8"/>
        <v>21100.8204868737</v>
      </c>
      <c r="P37" s="390">
        <f t="shared" si="9"/>
        <v>21100.8204868737</v>
      </c>
      <c r="Q37">
        <f t="shared" si="12"/>
        <v>21100.8204868737</v>
      </c>
      <c r="R37">
        <v>3</v>
      </c>
      <c r="U37" s="386"/>
      <c r="X37" t="str">
        <f t="shared" si="1"/>
        <v>Trd_car_gsl-hyb_39</v>
      </c>
      <c r="Y37" t="str">
        <f ca="1" t="shared" si="2"/>
        <v>ICE medium size hybrid gasoline car -- 39%</v>
      </c>
      <c r="Z37" s="388" t="s">
        <v>84</v>
      </c>
      <c r="AA37" s="388"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90">
        <f t="shared" si="6"/>
        <v>22681.2653604884</v>
      </c>
      <c r="N38" s="390">
        <f t="shared" si="7"/>
        <v>21227.4251408085</v>
      </c>
      <c r="O38" s="390">
        <f t="shared" si="8"/>
        <v>21227.4251408085</v>
      </c>
      <c r="P38" s="390">
        <f t="shared" si="9"/>
        <v>21227.4251408085</v>
      </c>
      <c r="Q38">
        <f t="shared" si="12"/>
        <v>21227.4251408085</v>
      </c>
      <c r="R38">
        <v>3</v>
      </c>
      <c r="U38" s="386"/>
      <c r="X38" t="str">
        <f t="shared" si="1"/>
        <v>Trd_car_gsl-hyb_44</v>
      </c>
      <c r="Y38" t="str">
        <f ca="1" t="shared" si="2"/>
        <v>ICE medium size hybrid gasoline car -- 44%</v>
      </c>
      <c r="Z38" s="388" t="s">
        <v>84</v>
      </c>
      <c r="AA38" s="388"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90">
        <f t="shared" si="6"/>
        <v>23657.6075827596</v>
      </c>
      <c r="N39" s="390">
        <f t="shared" si="7"/>
        <v>21496.8410810268</v>
      </c>
      <c r="O39" s="390">
        <f t="shared" si="8"/>
        <v>21496.8410810268</v>
      </c>
      <c r="P39" s="390">
        <f t="shared" si="9"/>
        <v>21496.8410810268</v>
      </c>
      <c r="Q39">
        <f t="shared" si="12"/>
        <v>21496.8410810268</v>
      </c>
      <c r="R39">
        <v>3</v>
      </c>
      <c r="U39" s="386"/>
      <c r="X39" t="str">
        <f t="shared" si="1"/>
        <v>Trd_car_gsl-hyb_49</v>
      </c>
      <c r="Y39" t="str">
        <f ca="1" t="shared" si="2"/>
        <v>ICE medium size hybrid gasoline car -- 49%</v>
      </c>
      <c r="Z39" s="388" t="s">
        <v>84</v>
      </c>
      <c r="AA39" s="388"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90">
        <f t="shared" si="6"/>
        <v>45787.5851645581</v>
      </c>
      <c r="N40" s="390">
        <f t="shared" si="7"/>
        <v>22147.3500545445</v>
      </c>
      <c r="O40" s="390">
        <f t="shared" si="8"/>
        <v>22147.3500545445</v>
      </c>
      <c r="P40" s="390">
        <f t="shared" si="9"/>
        <v>22147.3500545445</v>
      </c>
      <c r="Q40">
        <f t="shared" si="12"/>
        <v>22147.3500545445</v>
      </c>
      <c r="R40">
        <v>3</v>
      </c>
      <c r="U40" s="386"/>
      <c r="X40" t="str">
        <f t="shared" si="1"/>
        <v>Trd_car_gsl-hyb_54</v>
      </c>
      <c r="Y40" t="str">
        <f ca="1" t="shared" si="2"/>
        <v>ICE medium size hybrid gasoline car -- 54%</v>
      </c>
      <c r="Z40" s="388" t="s">
        <v>84</v>
      </c>
      <c r="AA40" s="388"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90">
        <f t="shared" si="6"/>
        <v>118918.12</v>
      </c>
      <c r="N41" s="390">
        <f t="shared" si="7"/>
        <v>34938.6606193537</v>
      </c>
      <c r="O41" s="390">
        <f t="shared" si="8"/>
        <v>34938.6606193537</v>
      </c>
      <c r="P41" s="390">
        <f t="shared" si="9"/>
        <v>34938.6606193537</v>
      </c>
      <c r="Q41">
        <f t="shared" si="12"/>
        <v>34938.6606193537</v>
      </c>
      <c r="R41">
        <v>3</v>
      </c>
      <c r="U41" s="386"/>
      <c r="X41" t="str">
        <f t="shared" si="1"/>
        <v>Trd_car_gsl-hyb_59</v>
      </c>
      <c r="Y41" t="str">
        <f ca="1" t="shared" si="2"/>
        <v>ICE medium size hybrid gasoline car -- 59%</v>
      </c>
      <c r="Z41" s="388" t="s">
        <v>84</v>
      </c>
      <c r="AA41" s="388" t="s">
        <v>85</v>
      </c>
    </row>
    <row r="42" spans="2:27">
      <c r="C42" s="97"/>
      <c r="D42" s="97"/>
      <c r="E42" s="97"/>
      <c r="F42" s="97"/>
      <c r="J42" t="str">
        <f t="shared" si="3"/>
        <v>Trd_car_gsl-hyb</v>
      </c>
      <c r="K42" t="str">
        <f t="shared" si="4"/>
        <v>\I:</v>
      </c>
      <c r="L42" t="str">
        <f t="shared" si="5"/>
        <v>\I:</v>
      </c>
      <c r="M42" s="390" t="str">
        <f t="shared" si="6"/>
        <v/>
      </c>
      <c r="N42" s="390" t="str">
        <f t="shared" si="7"/>
        <v/>
      </c>
      <c r="O42" s="390" t="str">
        <f t="shared" si="8"/>
        <v/>
      </c>
      <c r="P42" s="390" t="str">
        <f t="shared" si="9"/>
        <v/>
      </c>
      <c r="U42" s="386"/>
      <c r="X42" t="str">
        <f t="shared" si="1"/>
        <v>\I:</v>
      </c>
      <c r="Y42" t="str">
        <f ca="1" t="shared" si="2"/>
        <v>ICE medium size hybrid gasoline car -- 00%</v>
      </c>
      <c r="Z42" s="388" t="s">
        <v>84</v>
      </c>
      <c r="AA42" s="388" t="s">
        <v>85</v>
      </c>
    </row>
    <row r="43" spans="2:27">
      <c r="J43" t="str">
        <f t="shared" si="3"/>
        <v>Trd_car_gsl-hyb</v>
      </c>
      <c r="K43" t="str">
        <f t="shared" si="4"/>
        <v>\I:</v>
      </c>
      <c r="L43" t="str">
        <f t="shared" si="5"/>
        <v>\I:</v>
      </c>
      <c r="M43" s="390" t="str">
        <f t="shared" si="6"/>
        <v/>
      </c>
      <c r="N43" s="390" t="str">
        <f t="shared" si="7"/>
        <v/>
      </c>
      <c r="O43" s="390" t="str">
        <f t="shared" si="8"/>
        <v/>
      </c>
      <c r="P43" s="390" t="str">
        <f t="shared" si="9"/>
        <v/>
      </c>
      <c r="U43" s="386"/>
      <c r="X43" t="str">
        <f t="shared" si="1"/>
        <v>\I:</v>
      </c>
      <c r="Y43" t="str">
        <f ca="1" t="shared" si="2"/>
        <v>ICE medium size hybrid gasoline car -- 00%</v>
      </c>
      <c r="Z43" s="388" t="s">
        <v>84</v>
      </c>
      <c r="AA43" s="388" t="s">
        <v>85</v>
      </c>
    </row>
    <row r="44" spans="2:27">
      <c r="J44" t="str">
        <f t="shared" si="3"/>
        <v>Trd_car_gsl-hyb</v>
      </c>
      <c r="K44" t="str">
        <f t="shared" si="4"/>
        <v>\I:</v>
      </c>
      <c r="L44" t="str">
        <f t="shared" si="5"/>
        <v>\I:</v>
      </c>
      <c r="M44" s="390" t="str">
        <f t="shared" si="6"/>
        <v/>
      </c>
      <c r="N44" s="390" t="str">
        <f t="shared" si="7"/>
        <v/>
      </c>
      <c r="O44" s="390" t="str">
        <f t="shared" si="8"/>
        <v/>
      </c>
      <c r="P44" s="390" t="str">
        <f t="shared" si="9"/>
        <v/>
      </c>
      <c r="U44" s="386"/>
      <c r="X44" t="str">
        <f t="shared" si="1"/>
        <v>\I:</v>
      </c>
      <c r="Y44" t="str">
        <f ca="1" t="shared" si="2"/>
        <v>ICE medium size hybrid gasoline car -- 00%</v>
      </c>
      <c r="Z44" s="388" t="s">
        <v>84</v>
      </c>
      <c r="AA44" s="388" t="s">
        <v>85</v>
      </c>
    </row>
    <row r="45" spans="2:27">
      <c r="J45" t="str">
        <f t="shared" si="3"/>
        <v>Trd_car_gsl-hyb</v>
      </c>
      <c r="K45" t="str">
        <f t="shared" si="4"/>
        <v>\I:</v>
      </c>
      <c r="L45" t="str">
        <f t="shared" si="5"/>
        <v>\I:</v>
      </c>
      <c r="M45" s="390" t="str">
        <f t="shared" si="6"/>
        <v/>
      </c>
      <c r="N45" s="390" t="str">
        <f t="shared" si="7"/>
        <v/>
      </c>
      <c r="O45" s="390" t="str">
        <f t="shared" si="8"/>
        <v/>
      </c>
      <c r="P45" s="390" t="str">
        <f t="shared" si="9"/>
        <v/>
      </c>
      <c r="U45" s="386"/>
      <c r="X45" t="str">
        <f t="shared" si="1"/>
        <v>\I:</v>
      </c>
      <c r="Y45" t="str">
        <f ca="1" t="shared" si="2"/>
        <v>ICE medium size hybrid gasoline car -- 00%</v>
      </c>
      <c r="Z45" s="388" t="s">
        <v>84</v>
      </c>
      <c r="AA45" s="388" t="s">
        <v>85</v>
      </c>
    </row>
    <row r="46" ht="15" customHeight="1" spans="2:27">
      <c r="B46" s="387" t="s">
        <v>16</v>
      </c>
      <c r="C46" s="387" t="s">
        <v>49</v>
      </c>
      <c r="D46" s="387"/>
      <c r="E46" s="387"/>
      <c r="F46" s="387"/>
      <c r="J46" t="str">
        <f t="shared" si="3"/>
        <v>Trd_car_gsl-pih</v>
      </c>
      <c r="K46" t="str">
        <f t="shared" si="4"/>
        <v>\I:</v>
      </c>
      <c r="L46" t="str">
        <f t="shared" si="5"/>
        <v>\I:</v>
      </c>
      <c r="M46" s="390" t="str">
        <f t="shared" si="6"/>
        <v/>
      </c>
      <c r="N46" s="390" t="str">
        <f t="shared" si="7"/>
        <v/>
      </c>
      <c r="O46" s="390" t="str">
        <f t="shared" si="8"/>
        <v/>
      </c>
      <c r="P46" s="390" t="str">
        <f t="shared" si="9"/>
        <v/>
      </c>
      <c r="U46" s="386"/>
      <c r="X46" t="str">
        <f t="shared" si="1"/>
        <v>\I:</v>
      </c>
      <c r="Y46" t="str">
        <f ca="1" t="shared" si="2"/>
        <v>ICE medium size plug-in hybrid gasoline car -- Reduction of specific energy consumption relative to 2015 gasoline vehicle (%)</v>
      </c>
      <c r="Z46" s="388" t="s">
        <v>84</v>
      </c>
      <c r="AA46" s="388" t="s">
        <v>85</v>
      </c>
    </row>
    <row r="47" spans="2:27">
      <c r="B47" s="387"/>
      <c r="C47" s="387"/>
      <c r="D47" s="387"/>
      <c r="E47" s="387"/>
      <c r="F47" s="387"/>
      <c r="J47" t="str">
        <f t="shared" si="3"/>
        <v>Trd_car_gsl-pih</v>
      </c>
      <c r="K47" t="str">
        <f t="shared" si="4"/>
        <v>\I:</v>
      </c>
      <c r="L47" t="str">
        <f t="shared" si="5"/>
        <v>\I:</v>
      </c>
      <c r="M47" s="390" t="str">
        <f t="shared" si="6"/>
        <v/>
      </c>
      <c r="N47" s="390" t="str">
        <f t="shared" si="7"/>
        <v/>
      </c>
      <c r="O47" s="390" t="str">
        <f t="shared" si="8"/>
        <v/>
      </c>
      <c r="P47" s="390" t="str">
        <f t="shared" si="9"/>
        <v/>
      </c>
      <c r="U47" s="386"/>
      <c r="X47" t="str">
        <f t="shared" si="1"/>
        <v>\I:</v>
      </c>
      <c r="Y47" t="str">
        <f ca="1" t="shared" si="2"/>
        <v>ICE medium size plug-in hybrid gasoline car -- 00%</v>
      </c>
      <c r="Z47" s="388" t="s">
        <v>84</v>
      </c>
      <c r="AA47" s="388" t="s">
        <v>85</v>
      </c>
    </row>
    <row r="48" spans="2:27">
      <c r="B48" s="387"/>
      <c r="C48" s="387"/>
      <c r="D48" s="387"/>
      <c r="E48" s="387"/>
      <c r="F48" s="387"/>
      <c r="J48" t="str">
        <f t="shared" si="3"/>
        <v>Trd_car_gsl-pih</v>
      </c>
      <c r="K48" t="str">
        <f t="shared" si="4"/>
        <v>\I:</v>
      </c>
      <c r="L48" t="str">
        <f t="shared" si="5"/>
        <v>\I:</v>
      </c>
      <c r="M48" s="390" t="str">
        <f t="shared" si="6"/>
        <v/>
      </c>
      <c r="N48" s="390" t="str">
        <f t="shared" si="7"/>
        <v/>
      </c>
      <c r="O48" s="390" t="str">
        <f t="shared" si="8"/>
        <v/>
      </c>
      <c r="P48" s="390" t="str">
        <f t="shared" si="9"/>
        <v/>
      </c>
      <c r="U48" s="386"/>
      <c r="X48" t="str">
        <f t="shared" si="1"/>
        <v>\I:</v>
      </c>
      <c r="Y48" t="str">
        <f ca="1" t="shared" si="2"/>
        <v>ICE medium size plug-in hybrid gasoline car -- 00%</v>
      </c>
      <c r="Z48" s="388" t="s">
        <v>84</v>
      </c>
      <c r="AA48" s="388" t="s">
        <v>85</v>
      </c>
    </row>
    <row r="49" spans="2:27">
      <c r="B49" s="88"/>
      <c r="C49" s="51">
        <v>2020</v>
      </c>
      <c r="D49" s="51">
        <v>2030</v>
      </c>
      <c r="E49" s="51">
        <v>2040</v>
      </c>
      <c r="F49" s="51">
        <v>2050</v>
      </c>
      <c r="J49" t="str">
        <f t="shared" si="3"/>
        <v>Trd_car_gsl-pih</v>
      </c>
      <c r="K49" t="str">
        <f t="shared" si="4"/>
        <v>\I:</v>
      </c>
      <c r="L49" t="str">
        <f t="shared" si="5"/>
        <v>\I:</v>
      </c>
      <c r="M49" s="390" t="str">
        <f t="shared" si="6"/>
        <v/>
      </c>
      <c r="N49" s="390" t="str">
        <f t="shared" si="7"/>
        <v/>
      </c>
      <c r="O49" s="390" t="str">
        <f t="shared" si="8"/>
        <v/>
      </c>
      <c r="P49" s="390" t="str">
        <f t="shared" si="9"/>
        <v/>
      </c>
      <c r="U49" s="386"/>
      <c r="X49" t="str">
        <f t="shared" ref="X49:X80" si="14">K49</f>
        <v>\I:</v>
      </c>
      <c r="Y49" t="str">
        <f ca="1" t="shared" ref="Y49:Y80" si="15">OFFSET($V$1,MATCH(J49,$V$1:$V$11,0)-1,-1)&amp;" -- "&amp;TEXT(B49,"00%")</f>
        <v>ICE medium size plug-in hybrid gasoline car -- 00%</v>
      </c>
      <c r="Z49" s="388" t="s">
        <v>84</v>
      </c>
      <c r="AA49" s="388" t="s">
        <v>85</v>
      </c>
    </row>
    <row r="50" spans="2:27">
      <c r="B50" s="429">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90">
        <f t="shared" si="6"/>
        <v>26539.4776993029</v>
      </c>
      <c r="N50" s="390">
        <f t="shared" si="7"/>
        <v>22587.5779404125</v>
      </c>
      <c r="O50" s="390">
        <f t="shared" si="8"/>
        <v>21510.7791581879</v>
      </c>
      <c r="P50" s="390">
        <f t="shared" si="9"/>
        <v>21196.7246089853</v>
      </c>
      <c r="Q50">
        <f t="shared" ref="Q50:Q57" si="17">P50</f>
        <v>21196.7246089853</v>
      </c>
      <c r="R50">
        <v>3</v>
      </c>
      <c r="U50" s="386"/>
      <c r="X50" t="str">
        <f t="shared" si="14"/>
        <v>Trd_car_gsl-pih_71</v>
      </c>
      <c r="Y50" t="str">
        <f ca="1" t="shared" si="15"/>
        <v>ICE medium size plug-in hybrid gasoline car -- 71%</v>
      </c>
      <c r="Z50" s="388" t="s">
        <v>84</v>
      </c>
      <c r="AA50" s="388" t="s">
        <v>85</v>
      </c>
    </row>
    <row r="51" spans="2:27">
      <c r="B51" s="429">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90">
        <f t="shared" si="6"/>
        <v>26628.2779926644</v>
      </c>
      <c r="N51" s="390">
        <f t="shared" si="7"/>
        <v>22611.9323485899</v>
      </c>
      <c r="O51" s="390">
        <f t="shared" si="8"/>
        <v>21520.1811773365</v>
      </c>
      <c r="P51" s="390">
        <f t="shared" si="9"/>
        <v>21201.000673427</v>
      </c>
      <c r="Q51">
        <f t="shared" si="17"/>
        <v>21201.000673427</v>
      </c>
      <c r="R51">
        <v>3</v>
      </c>
      <c r="U51" s="386"/>
      <c r="X51" t="str">
        <f t="shared" si="14"/>
        <v>Trd_car_gsl-pih_72</v>
      </c>
      <c r="Y51" t="str">
        <f ca="1" t="shared" si="15"/>
        <v>ICE medium size plug-in hybrid gasoline car -- 72%</v>
      </c>
      <c r="Z51" s="388" t="s">
        <v>84</v>
      </c>
      <c r="AA51" s="388" t="s">
        <v>85</v>
      </c>
    </row>
    <row r="52" spans="2:27">
      <c r="B52" s="429">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90">
        <f t="shared" si="6"/>
        <v>26773.522519625</v>
      </c>
      <c r="N52" s="390">
        <f t="shared" si="7"/>
        <v>22633.6537180433</v>
      </c>
      <c r="O52" s="390">
        <f t="shared" si="8"/>
        <v>21527.0530849486</v>
      </c>
      <c r="P52" s="390">
        <f t="shared" si="9"/>
        <v>21202.7110068848</v>
      </c>
      <c r="Q52">
        <f t="shared" si="17"/>
        <v>21202.7110068848</v>
      </c>
      <c r="R52">
        <v>3</v>
      </c>
      <c r="U52" s="386"/>
      <c r="X52" t="str">
        <f t="shared" si="14"/>
        <v>Trd_car_gsl-pih_73</v>
      </c>
      <c r="Y52" t="str">
        <f ca="1" t="shared" si="15"/>
        <v>ICE medium size plug-in hybrid gasoline car -- 73%</v>
      </c>
      <c r="Z52" s="388" t="s">
        <v>84</v>
      </c>
      <c r="AA52" s="388" t="s">
        <v>85</v>
      </c>
    </row>
    <row r="53" spans="2:27">
      <c r="B53" s="429">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90">
        <f t="shared" si="6"/>
        <v>26989.6744690472</v>
      </c>
      <c r="N53" s="390">
        <f t="shared" si="7"/>
        <v>22654.2157331532</v>
      </c>
      <c r="O53" s="390">
        <f t="shared" si="8"/>
        <v>21537.4777446133</v>
      </c>
      <c r="P53" s="390">
        <f t="shared" si="9"/>
        <v>21209.7768815691</v>
      </c>
      <c r="Q53">
        <f t="shared" si="17"/>
        <v>21209.7768815691</v>
      </c>
      <c r="R53">
        <v>3</v>
      </c>
      <c r="U53" s="386"/>
      <c r="X53" t="str">
        <f t="shared" si="14"/>
        <v>Trd_car_gsl-pih_74</v>
      </c>
      <c r="Y53" t="str">
        <f ca="1" t="shared" si="15"/>
        <v>ICE medium size plug-in hybrid gasoline car -- 74%</v>
      </c>
      <c r="Z53" s="388" t="s">
        <v>84</v>
      </c>
      <c r="AA53" s="388" t="s">
        <v>85</v>
      </c>
    </row>
    <row r="54" spans="2:27">
      <c r="B54" s="429">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90">
        <f t="shared" si="6"/>
        <v>27401.4001530307</v>
      </c>
      <c r="N54" s="390">
        <f t="shared" si="7"/>
        <v>22660.3968650687</v>
      </c>
      <c r="O54" s="390">
        <f t="shared" si="8"/>
        <v>21543.4172520826</v>
      </c>
      <c r="P54" s="390">
        <f t="shared" si="9"/>
        <v>21215.8000066854</v>
      </c>
      <c r="Q54">
        <f t="shared" si="17"/>
        <v>21215.8000066854</v>
      </c>
      <c r="R54">
        <v>3</v>
      </c>
      <c r="U54" s="386"/>
      <c r="X54" t="str">
        <f t="shared" si="14"/>
        <v>Trd_car_gsl-pih_75</v>
      </c>
      <c r="Y54" t="str">
        <f ca="1" t="shared" si="15"/>
        <v>ICE medium size plug-in hybrid gasoline car -- 75%</v>
      </c>
      <c r="Z54" s="388" t="s">
        <v>84</v>
      </c>
      <c r="AA54" s="388" t="s">
        <v>85</v>
      </c>
    </row>
    <row r="55" spans="2:27">
      <c r="B55" s="429">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90">
        <f t="shared" si="6"/>
        <v>73086.7752868817</v>
      </c>
      <c r="N55" s="390">
        <f t="shared" si="7"/>
        <v>23523.7845036998</v>
      </c>
      <c r="O55" s="390">
        <f t="shared" si="8"/>
        <v>22095.4342540872</v>
      </c>
      <c r="P55" s="390">
        <f t="shared" si="9"/>
        <v>21671.3185501023</v>
      </c>
      <c r="Q55">
        <f t="shared" si="17"/>
        <v>21671.3185501023</v>
      </c>
      <c r="R55">
        <v>3</v>
      </c>
      <c r="U55" s="386"/>
      <c r="X55" t="str">
        <f t="shared" si="14"/>
        <v>Trd_car_gsl-pih_80</v>
      </c>
      <c r="Y55" t="str">
        <f ca="1" t="shared" si="15"/>
        <v>ICE medium size plug-in hybrid gasoline car -- 80%</v>
      </c>
      <c r="Z55" s="388" t="s">
        <v>84</v>
      </c>
      <c r="AA55" s="388" t="s">
        <v>85</v>
      </c>
    </row>
    <row r="56" spans="2:27">
      <c r="B56" s="429">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90">
        <f t="shared" si="6"/>
        <v>108076.535841584</v>
      </c>
      <c r="N56" s="390">
        <f t="shared" si="7"/>
        <v>23678.9935851968</v>
      </c>
      <c r="O56" s="390">
        <f t="shared" si="8"/>
        <v>22244.5761121578</v>
      </c>
      <c r="P56" s="390">
        <f t="shared" si="9"/>
        <v>21822.5600589121</v>
      </c>
      <c r="Q56">
        <f t="shared" si="17"/>
        <v>21822.5600589121</v>
      </c>
      <c r="R56">
        <v>3</v>
      </c>
      <c r="U56" s="386"/>
      <c r="X56" t="str">
        <f t="shared" si="14"/>
        <v>Trd_car_gsl-pih_81</v>
      </c>
      <c r="Y56" t="str">
        <f ca="1" t="shared" si="15"/>
        <v>ICE medium size plug-in hybrid gasoline car -- 81%</v>
      </c>
      <c r="Z56" s="388" t="s">
        <v>84</v>
      </c>
      <c r="AA56" s="388" t="s">
        <v>85</v>
      </c>
    </row>
    <row r="57" spans="2:27">
      <c r="B57" s="433">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90">
        <f t="shared" si="6"/>
        <v>108076.535841584</v>
      </c>
      <c r="N57" s="390">
        <f t="shared" si="7"/>
        <v>42903.2293099449</v>
      </c>
      <c r="O57" s="390">
        <f t="shared" si="8"/>
        <v>40717.324023051</v>
      </c>
      <c r="P57" s="390">
        <f t="shared" si="9"/>
        <v>40555.3712364839</v>
      </c>
      <c r="Q57">
        <f t="shared" si="17"/>
        <v>40555.3712364839</v>
      </c>
      <c r="R57">
        <v>3</v>
      </c>
      <c r="U57" s="386"/>
      <c r="X57" t="str">
        <f t="shared" si="14"/>
        <v>Trd_car_gsl-pih_82</v>
      </c>
      <c r="Y57" t="str">
        <f ca="1" t="shared" si="15"/>
        <v>ICE medium size plug-in hybrid gasoline car -- 82%</v>
      </c>
      <c r="Z57" s="388" t="s">
        <v>84</v>
      </c>
      <c r="AA57" s="388" t="s">
        <v>85</v>
      </c>
    </row>
    <row r="58" spans="2:27">
      <c r="J58" t="str">
        <f t="shared" si="3"/>
        <v>Trd_car_gsl-pih</v>
      </c>
      <c r="K58" t="str">
        <f t="shared" si="4"/>
        <v>\I:</v>
      </c>
      <c r="L58" t="str">
        <f t="shared" si="5"/>
        <v>\I:</v>
      </c>
      <c r="M58" s="390" t="str">
        <f t="shared" si="6"/>
        <v/>
      </c>
      <c r="N58" s="390" t="str">
        <f t="shared" si="7"/>
        <v/>
      </c>
      <c r="O58" s="390" t="str">
        <f t="shared" si="8"/>
        <v/>
      </c>
      <c r="P58" s="390" t="str">
        <f t="shared" si="9"/>
        <v/>
      </c>
      <c r="U58" s="386"/>
      <c r="X58" t="str">
        <f t="shared" si="14"/>
        <v>\I:</v>
      </c>
      <c r="Y58" t="str">
        <f ca="1" t="shared" si="15"/>
        <v>ICE medium size plug-in hybrid gasoline car -- 00%</v>
      </c>
      <c r="Z58" s="388" t="s">
        <v>84</v>
      </c>
      <c r="AA58" s="388" t="s">
        <v>85</v>
      </c>
    </row>
    <row r="59" spans="2:27">
      <c r="J59" t="str">
        <f t="shared" si="3"/>
        <v>Trd_car_gsl-pih</v>
      </c>
      <c r="K59" t="str">
        <f t="shared" si="4"/>
        <v>\I:</v>
      </c>
      <c r="L59" t="str">
        <f t="shared" si="5"/>
        <v>\I:</v>
      </c>
      <c r="M59" s="390" t="str">
        <f t="shared" si="6"/>
        <v/>
      </c>
      <c r="N59" s="390" t="str">
        <f t="shared" si="7"/>
        <v/>
      </c>
      <c r="O59" s="390" t="str">
        <f t="shared" si="8"/>
        <v/>
      </c>
      <c r="P59" s="390" t="str">
        <f t="shared" si="9"/>
        <v/>
      </c>
      <c r="U59" s="386"/>
      <c r="X59" t="str">
        <f t="shared" si="14"/>
        <v>\I:</v>
      </c>
      <c r="Y59" t="str">
        <f ca="1" t="shared" si="15"/>
        <v>ICE medium size plug-in hybrid gasoline car -- 00%</v>
      </c>
      <c r="Z59" s="388" t="s">
        <v>84</v>
      </c>
      <c r="AA59" s="388" t="s">
        <v>85</v>
      </c>
    </row>
    <row r="60" spans="2:27">
      <c r="J60" t="str">
        <f t="shared" si="3"/>
        <v>Trd_car_gsl-pih</v>
      </c>
      <c r="K60" t="str">
        <f t="shared" si="4"/>
        <v>\I:</v>
      </c>
      <c r="L60" t="str">
        <f t="shared" si="5"/>
        <v>\I:</v>
      </c>
      <c r="M60" s="390" t="str">
        <f t="shared" si="6"/>
        <v/>
      </c>
      <c r="N60" s="390" t="str">
        <f t="shared" si="7"/>
        <v/>
      </c>
      <c r="O60" s="390" t="str">
        <f t="shared" si="8"/>
        <v/>
      </c>
      <c r="P60" s="390" t="str">
        <f t="shared" si="9"/>
        <v/>
      </c>
      <c r="U60" s="386"/>
      <c r="X60" t="str">
        <f t="shared" si="14"/>
        <v>\I:</v>
      </c>
      <c r="Y60" t="str">
        <f ca="1" t="shared" si="15"/>
        <v>ICE medium size plug-in hybrid gasoline car -- 00%</v>
      </c>
      <c r="Z60" s="388" t="s">
        <v>84</v>
      </c>
      <c r="AA60" s="388" t="s">
        <v>85</v>
      </c>
    </row>
    <row r="61" spans="2:27">
      <c r="J61" t="str">
        <f t="shared" si="3"/>
        <v>Trd_car_gsl-pih</v>
      </c>
      <c r="K61" t="str">
        <f t="shared" si="4"/>
        <v>\I:</v>
      </c>
      <c r="L61" t="str">
        <f t="shared" si="5"/>
        <v>\I:</v>
      </c>
      <c r="M61" s="390" t="str">
        <f t="shared" si="6"/>
        <v/>
      </c>
      <c r="N61" s="390" t="str">
        <f t="shared" si="7"/>
        <v/>
      </c>
      <c r="O61" s="390" t="str">
        <f t="shared" si="8"/>
        <v/>
      </c>
      <c r="P61" s="390" t="str">
        <f t="shared" si="9"/>
        <v/>
      </c>
      <c r="U61" s="386"/>
      <c r="X61" t="str">
        <f t="shared" si="14"/>
        <v>\I:</v>
      </c>
      <c r="Y61" t="str">
        <f ca="1" t="shared" si="15"/>
        <v>ICE medium size plug-in hybrid gasoline car -- 00%</v>
      </c>
      <c r="Z61" s="388" t="s">
        <v>84</v>
      </c>
      <c r="AA61" s="388" t="s">
        <v>85</v>
      </c>
    </row>
    <row r="62" spans="2:27">
      <c r="B62" s="44" t="s">
        <v>86</v>
      </c>
      <c r="J62" t="str">
        <f t="shared" si="3"/>
        <v>Trd_car_gsl-pih</v>
      </c>
      <c r="K62" t="str">
        <f t="shared" si="4"/>
        <v>\I:</v>
      </c>
      <c r="L62" t="str">
        <f t="shared" si="5"/>
        <v>\I:</v>
      </c>
      <c r="M62" s="390" t="str">
        <f t="shared" si="6"/>
        <v/>
      </c>
      <c r="N62" s="390" t="str">
        <f t="shared" si="7"/>
        <v/>
      </c>
      <c r="O62" s="390" t="str">
        <f t="shared" si="8"/>
        <v/>
      </c>
      <c r="P62" s="390" t="str">
        <f t="shared" si="9"/>
        <v/>
      </c>
      <c r="U62" s="386"/>
      <c r="X62" t="str">
        <f t="shared" si="14"/>
        <v>\I:</v>
      </c>
      <c r="Y62" t="str">
        <f ca="1" t="shared" si="15"/>
        <v>ICE medium size plug-in hybrid gasoline car -- Reference values for medium size ICE diesel </v>
      </c>
      <c r="Z62" s="388" t="s">
        <v>84</v>
      </c>
      <c r="AA62" s="388" t="s">
        <v>85</v>
      </c>
    </row>
    <row r="63" spans="2:27">
      <c r="B63" s="381">
        <v>2015</v>
      </c>
      <c r="C63" s="381"/>
      <c r="D63" s="381"/>
      <c r="J63" t="str">
        <f t="shared" si="3"/>
        <v>Trd_car_gsl-pih</v>
      </c>
      <c r="K63" t="str">
        <f t="shared" si="4"/>
        <v>\I:</v>
      </c>
      <c r="L63" t="str">
        <f t="shared" si="5"/>
        <v>\I:</v>
      </c>
      <c r="M63" s="390" t="str">
        <f t="shared" si="6"/>
        <v/>
      </c>
      <c r="N63" s="390" t="str">
        <f t="shared" si="7"/>
        <v/>
      </c>
      <c r="O63" s="390" t="str">
        <f t="shared" si="8"/>
        <v/>
      </c>
      <c r="P63" s="390" t="str">
        <f t="shared" si="9"/>
        <v/>
      </c>
      <c r="U63" s="386"/>
      <c r="X63" t="str">
        <f t="shared" si="14"/>
        <v>\I:</v>
      </c>
      <c r="Y63" t="str">
        <f ca="1" t="shared" si="15"/>
        <v>ICE medium size plug-in hybrid gasoline car -- 201500%</v>
      </c>
      <c r="Z63" s="388" t="s">
        <v>84</v>
      </c>
      <c r="AA63" s="388" t="s">
        <v>85</v>
      </c>
    </row>
    <row r="64" spans="2:27">
      <c r="B64" s="46" t="s">
        <v>12</v>
      </c>
      <c r="C64" s="47" t="s">
        <v>13</v>
      </c>
      <c r="D64" s="48">
        <v>4.98666897284823</v>
      </c>
      <c r="G64" s="75">
        <f>D64*$I$4/100*10^9/10^6</f>
        <v>1.89493420968233</v>
      </c>
      <c r="H64" s="75"/>
      <c r="I64" s="431">
        <f>1/G64</f>
        <v>0.527722806887128</v>
      </c>
      <c r="J64" t="str">
        <f t="shared" si="3"/>
        <v>Trd_car_gsl-pih</v>
      </c>
      <c r="K64" t="str">
        <f t="shared" si="4"/>
        <v>\I:</v>
      </c>
      <c r="L64" t="str">
        <f t="shared" si="5"/>
        <v>\I:</v>
      </c>
      <c r="M64" s="390" t="str">
        <f t="shared" si="6"/>
        <v/>
      </c>
      <c r="N64" s="390" t="str">
        <f t="shared" si="7"/>
        <v/>
      </c>
      <c r="O64" s="390" t="str">
        <f t="shared" si="8"/>
        <v/>
      </c>
      <c r="P64" s="390" t="str">
        <f t="shared" si="9"/>
        <v/>
      </c>
      <c r="U64" s="386"/>
      <c r="X64" t="str">
        <f t="shared" si="14"/>
        <v>\I:</v>
      </c>
      <c r="Y64" t="str">
        <f ca="1" t="shared" si="15"/>
        <v>ICE medium size plug-in hybrid gasoline car -- Energy consumption</v>
      </c>
      <c r="Z64" s="388" t="s">
        <v>84</v>
      </c>
      <c r="AA64" s="388" t="s">
        <v>85</v>
      </c>
    </row>
    <row r="65" spans="2:27">
      <c r="B65" s="46" t="s">
        <v>14</v>
      </c>
      <c r="C65" s="47" t="s">
        <v>15</v>
      </c>
      <c r="D65" s="68">
        <v>21914.2647910521</v>
      </c>
      <c r="I65" s="393" t="s">
        <v>70</v>
      </c>
      <c r="J65" t="str">
        <f t="shared" si="3"/>
        <v>Trd_car_gsl-pih</v>
      </c>
      <c r="K65" t="str">
        <f t="shared" si="4"/>
        <v>\I:</v>
      </c>
      <c r="L65" t="str">
        <f t="shared" si="5"/>
        <v>\I:</v>
      </c>
      <c r="M65" s="390" t="str">
        <f t="shared" si="6"/>
        <v/>
      </c>
      <c r="N65" s="390" t="str">
        <f t="shared" si="7"/>
        <v/>
      </c>
      <c r="O65" s="390" t="str">
        <f t="shared" si="8"/>
        <v/>
      </c>
      <c r="P65" s="390" t="str">
        <f t="shared" si="9"/>
        <v/>
      </c>
      <c r="U65" s="386"/>
      <c r="X65" t="str">
        <f t="shared" si="14"/>
        <v>\I:</v>
      </c>
      <c r="Y65" t="str">
        <f ca="1" t="shared" si="15"/>
        <v>ICE medium size plug-in hybrid gasoline car -- Capital cost</v>
      </c>
      <c r="Z65" s="388" t="s">
        <v>84</v>
      </c>
      <c r="AA65" s="388" t="s">
        <v>85</v>
      </c>
    </row>
    <row r="66" spans="2:27">
      <c r="J66" t="str">
        <f t="shared" si="3"/>
        <v>Trd_car_gsl-pih</v>
      </c>
      <c r="K66" t="str">
        <f t="shared" si="4"/>
        <v>\I:</v>
      </c>
      <c r="L66" t="str">
        <f t="shared" si="5"/>
        <v>\I:</v>
      </c>
      <c r="M66" s="390" t="str">
        <f t="shared" si="6"/>
        <v/>
      </c>
      <c r="N66" s="390" t="str">
        <f t="shared" si="7"/>
        <v/>
      </c>
      <c r="O66" s="390" t="str">
        <f t="shared" si="8"/>
        <v/>
      </c>
      <c r="P66" s="390" t="str">
        <f t="shared" si="9"/>
        <v/>
      </c>
      <c r="U66" s="386"/>
      <c r="X66" t="str">
        <f t="shared" si="14"/>
        <v>\I:</v>
      </c>
      <c r="Y66" t="str">
        <f ca="1" t="shared" si="15"/>
        <v>ICE medium size plug-in hybrid gasoline car -- 00%</v>
      </c>
      <c r="Z66" s="388" t="s">
        <v>84</v>
      </c>
      <c r="AA66" s="388" t="s">
        <v>85</v>
      </c>
    </row>
    <row r="67" ht="15" customHeight="1" spans="2:27">
      <c r="B67" s="387" t="s">
        <v>21</v>
      </c>
      <c r="C67" s="387" t="s">
        <v>52</v>
      </c>
      <c r="D67" s="387"/>
      <c r="E67" s="387"/>
      <c r="F67" s="387"/>
      <c r="J67" t="str">
        <f t="shared" si="3"/>
        <v>Trd_car_dsl</v>
      </c>
      <c r="K67" t="str">
        <f t="shared" si="4"/>
        <v>\I:</v>
      </c>
      <c r="L67" t="str">
        <f t="shared" si="5"/>
        <v>\I:</v>
      </c>
      <c r="M67" s="390" t="str">
        <f t="shared" si="6"/>
        <v/>
      </c>
      <c r="N67" s="390" t="str">
        <f t="shared" si="7"/>
        <v/>
      </c>
      <c r="O67" s="390" t="str">
        <f t="shared" si="8"/>
        <v/>
      </c>
      <c r="P67" s="390" t="str">
        <f t="shared" si="9"/>
        <v/>
      </c>
      <c r="U67" s="386"/>
      <c r="X67" t="str">
        <f t="shared" si="14"/>
        <v>\I:</v>
      </c>
      <c r="Y67" t="str">
        <f ca="1" t="shared" si="15"/>
        <v>ICE medium size diesel car -- Reduction of specific energy consumption relative to 2015 diesel vehicle (%)</v>
      </c>
      <c r="Z67" s="388" t="s">
        <v>84</v>
      </c>
      <c r="AA67" s="388" t="s">
        <v>85</v>
      </c>
    </row>
    <row r="68" spans="2:27">
      <c r="B68" s="387"/>
      <c r="C68" s="387"/>
      <c r="D68" s="387"/>
      <c r="E68" s="387"/>
      <c r="F68" s="387"/>
      <c r="J68" t="str">
        <f t="shared" si="3"/>
        <v>Trd_car_dsl</v>
      </c>
      <c r="K68" t="str">
        <f t="shared" si="4"/>
        <v>\I:</v>
      </c>
      <c r="L68" t="str">
        <f t="shared" si="5"/>
        <v>\I:</v>
      </c>
      <c r="M68" s="390" t="str">
        <f t="shared" si="6"/>
        <v/>
      </c>
      <c r="N68" s="390" t="str">
        <f t="shared" si="7"/>
        <v/>
      </c>
      <c r="O68" s="390" t="str">
        <f t="shared" si="8"/>
        <v/>
      </c>
      <c r="P68" s="390" t="str">
        <f t="shared" si="9"/>
        <v/>
      </c>
      <c r="U68" s="386"/>
      <c r="X68" t="str">
        <f t="shared" si="14"/>
        <v>\I:</v>
      </c>
      <c r="Y68" t="str">
        <f ca="1" t="shared" si="15"/>
        <v>ICE medium size diesel car -- 00%</v>
      </c>
      <c r="Z68" s="388" t="s">
        <v>84</v>
      </c>
      <c r="AA68" s="388" t="s">
        <v>85</v>
      </c>
    </row>
    <row r="69" spans="2:27">
      <c r="B69" s="387"/>
      <c r="C69" s="387"/>
      <c r="D69" s="387"/>
      <c r="E69" s="387"/>
      <c r="F69" s="387"/>
      <c r="J69" t="str">
        <f t="shared" si="3"/>
        <v>Trd_car_dsl</v>
      </c>
      <c r="K69" t="str">
        <f t="shared" si="4"/>
        <v>\I:</v>
      </c>
      <c r="L69" t="str">
        <f t="shared" si="5"/>
        <v>\I:</v>
      </c>
      <c r="M69" s="390" t="str">
        <f t="shared" si="6"/>
        <v/>
      </c>
      <c r="N69" s="390" t="str">
        <f t="shared" si="7"/>
        <v/>
      </c>
      <c r="O69" s="390" t="str">
        <f t="shared" si="8"/>
        <v/>
      </c>
      <c r="P69" s="390" t="str">
        <f t="shared" si="9"/>
        <v/>
      </c>
      <c r="U69" s="386"/>
      <c r="X69" t="str">
        <f t="shared" si="14"/>
        <v>\I:</v>
      </c>
      <c r="Y69" t="str">
        <f ca="1" t="shared" si="15"/>
        <v>ICE medium size diesel car -- 00%</v>
      </c>
      <c r="Z69" s="388" t="s">
        <v>84</v>
      </c>
      <c r="AA69" s="388" t="s">
        <v>85</v>
      </c>
    </row>
    <row r="70" spans="2:27">
      <c r="B70" s="88"/>
      <c r="C70" s="51">
        <v>2020</v>
      </c>
      <c r="D70" s="51">
        <v>2030</v>
      </c>
      <c r="E70" s="51">
        <v>2040</v>
      </c>
      <c r="F70" s="51">
        <v>2050</v>
      </c>
      <c r="I70" s="382">
        <v>1</v>
      </c>
      <c r="J70" s="44" t="str">
        <f t="shared" ref="J70" si="18">IFERROR(VLOOKUP(C70,$U$1:$V$11,2,FALSE),J69)</f>
        <v>Trd_car_dsl</v>
      </c>
      <c r="K70" s="44" t="str">
        <f>IFERROR(IF(VALUE(C70)&gt;200,J70&amp;"_"&amp;TEXT(B70*100,"00"),"\I:"),"\I:")</f>
        <v>Trd_car_dsl_00</v>
      </c>
      <c r="L70" t="str">
        <f t="shared" si="5"/>
        <v>Trd_car</v>
      </c>
      <c r="M70" s="427">
        <f>D65</f>
        <v>21914.2647910521</v>
      </c>
      <c r="N70" s="390"/>
      <c r="O70" s="390"/>
      <c r="P70" s="390"/>
      <c r="U70" s="386"/>
      <c r="X70" t="str">
        <f t="shared" si="14"/>
        <v>Trd_car_dsl_00</v>
      </c>
      <c r="Y70" t="str">
        <f ca="1" t="shared" si="15"/>
        <v>ICE medium size diesel car -- 00%</v>
      </c>
      <c r="Z70" s="388" t="s">
        <v>84</v>
      </c>
      <c r="AA70" s="388"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90">
        <f t="shared" si="6"/>
        <v>22692.9991331875</v>
      </c>
      <c r="N71" s="390">
        <f t="shared" si="7"/>
        <v>22131.4789656656</v>
      </c>
      <c r="O71" s="390">
        <f t="shared" si="8"/>
        <v>22131.4789656656</v>
      </c>
      <c r="P71" s="390">
        <f t="shared" si="9"/>
        <v>22131.4789656656</v>
      </c>
      <c r="Q71">
        <f t="shared" ref="Q71:Q75" si="19">P71</f>
        <v>22131.4789656656</v>
      </c>
      <c r="R71">
        <v>3</v>
      </c>
      <c r="U71" s="386"/>
      <c r="X71" t="str">
        <f t="shared" si="14"/>
        <v>Trd_car_dsl_20</v>
      </c>
      <c r="Y71" t="str">
        <f ca="1" t="shared" si="15"/>
        <v>ICE medium size diesel car -- 20%</v>
      </c>
      <c r="Z71" s="388" t="s">
        <v>84</v>
      </c>
      <c r="AA71" s="388"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90">
        <f t="shared" si="6"/>
        <v>24299.0380820457</v>
      </c>
      <c r="N72" s="390">
        <f t="shared" si="7"/>
        <v>22868.8307949444</v>
      </c>
      <c r="O72" s="390">
        <f t="shared" si="8"/>
        <v>22868.8307949444</v>
      </c>
      <c r="P72" s="390">
        <f t="shared" si="9"/>
        <v>22868.8307949444</v>
      </c>
      <c r="Q72">
        <f t="shared" si="19"/>
        <v>22868.8307949444</v>
      </c>
      <c r="R72">
        <v>3</v>
      </c>
      <c r="U72" s="386"/>
      <c r="X72" t="str">
        <f t="shared" si="14"/>
        <v>Trd_car_dsl_30</v>
      </c>
      <c r="Y72" t="str">
        <f ca="1" t="shared" si="15"/>
        <v>ICE medium size diesel car -- 30%</v>
      </c>
      <c r="Z72" s="388" t="s">
        <v>84</v>
      </c>
      <c r="AA72" s="388"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90">
        <f t="shared" si="6"/>
        <v>26423.1165385091</v>
      </c>
      <c r="N73" s="390">
        <f t="shared" si="7"/>
        <v>23526.51219185</v>
      </c>
      <c r="O73" s="390">
        <f t="shared" si="8"/>
        <v>23526.51219185</v>
      </c>
      <c r="P73" s="390">
        <f t="shared" si="9"/>
        <v>23526.51219185</v>
      </c>
      <c r="Q73">
        <f t="shared" si="19"/>
        <v>23526.51219185</v>
      </c>
      <c r="R73">
        <v>3</v>
      </c>
      <c r="U73" s="386"/>
      <c r="X73" t="str">
        <f t="shared" si="14"/>
        <v>Trd_car_dsl_35</v>
      </c>
      <c r="Y73" t="str">
        <f ca="1" t="shared" si="15"/>
        <v>ICE medium size diesel car -- 35%</v>
      </c>
      <c r="Z73" s="388" t="s">
        <v>84</v>
      </c>
      <c r="AA73" s="388"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90">
        <f t="shared" si="6"/>
        <v>39644.745949074</v>
      </c>
      <c r="N74" s="390">
        <f t="shared" si="7"/>
        <v>24942.2235642788</v>
      </c>
      <c r="O74" s="390">
        <f t="shared" si="8"/>
        <v>24942.2235642788</v>
      </c>
      <c r="P74" s="390">
        <f t="shared" si="9"/>
        <v>24942.2235642788</v>
      </c>
      <c r="Q74">
        <f t="shared" si="19"/>
        <v>24942.2235642788</v>
      </c>
      <c r="R74">
        <v>3</v>
      </c>
      <c r="U74" s="386"/>
      <c r="X74" t="str">
        <f t="shared" si="14"/>
        <v>Trd_car_dsl_40</v>
      </c>
      <c r="Y74" t="str">
        <f ca="1" t="shared" si="15"/>
        <v>ICE medium size diesel car -- 40%</v>
      </c>
      <c r="Z74" s="388" t="s">
        <v>84</v>
      </c>
      <c r="AA74" s="388"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90">
        <f t="shared" si="6"/>
        <v>122116.432</v>
      </c>
      <c r="N75" s="390">
        <f t="shared" si="7"/>
        <v>33656.2953808642</v>
      </c>
      <c r="O75" s="390">
        <f t="shared" si="8"/>
        <v>33656.2953808642</v>
      </c>
      <c r="P75" s="390">
        <f t="shared" si="9"/>
        <v>33656.2953808642</v>
      </c>
      <c r="Q75">
        <f t="shared" si="19"/>
        <v>33656.2953808642</v>
      </c>
      <c r="R75">
        <v>3</v>
      </c>
      <c r="U75" s="386"/>
      <c r="X75" t="str">
        <f t="shared" si="14"/>
        <v>Trd_car_dsl_45</v>
      </c>
      <c r="Y75" t="str">
        <f ca="1" t="shared" si="15"/>
        <v>ICE medium size diesel car -- 45%</v>
      </c>
      <c r="Z75" s="388" t="s">
        <v>84</v>
      </c>
      <c r="AA75" s="388" t="s">
        <v>85</v>
      </c>
    </row>
    <row r="76" spans="2:27">
      <c r="C76" s="97"/>
      <c r="D76" s="97"/>
      <c r="E76" s="97"/>
      <c r="F76" s="97"/>
      <c r="J76" t="str">
        <f t="shared" si="3"/>
        <v>Trd_car_dsl</v>
      </c>
      <c r="K76" t="str">
        <f t="shared" si="4"/>
        <v>\I:</v>
      </c>
      <c r="L76" t="str">
        <f t="shared" si="5"/>
        <v>\I:</v>
      </c>
      <c r="M76" s="390" t="str">
        <f t="shared" si="6"/>
        <v/>
      </c>
      <c r="N76" s="390" t="str">
        <f t="shared" si="7"/>
        <v/>
      </c>
      <c r="O76" s="390" t="str">
        <f t="shared" si="8"/>
        <v/>
      </c>
      <c r="P76" s="390" t="str">
        <f t="shared" si="9"/>
        <v/>
      </c>
      <c r="U76" s="386"/>
      <c r="X76" t="str">
        <f t="shared" si="14"/>
        <v>\I:</v>
      </c>
      <c r="Y76" t="str">
        <f ca="1" t="shared" si="15"/>
        <v>ICE medium size diesel car -- 00%</v>
      </c>
      <c r="Z76" s="388" t="s">
        <v>84</v>
      </c>
      <c r="AA76" s="388" t="s">
        <v>85</v>
      </c>
    </row>
    <row r="77" spans="2:27">
      <c r="J77" t="str">
        <f t="shared" si="3"/>
        <v>Trd_car_dsl</v>
      </c>
      <c r="K77" t="str">
        <f t="shared" si="4"/>
        <v>\I:</v>
      </c>
      <c r="L77" t="str">
        <f t="shared" si="5"/>
        <v>\I:</v>
      </c>
      <c r="M77" s="390" t="str">
        <f t="shared" si="6"/>
        <v/>
      </c>
      <c r="N77" s="390" t="str">
        <f t="shared" si="7"/>
        <v/>
      </c>
      <c r="O77" s="390" t="str">
        <f t="shared" si="8"/>
        <v/>
      </c>
      <c r="P77" s="390" t="str">
        <f t="shared" si="9"/>
        <v/>
      </c>
      <c r="U77" s="386"/>
      <c r="X77" t="str">
        <f t="shared" si="14"/>
        <v>\I:</v>
      </c>
      <c r="Y77" t="str">
        <f ca="1" t="shared" si="15"/>
        <v>ICE medium size diesel car -- 00%</v>
      </c>
      <c r="Z77" s="388" t="s">
        <v>84</v>
      </c>
      <c r="AA77" s="388" t="s">
        <v>85</v>
      </c>
    </row>
    <row r="78" spans="2:27">
      <c r="J78" t="str">
        <f t="shared" si="3"/>
        <v>Trd_car_dsl</v>
      </c>
      <c r="K78" t="str">
        <f t="shared" si="4"/>
        <v>\I:</v>
      </c>
      <c r="L78" t="str">
        <f t="shared" si="5"/>
        <v>\I:</v>
      </c>
      <c r="M78" s="390" t="str">
        <f t="shared" si="6"/>
        <v/>
      </c>
      <c r="N78" s="390" t="str">
        <f t="shared" si="7"/>
        <v/>
      </c>
      <c r="O78" s="390" t="str">
        <f t="shared" si="8"/>
        <v/>
      </c>
      <c r="P78" s="390" t="str">
        <f t="shared" si="9"/>
        <v/>
      </c>
      <c r="U78" s="386"/>
      <c r="X78" t="str">
        <f t="shared" si="14"/>
        <v>\I:</v>
      </c>
      <c r="Y78" t="str">
        <f ca="1" t="shared" si="15"/>
        <v>ICE medium size diesel car -- 00%</v>
      </c>
      <c r="Z78" s="388" t="s">
        <v>84</v>
      </c>
      <c r="AA78" s="388" t="s">
        <v>85</v>
      </c>
    </row>
    <row r="79" spans="2:27">
      <c r="J79" t="str">
        <f t="shared" si="3"/>
        <v>Trd_car_dsl</v>
      </c>
      <c r="K79" t="str">
        <f t="shared" si="4"/>
        <v>\I:</v>
      </c>
      <c r="L79" t="str">
        <f t="shared" si="5"/>
        <v>\I:</v>
      </c>
      <c r="M79" s="390" t="str">
        <f t="shared" si="6"/>
        <v/>
      </c>
      <c r="N79" s="390" t="str">
        <f t="shared" si="7"/>
        <v/>
      </c>
      <c r="O79" s="390" t="str">
        <f t="shared" si="8"/>
        <v/>
      </c>
      <c r="P79" s="390" t="str">
        <f t="shared" si="9"/>
        <v/>
      </c>
      <c r="U79" s="386"/>
      <c r="X79" t="str">
        <f t="shared" si="14"/>
        <v>\I:</v>
      </c>
      <c r="Y79" t="str">
        <f ca="1" t="shared" si="15"/>
        <v>ICE medium size diesel car -- 00%</v>
      </c>
      <c r="Z79" s="388" t="s">
        <v>84</v>
      </c>
      <c r="AA79" s="388" t="s">
        <v>85</v>
      </c>
    </row>
    <row r="80" ht="15" customHeight="1" spans="2:27">
      <c r="B80" s="387" t="s">
        <v>21</v>
      </c>
      <c r="C80" s="387" t="s">
        <v>55</v>
      </c>
      <c r="D80" s="387"/>
      <c r="E80" s="387"/>
      <c r="F80" s="387"/>
      <c r="J80" t="str">
        <f t="shared" si="3"/>
        <v>Trd_car_dsl-hyb</v>
      </c>
      <c r="K80" t="str">
        <f t="shared" si="4"/>
        <v>\I:</v>
      </c>
      <c r="L80" t="str">
        <f t="shared" si="5"/>
        <v>\I:</v>
      </c>
      <c r="M80" s="390" t="str">
        <f t="shared" si="6"/>
        <v/>
      </c>
      <c r="N80" s="390" t="str">
        <f t="shared" si="7"/>
        <v/>
      </c>
      <c r="O80" s="390" t="str">
        <f t="shared" si="8"/>
        <v/>
      </c>
      <c r="P80" s="390" t="str">
        <f t="shared" si="9"/>
        <v/>
      </c>
      <c r="U80" s="386"/>
      <c r="X80" t="str">
        <f t="shared" si="14"/>
        <v>\I:</v>
      </c>
      <c r="Y80" t="str">
        <f ca="1" t="shared" si="15"/>
        <v>ICE medium size hybrid diesel car -- Reduction of specific energy consumption relative to 2015 diesel vehicle (%)</v>
      </c>
      <c r="Z80" s="388" t="s">
        <v>84</v>
      </c>
      <c r="AA80" s="388" t="s">
        <v>85</v>
      </c>
    </row>
    <row r="81" spans="2:27">
      <c r="B81" s="387"/>
      <c r="C81" s="387"/>
      <c r="D81" s="387"/>
      <c r="E81" s="387"/>
      <c r="F81" s="387"/>
      <c r="J81" t="str">
        <f t="shared" si="3"/>
        <v>Trd_car_dsl-hyb</v>
      </c>
      <c r="K81" t="str">
        <f t="shared" si="4"/>
        <v>\I:</v>
      </c>
      <c r="L81" t="str">
        <f t="shared" si="5"/>
        <v>\I:</v>
      </c>
      <c r="M81" s="390" t="str">
        <f t="shared" si="6"/>
        <v/>
      </c>
      <c r="N81" s="390" t="str">
        <f t="shared" si="7"/>
        <v/>
      </c>
      <c r="O81" s="390" t="str">
        <f t="shared" si="8"/>
        <v/>
      </c>
      <c r="P81" s="390" t="str">
        <f t="shared" si="9"/>
        <v/>
      </c>
      <c r="U81" s="386"/>
      <c r="X81" t="str">
        <f t="shared" ref="X81:X112" si="20">K81</f>
        <v>\I:</v>
      </c>
      <c r="Y81" t="str">
        <f ca="1" t="shared" ref="Y81:Y112" si="21">OFFSET($V$1,MATCH(J81,$V$1:$V$11,0)-1,-1)&amp;" -- "&amp;TEXT(B81,"00%")</f>
        <v>ICE medium size hybrid diesel car -- 00%</v>
      </c>
      <c r="Z81" s="388" t="s">
        <v>84</v>
      </c>
      <c r="AA81" s="388" t="s">
        <v>85</v>
      </c>
    </row>
    <row r="82" spans="2:27">
      <c r="B82" s="387"/>
      <c r="C82" s="387"/>
      <c r="D82" s="387"/>
      <c r="E82" s="387"/>
      <c r="F82" s="387"/>
      <c r="J82" t="str">
        <f t="shared" ref="J82:J145" si="22">IFERROR(VLOOKUP(C82,$U$1:$V$11,2,FALSE),J81)</f>
        <v>Trd_car_dsl-hyb</v>
      </c>
      <c r="K82" t="str">
        <f t="shared" ref="K82:K145" si="23">IFERROR(IF(VALUE(C82)&gt;2020,J82&amp;"_"&amp;TEXT(B82*100,"00"),"\I:"),"\I:")</f>
        <v>\I:</v>
      </c>
      <c r="L82" t="str">
        <f t="shared" ref="L82:L145" si="24">LEFT(K82,7)</f>
        <v>\I:</v>
      </c>
      <c r="M82" s="390" t="str">
        <f t="shared" ref="M82:M145" si="25">IF($K82="\I:","",C82)</f>
        <v/>
      </c>
      <c r="N82" s="390" t="str">
        <f t="shared" ref="N82:N145" si="26">IF($K82="\I:","",D82)</f>
        <v/>
      </c>
      <c r="O82" s="390" t="str">
        <f t="shared" ref="O82:O145" si="27">IF($K82="\I:","",E82)</f>
        <v/>
      </c>
      <c r="P82" s="390" t="str">
        <f t="shared" ref="P82:P145" si="28">IF($K82="\I:","",F82)</f>
        <v/>
      </c>
      <c r="U82" s="386"/>
      <c r="X82" t="str">
        <f t="shared" si="20"/>
        <v>\I:</v>
      </c>
      <c r="Y82" t="str">
        <f ca="1" t="shared" si="21"/>
        <v>ICE medium size hybrid diesel car -- 00%</v>
      </c>
      <c r="Z82" s="388" t="s">
        <v>84</v>
      </c>
      <c r="AA82" s="388" t="s">
        <v>85</v>
      </c>
    </row>
    <row r="83" spans="2:27">
      <c r="B83" s="88"/>
      <c r="C83" s="51">
        <v>2020</v>
      </c>
      <c r="D83" s="51">
        <v>2030</v>
      </c>
      <c r="E83" s="51">
        <v>2040</v>
      </c>
      <c r="F83" s="51">
        <v>2050</v>
      </c>
      <c r="J83" t="str">
        <f t="shared" si="22"/>
        <v>Trd_car_dsl-hyb</v>
      </c>
      <c r="K83" t="str">
        <f t="shared" si="23"/>
        <v>\I:</v>
      </c>
      <c r="L83" t="str">
        <f t="shared" si="24"/>
        <v>\I:</v>
      </c>
      <c r="M83" s="390" t="str">
        <f t="shared" si="25"/>
        <v/>
      </c>
      <c r="N83" s="390" t="str">
        <f t="shared" si="26"/>
        <v/>
      </c>
      <c r="O83" s="390" t="str">
        <f t="shared" si="27"/>
        <v/>
      </c>
      <c r="P83" s="390" t="str">
        <f t="shared" si="28"/>
        <v/>
      </c>
      <c r="U83" s="386"/>
      <c r="X83" t="str">
        <f t="shared" si="20"/>
        <v>\I:</v>
      </c>
      <c r="Y83" t="str">
        <f ca="1" t="shared" si="21"/>
        <v>ICE medium size hybrid diesel car -- 00%</v>
      </c>
      <c r="Z83" s="388" t="s">
        <v>84</v>
      </c>
      <c r="AA83" s="388"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90">
        <f t="shared" si="25"/>
        <v>25058.7494468874</v>
      </c>
      <c r="N84" s="390">
        <f t="shared" si="26"/>
        <v>23982.6880941969</v>
      </c>
      <c r="O84" s="390">
        <f t="shared" si="27"/>
        <v>23982.6880941969</v>
      </c>
      <c r="P84" s="390">
        <f t="shared" si="28"/>
        <v>23982.6880941969</v>
      </c>
      <c r="Q84">
        <f t="shared" ref="Q84:Q90" si="30">P84</f>
        <v>23982.6880941969</v>
      </c>
      <c r="R84">
        <v>3</v>
      </c>
      <c r="U84" s="386"/>
      <c r="X84" t="str">
        <f t="shared" si="20"/>
        <v>Trd_car_dsl-hyb_18</v>
      </c>
      <c r="Y84" t="str">
        <f ca="1" t="shared" si="21"/>
        <v>ICE medium size hybrid diesel car -- 18%</v>
      </c>
      <c r="Z84" s="388" t="s">
        <v>84</v>
      </c>
      <c r="AA84" s="388"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90">
        <f t="shared" si="25"/>
        <v>25136.2280373902</v>
      </c>
      <c r="N85" s="390">
        <f t="shared" si="26"/>
        <v>24097.0510525927</v>
      </c>
      <c r="O85" s="390">
        <f t="shared" si="27"/>
        <v>24097.0510525927</v>
      </c>
      <c r="P85" s="390">
        <f t="shared" si="28"/>
        <v>24097.0510525927</v>
      </c>
      <c r="Q85">
        <f t="shared" si="30"/>
        <v>24097.0510525927</v>
      </c>
      <c r="R85">
        <v>3</v>
      </c>
      <c r="U85" s="386"/>
      <c r="X85" t="str">
        <f t="shared" si="20"/>
        <v>Trd_car_dsl-hyb_28</v>
      </c>
      <c r="Y85" t="str">
        <f ca="1" t="shared" si="21"/>
        <v>ICE medium size hybrid diesel car -- 28%</v>
      </c>
      <c r="Z85" s="388" t="s">
        <v>84</v>
      </c>
      <c r="AA85" s="388"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90">
        <f t="shared" si="25"/>
        <v>25231.5365940607</v>
      </c>
      <c r="N86" s="390">
        <f t="shared" si="26"/>
        <v>24214.5141580812</v>
      </c>
      <c r="O86" s="390">
        <f t="shared" si="27"/>
        <v>24214.5141580812</v>
      </c>
      <c r="P86" s="390">
        <f t="shared" si="28"/>
        <v>24214.5141580812</v>
      </c>
      <c r="Q86">
        <f t="shared" si="30"/>
        <v>24214.5141580812</v>
      </c>
      <c r="R86">
        <v>3</v>
      </c>
      <c r="U86" s="386"/>
      <c r="X86" t="str">
        <f t="shared" si="20"/>
        <v>Trd_car_dsl-hyb_33</v>
      </c>
      <c r="Y86" t="str">
        <f ca="1" t="shared" si="21"/>
        <v>ICE medium size hybrid diesel car -- 33%</v>
      </c>
      <c r="Z86" s="388" t="s">
        <v>84</v>
      </c>
      <c r="AA86" s="388"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90">
        <f t="shared" si="25"/>
        <v>25440.7877522533</v>
      </c>
      <c r="N87" s="390">
        <f t="shared" si="26"/>
        <v>24383.7215565591</v>
      </c>
      <c r="O87" s="390">
        <f t="shared" si="27"/>
        <v>24383.7215565591</v>
      </c>
      <c r="P87" s="390">
        <f t="shared" si="28"/>
        <v>24383.7215565591</v>
      </c>
      <c r="Q87">
        <f t="shared" si="30"/>
        <v>24383.7215565591</v>
      </c>
      <c r="R87">
        <v>3</v>
      </c>
      <c r="U87" s="386"/>
      <c r="X87" t="str">
        <f t="shared" si="20"/>
        <v>Trd_car_dsl-hyb_38</v>
      </c>
      <c r="Y87" t="str">
        <f ca="1" t="shared" si="21"/>
        <v>ICE medium size hybrid diesel car -- 38%</v>
      </c>
      <c r="Z87" s="388" t="s">
        <v>84</v>
      </c>
      <c r="AA87" s="388"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90">
        <f t="shared" si="25"/>
        <v>25786.5870673617</v>
      </c>
      <c r="N88" s="390">
        <f t="shared" si="26"/>
        <v>24612.8789983703</v>
      </c>
      <c r="O88" s="390">
        <f t="shared" si="27"/>
        <v>24612.8789983703</v>
      </c>
      <c r="P88" s="390">
        <f t="shared" si="28"/>
        <v>24612.8789983703</v>
      </c>
      <c r="Q88">
        <f t="shared" si="30"/>
        <v>24612.8789983703</v>
      </c>
      <c r="R88">
        <v>3</v>
      </c>
      <c r="U88" s="386"/>
      <c r="X88" t="str">
        <f t="shared" si="20"/>
        <v>Trd_car_dsl-hyb_43</v>
      </c>
      <c r="Y88" t="str">
        <f ca="1" t="shared" si="21"/>
        <v>ICE medium size hybrid diesel car -- 43%</v>
      </c>
      <c r="Z88" s="388" t="s">
        <v>84</v>
      </c>
      <c r="AA88" s="388"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90">
        <f t="shared" si="25"/>
        <v>35085.4217040498</v>
      </c>
      <c r="N89" s="390">
        <f t="shared" si="26"/>
        <v>25042.6899697562</v>
      </c>
      <c r="O89" s="390">
        <f t="shared" si="27"/>
        <v>25042.6899697562</v>
      </c>
      <c r="P89" s="390">
        <f t="shared" si="28"/>
        <v>25042.6899697562</v>
      </c>
      <c r="Q89">
        <f t="shared" si="30"/>
        <v>25042.6899697562</v>
      </c>
      <c r="R89">
        <v>3</v>
      </c>
      <c r="U89" s="386"/>
      <c r="X89" t="str">
        <f t="shared" si="20"/>
        <v>Trd_car_dsl-hyb_48</v>
      </c>
      <c r="Y89" t="str">
        <f ca="1" t="shared" si="21"/>
        <v>ICE medium size hybrid diesel car -- 48%</v>
      </c>
      <c r="Z89" s="388" t="s">
        <v>84</v>
      </c>
      <c r="AA89" s="388"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90">
        <f t="shared" si="25"/>
        <v>117946.536011697</v>
      </c>
      <c r="N90" s="390">
        <f t="shared" si="26"/>
        <v>32577.2698197311</v>
      </c>
      <c r="O90" s="390">
        <f t="shared" si="27"/>
        <v>32577.2698197311</v>
      </c>
      <c r="P90" s="390">
        <f t="shared" si="28"/>
        <v>32577.2698197311</v>
      </c>
      <c r="Q90">
        <f t="shared" si="30"/>
        <v>32577.2698197311</v>
      </c>
      <c r="R90">
        <v>3</v>
      </c>
      <c r="U90" s="386"/>
      <c r="X90" t="str">
        <f t="shared" si="20"/>
        <v>Trd_car_dsl-hyb_53</v>
      </c>
      <c r="Y90" t="str">
        <f ca="1" t="shared" si="21"/>
        <v>ICE medium size hybrid diesel car -- 53%</v>
      </c>
      <c r="Z90" s="388" t="s">
        <v>84</v>
      </c>
      <c r="AA90" s="388" t="s">
        <v>85</v>
      </c>
    </row>
    <row r="91" spans="2:27">
      <c r="C91" s="97"/>
      <c r="D91" s="97"/>
      <c r="E91" s="97"/>
      <c r="F91" s="97"/>
      <c r="J91" t="str">
        <f t="shared" si="22"/>
        <v>Trd_car_dsl-hyb</v>
      </c>
      <c r="K91" t="str">
        <f t="shared" si="23"/>
        <v>\I:</v>
      </c>
      <c r="L91" t="str">
        <f t="shared" si="24"/>
        <v>\I:</v>
      </c>
      <c r="M91" s="390" t="str">
        <f t="shared" si="25"/>
        <v/>
      </c>
      <c r="N91" s="390" t="str">
        <f t="shared" si="26"/>
        <v/>
      </c>
      <c r="O91" s="390" t="str">
        <f t="shared" si="27"/>
        <v/>
      </c>
      <c r="P91" s="390" t="str">
        <f t="shared" si="28"/>
        <v/>
      </c>
      <c r="U91" s="386"/>
      <c r="X91" t="str">
        <f t="shared" si="20"/>
        <v>\I:</v>
      </c>
      <c r="Y91" t="str">
        <f ca="1" t="shared" si="21"/>
        <v>ICE medium size hybrid diesel car -- 00%</v>
      </c>
      <c r="Z91" s="388" t="s">
        <v>84</v>
      </c>
      <c r="AA91" s="388" t="s">
        <v>85</v>
      </c>
    </row>
    <row r="92" spans="2:27">
      <c r="J92" t="str">
        <f t="shared" si="22"/>
        <v>Trd_car_dsl-hyb</v>
      </c>
      <c r="K92" t="str">
        <f t="shared" si="23"/>
        <v>\I:</v>
      </c>
      <c r="L92" t="str">
        <f t="shared" si="24"/>
        <v>\I:</v>
      </c>
      <c r="M92" s="390" t="str">
        <f t="shared" si="25"/>
        <v/>
      </c>
      <c r="N92" s="390" t="str">
        <f t="shared" si="26"/>
        <v/>
      </c>
      <c r="O92" s="390" t="str">
        <f t="shared" si="27"/>
        <v/>
      </c>
      <c r="P92" s="390" t="str">
        <f t="shared" si="28"/>
        <v/>
      </c>
      <c r="U92" s="386"/>
      <c r="X92" t="str">
        <f t="shared" si="20"/>
        <v>\I:</v>
      </c>
      <c r="Y92" t="str">
        <f ca="1" t="shared" si="21"/>
        <v>ICE medium size hybrid diesel car -- 00%</v>
      </c>
      <c r="Z92" s="388" t="s">
        <v>84</v>
      </c>
      <c r="AA92" s="388" t="s">
        <v>85</v>
      </c>
    </row>
    <row r="93" spans="2:27">
      <c r="J93" t="str">
        <f t="shared" si="22"/>
        <v>Trd_car_dsl-hyb</v>
      </c>
      <c r="K93" t="str">
        <f t="shared" si="23"/>
        <v>\I:</v>
      </c>
      <c r="L93" t="str">
        <f t="shared" si="24"/>
        <v>\I:</v>
      </c>
      <c r="M93" s="390" t="str">
        <f t="shared" si="25"/>
        <v/>
      </c>
      <c r="N93" s="390" t="str">
        <f t="shared" si="26"/>
        <v/>
      </c>
      <c r="O93" s="390" t="str">
        <f t="shared" si="27"/>
        <v/>
      </c>
      <c r="P93" s="390" t="str">
        <f t="shared" si="28"/>
        <v/>
      </c>
      <c r="U93" s="386"/>
      <c r="X93" t="str">
        <f t="shared" si="20"/>
        <v>\I:</v>
      </c>
      <c r="Y93" t="str">
        <f ca="1" t="shared" si="21"/>
        <v>ICE medium size hybrid diesel car -- 00%</v>
      </c>
      <c r="Z93" s="388" t="s">
        <v>84</v>
      </c>
      <c r="AA93" s="388" t="s">
        <v>85</v>
      </c>
    </row>
    <row r="94" spans="2:27">
      <c r="J94" t="str">
        <f t="shared" si="22"/>
        <v>Trd_car_dsl-hyb</v>
      </c>
      <c r="K94" t="str">
        <f t="shared" si="23"/>
        <v>\I:</v>
      </c>
      <c r="L94" t="str">
        <f t="shared" si="24"/>
        <v>\I:</v>
      </c>
      <c r="M94" s="390" t="str">
        <f t="shared" si="25"/>
        <v/>
      </c>
      <c r="N94" s="390" t="str">
        <f t="shared" si="26"/>
        <v/>
      </c>
      <c r="O94" s="390" t="str">
        <f t="shared" si="27"/>
        <v/>
      </c>
      <c r="P94" s="390" t="str">
        <f t="shared" si="28"/>
        <v/>
      </c>
      <c r="U94" s="386"/>
      <c r="X94" t="str">
        <f t="shared" si="20"/>
        <v>\I:</v>
      </c>
      <c r="Y94" t="str">
        <f ca="1" t="shared" si="21"/>
        <v>ICE medium size hybrid diesel car -- 00%</v>
      </c>
      <c r="Z94" s="388" t="s">
        <v>84</v>
      </c>
      <c r="AA94" s="388" t="s">
        <v>85</v>
      </c>
    </row>
    <row r="95" ht="15" customHeight="1" spans="2:27">
      <c r="B95" s="387" t="s">
        <v>21</v>
      </c>
      <c r="C95" s="387" t="s">
        <v>58</v>
      </c>
      <c r="D95" s="387"/>
      <c r="E95" s="387"/>
      <c r="F95" s="387"/>
      <c r="J95" t="str">
        <f t="shared" si="22"/>
        <v>Trd_car_dsl-pih</v>
      </c>
      <c r="K95" t="str">
        <f t="shared" si="23"/>
        <v>\I:</v>
      </c>
      <c r="L95" t="str">
        <f t="shared" si="24"/>
        <v>\I:</v>
      </c>
      <c r="M95" s="390" t="str">
        <f t="shared" si="25"/>
        <v/>
      </c>
      <c r="N95" s="390" t="str">
        <f t="shared" si="26"/>
        <v/>
      </c>
      <c r="O95" s="390" t="str">
        <f t="shared" si="27"/>
        <v/>
      </c>
      <c r="P95" s="390" t="str">
        <f t="shared" si="28"/>
        <v/>
      </c>
      <c r="U95" s="386"/>
      <c r="X95" t="str">
        <f t="shared" si="20"/>
        <v>\I:</v>
      </c>
      <c r="Y95" t="str">
        <f ca="1" t="shared" si="21"/>
        <v>ICE medium size plug-in hybrid diesel car -- Reduction of specific energy consumption relative to 2015 diesel vehicle (%)</v>
      </c>
      <c r="Z95" s="388" t="s">
        <v>84</v>
      </c>
      <c r="AA95" s="388" t="s">
        <v>85</v>
      </c>
    </row>
    <row r="96" spans="2:27">
      <c r="B96" s="387"/>
      <c r="C96" s="387"/>
      <c r="D96" s="387"/>
      <c r="E96" s="387"/>
      <c r="F96" s="387"/>
      <c r="J96" t="str">
        <f t="shared" si="22"/>
        <v>Trd_car_dsl-pih</v>
      </c>
      <c r="K96" t="str">
        <f t="shared" si="23"/>
        <v>\I:</v>
      </c>
      <c r="L96" t="str">
        <f t="shared" si="24"/>
        <v>\I:</v>
      </c>
      <c r="M96" s="390" t="str">
        <f t="shared" si="25"/>
        <v/>
      </c>
      <c r="N96" s="390" t="str">
        <f t="shared" si="26"/>
        <v/>
      </c>
      <c r="O96" s="390" t="str">
        <f t="shared" si="27"/>
        <v/>
      </c>
      <c r="P96" s="390" t="str">
        <f t="shared" si="28"/>
        <v/>
      </c>
      <c r="U96" s="386"/>
      <c r="X96" t="str">
        <f t="shared" si="20"/>
        <v>\I:</v>
      </c>
      <c r="Y96" t="str">
        <f ca="1" t="shared" si="21"/>
        <v>ICE medium size plug-in hybrid diesel car -- 00%</v>
      </c>
      <c r="Z96" s="388" t="s">
        <v>84</v>
      </c>
      <c r="AA96" s="388" t="s">
        <v>85</v>
      </c>
    </row>
    <row r="97" spans="2:27">
      <c r="B97" s="387"/>
      <c r="C97" s="387"/>
      <c r="D97" s="387"/>
      <c r="E97" s="387"/>
      <c r="F97" s="387"/>
      <c r="J97" t="str">
        <f t="shared" si="22"/>
        <v>Trd_car_dsl-pih</v>
      </c>
      <c r="K97" t="str">
        <f t="shared" si="23"/>
        <v>\I:</v>
      </c>
      <c r="L97" t="str">
        <f t="shared" si="24"/>
        <v>\I:</v>
      </c>
      <c r="M97" s="390" t="str">
        <f t="shared" si="25"/>
        <v/>
      </c>
      <c r="N97" s="390" t="str">
        <f t="shared" si="26"/>
        <v/>
      </c>
      <c r="O97" s="390" t="str">
        <f t="shared" si="27"/>
        <v/>
      </c>
      <c r="P97" s="390" t="str">
        <f t="shared" si="28"/>
        <v/>
      </c>
      <c r="U97" s="386"/>
      <c r="X97" t="str">
        <f t="shared" si="20"/>
        <v>\I:</v>
      </c>
      <c r="Y97" t="str">
        <f ca="1" t="shared" si="21"/>
        <v>ICE medium size plug-in hybrid diesel car -- 00%</v>
      </c>
      <c r="Z97" s="388" t="s">
        <v>84</v>
      </c>
      <c r="AA97" s="388" t="s">
        <v>85</v>
      </c>
    </row>
    <row r="98" spans="2:27">
      <c r="B98" s="88"/>
      <c r="C98" s="51">
        <v>2020</v>
      </c>
      <c r="D98" s="51">
        <v>2030</v>
      </c>
      <c r="E98" s="51">
        <v>2040</v>
      </c>
      <c r="F98" s="51">
        <v>2050</v>
      </c>
      <c r="J98" t="str">
        <f t="shared" si="22"/>
        <v>Trd_car_dsl-pih</v>
      </c>
      <c r="K98" t="str">
        <f t="shared" si="23"/>
        <v>\I:</v>
      </c>
      <c r="L98" t="str">
        <f t="shared" si="24"/>
        <v>\I:</v>
      </c>
      <c r="M98" s="390" t="str">
        <f t="shared" si="25"/>
        <v/>
      </c>
      <c r="N98" s="390" t="str">
        <f t="shared" si="26"/>
        <v/>
      </c>
      <c r="O98" s="390" t="str">
        <f t="shared" si="27"/>
        <v/>
      </c>
      <c r="P98" s="390" t="str">
        <f t="shared" si="28"/>
        <v/>
      </c>
      <c r="U98" s="386"/>
      <c r="X98" t="str">
        <f t="shared" si="20"/>
        <v>\I:</v>
      </c>
      <c r="Y98" t="str">
        <f ca="1" t="shared" si="21"/>
        <v>ICE medium size plug-in hybrid diesel car -- 00%</v>
      </c>
      <c r="Z98" s="388" t="s">
        <v>84</v>
      </c>
      <c r="AA98" s="388" t="s">
        <v>85</v>
      </c>
    </row>
    <row r="99" spans="2:27">
      <c r="B99" s="429">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90">
        <f t="shared" si="25"/>
        <v>29170.6892983358</v>
      </c>
      <c r="N99" s="390">
        <f t="shared" si="26"/>
        <v>25403.4529654573</v>
      </c>
      <c r="O99" s="390">
        <f t="shared" si="27"/>
        <v>24438.8799330837</v>
      </c>
      <c r="P99" s="390">
        <f t="shared" si="28"/>
        <v>24157.55666837</v>
      </c>
      <c r="Q99">
        <f t="shared" ref="Q99:Q105" si="32">P99</f>
        <v>24157.55666837</v>
      </c>
      <c r="R99">
        <v>3</v>
      </c>
      <c r="U99" s="386"/>
      <c r="X99" t="str">
        <f t="shared" si="20"/>
        <v>Trd_car_dsl-pih_70</v>
      </c>
      <c r="Y99" t="str">
        <f ca="1" t="shared" si="21"/>
        <v>ICE medium size plug-in hybrid diesel car -- 70%</v>
      </c>
      <c r="Z99" s="388" t="s">
        <v>84</v>
      </c>
      <c r="AA99" s="388" t="s">
        <v>85</v>
      </c>
    </row>
    <row r="100" spans="2:27">
      <c r="B100" s="429">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90">
        <f t="shared" si="25"/>
        <v>29227.3194893523</v>
      </c>
      <c r="N100" s="390">
        <f t="shared" si="26"/>
        <v>25418.5790027565</v>
      </c>
      <c r="O100" s="390">
        <f t="shared" si="27"/>
        <v>24443.3817087263</v>
      </c>
      <c r="P100" s="390">
        <f t="shared" si="28"/>
        <v>24158.3535908089</v>
      </c>
      <c r="Q100">
        <f t="shared" si="32"/>
        <v>24158.3535908089</v>
      </c>
      <c r="R100">
        <v>3</v>
      </c>
      <c r="U100" s="386"/>
      <c r="X100" t="str">
        <f t="shared" si="20"/>
        <v>Trd_car_dsl-pih_71</v>
      </c>
      <c r="Y100" t="str">
        <f ca="1" t="shared" si="21"/>
        <v>ICE medium size plug-in hybrid diesel car -- 71%</v>
      </c>
      <c r="Z100" s="388" t="s">
        <v>84</v>
      </c>
      <c r="AA100" s="388" t="s">
        <v>85</v>
      </c>
    </row>
    <row r="101" spans="2:27">
      <c r="B101" s="429">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90">
        <f t="shared" si="25"/>
        <v>29350.9249451451</v>
      </c>
      <c r="N101" s="390">
        <f t="shared" si="26"/>
        <v>25446.4476084895</v>
      </c>
      <c r="O101" s="390">
        <f t="shared" si="27"/>
        <v>24463.4722625811</v>
      </c>
      <c r="P101" s="390">
        <f t="shared" si="28"/>
        <v>24176.2148303079</v>
      </c>
      <c r="Q101">
        <f t="shared" si="32"/>
        <v>24176.2148303079</v>
      </c>
      <c r="R101">
        <v>3</v>
      </c>
      <c r="U101" s="386"/>
      <c r="X101" t="str">
        <f t="shared" si="20"/>
        <v>Trd_car_dsl-pih_72</v>
      </c>
      <c r="Y101" t="str">
        <f ca="1" t="shared" si="21"/>
        <v>ICE medium size plug-in hybrid diesel car -- 72%</v>
      </c>
      <c r="Z101" s="388" t="s">
        <v>84</v>
      </c>
      <c r="AA101" s="388" t="s">
        <v>85</v>
      </c>
    </row>
    <row r="102" spans="2:27">
      <c r="B102" s="429">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90">
        <f t="shared" si="25"/>
        <v>29732.6055916618</v>
      </c>
      <c r="N102" s="390">
        <f t="shared" si="26"/>
        <v>25529.0970397392</v>
      </c>
      <c r="O102" s="390">
        <f t="shared" si="27"/>
        <v>24534.5300615244</v>
      </c>
      <c r="P102" s="390">
        <f t="shared" si="28"/>
        <v>24245.1328042321</v>
      </c>
      <c r="Q102">
        <f t="shared" si="32"/>
        <v>24245.1328042321</v>
      </c>
      <c r="R102">
        <v>3</v>
      </c>
      <c r="U102" s="386"/>
      <c r="X102" t="str">
        <f t="shared" si="20"/>
        <v>Trd_car_dsl-pih_73</v>
      </c>
      <c r="Y102" t="str">
        <f ca="1" t="shared" si="21"/>
        <v>ICE medium size plug-in hybrid diesel car -- 73%</v>
      </c>
      <c r="Z102" s="388" t="s">
        <v>84</v>
      </c>
      <c r="AA102" s="388" t="s">
        <v>85</v>
      </c>
    </row>
    <row r="103" spans="2:27">
      <c r="B103" s="429">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90">
        <f t="shared" si="25"/>
        <v>30854.8981288947</v>
      </c>
      <c r="N103" s="390">
        <f t="shared" si="26"/>
        <v>25641.1808245847</v>
      </c>
      <c r="O103" s="390">
        <f t="shared" si="27"/>
        <v>24650.5932312536</v>
      </c>
      <c r="P103" s="390">
        <f t="shared" si="28"/>
        <v>24365.9701277014</v>
      </c>
      <c r="Q103">
        <f t="shared" si="32"/>
        <v>24365.9701277014</v>
      </c>
      <c r="R103">
        <v>3</v>
      </c>
      <c r="U103" s="386"/>
      <c r="X103" t="str">
        <f t="shared" si="20"/>
        <v>Trd_car_dsl-pih_74</v>
      </c>
      <c r="Y103" t="str">
        <f ca="1" t="shared" si="21"/>
        <v>ICE medium size plug-in hybrid diesel car -- 74%</v>
      </c>
      <c r="Z103" s="388" t="s">
        <v>84</v>
      </c>
      <c r="AA103" s="388" t="s">
        <v>85</v>
      </c>
    </row>
    <row r="104" spans="2:27">
      <c r="B104" s="429">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90">
        <f t="shared" si="25"/>
        <v>103823.332049919</v>
      </c>
      <c r="N104" s="390">
        <f t="shared" si="26"/>
        <v>26945.9567365033</v>
      </c>
      <c r="O104" s="390">
        <f t="shared" si="27"/>
        <v>25607.4793042998</v>
      </c>
      <c r="P104" s="390">
        <f t="shared" si="28"/>
        <v>25224.8219206379</v>
      </c>
      <c r="Q104">
        <f t="shared" si="32"/>
        <v>25224.8219206379</v>
      </c>
      <c r="R104">
        <v>3</v>
      </c>
      <c r="U104" s="386"/>
      <c r="X104" t="str">
        <f t="shared" si="20"/>
        <v>Trd_car_dsl-pih_78</v>
      </c>
      <c r="Y104" t="str">
        <f ca="1" t="shared" si="21"/>
        <v>ICE medium size plug-in hybrid diesel car -- 78%</v>
      </c>
      <c r="Z104" s="388" t="s">
        <v>84</v>
      </c>
      <c r="AA104" s="388" t="s">
        <v>85</v>
      </c>
    </row>
    <row r="105" spans="2:27">
      <c r="B105" s="429">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90">
        <f t="shared" si="25"/>
        <v>111274.847841584</v>
      </c>
      <c r="N105" s="390">
        <f t="shared" si="26"/>
        <v>46386.2300830788</v>
      </c>
      <c r="O105" s="390">
        <f t="shared" si="27"/>
        <v>44287.8197865924</v>
      </c>
      <c r="P105" s="390">
        <f t="shared" si="28"/>
        <v>44168.1482018991</v>
      </c>
      <c r="Q105">
        <f t="shared" si="32"/>
        <v>44168.1482018991</v>
      </c>
      <c r="R105">
        <v>3</v>
      </c>
      <c r="U105" s="386"/>
      <c r="X105" t="str">
        <f t="shared" si="20"/>
        <v>Trd_car_dsl-pih_78</v>
      </c>
      <c r="Y105" t="str">
        <f ca="1" t="shared" si="21"/>
        <v>ICE medium size plug-in hybrid diesel car -- 78%</v>
      </c>
      <c r="Z105" s="388" t="s">
        <v>84</v>
      </c>
      <c r="AA105" s="388" t="s">
        <v>85</v>
      </c>
    </row>
    <row r="106" spans="2:27">
      <c r="C106" s="97"/>
      <c r="D106" s="97"/>
      <c r="E106" s="97"/>
      <c r="F106" s="97"/>
      <c r="J106" t="str">
        <f t="shared" si="22"/>
        <v>Trd_car_dsl-pih</v>
      </c>
      <c r="K106" t="str">
        <f t="shared" si="23"/>
        <v>\I:</v>
      </c>
      <c r="L106" t="str">
        <f t="shared" si="24"/>
        <v>\I:</v>
      </c>
      <c r="M106" s="390" t="str">
        <f t="shared" si="25"/>
        <v/>
      </c>
      <c r="N106" s="390" t="str">
        <f t="shared" si="26"/>
        <v/>
      </c>
      <c r="O106" s="390" t="str">
        <f t="shared" si="27"/>
        <v/>
      </c>
      <c r="P106" s="390" t="str">
        <f t="shared" si="28"/>
        <v/>
      </c>
      <c r="U106" s="386"/>
      <c r="X106" t="str">
        <f t="shared" si="20"/>
        <v>\I:</v>
      </c>
      <c r="Y106" t="str">
        <f ca="1" t="shared" si="21"/>
        <v>ICE medium size plug-in hybrid diesel car -- 00%</v>
      </c>
      <c r="Z106" s="388" t="s">
        <v>84</v>
      </c>
      <c r="AA106" s="388" t="s">
        <v>85</v>
      </c>
    </row>
    <row r="107" spans="2:27">
      <c r="J107" t="str">
        <f t="shared" si="22"/>
        <v>Trd_car_dsl-pih</v>
      </c>
      <c r="K107" t="str">
        <f t="shared" si="23"/>
        <v>\I:</v>
      </c>
      <c r="L107" t="str">
        <f t="shared" si="24"/>
        <v>\I:</v>
      </c>
      <c r="M107" s="390" t="str">
        <f t="shared" si="25"/>
        <v/>
      </c>
      <c r="N107" s="390" t="str">
        <f t="shared" si="26"/>
        <v/>
      </c>
      <c r="O107" s="390" t="str">
        <f t="shared" si="27"/>
        <v/>
      </c>
      <c r="P107" s="390" t="str">
        <f t="shared" si="28"/>
        <v/>
      </c>
      <c r="U107" s="386"/>
      <c r="X107" t="str">
        <f t="shared" si="20"/>
        <v>\I:</v>
      </c>
      <c r="Y107" t="str">
        <f ca="1" t="shared" si="21"/>
        <v>ICE medium size plug-in hybrid diesel car -- 00%</v>
      </c>
      <c r="Z107" s="388" t="s">
        <v>84</v>
      </c>
      <c r="AA107" s="388" t="s">
        <v>85</v>
      </c>
    </row>
    <row r="108" spans="2:27">
      <c r="J108" t="str">
        <f t="shared" si="22"/>
        <v>Trd_car_dsl-pih</v>
      </c>
      <c r="K108" t="str">
        <f t="shared" si="23"/>
        <v>\I:</v>
      </c>
      <c r="L108" t="str">
        <f t="shared" si="24"/>
        <v>\I:</v>
      </c>
      <c r="M108" s="390" t="str">
        <f t="shared" si="25"/>
        <v/>
      </c>
      <c r="N108" s="390" t="str">
        <f t="shared" si="26"/>
        <v/>
      </c>
      <c r="O108" s="390" t="str">
        <f t="shared" si="27"/>
        <v/>
      </c>
      <c r="P108" s="390" t="str">
        <f t="shared" si="28"/>
        <v/>
      </c>
      <c r="U108" s="386"/>
      <c r="X108" t="str">
        <f t="shared" si="20"/>
        <v>\I:</v>
      </c>
      <c r="Y108" t="str">
        <f ca="1" t="shared" si="21"/>
        <v>ICE medium size plug-in hybrid diesel car -- 00%</v>
      </c>
      <c r="Z108" s="388" t="s">
        <v>84</v>
      </c>
      <c r="AA108" s="388" t="s">
        <v>85</v>
      </c>
    </row>
    <row r="109" spans="2:27">
      <c r="J109" t="str">
        <f t="shared" si="22"/>
        <v>Trd_car_dsl-pih</v>
      </c>
      <c r="K109" t="str">
        <f t="shared" si="23"/>
        <v>\I:</v>
      </c>
      <c r="L109" t="str">
        <f t="shared" si="24"/>
        <v>\I:</v>
      </c>
      <c r="M109" s="390" t="str">
        <f t="shared" si="25"/>
        <v/>
      </c>
      <c r="N109" s="390" t="str">
        <f t="shared" si="26"/>
        <v/>
      </c>
      <c r="O109" s="390" t="str">
        <f t="shared" si="27"/>
        <v/>
      </c>
      <c r="P109" s="390" t="str">
        <f t="shared" si="28"/>
        <v/>
      </c>
      <c r="U109" s="386"/>
      <c r="X109" t="str">
        <f t="shared" si="20"/>
        <v>\I:</v>
      </c>
      <c r="Y109" t="str">
        <f ca="1" t="shared" si="21"/>
        <v>ICE medium size plug-in hybrid diesel car -- 00%</v>
      </c>
      <c r="Z109" s="388" t="s">
        <v>84</v>
      </c>
      <c r="AA109" s="388" t="s">
        <v>85</v>
      </c>
    </row>
    <row r="110" spans="2:27">
      <c r="J110" t="str">
        <f t="shared" si="22"/>
        <v>Trd_car_dsl-pih</v>
      </c>
      <c r="K110" t="str">
        <f t="shared" si="23"/>
        <v>\I:</v>
      </c>
      <c r="L110" t="str">
        <f t="shared" si="24"/>
        <v>\I:</v>
      </c>
      <c r="M110" s="390" t="str">
        <f t="shared" si="25"/>
        <v/>
      </c>
      <c r="N110" s="390" t="str">
        <f t="shared" si="26"/>
        <v/>
      </c>
      <c r="O110" s="390" t="str">
        <f t="shared" si="27"/>
        <v/>
      </c>
      <c r="P110" s="390" t="str">
        <f t="shared" si="28"/>
        <v/>
      </c>
      <c r="U110" s="386"/>
      <c r="X110" t="str">
        <f t="shared" si="20"/>
        <v>\I:</v>
      </c>
      <c r="Y110" t="str">
        <f ca="1" t="shared" si="21"/>
        <v>ICE medium size plug-in hybrid diesel car -- 00%</v>
      </c>
      <c r="Z110" s="388" t="s">
        <v>84</v>
      </c>
      <c r="AA110" s="388" t="s">
        <v>85</v>
      </c>
    </row>
    <row r="111" spans="2:27">
      <c r="B111" s="44" t="s">
        <v>87</v>
      </c>
      <c r="J111" t="str">
        <f t="shared" si="22"/>
        <v>Trd_car_dsl-pih</v>
      </c>
      <c r="K111" t="str">
        <f t="shared" si="23"/>
        <v>\I:</v>
      </c>
      <c r="L111" t="str">
        <f t="shared" si="24"/>
        <v>\I:</v>
      </c>
      <c r="M111" s="390" t="str">
        <f t="shared" si="25"/>
        <v/>
      </c>
      <c r="N111" s="390" t="str">
        <f t="shared" si="26"/>
        <v/>
      </c>
      <c r="O111" s="390" t="str">
        <f t="shared" si="27"/>
        <v/>
      </c>
      <c r="P111" s="390" t="str">
        <f t="shared" si="28"/>
        <v/>
      </c>
      <c r="U111" s="386"/>
      <c r="X111" t="str">
        <f t="shared" si="20"/>
        <v>\I:</v>
      </c>
      <c r="Y111" t="str">
        <f ca="1" t="shared" si="21"/>
        <v>ICE medium size plug-in hybrid diesel car -- Reference values for medium size CNG</v>
      </c>
      <c r="Z111" s="388" t="s">
        <v>84</v>
      </c>
      <c r="AA111" s="388" t="s">
        <v>85</v>
      </c>
    </row>
    <row r="112" spans="2:27">
      <c r="B112" s="381">
        <v>2015</v>
      </c>
      <c r="C112" s="381"/>
      <c r="D112" s="381"/>
      <c r="J112" t="str">
        <f t="shared" si="22"/>
        <v>Trd_car_dsl-pih</v>
      </c>
      <c r="K112" t="str">
        <f t="shared" si="23"/>
        <v>\I:</v>
      </c>
      <c r="L112" t="str">
        <f t="shared" si="24"/>
        <v>\I:</v>
      </c>
      <c r="M112" s="390" t="str">
        <f t="shared" si="25"/>
        <v/>
      </c>
      <c r="N112" s="390" t="str">
        <f t="shared" si="26"/>
        <v/>
      </c>
      <c r="O112" s="390" t="str">
        <f t="shared" si="27"/>
        <v/>
      </c>
      <c r="P112" s="390" t="str">
        <f t="shared" si="28"/>
        <v/>
      </c>
      <c r="U112" s="386"/>
      <c r="X112" t="str">
        <f t="shared" si="20"/>
        <v>\I:</v>
      </c>
      <c r="Y112" t="str">
        <f ca="1" t="shared" si="21"/>
        <v>ICE medium size plug-in hybrid diesel car -- 201500%</v>
      </c>
      <c r="Z112" s="388" t="s">
        <v>84</v>
      </c>
      <c r="AA112" s="388" t="s">
        <v>85</v>
      </c>
    </row>
    <row r="113" spans="2:27">
      <c r="B113" s="46" t="s">
        <v>12</v>
      </c>
      <c r="C113" s="47" t="s">
        <v>88</v>
      </c>
      <c r="D113" s="48">
        <v>4.32975739881566</v>
      </c>
      <c r="G113" s="75">
        <f>D113*$I$5/100*10^9/10^6</f>
        <v>2.32912687100081</v>
      </c>
      <c r="H113" s="75"/>
      <c r="I113" s="431">
        <f>1/G113</f>
        <v>0.429345439465179</v>
      </c>
      <c r="J113" t="str">
        <f t="shared" si="22"/>
        <v>Trd_car_dsl-pih</v>
      </c>
      <c r="K113" t="str">
        <f t="shared" si="23"/>
        <v>\I:</v>
      </c>
      <c r="L113" t="str">
        <f t="shared" si="24"/>
        <v>\I:</v>
      </c>
      <c r="M113" s="390" t="str">
        <f t="shared" si="25"/>
        <v/>
      </c>
      <c r="N113" s="390" t="str">
        <f t="shared" si="26"/>
        <v/>
      </c>
      <c r="O113" s="390" t="str">
        <f t="shared" si="27"/>
        <v/>
      </c>
      <c r="P113" s="390" t="str">
        <f t="shared" si="28"/>
        <v/>
      </c>
      <c r="U113" s="386"/>
      <c r="X113" t="str">
        <f t="shared" ref="X113:X144" si="33">K113</f>
        <v>\I:</v>
      </c>
      <c r="Y113" t="str">
        <f ca="1" t="shared" ref="Y113:Y144" si="34">OFFSET($V$1,MATCH(J113,$V$1:$V$11,0)-1,-1)&amp;" -- "&amp;TEXT(B113,"00%")</f>
        <v>ICE medium size plug-in hybrid diesel car -- Energy consumption</v>
      </c>
      <c r="Z113" s="388" t="s">
        <v>84</v>
      </c>
      <c r="AA113" s="388" t="s">
        <v>85</v>
      </c>
    </row>
    <row r="114" spans="2:27">
      <c r="B114" s="46" t="s">
        <v>14</v>
      </c>
      <c r="C114" s="47" t="s">
        <v>15</v>
      </c>
      <c r="D114" s="68">
        <v>21195.1012717123</v>
      </c>
      <c r="I114" s="393" t="s">
        <v>70</v>
      </c>
      <c r="J114" t="str">
        <f t="shared" si="22"/>
        <v>Trd_car_dsl-pih</v>
      </c>
      <c r="K114" t="str">
        <f t="shared" si="23"/>
        <v>\I:</v>
      </c>
      <c r="L114" t="str">
        <f t="shared" si="24"/>
        <v>\I:</v>
      </c>
      <c r="M114" s="390" t="str">
        <f t="shared" si="25"/>
        <v/>
      </c>
      <c r="N114" s="390" t="str">
        <f t="shared" si="26"/>
        <v/>
      </c>
      <c r="O114" s="390" t="str">
        <f t="shared" si="27"/>
        <v/>
      </c>
      <c r="P114" s="390" t="str">
        <f t="shared" si="28"/>
        <v/>
      </c>
      <c r="U114" s="386"/>
      <c r="X114" t="str">
        <f t="shared" si="33"/>
        <v>\I:</v>
      </c>
      <c r="Y114" t="str">
        <f ca="1" t="shared" si="34"/>
        <v>ICE medium size plug-in hybrid diesel car -- Capital cost</v>
      </c>
      <c r="Z114" s="388" t="s">
        <v>84</v>
      </c>
      <c r="AA114" s="388" t="s">
        <v>85</v>
      </c>
    </row>
    <row r="115" spans="2:27">
      <c r="J115" t="str">
        <f t="shared" si="22"/>
        <v>Trd_car_dsl-pih</v>
      </c>
      <c r="K115" t="str">
        <f t="shared" si="23"/>
        <v>\I:</v>
      </c>
      <c r="L115" t="str">
        <f t="shared" si="24"/>
        <v>\I:</v>
      </c>
      <c r="M115" s="390" t="str">
        <f t="shared" si="25"/>
        <v/>
      </c>
      <c r="N115" s="390" t="str">
        <f t="shared" si="26"/>
        <v/>
      </c>
      <c r="O115" s="390" t="str">
        <f t="shared" si="27"/>
        <v/>
      </c>
      <c r="P115" s="390" t="str">
        <f t="shared" si="28"/>
        <v/>
      </c>
      <c r="U115" s="386"/>
      <c r="X115" t="str">
        <f t="shared" si="33"/>
        <v>\I:</v>
      </c>
      <c r="Y115" t="str">
        <f ca="1" t="shared" si="34"/>
        <v>ICE medium size plug-in hybrid diesel car -- 00%</v>
      </c>
      <c r="Z115" s="388" t="s">
        <v>84</v>
      </c>
      <c r="AA115" s="388" t="s">
        <v>85</v>
      </c>
    </row>
    <row r="116" ht="15" customHeight="1" spans="2:27">
      <c r="B116" s="387" t="s">
        <v>89</v>
      </c>
      <c r="C116" s="387" t="s">
        <v>60</v>
      </c>
      <c r="D116" s="387"/>
      <c r="E116" s="387"/>
      <c r="F116" s="387"/>
      <c r="J116" t="str">
        <f t="shared" si="22"/>
        <v>Trd_car_cng</v>
      </c>
      <c r="K116" t="str">
        <f t="shared" si="23"/>
        <v>\I:</v>
      </c>
      <c r="L116" t="str">
        <f t="shared" si="24"/>
        <v>\I:</v>
      </c>
      <c r="M116" s="390" t="str">
        <f t="shared" si="25"/>
        <v/>
      </c>
      <c r="N116" s="390" t="str">
        <f t="shared" si="26"/>
        <v/>
      </c>
      <c r="O116" s="390" t="str">
        <f t="shared" si="27"/>
        <v/>
      </c>
      <c r="P116" s="390" t="str">
        <f t="shared" si="28"/>
        <v/>
      </c>
      <c r="U116" s="386"/>
      <c r="X116" t="str">
        <f t="shared" si="33"/>
        <v>\I:</v>
      </c>
      <c r="Y116" t="str">
        <f ca="1" t="shared" si="34"/>
        <v>ICE medium size CNG car -- Reduction of specific energy consumption relative to 2015 CNG vehicle (%)</v>
      </c>
      <c r="Z116" s="388" t="s">
        <v>84</v>
      </c>
      <c r="AA116" s="388" t="s">
        <v>85</v>
      </c>
    </row>
    <row r="117" spans="2:27">
      <c r="B117" s="387"/>
      <c r="C117" s="387"/>
      <c r="D117" s="387"/>
      <c r="E117" s="387"/>
      <c r="F117" s="387"/>
      <c r="J117" t="str">
        <f t="shared" si="22"/>
        <v>Trd_car_cng</v>
      </c>
      <c r="K117" t="str">
        <f t="shared" si="23"/>
        <v>\I:</v>
      </c>
      <c r="L117" t="str">
        <f t="shared" si="24"/>
        <v>\I:</v>
      </c>
      <c r="M117" s="390" t="str">
        <f t="shared" si="25"/>
        <v/>
      </c>
      <c r="N117" s="390" t="str">
        <f t="shared" si="26"/>
        <v/>
      </c>
      <c r="O117" s="390" t="str">
        <f t="shared" si="27"/>
        <v/>
      </c>
      <c r="P117" s="390" t="str">
        <f t="shared" si="28"/>
        <v/>
      </c>
      <c r="U117" s="386"/>
      <c r="X117" t="str">
        <f t="shared" si="33"/>
        <v>\I:</v>
      </c>
      <c r="Y117" t="str">
        <f ca="1" t="shared" si="34"/>
        <v>ICE medium size CNG car -- 00%</v>
      </c>
      <c r="Z117" s="388" t="s">
        <v>84</v>
      </c>
      <c r="AA117" s="388" t="s">
        <v>85</v>
      </c>
    </row>
    <row r="118" spans="2:27">
      <c r="B118" s="387"/>
      <c r="C118" s="387"/>
      <c r="D118" s="387"/>
      <c r="E118" s="387"/>
      <c r="F118" s="387"/>
      <c r="J118" t="str">
        <f t="shared" si="22"/>
        <v>Trd_car_cng</v>
      </c>
      <c r="K118" t="str">
        <f t="shared" si="23"/>
        <v>\I:</v>
      </c>
      <c r="L118" t="str">
        <f t="shared" si="24"/>
        <v>\I:</v>
      </c>
      <c r="M118" s="390" t="str">
        <f t="shared" si="25"/>
        <v/>
      </c>
      <c r="N118" s="390" t="str">
        <f t="shared" si="26"/>
        <v/>
      </c>
      <c r="O118" s="390" t="str">
        <f t="shared" si="27"/>
        <v/>
      </c>
      <c r="P118" s="390" t="str">
        <f t="shared" si="28"/>
        <v/>
      </c>
      <c r="U118" s="386"/>
      <c r="X118" t="str">
        <f t="shared" si="33"/>
        <v>\I:</v>
      </c>
      <c r="Y118" t="str">
        <f ca="1" t="shared" si="34"/>
        <v>ICE medium size CNG car -- 00%</v>
      </c>
      <c r="Z118" s="388" t="s">
        <v>84</v>
      </c>
      <c r="AA118" s="388" t="s">
        <v>85</v>
      </c>
    </row>
    <row r="119" spans="2:27">
      <c r="B119" s="88"/>
      <c r="C119" s="51">
        <v>2020</v>
      </c>
      <c r="D119" s="51">
        <v>2030</v>
      </c>
      <c r="E119" s="51">
        <v>2040</v>
      </c>
      <c r="F119" s="51">
        <v>2050</v>
      </c>
      <c r="I119" s="382">
        <v>1</v>
      </c>
      <c r="J119" s="44" t="str">
        <f t="shared" si="22"/>
        <v>Trd_car_cng</v>
      </c>
      <c r="K119" s="44" t="str">
        <f>IFERROR(IF(VALUE(C119)&gt;200,J119&amp;"_"&amp;TEXT(B119*100,"00"),"\I:"),"\I:")</f>
        <v>Trd_car_cng_00</v>
      </c>
      <c r="L119" t="str">
        <f t="shared" si="24"/>
        <v>Trd_car</v>
      </c>
      <c r="M119" s="427">
        <f>D114</f>
        <v>21195.1012717123</v>
      </c>
      <c r="N119" s="390"/>
      <c r="O119" s="390"/>
      <c r="P119" s="390"/>
      <c r="U119" s="386"/>
      <c r="X119" t="str">
        <f t="shared" si="33"/>
        <v>Trd_car_cng_00</v>
      </c>
      <c r="Y119" t="str">
        <f ca="1" t="shared" si="34"/>
        <v>ICE medium size CNG car -- 00%</v>
      </c>
      <c r="Z119" s="388" t="s">
        <v>84</v>
      </c>
      <c r="AA119" s="388"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90">
        <f t="shared" si="25"/>
        <v>21459.3220901274</v>
      </c>
      <c r="N120" s="390">
        <f t="shared" si="26"/>
        <v>21265.946731911</v>
      </c>
      <c r="O120" s="390">
        <f t="shared" si="27"/>
        <v>21265.946731911</v>
      </c>
      <c r="P120" s="390">
        <f t="shared" si="28"/>
        <v>21265.946731911</v>
      </c>
      <c r="Q120">
        <f t="shared" ref="Q120:Q126" si="36">P120</f>
        <v>21265.946731911</v>
      </c>
      <c r="R120">
        <v>3</v>
      </c>
      <c r="U120" s="386"/>
      <c r="X120" t="str">
        <f t="shared" si="33"/>
        <v>Trd_car_cng_13</v>
      </c>
      <c r="Y120" t="str">
        <f ca="1" t="shared" si="34"/>
        <v>ICE medium size CNG car -- 13%</v>
      </c>
      <c r="Z120" s="388" t="s">
        <v>84</v>
      </c>
      <c r="AA120" s="388"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90">
        <f t="shared" si="25"/>
        <v>22275.1693225306</v>
      </c>
      <c r="N121" s="390">
        <f t="shared" si="26"/>
        <v>21526.8992345472</v>
      </c>
      <c r="O121" s="390">
        <f t="shared" si="27"/>
        <v>21526.8992345472</v>
      </c>
      <c r="P121" s="390">
        <f t="shared" si="28"/>
        <v>21526.8992345472</v>
      </c>
      <c r="Q121">
        <f t="shared" si="36"/>
        <v>21526.8992345472</v>
      </c>
      <c r="R121">
        <v>3</v>
      </c>
      <c r="U121" s="386"/>
      <c r="X121" t="str">
        <f t="shared" si="33"/>
        <v>Trd_car_cng_23</v>
      </c>
      <c r="Y121" t="str">
        <f ca="1" t="shared" si="34"/>
        <v>ICE medium size CNG car -- 23%</v>
      </c>
      <c r="Z121" s="388" t="s">
        <v>84</v>
      </c>
      <c r="AA121" s="388"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90">
        <f t="shared" si="25"/>
        <v>24038.3168536115</v>
      </c>
      <c r="N122" s="390">
        <f t="shared" si="26"/>
        <v>22158.19844873</v>
      </c>
      <c r="O122" s="390">
        <f t="shared" si="27"/>
        <v>22158.19844873</v>
      </c>
      <c r="P122" s="390">
        <f t="shared" si="28"/>
        <v>22158.19844873</v>
      </c>
      <c r="Q122">
        <f t="shared" si="36"/>
        <v>22158.19844873</v>
      </c>
      <c r="R122">
        <v>3</v>
      </c>
      <c r="U122" s="386"/>
      <c r="X122" t="str">
        <f t="shared" si="33"/>
        <v>Trd_car_cng_33</v>
      </c>
      <c r="Y122" t="str">
        <f ca="1" t="shared" si="34"/>
        <v>ICE medium size CNG car -- 33%</v>
      </c>
      <c r="Z122" s="388" t="s">
        <v>84</v>
      </c>
      <c r="AA122" s="388"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90">
        <f t="shared" si="25"/>
        <v>26551.6414852451</v>
      </c>
      <c r="N123" s="390">
        <f t="shared" si="26"/>
        <v>22891.3401623741</v>
      </c>
      <c r="O123" s="390">
        <f t="shared" si="27"/>
        <v>22891.3401623741</v>
      </c>
      <c r="P123" s="390">
        <f t="shared" si="28"/>
        <v>22891.3401623741</v>
      </c>
      <c r="Q123">
        <f t="shared" si="36"/>
        <v>22891.3401623741</v>
      </c>
      <c r="R123">
        <v>3</v>
      </c>
      <c r="U123" s="386"/>
      <c r="X123" t="str">
        <f t="shared" si="33"/>
        <v>Trd_car_cng_38</v>
      </c>
      <c r="Y123" t="str">
        <f ca="1" t="shared" si="34"/>
        <v>ICE medium size CNG car -- 38%</v>
      </c>
      <c r="Z123" s="388" t="s">
        <v>84</v>
      </c>
      <c r="AA123" s="388"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90">
        <f t="shared" si="25"/>
        <v>55820.7966564757</v>
      </c>
      <c r="N124" s="390">
        <f t="shared" si="26"/>
        <v>24704.2542961166</v>
      </c>
      <c r="O124" s="390">
        <f t="shared" si="27"/>
        <v>24704.2542961166</v>
      </c>
      <c r="P124" s="390">
        <f t="shared" si="28"/>
        <v>24704.2542961166</v>
      </c>
      <c r="Q124">
        <f t="shared" si="36"/>
        <v>24704.2542961166</v>
      </c>
      <c r="R124">
        <v>3</v>
      </c>
      <c r="U124" s="386"/>
      <c r="X124" t="str">
        <f t="shared" si="33"/>
        <v>Trd_car_cng_43</v>
      </c>
      <c r="Y124" t="str">
        <f ca="1" t="shared" si="34"/>
        <v>ICE medium size CNG car -- 43%</v>
      </c>
      <c r="Z124" s="388" t="s">
        <v>84</v>
      </c>
      <c r="AA124" s="388"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90">
        <f t="shared" si="25"/>
        <v>120999.1132</v>
      </c>
      <c r="N125" s="390">
        <f t="shared" si="26"/>
        <v>43178.2986936037</v>
      </c>
      <c r="O125" s="390">
        <f t="shared" si="27"/>
        <v>43178.2986936037</v>
      </c>
      <c r="P125" s="390">
        <f t="shared" si="28"/>
        <v>43178.2986936037</v>
      </c>
      <c r="Q125">
        <f t="shared" si="36"/>
        <v>43178.2986936037</v>
      </c>
      <c r="R125">
        <v>3</v>
      </c>
      <c r="U125" s="386"/>
      <c r="X125" t="str">
        <f t="shared" si="33"/>
        <v>Trd_car_cng_48</v>
      </c>
      <c r="Y125" t="str">
        <f ca="1" t="shared" si="34"/>
        <v>ICE medium size CNG car -- 48%</v>
      </c>
      <c r="Z125" s="388" t="s">
        <v>84</v>
      </c>
      <c r="AA125" s="388" t="s">
        <v>85</v>
      </c>
    </row>
    <row r="126" spans="2:27">
      <c r="C126" s="97"/>
      <c r="D126" s="97"/>
      <c r="E126" s="97"/>
      <c r="F126" s="97"/>
      <c r="J126" t="str">
        <f t="shared" si="22"/>
        <v>Trd_car_cng</v>
      </c>
      <c r="K126" t="str">
        <f t="shared" si="23"/>
        <v>\I:</v>
      </c>
      <c r="L126" t="str">
        <f t="shared" si="24"/>
        <v>\I:</v>
      </c>
      <c r="M126" s="390" t="str">
        <f t="shared" si="25"/>
        <v/>
      </c>
      <c r="N126" s="390" t="str">
        <f t="shared" si="26"/>
        <v/>
      </c>
      <c r="O126" s="390" t="str">
        <f t="shared" si="27"/>
        <v/>
      </c>
      <c r="P126" s="390" t="str">
        <f t="shared" si="28"/>
        <v/>
      </c>
      <c r="Q126" t="str">
        <f t="shared" si="36"/>
        <v/>
      </c>
      <c r="U126" s="386"/>
      <c r="X126" t="str">
        <f t="shared" si="33"/>
        <v>\I:</v>
      </c>
      <c r="Y126" t="str">
        <f ca="1" t="shared" si="34"/>
        <v>ICE medium size CNG car -- 00%</v>
      </c>
      <c r="Z126" s="388" t="s">
        <v>84</v>
      </c>
      <c r="AA126" s="388" t="s">
        <v>85</v>
      </c>
    </row>
    <row r="127" spans="2:27">
      <c r="J127" t="str">
        <f t="shared" si="22"/>
        <v>Trd_car_cng</v>
      </c>
      <c r="K127" t="str">
        <f t="shared" si="23"/>
        <v>\I:</v>
      </c>
      <c r="L127" t="str">
        <f t="shared" si="24"/>
        <v>\I:</v>
      </c>
      <c r="M127" s="390" t="str">
        <f t="shared" si="25"/>
        <v/>
      </c>
      <c r="N127" s="390" t="str">
        <f t="shared" si="26"/>
        <v/>
      </c>
      <c r="O127" s="390" t="str">
        <f t="shared" si="27"/>
        <v/>
      </c>
      <c r="P127" s="390" t="str">
        <f t="shared" si="28"/>
        <v/>
      </c>
      <c r="U127" s="386"/>
      <c r="X127" t="str">
        <f t="shared" si="33"/>
        <v>\I:</v>
      </c>
      <c r="Y127" t="str">
        <f ca="1" t="shared" si="34"/>
        <v>ICE medium size CNG car -- 00%</v>
      </c>
      <c r="Z127" s="388" t="s">
        <v>84</v>
      </c>
      <c r="AA127" s="388" t="s">
        <v>85</v>
      </c>
    </row>
    <row r="128" spans="2:27">
      <c r="J128" t="str">
        <f t="shared" si="22"/>
        <v>Trd_car_cng</v>
      </c>
      <c r="K128" t="str">
        <f t="shared" si="23"/>
        <v>\I:</v>
      </c>
      <c r="L128" t="str">
        <f t="shared" si="24"/>
        <v>\I:</v>
      </c>
      <c r="M128" s="390" t="str">
        <f t="shared" si="25"/>
        <v/>
      </c>
      <c r="N128" s="390" t="str">
        <f t="shared" si="26"/>
        <v/>
      </c>
      <c r="O128" s="390" t="str">
        <f t="shared" si="27"/>
        <v/>
      </c>
      <c r="P128" s="390" t="str">
        <f t="shared" si="28"/>
        <v/>
      </c>
      <c r="U128" s="386"/>
      <c r="X128" t="str">
        <f t="shared" si="33"/>
        <v>\I:</v>
      </c>
      <c r="Y128" t="str">
        <f ca="1" t="shared" si="34"/>
        <v>ICE medium size CNG car -- 00%</v>
      </c>
      <c r="Z128" s="388" t="s">
        <v>84</v>
      </c>
      <c r="AA128" s="388" t="s">
        <v>85</v>
      </c>
    </row>
    <row r="129" spans="2:27">
      <c r="J129" t="str">
        <f t="shared" si="22"/>
        <v>Trd_car_cng</v>
      </c>
      <c r="K129" t="str">
        <f t="shared" si="23"/>
        <v>\I:</v>
      </c>
      <c r="L129" t="str">
        <f t="shared" si="24"/>
        <v>\I:</v>
      </c>
      <c r="M129" s="390" t="str">
        <f t="shared" si="25"/>
        <v/>
      </c>
      <c r="N129" s="390" t="str">
        <f t="shared" si="26"/>
        <v/>
      </c>
      <c r="O129" s="390" t="str">
        <f t="shared" si="27"/>
        <v/>
      </c>
      <c r="P129" s="390" t="str">
        <f t="shared" si="28"/>
        <v/>
      </c>
      <c r="U129" s="386"/>
      <c r="X129" t="str">
        <f t="shared" si="33"/>
        <v>\I:</v>
      </c>
      <c r="Y129" t="str">
        <f ca="1" t="shared" si="34"/>
        <v>ICE medium size CNG car -- 00%</v>
      </c>
      <c r="Z129" s="388" t="s">
        <v>84</v>
      </c>
      <c r="AA129" s="388" t="s">
        <v>85</v>
      </c>
    </row>
    <row r="130" spans="2:27">
      <c r="J130" t="str">
        <f t="shared" si="22"/>
        <v>Trd_car_cng</v>
      </c>
      <c r="K130" t="str">
        <f t="shared" si="23"/>
        <v>\I:</v>
      </c>
      <c r="L130" t="str">
        <f t="shared" si="24"/>
        <v>\I:</v>
      </c>
      <c r="M130" s="390" t="str">
        <f t="shared" si="25"/>
        <v/>
      </c>
      <c r="N130" s="390" t="str">
        <f t="shared" si="26"/>
        <v/>
      </c>
      <c r="O130" s="390" t="str">
        <f t="shared" si="27"/>
        <v/>
      </c>
      <c r="P130" s="390" t="str">
        <f t="shared" si="28"/>
        <v/>
      </c>
      <c r="U130" s="386"/>
      <c r="X130" t="str">
        <f t="shared" si="33"/>
        <v>\I:</v>
      </c>
      <c r="Y130" t="str">
        <f ca="1" t="shared" si="34"/>
        <v>ICE medium size CNG car -- 00%</v>
      </c>
      <c r="Z130" s="388" t="s">
        <v>84</v>
      </c>
      <c r="AA130" s="388" t="s">
        <v>85</v>
      </c>
    </row>
    <row r="131" spans="2:27">
      <c r="B131" s="44" t="s">
        <v>90</v>
      </c>
      <c r="J131" t="str">
        <f t="shared" si="22"/>
        <v>Trd_car_cng</v>
      </c>
      <c r="K131" t="str">
        <f t="shared" si="23"/>
        <v>\I:</v>
      </c>
      <c r="L131" t="str">
        <f t="shared" si="24"/>
        <v>\I:</v>
      </c>
      <c r="M131" s="390" t="str">
        <f t="shared" si="25"/>
        <v/>
      </c>
      <c r="N131" s="390" t="str">
        <f t="shared" si="26"/>
        <v/>
      </c>
      <c r="O131" s="390" t="str">
        <f t="shared" si="27"/>
        <v/>
      </c>
      <c r="P131" s="390" t="str">
        <f t="shared" si="28"/>
        <v/>
      </c>
      <c r="U131" s="386"/>
      <c r="X131" t="str">
        <f t="shared" si="33"/>
        <v>\I:</v>
      </c>
      <c r="Y131" t="str">
        <f ca="1" t="shared" si="34"/>
        <v>ICE medium size CNG car -- Reference values for medium size LPG</v>
      </c>
      <c r="Z131" s="388" t="s">
        <v>84</v>
      </c>
      <c r="AA131" s="388" t="s">
        <v>85</v>
      </c>
    </row>
    <row r="132" spans="2:27">
      <c r="B132" s="381">
        <v>2015</v>
      </c>
      <c r="C132" s="381"/>
      <c r="D132" s="381"/>
      <c r="J132" t="str">
        <f t="shared" si="22"/>
        <v>Trd_car_cng</v>
      </c>
      <c r="K132" t="str">
        <f t="shared" si="23"/>
        <v>\I:</v>
      </c>
      <c r="L132" t="str">
        <f t="shared" si="24"/>
        <v>\I:</v>
      </c>
      <c r="M132" s="390" t="str">
        <f t="shared" si="25"/>
        <v/>
      </c>
      <c r="N132" s="390" t="str">
        <f t="shared" si="26"/>
        <v/>
      </c>
      <c r="O132" s="390" t="str">
        <f t="shared" si="27"/>
        <v/>
      </c>
      <c r="P132" s="390" t="str">
        <f t="shared" si="28"/>
        <v/>
      </c>
      <c r="U132" s="386"/>
      <c r="X132" t="str">
        <f t="shared" si="33"/>
        <v>\I:</v>
      </c>
      <c r="Y132" t="str">
        <f ca="1" t="shared" si="34"/>
        <v>ICE medium size CNG car -- 201500%</v>
      </c>
      <c r="Z132" s="388" t="s">
        <v>84</v>
      </c>
      <c r="AA132" s="388" t="s">
        <v>85</v>
      </c>
    </row>
    <row r="133" spans="2:27">
      <c r="B133" s="46" t="s">
        <v>12</v>
      </c>
      <c r="C133" s="47" t="s">
        <v>13</v>
      </c>
      <c r="D133" s="48">
        <v>8.21770281816034</v>
      </c>
      <c r="G133" s="75">
        <f>D133*$I$6/100*10^9/10^6</f>
        <v>2.10291015116723</v>
      </c>
      <c r="H133" s="75"/>
      <c r="I133" s="431">
        <f>1/G133</f>
        <v>0.475531491178995</v>
      </c>
      <c r="J133" t="str">
        <f t="shared" si="22"/>
        <v>Trd_car_cng</v>
      </c>
      <c r="K133" t="str">
        <f t="shared" si="23"/>
        <v>\I:</v>
      </c>
      <c r="L133" t="str">
        <f t="shared" si="24"/>
        <v>\I:</v>
      </c>
      <c r="M133" s="390" t="str">
        <f t="shared" si="25"/>
        <v/>
      </c>
      <c r="N133" s="390" t="str">
        <f t="shared" si="26"/>
        <v/>
      </c>
      <c r="O133" s="390" t="str">
        <f t="shared" si="27"/>
        <v/>
      </c>
      <c r="P133" s="390" t="str">
        <f t="shared" si="28"/>
        <v/>
      </c>
      <c r="U133" s="386"/>
      <c r="X133" t="str">
        <f t="shared" si="33"/>
        <v>\I:</v>
      </c>
      <c r="Y133" t="str">
        <f ca="1" t="shared" si="34"/>
        <v>ICE medium size CNG car -- Energy consumption</v>
      </c>
      <c r="Z133" s="388" t="s">
        <v>84</v>
      </c>
      <c r="AA133" s="388" t="s">
        <v>85</v>
      </c>
    </row>
    <row r="134" spans="2:27">
      <c r="B134" s="46" t="s">
        <v>14</v>
      </c>
      <c r="C134" s="47" t="s">
        <v>15</v>
      </c>
      <c r="D134" s="68">
        <v>20627.5576717123</v>
      </c>
      <c r="I134" s="393" t="s">
        <v>70</v>
      </c>
      <c r="J134" t="str">
        <f t="shared" si="22"/>
        <v>Trd_car_cng</v>
      </c>
      <c r="K134" t="str">
        <f t="shared" si="23"/>
        <v>\I:</v>
      </c>
      <c r="L134" t="str">
        <f t="shared" si="24"/>
        <v>\I:</v>
      </c>
      <c r="M134" s="390" t="str">
        <f t="shared" si="25"/>
        <v/>
      </c>
      <c r="N134" s="390" t="str">
        <f t="shared" si="26"/>
        <v/>
      </c>
      <c r="O134" s="390" t="str">
        <f t="shared" si="27"/>
        <v/>
      </c>
      <c r="P134" s="390" t="str">
        <f t="shared" si="28"/>
        <v/>
      </c>
      <c r="U134" s="386"/>
      <c r="X134" t="str">
        <f t="shared" si="33"/>
        <v>\I:</v>
      </c>
      <c r="Y134" t="str">
        <f ca="1" t="shared" si="34"/>
        <v>ICE medium size CNG car -- Capital cost</v>
      </c>
      <c r="Z134" s="388" t="s">
        <v>84</v>
      </c>
      <c r="AA134" s="388" t="s">
        <v>85</v>
      </c>
    </row>
    <row r="135" spans="2:27">
      <c r="J135" t="str">
        <f t="shared" si="22"/>
        <v>Trd_car_cng</v>
      </c>
      <c r="K135" t="str">
        <f t="shared" si="23"/>
        <v>\I:</v>
      </c>
      <c r="L135" t="str">
        <f t="shared" si="24"/>
        <v>\I:</v>
      </c>
      <c r="M135" s="390" t="str">
        <f t="shared" si="25"/>
        <v/>
      </c>
      <c r="N135" s="390" t="str">
        <f t="shared" si="26"/>
        <v/>
      </c>
      <c r="O135" s="390" t="str">
        <f t="shared" si="27"/>
        <v/>
      </c>
      <c r="P135" s="390" t="str">
        <f t="shared" si="28"/>
        <v/>
      </c>
      <c r="U135" s="386"/>
      <c r="X135" t="str">
        <f t="shared" si="33"/>
        <v>\I:</v>
      </c>
      <c r="Y135" t="str">
        <f ca="1" t="shared" si="34"/>
        <v>ICE medium size CNG car -- 00%</v>
      </c>
      <c r="Z135" s="388" t="s">
        <v>84</v>
      </c>
      <c r="AA135" s="388" t="s">
        <v>85</v>
      </c>
    </row>
    <row r="136" ht="15" customHeight="1" spans="2:27">
      <c r="B136" s="387" t="s">
        <v>91</v>
      </c>
      <c r="C136" s="387" t="s">
        <v>62</v>
      </c>
      <c r="D136" s="387"/>
      <c r="E136" s="387"/>
      <c r="F136" s="387"/>
      <c r="J136" t="str">
        <f t="shared" si="22"/>
        <v>\I:Trd_car_lpg</v>
      </c>
      <c r="K136" t="str">
        <f t="shared" si="23"/>
        <v>\I:</v>
      </c>
      <c r="L136" t="str">
        <f t="shared" si="24"/>
        <v>\I:</v>
      </c>
      <c r="M136" s="390" t="str">
        <f t="shared" si="25"/>
        <v/>
      </c>
      <c r="N136" s="390" t="str">
        <f t="shared" si="26"/>
        <v/>
      </c>
      <c r="O136" s="390" t="str">
        <f t="shared" si="27"/>
        <v/>
      </c>
      <c r="P136" s="390" t="str">
        <f t="shared" si="28"/>
        <v/>
      </c>
      <c r="U136" s="386"/>
      <c r="X136" t="str">
        <f t="shared" si="33"/>
        <v>\I:</v>
      </c>
      <c r="Y136" t="str">
        <f ca="1" t="shared" si="34"/>
        <v>ICE medium size LPG car -- Reduction of specific energy consumption relative to 2015 LPG vehicle (%)</v>
      </c>
      <c r="Z136" s="388" t="s">
        <v>84</v>
      </c>
      <c r="AA136" s="388" t="s">
        <v>85</v>
      </c>
    </row>
    <row r="137" spans="2:27">
      <c r="B137" s="387"/>
      <c r="C137" s="387"/>
      <c r="D137" s="387"/>
      <c r="E137" s="387"/>
      <c r="F137" s="387"/>
      <c r="J137" t="str">
        <f t="shared" si="22"/>
        <v>\I:Trd_car_lpg</v>
      </c>
      <c r="K137" t="str">
        <f t="shared" si="23"/>
        <v>\I:</v>
      </c>
      <c r="L137" t="str">
        <f t="shared" si="24"/>
        <v>\I:</v>
      </c>
      <c r="M137" s="390" t="str">
        <f t="shared" si="25"/>
        <v/>
      </c>
      <c r="N137" s="390" t="str">
        <f t="shared" si="26"/>
        <v/>
      </c>
      <c r="O137" s="390" t="str">
        <f t="shared" si="27"/>
        <v/>
      </c>
      <c r="P137" s="390" t="str">
        <f t="shared" si="28"/>
        <v/>
      </c>
      <c r="U137" s="386"/>
      <c r="X137" t="str">
        <f t="shared" si="33"/>
        <v>\I:</v>
      </c>
      <c r="Y137" t="str">
        <f ca="1" t="shared" si="34"/>
        <v>ICE medium size LPG car -- 00%</v>
      </c>
      <c r="Z137" s="388" t="s">
        <v>84</v>
      </c>
      <c r="AA137" s="388" t="s">
        <v>85</v>
      </c>
    </row>
    <row r="138" spans="2:27">
      <c r="B138" s="387"/>
      <c r="C138" s="387"/>
      <c r="D138" s="387"/>
      <c r="E138" s="387"/>
      <c r="F138" s="387"/>
      <c r="J138" t="str">
        <f t="shared" si="22"/>
        <v>\I:Trd_car_lpg</v>
      </c>
      <c r="K138" t="str">
        <f t="shared" si="23"/>
        <v>\I:</v>
      </c>
      <c r="L138" t="str">
        <f t="shared" si="24"/>
        <v>\I:</v>
      </c>
      <c r="M138" s="390" t="str">
        <f t="shared" si="25"/>
        <v/>
      </c>
      <c r="N138" s="390" t="str">
        <f t="shared" si="26"/>
        <v/>
      </c>
      <c r="O138" s="390" t="str">
        <f t="shared" si="27"/>
        <v/>
      </c>
      <c r="P138" s="390" t="str">
        <f t="shared" si="28"/>
        <v/>
      </c>
      <c r="U138" s="386"/>
      <c r="X138" t="str">
        <f t="shared" si="33"/>
        <v>\I:</v>
      </c>
      <c r="Y138" t="str">
        <f ca="1" t="shared" si="34"/>
        <v>ICE medium size LPG car -- 00%</v>
      </c>
      <c r="Z138" s="388" t="s">
        <v>84</v>
      </c>
      <c r="AA138" s="388" t="s">
        <v>85</v>
      </c>
    </row>
    <row r="139" spans="2:27">
      <c r="B139" s="88"/>
      <c r="C139" s="51">
        <v>2020</v>
      </c>
      <c r="D139" s="51">
        <v>2030</v>
      </c>
      <c r="E139" s="51">
        <v>2040</v>
      </c>
      <c r="F139" s="51">
        <v>2050</v>
      </c>
      <c r="J139" t="str">
        <f t="shared" si="22"/>
        <v>\I:Trd_car_lpg</v>
      </c>
      <c r="K139" t="str">
        <f t="shared" si="23"/>
        <v>\I:</v>
      </c>
      <c r="L139" t="str">
        <f t="shared" si="24"/>
        <v>\I:</v>
      </c>
      <c r="M139" s="390" t="str">
        <f t="shared" si="25"/>
        <v/>
      </c>
      <c r="N139" s="390" t="str">
        <f t="shared" si="26"/>
        <v/>
      </c>
      <c r="O139" s="390" t="str">
        <f t="shared" si="27"/>
        <v/>
      </c>
      <c r="P139" s="390" t="str">
        <f t="shared" si="28"/>
        <v/>
      </c>
      <c r="U139" s="386"/>
      <c r="X139" t="str">
        <f t="shared" si="33"/>
        <v>\I:</v>
      </c>
      <c r="Y139" t="str">
        <f ca="1" t="shared" si="34"/>
        <v>ICE medium size LPG car -- 00%</v>
      </c>
      <c r="Z139" s="388" t="s">
        <v>84</v>
      </c>
      <c r="AA139" s="388"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90">
        <f t="shared" si="25"/>
        <v>20891.7784901274</v>
      </c>
      <c r="N140" s="390">
        <f t="shared" si="26"/>
        <v>20698.403131911</v>
      </c>
      <c r="O140" s="390">
        <f t="shared" si="27"/>
        <v>20698.403131911</v>
      </c>
      <c r="P140" s="390">
        <f t="shared" si="28"/>
        <v>20698.403131911</v>
      </c>
      <c r="Q140">
        <f t="shared" ref="Q140:Q146" si="38">P140</f>
        <v>20698.403131911</v>
      </c>
      <c r="R140">
        <v>3</v>
      </c>
      <c r="U140" s="386"/>
      <c r="X140" t="str">
        <f t="shared" si="33"/>
        <v>\I:Trd_car_lpg_13</v>
      </c>
      <c r="Y140" t="str">
        <f ca="1" t="shared" si="34"/>
        <v>ICE medium size LPG car -- 13%</v>
      </c>
      <c r="Z140" s="388" t="s">
        <v>84</v>
      </c>
      <c r="AA140" s="388"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90">
        <f t="shared" si="25"/>
        <v>21707.6257225306</v>
      </c>
      <c r="N141" s="390">
        <f t="shared" si="26"/>
        <v>20959.3556345472</v>
      </c>
      <c r="O141" s="390">
        <f t="shared" si="27"/>
        <v>20959.3556345472</v>
      </c>
      <c r="P141" s="390">
        <f t="shared" si="28"/>
        <v>20959.3556345472</v>
      </c>
      <c r="Q141">
        <f t="shared" si="38"/>
        <v>20959.3556345472</v>
      </c>
      <c r="R141">
        <v>3</v>
      </c>
      <c r="U141" s="386"/>
      <c r="X141" t="str">
        <f t="shared" si="33"/>
        <v>\I:Trd_car_lpg_23</v>
      </c>
      <c r="Y141" t="str">
        <f ca="1" t="shared" si="34"/>
        <v>ICE medium size LPG car -- 23%</v>
      </c>
      <c r="Z141" s="388" t="s">
        <v>84</v>
      </c>
      <c r="AA141" s="388"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90">
        <f t="shared" si="25"/>
        <v>23470.7732536115</v>
      </c>
      <c r="N142" s="390">
        <f t="shared" si="26"/>
        <v>21590.65484873</v>
      </c>
      <c r="O142" s="390">
        <f t="shared" si="27"/>
        <v>21590.65484873</v>
      </c>
      <c r="P142" s="390">
        <f t="shared" si="28"/>
        <v>21590.65484873</v>
      </c>
      <c r="Q142">
        <f t="shared" si="38"/>
        <v>21590.65484873</v>
      </c>
      <c r="R142">
        <v>3</v>
      </c>
      <c r="U142" s="386"/>
      <c r="X142" t="str">
        <f t="shared" si="33"/>
        <v>\I:Trd_car_lpg_33</v>
      </c>
      <c r="Y142" t="str">
        <f ca="1" t="shared" si="34"/>
        <v>ICE medium size LPG car -- 33%</v>
      </c>
      <c r="Z142" s="388" t="s">
        <v>84</v>
      </c>
      <c r="AA142" s="388"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90">
        <f t="shared" si="25"/>
        <v>25984.0978852451</v>
      </c>
      <c r="N143" s="390">
        <f t="shared" si="26"/>
        <v>22323.7965623741</v>
      </c>
      <c r="O143" s="390">
        <f t="shared" si="27"/>
        <v>22323.7965623741</v>
      </c>
      <c r="P143" s="390">
        <f t="shared" si="28"/>
        <v>22323.7965623741</v>
      </c>
      <c r="Q143">
        <f t="shared" si="38"/>
        <v>22323.7965623741</v>
      </c>
      <c r="R143">
        <v>3</v>
      </c>
      <c r="U143" s="386"/>
      <c r="X143" t="str">
        <f t="shared" si="33"/>
        <v>\I:Trd_car_lpg_38</v>
      </c>
      <c r="Y143" t="str">
        <f ca="1" t="shared" si="34"/>
        <v>ICE medium size LPG car -- 38%</v>
      </c>
      <c r="Z143" s="388" t="s">
        <v>84</v>
      </c>
      <c r="AA143" s="388"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90">
        <f t="shared" si="25"/>
        <v>55253.2530564757</v>
      </c>
      <c r="N144" s="390">
        <f t="shared" si="26"/>
        <v>24136.7106961166</v>
      </c>
      <c r="O144" s="390">
        <f t="shared" si="27"/>
        <v>24136.7106961166</v>
      </c>
      <c r="P144" s="390">
        <f t="shared" si="28"/>
        <v>24136.7106961166</v>
      </c>
      <c r="Q144">
        <f t="shared" si="38"/>
        <v>24136.7106961166</v>
      </c>
      <c r="R144">
        <v>3</v>
      </c>
      <c r="U144" s="386"/>
      <c r="X144" t="str">
        <f t="shared" si="33"/>
        <v>\I:Trd_car_lpg_43</v>
      </c>
      <c r="Y144" t="str">
        <f ca="1" t="shared" si="34"/>
        <v>ICE medium size LPG car -- 43%</v>
      </c>
      <c r="Z144" s="388" t="s">
        <v>84</v>
      </c>
      <c r="AA144" s="388"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90">
        <f t="shared" si="25"/>
        <v>120431.5696</v>
      </c>
      <c r="N145" s="390">
        <f t="shared" si="26"/>
        <v>42610.7550936037</v>
      </c>
      <c r="O145" s="390">
        <f t="shared" si="27"/>
        <v>42610.7550936037</v>
      </c>
      <c r="P145" s="390">
        <f t="shared" si="28"/>
        <v>42610.7550936037</v>
      </c>
      <c r="Q145">
        <f t="shared" si="38"/>
        <v>42610.7550936037</v>
      </c>
      <c r="R145">
        <v>3</v>
      </c>
      <c r="U145" s="386"/>
      <c r="X145" t="str">
        <f t="shared" ref="X145:X176" si="39">K145</f>
        <v>\I:Trd_car_lpg_48</v>
      </c>
      <c r="Y145" t="str">
        <f ca="1" t="shared" ref="Y145:Y176" si="40">OFFSET($V$1,MATCH(J145,$V$1:$V$11,0)-1,-1)&amp;" -- "&amp;TEXT(B145,"00%")</f>
        <v>ICE medium size LPG car -- 48%</v>
      </c>
      <c r="Z145" s="388" t="s">
        <v>84</v>
      </c>
      <c r="AA145" s="388"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90" t="str">
        <f t="shared" ref="M146:M199" si="44">IF($K146="\I:","",C146)</f>
        <v/>
      </c>
      <c r="N146" s="390" t="str">
        <f t="shared" ref="N146:N199" si="45">IF($K146="\I:","",D146)</f>
        <v/>
      </c>
      <c r="O146" s="390" t="str">
        <f t="shared" ref="O146:O199" si="46">IF($K146="\I:","",E146)</f>
        <v/>
      </c>
      <c r="P146" s="390" t="str">
        <f t="shared" ref="P146:P199" si="47">IF($K146="\I:","",F146)</f>
        <v/>
      </c>
      <c r="Q146" t="str">
        <f t="shared" si="38"/>
        <v/>
      </c>
      <c r="U146" s="386"/>
      <c r="X146" t="str">
        <f t="shared" si="39"/>
        <v>\I:</v>
      </c>
      <c r="Y146" t="str">
        <f ca="1" t="shared" si="40"/>
        <v>ICE medium size LPG car -- 00%</v>
      </c>
      <c r="Z146" s="388" t="s">
        <v>84</v>
      </c>
      <c r="AA146" s="388" t="s">
        <v>85</v>
      </c>
    </row>
    <row r="147" spans="2:27">
      <c r="J147" t="str">
        <f t="shared" si="41"/>
        <v>\I:Trd_car_lpg</v>
      </c>
      <c r="K147" t="str">
        <f t="shared" si="42"/>
        <v>\I:</v>
      </c>
      <c r="L147" t="str">
        <f t="shared" si="43"/>
        <v>\I:</v>
      </c>
      <c r="M147" s="390" t="str">
        <f t="shared" si="44"/>
        <v/>
      </c>
      <c r="N147" s="390" t="str">
        <f t="shared" si="45"/>
        <v/>
      </c>
      <c r="O147" s="390" t="str">
        <f t="shared" si="46"/>
        <v/>
      </c>
      <c r="P147" s="390" t="str">
        <f t="shared" si="47"/>
        <v/>
      </c>
      <c r="U147" s="386"/>
      <c r="X147" t="str">
        <f t="shared" si="39"/>
        <v>\I:</v>
      </c>
      <c r="Y147" t="str">
        <f ca="1" t="shared" si="40"/>
        <v>ICE medium size LPG car -- 00%</v>
      </c>
      <c r="Z147" s="388" t="s">
        <v>84</v>
      </c>
      <c r="AA147" s="388" t="s">
        <v>85</v>
      </c>
    </row>
    <row r="148" spans="2:27">
      <c r="J148" t="str">
        <f t="shared" si="41"/>
        <v>\I:Trd_car_lpg</v>
      </c>
      <c r="K148" t="str">
        <f t="shared" si="42"/>
        <v>\I:</v>
      </c>
      <c r="L148" t="str">
        <f t="shared" si="43"/>
        <v>\I:</v>
      </c>
      <c r="M148" s="390" t="str">
        <f t="shared" si="44"/>
        <v/>
      </c>
      <c r="N148" s="390" t="str">
        <f t="shared" si="45"/>
        <v/>
      </c>
      <c r="O148" s="390" t="str">
        <f t="shared" si="46"/>
        <v/>
      </c>
      <c r="P148" s="390" t="str">
        <f t="shared" si="47"/>
        <v/>
      </c>
      <c r="U148" s="386"/>
      <c r="X148" t="str">
        <f t="shared" si="39"/>
        <v>\I:</v>
      </c>
      <c r="Y148" t="str">
        <f ca="1" t="shared" si="40"/>
        <v>ICE medium size LPG car -- 00%</v>
      </c>
      <c r="Z148" s="388" t="s">
        <v>84</v>
      </c>
      <c r="AA148" s="388" t="s">
        <v>85</v>
      </c>
    </row>
    <row r="149" spans="2:27">
      <c r="J149" t="str">
        <f t="shared" si="41"/>
        <v>\I:Trd_car_lpg</v>
      </c>
      <c r="K149" t="str">
        <f t="shared" si="42"/>
        <v>\I:</v>
      </c>
      <c r="L149" t="str">
        <f t="shared" si="43"/>
        <v>\I:</v>
      </c>
      <c r="M149" s="390" t="str">
        <f t="shared" si="44"/>
        <v/>
      </c>
      <c r="N149" s="390" t="str">
        <f t="shared" si="45"/>
        <v/>
      </c>
      <c r="O149" s="390" t="str">
        <f t="shared" si="46"/>
        <v/>
      </c>
      <c r="P149" s="390" t="str">
        <f t="shared" si="47"/>
        <v/>
      </c>
      <c r="U149" s="386"/>
      <c r="X149" t="str">
        <f t="shared" si="39"/>
        <v>\I:</v>
      </c>
      <c r="Y149" t="str">
        <f ca="1" t="shared" si="40"/>
        <v>ICE medium size LPG car -- 00%</v>
      </c>
      <c r="Z149" s="388" t="s">
        <v>84</v>
      </c>
      <c r="AA149" s="388" t="s">
        <v>85</v>
      </c>
    </row>
    <row r="150" spans="2:27">
      <c r="J150" t="str">
        <f t="shared" si="41"/>
        <v>\I:Trd_car_lpg</v>
      </c>
      <c r="K150" t="str">
        <f t="shared" si="42"/>
        <v>\I:</v>
      </c>
      <c r="L150" t="str">
        <f t="shared" si="43"/>
        <v>\I:</v>
      </c>
      <c r="M150" s="390" t="str">
        <f t="shared" si="44"/>
        <v/>
      </c>
      <c r="N150" s="390" t="str">
        <f t="shared" si="45"/>
        <v/>
      </c>
      <c r="O150" s="390" t="str">
        <f t="shared" si="46"/>
        <v/>
      </c>
      <c r="P150" s="390" t="str">
        <f t="shared" si="47"/>
        <v/>
      </c>
      <c r="U150" s="386"/>
      <c r="X150" t="str">
        <f t="shared" si="39"/>
        <v>\I:</v>
      </c>
      <c r="Y150" t="str">
        <f ca="1" t="shared" si="40"/>
        <v>ICE medium size LPG car -- 00%</v>
      </c>
      <c r="Z150" s="388" t="s">
        <v>84</v>
      </c>
      <c r="AA150" s="388" t="s">
        <v>85</v>
      </c>
    </row>
    <row r="151" spans="2:27">
      <c r="B151" s="44" t="s">
        <v>92</v>
      </c>
      <c r="J151" t="str">
        <f t="shared" si="41"/>
        <v>\I:Trd_car_lpg</v>
      </c>
      <c r="K151" t="str">
        <f t="shared" si="42"/>
        <v>\I:</v>
      </c>
      <c r="L151" t="str">
        <f t="shared" si="43"/>
        <v>\I:</v>
      </c>
      <c r="M151" s="390" t="str">
        <f t="shared" si="44"/>
        <v/>
      </c>
      <c r="N151" s="390" t="str">
        <f t="shared" si="45"/>
        <v/>
      </c>
      <c r="O151" s="390" t="str">
        <f t="shared" si="46"/>
        <v/>
      </c>
      <c r="P151" s="390" t="str">
        <f t="shared" si="47"/>
        <v/>
      </c>
      <c r="U151" s="386"/>
      <c r="X151" t="str">
        <f t="shared" si="39"/>
        <v>\I:</v>
      </c>
      <c r="Y151" t="str">
        <f ca="1" t="shared" si="40"/>
        <v>ICE medium size LPG car -- Reference values for medium size E85 flex fuel</v>
      </c>
      <c r="Z151" s="388" t="s">
        <v>84</v>
      </c>
      <c r="AA151" s="388" t="s">
        <v>85</v>
      </c>
    </row>
    <row r="152" spans="2:27">
      <c r="B152" s="381">
        <v>2015</v>
      </c>
      <c r="C152" s="381"/>
      <c r="D152" s="381"/>
      <c r="J152" t="str">
        <f t="shared" si="41"/>
        <v>\I:Trd_car_lpg</v>
      </c>
      <c r="K152" t="str">
        <f t="shared" si="42"/>
        <v>\I:</v>
      </c>
      <c r="L152" t="str">
        <f t="shared" si="43"/>
        <v>\I:</v>
      </c>
      <c r="M152" s="390" t="str">
        <f t="shared" si="44"/>
        <v/>
      </c>
      <c r="N152" s="390" t="str">
        <f t="shared" si="45"/>
        <v/>
      </c>
      <c r="O152" s="390" t="str">
        <f t="shared" si="46"/>
        <v/>
      </c>
      <c r="P152" s="390" t="str">
        <f t="shared" si="47"/>
        <v/>
      </c>
      <c r="U152" s="386"/>
      <c r="X152" t="str">
        <f t="shared" si="39"/>
        <v>\I:</v>
      </c>
      <c r="Y152" t="str">
        <f ca="1" t="shared" si="40"/>
        <v>ICE medium size LPG car -- 201500%</v>
      </c>
      <c r="Z152" s="388" t="s">
        <v>84</v>
      </c>
      <c r="AA152" s="388" t="s">
        <v>85</v>
      </c>
    </row>
    <row r="153" spans="2:27">
      <c r="B153" s="46" t="s">
        <v>12</v>
      </c>
      <c r="C153" s="47" t="s">
        <v>13</v>
      </c>
      <c r="D153" s="48">
        <v>9.2</v>
      </c>
      <c r="J153" t="str">
        <f t="shared" si="41"/>
        <v>\I:Trd_car_lpg</v>
      </c>
      <c r="K153" t="str">
        <f t="shared" si="42"/>
        <v>\I:</v>
      </c>
      <c r="L153" t="str">
        <f t="shared" si="43"/>
        <v>\I:</v>
      </c>
      <c r="M153" s="390" t="str">
        <f t="shared" si="44"/>
        <v/>
      </c>
      <c r="N153" s="390" t="str">
        <f t="shared" si="45"/>
        <v/>
      </c>
      <c r="O153" s="390" t="str">
        <f t="shared" si="46"/>
        <v/>
      </c>
      <c r="P153" s="390" t="str">
        <f t="shared" si="47"/>
        <v/>
      </c>
      <c r="U153" s="386"/>
      <c r="X153" t="str">
        <f t="shared" si="39"/>
        <v>\I:</v>
      </c>
      <c r="Y153" t="str">
        <f ca="1" t="shared" si="40"/>
        <v>ICE medium size LPG car -- Energy consumption</v>
      </c>
      <c r="Z153" s="388" t="s">
        <v>84</v>
      </c>
      <c r="AA153" s="388" t="s">
        <v>85</v>
      </c>
    </row>
    <row r="154" spans="2:27">
      <c r="B154" s="46" t="s">
        <v>14</v>
      </c>
      <c r="C154" s="47" t="s">
        <v>15</v>
      </c>
      <c r="D154" s="68">
        <v>19587.048</v>
      </c>
      <c r="J154" t="str">
        <f t="shared" si="41"/>
        <v>\I:Trd_car_lpg</v>
      </c>
      <c r="K154" t="str">
        <f t="shared" si="42"/>
        <v>\I:</v>
      </c>
      <c r="L154" t="str">
        <f t="shared" si="43"/>
        <v>\I:</v>
      </c>
      <c r="M154" s="390" t="str">
        <f t="shared" si="44"/>
        <v/>
      </c>
      <c r="N154" s="390" t="str">
        <f t="shared" si="45"/>
        <v/>
      </c>
      <c r="O154" s="390" t="str">
        <f t="shared" si="46"/>
        <v/>
      </c>
      <c r="P154" s="390" t="str">
        <f t="shared" si="47"/>
        <v/>
      </c>
      <c r="U154" s="386"/>
      <c r="X154" t="str">
        <f t="shared" si="39"/>
        <v>\I:</v>
      </c>
      <c r="Y154" t="str">
        <f ca="1" t="shared" si="40"/>
        <v>ICE medium size LPG car -- Capital cost</v>
      </c>
      <c r="Z154" s="388" t="s">
        <v>84</v>
      </c>
      <c r="AA154" s="388" t="s">
        <v>85</v>
      </c>
    </row>
    <row r="155" spans="2:27">
      <c r="J155" t="str">
        <f t="shared" si="41"/>
        <v>\I:Trd_car_lpg</v>
      </c>
      <c r="K155" t="str">
        <f t="shared" si="42"/>
        <v>\I:</v>
      </c>
      <c r="L155" t="str">
        <f t="shared" si="43"/>
        <v>\I:</v>
      </c>
      <c r="M155" s="390" t="str">
        <f t="shared" si="44"/>
        <v/>
      </c>
      <c r="N155" s="390" t="str">
        <f t="shared" si="45"/>
        <v/>
      </c>
      <c r="O155" s="390" t="str">
        <f t="shared" si="46"/>
        <v/>
      </c>
      <c r="P155" s="390" t="str">
        <f t="shared" si="47"/>
        <v/>
      </c>
      <c r="U155" s="386"/>
      <c r="X155" t="str">
        <f t="shared" si="39"/>
        <v>\I:</v>
      </c>
      <c r="Y155" t="str">
        <f ca="1" t="shared" si="40"/>
        <v>ICE medium size LPG car -- 00%</v>
      </c>
      <c r="Z155" s="388" t="s">
        <v>84</v>
      </c>
      <c r="AA155" s="388" t="s">
        <v>85</v>
      </c>
    </row>
    <row r="156" ht="15" customHeight="1" spans="2:27">
      <c r="B156" s="387" t="s">
        <v>93</v>
      </c>
      <c r="C156" s="387" t="s">
        <v>64</v>
      </c>
      <c r="D156" s="387"/>
      <c r="E156" s="387"/>
      <c r="F156" s="387"/>
      <c r="J156" t="str">
        <f t="shared" si="41"/>
        <v>\I:Trd_car_E85</v>
      </c>
      <c r="K156" t="str">
        <f t="shared" si="42"/>
        <v>\I:</v>
      </c>
      <c r="L156" t="str">
        <f t="shared" si="43"/>
        <v>\I:</v>
      </c>
      <c r="M156" s="390" t="str">
        <f t="shared" si="44"/>
        <v/>
      </c>
      <c r="N156" s="390" t="str">
        <f t="shared" si="45"/>
        <v/>
      </c>
      <c r="O156" s="390" t="str">
        <f t="shared" si="46"/>
        <v/>
      </c>
      <c r="P156" s="390" t="str">
        <f t="shared" si="47"/>
        <v/>
      </c>
      <c r="U156" s="386"/>
      <c r="X156" t="str">
        <f t="shared" si="39"/>
        <v>\I:</v>
      </c>
      <c r="Y156" t="str">
        <f ca="1" t="shared" si="40"/>
        <v>ICE medium size E85 flex-fuel car -- Reduction of specific energy consumption relative to 2015 E85 vehicle (%)</v>
      </c>
      <c r="Z156" s="388" t="s">
        <v>84</v>
      </c>
      <c r="AA156" s="388" t="s">
        <v>85</v>
      </c>
    </row>
    <row r="157" spans="2:27">
      <c r="B157" s="387"/>
      <c r="C157" s="387"/>
      <c r="D157" s="387"/>
      <c r="E157" s="387"/>
      <c r="F157" s="387"/>
      <c r="J157" t="str">
        <f t="shared" si="41"/>
        <v>\I:Trd_car_E85</v>
      </c>
      <c r="K157" t="str">
        <f t="shared" si="42"/>
        <v>\I:</v>
      </c>
      <c r="L157" t="str">
        <f t="shared" si="43"/>
        <v>\I:</v>
      </c>
      <c r="M157" s="390" t="str">
        <f t="shared" si="44"/>
        <v/>
      </c>
      <c r="N157" s="390" t="str">
        <f t="shared" si="45"/>
        <v/>
      </c>
      <c r="O157" s="390" t="str">
        <f t="shared" si="46"/>
        <v/>
      </c>
      <c r="P157" s="390" t="str">
        <f t="shared" si="47"/>
        <v/>
      </c>
      <c r="U157" s="386"/>
      <c r="X157" t="str">
        <f t="shared" si="39"/>
        <v>\I:</v>
      </c>
      <c r="Y157" t="str">
        <f ca="1" t="shared" si="40"/>
        <v>ICE medium size E85 flex-fuel car -- 00%</v>
      </c>
      <c r="Z157" s="388" t="s">
        <v>84</v>
      </c>
      <c r="AA157" s="388" t="s">
        <v>85</v>
      </c>
    </row>
    <row r="158" spans="2:27">
      <c r="B158" s="387"/>
      <c r="C158" s="387"/>
      <c r="D158" s="387"/>
      <c r="E158" s="387"/>
      <c r="F158" s="387"/>
      <c r="J158" t="str">
        <f t="shared" si="41"/>
        <v>\I:Trd_car_E85</v>
      </c>
      <c r="K158" t="str">
        <f t="shared" si="42"/>
        <v>\I:</v>
      </c>
      <c r="L158" t="str">
        <f t="shared" si="43"/>
        <v>\I:</v>
      </c>
      <c r="M158" s="390" t="str">
        <f t="shared" si="44"/>
        <v/>
      </c>
      <c r="N158" s="390" t="str">
        <f t="shared" si="45"/>
        <v/>
      </c>
      <c r="O158" s="390" t="str">
        <f t="shared" si="46"/>
        <v/>
      </c>
      <c r="P158" s="390" t="str">
        <f t="shared" si="47"/>
        <v/>
      </c>
      <c r="U158" s="386"/>
      <c r="X158" t="str">
        <f t="shared" si="39"/>
        <v>\I:</v>
      </c>
      <c r="Y158" t="str">
        <f ca="1" t="shared" si="40"/>
        <v>ICE medium size E85 flex-fuel car -- 00%</v>
      </c>
      <c r="Z158" s="388" t="s">
        <v>84</v>
      </c>
      <c r="AA158" s="388" t="s">
        <v>85</v>
      </c>
    </row>
    <row r="159" spans="2:27">
      <c r="B159" s="88"/>
      <c r="C159" s="51">
        <v>2020</v>
      </c>
      <c r="D159" s="51">
        <v>2030</v>
      </c>
      <c r="E159" s="51">
        <v>2040</v>
      </c>
      <c r="F159" s="51">
        <v>2050</v>
      </c>
      <c r="J159" t="str">
        <f t="shared" si="41"/>
        <v>\I:Trd_car_E85</v>
      </c>
      <c r="K159" t="str">
        <f t="shared" si="42"/>
        <v>\I:</v>
      </c>
      <c r="L159" t="str">
        <f t="shared" si="43"/>
        <v>\I:</v>
      </c>
      <c r="M159" s="390" t="str">
        <f t="shared" si="44"/>
        <v/>
      </c>
      <c r="N159" s="390" t="str">
        <f t="shared" si="45"/>
        <v/>
      </c>
      <c r="O159" s="390" t="str">
        <f t="shared" si="46"/>
        <v/>
      </c>
      <c r="P159" s="390" t="str">
        <f t="shared" si="47"/>
        <v/>
      </c>
      <c r="U159" s="386"/>
      <c r="X159" t="str">
        <f t="shared" si="39"/>
        <v>\I:</v>
      </c>
      <c r="Y159" t="str">
        <f ca="1" t="shared" si="40"/>
        <v>ICE medium size E85 flex-fuel car -- 00%</v>
      </c>
      <c r="Z159" s="388" t="s">
        <v>84</v>
      </c>
      <c r="AA159" s="388"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90">
        <f t="shared" si="44"/>
        <v>19851.2688184151</v>
      </c>
      <c r="N160" s="390">
        <f t="shared" si="45"/>
        <v>19657.8934601988</v>
      </c>
      <c r="O160" s="390">
        <f t="shared" si="46"/>
        <v>19657.8934601988</v>
      </c>
      <c r="P160" s="390">
        <f t="shared" si="47"/>
        <v>19657.8934601988</v>
      </c>
      <c r="Q160">
        <f t="shared" ref="Q160:Q166" si="48">P160</f>
        <v>19657.8934601988</v>
      </c>
      <c r="R160">
        <v>3</v>
      </c>
      <c r="U160" s="386"/>
      <c r="X160" t="str">
        <f t="shared" si="39"/>
        <v>\I:Trd_car_E85_13</v>
      </c>
      <c r="Y160" t="str">
        <f ca="1" t="shared" si="40"/>
        <v>ICE medium size E85 flex-fuel car -- 13%</v>
      </c>
      <c r="Z160" s="388" t="s">
        <v>84</v>
      </c>
      <c r="AA160" s="388"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90">
        <f t="shared" si="44"/>
        <v>20667.1160508183</v>
      </c>
      <c r="N161" s="390">
        <f t="shared" si="45"/>
        <v>19918.845962835</v>
      </c>
      <c r="O161" s="390">
        <f t="shared" si="46"/>
        <v>19918.845962835</v>
      </c>
      <c r="P161" s="390">
        <f t="shared" si="47"/>
        <v>19918.845962835</v>
      </c>
      <c r="Q161">
        <f t="shared" si="48"/>
        <v>19918.845962835</v>
      </c>
      <c r="R161">
        <v>3</v>
      </c>
      <c r="U161" s="386"/>
      <c r="X161" t="str">
        <f t="shared" si="39"/>
        <v>\I:Trd_car_E85_23</v>
      </c>
      <c r="Y161" t="str">
        <f ca="1" t="shared" si="40"/>
        <v>ICE medium size E85 flex-fuel car -- 23%</v>
      </c>
      <c r="Z161" s="388" t="s">
        <v>84</v>
      </c>
      <c r="AA161" s="388"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90">
        <f t="shared" si="44"/>
        <v>22430.2635818993</v>
      </c>
      <c r="N162" s="390">
        <f t="shared" si="45"/>
        <v>20550.1451770178</v>
      </c>
      <c r="O162" s="390">
        <f t="shared" si="46"/>
        <v>20550.1451770178</v>
      </c>
      <c r="P162" s="390">
        <f t="shared" si="47"/>
        <v>20550.1451770178</v>
      </c>
      <c r="Q162">
        <f t="shared" si="48"/>
        <v>20550.1451770178</v>
      </c>
      <c r="R162">
        <v>3</v>
      </c>
      <c r="U162" s="386"/>
      <c r="X162" t="str">
        <f t="shared" si="39"/>
        <v>\I:Trd_car_E85_33</v>
      </c>
      <c r="Y162" t="str">
        <f ca="1" t="shared" si="40"/>
        <v>ICE medium size E85 flex-fuel car -- 33%</v>
      </c>
      <c r="Z162" s="388" t="s">
        <v>84</v>
      </c>
      <c r="AA162" s="388"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90">
        <f t="shared" si="44"/>
        <v>24943.5882135329</v>
      </c>
      <c r="N163" s="390">
        <f t="shared" si="45"/>
        <v>21283.2868906618</v>
      </c>
      <c r="O163" s="390">
        <f t="shared" si="46"/>
        <v>21283.2868906618</v>
      </c>
      <c r="P163" s="390">
        <f t="shared" si="47"/>
        <v>21283.2868906618</v>
      </c>
      <c r="Q163">
        <f t="shared" si="48"/>
        <v>21283.2868906618</v>
      </c>
      <c r="R163">
        <v>3</v>
      </c>
      <c r="U163" s="386"/>
      <c r="X163" t="str">
        <f t="shared" si="39"/>
        <v>\I:Trd_car_E85_38</v>
      </c>
      <c r="Y163" t="str">
        <f ca="1" t="shared" si="40"/>
        <v>ICE medium size E85 flex-fuel car -- 38%</v>
      </c>
      <c r="Z163" s="388" t="s">
        <v>84</v>
      </c>
      <c r="AA163" s="388"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90">
        <f t="shared" si="44"/>
        <v>54212.7433847634</v>
      </c>
      <c r="N164" s="390">
        <f t="shared" si="45"/>
        <v>23096.2010244043</v>
      </c>
      <c r="O164" s="390">
        <f t="shared" si="46"/>
        <v>23096.2010244043</v>
      </c>
      <c r="P164" s="390">
        <f t="shared" si="47"/>
        <v>23096.2010244043</v>
      </c>
      <c r="Q164">
        <f t="shared" si="48"/>
        <v>23096.2010244043</v>
      </c>
      <c r="R164">
        <v>3</v>
      </c>
      <c r="U164" s="386"/>
      <c r="X164" t="str">
        <f t="shared" si="39"/>
        <v>\I:Trd_car_E85_43</v>
      </c>
      <c r="Y164" t="str">
        <f ca="1" t="shared" si="40"/>
        <v>ICE medium size E85 flex-fuel car -- 43%</v>
      </c>
      <c r="Z164" s="388" t="s">
        <v>84</v>
      </c>
      <c r="AA164" s="388"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90">
        <f t="shared" si="44"/>
        <v>119391.059928288</v>
      </c>
      <c r="N165" s="390">
        <f t="shared" si="45"/>
        <v>41570.2454218915</v>
      </c>
      <c r="O165" s="390">
        <f t="shared" si="46"/>
        <v>41570.2454218915</v>
      </c>
      <c r="P165" s="390">
        <f t="shared" si="47"/>
        <v>41570.2454218915</v>
      </c>
      <c r="Q165">
        <f t="shared" si="48"/>
        <v>41570.2454218915</v>
      </c>
      <c r="R165">
        <v>3</v>
      </c>
      <c r="U165" s="386"/>
      <c r="X165" t="str">
        <f t="shared" si="39"/>
        <v>\I:Trd_car_E85_48</v>
      </c>
      <c r="Y165" t="str">
        <f ca="1" t="shared" si="40"/>
        <v>ICE medium size E85 flex-fuel car -- 48%</v>
      </c>
      <c r="Z165" s="388" t="s">
        <v>84</v>
      </c>
      <c r="AA165" s="388" t="s">
        <v>85</v>
      </c>
    </row>
    <row r="166" spans="2:27">
      <c r="C166" s="97"/>
      <c r="D166" s="97"/>
      <c r="E166" s="97"/>
      <c r="F166" s="97"/>
      <c r="J166" t="str">
        <f t="shared" si="41"/>
        <v>\I:Trd_car_E85</v>
      </c>
      <c r="K166" t="str">
        <f t="shared" si="42"/>
        <v>\I:</v>
      </c>
      <c r="L166" t="str">
        <f t="shared" si="43"/>
        <v>\I:</v>
      </c>
      <c r="M166" s="390" t="str">
        <f t="shared" si="44"/>
        <v/>
      </c>
      <c r="N166" s="390" t="str">
        <f t="shared" si="45"/>
        <v/>
      </c>
      <c r="O166" s="390" t="str">
        <f t="shared" si="46"/>
        <v/>
      </c>
      <c r="P166" s="390" t="str">
        <f t="shared" si="47"/>
        <v/>
      </c>
      <c r="Q166" t="str">
        <f t="shared" si="48"/>
        <v/>
      </c>
      <c r="U166" s="386"/>
      <c r="X166" t="str">
        <f t="shared" si="39"/>
        <v>\I:</v>
      </c>
      <c r="Y166" t="str">
        <f ca="1" t="shared" si="40"/>
        <v>ICE medium size E85 flex-fuel car -- 00%</v>
      </c>
      <c r="Z166" s="388" t="s">
        <v>84</v>
      </c>
      <c r="AA166" s="388" t="s">
        <v>85</v>
      </c>
    </row>
    <row r="167" spans="2:27">
      <c r="J167" t="str">
        <f t="shared" si="41"/>
        <v>\I:Trd_car_E85</v>
      </c>
      <c r="K167" t="str">
        <f t="shared" si="42"/>
        <v>\I:</v>
      </c>
      <c r="L167" t="str">
        <f t="shared" si="43"/>
        <v>\I:</v>
      </c>
      <c r="M167" s="390" t="str">
        <f t="shared" si="44"/>
        <v/>
      </c>
      <c r="N167" s="390" t="str">
        <f t="shared" si="45"/>
        <v/>
      </c>
      <c r="O167" s="390" t="str">
        <f t="shared" si="46"/>
        <v/>
      </c>
      <c r="P167" s="390" t="str">
        <f t="shared" si="47"/>
        <v/>
      </c>
      <c r="U167" s="386"/>
      <c r="X167" t="str">
        <f t="shared" si="39"/>
        <v>\I:</v>
      </c>
      <c r="Y167" t="str">
        <f ca="1" t="shared" si="40"/>
        <v>ICE medium size E85 flex-fuel car -- 00%</v>
      </c>
      <c r="Z167" s="388" t="s">
        <v>84</v>
      </c>
      <c r="AA167" s="388" t="s">
        <v>85</v>
      </c>
    </row>
    <row r="168" spans="2:27">
      <c r="J168" t="str">
        <f t="shared" si="41"/>
        <v>\I:Trd_car_E85</v>
      </c>
      <c r="K168" t="str">
        <f t="shared" si="42"/>
        <v>\I:</v>
      </c>
      <c r="L168" t="str">
        <f t="shared" si="43"/>
        <v>\I:</v>
      </c>
      <c r="M168" s="390" t="str">
        <f t="shared" si="44"/>
        <v/>
      </c>
      <c r="N168" s="390" t="str">
        <f t="shared" si="45"/>
        <v/>
      </c>
      <c r="O168" s="390" t="str">
        <f t="shared" si="46"/>
        <v/>
      </c>
      <c r="P168" s="390" t="str">
        <f t="shared" si="47"/>
        <v/>
      </c>
      <c r="U168" s="386"/>
      <c r="X168" t="str">
        <f t="shared" si="39"/>
        <v>\I:</v>
      </c>
      <c r="Y168" t="str">
        <f ca="1" t="shared" si="40"/>
        <v>ICE medium size E85 flex-fuel car -- 00%</v>
      </c>
      <c r="Z168" s="388" t="s">
        <v>84</v>
      </c>
      <c r="AA168" s="388" t="s">
        <v>85</v>
      </c>
    </row>
    <row r="169" spans="2:27">
      <c r="J169" t="str">
        <f t="shared" si="41"/>
        <v>\I:Trd_car_E85</v>
      </c>
      <c r="K169" t="str">
        <f t="shared" si="42"/>
        <v>\I:</v>
      </c>
      <c r="L169" t="str">
        <f t="shared" si="43"/>
        <v>\I:</v>
      </c>
      <c r="M169" s="390" t="str">
        <f t="shared" si="44"/>
        <v/>
      </c>
      <c r="N169" s="390" t="str">
        <f t="shared" si="45"/>
        <v/>
      </c>
      <c r="O169" s="390" t="str">
        <f t="shared" si="46"/>
        <v/>
      </c>
      <c r="P169" s="390" t="str">
        <f t="shared" si="47"/>
        <v/>
      </c>
      <c r="U169" s="386"/>
      <c r="X169" t="str">
        <f t="shared" si="39"/>
        <v>\I:</v>
      </c>
      <c r="Y169" t="str">
        <f ca="1" t="shared" si="40"/>
        <v>ICE medium size E85 flex-fuel car -- 00%</v>
      </c>
      <c r="Z169" s="388" t="s">
        <v>84</v>
      </c>
      <c r="AA169" s="388" t="s">
        <v>85</v>
      </c>
    </row>
    <row r="170" ht="15" customHeight="1" spans="2:27">
      <c r="B170" s="381">
        <v>2020</v>
      </c>
      <c r="C170" s="381"/>
      <c r="D170" s="381"/>
      <c r="J170" t="str">
        <f t="shared" si="41"/>
        <v>\I:Trd_car_E85</v>
      </c>
      <c r="K170" t="str">
        <f t="shared" si="42"/>
        <v>\I:</v>
      </c>
      <c r="L170" t="str">
        <f t="shared" si="43"/>
        <v>\I:</v>
      </c>
      <c r="M170" s="390" t="str">
        <f t="shared" si="44"/>
        <v/>
      </c>
      <c r="N170" s="390" t="str">
        <f t="shared" si="45"/>
        <v/>
      </c>
      <c r="O170" s="390" t="str">
        <f t="shared" si="46"/>
        <v/>
      </c>
      <c r="P170" s="390" t="str">
        <f t="shared" si="47"/>
        <v/>
      </c>
      <c r="U170" s="386"/>
      <c r="X170" t="str">
        <f t="shared" si="39"/>
        <v>\I:</v>
      </c>
      <c r="Y170" t="str">
        <f ca="1" t="shared" si="40"/>
        <v>ICE medium size E85 flex-fuel car -- 202000%</v>
      </c>
      <c r="Z170" s="388" t="s">
        <v>84</v>
      </c>
      <c r="AA170" s="388" t="s">
        <v>85</v>
      </c>
    </row>
    <row r="171" spans="2:27">
      <c r="B171" s="46" t="s">
        <v>94</v>
      </c>
      <c r="C171" s="47" t="s">
        <v>26</v>
      </c>
      <c r="D171" s="74">
        <v>0.15</v>
      </c>
      <c r="G171" s="75">
        <f>D171/3.6/100*10^9/10^6</f>
        <v>0.416666666666667</v>
      </c>
      <c r="H171" s="75"/>
      <c r="I171" s="409">
        <f>1/G171-0.4</f>
        <v>2</v>
      </c>
      <c r="J171" t="str">
        <f t="shared" si="41"/>
        <v>\I:Trd_car_E85</v>
      </c>
      <c r="K171" t="str">
        <f t="shared" si="42"/>
        <v>\I:</v>
      </c>
      <c r="L171" t="str">
        <f t="shared" si="43"/>
        <v>\I:</v>
      </c>
      <c r="M171" s="390" t="str">
        <f t="shared" si="44"/>
        <v/>
      </c>
      <c r="N171" s="390" t="str">
        <f t="shared" si="45"/>
        <v/>
      </c>
      <c r="O171" s="390" t="str">
        <f t="shared" si="46"/>
        <v/>
      </c>
      <c r="P171" s="390" t="str">
        <f t="shared" si="47"/>
        <v/>
      </c>
      <c r="U171" s="386"/>
      <c r="X171" t="str">
        <f t="shared" si="39"/>
        <v>\I:</v>
      </c>
      <c r="Y171" t="str">
        <f ca="1" t="shared" si="40"/>
        <v>ICE medium size E85 flex-fuel car -- Energy consumption οf Medium size battery electric car</v>
      </c>
      <c r="Z171" s="388" t="s">
        <v>84</v>
      </c>
      <c r="AA171" s="388" t="s">
        <v>85</v>
      </c>
    </row>
    <row r="172" spans="2:27">
      <c r="I172" s="393" t="s">
        <v>70</v>
      </c>
      <c r="J172" t="str">
        <f t="shared" si="41"/>
        <v>\I:Trd_car_E85</v>
      </c>
      <c r="K172" t="str">
        <f t="shared" si="42"/>
        <v>\I:</v>
      </c>
      <c r="L172" t="str">
        <f t="shared" si="43"/>
        <v>\I:</v>
      </c>
      <c r="M172" s="390" t="str">
        <f t="shared" si="44"/>
        <v/>
      </c>
      <c r="N172" s="390" t="str">
        <f t="shared" si="45"/>
        <v/>
      </c>
      <c r="O172" s="390" t="str">
        <f t="shared" si="46"/>
        <v/>
      </c>
      <c r="P172" s="390" t="str">
        <f t="shared" si="47"/>
        <v/>
      </c>
      <c r="U172" s="386"/>
      <c r="X172" t="str">
        <f t="shared" si="39"/>
        <v>\I:</v>
      </c>
      <c r="Y172" t="str">
        <f ca="1" t="shared" si="40"/>
        <v>ICE medium size E85 flex-fuel car -- 00%</v>
      </c>
      <c r="Z172" s="388" t="s">
        <v>84</v>
      </c>
      <c r="AA172" s="388" t="s">
        <v>85</v>
      </c>
    </row>
    <row r="173" ht="15" customHeight="1" spans="2:27">
      <c r="B173" s="387" t="s">
        <v>27</v>
      </c>
      <c r="C173" s="387" t="s">
        <v>67</v>
      </c>
      <c r="D173" s="387"/>
      <c r="E173" s="387"/>
      <c r="F173" s="387"/>
      <c r="J173" t="str">
        <f t="shared" si="41"/>
        <v>Trd_car_elc</v>
      </c>
      <c r="K173" t="str">
        <f t="shared" si="42"/>
        <v>\I:</v>
      </c>
      <c r="L173" t="str">
        <f t="shared" si="43"/>
        <v>\I:</v>
      </c>
      <c r="M173" s="390" t="str">
        <f t="shared" si="44"/>
        <v/>
      </c>
      <c r="N173" s="390" t="str">
        <f t="shared" si="45"/>
        <v/>
      </c>
      <c r="O173" s="390" t="str">
        <f t="shared" si="46"/>
        <v/>
      </c>
      <c r="P173" s="390" t="str">
        <f t="shared" si="47"/>
        <v/>
      </c>
      <c r="U173" s="386"/>
      <c r="X173" t="str">
        <f t="shared" si="39"/>
        <v>\I:</v>
      </c>
      <c r="Y173" t="str">
        <f ca="1" t="shared" si="40"/>
        <v>Medium size battery electric car -- Electric range (km)</v>
      </c>
      <c r="Z173" s="388" t="s">
        <v>84</v>
      </c>
      <c r="AA173" s="388" t="s">
        <v>85</v>
      </c>
    </row>
    <row r="174" spans="2:27">
      <c r="B174" s="387"/>
      <c r="C174" s="387"/>
      <c r="D174" s="387"/>
      <c r="E174" s="387"/>
      <c r="F174" s="387"/>
      <c r="J174" t="str">
        <f t="shared" si="41"/>
        <v>Trd_car_elc</v>
      </c>
      <c r="K174" t="str">
        <f t="shared" si="42"/>
        <v>\I:</v>
      </c>
      <c r="L174" t="str">
        <f t="shared" si="43"/>
        <v>\I:</v>
      </c>
      <c r="M174" s="390" t="str">
        <f t="shared" si="44"/>
        <v/>
      </c>
      <c r="N174" s="390" t="str">
        <f t="shared" si="45"/>
        <v/>
      </c>
      <c r="O174" s="390" t="str">
        <f t="shared" si="46"/>
        <v/>
      </c>
      <c r="P174" s="390" t="str">
        <f t="shared" si="47"/>
        <v/>
      </c>
      <c r="U174" s="386"/>
      <c r="X174" t="str">
        <f t="shared" si="39"/>
        <v>\I:</v>
      </c>
      <c r="Y174" t="str">
        <f ca="1" t="shared" si="40"/>
        <v>Medium size battery electric car -- 00%</v>
      </c>
      <c r="Z174" s="388" t="s">
        <v>84</v>
      </c>
      <c r="AA174" s="388" t="s">
        <v>85</v>
      </c>
    </row>
    <row r="175" spans="2:27">
      <c r="B175" s="387"/>
      <c r="C175" s="387"/>
      <c r="D175" s="387"/>
      <c r="E175" s="387"/>
      <c r="F175" s="387"/>
      <c r="J175" t="str">
        <f t="shared" si="41"/>
        <v>Trd_car_elc</v>
      </c>
      <c r="K175" t="str">
        <f t="shared" si="42"/>
        <v>\I:</v>
      </c>
      <c r="L175" t="str">
        <f t="shared" si="43"/>
        <v>\I:</v>
      </c>
      <c r="M175" s="390" t="str">
        <f t="shared" si="44"/>
        <v/>
      </c>
      <c r="N175" s="390" t="str">
        <f t="shared" si="45"/>
        <v/>
      </c>
      <c r="O175" s="390" t="str">
        <f t="shared" si="46"/>
        <v/>
      </c>
      <c r="P175" s="390" t="str">
        <f t="shared" si="47"/>
        <v/>
      </c>
      <c r="U175" s="386"/>
      <c r="X175" t="str">
        <f t="shared" si="39"/>
        <v>\I:</v>
      </c>
      <c r="Y175" t="str">
        <f ca="1" t="shared" si="40"/>
        <v>Medium size battery electric car -- 00%</v>
      </c>
      <c r="Z175" s="388" t="s">
        <v>84</v>
      </c>
      <c r="AA175" s="388" t="s">
        <v>85</v>
      </c>
    </row>
    <row r="176" spans="2:27">
      <c r="B176" s="88"/>
      <c r="C176" s="51">
        <v>2020</v>
      </c>
      <c r="D176" s="51">
        <v>2030</v>
      </c>
      <c r="E176" s="51">
        <v>2040</v>
      </c>
      <c r="F176" s="51">
        <v>2050</v>
      </c>
      <c r="J176" t="str">
        <f t="shared" si="41"/>
        <v>Trd_car_elc</v>
      </c>
      <c r="K176" t="str">
        <f t="shared" si="42"/>
        <v>\I:</v>
      </c>
      <c r="L176" t="str">
        <f t="shared" si="43"/>
        <v>\I:</v>
      </c>
      <c r="M176" s="390" t="str">
        <f t="shared" si="44"/>
        <v/>
      </c>
      <c r="N176" s="390" t="str">
        <f t="shared" si="45"/>
        <v/>
      </c>
      <c r="O176" s="390" t="str">
        <f t="shared" si="46"/>
        <v/>
      </c>
      <c r="P176" s="390" t="str">
        <f t="shared" si="47"/>
        <v/>
      </c>
      <c r="U176" s="386"/>
      <c r="X176" t="str">
        <f t="shared" si="39"/>
        <v>\I:</v>
      </c>
      <c r="Y176" t="str">
        <f ca="1" t="shared" si="40"/>
        <v>Medium size battery electric car -- 00%</v>
      </c>
      <c r="Z176" s="388" t="s">
        <v>84</v>
      </c>
      <c r="AA176" s="388" t="s">
        <v>85</v>
      </c>
    </row>
    <row r="177" spans="2:27">
      <c r="B177" s="66">
        <v>120</v>
      </c>
      <c r="C177" s="86">
        <v>23157.6575819394</v>
      </c>
      <c r="D177" s="86">
        <v>20751.720805376</v>
      </c>
      <c r="E177" s="86">
        <v>20217.5262772825</v>
      </c>
      <c r="F177" s="86">
        <v>20032.534537058</v>
      </c>
      <c r="I177" s="394">
        <f>$I$171/$I$12</f>
        <v>4.29135863605588</v>
      </c>
      <c r="J177" t="str">
        <f t="shared" si="41"/>
        <v>Trd_car_elc</v>
      </c>
      <c r="K177" t="str">
        <f>IFERROR(IF(VALUE(C177)&gt;2020,J177&amp;"_"&amp;TEXT(B177,"000"),"\I:"),"\I:")</f>
        <v>Trd_car_elc_120</v>
      </c>
      <c r="L177" t="str">
        <f t="shared" si="43"/>
        <v>Trd_car</v>
      </c>
      <c r="M177" s="395">
        <f t="shared" ref="M177:M184" si="49">IF($K177="\I:","",C177*70%)</f>
        <v>16210.3603073576</v>
      </c>
      <c r="N177" s="395">
        <f>IF($K177="\I:","",D177*70%)</f>
        <v>14526.2045637632</v>
      </c>
      <c r="O177" s="395">
        <f>IF($K177="\I:","",E177*70%)</f>
        <v>14152.2683940977</v>
      </c>
      <c r="P177" s="395">
        <f>IF($K177="\I:","",F177*70%)</f>
        <v>14022.7741759406</v>
      </c>
      <c r="Q177">
        <f t="shared" ref="Q177:Q184" si="50">P177</f>
        <v>14022.7741759406</v>
      </c>
      <c r="R177">
        <v>3</v>
      </c>
      <c r="U177" s="396">
        <v>0.05</v>
      </c>
      <c r="X177" t="str">
        <f t="shared" ref="X177:X199" si="51">K177</f>
        <v>Trd_car_elc_120</v>
      </c>
      <c r="Y177" t="str">
        <f ca="1" t="shared" ref="Y177:Y184" si="52">OFFSET($V$1,MATCH(J177,$V$1:$V$11,0)-1,-1)&amp;" -- "&amp;TEXT(B177,"000")</f>
        <v>Medium size battery electric car -- 120</v>
      </c>
      <c r="Z177" s="388" t="s">
        <v>84</v>
      </c>
      <c r="AA177" s="388" t="s">
        <v>85</v>
      </c>
    </row>
    <row r="178" spans="2:27">
      <c r="B178" s="66">
        <v>160</v>
      </c>
      <c r="C178" s="86">
        <v>24797.3390883531</v>
      </c>
      <c r="D178" s="86">
        <v>20898.3261358183</v>
      </c>
      <c r="E178" s="86">
        <v>20316.3084785431</v>
      </c>
      <c r="F178" s="86">
        <v>20114.7555730032</v>
      </c>
      <c r="I178" s="394">
        <f t="shared" ref="I178:I184" si="53">$I$171/$I$12</f>
        <v>4.29135863605588</v>
      </c>
      <c r="J178" t="str">
        <f t="shared" si="41"/>
        <v>Trd_car_elc</v>
      </c>
      <c r="K178" t="str">
        <f t="shared" ref="K178:K184" si="54">IFERROR(IF(VALUE(C178)&gt;2020,J178&amp;"_"&amp;TEXT(B178,"000"),"\I:"),"\I:")</f>
        <v>Trd_car_elc_160</v>
      </c>
      <c r="L178" t="str">
        <f t="shared" si="43"/>
        <v>Trd_car</v>
      </c>
      <c r="M178" s="395">
        <f t="shared" si="49"/>
        <v>17358.1373618472</v>
      </c>
      <c r="N178" s="395">
        <f t="shared" ref="N178:N184" si="55">IF($K178="\I:","",D178*70%)</f>
        <v>14628.8282950728</v>
      </c>
      <c r="O178" s="395">
        <f t="shared" ref="O178:O184" si="56">IF($K178="\I:","",E178*70%)</f>
        <v>14221.4159349802</v>
      </c>
      <c r="P178" s="395">
        <f t="shared" ref="P178:P184" si="57">IF($K178="\I:","",F178*70%)</f>
        <v>14080.3289011022</v>
      </c>
      <c r="Q178">
        <f t="shared" si="50"/>
        <v>14080.3289011022</v>
      </c>
      <c r="R178">
        <v>3</v>
      </c>
      <c r="U178" s="396">
        <v>0.075</v>
      </c>
      <c r="X178" t="str">
        <f t="shared" si="51"/>
        <v>Trd_car_elc_160</v>
      </c>
      <c r="Y178" t="str">
        <f ca="1" t="shared" si="52"/>
        <v>Medium size battery electric car -- 160</v>
      </c>
      <c r="Z178" s="388" t="s">
        <v>84</v>
      </c>
      <c r="AA178" s="388" t="s">
        <v>85</v>
      </c>
    </row>
    <row r="179" spans="2:27">
      <c r="B179" s="66">
        <v>200</v>
      </c>
      <c r="C179" s="86">
        <v>26437.0205947667</v>
      </c>
      <c r="D179" s="86">
        <v>21188.417534353</v>
      </c>
      <c r="E179" s="86">
        <v>20511.7711321012</v>
      </c>
      <c r="F179" s="86">
        <v>20277.4482611501</v>
      </c>
      <c r="I179" s="394">
        <f t="shared" si="53"/>
        <v>4.29135863605588</v>
      </c>
      <c r="J179" t="str">
        <f t="shared" si="41"/>
        <v>Trd_car_elc</v>
      </c>
      <c r="K179" t="str">
        <f t="shared" si="54"/>
        <v>Trd_car_elc_200</v>
      </c>
      <c r="L179" t="str">
        <f t="shared" si="43"/>
        <v>Trd_car</v>
      </c>
      <c r="M179" s="395">
        <f t="shared" si="49"/>
        <v>18505.9144163367</v>
      </c>
      <c r="N179" s="395">
        <f t="shared" si="55"/>
        <v>14831.8922740471</v>
      </c>
      <c r="O179" s="395">
        <f t="shared" si="56"/>
        <v>14358.2397924708</v>
      </c>
      <c r="P179" s="395">
        <f t="shared" si="57"/>
        <v>14194.2137828051</v>
      </c>
      <c r="Q179">
        <f t="shared" si="50"/>
        <v>14194.2137828051</v>
      </c>
      <c r="R179">
        <v>3</v>
      </c>
      <c r="U179" s="396">
        <v>0.1</v>
      </c>
      <c r="X179" t="str">
        <f t="shared" si="51"/>
        <v>Trd_car_elc_200</v>
      </c>
      <c r="Y179" t="str">
        <f ca="1" t="shared" si="52"/>
        <v>Medium size battery electric car -- 200</v>
      </c>
      <c r="Z179" s="388" t="s">
        <v>84</v>
      </c>
      <c r="AA179" s="388" t="s">
        <v>85</v>
      </c>
    </row>
    <row r="180" spans="2:27">
      <c r="B180" s="66">
        <v>250</v>
      </c>
      <c r="C180" s="86">
        <v>28564.0109499813</v>
      </c>
      <c r="D180" s="86">
        <v>21785.3315089368</v>
      </c>
      <c r="E180" s="86">
        <v>20913.9698529438</v>
      </c>
      <c r="F180" s="86">
        <v>20612.2170257811</v>
      </c>
      <c r="I180" s="394">
        <f t="shared" si="53"/>
        <v>4.29135863605588</v>
      </c>
      <c r="J180" t="str">
        <f t="shared" si="41"/>
        <v>Trd_car_elc</v>
      </c>
      <c r="K180" t="str">
        <f t="shared" si="54"/>
        <v>Trd_car_elc_250</v>
      </c>
      <c r="L180" t="str">
        <f t="shared" si="43"/>
        <v>Trd_car</v>
      </c>
      <c r="M180" s="395">
        <f t="shared" si="49"/>
        <v>19994.8076649869</v>
      </c>
      <c r="N180" s="395">
        <f t="shared" si="55"/>
        <v>15249.7320562558</v>
      </c>
      <c r="O180" s="395">
        <f t="shared" si="56"/>
        <v>14639.7788970607</v>
      </c>
      <c r="P180" s="395">
        <f t="shared" si="57"/>
        <v>14428.5519180468</v>
      </c>
      <c r="Q180">
        <f t="shared" si="50"/>
        <v>14428.5519180468</v>
      </c>
      <c r="R180">
        <v>3</v>
      </c>
      <c r="U180" s="396">
        <v>0.125</v>
      </c>
      <c r="X180" t="str">
        <f t="shared" si="51"/>
        <v>Trd_car_elc_250</v>
      </c>
      <c r="Y180" t="str">
        <f ca="1" t="shared" si="52"/>
        <v>Medium size battery electric car -- 250</v>
      </c>
      <c r="Z180" s="388" t="s">
        <v>84</v>
      </c>
      <c r="AA180" s="388" t="s">
        <v>85</v>
      </c>
    </row>
    <row r="181" spans="2:27">
      <c r="B181" s="66">
        <v>300</v>
      </c>
      <c r="C181" s="86">
        <v>30691.0013051959</v>
      </c>
      <c r="D181" s="86">
        <v>22382.2454835207</v>
      </c>
      <c r="E181" s="86">
        <v>21316.1685737864</v>
      </c>
      <c r="F181" s="86">
        <v>20946.985790412</v>
      </c>
      <c r="I181" s="394">
        <f t="shared" si="53"/>
        <v>4.29135863605588</v>
      </c>
      <c r="J181" t="str">
        <f t="shared" si="41"/>
        <v>Trd_car_elc</v>
      </c>
      <c r="K181" t="str">
        <f t="shared" si="54"/>
        <v>Trd_car_elc_300</v>
      </c>
      <c r="L181" t="str">
        <f t="shared" si="43"/>
        <v>Trd_car</v>
      </c>
      <c r="M181" s="395">
        <f t="shared" si="49"/>
        <v>21483.7009136371</v>
      </c>
      <c r="N181" s="395">
        <f t="shared" si="55"/>
        <v>15667.5718384645</v>
      </c>
      <c r="O181" s="395">
        <f t="shared" si="56"/>
        <v>14921.3180016505</v>
      </c>
      <c r="P181" s="395">
        <f t="shared" si="57"/>
        <v>14662.8900532884</v>
      </c>
      <c r="Q181">
        <f t="shared" si="50"/>
        <v>14662.8900532884</v>
      </c>
      <c r="R181">
        <v>3</v>
      </c>
      <c r="U181" s="396">
        <v>0.15</v>
      </c>
      <c r="X181" t="str">
        <f t="shared" si="51"/>
        <v>Trd_car_elc_300</v>
      </c>
      <c r="Y181" t="str">
        <f ca="1" t="shared" si="52"/>
        <v>Medium size battery electric car -- 300</v>
      </c>
      <c r="Z181" s="388" t="s">
        <v>84</v>
      </c>
      <c r="AA181" s="388" t="s">
        <v>85</v>
      </c>
    </row>
    <row r="182" spans="2:27">
      <c r="B182" s="66">
        <v>350</v>
      </c>
      <c r="C182" s="86">
        <v>33572.5229819496</v>
      </c>
      <c r="D182" s="86">
        <v>23101.8629366229</v>
      </c>
      <c r="E182" s="86">
        <v>21722.7842202962</v>
      </c>
      <c r="F182" s="86">
        <v>21285.4309683989</v>
      </c>
      <c r="I182" s="394">
        <f t="shared" si="53"/>
        <v>4.29135863605588</v>
      </c>
      <c r="J182" t="str">
        <f t="shared" si="41"/>
        <v>Trd_car_elc</v>
      </c>
      <c r="K182" t="str">
        <f t="shared" si="54"/>
        <v>Trd_car_elc_350</v>
      </c>
      <c r="L182" t="str">
        <f t="shared" si="43"/>
        <v>Trd_car</v>
      </c>
      <c r="M182" s="395">
        <f t="shared" si="49"/>
        <v>23500.7660873647</v>
      </c>
      <c r="N182" s="395">
        <f t="shared" si="55"/>
        <v>16171.304055636</v>
      </c>
      <c r="O182" s="395">
        <f t="shared" si="56"/>
        <v>15205.9489542073</v>
      </c>
      <c r="P182" s="395">
        <f t="shared" si="57"/>
        <v>14899.8016778792</v>
      </c>
      <c r="Q182">
        <f t="shared" si="50"/>
        <v>14899.8016778792</v>
      </c>
      <c r="R182">
        <v>3</v>
      </c>
      <c r="U182" s="396">
        <v>0.175</v>
      </c>
      <c r="X182" t="str">
        <f t="shared" si="51"/>
        <v>Trd_car_elc_350</v>
      </c>
      <c r="Y182" t="str">
        <f ca="1" t="shared" si="52"/>
        <v>Medium size battery electric car -- 350</v>
      </c>
      <c r="Z182" s="388" t="s">
        <v>84</v>
      </c>
      <c r="AA182" s="388" t="s">
        <v>85</v>
      </c>
    </row>
    <row r="183" spans="2:27">
      <c r="B183" s="66">
        <v>400</v>
      </c>
      <c r="C183" s="86">
        <v>36673.347231568</v>
      </c>
      <c r="D183" s="86">
        <v>23857.6885449144</v>
      </c>
      <c r="E183" s="86">
        <v>22129.399866806</v>
      </c>
      <c r="F183" s="86">
        <v>21623.8761463858</v>
      </c>
      <c r="I183" s="394">
        <f t="shared" si="53"/>
        <v>4.29135863605588</v>
      </c>
      <c r="J183" t="str">
        <f t="shared" si="41"/>
        <v>Trd_car_elc</v>
      </c>
      <c r="K183" t="str">
        <f t="shared" si="54"/>
        <v>Trd_car_elc_400</v>
      </c>
      <c r="L183" t="str">
        <f t="shared" si="43"/>
        <v>Trd_car</v>
      </c>
      <c r="M183" s="395">
        <f t="shared" si="49"/>
        <v>25671.3430620976</v>
      </c>
      <c r="N183" s="395">
        <f t="shared" si="55"/>
        <v>16700.3819814401</v>
      </c>
      <c r="O183" s="395">
        <f t="shared" si="56"/>
        <v>15490.5799067642</v>
      </c>
      <c r="P183" s="395">
        <f t="shared" si="57"/>
        <v>15136.7133024701</v>
      </c>
      <c r="Q183">
        <f t="shared" si="50"/>
        <v>15136.7133024701</v>
      </c>
      <c r="R183">
        <v>3</v>
      </c>
      <c r="U183" s="396">
        <v>0.2</v>
      </c>
      <c r="X183" t="str">
        <f t="shared" si="51"/>
        <v>Trd_car_elc_400</v>
      </c>
      <c r="Y183" t="str">
        <f ca="1" t="shared" si="52"/>
        <v>Medium size battery electric car -- 400</v>
      </c>
      <c r="Z183" s="388" t="s">
        <v>84</v>
      </c>
      <c r="AA183" s="388" t="s">
        <v>85</v>
      </c>
    </row>
    <row r="184" spans="2:27">
      <c r="B184" s="66">
        <v>500</v>
      </c>
      <c r="C184" s="86">
        <v>43532.903449399</v>
      </c>
      <c r="D184" s="86">
        <v>25648.4246597977</v>
      </c>
      <c r="E184" s="86">
        <v>23095.7720833501</v>
      </c>
      <c r="F184" s="86">
        <v>22300.7665023597</v>
      </c>
      <c r="I184" s="394">
        <f t="shared" si="53"/>
        <v>4.29135863605588</v>
      </c>
      <c r="J184" t="str">
        <f t="shared" si="41"/>
        <v>Trd_car_elc</v>
      </c>
      <c r="K184" t="str">
        <f t="shared" si="54"/>
        <v>Trd_car_elc_500</v>
      </c>
      <c r="L184" t="str">
        <f t="shared" si="43"/>
        <v>Trd_car</v>
      </c>
      <c r="M184" s="395">
        <f t="shared" si="49"/>
        <v>30473.0324145793</v>
      </c>
      <c r="N184" s="395">
        <f t="shared" si="55"/>
        <v>17953.8972618584</v>
      </c>
      <c r="O184" s="395">
        <f t="shared" si="56"/>
        <v>16167.0404583451</v>
      </c>
      <c r="P184" s="395">
        <f t="shared" si="57"/>
        <v>15610.5365516518</v>
      </c>
      <c r="Q184">
        <f t="shared" si="50"/>
        <v>15610.5365516518</v>
      </c>
      <c r="R184">
        <v>3</v>
      </c>
      <c r="U184" s="386"/>
      <c r="X184" t="str">
        <f t="shared" si="51"/>
        <v>Trd_car_elc_500</v>
      </c>
      <c r="Y184" t="str">
        <f ca="1" t="shared" si="52"/>
        <v>Medium size battery electric car -- 500</v>
      </c>
      <c r="Z184" s="388" t="s">
        <v>84</v>
      </c>
      <c r="AA184" s="388" t="s">
        <v>85</v>
      </c>
    </row>
    <row r="185" spans="2:27">
      <c r="J185" t="str">
        <f t="shared" si="41"/>
        <v>Trd_car_elc</v>
      </c>
      <c r="K185" t="str">
        <f t="shared" si="42"/>
        <v>\I:</v>
      </c>
      <c r="L185" t="str">
        <f t="shared" si="43"/>
        <v>\I:</v>
      </c>
      <c r="M185" s="390" t="str">
        <f t="shared" si="44"/>
        <v/>
      </c>
      <c r="N185" s="390" t="str">
        <f t="shared" si="45"/>
        <v/>
      </c>
      <c r="O185" s="390" t="str">
        <f t="shared" si="46"/>
        <v/>
      </c>
      <c r="P185" s="390" t="str">
        <f t="shared" si="47"/>
        <v/>
      </c>
      <c r="U185" s="386"/>
      <c r="X185" t="str">
        <f t="shared" si="51"/>
        <v>\I:</v>
      </c>
      <c r="Y185" t="str">
        <f ca="1" t="shared" ref="Y185:Y191" si="58">OFFSET($V$1,MATCH(J185,$V$1:$V$11,0)-1,-1)&amp;" -- "&amp;TEXT(B185,"00%")</f>
        <v>Medium size battery electric car -- 00%</v>
      </c>
      <c r="Z185" s="388" t="s">
        <v>84</v>
      </c>
      <c r="AA185" s="388" t="s">
        <v>85</v>
      </c>
    </row>
    <row r="186" spans="2:27">
      <c r="J186" t="str">
        <f t="shared" si="41"/>
        <v>Trd_car_elc</v>
      </c>
      <c r="K186" t="str">
        <f t="shared" si="42"/>
        <v>\I:</v>
      </c>
      <c r="L186" t="str">
        <f t="shared" si="43"/>
        <v>\I:</v>
      </c>
      <c r="M186" s="390" t="str">
        <f t="shared" si="44"/>
        <v/>
      </c>
      <c r="N186" s="390" t="str">
        <f t="shared" si="45"/>
        <v/>
      </c>
      <c r="O186" s="390" t="str">
        <f t="shared" si="46"/>
        <v/>
      </c>
      <c r="P186" s="390" t="str">
        <f t="shared" si="47"/>
        <v/>
      </c>
      <c r="U186" s="386"/>
      <c r="X186" t="str">
        <f t="shared" si="51"/>
        <v>\I:</v>
      </c>
      <c r="Y186" t="str">
        <f ca="1" t="shared" si="58"/>
        <v>Medium size battery electric car -- 00%</v>
      </c>
      <c r="Z186" s="388" t="s">
        <v>84</v>
      </c>
      <c r="AA186" s="388" t="s">
        <v>85</v>
      </c>
    </row>
    <row r="187" spans="2:27">
      <c r="J187" t="str">
        <f t="shared" si="41"/>
        <v>Trd_car_elc</v>
      </c>
      <c r="K187" t="str">
        <f t="shared" si="42"/>
        <v>\I:</v>
      </c>
      <c r="L187" t="str">
        <f t="shared" si="43"/>
        <v>\I:</v>
      </c>
      <c r="M187" s="390" t="str">
        <f t="shared" si="44"/>
        <v/>
      </c>
      <c r="N187" s="390" t="str">
        <f t="shared" si="45"/>
        <v/>
      </c>
      <c r="O187" s="390" t="str">
        <f t="shared" si="46"/>
        <v/>
      </c>
      <c r="P187" s="390" t="str">
        <f t="shared" si="47"/>
        <v/>
      </c>
      <c r="U187" s="386"/>
      <c r="X187" t="str">
        <f t="shared" si="51"/>
        <v>\I:</v>
      </c>
      <c r="Y187" t="str">
        <f ca="1" t="shared" si="58"/>
        <v>Medium size battery electric car -- 00%</v>
      </c>
      <c r="Z187" s="388" t="s">
        <v>84</v>
      </c>
      <c r="AA187" s="388" t="s">
        <v>85</v>
      </c>
    </row>
    <row r="188" ht="15" customHeight="1" spans="2:27">
      <c r="B188" s="387" t="s">
        <v>29</v>
      </c>
      <c r="C188" s="411" t="s">
        <v>69</v>
      </c>
      <c r="D188" s="434"/>
      <c r="E188" s="434"/>
      <c r="F188" s="435"/>
      <c r="J188" t="str">
        <f t="shared" si="41"/>
        <v>Trd_car_hh2</v>
      </c>
      <c r="K188" t="str">
        <f t="shared" si="42"/>
        <v>\I:</v>
      </c>
      <c r="L188" t="str">
        <f t="shared" si="43"/>
        <v>\I:</v>
      </c>
      <c r="M188" s="390" t="str">
        <f t="shared" si="44"/>
        <v/>
      </c>
      <c r="N188" s="390" t="str">
        <f t="shared" si="45"/>
        <v/>
      </c>
      <c r="O188" s="390" t="str">
        <f t="shared" si="46"/>
        <v/>
      </c>
      <c r="P188" s="390" t="str">
        <f t="shared" si="47"/>
        <v/>
      </c>
      <c r="U188" s="386"/>
      <c r="X188" t="str">
        <f t="shared" si="51"/>
        <v>\I:</v>
      </c>
      <c r="Y188" t="str">
        <f ca="1" t="shared" si="58"/>
        <v>Medium size hydrogen fuel cell -- Energy consumption (kg H2/100km)</v>
      </c>
      <c r="Z188" s="388" t="s">
        <v>84</v>
      </c>
      <c r="AA188" s="388" t="s">
        <v>85</v>
      </c>
    </row>
    <row r="189" ht="15.75" customHeight="1" spans="2:27">
      <c r="B189" s="387"/>
      <c r="C189" s="436"/>
      <c r="D189" s="437"/>
      <c r="E189" s="437"/>
      <c r="F189" s="438"/>
      <c r="J189" t="str">
        <f t="shared" si="41"/>
        <v>Trd_car_hh2</v>
      </c>
      <c r="K189" t="str">
        <f t="shared" si="42"/>
        <v>\I:</v>
      </c>
      <c r="L189" t="str">
        <f t="shared" si="43"/>
        <v>\I:</v>
      </c>
      <c r="M189" s="390" t="str">
        <f t="shared" si="44"/>
        <v/>
      </c>
      <c r="N189" s="390" t="str">
        <f t="shared" si="45"/>
        <v/>
      </c>
      <c r="O189" s="390" t="str">
        <f t="shared" si="46"/>
        <v/>
      </c>
      <c r="P189" s="390" t="str">
        <f t="shared" si="47"/>
        <v/>
      </c>
      <c r="U189" s="386"/>
      <c r="X189" t="str">
        <f t="shared" si="51"/>
        <v>\I:</v>
      </c>
      <c r="Y189" t="str">
        <f ca="1" t="shared" si="58"/>
        <v>Medium size hydrogen fuel cell -- 00%</v>
      </c>
      <c r="Z189" s="388" t="s">
        <v>84</v>
      </c>
      <c r="AA189" s="388" t="s">
        <v>85</v>
      </c>
    </row>
    <row r="190" ht="21.75" customHeight="1" spans="2:27">
      <c r="B190" s="387"/>
      <c r="C190" s="439"/>
      <c r="D190" s="440"/>
      <c r="E190" s="440"/>
      <c r="F190" s="441"/>
      <c r="J190" t="str">
        <f t="shared" si="41"/>
        <v>Trd_car_hh2</v>
      </c>
      <c r="K190" t="str">
        <f t="shared" si="42"/>
        <v>\I:</v>
      </c>
      <c r="L190" t="str">
        <f t="shared" si="43"/>
        <v>\I:</v>
      </c>
      <c r="M190" s="390" t="str">
        <f t="shared" si="44"/>
        <v/>
      </c>
      <c r="N190" s="390" t="str">
        <f t="shared" si="45"/>
        <v/>
      </c>
      <c r="O190" s="390" t="str">
        <f t="shared" si="46"/>
        <v/>
      </c>
      <c r="P190" s="390" t="str">
        <f t="shared" si="47"/>
        <v/>
      </c>
      <c r="U190" s="386"/>
      <c r="X190" t="str">
        <f t="shared" si="51"/>
        <v>\I:</v>
      </c>
      <c r="Y190" t="str">
        <f ca="1" t="shared" si="58"/>
        <v>Medium size hydrogen fuel cell -- 00%</v>
      </c>
      <c r="Z190" s="388" t="s">
        <v>84</v>
      </c>
      <c r="AA190" s="388" t="s">
        <v>85</v>
      </c>
    </row>
    <row r="191" ht="18" customHeight="1" spans="2:27">
      <c r="B191" s="88"/>
      <c r="C191" s="51">
        <v>2020</v>
      </c>
      <c r="D191" s="51">
        <v>2030</v>
      </c>
      <c r="E191" s="51">
        <v>2040</v>
      </c>
      <c r="F191" s="51">
        <v>2050</v>
      </c>
      <c r="J191" t="str">
        <f t="shared" si="41"/>
        <v>Trd_car_hh2</v>
      </c>
      <c r="K191" t="str">
        <f t="shared" si="42"/>
        <v>\I:</v>
      </c>
      <c r="L191" t="str">
        <f t="shared" si="43"/>
        <v>\I:</v>
      </c>
      <c r="M191" s="390" t="str">
        <f t="shared" si="44"/>
        <v/>
      </c>
      <c r="N191" s="390" t="str">
        <f t="shared" si="45"/>
        <v/>
      </c>
      <c r="O191" s="390" t="str">
        <f t="shared" si="46"/>
        <v/>
      </c>
      <c r="P191" s="390" t="str">
        <f t="shared" si="47"/>
        <v/>
      </c>
      <c r="U191" s="386"/>
      <c r="X191" t="str">
        <f t="shared" si="51"/>
        <v>\I:</v>
      </c>
      <c r="Y191" t="str">
        <f ca="1" t="shared" si="58"/>
        <v>Medium size hydrogen fuel cell -- 00%</v>
      </c>
      <c r="Z191" s="388" t="s">
        <v>84</v>
      </c>
      <c r="AA191" s="388" t="s">
        <v>85</v>
      </c>
    </row>
    <row r="192" spans="2:27">
      <c r="B192" s="430">
        <v>0.946734005829305</v>
      </c>
      <c r="C192" s="86">
        <v>51066.9838694536</v>
      </c>
      <c r="D192" s="86">
        <v>35844.8446280299</v>
      </c>
      <c r="E192" s="86">
        <v>29881.1465974715</v>
      </c>
      <c r="F192" s="86">
        <v>28412.9839870662</v>
      </c>
      <c r="G192" s="75">
        <f>B192*0.12/100*10^9/10^6</f>
        <v>1.13608080699517</v>
      </c>
      <c r="H192" s="75"/>
      <c r="I192" s="382">
        <f>1/G192/$I$12</f>
        <v>1.88866787011663</v>
      </c>
      <c r="J192" t="str">
        <f t="shared" si="41"/>
        <v>Trd_car_hh2</v>
      </c>
      <c r="K192" t="str">
        <f t="shared" si="42"/>
        <v>Trd_car_hh2_95</v>
      </c>
      <c r="L192" t="str">
        <f t="shared" si="43"/>
        <v>Trd_car</v>
      </c>
      <c r="M192" s="390">
        <f t="shared" si="44"/>
        <v>51066.9838694536</v>
      </c>
      <c r="N192" s="390">
        <f t="shared" si="45"/>
        <v>35844.8446280299</v>
      </c>
      <c r="O192" s="390">
        <f t="shared" si="46"/>
        <v>29881.1465974715</v>
      </c>
      <c r="P192" s="390">
        <f t="shared" si="47"/>
        <v>28412.9839870662</v>
      </c>
      <c r="Q192">
        <f>P192</f>
        <v>28412.9839870662</v>
      </c>
      <c r="R192">
        <v>3</v>
      </c>
      <c r="U192" s="386"/>
      <c r="X192" t="str">
        <f t="shared" si="51"/>
        <v>Trd_car_hh2_95</v>
      </c>
      <c r="Y192" t="str">
        <f ca="1">OFFSET($V$1,MATCH(J192,$V$1:$V$11,0)-1,-1)&amp;" -- "&amp;TEXT(B192,"0.00")</f>
        <v>Medium size hydrogen fuel cell -- 0.95</v>
      </c>
      <c r="Z192" s="388" t="s">
        <v>84</v>
      </c>
      <c r="AA192" s="388" t="s">
        <v>85</v>
      </c>
    </row>
    <row r="193" spans="2:27">
      <c r="B193" s="430">
        <v>0.906159691293763</v>
      </c>
      <c r="C193" s="86">
        <v>51333.6668176655</v>
      </c>
      <c r="D193" s="86">
        <v>36060.4543841275</v>
      </c>
      <c r="E193" s="86">
        <v>30065.5019981684</v>
      </c>
      <c r="F193" s="86">
        <v>28592.3568093659</v>
      </c>
      <c r="G193" s="75">
        <f t="shared" ref="G193:G199" si="59">B193*0.12/100*10^9/10^6</f>
        <v>1.08739162955252</v>
      </c>
      <c r="H193" s="75"/>
      <c r="I193" s="382">
        <f t="shared" ref="I193:I199" si="60">1/G193/$I$12</f>
        <v>1.97323508818155</v>
      </c>
      <c r="J193" t="str">
        <f t="shared" si="41"/>
        <v>Trd_car_hh2</v>
      </c>
      <c r="K193" t="str">
        <f t="shared" si="42"/>
        <v>Trd_car_hh2_91</v>
      </c>
      <c r="L193" t="str">
        <f t="shared" si="43"/>
        <v>Trd_car</v>
      </c>
      <c r="M193" s="390">
        <f t="shared" si="44"/>
        <v>51333.6668176655</v>
      </c>
      <c r="N193" s="390">
        <f t="shared" si="45"/>
        <v>36060.4543841275</v>
      </c>
      <c r="O193" s="390">
        <f t="shared" si="46"/>
        <v>30065.5019981684</v>
      </c>
      <c r="P193" s="390">
        <f t="shared" si="47"/>
        <v>28592.3568093659</v>
      </c>
      <c r="Q193">
        <f t="shared" ref="Q193:Q199" si="61">P193</f>
        <v>28592.3568093659</v>
      </c>
      <c r="R193">
        <v>3</v>
      </c>
      <c r="U193" s="386"/>
      <c r="X193" t="str">
        <f t="shared" si="51"/>
        <v>Trd_car_hh2_91</v>
      </c>
      <c r="Y193" t="str">
        <f ca="1" t="shared" ref="Y193:Y199" si="62">OFFSET($V$1,MATCH(J193,$V$1:$V$11,0)-1,-1)&amp;" -- "&amp;TEXT(B193,"0.00")</f>
        <v>Medium size hydrogen fuel cell -- 0.91</v>
      </c>
      <c r="Z193" s="388" t="s">
        <v>84</v>
      </c>
      <c r="AA193" s="388" t="s">
        <v>85</v>
      </c>
    </row>
    <row r="194" spans="2:27">
      <c r="B194" s="430">
        <v>0.865585376758221</v>
      </c>
      <c r="C194" s="86">
        <v>51791.4017053404</v>
      </c>
      <c r="D194" s="86">
        <v>36276.064140225</v>
      </c>
      <c r="E194" s="86">
        <v>30249.8573988653</v>
      </c>
      <c r="F194" s="86">
        <v>28771.7296316655</v>
      </c>
      <c r="G194" s="75">
        <f t="shared" si="59"/>
        <v>1.03870245210987</v>
      </c>
      <c r="H194" s="75"/>
      <c r="I194" s="382">
        <f t="shared" si="60"/>
        <v>2.06573048294006</v>
      </c>
      <c r="J194" t="str">
        <f t="shared" si="41"/>
        <v>Trd_car_hh2</v>
      </c>
      <c r="K194" t="str">
        <f t="shared" si="42"/>
        <v>Trd_car_hh2_87</v>
      </c>
      <c r="L194" t="str">
        <f t="shared" si="43"/>
        <v>Trd_car</v>
      </c>
      <c r="M194" s="390">
        <f t="shared" si="44"/>
        <v>51791.4017053404</v>
      </c>
      <c r="N194" s="390">
        <f t="shared" si="45"/>
        <v>36276.064140225</v>
      </c>
      <c r="O194" s="390">
        <f t="shared" si="46"/>
        <v>30249.8573988653</v>
      </c>
      <c r="P194" s="390">
        <f t="shared" si="47"/>
        <v>28771.7296316655</v>
      </c>
      <c r="Q194">
        <f t="shared" si="61"/>
        <v>28771.7296316655</v>
      </c>
      <c r="R194">
        <v>3</v>
      </c>
      <c r="U194" s="386"/>
      <c r="X194" t="str">
        <f t="shared" si="51"/>
        <v>Trd_car_hh2_87</v>
      </c>
      <c r="Y194" t="str">
        <f ca="1" t="shared" si="62"/>
        <v>Medium size hydrogen fuel cell -- 0.87</v>
      </c>
      <c r="Z194" s="388" t="s">
        <v>84</v>
      </c>
      <c r="AA194" s="388" t="s">
        <v>85</v>
      </c>
    </row>
    <row r="195" spans="2:27">
      <c r="B195" s="430">
        <v>0.82501106222268</v>
      </c>
      <c r="C195" s="86">
        <v>54058.2346435814</v>
      </c>
      <c r="D195" s="86">
        <v>36491.6738963226</v>
      </c>
      <c r="E195" s="86">
        <v>30434.2127995621</v>
      </c>
      <c r="F195" s="86">
        <v>28951.1024539652</v>
      </c>
      <c r="G195" s="75">
        <f t="shared" si="59"/>
        <v>0.990013274667216</v>
      </c>
      <c r="H195" s="75"/>
      <c r="I195" s="382">
        <f t="shared" si="60"/>
        <v>2.16732378537974</v>
      </c>
      <c r="J195" t="str">
        <f t="shared" si="41"/>
        <v>Trd_car_hh2</v>
      </c>
      <c r="K195" t="str">
        <f t="shared" si="42"/>
        <v>Trd_car_hh2_83</v>
      </c>
      <c r="L195" t="str">
        <f t="shared" si="43"/>
        <v>Trd_car</v>
      </c>
      <c r="M195" s="390">
        <f t="shared" si="44"/>
        <v>54058.2346435814</v>
      </c>
      <c r="N195" s="390">
        <f t="shared" si="45"/>
        <v>36491.6738963226</v>
      </c>
      <c r="O195" s="390">
        <f t="shared" si="46"/>
        <v>30434.2127995621</v>
      </c>
      <c r="P195" s="390">
        <f t="shared" si="47"/>
        <v>28951.1024539652</v>
      </c>
      <c r="Q195">
        <f t="shared" si="61"/>
        <v>28951.1024539652</v>
      </c>
      <c r="R195">
        <v>3</v>
      </c>
      <c r="U195" s="386"/>
      <c r="X195" t="str">
        <f t="shared" si="51"/>
        <v>Trd_car_hh2_83</v>
      </c>
      <c r="Y195" t="str">
        <f ca="1" t="shared" si="62"/>
        <v>Medium size hydrogen fuel cell -- 0.83</v>
      </c>
      <c r="Z195" s="388" t="s">
        <v>84</v>
      </c>
      <c r="AA195" s="388" t="s">
        <v>85</v>
      </c>
    </row>
    <row r="196" spans="2:27">
      <c r="B196" s="430">
        <v>0.786871206559271</v>
      </c>
      <c r="C196" s="86">
        <v>54564.0905053834</v>
      </c>
      <c r="D196" s="86">
        <v>37995.8021232778</v>
      </c>
      <c r="E196" s="86">
        <v>30618.568200259</v>
      </c>
      <c r="F196" s="86">
        <v>29130.4752762648</v>
      </c>
      <c r="G196" s="75">
        <f t="shared" si="59"/>
        <v>0.944245447871125</v>
      </c>
      <c r="H196" s="75"/>
      <c r="I196" s="382">
        <f t="shared" si="60"/>
        <v>2.27237454293853</v>
      </c>
      <c r="J196" t="str">
        <f t="shared" si="41"/>
        <v>Trd_car_hh2</v>
      </c>
      <c r="K196" t="str">
        <f t="shared" si="42"/>
        <v>Trd_car_hh2_79</v>
      </c>
      <c r="L196" t="str">
        <f t="shared" si="43"/>
        <v>Trd_car</v>
      </c>
      <c r="M196" s="390">
        <f t="shared" si="44"/>
        <v>54564.0905053834</v>
      </c>
      <c r="N196" s="390">
        <f t="shared" si="45"/>
        <v>37995.8021232778</v>
      </c>
      <c r="O196" s="390">
        <f t="shared" si="46"/>
        <v>30618.568200259</v>
      </c>
      <c r="P196" s="390">
        <f t="shared" si="47"/>
        <v>29130.4752762648</v>
      </c>
      <c r="Q196">
        <f t="shared" si="61"/>
        <v>29130.4752762648</v>
      </c>
      <c r="R196">
        <v>3</v>
      </c>
      <c r="U196" s="386"/>
      <c r="X196" t="str">
        <f t="shared" si="51"/>
        <v>Trd_car_hh2_79</v>
      </c>
      <c r="Y196" t="str">
        <f ca="1" t="shared" si="62"/>
        <v>Medium size hydrogen fuel cell -- 0.79</v>
      </c>
      <c r="Z196" s="388" t="s">
        <v>84</v>
      </c>
      <c r="AA196" s="388" t="s">
        <v>85</v>
      </c>
    </row>
    <row r="197" spans="2:27">
      <c r="B197" s="430">
        <v>0.754006011785482</v>
      </c>
      <c r="C197" s="86">
        <v>54852.8037817166</v>
      </c>
      <c r="D197" s="86">
        <v>38223.0917586269</v>
      </c>
      <c r="E197" s="86">
        <v>30802.9236009559</v>
      </c>
      <c r="F197" s="86">
        <v>29309.8480985645</v>
      </c>
      <c r="G197" s="75">
        <f t="shared" si="59"/>
        <v>0.904807214142578</v>
      </c>
      <c r="H197" s="75"/>
      <c r="I197" s="382">
        <f t="shared" si="60"/>
        <v>2.37142154095361</v>
      </c>
      <c r="J197" t="str">
        <f t="shared" si="41"/>
        <v>Trd_car_hh2</v>
      </c>
      <c r="K197" t="str">
        <f t="shared" si="42"/>
        <v>Trd_car_hh2_75</v>
      </c>
      <c r="L197" t="str">
        <f t="shared" si="43"/>
        <v>Trd_car</v>
      </c>
      <c r="M197" s="390">
        <f t="shared" si="44"/>
        <v>54852.8037817166</v>
      </c>
      <c r="N197" s="390">
        <f t="shared" si="45"/>
        <v>38223.0917586269</v>
      </c>
      <c r="O197" s="390">
        <f t="shared" si="46"/>
        <v>30802.9236009559</v>
      </c>
      <c r="P197" s="390">
        <f t="shared" si="47"/>
        <v>29309.8480985645</v>
      </c>
      <c r="Q197">
        <f t="shared" si="61"/>
        <v>29309.8480985645</v>
      </c>
      <c r="R197">
        <v>3</v>
      </c>
      <c r="U197" s="386"/>
      <c r="X197" t="str">
        <f t="shared" si="51"/>
        <v>Trd_car_hh2_75</v>
      </c>
      <c r="Y197" t="str">
        <f ca="1" t="shared" si="62"/>
        <v>Medium size hydrogen fuel cell -- 0.75</v>
      </c>
      <c r="Z197" s="388" t="s">
        <v>84</v>
      </c>
      <c r="AA197" s="388" t="s">
        <v>85</v>
      </c>
    </row>
    <row r="198" spans="2:27">
      <c r="B198" s="430">
        <v>0.722222798732641</v>
      </c>
      <c r="C198" s="86">
        <v>55141.5170580497</v>
      </c>
      <c r="D198" s="86">
        <v>38450.381393976</v>
      </c>
      <c r="E198" s="86">
        <v>30987.2790016527</v>
      </c>
      <c r="F198" s="86">
        <v>29489.2209208641</v>
      </c>
      <c r="G198" s="75">
        <f t="shared" si="59"/>
        <v>0.866667358479169</v>
      </c>
      <c r="H198" s="75"/>
      <c r="I198" s="382">
        <f t="shared" si="60"/>
        <v>2.47578185221281</v>
      </c>
      <c r="J198" t="str">
        <f t="shared" si="41"/>
        <v>Trd_car_hh2</v>
      </c>
      <c r="K198" t="str">
        <f t="shared" si="42"/>
        <v>Trd_car_hh2_72</v>
      </c>
      <c r="L198" t="str">
        <f t="shared" si="43"/>
        <v>Trd_car</v>
      </c>
      <c r="M198" s="390">
        <f t="shared" si="44"/>
        <v>55141.5170580497</v>
      </c>
      <c r="N198" s="390">
        <f t="shared" si="45"/>
        <v>38450.381393976</v>
      </c>
      <c r="O198" s="390">
        <f t="shared" si="46"/>
        <v>30987.2790016527</v>
      </c>
      <c r="P198" s="390">
        <f t="shared" si="47"/>
        <v>29489.2209208641</v>
      </c>
      <c r="Q198">
        <f t="shared" si="61"/>
        <v>29489.2209208641</v>
      </c>
      <c r="R198">
        <v>3</v>
      </c>
      <c r="U198" s="386"/>
      <c r="X198" t="str">
        <f t="shared" si="51"/>
        <v>Trd_car_hh2_72</v>
      </c>
      <c r="Y198" t="str">
        <f ca="1" t="shared" si="62"/>
        <v>Medium size hydrogen fuel cell -- 0.72</v>
      </c>
      <c r="Z198" s="388" t="s">
        <v>84</v>
      </c>
      <c r="AA198" s="388" t="s">
        <v>85</v>
      </c>
    </row>
    <row r="199" spans="2:27">
      <c r="B199" s="430">
        <v>0.695849494284539</v>
      </c>
      <c r="C199" s="86">
        <v>55430.2303343829</v>
      </c>
      <c r="D199" s="86">
        <v>38677.6710293252</v>
      </c>
      <c r="E199" s="86">
        <v>31171.6344023496</v>
      </c>
      <c r="F199" s="86">
        <v>29668.5937431638</v>
      </c>
      <c r="G199" s="75">
        <f t="shared" si="59"/>
        <v>0.835019393141447</v>
      </c>
      <c r="H199" s="75"/>
      <c r="I199" s="382">
        <f t="shared" si="60"/>
        <v>2.56961614981854</v>
      </c>
      <c r="J199" t="str">
        <f t="shared" si="41"/>
        <v>Trd_car_hh2</v>
      </c>
      <c r="K199" t="str">
        <f t="shared" si="42"/>
        <v>Trd_car_hh2_70</v>
      </c>
      <c r="L199" t="str">
        <f t="shared" si="43"/>
        <v>Trd_car</v>
      </c>
      <c r="M199" s="390">
        <f t="shared" si="44"/>
        <v>55430.2303343829</v>
      </c>
      <c r="N199" s="390">
        <f t="shared" si="45"/>
        <v>38677.6710293252</v>
      </c>
      <c r="O199" s="390">
        <f t="shared" si="46"/>
        <v>31171.6344023496</v>
      </c>
      <c r="P199" s="390">
        <f t="shared" si="47"/>
        <v>29668.5937431638</v>
      </c>
      <c r="Q199">
        <f t="shared" si="61"/>
        <v>29668.5937431638</v>
      </c>
      <c r="R199">
        <v>3</v>
      </c>
      <c r="U199" s="386"/>
      <c r="X199" t="str">
        <f t="shared" si="51"/>
        <v>Trd_car_hh2_70</v>
      </c>
      <c r="Y199" t="str">
        <f ca="1" t="shared" si="62"/>
        <v>Medium size hydrogen fuel cell -- 0.70</v>
      </c>
      <c r="Z199" s="388" t="s">
        <v>84</v>
      </c>
      <c r="AA199" s="388"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71" t="s">
        <v>10</v>
      </c>
      <c r="C1" s="372"/>
      <c r="D1" s="372"/>
      <c r="E1" s="372"/>
      <c r="F1" s="373"/>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22"/>
      <c r="C3" s="423"/>
      <c r="D3" s="422"/>
      <c r="E3" s="422"/>
      <c r="F3" s="422"/>
      <c r="Q3" t="s">
        <v>48</v>
      </c>
      <c r="V3" t="s">
        <v>97</v>
      </c>
      <c r="W3" t="str">
        <f t="shared" si="0"/>
        <v>Trd_lcv_gsl-pih</v>
      </c>
    </row>
    <row r="4" spans="2:28">
      <c r="B4" s="422"/>
      <c r="C4" s="423"/>
      <c r="D4" s="422"/>
      <c r="E4" s="422"/>
      <c r="F4" s="422"/>
      <c r="Q4" t="s">
        <v>51</v>
      </c>
      <c r="V4" t="s">
        <v>98</v>
      </c>
      <c r="W4" t="str">
        <f t="shared" si="0"/>
        <v>Trd_lcv_dsl</v>
      </c>
    </row>
    <row r="5" spans="2:28">
      <c r="B5" s="422"/>
      <c r="C5" s="423"/>
      <c r="D5" s="422"/>
      <c r="E5" s="422"/>
      <c r="F5" s="422"/>
      <c r="Q5" t="s">
        <v>54</v>
      </c>
      <c r="V5" t="s">
        <v>99</v>
      </c>
      <c r="W5" t="str">
        <f t="shared" si="0"/>
        <v>Trd_lcv_dsl-hyb</v>
      </c>
    </row>
    <row r="6" spans="2:28">
      <c r="B6" s="422"/>
      <c r="C6" s="423"/>
      <c r="D6" s="422"/>
      <c r="E6" s="422"/>
      <c r="F6" s="422"/>
      <c r="Q6" t="s">
        <v>57</v>
      </c>
      <c r="V6" t="s">
        <v>100</v>
      </c>
      <c r="W6" t="str">
        <f t="shared" si="0"/>
        <v>Trd_lcv_dsl-pih</v>
      </c>
    </row>
    <row r="7" spans="2:28">
      <c r="F7" s="399">
        <f>31536000/10^9</f>
        <v>0.031536</v>
      </c>
      <c r="G7" s="379" t="s">
        <v>47</v>
      </c>
      <c r="H7" s="379"/>
      <c r="Q7" t="s">
        <v>59</v>
      </c>
      <c r="V7" t="s">
        <v>101</v>
      </c>
      <c r="W7" t="str">
        <f t="shared" si="0"/>
        <v>Trd_lcv_cng</v>
      </c>
    </row>
    <row r="8" spans="2:28">
      <c r="F8" s="379">
        <v>0.038</v>
      </c>
      <c r="G8" s="379" t="s">
        <v>50</v>
      </c>
      <c r="H8" s="379"/>
      <c r="Q8" t="s">
        <v>61</v>
      </c>
      <c r="V8" t="s">
        <v>102</v>
      </c>
      <c r="W8" t="str">
        <f>"\I:Trd_lcv_"&amp;Q8</f>
        <v>\I:Trd_lcv_lpg</v>
      </c>
    </row>
    <row r="9" ht="15" customHeight="1" spans="2:28">
      <c r="B9" s="44" t="s">
        <v>103</v>
      </c>
      <c r="F9" s="380">
        <f>1.406/26.137</f>
        <v>0.053793472854574</v>
      </c>
      <c r="G9" s="379" t="s">
        <v>53</v>
      </c>
      <c r="H9" s="379"/>
      <c r="Q9" t="s">
        <v>66</v>
      </c>
      <c r="V9" t="s">
        <v>104</v>
      </c>
      <c r="W9" t="str">
        <f t="shared" si="0"/>
        <v>Trd_lcv_elc</v>
      </c>
    </row>
    <row r="10" spans="2:28">
      <c r="B10" s="45">
        <v>2015</v>
      </c>
      <c r="C10" s="381"/>
      <c r="D10" s="45"/>
      <c r="F10" s="380">
        <v>0.02559</v>
      </c>
      <c r="G10" s="379" t="s">
        <v>56</v>
      </c>
      <c r="H10" s="379"/>
      <c r="Q10" t="s">
        <v>68</v>
      </c>
      <c r="V10" t="s">
        <v>105</v>
      </c>
      <c r="W10" t="str">
        <f t="shared" si="0"/>
        <v>Trd_lcv_hh2</v>
      </c>
    </row>
    <row r="11" spans="2:28">
      <c r="B11" s="46" t="s">
        <v>12</v>
      </c>
      <c r="C11" s="47" t="s">
        <v>13</v>
      </c>
      <c r="D11" s="48">
        <v>8.50782554565738</v>
      </c>
      <c r="G11" s="75">
        <f>D11*$F$7/100*10^9/10^6</f>
        <v>2.68302786407851</v>
      </c>
      <c r="H11" s="75"/>
      <c r="I11" s="382">
        <f>1/G11</f>
        <v>0.372713236932204</v>
      </c>
      <c r="J11" s="382"/>
    </row>
    <row r="12" spans="2:28">
      <c r="B12" s="46" t="s">
        <v>14</v>
      </c>
      <c r="C12" s="47" t="s">
        <v>15</v>
      </c>
      <c r="D12" s="68">
        <v>17407.9785320185</v>
      </c>
      <c r="I12" s="393" t="s">
        <v>70</v>
      </c>
      <c r="J12" s="393"/>
    </row>
    <row r="13" spans="2:28">
      <c r="B13" s="406"/>
      <c r="C13" s="407"/>
      <c r="D13" s="408"/>
      <c r="I13" s="393"/>
      <c r="J13" s="393"/>
    </row>
    <row r="14" ht="15.25" spans="2:28">
      <c r="K14" s="384" t="s">
        <v>71</v>
      </c>
      <c r="X14" s="384" t="s">
        <v>72</v>
      </c>
      <c r="Y14" s="385"/>
      <c r="Z14" s="385"/>
      <c r="AA14" s="385"/>
      <c r="AB14" s="385"/>
    </row>
    <row r="15" spans="2:28">
      <c r="I15" t="s">
        <v>73</v>
      </c>
      <c r="J15" t="s">
        <v>74</v>
      </c>
      <c r="K15" t="s">
        <v>75</v>
      </c>
      <c r="L15" t="s">
        <v>76</v>
      </c>
      <c r="M15">
        <f>C19</f>
        <v>2020</v>
      </c>
      <c r="N15">
        <f>D19</f>
        <v>2030</v>
      </c>
      <c r="O15">
        <f>E19</f>
        <v>2040</v>
      </c>
      <c r="P15">
        <v>2050</v>
      </c>
      <c r="Q15">
        <v>2100</v>
      </c>
      <c r="R15">
        <v>0</v>
      </c>
      <c r="V15" s="386" t="s">
        <v>77</v>
      </c>
      <c r="X15" s="385" t="s">
        <v>78</v>
      </c>
      <c r="Y15" s="385" t="s">
        <v>79</v>
      </c>
      <c r="Z15" s="385" t="s">
        <v>80</v>
      </c>
      <c r="AA15" s="385" t="s">
        <v>81</v>
      </c>
      <c r="AB15" s="385" t="s">
        <v>82</v>
      </c>
    </row>
    <row r="16" ht="15" customHeight="1" spans="2:28">
      <c r="B16" s="49" t="s">
        <v>16</v>
      </c>
      <c r="C16" s="387" t="s">
        <v>95</v>
      </c>
      <c r="D16" s="49"/>
      <c r="E16" s="49"/>
      <c r="F16" s="49"/>
      <c r="J16" t="str">
        <f>IFERROR(VLOOKUP(C16,$V$1:$W$10,2,FALSE),J14)</f>
        <v>Trd_lcv_gsl</v>
      </c>
      <c r="K16" t="str">
        <f>IFERROR(IF(VALUE(C16)&gt;2020,J16&amp;"_"&amp;TEXT(B16*100,"00"),"\I:"),"\I:")</f>
        <v>\I:</v>
      </c>
      <c r="L16" t="str">
        <f>LEFT(K16,7)</f>
        <v>\I:</v>
      </c>
      <c r="M16" s="390" t="str">
        <f>IF($K16="\I:","",C16)</f>
        <v/>
      </c>
      <c r="N16" s="390" t="str">
        <f>IF($K16="\I:","",D16)</f>
        <v/>
      </c>
      <c r="O16" s="390" t="str">
        <f>IF($K16="\I:","",E16)</f>
        <v/>
      </c>
      <c r="P16" s="390" t="str">
        <f>IF($K16="\I:","",F16)</f>
        <v/>
      </c>
      <c r="V16" s="424"/>
      <c r="W16" s="425"/>
      <c r="X16" t="s">
        <v>83</v>
      </c>
      <c r="Y16" t="str">
        <f t="shared" ref="Y16:Y47" si="1">K16</f>
        <v>\I:</v>
      </c>
      <c r="Z16" t="str">
        <f ca="1" t="shared" ref="Z16:Z47" si="2">OFFSET($W$1,MATCH(J16,$W$1:$W$10,0)-1,-1)&amp;" -- "&amp;TEXT(B16,"00%")</f>
        <v>ICE gasoline LCV -- Reduction of specific energy consumption relative to 2015 gasoline vehicle (%)</v>
      </c>
      <c r="AA16" s="388" t="s">
        <v>84</v>
      </c>
      <c r="AB16" s="388" t="s">
        <v>85</v>
      </c>
    </row>
    <row r="17" spans="2:28">
      <c r="B17" s="49"/>
      <c r="C17" s="387"/>
      <c r="D17" s="49"/>
      <c r="E17" s="49"/>
      <c r="F17" s="49"/>
      <c r="J17" t="str">
        <f>IFERROR(VLOOKUP(C17,$V$1:$W$10,2,FALSE),J16)</f>
        <v>Trd_lcv_gsl</v>
      </c>
      <c r="K17" t="str">
        <f t="shared" ref="K17:K80" si="3">IFERROR(IF(VALUE(C17)&gt;2020,J17&amp;"_"&amp;TEXT(B17*100,"00"),"\I:"),"\I:")</f>
        <v>\I:</v>
      </c>
      <c r="L17" t="str">
        <f t="shared" ref="L17:L80" si="4">LEFT(K17,7)</f>
        <v>\I:</v>
      </c>
      <c r="M17" s="390" t="str">
        <f t="shared" ref="M17:M25" si="5">IF($K17="\I:","",C17)</f>
        <v/>
      </c>
      <c r="N17" s="390" t="str">
        <f t="shared" ref="N17:P18" si="6">IF($K17="\I:","",D17)</f>
        <v/>
      </c>
      <c r="O17" s="390" t="str">
        <f t="shared" si="6"/>
        <v/>
      </c>
      <c r="P17" s="390" t="str">
        <f t="shared" si="6"/>
        <v/>
      </c>
      <c r="V17" s="424"/>
      <c r="W17" s="390"/>
      <c r="X17" t="s">
        <v>83</v>
      </c>
      <c r="Y17" t="str">
        <f t="shared" si="1"/>
        <v>\I:</v>
      </c>
      <c r="Z17" t="str">
        <f ca="1" t="shared" si="2"/>
        <v>ICE gasoline LCV -- 00%</v>
      </c>
      <c r="AA17" s="388" t="s">
        <v>84</v>
      </c>
      <c r="AB17" s="388" t="s">
        <v>85</v>
      </c>
    </row>
    <row r="18" spans="2:28">
      <c r="B18" s="49"/>
      <c r="C18" s="387"/>
      <c r="D18" s="49"/>
      <c r="E18" s="49"/>
      <c r="F18" s="49"/>
      <c r="J18" t="str">
        <f>IFERROR(VLOOKUP(C18,$V$1:$W$10,2,FALSE),J17)</f>
        <v>Trd_lcv_gsl</v>
      </c>
      <c r="K18" t="str">
        <f t="shared" si="3"/>
        <v>\I:</v>
      </c>
      <c r="L18" t="str">
        <f t="shared" si="4"/>
        <v>\I:</v>
      </c>
      <c r="M18" s="390" t="str">
        <f t="shared" si="5"/>
        <v/>
      </c>
      <c r="N18" s="390" t="str">
        <f t="shared" si="6"/>
        <v/>
      </c>
      <c r="O18" s="390" t="str">
        <f t="shared" si="6"/>
        <v/>
      </c>
      <c r="P18" s="390" t="str">
        <f t="shared" si="6"/>
        <v/>
      </c>
      <c r="V18" s="424"/>
      <c r="W18" s="390"/>
      <c r="X18" t="s">
        <v>83</v>
      </c>
      <c r="Y18" t="str">
        <f t="shared" si="1"/>
        <v>\I:</v>
      </c>
      <c r="Z18" t="str">
        <f ca="1" t="shared" si="2"/>
        <v>ICE gasoline LCV -- 00%</v>
      </c>
      <c r="AA18" s="388" t="s">
        <v>84</v>
      </c>
      <c r="AB18" s="388" t="s">
        <v>85</v>
      </c>
    </row>
    <row r="19" spans="2:28">
      <c r="B19" s="88"/>
      <c r="C19" s="426">
        <v>2020</v>
      </c>
      <c r="D19" s="51">
        <v>2030</v>
      </c>
      <c r="E19" s="51">
        <v>2040</v>
      </c>
      <c r="F19" s="51">
        <v>2050</v>
      </c>
      <c r="I19" s="382">
        <v>1</v>
      </c>
      <c r="J19" s="44" t="str">
        <f t="shared" ref="J19" si="7">IFERROR(VLOOKUP(C19,$V$1:$W$11,2,FALSE),J18)</f>
        <v>Trd_lcv_gsl</v>
      </c>
      <c r="K19" s="44" t="str">
        <f>IFERROR(IF(VALUE(C19)&gt;200,J19&amp;"_"&amp;TEXT(B19*100,"00"),"\I:"),"\I:")</f>
        <v>Trd_lcv_gsl_00</v>
      </c>
      <c r="L19" t="str">
        <f t="shared" si="4"/>
        <v>Trd_lcv</v>
      </c>
      <c r="M19" s="427">
        <f>D12</f>
        <v>17407.9785320185</v>
      </c>
      <c r="N19" s="390"/>
      <c r="O19" s="390"/>
      <c r="P19" s="390"/>
      <c r="V19" s="424"/>
      <c r="W19" s="390"/>
      <c r="X19" t="s">
        <v>83</v>
      </c>
      <c r="Y19" t="str">
        <f t="shared" si="1"/>
        <v>Trd_lcv_gsl_00</v>
      </c>
      <c r="Z19" t="str">
        <f ca="1" t="shared" si="2"/>
        <v>ICE gasoline LCV -- 00%</v>
      </c>
      <c r="AA19" s="388" t="s">
        <v>84</v>
      </c>
      <c r="AB19" s="388" t="s">
        <v>85</v>
      </c>
    </row>
    <row r="20" spans="2:28">
      <c r="B20" s="85">
        <v>0.145560583753408</v>
      </c>
      <c r="C20" s="428">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90">
        <f t="shared" si="5"/>
        <v>17878.5978132433</v>
      </c>
      <c r="N20" s="390">
        <f t="shared" ref="N20:P25" si="9">IF($K20="\I:","",D20)</f>
        <v>17417.4266041105</v>
      </c>
      <c r="O20" s="390">
        <f t="shared" si="9"/>
        <v>17417.4266041105</v>
      </c>
      <c r="P20" s="390">
        <f t="shared" si="9"/>
        <v>17417.4266041105</v>
      </c>
      <c r="Q20">
        <f t="shared" ref="Q20:Q26" si="10">P20</f>
        <v>17417.4266041105</v>
      </c>
      <c r="R20">
        <v>3</v>
      </c>
      <c r="V20" s="424"/>
      <c r="W20" s="390"/>
      <c r="X20" t="s">
        <v>83</v>
      </c>
      <c r="Y20" t="str">
        <f t="shared" si="1"/>
        <v>Trd_lcv_gsl_15</v>
      </c>
      <c r="Z20" t="str">
        <f ca="1" t="shared" si="2"/>
        <v>ICE gasoline LCV -- 15%</v>
      </c>
      <c r="AA20" s="388" t="s">
        <v>84</v>
      </c>
      <c r="AB20" s="388" t="s">
        <v>85</v>
      </c>
    </row>
    <row r="21" spans="2:28">
      <c r="B21" s="85">
        <v>0.245560583753408</v>
      </c>
      <c r="C21" s="428">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90">
        <f t="shared" si="5"/>
        <v>19243.4316461009</v>
      </c>
      <c r="N21" s="390">
        <f t="shared" si="9"/>
        <v>17966.6005607638</v>
      </c>
      <c r="O21" s="390">
        <f t="shared" si="9"/>
        <v>17966.6005607638</v>
      </c>
      <c r="P21" s="390">
        <f t="shared" si="9"/>
        <v>17966.6005607638</v>
      </c>
      <c r="Q21">
        <f t="shared" si="10"/>
        <v>17966.6005607638</v>
      </c>
      <c r="R21">
        <v>3</v>
      </c>
      <c r="V21" s="424"/>
      <c r="W21" s="390"/>
      <c r="X21" t="s">
        <v>83</v>
      </c>
      <c r="Y21" t="str">
        <f t="shared" si="1"/>
        <v>Trd_lcv_gsl_25</v>
      </c>
      <c r="Z21" t="str">
        <f ca="1" t="shared" si="2"/>
        <v>ICE gasoline LCV -- 25%</v>
      </c>
      <c r="AA21" s="388" t="s">
        <v>84</v>
      </c>
      <c r="AB21" s="388" t="s">
        <v>85</v>
      </c>
    </row>
    <row r="22" spans="2:28">
      <c r="B22" s="85">
        <v>0.345560583753408</v>
      </c>
      <c r="C22" s="428">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90">
        <f t="shared" si="5"/>
        <v>24327.6038120321</v>
      </c>
      <c r="N22" s="390">
        <f t="shared" si="9"/>
        <v>19194.380760066</v>
      </c>
      <c r="O22" s="390">
        <f t="shared" si="9"/>
        <v>19194.380760066</v>
      </c>
      <c r="P22" s="390">
        <f t="shared" si="9"/>
        <v>19194.380760066</v>
      </c>
      <c r="Q22">
        <f t="shared" si="10"/>
        <v>19194.380760066</v>
      </c>
      <c r="R22">
        <v>3</v>
      </c>
      <c r="V22" s="424"/>
      <c r="W22" s="390"/>
      <c r="X22" t="s">
        <v>83</v>
      </c>
      <c r="Y22" t="str">
        <f t="shared" si="1"/>
        <v>Trd_lcv_gsl_35</v>
      </c>
      <c r="Z22" t="str">
        <f ca="1" t="shared" si="2"/>
        <v>ICE gasoline LCV -- 35%</v>
      </c>
      <c r="AA22" s="388" t="s">
        <v>84</v>
      </c>
      <c r="AB22" s="388" t="s">
        <v>85</v>
      </c>
    </row>
    <row r="23" spans="2:28">
      <c r="B23" s="85">
        <v>0.395560583753408</v>
      </c>
      <c r="C23" s="428">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90">
        <f t="shared" si="5"/>
        <v>32775.022169116</v>
      </c>
      <c r="N23" s="390">
        <f t="shared" si="9"/>
        <v>21558.4773052488</v>
      </c>
      <c r="O23" s="390">
        <f t="shared" si="9"/>
        <v>21558.4773052488</v>
      </c>
      <c r="P23" s="390">
        <f t="shared" si="9"/>
        <v>21558.4773052488</v>
      </c>
      <c r="Q23">
        <f t="shared" si="10"/>
        <v>21558.4773052488</v>
      </c>
      <c r="R23">
        <v>3</v>
      </c>
      <c r="V23" s="424"/>
      <c r="W23" s="390"/>
      <c r="X23" t="s">
        <v>83</v>
      </c>
      <c r="Y23" t="str">
        <f t="shared" si="1"/>
        <v>Trd_lcv_gsl_40</v>
      </c>
      <c r="Z23" t="str">
        <f ca="1" t="shared" si="2"/>
        <v>ICE gasoline LCV -- 40%</v>
      </c>
      <c r="AA23" s="388" t="s">
        <v>84</v>
      </c>
      <c r="AB23" s="388" t="s">
        <v>85</v>
      </c>
    </row>
    <row r="24" spans="2:28">
      <c r="B24" s="85">
        <v>0.445560583753408</v>
      </c>
      <c r="C24" s="428">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90">
        <f t="shared" si="5"/>
        <v>99589.7033153908</v>
      </c>
      <c r="N24" s="390">
        <f t="shared" si="9"/>
        <v>26988.3309410172</v>
      </c>
      <c r="O24" s="390">
        <f t="shared" si="9"/>
        <v>26988.3309410172</v>
      </c>
      <c r="P24" s="390">
        <f t="shared" si="9"/>
        <v>26988.3309410172</v>
      </c>
      <c r="Q24">
        <f t="shared" si="10"/>
        <v>26988.3309410172</v>
      </c>
      <c r="R24">
        <v>3</v>
      </c>
      <c r="V24" s="424"/>
      <c r="W24" s="390"/>
      <c r="X24" t="s">
        <v>83</v>
      </c>
      <c r="Y24" t="str">
        <f t="shared" si="1"/>
        <v>Trd_lcv_gsl_45</v>
      </c>
      <c r="Z24" t="str">
        <f ca="1" t="shared" si="2"/>
        <v>ICE gasoline LCV -- 45%</v>
      </c>
      <c r="AA24" s="388" t="s">
        <v>84</v>
      </c>
      <c r="AB24" s="388" t="s">
        <v>85</v>
      </c>
    </row>
    <row r="25" spans="2:28">
      <c r="B25" s="85">
        <v>0.495560583753408</v>
      </c>
      <c r="C25" s="428">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90">
        <f t="shared" si="5"/>
        <v>116875.343716562</v>
      </c>
      <c r="N25" s="390">
        <f t="shared" si="9"/>
        <v>78477.0793321692</v>
      </c>
      <c r="O25" s="390">
        <f t="shared" si="9"/>
        <v>78477.0793321692</v>
      </c>
      <c r="P25" s="390">
        <f t="shared" si="9"/>
        <v>78477.0793321692</v>
      </c>
      <c r="Q25">
        <f t="shared" si="10"/>
        <v>78477.0793321692</v>
      </c>
      <c r="R25">
        <v>3</v>
      </c>
      <c r="V25" s="424"/>
      <c r="W25" s="390"/>
      <c r="X25" t="s">
        <v>83</v>
      </c>
      <c r="Y25" t="str">
        <f t="shared" si="1"/>
        <v>Trd_lcv_gsl_50</v>
      </c>
      <c r="Z25" t="str">
        <f ca="1" t="shared" si="2"/>
        <v>ICE gasoline LCV -- 50%</v>
      </c>
      <c r="AA25" s="388" t="s">
        <v>84</v>
      </c>
      <c r="AB25" s="388" t="s">
        <v>85</v>
      </c>
    </row>
    <row r="26" spans="2:28">
      <c r="D26" s="97"/>
      <c r="E26" s="97"/>
      <c r="F26" s="97"/>
      <c r="J26" t="str">
        <f t="shared" si="8"/>
        <v>Trd_lcv_gsl</v>
      </c>
      <c r="K26" t="str">
        <f t="shared" si="3"/>
        <v>\I:</v>
      </c>
      <c r="L26" t="str">
        <f t="shared" si="4"/>
        <v>\I:</v>
      </c>
      <c r="M26" s="390" t="str">
        <f t="shared" ref="M26:M89" si="12">IF($K26="\I:","",C26)</f>
        <v/>
      </c>
      <c r="N26" s="390" t="str">
        <f t="shared" ref="N26:N89" si="13">IF($K26="\I:","",D26)</f>
        <v/>
      </c>
      <c r="O26" s="390" t="str">
        <f t="shared" ref="O26:O89" si="14">IF($K26="\I:","",E26)</f>
        <v/>
      </c>
      <c r="P26" s="390" t="str">
        <f t="shared" ref="P26:P89" si="15">IF($K26="\I:","",F26)</f>
        <v/>
      </c>
      <c r="Q26" t="str">
        <f t="shared" si="10"/>
        <v/>
      </c>
      <c r="V26" s="386"/>
      <c r="Y26" t="str">
        <f t="shared" si="1"/>
        <v>\I:</v>
      </c>
      <c r="Z26" t="str">
        <f ca="1" t="shared" si="2"/>
        <v>ICE gasoline LCV -- 00%</v>
      </c>
      <c r="AA26" s="388" t="s">
        <v>84</v>
      </c>
      <c r="AB26" s="388" t="s">
        <v>85</v>
      </c>
    </row>
    <row r="27" spans="2:28">
      <c r="J27" t="str">
        <f t="shared" si="8"/>
        <v>Trd_lcv_gsl</v>
      </c>
      <c r="K27" t="str">
        <f t="shared" si="3"/>
        <v>\I:</v>
      </c>
      <c r="L27" t="str">
        <f t="shared" si="4"/>
        <v>\I:</v>
      </c>
      <c r="M27" s="390" t="str">
        <f t="shared" si="12"/>
        <v/>
      </c>
      <c r="N27" s="390" t="str">
        <f t="shared" si="13"/>
        <v/>
      </c>
      <c r="O27" s="390" t="str">
        <f t="shared" si="14"/>
        <v/>
      </c>
      <c r="P27" s="390" t="str">
        <f t="shared" si="15"/>
        <v/>
      </c>
      <c r="V27" s="386"/>
      <c r="Y27" t="str">
        <f t="shared" si="1"/>
        <v>\I:</v>
      </c>
      <c r="Z27" t="str">
        <f ca="1" t="shared" si="2"/>
        <v>ICE gasoline LCV -- 00%</v>
      </c>
      <c r="AA27" s="388" t="s">
        <v>84</v>
      </c>
      <c r="AB27" s="388" t="s">
        <v>85</v>
      </c>
    </row>
    <row r="28" spans="2:28">
      <c r="J28" t="str">
        <f t="shared" si="8"/>
        <v>Trd_lcv_gsl</v>
      </c>
      <c r="K28" t="str">
        <f t="shared" si="3"/>
        <v>\I:</v>
      </c>
      <c r="L28" t="str">
        <f t="shared" si="4"/>
        <v>\I:</v>
      </c>
      <c r="M28" s="390" t="str">
        <f t="shared" si="12"/>
        <v/>
      </c>
      <c r="N28" s="390" t="str">
        <f t="shared" si="13"/>
        <v/>
      </c>
      <c r="O28" s="390" t="str">
        <f t="shared" si="14"/>
        <v/>
      </c>
      <c r="P28" s="390" t="str">
        <f t="shared" si="15"/>
        <v/>
      </c>
      <c r="V28" s="386"/>
      <c r="Y28" t="str">
        <f t="shared" si="1"/>
        <v>\I:</v>
      </c>
      <c r="Z28" t="str">
        <f ca="1" t="shared" si="2"/>
        <v>ICE gasoline LCV -- 00%</v>
      </c>
      <c r="AA28" s="388" t="s">
        <v>84</v>
      </c>
      <c r="AB28" s="388" t="s">
        <v>85</v>
      </c>
    </row>
    <row r="29" spans="2:28">
      <c r="J29" t="str">
        <f t="shared" si="8"/>
        <v>Trd_lcv_gsl</v>
      </c>
      <c r="K29" t="str">
        <f t="shared" si="3"/>
        <v>\I:</v>
      </c>
      <c r="L29" t="str">
        <f t="shared" si="4"/>
        <v>\I:</v>
      </c>
      <c r="M29" s="390" t="str">
        <f t="shared" si="12"/>
        <v/>
      </c>
      <c r="N29" s="390" t="str">
        <f t="shared" si="13"/>
        <v/>
      </c>
      <c r="O29" s="390" t="str">
        <f t="shared" si="14"/>
        <v/>
      </c>
      <c r="P29" s="390" t="str">
        <f t="shared" si="15"/>
        <v/>
      </c>
      <c r="V29" s="386"/>
      <c r="Y29" t="str">
        <f t="shared" si="1"/>
        <v>\I:</v>
      </c>
      <c r="Z29" t="str">
        <f ca="1" t="shared" si="2"/>
        <v>ICE gasoline LCV -- 00%</v>
      </c>
      <c r="AA29" s="388" t="s">
        <v>84</v>
      </c>
      <c r="AB29" s="388" t="s">
        <v>85</v>
      </c>
    </row>
    <row r="30" ht="15" customHeight="1" spans="2:28">
      <c r="B30" s="49" t="s">
        <v>16</v>
      </c>
      <c r="C30" s="387" t="s">
        <v>96</v>
      </c>
      <c r="D30" s="49"/>
      <c r="E30" s="49"/>
      <c r="F30" s="49"/>
      <c r="J30" t="str">
        <f t="shared" si="8"/>
        <v>Trd_lcv_gsl-hyb</v>
      </c>
      <c r="K30" t="str">
        <f t="shared" si="3"/>
        <v>\I:</v>
      </c>
      <c r="L30" t="str">
        <f t="shared" si="4"/>
        <v>\I:</v>
      </c>
      <c r="M30" s="390" t="str">
        <f t="shared" si="12"/>
        <v/>
      </c>
      <c r="N30" s="390" t="str">
        <f t="shared" si="13"/>
        <v/>
      </c>
      <c r="O30" s="390" t="str">
        <f t="shared" si="14"/>
        <v/>
      </c>
      <c r="P30" s="390" t="str">
        <f t="shared" si="15"/>
        <v/>
      </c>
      <c r="V30" s="386"/>
      <c r="Y30" t="str">
        <f t="shared" si="1"/>
        <v>\I:</v>
      </c>
      <c r="Z30" t="str">
        <f ca="1" t="shared" si="2"/>
        <v>ICE gasoline hybrid LCV -- Reduction of specific energy consumption relative to 2015 gasoline vehicle (%)</v>
      </c>
      <c r="AA30" s="388" t="s">
        <v>84</v>
      </c>
      <c r="AB30" s="388" t="s">
        <v>85</v>
      </c>
    </row>
    <row r="31" spans="2:28">
      <c r="B31" s="49"/>
      <c r="C31" s="387"/>
      <c r="D31" s="49"/>
      <c r="E31" s="49"/>
      <c r="F31" s="49"/>
      <c r="J31" t="str">
        <f t="shared" si="8"/>
        <v>Trd_lcv_gsl-hyb</v>
      </c>
      <c r="K31" t="str">
        <f t="shared" si="3"/>
        <v>\I:</v>
      </c>
      <c r="L31" t="str">
        <f t="shared" si="4"/>
        <v>\I:</v>
      </c>
      <c r="M31" s="390" t="str">
        <f t="shared" si="12"/>
        <v/>
      </c>
      <c r="N31" s="390" t="str">
        <f t="shared" si="13"/>
        <v/>
      </c>
      <c r="O31" s="390" t="str">
        <f t="shared" si="14"/>
        <v/>
      </c>
      <c r="P31" s="390" t="str">
        <f t="shared" si="15"/>
        <v/>
      </c>
      <c r="V31" s="386"/>
      <c r="Y31" t="str">
        <f t="shared" si="1"/>
        <v>\I:</v>
      </c>
      <c r="Z31" t="str">
        <f ca="1" t="shared" si="2"/>
        <v>ICE gasoline hybrid LCV -- 00%</v>
      </c>
      <c r="AA31" s="388" t="s">
        <v>84</v>
      </c>
      <c r="AB31" s="388" t="s">
        <v>85</v>
      </c>
    </row>
    <row r="32" spans="2:28">
      <c r="B32" s="49"/>
      <c r="C32" s="387"/>
      <c r="D32" s="49"/>
      <c r="E32" s="49"/>
      <c r="F32" s="49"/>
      <c r="J32" t="str">
        <f t="shared" si="8"/>
        <v>Trd_lcv_gsl-hyb</v>
      </c>
      <c r="K32" t="str">
        <f t="shared" si="3"/>
        <v>\I:</v>
      </c>
      <c r="L32" t="str">
        <f t="shared" si="4"/>
        <v>\I:</v>
      </c>
      <c r="M32" s="390" t="str">
        <f t="shared" si="12"/>
        <v/>
      </c>
      <c r="N32" s="390" t="str">
        <f t="shared" si="13"/>
        <v/>
      </c>
      <c r="O32" s="390" t="str">
        <f t="shared" si="14"/>
        <v/>
      </c>
      <c r="P32" s="390" t="str">
        <f t="shared" si="15"/>
        <v/>
      </c>
      <c r="V32" s="386"/>
      <c r="Y32" t="str">
        <f t="shared" si="1"/>
        <v>\I:</v>
      </c>
      <c r="Z32" t="str">
        <f ca="1" t="shared" si="2"/>
        <v>ICE gasoline hybrid LCV -- 00%</v>
      </c>
      <c r="AA32" s="388" t="s">
        <v>84</v>
      </c>
      <c r="AB32" s="388" t="s">
        <v>85</v>
      </c>
    </row>
    <row r="33" spans="2:28">
      <c r="B33" s="88"/>
      <c r="C33" s="426">
        <v>2020</v>
      </c>
      <c r="D33" s="51">
        <v>2030</v>
      </c>
      <c r="E33" s="51">
        <v>2040</v>
      </c>
      <c r="F33" s="51">
        <v>2050</v>
      </c>
      <c r="J33" t="str">
        <f t="shared" si="8"/>
        <v>Trd_lcv_gsl-hyb</v>
      </c>
      <c r="K33" t="str">
        <f t="shared" si="3"/>
        <v>\I:</v>
      </c>
      <c r="L33" t="str">
        <f t="shared" si="4"/>
        <v>\I:</v>
      </c>
      <c r="M33" s="390" t="str">
        <f t="shared" si="12"/>
        <v/>
      </c>
      <c r="N33" s="390" t="str">
        <f t="shared" si="13"/>
        <v/>
      </c>
      <c r="O33" s="390" t="str">
        <f t="shared" si="14"/>
        <v/>
      </c>
      <c r="P33" s="390" t="str">
        <f t="shared" si="15"/>
        <v/>
      </c>
      <c r="V33" s="386"/>
      <c r="Y33" t="str">
        <f t="shared" si="1"/>
        <v>\I:</v>
      </c>
      <c r="Z33" t="str">
        <f ca="1" t="shared" si="2"/>
        <v>ICE gasoline hybrid LCV -- 00%</v>
      </c>
      <c r="AA33" s="388" t="s">
        <v>84</v>
      </c>
      <c r="AB33" s="388" t="s">
        <v>85</v>
      </c>
    </row>
    <row r="34" spans="2:28">
      <c r="B34" s="85">
        <v>0.141858664420856</v>
      </c>
      <c r="C34" s="428">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90">
        <f t="shared" si="12"/>
        <v>20504.4559655839</v>
      </c>
      <c r="N34" s="390">
        <f t="shared" si="13"/>
        <v>19138.7491883351</v>
      </c>
      <c r="O34" s="390">
        <f t="shared" si="14"/>
        <v>19138.7491883351</v>
      </c>
      <c r="P34" s="390">
        <f t="shared" si="15"/>
        <v>19138.7491883351</v>
      </c>
      <c r="Q34">
        <f t="shared" ref="Q34:Q40" si="17">P34</f>
        <v>19138.7491883351</v>
      </c>
      <c r="R34">
        <v>3</v>
      </c>
      <c r="V34" s="386"/>
      <c r="Y34" t="str">
        <f t="shared" si="1"/>
        <v>Trd_lcv_gsl-hyb_14</v>
      </c>
      <c r="Z34" t="str">
        <f ca="1" t="shared" si="2"/>
        <v>ICE gasoline hybrid LCV -- 14%</v>
      </c>
      <c r="AA34" s="388" t="s">
        <v>84</v>
      </c>
      <c r="AB34" s="388" t="s">
        <v>85</v>
      </c>
    </row>
    <row r="35" spans="2:28">
      <c r="B35" s="85">
        <v>0.241858664420856</v>
      </c>
      <c r="C35" s="428">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90">
        <f t="shared" si="12"/>
        <v>20722.2426519634</v>
      </c>
      <c r="N35" s="390">
        <f t="shared" si="13"/>
        <v>19390.0828167076</v>
      </c>
      <c r="O35" s="390">
        <f t="shared" si="14"/>
        <v>19390.0828167076</v>
      </c>
      <c r="P35" s="390">
        <f t="shared" si="15"/>
        <v>19390.0828167076</v>
      </c>
      <c r="Q35">
        <f t="shared" si="17"/>
        <v>19390.0828167076</v>
      </c>
      <c r="R35">
        <v>3</v>
      </c>
      <c r="V35" s="386"/>
      <c r="Y35" t="str">
        <f t="shared" si="1"/>
        <v>Trd_lcv_gsl-hyb_24</v>
      </c>
      <c r="Z35" t="str">
        <f ca="1" t="shared" si="2"/>
        <v>ICE gasoline hybrid LCV -- 24%</v>
      </c>
      <c r="AA35" s="388" t="s">
        <v>84</v>
      </c>
      <c r="AB35" s="388" t="s">
        <v>85</v>
      </c>
    </row>
    <row r="36" spans="2:28">
      <c r="B36" s="85">
        <v>0.291858664420856</v>
      </c>
      <c r="C36" s="428">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90">
        <f t="shared" si="12"/>
        <v>20967.6583697595</v>
      </c>
      <c r="N36" s="390">
        <f t="shared" si="13"/>
        <v>19601.2088430076</v>
      </c>
      <c r="O36" s="390">
        <f t="shared" si="14"/>
        <v>19601.2088430076</v>
      </c>
      <c r="P36" s="390">
        <f t="shared" si="15"/>
        <v>19601.2088430076</v>
      </c>
      <c r="Q36">
        <f t="shared" si="17"/>
        <v>19601.2088430076</v>
      </c>
      <c r="R36">
        <v>3</v>
      </c>
      <c r="V36" s="386"/>
      <c r="Y36" t="str">
        <f t="shared" si="1"/>
        <v>Trd_lcv_gsl-hyb_29</v>
      </c>
      <c r="Z36" t="str">
        <f ca="1" t="shared" si="2"/>
        <v>ICE gasoline hybrid LCV -- 29%</v>
      </c>
      <c r="AA36" s="388" t="s">
        <v>84</v>
      </c>
      <c r="AB36" s="388" t="s">
        <v>85</v>
      </c>
    </row>
    <row r="37" spans="2:28">
      <c r="B37" s="85">
        <v>0.341858664420856</v>
      </c>
      <c r="C37" s="428">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90">
        <f t="shared" si="12"/>
        <v>21437.6216583787</v>
      </c>
      <c r="N37" s="390">
        <f t="shared" si="13"/>
        <v>19855.9040595789</v>
      </c>
      <c r="O37" s="390">
        <f t="shared" si="14"/>
        <v>19855.9040595789</v>
      </c>
      <c r="P37" s="390">
        <f t="shared" si="15"/>
        <v>19855.9040595789</v>
      </c>
      <c r="Q37">
        <f t="shared" si="17"/>
        <v>19855.9040595789</v>
      </c>
      <c r="R37">
        <v>3</v>
      </c>
      <c r="V37" s="386"/>
      <c r="Y37" t="str">
        <f t="shared" si="1"/>
        <v>Trd_lcv_gsl-hyb_34</v>
      </c>
      <c r="Z37" t="str">
        <f ca="1" t="shared" si="2"/>
        <v>ICE gasoline hybrid LCV -- 34%</v>
      </c>
      <c r="AA37" s="388" t="s">
        <v>84</v>
      </c>
      <c r="AB37" s="388" t="s">
        <v>85</v>
      </c>
    </row>
    <row r="38" spans="2:28">
      <c r="B38" s="85">
        <v>0.391858664420856</v>
      </c>
      <c r="C38" s="428">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90">
        <f t="shared" si="12"/>
        <v>22211.0087034134</v>
      </c>
      <c r="N38" s="390">
        <f t="shared" si="13"/>
        <v>20325.5630625639</v>
      </c>
      <c r="O38" s="390">
        <f t="shared" si="14"/>
        <v>20325.5630625639</v>
      </c>
      <c r="P38" s="390">
        <f t="shared" si="15"/>
        <v>20325.5630625639</v>
      </c>
      <c r="Q38">
        <f t="shared" si="17"/>
        <v>20325.5630625639</v>
      </c>
      <c r="R38">
        <v>3</v>
      </c>
      <c r="V38" s="386"/>
      <c r="Y38" t="str">
        <f t="shared" si="1"/>
        <v>Trd_lcv_gsl-hyb_39</v>
      </c>
      <c r="Z38" t="str">
        <f ca="1" t="shared" si="2"/>
        <v>ICE gasoline hybrid LCV -- 39%</v>
      </c>
      <c r="AA38" s="388" t="s">
        <v>84</v>
      </c>
      <c r="AB38" s="388" t="s">
        <v>85</v>
      </c>
    </row>
    <row r="39" spans="2:28">
      <c r="B39" s="85">
        <v>0.441858664420856</v>
      </c>
      <c r="C39" s="428">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90">
        <f t="shared" si="12"/>
        <v>46471.148840111</v>
      </c>
      <c r="N39" s="390">
        <f t="shared" si="13"/>
        <v>26131.898294073</v>
      </c>
      <c r="O39" s="390">
        <f t="shared" si="14"/>
        <v>26131.898294073</v>
      </c>
      <c r="P39" s="390">
        <f t="shared" si="15"/>
        <v>26131.898294073</v>
      </c>
      <c r="Q39">
        <f t="shared" si="17"/>
        <v>26131.898294073</v>
      </c>
      <c r="R39">
        <v>3</v>
      </c>
      <c r="V39" s="386"/>
      <c r="Y39" t="str">
        <f t="shared" si="1"/>
        <v>Trd_lcv_gsl-hyb_44</v>
      </c>
      <c r="Z39" t="str">
        <f ca="1" t="shared" si="2"/>
        <v>ICE gasoline hybrid LCV -- 44%</v>
      </c>
      <c r="AA39" s="388" t="s">
        <v>84</v>
      </c>
      <c r="AB39" s="388" t="s">
        <v>85</v>
      </c>
    </row>
    <row r="40" spans="2:28">
      <c r="B40" s="85">
        <v>0.491858664420856</v>
      </c>
      <c r="C40" s="428">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90">
        <f t="shared" si="12"/>
        <v>108265.756276503</v>
      </c>
      <c r="N40" s="390">
        <f t="shared" si="13"/>
        <v>77485.5623662731</v>
      </c>
      <c r="O40" s="390">
        <f t="shared" si="14"/>
        <v>77485.5623662731</v>
      </c>
      <c r="P40" s="390">
        <f t="shared" si="15"/>
        <v>77485.5623662731</v>
      </c>
      <c r="Q40">
        <f t="shared" si="17"/>
        <v>77485.5623662731</v>
      </c>
      <c r="R40">
        <v>3</v>
      </c>
      <c r="V40" s="386"/>
      <c r="Y40" t="str">
        <f t="shared" si="1"/>
        <v>Trd_lcv_gsl-hyb_49</v>
      </c>
      <c r="Z40" t="str">
        <f ca="1" t="shared" si="2"/>
        <v>ICE gasoline hybrid LCV -- 49%</v>
      </c>
      <c r="AA40" s="388" t="s">
        <v>84</v>
      </c>
      <c r="AB40" s="388" t="s">
        <v>85</v>
      </c>
    </row>
    <row r="41" spans="2:28">
      <c r="D41" s="97"/>
      <c r="E41" s="97"/>
      <c r="F41" s="97"/>
      <c r="I41" s="75"/>
      <c r="J41" t="str">
        <f t="shared" si="8"/>
        <v>Trd_lcv_gsl-hyb</v>
      </c>
      <c r="K41" t="str">
        <f t="shared" si="3"/>
        <v>\I:</v>
      </c>
      <c r="L41" t="str">
        <f t="shared" si="4"/>
        <v>\I:</v>
      </c>
      <c r="M41" s="390" t="str">
        <f t="shared" si="12"/>
        <v/>
      </c>
      <c r="N41" s="390" t="str">
        <f t="shared" si="13"/>
        <v/>
      </c>
      <c r="O41" s="390" t="str">
        <f t="shared" si="14"/>
        <v/>
      </c>
      <c r="P41" s="390" t="str">
        <f t="shared" si="15"/>
        <v/>
      </c>
      <c r="V41" s="386"/>
      <c r="Y41" t="str">
        <f t="shared" si="1"/>
        <v>\I:</v>
      </c>
      <c r="Z41" t="str">
        <f ca="1" t="shared" si="2"/>
        <v>ICE gasoline hybrid LCV -- 00%</v>
      </c>
      <c r="AA41" s="388" t="s">
        <v>84</v>
      </c>
      <c r="AB41" s="388" t="s">
        <v>85</v>
      </c>
    </row>
    <row r="42" spans="2:28">
      <c r="I42" s="75"/>
      <c r="J42" t="str">
        <f t="shared" si="8"/>
        <v>Trd_lcv_gsl-hyb</v>
      </c>
      <c r="K42" t="str">
        <f t="shared" si="3"/>
        <v>\I:</v>
      </c>
      <c r="L42" t="str">
        <f t="shared" si="4"/>
        <v>\I:</v>
      </c>
      <c r="M42" s="390" t="str">
        <f t="shared" si="12"/>
        <v/>
      </c>
      <c r="N42" s="390" t="str">
        <f t="shared" si="13"/>
        <v/>
      </c>
      <c r="O42" s="390" t="str">
        <f t="shared" si="14"/>
        <v/>
      </c>
      <c r="P42" s="390" t="str">
        <f t="shared" si="15"/>
        <v/>
      </c>
      <c r="V42" s="386"/>
      <c r="Y42" t="str">
        <f t="shared" si="1"/>
        <v>\I:</v>
      </c>
      <c r="Z42" t="str">
        <f ca="1" t="shared" si="2"/>
        <v>ICE gasoline hybrid LCV -- 00%</v>
      </c>
      <c r="AA42" s="388" t="s">
        <v>84</v>
      </c>
      <c r="AB42" s="388" t="s">
        <v>85</v>
      </c>
    </row>
    <row r="43" spans="2:28">
      <c r="I43" s="75"/>
      <c r="J43" t="str">
        <f t="shared" si="8"/>
        <v>Trd_lcv_gsl-hyb</v>
      </c>
      <c r="K43" t="str">
        <f t="shared" si="3"/>
        <v>\I:</v>
      </c>
      <c r="L43" t="str">
        <f t="shared" si="4"/>
        <v>\I:</v>
      </c>
      <c r="M43" s="390" t="str">
        <f t="shared" si="12"/>
        <v/>
      </c>
      <c r="N43" s="390" t="str">
        <f t="shared" si="13"/>
        <v/>
      </c>
      <c r="O43" s="390" t="str">
        <f t="shared" si="14"/>
        <v/>
      </c>
      <c r="P43" s="390" t="str">
        <f t="shared" si="15"/>
        <v/>
      </c>
      <c r="V43" s="386"/>
      <c r="Y43" t="str">
        <f t="shared" si="1"/>
        <v>\I:</v>
      </c>
      <c r="Z43" t="str">
        <f ca="1" t="shared" si="2"/>
        <v>ICE gasoline hybrid LCV -- 00%</v>
      </c>
      <c r="AA43" s="388" t="s">
        <v>84</v>
      </c>
      <c r="AB43" s="388" t="s">
        <v>85</v>
      </c>
    </row>
    <row r="44" spans="2:28">
      <c r="I44" s="75"/>
      <c r="J44" t="str">
        <f t="shared" si="8"/>
        <v>Trd_lcv_gsl-hyb</v>
      </c>
      <c r="K44" t="str">
        <f t="shared" si="3"/>
        <v>\I:</v>
      </c>
      <c r="L44" t="str">
        <f t="shared" si="4"/>
        <v>\I:</v>
      </c>
      <c r="M44" s="390" t="str">
        <f t="shared" si="12"/>
        <v/>
      </c>
      <c r="N44" s="390" t="str">
        <f t="shared" si="13"/>
        <v/>
      </c>
      <c r="O44" s="390" t="str">
        <f t="shared" si="14"/>
        <v/>
      </c>
      <c r="P44" s="390" t="str">
        <f t="shared" si="15"/>
        <v/>
      </c>
      <c r="V44" s="386"/>
      <c r="Y44" t="str">
        <f t="shared" si="1"/>
        <v>\I:</v>
      </c>
      <c r="Z44" t="str">
        <f ca="1" t="shared" si="2"/>
        <v>ICE gasoline hybrid LCV -- 00%</v>
      </c>
      <c r="AA44" s="388" t="s">
        <v>84</v>
      </c>
      <c r="AB44" s="388" t="s">
        <v>85</v>
      </c>
    </row>
    <row r="45" ht="15" customHeight="1" spans="2:28">
      <c r="B45" s="49" t="s">
        <v>16</v>
      </c>
      <c r="C45" s="387" t="s">
        <v>97</v>
      </c>
      <c r="D45" s="49"/>
      <c r="E45" s="49"/>
      <c r="F45" s="49"/>
      <c r="I45" s="75"/>
      <c r="J45" t="str">
        <f t="shared" si="8"/>
        <v>Trd_lcv_gsl-pih</v>
      </c>
      <c r="K45" t="str">
        <f t="shared" si="3"/>
        <v>\I:</v>
      </c>
      <c r="L45" t="str">
        <f t="shared" si="4"/>
        <v>\I:</v>
      </c>
      <c r="M45" s="390" t="str">
        <f t="shared" si="12"/>
        <v/>
      </c>
      <c r="N45" s="390" t="str">
        <f t="shared" si="13"/>
        <v/>
      </c>
      <c r="O45" s="390" t="str">
        <f t="shared" si="14"/>
        <v/>
      </c>
      <c r="P45" s="390" t="str">
        <f t="shared" si="15"/>
        <v/>
      </c>
      <c r="V45" s="386"/>
      <c r="Y45" t="str">
        <f t="shared" si="1"/>
        <v>\I:</v>
      </c>
      <c r="Z45" t="str">
        <f ca="1" t="shared" si="2"/>
        <v>ICE gasoline plug-in hybrid LCV -- Reduction of specific energy consumption relative to 2015 gasoline vehicle (%)</v>
      </c>
      <c r="AA45" s="388" t="s">
        <v>84</v>
      </c>
      <c r="AB45" s="388" t="s">
        <v>85</v>
      </c>
    </row>
    <row r="46" spans="2:28">
      <c r="B46" s="49"/>
      <c r="C46" s="387"/>
      <c r="D46" s="49"/>
      <c r="E46" s="49"/>
      <c r="F46" s="49"/>
      <c r="J46" t="str">
        <f t="shared" si="8"/>
        <v>Trd_lcv_gsl-pih</v>
      </c>
      <c r="K46" t="str">
        <f t="shared" si="3"/>
        <v>\I:</v>
      </c>
      <c r="L46" t="str">
        <f t="shared" si="4"/>
        <v>\I:</v>
      </c>
      <c r="M46" s="390" t="str">
        <f t="shared" si="12"/>
        <v/>
      </c>
      <c r="N46" s="390" t="str">
        <f t="shared" si="13"/>
        <v/>
      </c>
      <c r="O46" s="390" t="str">
        <f t="shared" si="14"/>
        <v/>
      </c>
      <c r="P46" s="390" t="str">
        <f t="shared" si="15"/>
        <v/>
      </c>
      <c r="V46" s="386"/>
      <c r="Y46" t="str">
        <f t="shared" si="1"/>
        <v>\I:</v>
      </c>
      <c r="Z46" t="str">
        <f ca="1" t="shared" si="2"/>
        <v>ICE gasoline plug-in hybrid LCV -- 00%</v>
      </c>
      <c r="AA46" s="388" t="s">
        <v>84</v>
      </c>
      <c r="AB46" s="388" t="s">
        <v>85</v>
      </c>
    </row>
    <row r="47" spans="2:28">
      <c r="B47" s="49"/>
      <c r="C47" s="387"/>
      <c r="D47" s="49"/>
      <c r="E47" s="49"/>
      <c r="F47" s="49"/>
      <c r="J47" t="str">
        <f t="shared" si="8"/>
        <v>Trd_lcv_gsl-pih</v>
      </c>
      <c r="K47" t="str">
        <f t="shared" si="3"/>
        <v>\I:</v>
      </c>
      <c r="L47" t="str">
        <f t="shared" si="4"/>
        <v>\I:</v>
      </c>
      <c r="M47" s="390" t="str">
        <f t="shared" si="12"/>
        <v/>
      </c>
      <c r="N47" s="390" t="str">
        <f t="shared" si="13"/>
        <v/>
      </c>
      <c r="O47" s="390" t="str">
        <f t="shared" si="14"/>
        <v/>
      </c>
      <c r="P47" s="390" t="str">
        <f t="shared" si="15"/>
        <v/>
      </c>
      <c r="V47" s="386"/>
      <c r="Y47" t="str">
        <f t="shared" si="1"/>
        <v>\I:</v>
      </c>
      <c r="Z47" t="str">
        <f ca="1" t="shared" si="2"/>
        <v>ICE gasoline plug-in hybrid LCV -- 00%</v>
      </c>
      <c r="AA47" s="388" t="s">
        <v>84</v>
      </c>
      <c r="AB47" s="388" t="s">
        <v>85</v>
      </c>
    </row>
    <row r="48" spans="2:28">
      <c r="B48" s="88"/>
      <c r="C48" s="426">
        <v>2020</v>
      </c>
      <c r="D48" s="51">
        <v>2030</v>
      </c>
      <c r="E48" s="51">
        <v>2040</v>
      </c>
      <c r="F48" s="51">
        <v>2050</v>
      </c>
      <c r="J48" t="str">
        <f t="shared" si="8"/>
        <v>Trd_lcv_gsl-pih</v>
      </c>
      <c r="K48" s="147" t="str">
        <f t="shared" si="3"/>
        <v>\I:</v>
      </c>
      <c r="L48" s="147" t="str">
        <f t="shared" si="4"/>
        <v>\I:</v>
      </c>
      <c r="M48" s="395" t="str">
        <f t="shared" si="12"/>
        <v/>
      </c>
      <c r="N48" s="395" t="str">
        <f t="shared" si="13"/>
        <v/>
      </c>
      <c r="O48" s="395" t="str">
        <f t="shared" si="14"/>
        <v/>
      </c>
      <c r="P48" s="395" t="str">
        <f t="shared" si="15"/>
        <v/>
      </c>
      <c r="V48" s="386"/>
      <c r="Y48" t="str">
        <f t="shared" ref="Y48:Y79" si="18">K48</f>
        <v>\I:</v>
      </c>
      <c r="Z48" t="str">
        <f ca="1" t="shared" ref="Z48:Z79" si="19">OFFSET($W$1,MATCH(J48,$W$1:$W$10,0)-1,-1)&amp;" -- "&amp;TEXT(B48,"00%")</f>
        <v>ICE gasoline plug-in hybrid LCV -- 00%</v>
      </c>
      <c r="AA48" s="388" t="s">
        <v>84</v>
      </c>
      <c r="AB48" s="388" t="s">
        <v>85</v>
      </c>
    </row>
    <row r="49" spans="2:28">
      <c r="B49" s="429">
        <v>0.825</v>
      </c>
      <c r="C49" s="428">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5">
        <f t="shared" si="12"/>
        <v>25855.4162729033</v>
      </c>
      <c r="N49" s="395">
        <f t="shared" si="13"/>
        <v>20946.0136101116</v>
      </c>
      <c r="O49" s="395">
        <f t="shared" si="14"/>
        <v>19751.4795793658</v>
      </c>
      <c r="P49" s="395">
        <f t="shared" si="15"/>
        <v>19403.0868687444</v>
      </c>
      <c r="Q49">
        <f t="shared" ref="Q49:Q56" si="21">P49</f>
        <v>19403.0868687444</v>
      </c>
      <c r="R49">
        <v>3</v>
      </c>
      <c r="V49" s="386"/>
      <c r="Y49" t="str">
        <f t="shared" si="18"/>
        <v>Trd_lcv_gsl-pih_83</v>
      </c>
      <c r="Z49" t="str">
        <f ca="1" t="shared" si="19"/>
        <v>ICE gasoline plug-in hybrid LCV -- 83%</v>
      </c>
      <c r="AA49" s="388" t="s">
        <v>84</v>
      </c>
      <c r="AB49" s="388" t="s">
        <v>85</v>
      </c>
    </row>
    <row r="50" spans="2:28">
      <c r="B50" s="429">
        <v>0.835</v>
      </c>
      <c r="C50" s="428">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5">
        <f t="shared" si="12"/>
        <v>25936.7339540823</v>
      </c>
      <c r="N50" s="395">
        <f t="shared" si="13"/>
        <v>20972.5685484446</v>
      </c>
      <c r="O50" s="395">
        <f t="shared" si="14"/>
        <v>19766.6423788705</v>
      </c>
      <c r="P50" s="395">
        <f t="shared" si="15"/>
        <v>19414.5742977407</v>
      </c>
      <c r="Q50">
        <f t="shared" si="21"/>
        <v>19414.5742977407</v>
      </c>
      <c r="R50">
        <v>3</v>
      </c>
      <c r="V50" s="386"/>
      <c r="Y50" t="str">
        <f t="shared" si="18"/>
        <v>Trd_lcv_gsl-pih_84</v>
      </c>
      <c r="Z50" t="str">
        <f ca="1" t="shared" si="19"/>
        <v>ICE gasoline plug-in hybrid LCV -- 84%</v>
      </c>
      <c r="AA50" s="388" t="s">
        <v>84</v>
      </c>
      <c r="AB50" s="388" t="s">
        <v>85</v>
      </c>
    </row>
    <row r="51" spans="2:28">
      <c r="B51" s="429">
        <v>0.8475</v>
      </c>
      <c r="C51" s="428">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5">
        <f t="shared" si="12"/>
        <v>26068.0641465879</v>
      </c>
      <c r="N51" s="395">
        <f t="shared" si="13"/>
        <v>20983.7357684659</v>
      </c>
      <c r="O51" s="395">
        <f t="shared" si="14"/>
        <v>19772.1960204821</v>
      </c>
      <c r="P51" s="395">
        <f t="shared" si="15"/>
        <v>19418.2617068886</v>
      </c>
      <c r="Q51">
        <f t="shared" si="21"/>
        <v>19418.2617068886</v>
      </c>
      <c r="R51">
        <v>3</v>
      </c>
      <c r="V51" s="386"/>
      <c r="Y51" t="str">
        <f t="shared" si="18"/>
        <v>Trd_lcv_gsl-pih_85</v>
      </c>
      <c r="Z51" t="str">
        <f ca="1" t="shared" si="19"/>
        <v>ICE gasoline plug-in hybrid LCV -- 85%</v>
      </c>
      <c r="AA51" s="388" t="s">
        <v>84</v>
      </c>
      <c r="AB51" s="388" t="s">
        <v>85</v>
      </c>
    </row>
    <row r="52" spans="2:28">
      <c r="B52" s="429">
        <v>0.8575</v>
      </c>
      <c r="C52" s="428">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5">
        <f t="shared" si="12"/>
        <v>29189.2099676658</v>
      </c>
      <c r="N52" s="395">
        <f t="shared" si="13"/>
        <v>21014.1005815479</v>
      </c>
      <c r="O52" s="395">
        <f t="shared" si="14"/>
        <v>19796.1968088197</v>
      </c>
      <c r="P52" s="395">
        <f t="shared" si="15"/>
        <v>19440.6559656101</v>
      </c>
      <c r="Q52">
        <f t="shared" si="21"/>
        <v>19440.6559656101</v>
      </c>
      <c r="R52">
        <v>3</v>
      </c>
      <c r="V52" s="386"/>
      <c r="Y52" t="str">
        <f t="shared" si="18"/>
        <v>Trd_lcv_gsl-pih_86</v>
      </c>
      <c r="Z52" t="str">
        <f ca="1" t="shared" si="19"/>
        <v>ICE gasoline plug-in hybrid LCV -- 86%</v>
      </c>
      <c r="AA52" s="388" t="s">
        <v>84</v>
      </c>
      <c r="AB52" s="388" t="s">
        <v>85</v>
      </c>
    </row>
    <row r="53" spans="2:28">
      <c r="B53" s="429">
        <v>0.8675</v>
      </c>
      <c r="C53" s="428">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5">
        <f t="shared" si="12"/>
        <v>44989.8543167652</v>
      </c>
      <c r="N53" s="395">
        <f t="shared" si="13"/>
        <v>21032.5204061794</v>
      </c>
      <c r="O53" s="395">
        <f t="shared" si="14"/>
        <v>19824.2506796935</v>
      </c>
      <c r="P53" s="395">
        <f t="shared" si="15"/>
        <v>19472.9936204524</v>
      </c>
      <c r="Q53">
        <f t="shared" si="21"/>
        <v>19472.9936204524</v>
      </c>
      <c r="R53">
        <v>3</v>
      </c>
      <c r="V53" s="386"/>
      <c r="Y53" t="str">
        <f t="shared" si="18"/>
        <v>Trd_lcv_gsl-pih_87</v>
      </c>
      <c r="Z53" t="str">
        <f ca="1" t="shared" si="19"/>
        <v>ICE gasoline plug-in hybrid LCV -- 87%</v>
      </c>
      <c r="AA53" s="388" t="s">
        <v>84</v>
      </c>
      <c r="AB53" s="388" t="s">
        <v>85</v>
      </c>
    </row>
    <row r="54" spans="2:28">
      <c r="B54" s="429">
        <v>0.915</v>
      </c>
      <c r="C54" s="428">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5">
        <f t="shared" si="12"/>
        <v>61078.7026089492</v>
      </c>
      <c r="N54" s="395">
        <f t="shared" si="13"/>
        <v>24620.9228746061</v>
      </c>
      <c r="O54" s="395">
        <f t="shared" si="14"/>
        <v>22831.7849053289</v>
      </c>
      <c r="P54" s="395">
        <f t="shared" si="15"/>
        <v>22357.3877876521</v>
      </c>
      <c r="Q54">
        <f t="shared" si="21"/>
        <v>22357.3877876521</v>
      </c>
      <c r="R54">
        <v>3</v>
      </c>
      <c r="V54" s="386"/>
      <c r="Y54" t="str">
        <f t="shared" si="18"/>
        <v>Trd_lcv_gsl-pih_92</v>
      </c>
      <c r="Z54" t="str">
        <f ca="1" t="shared" si="19"/>
        <v>ICE gasoline plug-in hybrid LCV -- 92%</v>
      </c>
      <c r="AA54" s="388" t="s">
        <v>84</v>
      </c>
      <c r="AB54" s="388" t="s">
        <v>85</v>
      </c>
    </row>
    <row r="55" spans="2:28">
      <c r="B55" s="429">
        <v>0.9225</v>
      </c>
      <c r="C55" s="428">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5">
        <f t="shared" si="12"/>
        <v>61658.5569109629</v>
      </c>
      <c r="N55" s="395">
        <f t="shared" si="13"/>
        <v>36662.6858263954</v>
      </c>
      <c r="O55" s="395">
        <f t="shared" si="14"/>
        <v>34512.2146444883</v>
      </c>
      <c r="P55" s="395">
        <f t="shared" si="15"/>
        <v>34243.3411954732</v>
      </c>
      <c r="Q55">
        <f t="shared" si="21"/>
        <v>34243.3411954732</v>
      </c>
      <c r="R55">
        <v>3</v>
      </c>
      <c r="V55" s="386"/>
      <c r="Y55" t="str">
        <f t="shared" si="18"/>
        <v>Trd_lcv_gsl-pih_92</v>
      </c>
      <c r="Z55" t="str">
        <f ca="1" t="shared" si="19"/>
        <v>ICE gasoline plug-in hybrid LCV -- 92%</v>
      </c>
      <c r="AA55" s="388" t="s">
        <v>84</v>
      </c>
      <c r="AB55" s="388" t="s">
        <v>85</v>
      </c>
    </row>
    <row r="56" spans="2:28">
      <c r="B56" s="429">
        <v>0.93</v>
      </c>
      <c r="C56" s="428">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5">
        <f t="shared" si="12"/>
        <v>99213.7185822678</v>
      </c>
      <c r="N56" s="395">
        <f t="shared" si="13"/>
        <v>52428.018226086</v>
      </c>
      <c r="O56" s="395">
        <f t="shared" si="14"/>
        <v>50000.3633152236</v>
      </c>
      <c r="P56" s="395">
        <f t="shared" si="15"/>
        <v>50076.8935124655</v>
      </c>
      <c r="Q56">
        <f t="shared" si="21"/>
        <v>50076.8935124655</v>
      </c>
      <c r="R56">
        <v>3</v>
      </c>
      <c r="V56" s="386"/>
      <c r="Y56" t="str">
        <f t="shared" si="18"/>
        <v>Trd_lcv_gsl-pih_93</v>
      </c>
      <c r="Z56" t="str">
        <f ca="1" t="shared" si="19"/>
        <v>ICE gasoline plug-in hybrid LCV -- 93%</v>
      </c>
      <c r="AA56" s="388" t="s">
        <v>84</v>
      </c>
      <c r="AB56" s="388" t="s">
        <v>85</v>
      </c>
    </row>
    <row r="57" spans="2:28">
      <c r="J57" t="str">
        <f t="shared" si="8"/>
        <v>Trd_lcv_gsl-pih</v>
      </c>
      <c r="K57" t="str">
        <f t="shared" si="3"/>
        <v>\I:</v>
      </c>
      <c r="L57" t="str">
        <f t="shared" si="4"/>
        <v>\I:</v>
      </c>
      <c r="M57" s="390" t="str">
        <f t="shared" si="12"/>
        <v/>
      </c>
      <c r="N57" s="390" t="str">
        <f t="shared" si="13"/>
        <v/>
      </c>
      <c r="O57" s="390" t="str">
        <f t="shared" si="14"/>
        <v/>
      </c>
      <c r="P57" s="390" t="str">
        <f t="shared" si="15"/>
        <v/>
      </c>
      <c r="V57" s="386"/>
      <c r="Y57" t="str">
        <f t="shared" si="18"/>
        <v>\I:</v>
      </c>
      <c r="Z57" t="str">
        <f ca="1" t="shared" si="19"/>
        <v>ICE gasoline plug-in hybrid LCV -- 00%</v>
      </c>
      <c r="AA57" s="388" t="s">
        <v>84</v>
      </c>
      <c r="AB57" s="388" t="s">
        <v>85</v>
      </c>
    </row>
    <row r="58" spans="2:28">
      <c r="J58" t="str">
        <f t="shared" si="8"/>
        <v>Trd_lcv_gsl-pih</v>
      </c>
      <c r="K58" t="str">
        <f t="shared" si="3"/>
        <v>\I:</v>
      </c>
      <c r="L58" t="str">
        <f t="shared" si="4"/>
        <v>\I:</v>
      </c>
      <c r="M58" s="390" t="str">
        <f t="shared" si="12"/>
        <v/>
      </c>
      <c r="N58" s="390" t="str">
        <f t="shared" si="13"/>
        <v/>
      </c>
      <c r="O58" s="390" t="str">
        <f t="shared" si="14"/>
        <v/>
      </c>
      <c r="P58" s="390" t="str">
        <f t="shared" si="15"/>
        <v/>
      </c>
      <c r="V58" s="386"/>
      <c r="Y58" t="str">
        <f t="shared" si="18"/>
        <v>\I:</v>
      </c>
      <c r="Z58" t="str">
        <f ca="1" t="shared" si="19"/>
        <v>ICE gasoline plug-in hybrid LCV -- 00%</v>
      </c>
      <c r="AA58" s="388" t="s">
        <v>84</v>
      </c>
      <c r="AB58" s="388" t="s">
        <v>85</v>
      </c>
    </row>
    <row r="59" spans="2:28">
      <c r="J59" t="str">
        <f t="shared" si="8"/>
        <v>Trd_lcv_gsl-pih</v>
      </c>
      <c r="K59" t="str">
        <f t="shared" si="3"/>
        <v>\I:</v>
      </c>
      <c r="L59" t="str">
        <f t="shared" si="4"/>
        <v>\I:</v>
      </c>
      <c r="M59" s="390" t="str">
        <f t="shared" si="12"/>
        <v/>
      </c>
      <c r="N59" s="390" t="str">
        <f t="shared" si="13"/>
        <v/>
      </c>
      <c r="O59" s="390" t="str">
        <f t="shared" si="14"/>
        <v/>
      </c>
      <c r="P59" s="390" t="str">
        <f t="shared" si="15"/>
        <v/>
      </c>
      <c r="V59" s="386"/>
      <c r="Y59" t="str">
        <f t="shared" si="18"/>
        <v>\I:</v>
      </c>
      <c r="Z59" t="str">
        <f ca="1" t="shared" si="19"/>
        <v>ICE gasoline plug-in hybrid LCV -- 00%</v>
      </c>
      <c r="AA59" s="388" t="s">
        <v>84</v>
      </c>
      <c r="AB59" s="388" t="s">
        <v>85</v>
      </c>
    </row>
    <row r="60" spans="2:28">
      <c r="J60" t="str">
        <f t="shared" si="8"/>
        <v>Trd_lcv_gsl-pih</v>
      </c>
      <c r="K60" t="str">
        <f t="shared" si="3"/>
        <v>\I:</v>
      </c>
      <c r="L60" t="str">
        <f t="shared" si="4"/>
        <v>\I:</v>
      </c>
      <c r="M60" s="390" t="str">
        <f t="shared" si="12"/>
        <v/>
      </c>
      <c r="N60" s="390" t="str">
        <f t="shared" si="13"/>
        <v/>
      </c>
      <c r="O60" s="390" t="str">
        <f t="shared" si="14"/>
        <v/>
      </c>
      <c r="P60" s="390" t="str">
        <f t="shared" si="15"/>
        <v/>
      </c>
      <c r="V60" s="386"/>
      <c r="Y60" t="str">
        <f t="shared" si="18"/>
        <v>\I:</v>
      </c>
      <c r="Z60" t="str">
        <f ca="1" t="shared" si="19"/>
        <v>ICE gasoline plug-in hybrid LCV -- 00%</v>
      </c>
      <c r="AA60" s="388" t="s">
        <v>84</v>
      </c>
      <c r="AB60" s="388" t="s">
        <v>85</v>
      </c>
    </row>
    <row r="61" spans="2:28">
      <c r="B61" s="44" t="s">
        <v>106</v>
      </c>
      <c r="J61" t="str">
        <f t="shared" si="8"/>
        <v>Trd_lcv_gsl-pih</v>
      </c>
      <c r="K61" t="str">
        <f t="shared" si="3"/>
        <v>\I:</v>
      </c>
      <c r="L61" t="str">
        <f t="shared" si="4"/>
        <v>\I:</v>
      </c>
      <c r="M61" s="390" t="str">
        <f t="shared" si="12"/>
        <v/>
      </c>
      <c r="N61" s="390" t="str">
        <f t="shared" si="13"/>
        <v/>
      </c>
      <c r="O61" s="390" t="str">
        <f t="shared" si="14"/>
        <v/>
      </c>
      <c r="P61" s="390" t="str">
        <f t="shared" si="15"/>
        <v/>
      </c>
      <c r="V61" s="386"/>
      <c r="Y61" t="str">
        <f t="shared" si="18"/>
        <v>\I:</v>
      </c>
      <c r="Z61" t="str">
        <f ca="1" t="shared" si="19"/>
        <v>ICE gasoline plug-in hybrid LCV -- Reference values for diesel LCV</v>
      </c>
      <c r="AA61" s="388" t="s">
        <v>84</v>
      </c>
      <c r="AB61" s="388" t="s">
        <v>85</v>
      </c>
    </row>
    <row r="62" spans="2:28">
      <c r="B62" s="45">
        <v>2015</v>
      </c>
      <c r="C62" s="381"/>
      <c r="D62" s="45"/>
      <c r="J62" t="str">
        <f t="shared" si="8"/>
        <v>Trd_lcv_gsl-pih</v>
      </c>
      <c r="K62" t="str">
        <f t="shared" si="3"/>
        <v>\I:</v>
      </c>
      <c r="L62" t="str">
        <f t="shared" si="4"/>
        <v>\I:</v>
      </c>
      <c r="M62" s="390" t="str">
        <f t="shared" si="12"/>
        <v/>
      </c>
      <c r="N62" s="390" t="str">
        <f t="shared" si="13"/>
        <v/>
      </c>
      <c r="O62" s="390" t="str">
        <f t="shared" si="14"/>
        <v/>
      </c>
      <c r="P62" s="390" t="str">
        <f t="shared" si="15"/>
        <v/>
      </c>
      <c r="V62" s="386"/>
      <c r="Y62" t="str">
        <f t="shared" si="18"/>
        <v>\I:</v>
      </c>
      <c r="Z62" t="str">
        <f ca="1" t="shared" si="19"/>
        <v>ICE gasoline plug-in hybrid LCV -- 201500%</v>
      </c>
      <c r="AA62" s="388" t="s">
        <v>84</v>
      </c>
      <c r="AB62" s="388" t="s">
        <v>85</v>
      </c>
    </row>
    <row r="63" spans="2:28">
      <c r="B63" s="46" t="s">
        <v>12</v>
      </c>
      <c r="C63" s="47" t="s">
        <v>13</v>
      </c>
      <c r="D63" s="48">
        <v>6.93202988379299</v>
      </c>
      <c r="G63" s="75">
        <f>D63*F8/100*10^9/10^6</f>
        <v>2.63417135584134</v>
      </c>
      <c r="H63" s="75"/>
      <c r="I63" s="382">
        <f>1/G63</f>
        <v>0.379626024625345</v>
      </c>
      <c r="J63" t="str">
        <f t="shared" si="8"/>
        <v>Trd_lcv_gsl-pih</v>
      </c>
      <c r="K63" t="str">
        <f t="shared" si="3"/>
        <v>\I:</v>
      </c>
      <c r="L63" t="str">
        <f t="shared" si="4"/>
        <v>\I:</v>
      </c>
      <c r="M63" s="390" t="str">
        <f t="shared" si="12"/>
        <v/>
      </c>
      <c r="N63" s="390" t="str">
        <f t="shared" si="13"/>
        <v/>
      </c>
      <c r="O63" s="390" t="str">
        <f t="shared" si="14"/>
        <v/>
      </c>
      <c r="P63" s="390" t="str">
        <f t="shared" si="15"/>
        <v/>
      </c>
      <c r="V63" s="386"/>
      <c r="Y63" t="str">
        <f t="shared" si="18"/>
        <v>\I:</v>
      </c>
      <c r="Z63" t="str">
        <f ca="1" t="shared" si="19"/>
        <v>ICE gasoline plug-in hybrid LCV -- Energy consumption</v>
      </c>
      <c r="AA63" s="388" t="s">
        <v>84</v>
      </c>
      <c r="AB63" s="388" t="s">
        <v>85</v>
      </c>
    </row>
    <row r="64" spans="2:28">
      <c r="B64" s="46" t="s">
        <v>14</v>
      </c>
      <c r="C64" s="47" t="s">
        <v>15</v>
      </c>
      <c r="D64" s="68">
        <v>21231.3607830263</v>
      </c>
      <c r="I64" s="393" t="s">
        <v>70</v>
      </c>
      <c r="J64" t="str">
        <f t="shared" si="8"/>
        <v>Trd_lcv_gsl-pih</v>
      </c>
      <c r="K64" t="str">
        <f t="shared" si="3"/>
        <v>\I:</v>
      </c>
      <c r="L64" t="str">
        <f t="shared" si="4"/>
        <v>\I:</v>
      </c>
      <c r="M64" s="390" t="str">
        <f t="shared" si="12"/>
        <v/>
      </c>
      <c r="N64" s="390" t="str">
        <f t="shared" si="13"/>
        <v/>
      </c>
      <c r="O64" s="390" t="str">
        <f t="shared" si="14"/>
        <v/>
      </c>
      <c r="P64" s="390" t="str">
        <f t="shared" si="15"/>
        <v/>
      </c>
      <c r="V64" s="386"/>
      <c r="Y64" t="str">
        <f t="shared" si="18"/>
        <v>\I:</v>
      </c>
      <c r="Z64" t="str">
        <f ca="1" t="shared" si="19"/>
        <v>ICE gasoline plug-in hybrid LCV -- Capital cost</v>
      </c>
      <c r="AA64" s="388" t="s">
        <v>84</v>
      </c>
      <c r="AB64" s="388" t="s">
        <v>85</v>
      </c>
    </row>
    <row r="65" spans="2:28">
      <c r="J65" t="str">
        <f t="shared" si="8"/>
        <v>Trd_lcv_gsl-pih</v>
      </c>
      <c r="K65" t="str">
        <f t="shared" si="3"/>
        <v>\I:</v>
      </c>
      <c r="L65" t="str">
        <f t="shared" si="4"/>
        <v>\I:</v>
      </c>
      <c r="M65" s="390" t="str">
        <f t="shared" si="12"/>
        <v/>
      </c>
      <c r="N65" s="390" t="str">
        <f t="shared" si="13"/>
        <v/>
      </c>
      <c r="O65" s="390" t="str">
        <f t="shared" si="14"/>
        <v/>
      </c>
      <c r="P65" s="390" t="str">
        <f t="shared" si="15"/>
        <v/>
      </c>
      <c r="V65" s="386"/>
      <c r="Y65" t="str">
        <f t="shared" si="18"/>
        <v>\I:</v>
      </c>
      <c r="Z65" t="str">
        <f ca="1" t="shared" si="19"/>
        <v>ICE gasoline plug-in hybrid LCV -- 00%</v>
      </c>
      <c r="AA65" s="388" t="s">
        <v>84</v>
      </c>
      <c r="AB65" s="388" t="s">
        <v>85</v>
      </c>
    </row>
    <row r="66" ht="15" customHeight="1" spans="2:28">
      <c r="B66" s="49" t="s">
        <v>21</v>
      </c>
      <c r="C66" s="387" t="s">
        <v>98</v>
      </c>
      <c r="D66" s="49"/>
      <c r="E66" s="49"/>
      <c r="F66" s="49"/>
      <c r="J66" t="str">
        <f t="shared" si="8"/>
        <v>Trd_lcv_dsl</v>
      </c>
      <c r="K66" t="str">
        <f t="shared" si="3"/>
        <v>\I:</v>
      </c>
      <c r="L66" t="str">
        <f t="shared" si="4"/>
        <v>\I:</v>
      </c>
      <c r="M66" s="390" t="str">
        <f t="shared" si="12"/>
        <v/>
      </c>
      <c r="N66" s="390" t="str">
        <f t="shared" si="13"/>
        <v/>
      </c>
      <c r="O66" s="390" t="str">
        <f t="shared" si="14"/>
        <v/>
      </c>
      <c r="P66" s="390" t="str">
        <f t="shared" si="15"/>
        <v/>
      </c>
      <c r="V66" s="386"/>
      <c r="Y66" t="str">
        <f t="shared" si="18"/>
        <v>\I:</v>
      </c>
      <c r="Z66" t="str">
        <f ca="1" t="shared" si="19"/>
        <v>ICE diesel LCV -- Reduction of specific energy consumption relative to 2015 diesel vehicle (%)</v>
      </c>
      <c r="AA66" s="388" t="s">
        <v>84</v>
      </c>
      <c r="AB66" s="388" t="s">
        <v>85</v>
      </c>
    </row>
    <row r="67" spans="2:28">
      <c r="B67" s="49"/>
      <c r="C67" s="387"/>
      <c r="D67" s="49"/>
      <c r="E67" s="49"/>
      <c r="F67" s="49"/>
      <c r="J67" t="str">
        <f t="shared" si="8"/>
        <v>Trd_lcv_dsl</v>
      </c>
      <c r="K67" t="str">
        <f t="shared" si="3"/>
        <v>\I:</v>
      </c>
      <c r="L67" t="str">
        <f t="shared" si="4"/>
        <v>\I:</v>
      </c>
      <c r="M67" s="390" t="str">
        <f t="shared" si="12"/>
        <v/>
      </c>
      <c r="N67" s="390" t="str">
        <f t="shared" si="13"/>
        <v/>
      </c>
      <c r="O67" s="390" t="str">
        <f t="shared" si="14"/>
        <v/>
      </c>
      <c r="P67" s="390" t="str">
        <f t="shared" si="15"/>
        <v/>
      </c>
      <c r="V67" s="386"/>
      <c r="Y67" t="str">
        <f t="shared" si="18"/>
        <v>\I:</v>
      </c>
      <c r="Z67" t="str">
        <f ca="1" t="shared" si="19"/>
        <v>ICE diesel LCV -- 00%</v>
      </c>
      <c r="AA67" s="388" t="s">
        <v>84</v>
      </c>
      <c r="AB67" s="388" t="s">
        <v>85</v>
      </c>
    </row>
    <row r="68" spans="2:28">
      <c r="B68" s="49"/>
      <c r="C68" s="387"/>
      <c r="D68" s="49"/>
      <c r="E68" s="49"/>
      <c r="F68" s="49"/>
      <c r="J68" t="str">
        <f t="shared" si="8"/>
        <v>Trd_lcv_dsl</v>
      </c>
      <c r="K68" t="str">
        <f t="shared" si="3"/>
        <v>\I:</v>
      </c>
      <c r="L68" t="str">
        <f t="shared" si="4"/>
        <v>\I:</v>
      </c>
      <c r="M68" s="390" t="str">
        <f t="shared" si="12"/>
        <v/>
      </c>
      <c r="N68" s="390" t="str">
        <f t="shared" si="13"/>
        <v/>
      </c>
      <c r="O68" s="390" t="str">
        <f t="shared" si="14"/>
        <v/>
      </c>
      <c r="P68" s="390" t="str">
        <f t="shared" si="15"/>
        <v/>
      </c>
      <c r="V68" s="386"/>
      <c r="Y68" t="str">
        <f t="shared" si="18"/>
        <v>\I:</v>
      </c>
      <c r="Z68" t="str">
        <f ca="1" t="shared" si="19"/>
        <v>ICE diesel LCV -- 00%</v>
      </c>
      <c r="AA68" s="388" t="s">
        <v>84</v>
      </c>
      <c r="AB68" s="388" t="s">
        <v>85</v>
      </c>
    </row>
    <row r="69" spans="2:28">
      <c r="B69" s="88"/>
      <c r="C69" s="426">
        <v>2020</v>
      </c>
      <c r="D69" s="51">
        <v>2030</v>
      </c>
      <c r="E69" s="51">
        <v>2040</v>
      </c>
      <c r="F69" s="51">
        <v>2050</v>
      </c>
      <c r="I69" s="382">
        <v>1</v>
      </c>
      <c r="J69" s="44" t="str">
        <f t="shared" ref="J69" si="22">IFERROR(VLOOKUP(C69,$V$1:$W$11,2,FALSE),J68)</f>
        <v>Trd_lcv_dsl</v>
      </c>
      <c r="K69" s="44" t="str">
        <f>IFERROR(IF(VALUE(C69)&gt;200,J69&amp;"_"&amp;TEXT(B69*100,"00"),"\I:"),"\I:")</f>
        <v>Trd_lcv_dsl_00</v>
      </c>
      <c r="L69" t="str">
        <f t="shared" si="4"/>
        <v>Trd_lcv</v>
      </c>
      <c r="M69" s="427">
        <f>D64</f>
        <v>21231.3607830263</v>
      </c>
      <c r="N69" s="390"/>
      <c r="O69" s="390"/>
      <c r="P69" s="390"/>
      <c r="V69" s="386"/>
      <c r="Y69" t="str">
        <f t="shared" si="18"/>
        <v>Trd_lcv_dsl_00</v>
      </c>
      <c r="Z69" t="str">
        <f ca="1" t="shared" si="19"/>
        <v>ICE diesel LCV -- 00%</v>
      </c>
      <c r="AA69" s="388" t="s">
        <v>84</v>
      </c>
      <c r="AB69" s="388" t="s">
        <v>85</v>
      </c>
    </row>
    <row r="70" spans="2:28">
      <c r="B70" s="85">
        <v>0.26210919523592</v>
      </c>
      <c r="C70" s="428">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90">
        <f t="shared" si="12"/>
        <v>22474.2283094357</v>
      </c>
      <c r="N70" s="390">
        <f t="shared" si="13"/>
        <v>21602.1923061418</v>
      </c>
      <c r="O70" s="390">
        <f t="shared" si="14"/>
        <v>21602.1923061418</v>
      </c>
      <c r="P70" s="390">
        <f t="shared" si="15"/>
        <v>21602.1923061418</v>
      </c>
      <c r="Q70">
        <f t="shared" ref="Q70:Q77" si="23">P70</f>
        <v>21602.1923061418</v>
      </c>
      <c r="R70">
        <v>3</v>
      </c>
      <c r="V70" s="386"/>
      <c r="Y70" t="str">
        <f t="shared" si="18"/>
        <v>Trd_lcv_dsl_26</v>
      </c>
      <c r="Z70" t="str">
        <f ca="1" t="shared" si="19"/>
        <v>ICE diesel LCV -- 26%</v>
      </c>
      <c r="AA70" s="388" t="s">
        <v>84</v>
      </c>
      <c r="AB70" s="388" t="s">
        <v>85</v>
      </c>
    </row>
    <row r="71" spans="2:28">
      <c r="B71" s="85">
        <v>0.36210919523592</v>
      </c>
      <c r="C71" s="428">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90">
        <f t="shared" si="12"/>
        <v>26916.5341573593</v>
      </c>
      <c r="N71" s="390">
        <f t="shared" si="13"/>
        <v>22758.9400528979</v>
      </c>
      <c r="O71" s="390">
        <f t="shared" si="14"/>
        <v>22758.9400528979</v>
      </c>
      <c r="P71" s="390">
        <f t="shared" si="15"/>
        <v>22758.9400528979</v>
      </c>
      <c r="Q71">
        <f t="shared" si="23"/>
        <v>22758.9400528979</v>
      </c>
      <c r="R71">
        <v>3</v>
      </c>
      <c r="V71" s="386"/>
      <c r="Y71" t="str">
        <f t="shared" si="18"/>
        <v>Trd_lcv_dsl_36</v>
      </c>
      <c r="Z71" t="str">
        <f ca="1" t="shared" si="19"/>
        <v>ICE diesel LCV -- 36%</v>
      </c>
      <c r="AA71" s="388" t="s">
        <v>84</v>
      </c>
      <c r="AB71" s="388" t="s">
        <v>85</v>
      </c>
    </row>
    <row r="72" spans="2:28">
      <c r="B72" s="85">
        <v>0.41210919523592</v>
      </c>
      <c r="C72" s="428">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90">
        <f t="shared" si="12"/>
        <v>36866.5037549578</v>
      </c>
      <c r="N72" s="390">
        <f t="shared" si="13"/>
        <v>24797.8982314302</v>
      </c>
      <c r="O72" s="390">
        <f t="shared" si="14"/>
        <v>24797.8982314302</v>
      </c>
      <c r="P72" s="390">
        <f t="shared" si="15"/>
        <v>24797.8982314302</v>
      </c>
      <c r="Q72">
        <f t="shared" si="23"/>
        <v>24797.8982314302</v>
      </c>
      <c r="R72">
        <v>3</v>
      </c>
      <c r="V72" s="386"/>
      <c r="Y72" t="str">
        <f t="shared" si="18"/>
        <v>Trd_lcv_dsl_41</v>
      </c>
      <c r="Z72" t="str">
        <f ca="1" t="shared" si="19"/>
        <v>ICE diesel LCV -- 41%</v>
      </c>
      <c r="AA72" s="388" t="s">
        <v>84</v>
      </c>
      <c r="AB72" s="388" t="s">
        <v>85</v>
      </c>
    </row>
    <row r="73" spans="2:28">
      <c r="B73" s="85">
        <v>0.46210919523592</v>
      </c>
      <c r="C73" s="428">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90">
        <f t="shared" si="12"/>
        <v>111418.876548986</v>
      </c>
      <c r="N73" s="390">
        <f t="shared" si="13"/>
        <v>30833.7589860951</v>
      </c>
      <c r="O73" s="390">
        <f t="shared" si="14"/>
        <v>30833.7589860951</v>
      </c>
      <c r="P73" s="390">
        <f t="shared" si="15"/>
        <v>30833.7589860951</v>
      </c>
      <c r="Q73">
        <f t="shared" si="23"/>
        <v>30833.7589860951</v>
      </c>
      <c r="R73">
        <v>3</v>
      </c>
      <c r="V73" s="386"/>
      <c r="Y73" t="str">
        <f t="shared" si="18"/>
        <v>Trd_lcv_dsl_46</v>
      </c>
      <c r="Z73" t="str">
        <f ca="1" t="shared" si="19"/>
        <v>ICE diesel LCV -- 46%</v>
      </c>
      <c r="AA73" s="388" t="s">
        <v>84</v>
      </c>
      <c r="AB73" s="388" t="s">
        <v>85</v>
      </c>
    </row>
    <row r="74" spans="2:28">
      <c r="B74" s="85">
        <v>0.51210919523592</v>
      </c>
      <c r="C74" s="428"/>
      <c r="D74" s="86">
        <v>86441.8011430764</v>
      </c>
      <c r="E74" s="86">
        <v>86441.8011430764</v>
      </c>
      <c r="F74" s="86">
        <v>86441.8011430764</v>
      </c>
      <c r="I74" s="75">
        <f>$I$63*(1+B74)/$I$11</f>
        <v>1.54015458992474</v>
      </c>
      <c r="J74" t="str">
        <f t="shared" si="8"/>
        <v>Trd_lcv_dsl</v>
      </c>
      <c r="K74" t="str">
        <f t="shared" si="3"/>
        <v>\I:</v>
      </c>
      <c r="L74" t="str">
        <f t="shared" si="4"/>
        <v>\I:</v>
      </c>
      <c r="M74" s="390" t="str">
        <f t="shared" si="12"/>
        <v/>
      </c>
      <c r="N74" s="390" t="str">
        <f t="shared" si="13"/>
        <v/>
      </c>
      <c r="O74" s="390" t="str">
        <f t="shared" si="14"/>
        <v/>
      </c>
      <c r="P74" s="390" t="str">
        <f t="shared" si="15"/>
        <v/>
      </c>
      <c r="Q74" t="str">
        <f t="shared" si="23"/>
        <v/>
      </c>
      <c r="V74" s="386"/>
      <c r="Y74" t="str">
        <f t="shared" si="18"/>
        <v>\I:</v>
      </c>
      <c r="Z74" t="str">
        <f ca="1" t="shared" si="19"/>
        <v>ICE diesel LCV -- 51%</v>
      </c>
      <c r="AA74" s="388" t="s">
        <v>84</v>
      </c>
      <c r="AB74" s="388" t="s">
        <v>85</v>
      </c>
    </row>
    <row r="75" spans="2:28">
      <c r="D75" s="97"/>
      <c r="E75" s="97"/>
      <c r="F75" s="97"/>
      <c r="J75" t="str">
        <f t="shared" si="8"/>
        <v>Trd_lcv_dsl</v>
      </c>
      <c r="K75" t="str">
        <f t="shared" si="3"/>
        <v>\I:</v>
      </c>
      <c r="L75" t="str">
        <f t="shared" si="4"/>
        <v>\I:</v>
      </c>
      <c r="M75" s="390" t="str">
        <f t="shared" si="12"/>
        <v/>
      </c>
      <c r="N75" s="390" t="str">
        <f t="shared" si="13"/>
        <v/>
      </c>
      <c r="O75" s="390" t="str">
        <f t="shared" si="14"/>
        <v/>
      </c>
      <c r="P75" s="390" t="str">
        <f t="shared" si="15"/>
        <v/>
      </c>
      <c r="Q75" t="str">
        <f t="shared" si="23"/>
        <v/>
      </c>
      <c r="V75" s="386"/>
      <c r="Y75" t="str">
        <f t="shared" si="18"/>
        <v>\I:</v>
      </c>
      <c r="Z75" t="str">
        <f ca="1" t="shared" si="19"/>
        <v>ICE diesel LCV -- 00%</v>
      </c>
      <c r="AA75" s="388" t="s">
        <v>84</v>
      </c>
      <c r="AB75" s="388" t="s">
        <v>85</v>
      </c>
    </row>
    <row r="76" spans="2:28">
      <c r="J76" t="str">
        <f t="shared" si="8"/>
        <v>Trd_lcv_dsl</v>
      </c>
      <c r="K76" t="str">
        <f t="shared" si="3"/>
        <v>\I:</v>
      </c>
      <c r="L76" t="str">
        <f t="shared" si="4"/>
        <v>\I:</v>
      </c>
      <c r="M76" s="390" t="str">
        <f t="shared" si="12"/>
        <v/>
      </c>
      <c r="N76" s="390" t="str">
        <f t="shared" si="13"/>
        <v/>
      </c>
      <c r="O76" s="390" t="str">
        <f t="shared" si="14"/>
        <v/>
      </c>
      <c r="P76" s="390" t="str">
        <f t="shared" si="15"/>
        <v/>
      </c>
      <c r="Q76" t="str">
        <f t="shared" si="23"/>
        <v/>
      </c>
      <c r="V76" s="386"/>
      <c r="Y76" t="str">
        <f t="shared" si="18"/>
        <v>\I:</v>
      </c>
      <c r="Z76" t="str">
        <f ca="1" t="shared" si="19"/>
        <v>ICE diesel LCV -- 00%</v>
      </c>
      <c r="AA76" s="388" t="s">
        <v>84</v>
      </c>
      <c r="AB76" s="388" t="s">
        <v>85</v>
      </c>
    </row>
    <row r="77" spans="2:28">
      <c r="J77" t="str">
        <f t="shared" si="8"/>
        <v>Trd_lcv_dsl</v>
      </c>
      <c r="K77" t="str">
        <f t="shared" si="3"/>
        <v>\I:</v>
      </c>
      <c r="L77" t="str">
        <f t="shared" si="4"/>
        <v>\I:</v>
      </c>
      <c r="M77" s="390" t="str">
        <f t="shared" si="12"/>
        <v/>
      </c>
      <c r="N77" s="390" t="str">
        <f t="shared" si="13"/>
        <v/>
      </c>
      <c r="O77" s="390" t="str">
        <f t="shared" si="14"/>
        <v/>
      </c>
      <c r="P77" s="390" t="str">
        <f t="shared" si="15"/>
        <v/>
      </c>
      <c r="Q77" t="str">
        <f t="shared" si="23"/>
        <v/>
      </c>
      <c r="V77" s="386"/>
      <c r="Y77" t="str">
        <f t="shared" si="18"/>
        <v>\I:</v>
      </c>
      <c r="Z77" t="str">
        <f ca="1" t="shared" si="19"/>
        <v>ICE diesel LCV -- 00%</v>
      </c>
      <c r="AA77" s="388" t="s">
        <v>84</v>
      </c>
      <c r="AB77" s="388" t="s">
        <v>85</v>
      </c>
    </row>
    <row r="78" spans="2:28">
      <c r="J78" t="str">
        <f t="shared" si="8"/>
        <v>Trd_lcv_dsl</v>
      </c>
      <c r="K78" t="str">
        <f t="shared" si="3"/>
        <v>\I:</v>
      </c>
      <c r="L78" t="str">
        <f t="shared" si="4"/>
        <v>\I:</v>
      </c>
      <c r="M78" s="390" t="str">
        <f t="shared" si="12"/>
        <v/>
      </c>
      <c r="N78" s="390" t="str">
        <f t="shared" si="13"/>
        <v/>
      </c>
      <c r="O78" s="390" t="str">
        <f t="shared" si="14"/>
        <v/>
      </c>
      <c r="P78" s="390" t="str">
        <f t="shared" si="15"/>
        <v/>
      </c>
      <c r="V78" s="386"/>
      <c r="Y78" t="str">
        <f t="shared" si="18"/>
        <v>\I:</v>
      </c>
      <c r="Z78" t="str">
        <f ca="1" t="shared" si="19"/>
        <v>ICE diesel LCV -- 00%</v>
      </c>
      <c r="AA78" s="388" t="s">
        <v>84</v>
      </c>
      <c r="AB78" s="388" t="s">
        <v>85</v>
      </c>
    </row>
    <row r="79" ht="15" customHeight="1" spans="2:28">
      <c r="B79" s="49" t="s">
        <v>21</v>
      </c>
      <c r="C79" s="387" t="s">
        <v>99</v>
      </c>
      <c r="D79" s="49"/>
      <c r="E79" s="49"/>
      <c r="F79" s="49"/>
      <c r="J79" t="str">
        <f t="shared" si="8"/>
        <v>Trd_lcv_dsl-hyb</v>
      </c>
      <c r="K79" t="str">
        <f t="shared" si="3"/>
        <v>\I:</v>
      </c>
      <c r="L79" t="str">
        <f t="shared" si="4"/>
        <v>\I:</v>
      </c>
      <c r="M79" s="390" t="str">
        <f t="shared" si="12"/>
        <v/>
      </c>
      <c r="N79" s="390" t="str">
        <f t="shared" si="13"/>
        <v/>
      </c>
      <c r="O79" s="390" t="str">
        <f t="shared" si="14"/>
        <v/>
      </c>
      <c r="P79" s="390" t="str">
        <f t="shared" si="15"/>
        <v/>
      </c>
      <c r="V79" s="386"/>
      <c r="Y79" t="str">
        <f t="shared" si="18"/>
        <v>\I:</v>
      </c>
      <c r="Z79" t="str">
        <f ca="1" t="shared" si="19"/>
        <v>ICE hybrid diesel LCV -- Reduction of specific energy consumption relative to 2015 diesel vehicle (%)</v>
      </c>
      <c r="AA79" s="388" t="s">
        <v>84</v>
      </c>
      <c r="AB79" s="388" t="s">
        <v>85</v>
      </c>
    </row>
    <row r="80" spans="2:28">
      <c r="B80" s="49"/>
      <c r="C80" s="387"/>
      <c r="D80" s="49"/>
      <c r="E80" s="49"/>
      <c r="F80" s="49"/>
      <c r="J80" t="str">
        <f t="shared" si="8"/>
        <v>Trd_lcv_dsl-hyb</v>
      </c>
      <c r="K80" t="str">
        <f t="shared" si="3"/>
        <v>\I:</v>
      </c>
      <c r="L80" t="str">
        <f t="shared" si="4"/>
        <v>\I:</v>
      </c>
      <c r="M80" s="390" t="str">
        <f t="shared" si="12"/>
        <v/>
      </c>
      <c r="N80" s="390" t="str">
        <f t="shared" si="13"/>
        <v/>
      </c>
      <c r="O80" s="390" t="str">
        <f t="shared" si="14"/>
        <v/>
      </c>
      <c r="P80" s="390" t="str">
        <f t="shared" si="15"/>
        <v/>
      </c>
      <c r="V80" s="386"/>
      <c r="Y80" t="str">
        <f t="shared" ref="Y80:Y111" si="24">K80</f>
        <v>\I:</v>
      </c>
      <c r="Z80" t="str">
        <f ca="1" t="shared" ref="Z80:Z111" si="25">OFFSET($W$1,MATCH(J80,$W$1:$W$10,0)-1,-1)&amp;" -- "&amp;TEXT(B80,"00%")</f>
        <v>ICE hybrid diesel LCV -- 00%</v>
      </c>
      <c r="AA80" s="388" t="s">
        <v>84</v>
      </c>
      <c r="AB80" s="388" t="s">
        <v>85</v>
      </c>
    </row>
    <row r="81" spans="2:28">
      <c r="B81" s="49"/>
      <c r="C81" s="387"/>
      <c r="D81" s="49"/>
      <c r="E81" s="49"/>
      <c r="F81" s="49"/>
      <c r="J81" t="str">
        <f t="shared" si="8"/>
        <v>Trd_lcv_dsl-hyb</v>
      </c>
      <c r="K81" t="str">
        <f t="shared" ref="K81:K144" si="26">IFERROR(IF(VALUE(C81)&gt;2020,J81&amp;"_"&amp;TEXT(B81*100,"00"),"\I:"),"\I:")</f>
        <v>\I:</v>
      </c>
      <c r="L81" t="str">
        <f t="shared" ref="L81:L144" si="27">LEFT(K81,7)</f>
        <v>\I:</v>
      </c>
      <c r="M81" s="390" t="str">
        <f t="shared" si="12"/>
        <v/>
      </c>
      <c r="N81" s="390" t="str">
        <f t="shared" si="13"/>
        <v/>
      </c>
      <c r="O81" s="390" t="str">
        <f t="shared" si="14"/>
        <v/>
      </c>
      <c r="P81" s="390" t="str">
        <f t="shared" si="15"/>
        <v/>
      </c>
      <c r="V81" s="386"/>
      <c r="Y81" t="str">
        <f t="shared" si="24"/>
        <v>\I:</v>
      </c>
      <c r="Z81" t="str">
        <f ca="1" t="shared" si="25"/>
        <v>ICE hybrid diesel LCV -- 00%</v>
      </c>
      <c r="AA81" s="388" t="s">
        <v>84</v>
      </c>
      <c r="AB81" s="388" t="s">
        <v>85</v>
      </c>
    </row>
    <row r="82" spans="2:28">
      <c r="B82" s="88"/>
      <c r="C82" s="426">
        <v>2020</v>
      </c>
      <c r="D82" s="51">
        <v>2030</v>
      </c>
      <c r="E82" s="51">
        <v>2040</v>
      </c>
      <c r="F82" s="51">
        <v>2050</v>
      </c>
      <c r="J82" t="str">
        <f t="shared" si="8"/>
        <v>Trd_lcv_dsl-hyb</v>
      </c>
      <c r="K82" t="str">
        <f t="shared" si="26"/>
        <v>\I:</v>
      </c>
      <c r="L82" t="str">
        <f t="shared" si="27"/>
        <v>\I:</v>
      </c>
      <c r="M82" s="390" t="str">
        <f t="shared" si="12"/>
        <v/>
      </c>
      <c r="N82" s="390" t="str">
        <f t="shared" si="13"/>
        <v/>
      </c>
      <c r="O82" s="390" t="str">
        <f t="shared" si="14"/>
        <v/>
      </c>
      <c r="P82" s="390" t="str">
        <f t="shared" si="15"/>
        <v/>
      </c>
      <c r="V82" s="386"/>
      <c r="Y82" t="str">
        <f t="shared" si="24"/>
        <v>\I:</v>
      </c>
      <c r="Z82" t="str">
        <f ca="1" t="shared" si="25"/>
        <v>ICE hybrid diesel LCV -- 00%</v>
      </c>
      <c r="AA82" s="388" t="s">
        <v>84</v>
      </c>
      <c r="AB82" s="388" t="s">
        <v>85</v>
      </c>
    </row>
    <row r="83" spans="2:28">
      <c r="B83" s="85">
        <v>0.110724303558803</v>
      </c>
      <c r="C83" s="428">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90">
        <f t="shared" si="12"/>
        <v>24678.6668661833</v>
      </c>
      <c r="N83" s="390">
        <f t="shared" si="13"/>
        <v>23366.0686001195</v>
      </c>
      <c r="O83" s="390">
        <f t="shared" si="14"/>
        <v>23366.0686001195</v>
      </c>
      <c r="P83" s="390">
        <f t="shared" si="15"/>
        <v>23366.0686001195</v>
      </c>
      <c r="Q83">
        <f t="shared" ref="Q83:Q90" si="29">P83</f>
        <v>23366.0686001195</v>
      </c>
      <c r="R83">
        <v>3</v>
      </c>
      <c r="V83" s="386"/>
      <c r="Y83" t="str">
        <f t="shared" si="24"/>
        <v>Trd_lcv_dsl-hyb_11</v>
      </c>
      <c r="Z83" t="str">
        <f ca="1" t="shared" si="25"/>
        <v>ICE hybrid diesel LCV -- 11%</v>
      </c>
      <c r="AA83" s="388" t="s">
        <v>84</v>
      </c>
      <c r="AB83" s="388" t="s">
        <v>85</v>
      </c>
    </row>
    <row r="84" spans="2:28">
      <c r="B84" s="85">
        <v>0.210724303558803</v>
      </c>
      <c r="C84" s="428">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90">
        <f t="shared" si="12"/>
        <v>24878.6334447431</v>
      </c>
      <c r="N84" s="390">
        <f t="shared" si="13"/>
        <v>23501.1217209491</v>
      </c>
      <c r="O84" s="390">
        <f t="shared" si="14"/>
        <v>23501.1217209491</v>
      </c>
      <c r="P84" s="390">
        <f t="shared" si="15"/>
        <v>23501.1217209491</v>
      </c>
      <c r="Q84">
        <f t="shared" si="29"/>
        <v>23501.1217209491</v>
      </c>
      <c r="R84">
        <v>3</v>
      </c>
      <c r="V84" s="386"/>
      <c r="Y84" t="str">
        <f t="shared" si="24"/>
        <v>Trd_lcv_dsl-hyb_21</v>
      </c>
      <c r="Z84" t="str">
        <f ca="1" t="shared" si="25"/>
        <v>ICE hybrid diesel LCV -- 21%</v>
      </c>
      <c r="AA84" s="388" t="s">
        <v>84</v>
      </c>
      <c r="AB84" s="388" t="s">
        <v>85</v>
      </c>
    </row>
    <row r="85" spans="2:28">
      <c r="B85" s="85">
        <v>0.260724303558803</v>
      </c>
      <c r="C85" s="428">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90">
        <f t="shared" si="12"/>
        <v>25028.9645658107</v>
      </c>
      <c r="N85" s="390">
        <f t="shared" si="13"/>
        <v>23634.9946579313</v>
      </c>
      <c r="O85" s="390">
        <f t="shared" si="14"/>
        <v>23634.9946579313</v>
      </c>
      <c r="P85" s="390">
        <f t="shared" si="15"/>
        <v>23634.9946579313</v>
      </c>
      <c r="Q85">
        <f t="shared" si="29"/>
        <v>23634.9946579313</v>
      </c>
      <c r="R85">
        <v>3</v>
      </c>
      <c r="V85" s="386"/>
      <c r="Y85" t="str">
        <f t="shared" si="24"/>
        <v>Trd_lcv_dsl-hyb_26</v>
      </c>
      <c r="Z85" t="str">
        <f ca="1" t="shared" si="25"/>
        <v>ICE hybrid diesel LCV -- 26%</v>
      </c>
      <c r="AA85" s="388" t="s">
        <v>84</v>
      </c>
      <c r="AB85" s="388" t="s">
        <v>85</v>
      </c>
    </row>
    <row r="86" spans="2:28">
      <c r="B86" s="85">
        <v>0.310724303558803</v>
      </c>
      <c r="C86" s="428">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90">
        <f t="shared" si="12"/>
        <v>25273.0292990968</v>
      </c>
      <c r="N86" s="390">
        <f t="shared" si="13"/>
        <v>23801.0752115564</v>
      </c>
      <c r="O86" s="390">
        <f t="shared" si="14"/>
        <v>23801.0752115564</v>
      </c>
      <c r="P86" s="390">
        <f t="shared" si="15"/>
        <v>23801.0752115564</v>
      </c>
      <c r="Q86">
        <f t="shared" si="29"/>
        <v>23801.0752115564</v>
      </c>
      <c r="R86">
        <v>3</v>
      </c>
      <c r="V86" s="386"/>
      <c r="Y86" t="str">
        <f t="shared" si="24"/>
        <v>Trd_lcv_dsl-hyb_31</v>
      </c>
      <c r="Z86" t="str">
        <f ca="1" t="shared" si="25"/>
        <v>ICE hybrid diesel LCV -- 31%</v>
      </c>
      <c r="AA86" s="388" t="s">
        <v>84</v>
      </c>
      <c r="AB86" s="388" t="s">
        <v>85</v>
      </c>
    </row>
    <row r="87" spans="2:28">
      <c r="B87" s="85">
        <v>0.360724303558803</v>
      </c>
      <c r="C87" s="428">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90">
        <f t="shared" si="12"/>
        <v>25690.6061397019</v>
      </c>
      <c r="N87" s="390">
        <f t="shared" si="13"/>
        <v>24014.7586359106</v>
      </c>
      <c r="O87" s="390">
        <f t="shared" si="14"/>
        <v>24014.7586359106</v>
      </c>
      <c r="P87" s="390">
        <f t="shared" si="15"/>
        <v>24014.7586359106</v>
      </c>
      <c r="Q87">
        <f t="shared" si="29"/>
        <v>24014.7586359106</v>
      </c>
      <c r="R87">
        <v>3</v>
      </c>
      <c r="V87" s="386"/>
      <c r="Y87" t="str">
        <f t="shared" si="24"/>
        <v>Trd_lcv_dsl-hyb_36</v>
      </c>
      <c r="Z87" t="str">
        <f ca="1" t="shared" si="25"/>
        <v>ICE hybrid diesel LCV -- 36%</v>
      </c>
      <c r="AA87" s="388" t="s">
        <v>84</v>
      </c>
      <c r="AB87" s="388" t="s">
        <v>85</v>
      </c>
    </row>
    <row r="88" spans="2:28">
      <c r="B88" s="85">
        <v>0.410724303558803</v>
      </c>
      <c r="C88" s="428">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90">
        <f t="shared" si="12"/>
        <v>35262.6550538041</v>
      </c>
      <c r="N88" s="390">
        <f t="shared" si="13"/>
        <v>24332.1326255198</v>
      </c>
      <c r="O88" s="390">
        <f t="shared" si="14"/>
        <v>24332.1326255198</v>
      </c>
      <c r="P88" s="390">
        <f t="shared" si="15"/>
        <v>24332.1326255198</v>
      </c>
      <c r="Q88">
        <f t="shared" si="29"/>
        <v>24332.1326255198</v>
      </c>
      <c r="R88">
        <v>3</v>
      </c>
      <c r="V88" s="386"/>
      <c r="Y88" t="str">
        <f t="shared" si="24"/>
        <v>Trd_lcv_dsl-hyb_41</v>
      </c>
      <c r="Z88" t="str">
        <f ca="1" t="shared" si="25"/>
        <v>ICE hybrid diesel LCV -- 41%</v>
      </c>
      <c r="AA88" s="388" t="s">
        <v>84</v>
      </c>
      <c r="AB88" s="388" t="s">
        <v>85</v>
      </c>
    </row>
    <row r="89" spans="2:28">
      <c r="B89" s="85">
        <v>0.460724303558803</v>
      </c>
      <c r="C89" s="428">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90">
        <f t="shared" si="12"/>
        <v>114071.886949746</v>
      </c>
      <c r="N89" s="390">
        <f t="shared" si="13"/>
        <v>33470.3117976244</v>
      </c>
      <c r="O89" s="390">
        <f t="shared" si="14"/>
        <v>33470.3117976244</v>
      </c>
      <c r="P89" s="390">
        <f t="shared" si="15"/>
        <v>33470.3117976244</v>
      </c>
      <c r="Q89">
        <f t="shared" si="29"/>
        <v>33470.3117976244</v>
      </c>
      <c r="R89">
        <v>3</v>
      </c>
      <c r="V89" s="386"/>
      <c r="Y89" t="str">
        <f t="shared" si="24"/>
        <v>Trd_lcv_dsl-hyb_46</v>
      </c>
      <c r="Z89" t="str">
        <f ca="1" t="shared" si="25"/>
        <v>ICE hybrid diesel LCV -- 46%</v>
      </c>
      <c r="AA89" s="388" t="s">
        <v>84</v>
      </c>
      <c r="AB89" s="388" t="s">
        <v>85</v>
      </c>
    </row>
    <row r="90" spans="2:28">
      <c r="D90" s="97"/>
      <c r="E90" s="97"/>
      <c r="F90" s="97"/>
      <c r="I90" s="75"/>
      <c r="J90" t="str">
        <f t="shared" si="30"/>
        <v>Trd_lcv_dsl-hyb</v>
      </c>
      <c r="K90" t="str">
        <f t="shared" si="26"/>
        <v>\I:</v>
      </c>
      <c r="L90" t="str">
        <f t="shared" si="27"/>
        <v>\I:</v>
      </c>
      <c r="M90" s="390" t="str">
        <f t="shared" ref="M90:M153" si="31">IF($K90="\I:","",C90)</f>
        <v/>
      </c>
      <c r="N90" s="390" t="str">
        <f t="shared" ref="N90:N153" si="32">IF($K90="\I:","",D90)</f>
        <v/>
      </c>
      <c r="O90" s="390" t="str">
        <f t="shared" ref="O90:O153" si="33">IF($K90="\I:","",E90)</f>
        <v/>
      </c>
      <c r="P90" s="390" t="str">
        <f t="shared" ref="P90:P153" si="34">IF($K90="\I:","",F90)</f>
        <v/>
      </c>
      <c r="Q90" t="str">
        <f t="shared" si="29"/>
        <v/>
      </c>
      <c r="V90" s="386"/>
      <c r="Y90" t="str">
        <f t="shared" si="24"/>
        <v>\I:</v>
      </c>
      <c r="Z90" t="str">
        <f ca="1" t="shared" si="25"/>
        <v>ICE hybrid diesel LCV -- 00%</v>
      </c>
      <c r="AA90" s="388" t="s">
        <v>84</v>
      </c>
      <c r="AB90" s="388" t="s">
        <v>85</v>
      </c>
    </row>
    <row r="91" spans="2:28">
      <c r="J91" t="str">
        <f t="shared" si="30"/>
        <v>Trd_lcv_dsl-hyb</v>
      </c>
      <c r="K91" t="str">
        <f t="shared" si="26"/>
        <v>\I:</v>
      </c>
      <c r="L91" t="str">
        <f t="shared" si="27"/>
        <v>\I:</v>
      </c>
      <c r="M91" s="390" t="str">
        <f t="shared" si="31"/>
        <v/>
      </c>
      <c r="N91" s="390" t="str">
        <f t="shared" si="32"/>
        <v/>
      </c>
      <c r="O91" s="390" t="str">
        <f t="shared" si="33"/>
        <v/>
      </c>
      <c r="P91" s="390" t="str">
        <f t="shared" si="34"/>
        <v/>
      </c>
      <c r="V91" s="386"/>
      <c r="Y91" t="str">
        <f t="shared" si="24"/>
        <v>\I:</v>
      </c>
      <c r="Z91" t="str">
        <f ca="1" t="shared" si="25"/>
        <v>ICE hybrid diesel LCV -- 00%</v>
      </c>
      <c r="AA91" s="388" t="s">
        <v>84</v>
      </c>
      <c r="AB91" s="388" t="s">
        <v>85</v>
      </c>
    </row>
    <row r="92" spans="2:28">
      <c r="J92" t="str">
        <f t="shared" si="30"/>
        <v>Trd_lcv_dsl-hyb</v>
      </c>
      <c r="K92" t="str">
        <f t="shared" si="26"/>
        <v>\I:</v>
      </c>
      <c r="L92" t="str">
        <f t="shared" si="27"/>
        <v>\I:</v>
      </c>
      <c r="M92" s="390" t="str">
        <f t="shared" si="31"/>
        <v/>
      </c>
      <c r="N92" s="390" t="str">
        <f t="shared" si="32"/>
        <v/>
      </c>
      <c r="O92" s="390" t="str">
        <f t="shared" si="33"/>
        <v/>
      </c>
      <c r="P92" s="390" t="str">
        <f t="shared" si="34"/>
        <v/>
      </c>
      <c r="V92" s="386"/>
      <c r="Y92" t="str">
        <f t="shared" si="24"/>
        <v>\I:</v>
      </c>
      <c r="Z92" t="str">
        <f ca="1" t="shared" si="25"/>
        <v>ICE hybrid diesel LCV -- 00%</v>
      </c>
      <c r="AA92" s="388" t="s">
        <v>84</v>
      </c>
      <c r="AB92" s="388" t="s">
        <v>85</v>
      </c>
    </row>
    <row r="93" spans="2:28">
      <c r="J93" t="str">
        <f t="shared" si="30"/>
        <v>Trd_lcv_dsl-hyb</v>
      </c>
      <c r="K93" t="str">
        <f t="shared" si="26"/>
        <v>\I:</v>
      </c>
      <c r="L93" t="str">
        <f t="shared" si="27"/>
        <v>\I:</v>
      </c>
      <c r="M93" s="390" t="str">
        <f t="shared" si="31"/>
        <v/>
      </c>
      <c r="N93" s="390" t="str">
        <f t="shared" si="32"/>
        <v/>
      </c>
      <c r="O93" s="390" t="str">
        <f t="shared" si="33"/>
        <v/>
      </c>
      <c r="P93" s="390" t="str">
        <f t="shared" si="34"/>
        <v/>
      </c>
      <c r="V93" s="386"/>
      <c r="Y93" t="str">
        <f t="shared" si="24"/>
        <v>\I:</v>
      </c>
      <c r="Z93" t="str">
        <f ca="1" t="shared" si="25"/>
        <v>ICE hybrid diesel LCV -- 00%</v>
      </c>
      <c r="AA93" s="388" t="s">
        <v>84</v>
      </c>
      <c r="AB93" s="388" t="s">
        <v>85</v>
      </c>
    </row>
    <row r="94" ht="15" customHeight="1" spans="2:28">
      <c r="B94" s="49" t="s">
        <v>21</v>
      </c>
      <c r="C94" s="387" t="s">
        <v>100</v>
      </c>
      <c r="D94" s="49"/>
      <c r="E94" s="49"/>
      <c r="F94" s="49"/>
      <c r="J94" t="str">
        <f t="shared" si="30"/>
        <v>Trd_lcv_dsl-pih</v>
      </c>
      <c r="K94" t="str">
        <f t="shared" si="26"/>
        <v>\I:</v>
      </c>
      <c r="L94" t="str">
        <f t="shared" si="27"/>
        <v>\I:</v>
      </c>
      <c r="M94" s="390" t="str">
        <f t="shared" si="31"/>
        <v/>
      </c>
      <c r="N94" s="390" t="str">
        <f t="shared" si="32"/>
        <v/>
      </c>
      <c r="O94" s="390" t="str">
        <f t="shared" si="33"/>
        <v/>
      </c>
      <c r="P94" s="390" t="str">
        <f t="shared" si="34"/>
        <v/>
      </c>
      <c r="V94" s="386"/>
      <c r="Y94" t="str">
        <f t="shared" si="24"/>
        <v>\I:</v>
      </c>
      <c r="Z94" t="str">
        <f ca="1" t="shared" si="25"/>
        <v>ICE plug-in hybrid diesel LCV -- Reduction of specific energy consumption relative to 2015 diesel vehicle (%)</v>
      </c>
      <c r="AA94" s="388" t="s">
        <v>84</v>
      </c>
      <c r="AB94" s="388" t="s">
        <v>85</v>
      </c>
    </row>
    <row r="95" spans="2:28">
      <c r="B95" s="49"/>
      <c r="C95" s="387"/>
      <c r="D95" s="49"/>
      <c r="E95" s="49"/>
      <c r="F95" s="49"/>
      <c r="J95" t="str">
        <f t="shared" si="30"/>
        <v>Trd_lcv_dsl-pih</v>
      </c>
      <c r="K95" t="str">
        <f t="shared" si="26"/>
        <v>\I:</v>
      </c>
      <c r="L95" t="str">
        <f t="shared" si="27"/>
        <v>\I:</v>
      </c>
      <c r="M95" s="390" t="str">
        <f t="shared" si="31"/>
        <v/>
      </c>
      <c r="N95" s="390" t="str">
        <f t="shared" si="32"/>
        <v/>
      </c>
      <c r="O95" s="390" t="str">
        <f t="shared" si="33"/>
        <v/>
      </c>
      <c r="P95" s="390" t="str">
        <f t="shared" si="34"/>
        <v/>
      </c>
      <c r="V95" s="386"/>
      <c r="Y95" t="str">
        <f t="shared" si="24"/>
        <v>\I:</v>
      </c>
      <c r="Z95" t="str">
        <f ca="1" t="shared" si="25"/>
        <v>ICE plug-in hybrid diesel LCV -- 00%</v>
      </c>
      <c r="AA95" s="388" t="s">
        <v>84</v>
      </c>
      <c r="AB95" s="388" t="s">
        <v>85</v>
      </c>
    </row>
    <row r="96" spans="2:28">
      <c r="B96" s="49"/>
      <c r="C96" s="387"/>
      <c r="D96" s="49"/>
      <c r="E96" s="49"/>
      <c r="F96" s="49"/>
      <c r="J96" t="str">
        <f t="shared" si="30"/>
        <v>Trd_lcv_dsl-pih</v>
      </c>
      <c r="K96" t="str">
        <f t="shared" si="26"/>
        <v>\I:</v>
      </c>
      <c r="L96" t="str">
        <f t="shared" si="27"/>
        <v>\I:</v>
      </c>
      <c r="M96" s="390" t="str">
        <f t="shared" si="31"/>
        <v/>
      </c>
      <c r="N96" s="390" t="str">
        <f t="shared" si="32"/>
        <v/>
      </c>
      <c r="O96" s="390" t="str">
        <f t="shared" si="33"/>
        <v/>
      </c>
      <c r="P96" s="390" t="str">
        <f t="shared" si="34"/>
        <v/>
      </c>
      <c r="V96" s="386"/>
      <c r="Y96" t="str">
        <f t="shared" si="24"/>
        <v>\I:</v>
      </c>
      <c r="Z96" t="str">
        <f ca="1" t="shared" si="25"/>
        <v>ICE plug-in hybrid diesel LCV -- 00%</v>
      </c>
      <c r="AA96" s="388" t="s">
        <v>84</v>
      </c>
      <c r="AB96" s="388" t="s">
        <v>85</v>
      </c>
    </row>
    <row r="97" spans="2:28">
      <c r="B97" s="88"/>
      <c r="C97" s="426">
        <v>2020</v>
      </c>
      <c r="D97" s="51">
        <v>2030</v>
      </c>
      <c r="E97" s="51">
        <v>2040</v>
      </c>
      <c r="F97" s="51">
        <v>2050</v>
      </c>
      <c r="J97" t="str">
        <f t="shared" si="30"/>
        <v>Trd_lcv_dsl-pih</v>
      </c>
      <c r="K97" t="str">
        <f t="shared" si="26"/>
        <v>\I:</v>
      </c>
      <c r="L97" t="str">
        <f t="shared" si="27"/>
        <v>\I:</v>
      </c>
      <c r="M97" s="390" t="str">
        <f t="shared" si="31"/>
        <v/>
      </c>
      <c r="N97" s="390" t="str">
        <f t="shared" si="32"/>
        <v/>
      </c>
      <c r="O97" s="390" t="str">
        <f t="shared" si="33"/>
        <v/>
      </c>
      <c r="P97" s="390" t="str">
        <f t="shared" si="34"/>
        <v/>
      </c>
      <c r="V97" s="386"/>
      <c r="Y97" t="str">
        <f t="shared" si="24"/>
        <v>\I:</v>
      </c>
      <c r="Z97" t="str">
        <f ca="1" t="shared" si="25"/>
        <v>ICE plug-in hybrid diesel LCV -- 00%</v>
      </c>
      <c r="AA97" s="388" t="s">
        <v>84</v>
      </c>
      <c r="AB97" s="388" t="s">
        <v>85</v>
      </c>
    </row>
    <row r="98" spans="2:28">
      <c r="B98" s="429">
        <v>0.85</v>
      </c>
      <c r="C98" s="428">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90">
        <f t="shared" si="31"/>
        <v>29234.4869036876</v>
      </c>
      <c r="N98" s="390">
        <f t="shared" si="32"/>
        <v>24721.6233975056</v>
      </c>
      <c r="O98" s="390">
        <f t="shared" si="33"/>
        <v>23657.1536371324</v>
      </c>
      <c r="P98" s="390">
        <f t="shared" si="34"/>
        <v>23346.6949179619</v>
      </c>
      <c r="Q98">
        <f t="shared" ref="Q98:Q105" si="36">P98</f>
        <v>23346.6949179619</v>
      </c>
      <c r="R98">
        <v>3</v>
      </c>
      <c r="V98" s="386"/>
      <c r="Y98" t="str">
        <f t="shared" si="24"/>
        <v>Trd_lcv_dsl-pih_85</v>
      </c>
      <c r="Z98" t="str">
        <f ca="1" t="shared" si="25"/>
        <v>ICE plug-in hybrid diesel LCV -- 85%</v>
      </c>
      <c r="AA98" s="388" t="s">
        <v>84</v>
      </c>
      <c r="AB98" s="388" t="s">
        <v>85</v>
      </c>
    </row>
    <row r="99" spans="2:28">
      <c r="B99" s="429">
        <v>0.86</v>
      </c>
      <c r="C99" s="428">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90">
        <f t="shared" si="31"/>
        <v>29248.700988014</v>
      </c>
      <c r="N99" s="390">
        <f t="shared" si="32"/>
        <v>24735.5644630519</v>
      </c>
      <c r="O99" s="390">
        <f t="shared" si="33"/>
        <v>23661.3230310365</v>
      </c>
      <c r="P99" s="390">
        <f t="shared" si="34"/>
        <v>23347.4576013673</v>
      </c>
      <c r="Q99">
        <f t="shared" si="36"/>
        <v>23347.4576013673</v>
      </c>
      <c r="R99">
        <v>3</v>
      </c>
      <c r="V99" s="386"/>
      <c r="Y99" t="str">
        <f t="shared" si="24"/>
        <v>Trd_lcv_dsl-pih_86</v>
      </c>
      <c r="Z99" t="str">
        <f ca="1" t="shared" si="25"/>
        <v>ICE plug-in hybrid diesel LCV -- 86%</v>
      </c>
      <c r="AA99" s="388" t="s">
        <v>84</v>
      </c>
      <c r="AB99" s="388" t="s">
        <v>85</v>
      </c>
    </row>
    <row r="100" spans="2:28">
      <c r="B100" s="429">
        <v>0.87</v>
      </c>
      <c r="C100" s="428">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90">
        <f t="shared" si="31"/>
        <v>29375.5183424242</v>
      </c>
      <c r="N100" s="390">
        <f t="shared" si="32"/>
        <v>24752.5086854066</v>
      </c>
      <c r="O100" s="390">
        <f t="shared" si="33"/>
        <v>23672.9915395907</v>
      </c>
      <c r="P100" s="390">
        <f t="shared" si="34"/>
        <v>23357.5576776065</v>
      </c>
      <c r="Q100">
        <f t="shared" si="36"/>
        <v>23357.5576776065</v>
      </c>
      <c r="R100">
        <v>3</v>
      </c>
      <c r="V100" s="386"/>
      <c r="Y100" t="str">
        <f t="shared" si="24"/>
        <v>Trd_lcv_dsl-pih_87</v>
      </c>
      <c r="Z100" t="str">
        <f ca="1" t="shared" si="25"/>
        <v>ICE plug-in hybrid diesel LCV -- 87%</v>
      </c>
      <c r="AA100" s="388" t="s">
        <v>84</v>
      </c>
      <c r="AB100" s="388" t="s">
        <v>85</v>
      </c>
    </row>
    <row r="101" spans="2:28">
      <c r="B101" s="429">
        <v>0.88</v>
      </c>
      <c r="C101" s="428">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90">
        <f t="shared" si="31"/>
        <v>29852.3977032646</v>
      </c>
      <c r="N101" s="390">
        <f t="shared" si="32"/>
        <v>24778.2908929212</v>
      </c>
      <c r="O101" s="390">
        <f t="shared" si="33"/>
        <v>23702.3792571154</v>
      </c>
      <c r="P101" s="390">
        <f t="shared" si="34"/>
        <v>23389.0918257128</v>
      </c>
      <c r="Q101">
        <f t="shared" si="36"/>
        <v>23389.0918257128</v>
      </c>
      <c r="R101">
        <v>3</v>
      </c>
      <c r="V101" s="386"/>
      <c r="Y101" t="str">
        <f t="shared" si="24"/>
        <v>Trd_lcv_dsl-pih_88</v>
      </c>
      <c r="Z101" t="str">
        <f ca="1" t="shared" si="25"/>
        <v>ICE plug-in hybrid diesel LCV -- 88%</v>
      </c>
      <c r="AA101" s="388" t="s">
        <v>84</v>
      </c>
      <c r="AB101" s="388" t="s">
        <v>85</v>
      </c>
    </row>
    <row r="102" spans="2:28">
      <c r="B102" s="429">
        <v>0.89</v>
      </c>
      <c r="C102" s="428">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90">
        <f t="shared" si="31"/>
        <v>34743.079083496</v>
      </c>
      <c r="N102" s="390">
        <f t="shared" si="32"/>
        <v>24899.2147906171</v>
      </c>
      <c r="O102" s="390">
        <f t="shared" si="33"/>
        <v>23827.8028677736</v>
      </c>
      <c r="P102" s="390">
        <f t="shared" si="34"/>
        <v>23519.7465846992</v>
      </c>
      <c r="Q102">
        <f t="shared" si="36"/>
        <v>23519.7465846992</v>
      </c>
      <c r="R102">
        <v>3</v>
      </c>
      <c r="V102" s="386"/>
      <c r="Y102" t="str">
        <f t="shared" si="24"/>
        <v>Trd_lcv_dsl-pih_89</v>
      </c>
      <c r="Z102" t="str">
        <f ca="1" t="shared" si="25"/>
        <v>ICE plug-in hybrid diesel LCV -- 89%</v>
      </c>
      <c r="AA102" s="388" t="s">
        <v>84</v>
      </c>
      <c r="AB102" s="388" t="s">
        <v>85</v>
      </c>
    </row>
    <row r="103" spans="2:28">
      <c r="B103" s="429">
        <v>0.9325</v>
      </c>
      <c r="C103" s="428">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90">
        <f t="shared" si="31"/>
        <v>110252.595487286</v>
      </c>
      <c r="N103" s="390">
        <f t="shared" si="32"/>
        <v>29030.4336706465</v>
      </c>
      <c r="O103" s="390">
        <f t="shared" si="33"/>
        <v>27383.9399225882</v>
      </c>
      <c r="P103" s="390">
        <f t="shared" si="34"/>
        <v>26970.6097618657</v>
      </c>
      <c r="Q103">
        <f t="shared" si="36"/>
        <v>26970.6097618657</v>
      </c>
      <c r="R103">
        <v>3</v>
      </c>
      <c r="V103" s="386"/>
      <c r="Y103" t="str">
        <f t="shared" si="24"/>
        <v>Trd_lcv_dsl-pih_93</v>
      </c>
      <c r="Z103" t="str">
        <f ca="1" t="shared" si="25"/>
        <v>ICE plug-in hybrid diesel LCV -- 93%</v>
      </c>
      <c r="AA103" s="388" t="s">
        <v>84</v>
      </c>
      <c r="AB103" s="388" t="s">
        <v>85</v>
      </c>
    </row>
    <row r="104" spans="2:28">
      <c r="B104" s="429">
        <v>0.9375</v>
      </c>
      <c r="C104" s="428"/>
      <c r="D104" s="86">
        <v>58730.6324989268</v>
      </c>
      <c r="E104" s="86">
        <v>56027.5236874505</v>
      </c>
      <c r="F104" s="86">
        <v>56056.649342681</v>
      </c>
      <c r="I104" s="75">
        <f t="shared" si="35"/>
        <v>1.97343520387336</v>
      </c>
      <c r="J104" t="str">
        <f t="shared" si="30"/>
        <v>Trd_lcv_dsl-pih</v>
      </c>
      <c r="K104" t="str">
        <f t="shared" si="26"/>
        <v>\I:</v>
      </c>
      <c r="L104" t="str">
        <f t="shared" si="27"/>
        <v>\I:</v>
      </c>
      <c r="M104" s="390" t="str">
        <f t="shared" si="31"/>
        <v/>
      </c>
      <c r="N104" s="390" t="str">
        <f t="shared" si="32"/>
        <v/>
      </c>
      <c r="O104" s="390" t="str">
        <f t="shared" si="33"/>
        <v/>
      </c>
      <c r="P104" s="390" t="str">
        <f t="shared" si="34"/>
        <v/>
      </c>
      <c r="Q104" t="str">
        <f t="shared" si="36"/>
        <v/>
      </c>
      <c r="V104" s="386"/>
      <c r="Y104" t="str">
        <f t="shared" si="24"/>
        <v>\I:</v>
      </c>
      <c r="Z104" t="str">
        <f ca="1" t="shared" si="25"/>
        <v>ICE plug-in hybrid diesel LCV -- 94%</v>
      </c>
      <c r="AA104" s="388" t="s">
        <v>84</v>
      </c>
      <c r="AB104" s="388" t="s">
        <v>85</v>
      </c>
    </row>
    <row r="105" spans="2:28">
      <c r="D105" s="97"/>
      <c r="E105" s="97"/>
      <c r="F105" s="97"/>
      <c r="J105" t="str">
        <f t="shared" si="30"/>
        <v>Trd_lcv_dsl-pih</v>
      </c>
      <c r="K105" t="str">
        <f t="shared" si="26"/>
        <v>\I:</v>
      </c>
      <c r="L105" t="str">
        <f t="shared" si="27"/>
        <v>\I:</v>
      </c>
      <c r="M105" s="390" t="str">
        <f t="shared" si="31"/>
        <v/>
      </c>
      <c r="N105" s="390" t="str">
        <f t="shared" si="32"/>
        <v/>
      </c>
      <c r="O105" s="390" t="str">
        <f t="shared" si="33"/>
        <v/>
      </c>
      <c r="P105" s="390" t="str">
        <f t="shared" si="34"/>
        <v/>
      </c>
      <c r="Q105" t="str">
        <f t="shared" si="36"/>
        <v/>
      </c>
      <c r="V105" s="386"/>
      <c r="Y105" t="str">
        <f t="shared" si="24"/>
        <v>\I:</v>
      </c>
      <c r="Z105" t="str">
        <f ca="1" t="shared" si="25"/>
        <v>ICE plug-in hybrid diesel LCV -- 00%</v>
      </c>
      <c r="AA105" s="388" t="s">
        <v>84</v>
      </c>
      <c r="AB105" s="388" t="s">
        <v>85</v>
      </c>
    </row>
    <row r="106" spans="2:28">
      <c r="J106" t="str">
        <f t="shared" si="30"/>
        <v>Trd_lcv_dsl-pih</v>
      </c>
      <c r="K106" t="str">
        <f t="shared" si="26"/>
        <v>\I:</v>
      </c>
      <c r="L106" t="str">
        <f t="shared" si="27"/>
        <v>\I:</v>
      </c>
      <c r="M106" s="390" t="str">
        <f t="shared" si="31"/>
        <v/>
      </c>
      <c r="N106" s="390" t="str">
        <f t="shared" si="32"/>
        <v/>
      </c>
      <c r="O106" s="390" t="str">
        <f t="shared" si="33"/>
        <v/>
      </c>
      <c r="P106" s="390" t="str">
        <f t="shared" si="34"/>
        <v/>
      </c>
      <c r="V106" s="386"/>
      <c r="Y106" t="str">
        <f t="shared" si="24"/>
        <v>\I:</v>
      </c>
      <c r="Z106" t="str">
        <f ca="1" t="shared" si="25"/>
        <v>ICE plug-in hybrid diesel LCV -- 00%</v>
      </c>
      <c r="AA106" s="388" t="s">
        <v>84</v>
      </c>
      <c r="AB106" s="388" t="s">
        <v>85</v>
      </c>
    </row>
    <row r="107" spans="2:28">
      <c r="J107" t="str">
        <f t="shared" si="30"/>
        <v>Trd_lcv_dsl-pih</v>
      </c>
      <c r="K107" t="str">
        <f t="shared" si="26"/>
        <v>\I:</v>
      </c>
      <c r="L107" t="str">
        <f t="shared" si="27"/>
        <v>\I:</v>
      </c>
      <c r="M107" s="390" t="str">
        <f t="shared" si="31"/>
        <v/>
      </c>
      <c r="N107" s="390" t="str">
        <f t="shared" si="32"/>
        <v/>
      </c>
      <c r="O107" s="390" t="str">
        <f t="shared" si="33"/>
        <v/>
      </c>
      <c r="P107" s="390" t="str">
        <f t="shared" si="34"/>
        <v/>
      </c>
      <c r="V107" s="386"/>
      <c r="Y107" t="str">
        <f t="shared" si="24"/>
        <v>\I:</v>
      </c>
      <c r="Z107" t="str">
        <f ca="1" t="shared" si="25"/>
        <v>ICE plug-in hybrid diesel LCV -- 00%</v>
      </c>
      <c r="AA107" s="388" t="s">
        <v>84</v>
      </c>
      <c r="AB107" s="388" t="s">
        <v>85</v>
      </c>
    </row>
    <row r="108" spans="2:28">
      <c r="J108" t="str">
        <f t="shared" si="30"/>
        <v>Trd_lcv_dsl-pih</v>
      </c>
      <c r="K108" t="str">
        <f t="shared" si="26"/>
        <v>\I:</v>
      </c>
      <c r="L108" t="str">
        <f t="shared" si="27"/>
        <v>\I:</v>
      </c>
      <c r="M108" s="390" t="str">
        <f t="shared" si="31"/>
        <v/>
      </c>
      <c r="N108" s="390" t="str">
        <f t="shared" si="32"/>
        <v/>
      </c>
      <c r="O108" s="390" t="str">
        <f t="shared" si="33"/>
        <v/>
      </c>
      <c r="P108" s="390" t="str">
        <f t="shared" si="34"/>
        <v/>
      </c>
      <c r="V108" s="386"/>
      <c r="Y108" t="str">
        <f t="shared" si="24"/>
        <v>\I:</v>
      </c>
      <c r="Z108" t="str">
        <f ca="1" t="shared" si="25"/>
        <v>ICE plug-in hybrid diesel LCV -- 00%</v>
      </c>
      <c r="AA108" s="388" t="s">
        <v>84</v>
      </c>
      <c r="AB108" s="388" t="s">
        <v>85</v>
      </c>
    </row>
    <row r="109" spans="2:28">
      <c r="J109" t="str">
        <f t="shared" si="30"/>
        <v>Trd_lcv_dsl-pih</v>
      </c>
      <c r="K109" t="str">
        <f t="shared" si="26"/>
        <v>\I:</v>
      </c>
      <c r="L109" t="str">
        <f t="shared" si="27"/>
        <v>\I:</v>
      </c>
      <c r="M109" s="390" t="str">
        <f t="shared" si="31"/>
        <v/>
      </c>
      <c r="N109" s="390" t="str">
        <f t="shared" si="32"/>
        <v/>
      </c>
      <c r="O109" s="390" t="str">
        <f t="shared" si="33"/>
        <v/>
      </c>
      <c r="P109" s="390" t="str">
        <f t="shared" si="34"/>
        <v/>
      </c>
      <c r="V109" s="386"/>
      <c r="Y109" t="str">
        <f t="shared" si="24"/>
        <v>\I:</v>
      </c>
      <c r="Z109" t="str">
        <f ca="1" t="shared" si="25"/>
        <v>ICE plug-in hybrid diesel LCV -- 00%</v>
      </c>
      <c r="AA109" s="388" t="s">
        <v>84</v>
      </c>
      <c r="AB109" s="388" t="s">
        <v>85</v>
      </c>
    </row>
    <row r="110" spans="2:28">
      <c r="B110" s="44" t="s">
        <v>107</v>
      </c>
      <c r="J110" t="str">
        <f t="shared" si="30"/>
        <v>Trd_lcv_dsl-pih</v>
      </c>
      <c r="K110" t="str">
        <f t="shared" si="26"/>
        <v>\I:</v>
      </c>
      <c r="L110" t="str">
        <f t="shared" si="27"/>
        <v>\I:</v>
      </c>
      <c r="M110" s="390" t="str">
        <f t="shared" si="31"/>
        <v/>
      </c>
      <c r="N110" s="390" t="str">
        <f t="shared" si="32"/>
        <v/>
      </c>
      <c r="O110" s="390" t="str">
        <f t="shared" si="33"/>
        <v/>
      </c>
      <c r="P110" s="390" t="str">
        <f t="shared" si="34"/>
        <v/>
      </c>
      <c r="V110" s="386"/>
      <c r="Y110" t="str">
        <f t="shared" si="24"/>
        <v>\I:</v>
      </c>
      <c r="Z110" t="str">
        <f ca="1" t="shared" si="25"/>
        <v>ICE plug-in hybrid diesel LCV -- Reference values for CNG LCV</v>
      </c>
      <c r="AA110" s="388" t="s">
        <v>84</v>
      </c>
      <c r="AB110" s="388" t="s">
        <v>85</v>
      </c>
    </row>
    <row r="111" spans="2:28">
      <c r="B111" s="45">
        <v>2015</v>
      </c>
      <c r="C111" s="381"/>
      <c r="D111" s="45"/>
      <c r="J111" t="str">
        <f t="shared" si="30"/>
        <v>Trd_lcv_dsl-pih</v>
      </c>
      <c r="K111" t="str">
        <f t="shared" si="26"/>
        <v>\I:</v>
      </c>
      <c r="L111" t="str">
        <f t="shared" si="27"/>
        <v>\I:</v>
      </c>
      <c r="M111" s="390" t="str">
        <f t="shared" si="31"/>
        <v/>
      </c>
      <c r="N111" s="390" t="str">
        <f t="shared" si="32"/>
        <v/>
      </c>
      <c r="O111" s="390" t="str">
        <f t="shared" si="33"/>
        <v/>
      </c>
      <c r="P111" s="390" t="str">
        <f t="shared" si="34"/>
        <v/>
      </c>
      <c r="V111" s="386"/>
      <c r="Y111" t="str">
        <f t="shared" si="24"/>
        <v>\I:</v>
      </c>
      <c r="Z111" t="str">
        <f ca="1" t="shared" si="25"/>
        <v>ICE plug-in hybrid diesel LCV -- 201500%</v>
      </c>
      <c r="AA111" s="388" t="s">
        <v>84</v>
      </c>
      <c r="AB111" s="388" t="s">
        <v>85</v>
      </c>
    </row>
    <row r="112" spans="2:28">
      <c r="B112" s="46" t="s">
        <v>12</v>
      </c>
      <c r="C112" s="47" t="s">
        <v>88</v>
      </c>
      <c r="D112" s="48">
        <v>5.64203167764647</v>
      </c>
      <c r="G112" s="75">
        <f>D112*$F$9/100*10^9/10^6</f>
        <v>3.03504477896122</v>
      </c>
      <c r="H112" s="75"/>
      <c r="I112" s="382">
        <f>1/G112</f>
        <v>0.329484430322726</v>
      </c>
      <c r="J112" t="str">
        <f t="shared" si="30"/>
        <v>Trd_lcv_dsl-pih</v>
      </c>
      <c r="K112" t="str">
        <f t="shared" si="26"/>
        <v>\I:</v>
      </c>
      <c r="L112" t="str">
        <f t="shared" si="27"/>
        <v>\I:</v>
      </c>
      <c r="M112" s="390" t="str">
        <f t="shared" si="31"/>
        <v/>
      </c>
      <c r="N112" s="390" t="str">
        <f t="shared" si="32"/>
        <v/>
      </c>
      <c r="O112" s="390" t="str">
        <f t="shared" si="33"/>
        <v/>
      </c>
      <c r="P112" s="390" t="str">
        <f t="shared" si="34"/>
        <v/>
      </c>
      <c r="V112" s="386"/>
      <c r="Y112" t="str">
        <f t="shared" ref="Y112:Y143" si="37">K112</f>
        <v>\I:</v>
      </c>
      <c r="Z112" t="str">
        <f ca="1" t="shared" ref="Z112:Z143" si="38">OFFSET($W$1,MATCH(J112,$W$1:$W$10,0)-1,-1)&amp;" -- "&amp;TEXT(B112,"00%")</f>
        <v>ICE plug-in hybrid diesel LCV -- Energy consumption</v>
      </c>
      <c r="AA112" s="388" t="s">
        <v>84</v>
      </c>
      <c r="AB112" s="388" t="s">
        <v>85</v>
      </c>
    </row>
    <row r="113" spans="2:28">
      <c r="B113" s="46" t="s">
        <v>14</v>
      </c>
      <c r="C113" s="47" t="s">
        <v>15</v>
      </c>
      <c r="D113" s="68">
        <v>19499.3766980185</v>
      </c>
      <c r="I113" s="393" t="s">
        <v>70</v>
      </c>
      <c r="J113" t="str">
        <f t="shared" si="30"/>
        <v>Trd_lcv_dsl-pih</v>
      </c>
      <c r="K113" t="str">
        <f t="shared" si="26"/>
        <v>\I:</v>
      </c>
      <c r="L113" t="str">
        <f t="shared" si="27"/>
        <v>\I:</v>
      </c>
      <c r="M113" s="390" t="str">
        <f t="shared" si="31"/>
        <v/>
      </c>
      <c r="N113" s="390" t="str">
        <f t="shared" si="32"/>
        <v/>
      </c>
      <c r="O113" s="390" t="str">
        <f t="shared" si="33"/>
        <v/>
      </c>
      <c r="P113" s="390" t="str">
        <f t="shared" si="34"/>
        <v/>
      </c>
      <c r="V113" s="386"/>
      <c r="Y113" t="str">
        <f t="shared" si="37"/>
        <v>\I:</v>
      </c>
      <c r="Z113" t="str">
        <f ca="1" t="shared" si="38"/>
        <v>ICE plug-in hybrid diesel LCV -- Capital cost</v>
      </c>
      <c r="AA113" s="388" t="s">
        <v>84</v>
      </c>
      <c r="AB113" s="388" t="s">
        <v>85</v>
      </c>
    </row>
    <row r="114" spans="2:28">
      <c r="J114" t="str">
        <f t="shared" si="30"/>
        <v>Trd_lcv_dsl-pih</v>
      </c>
      <c r="K114" t="str">
        <f t="shared" si="26"/>
        <v>\I:</v>
      </c>
      <c r="L114" t="str">
        <f t="shared" si="27"/>
        <v>\I:</v>
      </c>
      <c r="M114" s="390" t="str">
        <f t="shared" si="31"/>
        <v/>
      </c>
      <c r="N114" s="390" t="str">
        <f t="shared" si="32"/>
        <v/>
      </c>
      <c r="O114" s="390" t="str">
        <f t="shared" si="33"/>
        <v/>
      </c>
      <c r="P114" s="390" t="str">
        <f t="shared" si="34"/>
        <v/>
      </c>
      <c r="V114" s="386"/>
      <c r="Y114" t="str">
        <f t="shared" si="37"/>
        <v>\I:</v>
      </c>
      <c r="Z114" t="str">
        <f ca="1" t="shared" si="38"/>
        <v>ICE plug-in hybrid diesel LCV -- 00%</v>
      </c>
      <c r="AA114" s="388" t="s">
        <v>84</v>
      </c>
      <c r="AB114" s="388" t="s">
        <v>85</v>
      </c>
    </row>
    <row r="115" ht="15" customHeight="1" spans="2:28">
      <c r="B115" s="49" t="s">
        <v>89</v>
      </c>
      <c r="C115" s="387" t="s">
        <v>101</v>
      </c>
      <c r="D115" s="49"/>
      <c r="E115" s="49"/>
      <c r="F115" s="49"/>
      <c r="J115" t="str">
        <f t="shared" si="30"/>
        <v>Trd_lcv_cng</v>
      </c>
      <c r="K115" t="str">
        <f t="shared" si="26"/>
        <v>\I:</v>
      </c>
      <c r="L115" t="str">
        <f t="shared" si="27"/>
        <v>\I:</v>
      </c>
      <c r="M115" s="390" t="str">
        <f t="shared" si="31"/>
        <v/>
      </c>
      <c r="N115" s="390" t="str">
        <f t="shared" si="32"/>
        <v/>
      </c>
      <c r="O115" s="390" t="str">
        <f t="shared" si="33"/>
        <v/>
      </c>
      <c r="P115" s="390" t="str">
        <f t="shared" si="34"/>
        <v/>
      </c>
      <c r="V115" s="386"/>
      <c r="Y115" t="str">
        <f t="shared" si="37"/>
        <v>\I:</v>
      </c>
      <c r="Z115" t="str">
        <f ca="1" t="shared" si="38"/>
        <v>ICE CNG LCV -- Reduction of specific energy consumption relative to 2015 CNG vehicle (%)</v>
      </c>
      <c r="AA115" s="388" t="s">
        <v>84</v>
      </c>
      <c r="AB115" s="388" t="s">
        <v>85</v>
      </c>
    </row>
    <row r="116" spans="2:28">
      <c r="B116" s="49"/>
      <c r="C116" s="387"/>
      <c r="D116" s="49"/>
      <c r="E116" s="49"/>
      <c r="F116" s="49"/>
      <c r="J116" t="str">
        <f t="shared" si="30"/>
        <v>Trd_lcv_cng</v>
      </c>
      <c r="K116" t="str">
        <f t="shared" si="26"/>
        <v>\I:</v>
      </c>
      <c r="L116" t="str">
        <f t="shared" si="27"/>
        <v>\I:</v>
      </c>
      <c r="M116" s="390" t="str">
        <f t="shared" si="31"/>
        <v/>
      </c>
      <c r="N116" s="390" t="str">
        <f t="shared" si="32"/>
        <v/>
      </c>
      <c r="O116" s="390" t="str">
        <f t="shared" si="33"/>
        <v/>
      </c>
      <c r="P116" s="390" t="str">
        <f t="shared" si="34"/>
        <v/>
      </c>
      <c r="V116" s="386"/>
      <c r="Y116" t="str">
        <f t="shared" si="37"/>
        <v>\I:</v>
      </c>
      <c r="Z116" t="str">
        <f ca="1" t="shared" si="38"/>
        <v>ICE CNG LCV -- 00%</v>
      </c>
      <c r="AA116" s="388" t="s">
        <v>84</v>
      </c>
      <c r="AB116" s="388" t="s">
        <v>85</v>
      </c>
    </row>
    <row r="117" spans="2:28">
      <c r="B117" s="49"/>
      <c r="C117" s="387"/>
      <c r="D117" s="49"/>
      <c r="E117" s="49"/>
      <c r="F117" s="49"/>
      <c r="J117" t="str">
        <f t="shared" si="30"/>
        <v>Trd_lcv_cng</v>
      </c>
      <c r="K117" t="str">
        <f t="shared" si="26"/>
        <v>\I:</v>
      </c>
      <c r="L117" t="str">
        <f t="shared" si="27"/>
        <v>\I:</v>
      </c>
      <c r="M117" s="390" t="str">
        <f t="shared" si="31"/>
        <v/>
      </c>
      <c r="N117" s="390" t="str">
        <f t="shared" si="32"/>
        <v/>
      </c>
      <c r="O117" s="390" t="str">
        <f t="shared" si="33"/>
        <v/>
      </c>
      <c r="P117" s="390" t="str">
        <f t="shared" si="34"/>
        <v/>
      </c>
      <c r="V117" s="386"/>
      <c r="Y117" t="str">
        <f t="shared" si="37"/>
        <v>\I:</v>
      </c>
      <c r="Z117" t="str">
        <f ca="1" t="shared" si="38"/>
        <v>ICE CNG LCV -- 00%</v>
      </c>
      <c r="AA117" s="388" t="s">
        <v>84</v>
      </c>
      <c r="AB117" s="388" t="s">
        <v>85</v>
      </c>
    </row>
    <row r="118" spans="2:28">
      <c r="B118" s="88"/>
      <c r="C118" s="426">
        <v>2020</v>
      </c>
      <c r="D118" s="51">
        <v>2030</v>
      </c>
      <c r="E118" s="51">
        <v>2040</v>
      </c>
      <c r="F118" s="51">
        <v>2050</v>
      </c>
      <c r="I118" s="382">
        <v>1</v>
      </c>
      <c r="J118" s="44" t="str">
        <f t="shared" ref="J118" si="39">IFERROR(VLOOKUP(C118,$V$1:$W$11,2,FALSE),J117)</f>
        <v>Trd_lcv_cng</v>
      </c>
      <c r="K118" s="44" t="str">
        <f>IFERROR(IF(VALUE(C118)&gt;200,J118&amp;"_"&amp;TEXT(B118*100,"00"),"\I:"),"\I:")</f>
        <v>Trd_lcv_cng_00</v>
      </c>
      <c r="L118" t="str">
        <f t="shared" si="27"/>
        <v>Trd_lcv</v>
      </c>
      <c r="M118" s="427">
        <f>D113</f>
        <v>19499.3766980185</v>
      </c>
      <c r="N118" s="390"/>
      <c r="O118" s="390"/>
      <c r="P118" s="390"/>
      <c r="V118" s="386"/>
      <c r="Y118" t="str">
        <f t="shared" si="37"/>
        <v>Trd_lcv_cng_00</v>
      </c>
      <c r="Z118" t="str">
        <f ca="1" t="shared" si="38"/>
        <v>ICE CNG LCV -- 00%</v>
      </c>
      <c r="AA118" s="388" t="s">
        <v>84</v>
      </c>
      <c r="AB118" s="388" t="s">
        <v>85</v>
      </c>
    </row>
    <row r="119" spans="2:28">
      <c r="B119" s="85">
        <v>0.145560583753408</v>
      </c>
      <c r="C119" s="428">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90">
        <f t="shared" si="31"/>
        <v>19969.9959792433</v>
      </c>
      <c r="N119" s="390">
        <f t="shared" si="32"/>
        <v>19508.8247701105</v>
      </c>
      <c r="O119" s="390">
        <f t="shared" si="33"/>
        <v>19508.8247701105</v>
      </c>
      <c r="P119" s="390">
        <f t="shared" si="34"/>
        <v>19508.8247701105</v>
      </c>
      <c r="Q119">
        <f t="shared" ref="Q119:Q126" si="40">P119</f>
        <v>19508.8247701105</v>
      </c>
      <c r="R119">
        <v>3</v>
      </c>
      <c r="V119" s="386"/>
      <c r="Y119" t="str">
        <f t="shared" si="37"/>
        <v>Trd_lcv_cng_15</v>
      </c>
      <c r="Z119" t="str">
        <f ca="1" t="shared" si="38"/>
        <v>ICE CNG LCV -- 15%</v>
      </c>
      <c r="AA119" s="388" t="s">
        <v>84</v>
      </c>
      <c r="AB119" s="388" t="s">
        <v>85</v>
      </c>
    </row>
    <row r="120" spans="2:28">
      <c r="B120" s="85">
        <v>0.245560583753408</v>
      </c>
      <c r="C120" s="428">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90">
        <f t="shared" si="31"/>
        <v>21334.8298121009</v>
      </c>
      <c r="N120" s="390">
        <f t="shared" si="32"/>
        <v>20057.9987267638</v>
      </c>
      <c r="O120" s="390">
        <f t="shared" si="33"/>
        <v>20057.9987267638</v>
      </c>
      <c r="P120" s="390">
        <f t="shared" si="34"/>
        <v>20057.9987267638</v>
      </c>
      <c r="Q120">
        <f t="shared" si="40"/>
        <v>20057.9987267638</v>
      </c>
      <c r="R120">
        <v>3</v>
      </c>
      <c r="V120" s="386"/>
      <c r="Y120" t="str">
        <f t="shared" si="37"/>
        <v>Trd_lcv_cng_25</v>
      </c>
      <c r="Z120" t="str">
        <f ca="1" t="shared" si="38"/>
        <v>ICE CNG LCV -- 25%</v>
      </c>
      <c r="AA120" s="388" t="s">
        <v>84</v>
      </c>
      <c r="AB120" s="388" t="s">
        <v>85</v>
      </c>
    </row>
    <row r="121" spans="2:28">
      <c r="B121" s="85">
        <v>0.345560583753408</v>
      </c>
      <c r="C121" s="428">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90">
        <f t="shared" si="31"/>
        <v>26419.0019780321</v>
      </c>
      <c r="N121" s="390">
        <f t="shared" si="32"/>
        <v>21285.778926066</v>
      </c>
      <c r="O121" s="390">
        <f t="shared" si="33"/>
        <v>21285.778926066</v>
      </c>
      <c r="P121" s="390">
        <f t="shared" si="34"/>
        <v>21285.778926066</v>
      </c>
      <c r="Q121">
        <f t="shared" si="40"/>
        <v>21285.778926066</v>
      </c>
      <c r="R121">
        <v>3</v>
      </c>
      <c r="V121" s="386"/>
      <c r="Y121" t="str">
        <f t="shared" si="37"/>
        <v>Trd_lcv_cng_35</v>
      </c>
      <c r="Z121" t="str">
        <f ca="1" t="shared" si="38"/>
        <v>ICE CNG LCV -- 35%</v>
      </c>
      <c r="AA121" s="388" t="s">
        <v>84</v>
      </c>
      <c r="AB121" s="388" t="s">
        <v>85</v>
      </c>
    </row>
    <row r="122" spans="2:28">
      <c r="B122" s="85">
        <v>0.395560583753408</v>
      </c>
      <c r="C122" s="428">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90">
        <f t="shared" si="31"/>
        <v>34866.420335116</v>
      </c>
      <c r="N122" s="390">
        <f t="shared" si="32"/>
        <v>23649.8754712488</v>
      </c>
      <c r="O122" s="390">
        <f t="shared" si="33"/>
        <v>23649.8754712488</v>
      </c>
      <c r="P122" s="390">
        <f t="shared" si="34"/>
        <v>23649.8754712488</v>
      </c>
      <c r="Q122">
        <f t="shared" si="40"/>
        <v>23649.8754712488</v>
      </c>
      <c r="R122">
        <v>3</v>
      </c>
      <c r="V122" s="386"/>
      <c r="Y122" t="str">
        <f t="shared" si="37"/>
        <v>Trd_lcv_cng_40</v>
      </c>
      <c r="Z122" t="str">
        <f ca="1" t="shared" si="38"/>
        <v>ICE CNG LCV -- 40%</v>
      </c>
      <c r="AA122" s="388" t="s">
        <v>84</v>
      </c>
      <c r="AB122" s="388" t="s">
        <v>85</v>
      </c>
    </row>
    <row r="123" spans="2:28">
      <c r="B123" s="85">
        <v>0.445560583753408</v>
      </c>
      <c r="C123" s="428">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90">
        <f t="shared" si="31"/>
        <v>101681.101481391</v>
      </c>
      <c r="N123" s="390">
        <f t="shared" si="32"/>
        <v>29079.7291070172</v>
      </c>
      <c r="O123" s="390">
        <f t="shared" si="33"/>
        <v>29079.7291070172</v>
      </c>
      <c r="P123" s="390">
        <f t="shared" si="34"/>
        <v>29079.7291070172</v>
      </c>
      <c r="Q123">
        <f t="shared" si="40"/>
        <v>29079.7291070172</v>
      </c>
      <c r="R123">
        <v>3</v>
      </c>
      <c r="V123" s="386"/>
      <c r="Y123" t="str">
        <f t="shared" si="37"/>
        <v>Trd_lcv_cng_45</v>
      </c>
      <c r="Z123" t="str">
        <f ca="1" t="shared" si="38"/>
        <v>ICE CNG LCV -- 45%</v>
      </c>
      <c r="AA123" s="388" t="s">
        <v>84</v>
      </c>
      <c r="AB123" s="388" t="s">
        <v>85</v>
      </c>
    </row>
    <row r="124" spans="2:28">
      <c r="D124" s="97"/>
      <c r="E124" s="97"/>
      <c r="F124" s="97"/>
      <c r="I124" s="75"/>
      <c r="J124" t="str">
        <f t="shared" si="30"/>
        <v>Trd_lcv_cng</v>
      </c>
      <c r="K124" t="str">
        <f t="shared" si="26"/>
        <v>\I:</v>
      </c>
      <c r="L124" t="str">
        <f t="shared" si="27"/>
        <v>\I:</v>
      </c>
      <c r="M124" s="390" t="str">
        <f t="shared" si="31"/>
        <v/>
      </c>
      <c r="N124" s="390" t="str">
        <f t="shared" si="32"/>
        <v/>
      </c>
      <c r="O124" s="390" t="str">
        <f t="shared" si="33"/>
        <v/>
      </c>
      <c r="P124" s="390" t="str">
        <f t="shared" si="34"/>
        <v/>
      </c>
      <c r="Q124" t="str">
        <f t="shared" si="40"/>
        <v/>
      </c>
      <c r="V124" s="386"/>
      <c r="Y124" t="str">
        <f t="shared" si="37"/>
        <v>\I:</v>
      </c>
      <c r="Z124" t="str">
        <f ca="1" t="shared" si="38"/>
        <v>ICE CNG LCV -- 00%</v>
      </c>
      <c r="AA124" s="388" t="s">
        <v>84</v>
      </c>
      <c r="AB124" s="388" t="s">
        <v>85</v>
      </c>
    </row>
    <row r="125" spans="2:28">
      <c r="D125" s="97"/>
      <c r="E125" s="97"/>
      <c r="F125" s="97"/>
      <c r="I125" s="75"/>
      <c r="J125" t="str">
        <f t="shared" si="30"/>
        <v>Trd_lcv_cng</v>
      </c>
      <c r="K125" t="str">
        <f t="shared" si="26"/>
        <v>\I:</v>
      </c>
      <c r="L125" t="str">
        <f t="shared" si="27"/>
        <v>\I:</v>
      </c>
      <c r="M125" s="390" t="str">
        <f t="shared" si="31"/>
        <v/>
      </c>
      <c r="N125" s="390" t="str">
        <f t="shared" si="32"/>
        <v/>
      </c>
      <c r="O125" s="390" t="str">
        <f t="shared" si="33"/>
        <v/>
      </c>
      <c r="P125" s="390" t="str">
        <f t="shared" si="34"/>
        <v/>
      </c>
      <c r="Q125" t="str">
        <f t="shared" si="40"/>
        <v/>
      </c>
      <c r="V125" s="386"/>
      <c r="Y125" t="str">
        <f t="shared" si="37"/>
        <v>\I:</v>
      </c>
      <c r="Z125" t="str">
        <f ca="1" t="shared" si="38"/>
        <v>ICE CNG LCV -- 00%</v>
      </c>
      <c r="AA125" s="388" t="s">
        <v>84</v>
      </c>
      <c r="AB125" s="388" t="s">
        <v>85</v>
      </c>
    </row>
    <row r="126" spans="2:28">
      <c r="J126" t="str">
        <f t="shared" si="30"/>
        <v>Trd_lcv_cng</v>
      </c>
      <c r="K126" t="str">
        <f t="shared" si="26"/>
        <v>\I:</v>
      </c>
      <c r="L126" t="str">
        <f t="shared" si="27"/>
        <v>\I:</v>
      </c>
      <c r="M126" s="390" t="str">
        <f t="shared" si="31"/>
        <v/>
      </c>
      <c r="N126" s="390" t="str">
        <f t="shared" si="32"/>
        <v/>
      </c>
      <c r="O126" s="390" t="str">
        <f t="shared" si="33"/>
        <v/>
      </c>
      <c r="P126" s="390" t="str">
        <f t="shared" si="34"/>
        <v/>
      </c>
      <c r="Q126" t="str">
        <f t="shared" si="40"/>
        <v/>
      </c>
      <c r="V126" s="386"/>
      <c r="Y126" t="str">
        <f t="shared" si="37"/>
        <v>\I:</v>
      </c>
      <c r="Z126" t="str">
        <f ca="1" t="shared" si="38"/>
        <v>ICE CNG LCV -- 00%</v>
      </c>
      <c r="AA126" s="388" t="s">
        <v>84</v>
      </c>
      <c r="AB126" s="388" t="s">
        <v>85</v>
      </c>
    </row>
    <row r="127" spans="2:28">
      <c r="J127" t="str">
        <f t="shared" si="30"/>
        <v>Trd_lcv_cng</v>
      </c>
      <c r="K127" t="str">
        <f t="shared" si="26"/>
        <v>\I:</v>
      </c>
      <c r="L127" t="str">
        <f t="shared" si="27"/>
        <v>\I:</v>
      </c>
      <c r="M127" s="390" t="str">
        <f t="shared" si="31"/>
        <v/>
      </c>
      <c r="N127" s="390" t="str">
        <f t="shared" si="32"/>
        <v/>
      </c>
      <c r="O127" s="390" t="str">
        <f t="shared" si="33"/>
        <v/>
      </c>
      <c r="P127" s="390" t="str">
        <f t="shared" si="34"/>
        <v/>
      </c>
      <c r="V127" s="386"/>
      <c r="Y127" t="str">
        <f t="shared" si="37"/>
        <v>\I:</v>
      </c>
      <c r="Z127" t="str">
        <f ca="1" t="shared" si="38"/>
        <v>ICE CNG LCV -- 00%</v>
      </c>
      <c r="AA127" s="388" t="s">
        <v>84</v>
      </c>
      <c r="AB127" s="388" t="s">
        <v>85</v>
      </c>
    </row>
    <row r="128" spans="2:28">
      <c r="J128" t="str">
        <f t="shared" si="30"/>
        <v>Trd_lcv_cng</v>
      </c>
      <c r="K128" t="str">
        <f t="shared" si="26"/>
        <v>\I:</v>
      </c>
      <c r="L128" t="str">
        <f t="shared" si="27"/>
        <v>\I:</v>
      </c>
      <c r="M128" s="390" t="str">
        <f t="shared" si="31"/>
        <v/>
      </c>
      <c r="N128" s="390" t="str">
        <f t="shared" si="32"/>
        <v/>
      </c>
      <c r="O128" s="390" t="str">
        <f t="shared" si="33"/>
        <v/>
      </c>
      <c r="P128" s="390" t="str">
        <f t="shared" si="34"/>
        <v/>
      </c>
      <c r="V128" s="386"/>
      <c r="Y128" t="str">
        <f t="shared" si="37"/>
        <v>\I:</v>
      </c>
      <c r="Z128" t="str">
        <f ca="1" t="shared" si="38"/>
        <v>ICE CNG LCV -- 00%</v>
      </c>
      <c r="AA128" s="388" t="s">
        <v>84</v>
      </c>
      <c r="AB128" s="388" t="s">
        <v>85</v>
      </c>
    </row>
    <row r="129" spans="2:28">
      <c r="J129" t="str">
        <f t="shared" si="30"/>
        <v>Trd_lcv_cng</v>
      </c>
      <c r="K129" t="str">
        <f t="shared" si="26"/>
        <v>\I:</v>
      </c>
      <c r="L129" t="str">
        <f t="shared" si="27"/>
        <v>\I:</v>
      </c>
      <c r="M129" s="390" t="str">
        <f t="shared" si="31"/>
        <v/>
      </c>
      <c r="N129" s="390" t="str">
        <f t="shared" si="32"/>
        <v/>
      </c>
      <c r="O129" s="390" t="str">
        <f t="shared" si="33"/>
        <v/>
      </c>
      <c r="P129" s="390" t="str">
        <f t="shared" si="34"/>
        <v/>
      </c>
      <c r="V129" s="386"/>
      <c r="Y129" t="str">
        <f t="shared" si="37"/>
        <v>\I:</v>
      </c>
      <c r="Z129" t="str">
        <f ca="1" t="shared" si="38"/>
        <v>ICE CNG LCV -- 00%</v>
      </c>
      <c r="AA129" s="388" t="s">
        <v>84</v>
      </c>
      <c r="AB129" s="388" t="s">
        <v>85</v>
      </c>
    </row>
    <row r="130" spans="2:28">
      <c r="B130" s="44" t="s">
        <v>108</v>
      </c>
      <c r="J130" t="str">
        <f t="shared" si="30"/>
        <v>Trd_lcv_cng</v>
      </c>
      <c r="K130" t="str">
        <f t="shared" si="26"/>
        <v>\I:</v>
      </c>
      <c r="L130" t="str">
        <f t="shared" si="27"/>
        <v>\I:</v>
      </c>
      <c r="M130" s="390" t="str">
        <f t="shared" si="31"/>
        <v/>
      </c>
      <c r="N130" s="390" t="str">
        <f t="shared" si="32"/>
        <v/>
      </c>
      <c r="O130" s="390" t="str">
        <f t="shared" si="33"/>
        <v/>
      </c>
      <c r="P130" s="390" t="str">
        <f t="shared" si="34"/>
        <v/>
      </c>
      <c r="V130" s="386"/>
      <c r="Y130" t="str">
        <f t="shared" si="37"/>
        <v>\I:</v>
      </c>
      <c r="Z130" t="str">
        <f ca="1" t="shared" si="38"/>
        <v>ICE CNG LCV -- Reference values for LPG LCV</v>
      </c>
      <c r="AA130" s="388" t="s">
        <v>84</v>
      </c>
      <c r="AB130" s="388" t="s">
        <v>85</v>
      </c>
    </row>
    <row r="131" spans="2:28">
      <c r="B131" s="45">
        <v>2015</v>
      </c>
      <c r="C131" s="381"/>
      <c r="D131" s="45"/>
      <c r="J131" t="str">
        <f t="shared" si="30"/>
        <v>Trd_lcv_cng</v>
      </c>
      <c r="K131" t="str">
        <f t="shared" si="26"/>
        <v>\I:</v>
      </c>
      <c r="L131" t="str">
        <f t="shared" si="27"/>
        <v>\I:</v>
      </c>
      <c r="M131" s="390" t="str">
        <f t="shared" si="31"/>
        <v/>
      </c>
      <c r="N131" s="390" t="str">
        <f t="shared" si="32"/>
        <v/>
      </c>
      <c r="O131" s="390" t="str">
        <f t="shared" si="33"/>
        <v/>
      </c>
      <c r="P131" s="390" t="str">
        <f t="shared" si="34"/>
        <v/>
      </c>
      <c r="V131" s="386"/>
      <c r="Y131" t="str">
        <f t="shared" si="37"/>
        <v>\I:</v>
      </c>
      <c r="Z131" t="str">
        <f ca="1" t="shared" si="38"/>
        <v>ICE CNG LCV -- 201500%</v>
      </c>
      <c r="AA131" s="388" t="s">
        <v>84</v>
      </c>
      <c r="AB131" s="388" t="s">
        <v>85</v>
      </c>
    </row>
    <row r="132" spans="2:28">
      <c r="B132" s="46" t="s">
        <v>12</v>
      </c>
      <c r="C132" s="47" t="s">
        <v>13</v>
      </c>
      <c r="D132" s="48">
        <v>8.86604977915874</v>
      </c>
      <c r="G132" s="75">
        <f>D132*$F$10/100*10^9/10^6</f>
        <v>2.26882213848672</v>
      </c>
      <c r="H132" s="75"/>
      <c r="I132" s="382">
        <f>1/G132</f>
        <v>0.440757335287194</v>
      </c>
      <c r="J132" t="str">
        <f t="shared" si="30"/>
        <v>Trd_lcv_cng</v>
      </c>
      <c r="K132" t="str">
        <f t="shared" si="26"/>
        <v>\I:</v>
      </c>
      <c r="L132" t="str">
        <f t="shared" si="27"/>
        <v>\I:</v>
      </c>
      <c r="M132" s="390" t="str">
        <f t="shared" si="31"/>
        <v/>
      </c>
      <c r="N132" s="390" t="str">
        <f t="shared" si="32"/>
        <v/>
      </c>
      <c r="O132" s="390" t="str">
        <f t="shared" si="33"/>
        <v/>
      </c>
      <c r="P132" s="390" t="str">
        <f t="shared" si="34"/>
        <v/>
      </c>
      <c r="V132" s="386"/>
      <c r="Y132" t="str">
        <f t="shared" si="37"/>
        <v>\I:</v>
      </c>
      <c r="Z132" t="str">
        <f ca="1" t="shared" si="38"/>
        <v>ICE CNG LCV -- Energy consumption</v>
      </c>
      <c r="AA132" s="388" t="s">
        <v>84</v>
      </c>
      <c r="AB132" s="388" t="s">
        <v>85</v>
      </c>
    </row>
    <row r="133" spans="2:28">
      <c r="B133" s="46" t="s">
        <v>14</v>
      </c>
      <c r="C133" s="47" t="s">
        <v>15</v>
      </c>
      <c r="D133" s="68">
        <v>18928.9953800185</v>
      </c>
      <c r="I133" s="393" t="s">
        <v>70</v>
      </c>
      <c r="J133" t="str">
        <f t="shared" si="30"/>
        <v>Trd_lcv_cng</v>
      </c>
      <c r="K133" t="str">
        <f t="shared" si="26"/>
        <v>\I:</v>
      </c>
      <c r="L133" t="str">
        <f t="shared" si="27"/>
        <v>\I:</v>
      </c>
      <c r="M133" s="390" t="str">
        <f t="shared" si="31"/>
        <v/>
      </c>
      <c r="N133" s="390" t="str">
        <f t="shared" si="32"/>
        <v/>
      </c>
      <c r="O133" s="390" t="str">
        <f t="shared" si="33"/>
        <v/>
      </c>
      <c r="P133" s="390" t="str">
        <f t="shared" si="34"/>
        <v/>
      </c>
      <c r="V133" s="386"/>
      <c r="Y133" t="str">
        <f t="shared" si="37"/>
        <v>\I:</v>
      </c>
      <c r="Z133" t="str">
        <f ca="1" t="shared" si="38"/>
        <v>ICE CNG LCV -- Capital cost</v>
      </c>
      <c r="AA133" s="388" t="s">
        <v>84</v>
      </c>
      <c r="AB133" s="388" t="s">
        <v>85</v>
      </c>
    </row>
    <row r="134" spans="2:28">
      <c r="J134" t="str">
        <f t="shared" si="30"/>
        <v>Trd_lcv_cng</v>
      </c>
      <c r="K134" t="str">
        <f t="shared" si="26"/>
        <v>\I:</v>
      </c>
      <c r="L134" t="str">
        <f t="shared" si="27"/>
        <v>\I:</v>
      </c>
      <c r="M134" s="390" t="str">
        <f t="shared" si="31"/>
        <v/>
      </c>
      <c r="N134" s="390" t="str">
        <f t="shared" si="32"/>
        <v/>
      </c>
      <c r="O134" s="390" t="str">
        <f t="shared" si="33"/>
        <v/>
      </c>
      <c r="P134" s="390" t="str">
        <f t="shared" si="34"/>
        <v/>
      </c>
      <c r="V134" s="386"/>
      <c r="Y134" t="str">
        <f t="shared" si="37"/>
        <v>\I:</v>
      </c>
      <c r="Z134" t="str">
        <f ca="1" t="shared" si="38"/>
        <v>ICE CNG LCV -- 00%</v>
      </c>
      <c r="AA134" s="388" t="s">
        <v>84</v>
      </c>
      <c r="AB134" s="388" t="s">
        <v>85</v>
      </c>
    </row>
    <row r="135" ht="15" customHeight="1" spans="2:28">
      <c r="B135" s="49" t="s">
        <v>91</v>
      </c>
      <c r="C135" s="387" t="s">
        <v>102</v>
      </c>
      <c r="D135" s="49"/>
      <c r="E135" s="49"/>
      <c r="F135" s="49"/>
      <c r="J135" t="str">
        <f t="shared" si="30"/>
        <v>\I:Trd_lcv_lpg</v>
      </c>
      <c r="K135" t="str">
        <f t="shared" si="26"/>
        <v>\I:</v>
      </c>
      <c r="L135" t="str">
        <f t="shared" si="27"/>
        <v>\I:</v>
      </c>
      <c r="M135" s="390" t="str">
        <f t="shared" si="31"/>
        <v/>
      </c>
      <c r="N135" s="390" t="str">
        <f t="shared" si="32"/>
        <v/>
      </c>
      <c r="O135" s="390" t="str">
        <f t="shared" si="33"/>
        <v/>
      </c>
      <c r="P135" s="390" t="str">
        <f t="shared" si="34"/>
        <v/>
      </c>
      <c r="V135" s="386"/>
      <c r="Y135" t="str">
        <f t="shared" si="37"/>
        <v>\I:</v>
      </c>
      <c r="Z135" t="str">
        <f ca="1" t="shared" si="38"/>
        <v>ICE LPG LCV -- Reduction of specific energy consumption relative to 2015 LPG vehicle (%)</v>
      </c>
      <c r="AA135" s="388" t="s">
        <v>84</v>
      </c>
      <c r="AB135" s="388" t="s">
        <v>85</v>
      </c>
    </row>
    <row r="136" spans="2:28">
      <c r="B136" s="49"/>
      <c r="C136" s="387"/>
      <c r="D136" s="49"/>
      <c r="E136" s="49"/>
      <c r="F136" s="49"/>
      <c r="J136" t="str">
        <f t="shared" si="30"/>
        <v>\I:Trd_lcv_lpg</v>
      </c>
      <c r="K136" t="str">
        <f t="shared" si="26"/>
        <v>\I:</v>
      </c>
      <c r="L136" t="str">
        <f t="shared" si="27"/>
        <v>\I:</v>
      </c>
      <c r="M136" s="390" t="str">
        <f t="shared" si="31"/>
        <v/>
      </c>
      <c r="N136" s="390" t="str">
        <f t="shared" si="32"/>
        <v/>
      </c>
      <c r="O136" s="390" t="str">
        <f t="shared" si="33"/>
        <v/>
      </c>
      <c r="P136" s="390" t="str">
        <f t="shared" si="34"/>
        <v/>
      </c>
      <c r="V136" s="386"/>
      <c r="Y136" t="str">
        <f t="shared" si="37"/>
        <v>\I:</v>
      </c>
      <c r="Z136" t="str">
        <f ca="1" t="shared" si="38"/>
        <v>ICE LPG LCV -- 00%</v>
      </c>
      <c r="AA136" s="388" t="s">
        <v>84</v>
      </c>
      <c r="AB136" s="388" t="s">
        <v>85</v>
      </c>
    </row>
    <row r="137" spans="2:28">
      <c r="B137" s="49"/>
      <c r="C137" s="387"/>
      <c r="D137" s="49"/>
      <c r="E137" s="49"/>
      <c r="F137" s="49"/>
      <c r="J137" t="str">
        <f t="shared" si="30"/>
        <v>\I:Trd_lcv_lpg</v>
      </c>
      <c r="K137" t="str">
        <f t="shared" si="26"/>
        <v>\I:</v>
      </c>
      <c r="L137" t="str">
        <f t="shared" si="27"/>
        <v>\I:</v>
      </c>
      <c r="M137" s="390" t="str">
        <f t="shared" si="31"/>
        <v/>
      </c>
      <c r="N137" s="390" t="str">
        <f t="shared" si="32"/>
        <v/>
      </c>
      <c r="O137" s="390" t="str">
        <f t="shared" si="33"/>
        <v/>
      </c>
      <c r="P137" s="390" t="str">
        <f t="shared" si="34"/>
        <v/>
      </c>
      <c r="V137" s="386"/>
      <c r="Y137" t="str">
        <f t="shared" si="37"/>
        <v>\I:</v>
      </c>
      <c r="Z137" t="str">
        <f ca="1" t="shared" si="38"/>
        <v>ICE LPG LCV -- 00%</v>
      </c>
      <c r="AA137" s="388" t="s">
        <v>84</v>
      </c>
      <c r="AB137" s="388" t="s">
        <v>85</v>
      </c>
    </row>
    <row r="138" spans="2:28">
      <c r="B138" s="88"/>
      <c r="C138" s="426">
        <v>2020</v>
      </c>
      <c r="D138" s="51">
        <v>2030</v>
      </c>
      <c r="E138" s="51">
        <v>2040</v>
      </c>
      <c r="F138" s="51">
        <v>2050</v>
      </c>
      <c r="J138" t="str">
        <f t="shared" si="30"/>
        <v>\I:Trd_lcv_lpg</v>
      </c>
      <c r="K138" t="str">
        <f t="shared" si="26"/>
        <v>\I:</v>
      </c>
      <c r="L138" t="str">
        <f t="shared" si="27"/>
        <v>\I:</v>
      </c>
      <c r="M138" s="390" t="str">
        <f t="shared" si="31"/>
        <v/>
      </c>
      <c r="N138" s="390" t="str">
        <f t="shared" si="32"/>
        <v/>
      </c>
      <c r="O138" s="390" t="str">
        <f t="shared" si="33"/>
        <v/>
      </c>
      <c r="P138" s="390" t="str">
        <f t="shared" si="34"/>
        <v/>
      </c>
      <c r="V138" s="386"/>
      <c r="Y138" t="str">
        <f t="shared" si="37"/>
        <v>\I:</v>
      </c>
      <c r="Z138" t="str">
        <f ca="1" t="shared" si="38"/>
        <v>ICE LPG LCV -- 00%</v>
      </c>
      <c r="AA138" s="388" t="s">
        <v>84</v>
      </c>
      <c r="AB138" s="388" t="s">
        <v>85</v>
      </c>
    </row>
    <row r="139" spans="2:28">
      <c r="B139" s="85">
        <v>0.145560583753408</v>
      </c>
      <c r="C139" s="428">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90">
        <f t="shared" si="31"/>
        <v>19399.6146612433</v>
      </c>
      <c r="N139" s="390">
        <f t="shared" si="32"/>
        <v>18938.4434521105</v>
      </c>
      <c r="O139" s="390">
        <f t="shared" si="33"/>
        <v>18938.4434521105</v>
      </c>
      <c r="P139" s="390">
        <f t="shared" si="34"/>
        <v>18938.4434521105</v>
      </c>
      <c r="Q139">
        <f t="shared" ref="Q139:Q146" si="41">P139</f>
        <v>18938.4434521105</v>
      </c>
      <c r="R139">
        <v>3</v>
      </c>
      <c r="V139" s="386"/>
      <c r="Y139" t="str">
        <f t="shared" si="37"/>
        <v>\I:Trd_lcv_lpg_15</v>
      </c>
      <c r="Z139" t="str">
        <f ca="1" t="shared" si="38"/>
        <v>ICE LPG LCV -- 15%</v>
      </c>
      <c r="AA139" s="388" t="s">
        <v>84</v>
      </c>
      <c r="AB139" s="388" t="s">
        <v>85</v>
      </c>
    </row>
    <row r="140" spans="2:28">
      <c r="B140" s="85">
        <v>0.245560583753408</v>
      </c>
      <c r="C140" s="428">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90">
        <f t="shared" si="31"/>
        <v>20764.4484941009</v>
      </c>
      <c r="N140" s="390">
        <f t="shared" si="32"/>
        <v>19487.6174087638</v>
      </c>
      <c r="O140" s="390">
        <f t="shared" si="33"/>
        <v>19487.6174087638</v>
      </c>
      <c r="P140" s="390">
        <f t="shared" si="34"/>
        <v>19487.6174087638</v>
      </c>
      <c r="Q140">
        <f t="shared" si="41"/>
        <v>19487.6174087638</v>
      </c>
      <c r="R140">
        <v>3</v>
      </c>
      <c r="V140" s="386"/>
      <c r="Y140" t="str">
        <f t="shared" si="37"/>
        <v>\I:Trd_lcv_lpg_25</v>
      </c>
      <c r="Z140" t="str">
        <f ca="1" t="shared" si="38"/>
        <v>ICE LPG LCV -- 25%</v>
      </c>
      <c r="AA140" s="388" t="s">
        <v>84</v>
      </c>
      <c r="AB140" s="388" t="s">
        <v>85</v>
      </c>
    </row>
    <row r="141" spans="2:28">
      <c r="B141" s="85">
        <v>0.345560583753408</v>
      </c>
      <c r="C141" s="428">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90">
        <f t="shared" si="31"/>
        <v>25848.6206600321</v>
      </c>
      <c r="N141" s="390">
        <f t="shared" si="32"/>
        <v>20715.397608066</v>
      </c>
      <c r="O141" s="390">
        <f t="shared" si="33"/>
        <v>20715.397608066</v>
      </c>
      <c r="P141" s="390">
        <f t="shared" si="34"/>
        <v>20715.397608066</v>
      </c>
      <c r="Q141">
        <f t="shared" si="41"/>
        <v>20715.397608066</v>
      </c>
      <c r="R141">
        <v>3</v>
      </c>
      <c r="V141" s="386"/>
      <c r="Y141" t="str">
        <f t="shared" si="37"/>
        <v>\I:Trd_lcv_lpg_35</v>
      </c>
      <c r="Z141" t="str">
        <f ca="1" t="shared" si="38"/>
        <v>ICE LPG LCV -- 35%</v>
      </c>
      <c r="AA141" s="388" t="s">
        <v>84</v>
      </c>
      <c r="AB141" s="388" t="s">
        <v>85</v>
      </c>
    </row>
    <row r="142" spans="2:28">
      <c r="B142" s="85">
        <v>0.395560583753408</v>
      </c>
      <c r="C142" s="428">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90">
        <f t="shared" si="31"/>
        <v>34296.039017116</v>
      </c>
      <c r="N142" s="390">
        <f t="shared" si="32"/>
        <v>23079.4941532488</v>
      </c>
      <c r="O142" s="390">
        <f t="shared" si="33"/>
        <v>23079.4941532488</v>
      </c>
      <c r="P142" s="390">
        <f t="shared" si="34"/>
        <v>23079.4941532488</v>
      </c>
      <c r="Q142">
        <f t="shared" si="41"/>
        <v>23079.4941532488</v>
      </c>
      <c r="R142">
        <v>3</v>
      </c>
      <c r="V142" s="386"/>
      <c r="Y142" t="str">
        <f t="shared" si="37"/>
        <v>\I:Trd_lcv_lpg_40</v>
      </c>
      <c r="Z142" t="str">
        <f ca="1" t="shared" si="38"/>
        <v>ICE LPG LCV -- 40%</v>
      </c>
      <c r="AA142" s="388" t="s">
        <v>84</v>
      </c>
      <c r="AB142" s="388" t="s">
        <v>85</v>
      </c>
    </row>
    <row r="143" spans="2:28">
      <c r="B143" s="85">
        <v>0.445560583753408</v>
      </c>
      <c r="C143" s="428">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90">
        <f t="shared" si="31"/>
        <v>101110.720163391</v>
      </c>
      <c r="N143" s="390">
        <f t="shared" si="32"/>
        <v>28509.3477890172</v>
      </c>
      <c r="O143" s="390">
        <f t="shared" si="33"/>
        <v>28509.3477890172</v>
      </c>
      <c r="P143" s="390">
        <f t="shared" si="34"/>
        <v>28509.3477890172</v>
      </c>
      <c r="Q143">
        <f t="shared" si="41"/>
        <v>28509.3477890172</v>
      </c>
      <c r="R143">
        <v>3</v>
      </c>
      <c r="V143" s="386"/>
      <c r="Y143" t="str">
        <f t="shared" si="37"/>
        <v>\I:Trd_lcv_lpg_45</v>
      </c>
      <c r="Z143" t="str">
        <f ca="1" t="shared" si="38"/>
        <v>ICE LPG LCV -- 45%</v>
      </c>
      <c r="AA143" s="388" t="s">
        <v>84</v>
      </c>
      <c r="AB143" s="388" t="s">
        <v>85</v>
      </c>
    </row>
    <row r="144" spans="2:28">
      <c r="D144" s="97"/>
      <c r="E144" s="97"/>
      <c r="F144" s="97"/>
      <c r="J144" t="str">
        <f t="shared" si="30"/>
        <v>\I:Trd_lcv_lpg</v>
      </c>
      <c r="K144" t="str">
        <f t="shared" si="26"/>
        <v>\I:</v>
      </c>
      <c r="L144" t="str">
        <f t="shared" si="27"/>
        <v>\I:</v>
      </c>
      <c r="M144" s="390" t="str">
        <f t="shared" si="31"/>
        <v/>
      </c>
      <c r="N144" s="390" t="str">
        <f t="shared" si="32"/>
        <v/>
      </c>
      <c r="O144" s="390" t="str">
        <f t="shared" si="33"/>
        <v/>
      </c>
      <c r="P144" s="390" t="str">
        <f t="shared" si="34"/>
        <v/>
      </c>
      <c r="Q144" t="str">
        <f t="shared" si="41"/>
        <v/>
      </c>
      <c r="V144" s="386"/>
      <c r="Y144" t="str">
        <f t="shared" ref="Y144:Y178" si="42">K144</f>
        <v>\I:</v>
      </c>
      <c r="Z144" t="str">
        <f ca="1" t="shared" ref="Z144:Z155" si="43">OFFSET($W$1,MATCH(J144,$W$1:$W$10,0)-1,-1)&amp;" -- "&amp;TEXT(B144,"00%")</f>
        <v>ICE LPG LCV -- 00%</v>
      </c>
      <c r="AA144" s="388" t="s">
        <v>84</v>
      </c>
      <c r="AB144" s="388" t="s">
        <v>85</v>
      </c>
    </row>
    <row r="145" spans="2:28">
      <c r="D145" s="97"/>
      <c r="E145" s="97"/>
      <c r="F145" s="97"/>
      <c r="J145" t="str">
        <f t="shared" si="30"/>
        <v>\I:Trd_lcv_lpg</v>
      </c>
      <c r="K145" t="str">
        <f t="shared" ref="K145:K170" si="44">IFERROR(IF(VALUE(C145)&gt;2020,J145&amp;"_"&amp;TEXT(B145*100,"00"),"\I:"),"\I:")</f>
        <v>\I:</v>
      </c>
      <c r="L145" t="str">
        <f t="shared" ref="L145:L178" si="45">LEFT(K145,7)</f>
        <v>\I:</v>
      </c>
      <c r="M145" s="390" t="str">
        <f t="shared" si="31"/>
        <v/>
      </c>
      <c r="N145" s="390" t="str">
        <f t="shared" si="32"/>
        <v/>
      </c>
      <c r="O145" s="390" t="str">
        <f t="shared" si="33"/>
        <v/>
      </c>
      <c r="P145" s="390" t="str">
        <f t="shared" si="34"/>
        <v/>
      </c>
      <c r="Q145" t="str">
        <f t="shared" si="41"/>
        <v/>
      </c>
      <c r="V145" s="386"/>
      <c r="Y145" t="str">
        <f t="shared" si="42"/>
        <v>\I:</v>
      </c>
      <c r="Z145" t="str">
        <f ca="1" t="shared" si="43"/>
        <v>ICE LPG LCV -- 00%</v>
      </c>
      <c r="AA145" s="388" t="s">
        <v>84</v>
      </c>
      <c r="AB145" s="388" t="s">
        <v>85</v>
      </c>
    </row>
    <row r="146" spans="2:28">
      <c r="J146" t="str">
        <f t="shared" si="30"/>
        <v>\I:Trd_lcv_lpg</v>
      </c>
      <c r="K146" t="str">
        <f t="shared" si="44"/>
        <v>\I:</v>
      </c>
      <c r="L146" t="str">
        <f t="shared" si="45"/>
        <v>\I:</v>
      </c>
      <c r="M146" s="390" t="str">
        <f t="shared" si="31"/>
        <v/>
      </c>
      <c r="N146" s="390" t="str">
        <f t="shared" si="32"/>
        <v/>
      </c>
      <c r="O146" s="390" t="str">
        <f t="shared" si="33"/>
        <v/>
      </c>
      <c r="P146" s="390" t="str">
        <f t="shared" si="34"/>
        <v/>
      </c>
      <c r="Q146" t="str">
        <f t="shared" si="41"/>
        <v/>
      </c>
      <c r="V146" s="386"/>
      <c r="Y146" t="str">
        <f t="shared" si="42"/>
        <v>\I:</v>
      </c>
      <c r="Z146" t="str">
        <f ca="1" t="shared" si="43"/>
        <v>ICE LPG LCV -- 00%</v>
      </c>
      <c r="AA146" s="388" t="s">
        <v>84</v>
      </c>
      <c r="AB146" s="388" t="s">
        <v>85</v>
      </c>
    </row>
    <row r="147" spans="2:28">
      <c r="J147" t="str">
        <f t="shared" si="30"/>
        <v>\I:Trd_lcv_lpg</v>
      </c>
      <c r="K147" t="str">
        <f t="shared" si="44"/>
        <v>\I:</v>
      </c>
      <c r="L147" t="str">
        <f t="shared" si="45"/>
        <v>\I:</v>
      </c>
      <c r="M147" s="390" t="str">
        <f t="shared" si="31"/>
        <v/>
      </c>
      <c r="N147" s="390" t="str">
        <f t="shared" si="32"/>
        <v/>
      </c>
      <c r="O147" s="390" t="str">
        <f t="shared" si="33"/>
        <v/>
      </c>
      <c r="P147" s="390" t="str">
        <f t="shared" si="34"/>
        <v/>
      </c>
      <c r="V147" s="386"/>
      <c r="Y147" t="str">
        <f t="shared" si="42"/>
        <v>\I:</v>
      </c>
      <c r="Z147" t="str">
        <f ca="1" t="shared" si="43"/>
        <v>ICE LPG LCV -- 00%</v>
      </c>
      <c r="AA147" s="388" t="s">
        <v>84</v>
      </c>
      <c r="AB147" s="388" t="s">
        <v>85</v>
      </c>
    </row>
    <row r="148" spans="2:28">
      <c r="J148" t="str">
        <f t="shared" ref="J148:J178" si="46">IFERROR(VLOOKUP(C148,$V$1:$W$10,2,FALSE),J147)</f>
        <v>\I:Trd_lcv_lpg</v>
      </c>
      <c r="K148" t="str">
        <f t="shared" si="44"/>
        <v>\I:</v>
      </c>
      <c r="L148" t="str">
        <f t="shared" si="45"/>
        <v>\I:</v>
      </c>
      <c r="M148" s="390" t="str">
        <f t="shared" si="31"/>
        <v/>
      </c>
      <c r="N148" s="390" t="str">
        <f t="shared" si="32"/>
        <v/>
      </c>
      <c r="O148" s="390" t="str">
        <f t="shared" si="33"/>
        <v/>
      </c>
      <c r="P148" s="390" t="str">
        <f t="shared" si="34"/>
        <v/>
      </c>
      <c r="V148" s="386"/>
      <c r="Y148" t="str">
        <f t="shared" si="42"/>
        <v>\I:</v>
      </c>
      <c r="Z148" t="str">
        <f ca="1" t="shared" si="43"/>
        <v>ICE LPG LCV -- 00%</v>
      </c>
      <c r="AA148" s="388" t="s">
        <v>84</v>
      </c>
      <c r="AB148" s="388" t="s">
        <v>85</v>
      </c>
    </row>
    <row r="149" spans="2:28">
      <c r="B149" s="45">
        <v>2020</v>
      </c>
      <c r="C149" s="381"/>
      <c r="D149" s="45"/>
      <c r="J149" t="str">
        <f t="shared" si="46"/>
        <v>\I:Trd_lcv_lpg</v>
      </c>
      <c r="K149" t="str">
        <f t="shared" si="44"/>
        <v>\I:</v>
      </c>
      <c r="L149" t="str">
        <f t="shared" si="45"/>
        <v>\I:</v>
      </c>
      <c r="M149" s="390" t="str">
        <f t="shared" si="31"/>
        <v/>
      </c>
      <c r="N149" s="390" t="str">
        <f t="shared" si="32"/>
        <v/>
      </c>
      <c r="O149" s="390" t="str">
        <f t="shared" si="33"/>
        <v/>
      </c>
      <c r="P149" s="390" t="str">
        <f t="shared" si="34"/>
        <v/>
      </c>
      <c r="V149" s="386"/>
      <c r="Y149" t="str">
        <f t="shared" si="42"/>
        <v>\I:</v>
      </c>
      <c r="Z149" t="str">
        <f ca="1" t="shared" si="43"/>
        <v>ICE LPG LCV -- 202000%</v>
      </c>
      <c r="AA149" s="388" t="s">
        <v>84</v>
      </c>
      <c r="AB149" s="388" t="s">
        <v>85</v>
      </c>
    </row>
    <row r="150" spans="2:28">
      <c r="B150" s="46" t="s">
        <v>109</v>
      </c>
      <c r="C150" s="47" t="s">
        <v>26</v>
      </c>
      <c r="D150" s="74">
        <v>0.17</v>
      </c>
      <c r="G150" s="75">
        <f>D150/3.6/100*10^9/10^6</f>
        <v>0.472222222222222</v>
      </c>
      <c r="H150" s="75"/>
      <c r="I150" s="409">
        <f>1/G150-1</f>
        <v>1.11764705882353</v>
      </c>
      <c r="J150" t="str">
        <f t="shared" si="46"/>
        <v>\I:Trd_lcv_lpg</v>
      </c>
      <c r="K150" t="str">
        <f t="shared" si="44"/>
        <v>\I:</v>
      </c>
      <c r="L150" t="str">
        <f t="shared" si="45"/>
        <v>\I:</v>
      </c>
      <c r="M150" s="390" t="str">
        <f t="shared" si="31"/>
        <v/>
      </c>
      <c r="N150" s="390" t="str">
        <f t="shared" si="32"/>
        <v/>
      </c>
      <c r="O150" s="390" t="str">
        <f t="shared" si="33"/>
        <v/>
      </c>
      <c r="P150" s="390" t="str">
        <f t="shared" si="34"/>
        <v/>
      </c>
      <c r="V150" s="386"/>
      <c r="Y150" t="str">
        <f t="shared" si="42"/>
        <v>\I:</v>
      </c>
      <c r="Z150" t="str">
        <f ca="1" t="shared" si="43"/>
        <v>ICE LPG LCV -- Energy consumption of Battery electric LCV</v>
      </c>
      <c r="AA150" s="388" t="s">
        <v>84</v>
      </c>
      <c r="AB150" s="388" t="s">
        <v>85</v>
      </c>
    </row>
    <row r="151" spans="2:28">
      <c r="I151" s="393" t="s">
        <v>70</v>
      </c>
      <c r="J151" t="str">
        <f t="shared" si="46"/>
        <v>\I:Trd_lcv_lpg</v>
      </c>
      <c r="K151" t="str">
        <f t="shared" si="44"/>
        <v>\I:</v>
      </c>
      <c r="L151" t="str">
        <f t="shared" si="45"/>
        <v>\I:</v>
      </c>
      <c r="M151" s="390" t="str">
        <f t="shared" si="31"/>
        <v/>
      </c>
      <c r="N151" s="390" t="str">
        <f t="shared" si="32"/>
        <v/>
      </c>
      <c r="O151" s="390" t="str">
        <f t="shared" si="33"/>
        <v/>
      </c>
      <c r="P151" s="390" t="str">
        <f t="shared" si="34"/>
        <v/>
      </c>
      <c r="V151" s="386"/>
      <c r="Y151" t="str">
        <f t="shared" si="42"/>
        <v>\I:</v>
      </c>
      <c r="Z151" t="str">
        <f ca="1" t="shared" si="43"/>
        <v>ICE LPG LCV -- 00%</v>
      </c>
      <c r="AA151" s="388" t="s">
        <v>84</v>
      </c>
      <c r="AB151" s="388" t="s">
        <v>85</v>
      </c>
    </row>
    <row r="152" ht="15" customHeight="1" spans="2:28">
      <c r="B152" s="49" t="s">
        <v>27</v>
      </c>
      <c r="C152" s="387" t="s">
        <v>104</v>
      </c>
      <c r="D152" s="49"/>
      <c r="E152" s="49"/>
      <c r="F152" s="49"/>
      <c r="J152" t="str">
        <f t="shared" si="46"/>
        <v>Trd_lcv_elc</v>
      </c>
      <c r="K152" t="str">
        <f t="shared" si="44"/>
        <v>\I:</v>
      </c>
      <c r="L152" t="str">
        <f t="shared" si="45"/>
        <v>\I:</v>
      </c>
      <c r="M152" s="390" t="str">
        <f t="shared" si="31"/>
        <v/>
      </c>
      <c r="N152" s="390" t="str">
        <f t="shared" si="32"/>
        <v/>
      </c>
      <c r="O152" s="390" t="str">
        <f t="shared" si="33"/>
        <v/>
      </c>
      <c r="P152" s="390" t="str">
        <f t="shared" si="34"/>
        <v/>
      </c>
      <c r="V152" s="386"/>
      <c r="Y152" t="str">
        <f t="shared" si="42"/>
        <v>\I:</v>
      </c>
      <c r="Z152" t="str">
        <f ca="1" t="shared" si="43"/>
        <v>Battery electric LCV -- Electric range (km)</v>
      </c>
      <c r="AA152" s="388" t="s">
        <v>84</v>
      </c>
      <c r="AB152" s="388" t="s">
        <v>85</v>
      </c>
    </row>
    <row r="153" spans="2:28">
      <c r="B153" s="49"/>
      <c r="C153" s="387"/>
      <c r="D153" s="49"/>
      <c r="E153" s="49"/>
      <c r="F153" s="49"/>
      <c r="J153" t="str">
        <f t="shared" si="46"/>
        <v>Trd_lcv_elc</v>
      </c>
      <c r="K153" t="str">
        <f t="shared" si="44"/>
        <v>\I:</v>
      </c>
      <c r="L153" t="str">
        <f t="shared" si="45"/>
        <v>\I:</v>
      </c>
      <c r="M153" s="390" t="str">
        <f t="shared" si="31"/>
        <v/>
      </c>
      <c r="N153" s="390" t="str">
        <f t="shared" si="32"/>
        <v/>
      </c>
      <c r="O153" s="390" t="str">
        <f t="shared" si="33"/>
        <v/>
      </c>
      <c r="P153" s="390" t="str">
        <f t="shared" si="34"/>
        <v/>
      </c>
      <c r="V153" s="386"/>
      <c r="Y153" t="str">
        <f t="shared" si="42"/>
        <v>\I:</v>
      </c>
      <c r="Z153" t="str">
        <f ca="1" t="shared" si="43"/>
        <v>Battery electric LCV -- 00%</v>
      </c>
      <c r="AA153" s="388" t="s">
        <v>84</v>
      </c>
      <c r="AB153" s="388" t="s">
        <v>85</v>
      </c>
    </row>
    <row r="154" spans="2:28">
      <c r="B154" s="49"/>
      <c r="C154" s="387"/>
      <c r="D154" s="49"/>
      <c r="E154" s="49"/>
      <c r="F154" s="49"/>
      <c r="J154" t="str">
        <f t="shared" si="46"/>
        <v>Trd_lcv_elc</v>
      </c>
      <c r="K154" t="str">
        <f t="shared" si="44"/>
        <v>\I:</v>
      </c>
      <c r="L154" t="str">
        <f t="shared" si="45"/>
        <v>\I:</v>
      </c>
      <c r="M154" s="390" t="str">
        <f t="shared" ref="M154:M178" si="47">IF($K154="\I:","",C154)</f>
        <v/>
      </c>
      <c r="N154" s="390" t="str">
        <f t="shared" ref="N154:N178" si="48">IF($K154="\I:","",D154)</f>
        <v/>
      </c>
      <c r="O154" s="390" t="str">
        <f t="shared" ref="O154:O178" si="49">IF($K154="\I:","",E154)</f>
        <v/>
      </c>
      <c r="P154" s="390" t="str">
        <f t="shared" ref="P154:P178" si="50">IF($K154="\I:","",F154)</f>
        <v/>
      </c>
      <c r="V154" s="386"/>
      <c r="Y154" t="str">
        <f t="shared" si="42"/>
        <v>\I:</v>
      </c>
      <c r="Z154" t="str">
        <f ca="1" t="shared" si="43"/>
        <v>Battery electric LCV -- 00%</v>
      </c>
      <c r="AA154" s="388" t="s">
        <v>84</v>
      </c>
      <c r="AB154" s="388" t="s">
        <v>85</v>
      </c>
    </row>
    <row r="155" spans="2:28">
      <c r="B155" s="88"/>
      <c r="C155" s="426">
        <v>2020</v>
      </c>
      <c r="D155" s="51">
        <v>2030</v>
      </c>
      <c r="E155" s="51">
        <v>2040</v>
      </c>
      <c r="F155" s="51">
        <v>2050</v>
      </c>
      <c r="J155" t="str">
        <f t="shared" si="46"/>
        <v>Trd_lcv_elc</v>
      </c>
      <c r="K155" t="str">
        <f t="shared" si="44"/>
        <v>\I:</v>
      </c>
      <c r="L155" t="str">
        <f t="shared" si="45"/>
        <v>\I:</v>
      </c>
      <c r="M155" s="390" t="str">
        <f t="shared" si="47"/>
        <v/>
      </c>
      <c r="N155" s="390" t="str">
        <f t="shared" si="48"/>
        <v/>
      </c>
      <c r="O155" s="390" t="str">
        <f t="shared" si="49"/>
        <v/>
      </c>
      <c r="P155" s="390" t="str">
        <f t="shared" si="50"/>
        <v/>
      </c>
      <c r="V155" s="386"/>
      <c r="Y155" t="str">
        <f t="shared" si="42"/>
        <v>\I:</v>
      </c>
      <c r="Z155" t="str">
        <f ca="1" t="shared" si="43"/>
        <v>Battery electric LCV -- 00%</v>
      </c>
      <c r="AA155" s="388" t="s">
        <v>84</v>
      </c>
      <c r="AB155" s="388" t="s">
        <v>85</v>
      </c>
    </row>
    <row r="156" ht="15" customHeight="1" spans="2:28">
      <c r="B156" s="66">
        <v>120</v>
      </c>
      <c r="C156" s="428">
        <v>22060.8898906779</v>
      </c>
      <c r="D156" s="86">
        <v>18978.0198753824</v>
      </c>
      <c r="E156" s="86">
        <v>18465.8673516113</v>
      </c>
      <c r="F156" s="86">
        <v>18288.5087647105</v>
      </c>
      <c r="I156" s="394">
        <f>$I$150/$I$11</f>
        <v>2.99867820102892</v>
      </c>
      <c r="J156" t="str">
        <f t="shared" si="46"/>
        <v>Trd_lcv_elc</v>
      </c>
      <c r="K156" t="str">
        <f>IFERROR(IF(VALUE(C156)&gt;2020,J156&amp;"_"&amp;TEXT(B156,"000"),"\I:"),"\I:")</f>
        <v>Trd_lcv_elc_120</v>
      </c>
      <c r="L156" t="str">
        <f t="shared" si="45"/>
        <v>Trd_lcv</v>
      </c>
      <c r="M156" s="395">
        <f>IF($K156="\I:","",C156*70%)</f>
        <v>15442.6229234745</v>
      </c>
      <c r="N156" s="395">
        <f>IF($K156="\I:","",D156*70%)</f>
        <v>13284.6139127677</v>
      </c>
      <c r="O156" s="395">
        <f>IF($K156="\I:","",E156*70%)</f>
        <v>12926.1071461279</v>
      </c>
      <c r="P156" s="395">
        <f>IF($K156="\I:","",F156*70%)</f>
        <v>12801.9561352973</v>
      </c>
      <c r="Q156">
        <f t="shared" ref="Q156:Q163" si="51">P156</f>
        <v>12801.9561352973</v>
      </c>
      <c r="R156">
        <v>3</v>
      </c>
      <c r="V156" s="396">
        <v>0.05</v>
      </c>
      <c r="Y156" t="str">
        <f t="shared" si="42"/>
        <v>Trd_lcv_elc_120</v>
      </c>
      <c r="Z156" t="str">
        <f ca="1" t="shared" ref="Z156:Z163" si="52">OFFSET($W$1,MATCH(J156,$W$1:$W$10,0)-1,-1)&amp;" -- "&amp;TEXT(B156,"000")</f>
        <v>Battery electric LCV -- 120</v>
      </c>
      <c r="AA156" s="388" t="s">
        <v>84</v>
      </c>
      <c r="AB156" s="388" t="s">
        <v>85</v>
      </c>
    </row>
    <row r="157" spans="2:28">
      <c r="B157" s="66">
        <v>160</v>
      </c>
      <c r="C157" s="428">
        <v>23847.6536151786</v>
      </c>
      <c r="D157" s="86">
        <v>20088.9351310926</v>
      </c>
      <c r="E157" s="86">
        <v>19214.3984864749</v>
      </c>
      <c r="F157" s="86">
        <v>18911.5461597104</v>
      </c>
      <c r="I157" s="394">
        <f t="shared" ref="I157:I163" si="53">$I$150/$I$11</f>
        <v>2.99867820102892</v>
      </c>
      <c r="J157" t="str">
        <f t="shared" si="46"/>
        <v>Trd_lcv_elc</v>
      </c>
      <c r="K157" t="str">
        <f t="shared" ref="K157:K163" si="54">IFERROR(IF(VALUE(C157)&gt;2020,J157&amp;"_"&amp;TEXT(B157,"000"),"\I:"),"\I:")</f>
        <v>Trd_lcv_elc_160</v>
      </c>
      <c r="L157" t="str">
        <f t="shared" si="45"/>
        <v>Trd_lcv</v>
      </c>
      <c r="M157" s="395">
        <f t="shared" ref="M157:M163" si="55">IF($K157="\I:","",C157*70%)</f>
        <v>16693.357530625</v>
      </c>
      <c r="N157" s="395">
        <f t="shared" ref="N157:N163" si="56">IF($K157="\I:","",D157*70%)</f>
        <v>14062.2545917648</v>
      </c>
      <c r="O157" s="395">
        <f t="shared" ref="O157:O163" si="57">IF($K157="\I:","",E157*70%)</f>
        <v>13450.0789405324</v>
      </c>
      <c r="P157" s="395">
        <f t="shared" ref="P157:P163" si="58">IF($K157="\I:","",F157*70%)</f>
        <v>13238.0823117973</v>
      </c>
      <c r="Q157">
        <f t="shared" si="51"/>
        <v>13238.0823117973</v>
      </c>
      <c r="R157">
        <v>3</v>
      </c>
      <c r="V157" s="396">
        <v>0.05</v>
      </c>
      <c r="Y157" t="str">
        <f t="shared" si="42"/>
        <v>Trd_lcv_elc_160</v>
      </c>
      <c r="Z157" t="str">
        <f ca="1" t="shared" si="52"/>
        <v>Battery electric LCV -- 160</v>
      </c>
      <c r="AA157" s="388" t="s">
        <v>84</v>
      </c>
      <c r="AB157" s="388" t="s">
        <v>85</v>
      </c>
    </row>
    <row r="158" spans="2:28">
      <c r="B158" s="66">
        <v>200</v>
      </c>
      <c r="C158" s="428">
        <v>25634.4173396793</v>
      </c>
      <c r="D158" s="86">
        <v>20759.4262694129</v>
      </c>
      <c r="E158" s="86">
        <v>19666.1732641666</v>
      </c>
      <c r="F158" s="86">
        <v>19287.5793900062</v>
      </c>
      <c r="I158" s="394">
        <f t="shared" si="53"/>
        <v>2.99867820102892</v>
      </c>
      <c r="J158" t="str">
        <f t="shared" si="46"/>
        <v>Trd_lcv_elc</v>
      </c>
      <c r="K158" t="str">
        <f t="shared" si="54"/>
        <v>Trd_lcv_elc_200</v>
      </c>
      <c r="L158" t="str">
        <f t="shared" si="45"/>
        <v>Trd_lcv</v>
      </c>
      <c r="M158" s="395">
        <f t="shared" si="55"/>
        <v>17944.0921377755</v>
      </c>
      <c r="N158" s="395">
        <f t="shared" si="56"/>
        <v>14531.598388589</v>
      </c>
      <c r="O158" s="395">
        <f t="shared" si="57"/>
        <v>13766.3212849166</v>
      </c>
      <c r="P158" s="395">
        <f t="shared" si="58"/>
        <v>13501.3055730043</v>
      </c>
      <c r="Q158">
        <f t="shared" si="51"/>
        <v>13501.3055730043</v>
      </c>
      <c r="R158">
        <v>3</v>
      </c>
      <c r="V158" s="396">
        <v>0.05</v>
      </c>
      <c r="Y158" t="str">
        <f t="shared" si="42"/>
        <v>Trd_lcv_elc_200</v>
      </c>
      <c r="Z158" t="str">
        <f ca="1" t="shared" si="52"/>
        <v>Battery electric LCV -- 200</v>
      </c>
      <c r="AA158" s="388" t="s">
        <v>84</v>
      </c>
      <c r="AB158" s="388" t="s">
        <v>85</v>
      </c>
    </row>
    <row r="159" spans="2:28">
      <c r="B159" s="66">
        <v>250</v>
      </c>
      <c r="C159" s="428">
        <v>27948.3523689399</v>
      </c>
      <c r="D159" s="86">
        <v>21676.7267933811</v>
      </c>
      <c r="E159" s="86">
        <v>20284.2474140061</v>
      </c>
      <c r="F159" s="86">
        <v>19802.031348378</v>
      </c>
      <c r="I159" s="394">
        <f t="shared" si="53"/>
        <v>2.99867820102892</v>
      </c>
      <c r="J159" t="str">
        <f t="shared" si="46"/>
        <v>Trd_lcv_elc</v>
      </c>
      <c r="K159" t="str">
        <f t="shared" si="54"/>
        <v>Trd_lcv_elc_250</v>
      </c>
      <c r="L159" t="str">
        <f t="shared" si="45"/>
        <v>Trd_lcv</v>
      </c>
      <c r="M159" s="395">
        <f t="shared" si="55"/>
        <v>19563.8466582579</v>
      </c>
      <c r="N159" s="395">
        <f t="shared" si="56"/>
        <v>15173.7087553668</v>
      </c>
      <c r="O159" s="395">
        <f t="shared" si="57"/>
        <v>14198.9731898043</v>
      </c>
      <c r="P159" s="395">
        <f t="shared" si="58"/>
        <v>13861.4219438646</v>
      </c>
      <c r="Q159">
        <f t="shared" si="51"/>
        <v>13861.4219438646</v>
      </c>
      <c r="R159">
        <v>3</v>
      </c>
      <c r="V159" s="396">
        <v>0.125</v>
      </c>
      <c r="Y159" t="str">
        <f t="shared" si="42"/>
        <v>Trd_lcv_elc_250</v>
      </c>
      <c r="Z159" t="str">
        <f ca="1" t="shared" si="52"/>
        <v>Battery electric LCV -- 250</v>
      </c>
      <c r="AA159" s="388" t="s">
        <v>84</v>
      </c>
      <c r="AB159" s="388" t="s">
        <v>85</v>
      </c>
    </row>
    <row r="160" spans="2:28">
      <c r="B160" s="66">
        <v>300</v>
      </c>
      <c r="C160" s="428">
        <v>30262.2873982005</v>
      </c>
      <c r="D160" s="86">
        <v>22594.0273173494</v>
      </c>
      <c r="E160" s="86">
        <v>20902.3215638457</v>
      </c>
      <c r="F160" s="86">
        <v>20316.4833067498</v>
      </c>
      <c r="I160" s="394">
        <f t="shared" si="53"/>
        <v>2.99867820102892</v>
      </c>
      <c r="J160" t="str">
        <f t="shared" si="46"/>
        <v>Trd_lcv_elc</v>
      </c>
      <c r="K160" t="str">
        <f t="shared" si="54"/>
        <v>Trd_lcv_elc_300</v>
      </c>
      <c r="L160" t="str">
        <f t="shared" si="45"/>
        <v>Trd_lcv</v>
      </c>
      <c r="M160" s="395">
        <f t="shared" si="55"/>
        <v>21183.6011787403</v>
      </c>
      <c r="N160" s="395">
        <f t="shared" si="56"/>
        <v>15815.8191221446</v>
      </c>
      <c r="O160" s="395">
        <f t="shared" si="57"/>
        <v>14631.625094692</v>
      </c>
      <c r="P160" s="395">
        <f t="shared" si="58"/>
        <v>14221.5383147249</v>
      </c>
      <c r="Q160">
        <f t="shared" si="51"/>
        <v>14221.5383147249</v>
      </c>
      <c r="R160">
        <v>3</v>
      </c>
      <c r="V160" s="396">
        <v>0.15</v>
      </c>
      <c r="Y160" t="str">
        <f t="shared" si="42"/>
        <v>Trd_lcv_elc_300</v>
      </c>
      <c r="Z160" t="str">
        <f ca="1" t="shared" si="52"/>
        <v>Battery electric LCV -- 300</v>
      </c>
      <c r="AA160" s="388" t="s">
        <v>84</v>
      </c>
      <c r="AB160" s="388" t="s">
        <v>85</v>
      </c>
    </row>
    <row r="161" spans="1:28">
      <c r="B161" s="66">
        <v>350</v>
      </c>
      <c r="C161" s="428">
        <v>33408.2814289264</v>
      </c>
      <c r="D161" s="86">
        <v>23702.9684508776</v>
      </c>
      <c r="E161" s="86">
        <v>21525.9824247356</v>
      </c>
      <c r="F161" s="86">
        <v>20835.585345442</v>
      </c>
      <c r="I161" s="394">
        <f t="shared" si="53"/>
        <v>2.99867820102892</v>
      </c>
      <c r="J161" t="str">
        <f t="shared" si="46"/>
        <v>Trd_lcv_elc</v>
      </c>
      <c r="K161" t="str">
        <f t="shared" si="54"/>
        <v>Trd_lcv_elc_350</v>
      </c>
      <c r="L161" t="str">
        <f t="shared" si="45"/>
        <v>Trd_lcv</v>
      </c>
      <c r="M161" s="395">
        <f t="shared" si="55"/>
        <v>23385.7970002485</v>
      </c>
      <c r="N161" s="395">
        <f t="shared" si="56"/>
        <v>16592.0779156143</v>
      </c>
      <c r="O161" s="395">
        <f t="shared" si="57"/>
        <v>15068.1876973149</v>
      </c>
      <c r="P161" s="395">
        <f t="shared" si="58"/>
        <v>14584.9097418094</v>
      </c>
      <c r="Q161">
        <f t="shared" si="51"/>
        <v>14584.9097418094</v>
      </c>
      <c r="R161">
        <v>3</v>
      </c>
      <c r="V161" s="396">
        <v>0.175</v>
      </c>
      <c r="Y161" t="str">
        <f t="shared" si="42"/>
        <v>Trd_lcv_elc_350</v>
      </c>
      <c r="Z161" t="str">
        <f ca="1" t="shared" si="52"/>
        <v>Battery electric LCV -- 350</v>
      </c>
      <c r="AA161" s="388" t="s">
        <v>84</v>
      </c>
      <c r="AB161" s="388" t="s">
        <v>85</v>
      </c>
    </row>
    <row r="162" spans="1:28">
      <c r="B162" s="66">
        <v>400</v>
      </c>
      <c r="C162" s="428">
        <v>36792.6829441682</v>
      </c>
      <c r="D162" s="86">
        <v>24867.4450991613</v>
      </c>
      <c r="E162" s="86">
        <v>22149.6432856255</v>
      </c>
      <c r="F162" s="86">
        <v>21354.6873841341</v>
      </c>
      <c r="I162" s="394">
        <f t="shared" si="53"/>
        <v>2.99867820102892</v>
      </c>
      <c r="J162" t="str">
        <f t="shared" si="46"/>
        <v>Trd_lcv_elc</v>
      </c>
      <c r="K162" t="str">
        <f t="shared" si="54"/>
        <v>Trd_lcv_elc_400</v>
      </c>
      <c r="L162" t="str">
        <f t="shared" si="45"/>
        <v>Trd_lcv</v>
      </c>
      <c r="M162" s="395">
        <f t="shared" si="55"/>
        <v>25754.8780609177</v>
      </c>
      <c r="N162" s="395">
        <f t="shared" si="56"/>
        <v>17407.2115694129</v>
      </c>
      <c r="O162" s="395">
        <f t="shared" si="57"/>
        <v>15504.7502999379</v>
      </c>
      <c r="P162" s="395">
        <f t="shared" si="58"/>
        <v>14948.2811688939</v>
      </c>
      <c r="Q162">
        <f t="shared" si="51"/>
        <v>14948.2811688939</v>
      </c>
      <c r="R162">
        <v>3</v>
      </c>
      <c r="V162" s="396">
        <v>0.2</v>
      </c>
      <c r="Y162" t="str">
        <f t="shared" si="42"/>
        <v>Trd_lcv_elc_400</v>
      </c>
      <c r="Z162" t="str">
        <f ca="1" t="shared" si="52"/>
        <v>Battery electric LCV -- 400</v>
      </c>
      <c r="AA162" s="388" t="s">
        <v>84</v>
      </c>
      <c r="AB162" s="388" t="s">
        <v>85</v>
      </c>
    </row>
    <row r="163" spans="1:28">
      <c r="B163" s="66">
        <v>500</v>
      </c>
      <c r="C163" s="428">
        <v>44276.7084281994</v>
      </c>
      <c r="D163" s="86">
        <v>27629.6574330657</v>
      </c>
      <c r="E163" s="86">
        <v>23636.5244664208</v>
      </c>
      <c r="F163" s="86">
        <v>22392.8914615185</v>
      </c>
      <c r="I163" s="394">
        <f t="shared" si="53"/>
        <v>2.99867820102892</v>
      </c>
      <c r="J163" t="str">
        <f t="shared" si="46"/>
        <v>Trd_lcv_elc</v>
      </c>
      <c r="K163" t="str">
        <f t="shared" si="54"/>
        <v>Trd_lcv_elc_500</v>
      </c>
      <c r="L163" t="str">
        <f t="shared" si="45"/>
        <v>Trd_lcv</v>
      </c>
      <c r="M163" s="395">
        <f t="shared" si="55"/>
        <v>30993.6958997396</v>
      </c>
      <c r="N163" s="395">
        <f t="shared" si="56"/>
        <v>19340.760203146</v>
      </c>
      <c r="O163" s="395">
        <f t="shared" si="57"/>
        <v>16545.5671264946</v>
      </c>
      <c r="P163" s="395">
        <f t="shared" si="58"/>
        <v>15675.0240230629</v>
      </c>
      <c r="Q163">
        <f t="shared" si="51"/>
        <v>15675.0240230629</v>
      </c>
      <c r="R163">
        <v>3</v>
      </c>
      <c r="V163" s="386"/>
      <c r="Y163" t="str">
        <f t="shared" si="42"/>
        <v>Trd_lcv_elc_500</v>
      </c>
      <c r="Z163" t="str">
        <f ca="1" t="shared" si="52"/>
        <v>Battery electric LCV -- 500</v>
      </c>
      <c r="AA163" s="388" t="s">
        <v>84</v>
      </c>
      <c r="AB163" s="388" t="s">
        <v>85</v>
      </c>
    </row>
    <row r="164" spans="1:28">
      <c r="J164" t="str">
        <f t="shared" si="46"/>
        <v>Trd_lcv_elc</v>
      </c>
      <c r="K164" t="str">
        <f t="shared" si="44"/>
        <v>\I:</v>
      </c>
      <c r="L164" t="str">
        <f t="shared" si="45"/>
        <v>\I:</v>
      </c>
      <c r="M164" s="390" t="str">
        <f t="shared" si="47"/>
        <v/>
      </c>
      <c r="N164" s="390" t="str">
        <f t="shared" si="48"/>
        <v/>
      </c>
      <c r="O164" s="390" t="str">
        <f t="shared" si="49"/>
        <v/>
      </c>
      <c r="P164" s="390" t="str">
        <f t="shared" si="50"/>
        <v/>
      </c>
      <c r="V164" s="386"/>
      <c r="Y164" t="str">
        <f t="shared" si="42"/>
        <v>\I:</v>
      </c>
      <c r="Z164" t="str">
        <f ca="1" t="shared" ref="Z164:Z170" si="59">OFFSET($W$1,MATCH(J164,$W$1:$W$10,0)-1,-1)&amp;" -- "&amp;TEXT(B164,"00%")</f>
        <v>Battery electric LCV -- 00%</v>
      </c>
      <c r="AA164" s="388" t="s">
        <v>84</v>
      </c>
      <c r="AB164" s="388" t="s">
        <v>85</v>
      </c>
    </row>
    <row r="165" spans="1:28">
      <c r="J165" t="str">
        <f t="shared" si="46"/>
        <v>Trd_lcv_elc</v>
      </c>
      <c r="K165" t="str">
        <f t="shared" si="44"/>
        <v>\I:</v>
      </c>
      <c r="L165" t="str">
        <f t="shared" si="45"/>
        <v>\I:</v>
      </c>
      <c r="M165" s="390" t="str">
        <f t="shared" si="47"/>
        <v/>
      </c>
      <c r="N165" s="390" t="str">
        <f t="shared" si="48"/>
        <v/>
      </c>
      <c r="O165" s="390" t="str">
        <f t="shared" si="49"/>
        <v/>
      </c>
      <c r="P165" s="390" t="str">
        <f t="shared" si="50"/>
        <v/>
      </c>
      <c r="V165" s="386"/>
      <c r="Y165" t="str">
        <f t="shared" si="42"/>
        <v>\I:</v>
      </c>
      <c r="Z165" t="str">
        <f ca="1" t="shared" si="59"/>
        <v>Battery electric LCV -- 00%</v>
      </c>
      <c r="AA165" s="388" t="s">
        <v>84</v>
      </c>
      <c r="AB165" s="388" t="s">
        <v>85</v>
      </c>
    </row>
    <row r="166" spans="1:28">
      <c r="J166" t="str">
        <f t="shared" si="46"/>
        <v>Trd_lcv_elc</v>
      </c>
      <c r="K166" t="str">
        <f t="shared" si="44"/>
        <v>\I:</v>
      </c>
      <c r="L166" t="str">
        <f t="shared" si="45"/>
        <v>\I:</v>
      </c>
      <c r="M166" s="390" t="str">
        <f t="shared" si="47"/>
        <v/>
      </c>
      <c r="N166" s="390" t="str">
        <f t="shared" si="48"/>
        <v/>
      </c>
      <c r="O166" s="390" t="str">
        <f t="shared" si="49"/>
        <v/>
      </c>
      <c r="P166" s="390" t="str">
        <f t="shared" si="50"/>
        <v/>
      </c>
      <c r="V166" s="386"/>
      <c r="Y166" t="str">
        <f t="shared" si="42"/>
        <v>\I:</v>
      </c>
      <c r="Z166" t="str">
        <f ca="1" t="shared" si="59"/>
        <v>Battery electric LCV -- 00%</v>
      </c>
      <c r="AA166" s="388" t="s">
        <v>84</v>
      </c>
      <c r="AB166" s="388" t="s">
        <v>85</v>
      </c>
    </row>
    <row r="167" ht="15" customHeight="1" spans="1:28">
      <c r="B167" s="49" t="s">
        <v>29</v>
      </c>
      <c r="C167" s="387" t="s">
        <v>105</v>
      </c>
      <c r="D167" s="49"/>
      <c r="E167" s="49"/>
      <c r="F167" s="49"/>
      <c r="J167" t="str">
        <f t="shared" si="46"/>
        <v>Trd_lcv_hh2</v>
      </c>
      <c r="K167" t="str">
        <f t="shared" si="44"/>
        <v>\I:</v>
      </c>
      <c r="L167" t="str">
        <f t="shared" si="45"/>
        <v>\I:</v>
      </c>
      <c r="M167" s="390" t="str">
        <f t="shared" si="47"/>
        <v/>
      </c>
      <c r="N167" s="390" t="str">
        <f t="shared" si="48"/>
        <v/>
      </c>
      <c r="O167" s="390" t="str">
        <f t="shared" si="49"/>
        <v/>
      </c>
      <c r="P167" s="390" t="str">
        <f t="shared" si="50"/>
        <v/>
      </c>
      <c r="V167" s="386"/>
      <c r="Y167" t="str">
        <f t="shared" si="42"/>
        <v>\I:</v>
      </c>
      <c r="Z167" t="str">
        <f ca="1" t="shared" si="59"/>
        <v>Hydrogen fuel cell LCV -- Energy consumption (kg H2/100km)</v>
      </c>
      <c r="AA167" s="388" t="s">
        <v>84</v>
      </c>
      <c r="AB167" s="388" t="s">
        <v>85</v>
      </c>
    </row>
    <row r="168" spans="1:28">
      <c r="B168" s="49"/>
      <c r="C168" s="387"/>
      <c r="D168" s="49"/>
      <c r="E168" s="49"/>
      <c r="F168" s="49"/>
      <c r="J168" t="str">
        <f t="shared" si="46"/>
        <v>Trd_lcv_hh2</v>
      </c>
      <c r="K168" t="str">
        <f t="shared" si="44"/>
        <v>\I:</v>
      </c>
      <c r="L168" t="str">
        <f t="shared" si="45"/>
        <v>\I:</v>
      </c>
      <c r="M168" s="390" t="str">
        <f t="shared" si="47"/>
        <v/>
      </c>
      <c r="N168" s="390" t="str">
        <f t="shared" si="48"/>
        <v/>
      </c>
      <c r="O168" s="390" t="str">
        <f t="shared" si="49"/>
        <v/>
      </c>
      <c r="P168" s="390" t="str">
        <f t="shared" si="50"/>
        <v/>
      </c>
      <c r="V168" s="386"/>
      <c r="Y168" t="str">
        <f t="shared" si="42"/>
        <v>\I:</v>
      </c>
      <c r="Z168" t="str">
        <f ca="1" t="shared" si="59"/>
        <v>Hydrogen fuel cell LCV -- 00%</v>
      </c>
      <c r="AA168" s="388" t="s">
        <v>84</v>
      </c>
      <c r="AB168" s="388" t="s">
        <v>85</v>
      </c>
    </row>
    <row r="169" spans="1:28">
      <c r="B169" s="49"/>
      <c r="C169" s="387"/>
      <c r="D169" s="49"/>
      <c r="E169" s="49"/>
      <c r="F169" s="49"/>
      <c r="J169" t="str">
        <f t="shared" si="46"/>
        <v>Trd_lcv_hh2</v>
      </c>
      <c r="K169" t="str">
        <f t="shared" si="44"/>
        <v>\I:</v>
      </c>
      <c r="L169" t="str">
        <f t="shared" si="45"/>
        <v>\I:</v>
      </c>
      <c r="M169" s="390" t="str">
        <f t="shared" si="47"/>
        <v/>
      </c>
      <c r="N169" s="390" t="str">
        <f t="shared" si="48"/>
        <v/>
      </c>
      <c r="O169" s="390" t="str">
        <f t="shared" si="49"/>
        <v/>
      </c>
      <c r="P169" s="390" t="str">
        <f t="shared" si="50"/>
        <v/>
      </c>
      <c r="V169" s="386"/>
      <c r="Y169" t="str">
        <f t="shared" si="42"/>
        <v>\I:</v>
      </c>
      <c r="Z169" t="str">
        <f ca="1" t="shared" si="59"/>
        <v>Hydrogen fuel cell LCV -- 00%</v>
      </c>
      <c r="AA169" s="388" t="s">
        <v>84</v>
      </c>
      <c r="AB169" s="388" t="s">
        <v>85</v>
      </c>
    </row>
    <row r="170" spans="1:28">
      <c r="B170" s="88"/>
      <c r="C170" s="426">
        <v>2020</v>
      </c>
      <c r="D170" s="51">
        <v>2030</v>
      </c>
      <c r="E170" s="51">
        <v>2040</v>
      </c>
      <c r="F170" s="51">
        <v>2050</v>
      </c>
      <c r="J170" t="str">
        <f t="shared" si="46"/>
        <v>Trd_lcv_hh2</v>
      </c>
      <c r="K170" t="str">
        <f t="shared" si="44"/>
        <v>\I:</v>
      </c>
      <c r="L170" t="str">
        <f t="shared" si="45"/>
        <v>\I:</v>
      </c>
      <c r="M170" s="390" t="str">
        <f t="shared" si="47"/>
        <v/>
      </c>
      <c r="N170" s="390" t="str">
        <f t="shared" si="48"/>
        <v/>
      </c>
      <c r="O170" s="390" t="str">
        <f t="shared" si="49"/>
        <v/>
      </c>
      <c r="P170" s="390" t="str">
        <f t="shared" si="50"/>
        <v/>
      </c>
      <c r="V170" s="386"/>
      <c r="Y170" t="str">
        <f t="shared" si="42"/>
        <v>\I:</v>
      </c>
      <c r="Z170" t="str">
        <f ca="1" t="shared" si="59"/>
        <v>Hydrogen fuel cell LCV -- 00%</v>
      </c>
      <c r="AA170" s="388" t="s">
        <v>84</v>
      </c>
      <c r="AB170" s="388" t="s">
        <v>85</v>
      </c>
    </row>
    <row r="171" spans="1:28">
      <c r="A171" s="75"/>
      <c r="B171" s="430">
        <v>1.20554299239837</v>
      </c>
      <c r="C171" s="428">
        <v>45848.1660768927</v>
      </c>
      <c r="D171" s="86">
        <v>33512.2985132785</v>
      </c>
      <c r="E171" s="86">
        <v>27771.8876812487</v>
      </c>
      <c r="F171" s="86">
        <v>26358.6946408287</v>
      </c>
      <c r="G171" s="75">
        <f>B171*0.12/100*10^9/10^6</f>
        <v>1.44665159087804</v>
      </c>
      <c r="H171" s="75"/>
      <c r="I171" s="382">
        <f>1/G171/$I$11</f>
        <v>1.85464688318633</v>
      </c>
      <c r="J171" t="str">
        <f t="shared" si="46"/>
        <v>Trd_lcv_hh2</v>
      </c>
      <c r="K171" t="str">
        <f>IFERROR(IF(VALUE(C171)&gt;2020,J171&amp;"_"&amp;TEXT(1/B171*100,"00"),"\I:"),"\I:")</f>
        <v>Trd_lcv_hh2_83</v>
      </c>
      <c r="L171" t="str">
        <f t="shared" si="45"/>
        <v>Trd_lcv</v>
      </c>
      <c r="M171" s="390">
        <f t="shared" si="47"/>
        <v>45848.1660768927</v>
      </c>
      <c r="N171" s="390">
        <f t="shared" si="48"/>
        <v>33512.2985132785</v>
      </c>
      <c r="O171" s="390">
        <f t="shared" si="49"/>
        <v>27771.8876812487</v>
      </c>
      <c r="P171" s="390">
        <f t="shared" si="50"/>
        <v>26358.6946408287</v>
      </c>
      <c r="Q171">
        <f t="shared" ref="Q171:Q178" si="60">P171</f>
        <v>26358.6946408287</v>
      </c>
      <c r="R171">
        <v>3</v>
      </c>
      <c r="V171" s="386"/>
      <c r="Y171" t="str">
        <f t="shared" si="42"/>
        <v>Trd_lcv_hh2_83</v>
      </c>
      <c r="Z171" t="str">
        <f ca="1">OFFSET($W$1,MATCH(J171,$W$1:$W$10,0)-1,-1)&amp;" -- "&amp;TEXT(B171,"0.0")</f>
        <v>Hydrogen fuel cell LCV -- 1.2</v>
      </c>
      <c r="AA171" s="388" t="s">
        <v>84</v>
      </c>
      <c r="AB171" s="388" t="s">
        <v>85</v>
      </c>
    </row>
    <row r="172" spans="1:28">
      <c r="A172" s="75"/>
      <c r="B172" s="430">
        <v>1.15387686415272</v>
      </c>
      <c r="C172" s="428">
        <v>46326.8277788115</v>
      </c>
      <c r="D172" s="86">
        <v>33899.2903831972</v>
      </c>
      <c r="E172" s="86">
        <v>28102.7819901918</v>
      </c>
      <c r="F172" s="86">
        <v>26680.6458603409</v>
      </c>
      <c r="G172" s="75">
        <f t="shared" ref="G172:G178" si="61">B172*0.12/100*10^9/10^6</f>
        <v>1.38465223698326</v>
      </c>
      <c r="H172" s="75"/>
      <c r="I172" s="382">
        <f t="shared" ref="I172:I178" si="62">1/G172/$I$11</f>
        <v>1.93769077347827</v>
      </c>
      <c r="J172" t="str">
        <f t="shared" si="46"/>
        <v>Trd_lcv_hh2</v>
      </c>
      <c r="K172" t="str">
        <f t="shared" ref="K172:K178" si="63">IFERROR(IF(VALUE(C172)&gt;2020,J172&amp;"_"&amp;TEXT(1/B172*100,"00"),"\I:"),"\I:")</f>
        <v>Trd_lcv_hh2_87</v>
      </c>
      <c r="L172" t="str">
        <f t="shared" si="45"/>
        <v>Trd_lcv</v>
      </c>
      <c r="M172" s="390">
        <f t="shared" si="47"/>
        <v>46326.8277788115</v>
      </c>
      <c r="N172" s="390">
        <f t="shared" si="48"/>
        <v>33899.2903831972</v>
      </c>
      <c r="O172" s="390">
        <f t="shared" si="49"/>
        <v>28102.7819901918</v>
      </c>
      <c r="P172" s="390">
        <f t="shared" si="50"/>
        <v>26680.6458603409</v>
      </c>
      <c r="Q172">
        <f t="shared" si="60"/>
        <v>26680.6458603409</v>
      </c>
      <c r="R172">
        <v>3</v>
      </c>
      <c r="V172" s="386"/>
      <c r="Y172" t="str">
        <f t="shared" si="42"/>
        <v>Trd_lcv_hh2_87</v>
      </c>
      <c r="Z172" t="str">
        <f ca="1" t="shared" ref="Z172:Z178" si="64">OFFSET($W$1,MATCH(J172,$W$1:$W$10,0)-1,-1)&amp;" -- "&amp;TEXT(B172,"0.0")</f>
        <v>Hydrogen fuel cell LCV -- 1.2</v>
      </c>
      <c r="AA172" s="388" t="s">
        <v>84</v>
      </c>
      <c r="AB172" s="388" t="s">
        <v>85</v>
      </c>
    </row>
    <row r="173" spans="1:28">
      <c r="A173" s="75"/>
      <c r="B173" s="430">
        <v>1.10221073590708</v>
      </c>
      <c r="C173" s="428">
        <v>47015.1741892966</v>
      </c>
      <c r="D173" s="86">
        <v>34286.2822531159</v>
      </c>
      <c r="E173" s="86">
        <v>28433.6762991349</v>
      </c>
      <c r="F173" s="86">
        <v>27002.5970798531</v>
      </c>
      <c r="G173" s="75">
        <f t="shared" si="61"/>
        <v>1.3226528830885</v>
      </c>
      <c r="H173" s="75"/>
      <c r="I173" s="382">
        <f t="shared" si="62"/>
        <v>2.02852002848505</v>
      </c>
      <c r="J173" t="str">
        <f t="shared" si="46"/>
        <v>Trd_lcv_hh2</v>
      </c>
      <c r="K173" t="str">
        <f t="shared" si="63"/>
        <v>Trd_lcv_hh2_91</v>
      </c>
      <c r="L173" t="str">
        <f t="shared" si="45"/>
        <v>Trd_lcv</v>
      </c>
      <c r="M173" s="390">
        <f t="shared" si="47"/>
        <v>47015.1741892966</v>
      </c>
      <c r="N173" s="390">
        <f t="shared" si="48"/>
        <v>34286.2822531159</v>
      </c>
      <c r="O173" s="390">
        <f t="shared" si="49"/>
        <v>28433.6762991349</v>
      </c>
      <c r="P173" s="390">
        <f t="shared" si="50"/>
        <v>27002.5970798531</v>
      </c>
      <c r="Q173">
        <f t="shared" si="60"/>
        <v>27002.5970798531</v>
      </c>
      <c r="R173">
        <v>3</v>
      </c>
      <c r="V173" s="386"/>
      <c r="Y173" t="str">
        <f t="shared" si="42"/>
        <v>Trd_lcv_hh2_91</v>
      </c>
      <c r="Z173" t="str">
        <f ca="1" t="shared" si="64"/>
        <v>Hydrogen fuel cell LCV -- 1.1</v>
      </c>
      <c r="AA173" s="388" t="s">
        <v>84</v>
      </c>
      <c r="AB173" s="388" t="s">
        <v>85</v>
      </c>
    </row>
    <row r="174" spans="1:28">
      <c r="A174" s="75"/>
      <c r="B174" s="430">
        <v>1.05054460766144</v>
      </c>
      <c r="C174" s="428">
        <v>49703.0325829883</v>
      </c>
      <c r="D174" s="86">
        <v>34673.2741230346</v>
      </c>
      <c r="E174" s="86">
        <v>28764.570608078</v>
      </c>
      <c r="F174" s="86">
        <v>27324.5482993653</v>
      </c>
      <c r="G174" s="75">
        <f t="shared" si="61"/>
        <v>1.26065352919373</v>
      </c>
      <c r="H174" s="75"/>
      <c r="I174" s="382">
        <f t="shared" si="62"/>
        <v>2.12828330857447</v>
      </c>
      <c r="J174" t="str">
        <f t="shared" si="46"/>
        <v>Trd_lcv_hh2</v>
      </c>
      <c r="K174" t="str">
        <f t="shared" si="63"/>
        <v>Trd_lcv_hh2_95</v>
      </c>
      <c r="L174" t="str">
        <f t="shared" si="45"/>
        <v>Trd_lcv</v>
      </c>
      <c r="M174" s="390">
        <f t="shared" si="47"/>
        <v>49703.0325829883</v>
      </c>
      <c r="N174" s="390">
        <f t="shared" si="48"/>
        <v>34673.2741230346</v>
      </c>
      <c r="O174" s="390">
        <f t="shared" si="49"/>
        <v>28764.570608078</v>
      </c>
      <c r="P174" s="390">
        <f t="shared" si="50"/>
        <v>27324.5482993653</v>
      </c>
      <c r="Q174">
        <f t="shared" si="60"/>
        <v>27324.5482993653</v>
      </c>
      <c r="R174">
        <v>3</v>
      </c>
      <c r="V174" s="386"/>
      <c r="Y174" t="str">
        <f t="shared" si="42"/>
        <v>Trd_lcv_hh2_95</v>
      </c>
      <c r="Z174" t="str">
        <f ca="1" t="shared" si="64"/>
        <v>Hydrogen fuel cell LCV -- 1.1</v>
      </c>
      <c r="AA174" s="388" t="s">
        <v>84</v>
      </c>
      <c r="AB174" s="388" t="s">
        <v>85</v>
      </c>
    </row>
    <row r="175" spans="1:28">
      <c r="A175" s="75"/>
      <c r="B175" s="430">
        <v>0.998878479415791</v>
      </c>
      <c r="C175" s="428">
        <v>50460.9409463544</v>
      </c>
      <c r="D175" s="86">
        <v>36490.73991933</v>
      </c>
      <c r="E175" s="86">
        <v>29095.4649170211</v>
      </c>
      <c r="F175" s="86">
        <v>27646.4995188775</v>
      </c>
      <c r="G175" s="75">
        <f t="shared" si="61"/>
        <v>1.19865417529895</v>
      </c>
      <c r="H175" s="75"/>
      <c r="I175" s="382">
        <f t="shared" si="62"/>
        <v>2.23836692798351</v>
      </c>
      <c r="J175" t="str">
        <f t="shared" si="46"/>
        <v>Trd_lcv_hh2</v>
      </c>
      <c r="K175" t="str">
        <f t="shared" si="63"/>
        <v>Trd_lcv_hh2_100</v>
      </c>
      <c r="L175" t="str">
        <f t="shared" si="45"/>
        <v>Trd_lcv</v>
      </c>
      <c r="M175" s="390">
        <f t="shared" si="47"/>
        <v>50460.9409463544</v>
      </c>
      <c r="N175" s="390">
        <f t="shared" si="48"/>
        <v>36490.73991933</v>
      </c>
      <c r="O175" s="390">
        <f t="shared" si="49"/>
        <v>29095.4649170211</v>
      </c>
      <c r="P175" s="390">
        <f t="shared" si="50"/>
        <v>27646.4995188775</v>
      </c>
      <c r="Q175">
        <f t="shared" si="60"/>
        <v>27646.4995188775</v>
      </c>
      <c r="R175">
        <v>3</v>
      </c>
      <c r="V175" s="386"/>
      <c r="Y175" t="str">
        <f t="shared" si="42"/>
        <v>Trd_lcv_hh2_100</v>
      </c>
      <c r="Z175" t="str">
        <f ca="1" t="shared" si="64"/>
        <v>Hydrogen fuel cell LCV -- 1.0</v>
      </c>
      <c r="AA175" s="388" t="s">
        <v>84</v>
      </c>
      <c r="AB175" s="388" t="s">
        <v>85</v>
      </c>
    </row>
    <row r="176" spans="1:28">
      <c r="A176" s="75"/>
      <c r="B176" s="430">
        <v>0.947212351170146</v>
      </c>
      <c r="C176" s="428">
        <v>50979.1442628498</v>
      </c>
      <c r="D176" s="86">
        <v>36898.6956750849</v>
      </c>
      <c r="E176" s="86">
        <v>29426.3592259642</v>
      </c>
      <c r="F176" s="86">
        <v>27968.4507383897</v>
      </c>
      <c r="G176" s="75">
        <f t="shared" si="61"/>
        <v>1.13665482140418</v>
      </c>
      <c r="H176" s="75"/>
      <c r="I176" s="382">
        <f t="shared" si="62"/>
        <v>2.36045966950988</v>
      </c>
      <c r="J176" t="str">
        <f t="shared" si="46"/>
        <v>Trd_lcv_hh2</v>
      </c>
      <c r="K176" t="str">
        <f t="shared" si="63"/>
        <v>Trd_lcv_hh2_106</v>
      </c>
      <c r="L176" t="str">
        <f t="shared" si="45"/>
        <v>Trd_lcv</v>
      </c>
      <c r="M176" s="390">
        <f t="shared" si="47"/>
        <v>50979.1442628498</v>
      </c>
      <c r="N176" s="390">
        <f t="shared" si="48"/>
        <v>36898.6956750849</v>
      </c>
      <c r="O176" s="390">
        <f t="shared" si="49"/>
        <v>29426.3592259642</v>
      </c>
      <c r="P176" s="390">
        <f t="shared" si="50"/>
        <v>27968.4507383897</v>
      </c>
      <c r="Q176">
        <f t="shared" si="60"/>
        <v>27968.4507383897</v>
      </c>
      <c r="R176">
        <v>3</v>
      </c>
      <c r="V176" s="386"/>
      <c r="Y176" t="str">
        <f t="shared" si="42"/>
        <v>Trd_lcv_hh2_106</v>
      </c>
      <c r="Z176" t="str">
        <f ca="1" t="shared" si="64"/>
        <v>Hydrogen fuel cell LCV -- 0.9</v>
      </c>
      <c r="AA176" s="388" t="s">
        <v>84</v>
      </c>
      <c r="AB176" s="388" t="s">
        <v>85</v>
      </c>
    </row>
    <row r="177" ht="15.75" customHeight="1" spans="1:28">
      <c r="A177" s="75"/>
      <c r="B177" s="430">
        <v>0.895546222924502</v>
      </c>
      <c r="C177" s="428">
        <v>51497.3475793452</v>
      </c>
      <c r="D177" s="86">
        <v>37306.6514308397</v>
      </c>
      <c r="E177" s="86">
        <v>29757.2535349073</v>
      </c>
      <c r="F177" s="86">
        <v>28290.4019579018</v>
      </c>
      <c r="G177" s="75">
        <f t="shared" si="61"/>
        <v>1.0746554675094</v>
      </c>
      <c r="H177" s="75"/>
      <c r="I177" s="382">
        <f t="shared" si="62"/>
        <v>2.49664003505853</v>
      </c>
      <c r="J177" t="str">
        <f t="shared" si="46"/>
        <v>Trd_lcv_hh2</v>
      </c>
      <c r="K177" t="str">
        <f t="shared" si="63"/>
        <v>Trd_lcv_hh2_112</v>
      </c>
      <c r="L177" t="str">
        <f t="shared" si="45"/>
        <v>Trd_lcv</v>
      </c>
      <c r="M177" s="390">
        <f t="shared" si="47"/>
        <v>51497.3475793452</v>
      </c>
      <c r="N177" s="390">
        <f t="shared" si="48"/>
        <v>37306.6514308397</v>
      </c>
      <c r="O177" s="390">
        <f t="shared" si="49"/>
        <v>29757.2535349073</v>
      </c>
      <c r="P177" s="390">
        <f t="shared" si="50"/>
        <v>28290.4019579018</v>
      </c>
      <c r="Q177">
        <f t="shared" si="60"/>
        <v>28290.4019579018</v>
      </c>
      <c r="R177">
        <v>3</v>
      </c>
      <c r="V177" s="386"/>
      <c r="Y177" t="str">
        <f t="shared" si="42"/>
        <v>Trd_lcv_hh2_112</v>
      </c>
      <c r="Z177" t="str">
        <f ca="1" t="shared" si="64"/>
        <v>Hydrogen fuel cell LCV -- 0.9</v>
      </c>
      <c r="AA177" s="388" t="s">
        <v>84</v>
      </c>
      <c r="AB177" s="388" t="s">
        <v>85</v>
      </c>
    </row>
    <row r="178" ht="15.75" customHeight="1" spans="1:28">
      <c r="A178" s="75"/>
      <c r="B178" s="430">
        <v>0.843880094678858</v>
      </c>
      <c r="C178" s="428">
        <v>52015.5508958406</v>
      </c>
      <c r="D178" s="86">
        <v>37714.6071865946</v>
      </c>
      <c r="E178" s="86">
        <v>30088.1478438504</v>
      </c>
      <c r="F178" s="86">
        <v>28612.3531774141</v>
      </c>
      <c r="G178" s="75">
        <f t="shared" si="61"/>
        <v>1.01265611361463</v>
      </c>
      <c r="H178" s="75"/>
      <c r="I178" s="382">
        <f t="shared" si="62"/>
        <v>2.64949554740905</v>
      </c>
      <c r="J178" t="str">
        <f t="shared" si="46"/>
        <v>Trd_lcv_hh2</v>
      </c>
      <c r="K178" t="str">
        <f t="shared" si="63"/>
        <v>Trd_lcv_hh2_119</v>
      </c>
      <c r="L178" t="str">
        <f t="shared" si="45"/>
        <v>Trd_lcv</v>
      </c>
      <c r="M178" s="390">
        <f t="shared" si="47"/>
        <v>52015.5508958406</v>
      </c>
      <c r="N178" s="390">
        <f t="shared" si="48"/>
        <v>37714.6071865946</v>
      </c>
      <c r="O178" s="390">
        <f t="shared" si="49"/>
        <v>30088.1478438504</v>
      </c>
      <c r="P178" s="390">
        <f t="shared" si="50"/>
        <v>28612.3531774141</v>
      </c>
      <c r="Q178">
        <f t="shared" si="60"/>
        <v>28612.3531774141</v>
      </c>
      <c r="R178">
        <v>3</v>
      </c>
      <c r="V178" s="386"/>
      <c r="Y178" t="str">
        <f t="shared" si="42"/>
        <v>Trd_lcv_hh2_119</v>
      </c>
      <c r="Z178" t="str">
        <f ca="1" t="shared" si="64"/>
        <v>Hydrogen fuel cell LCV -- 0.8</v>
      </c>
      <c r="AA178" s="388" t="s">
        <v>84</v>
      </c>
      <c r="AB178" s="388"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71" t="s">
        <v>10</v>
      </c>
      <c r="C1" s="372"/>
      <c r="D1" s="403"/>
      <c r="E1" s="403"/>
      <c r="F1" s="404"/>
      <c r="Q1" t="s">
        <v>51</v>
      </c>
      <c r="U1" t="s">
        <v>110</v>
      </c>
      <c r="V1" t="str">
        <f>"Trd_hdt_"&amp;Q1</f>
        <v>Trd_hdt_dsl</v>
      </c>
    </row>
    <row r="2" ht="15.75" customHeight="1" spans="2:27">
      <c r="B2" s="374" t="s">
        <v>9</v>
      </c>
      <c r="C2" s="375"/>
      <c r="D2" s="375"/>
      <c r="E2" s="375"/>
      <c r="F2" s="375"/>
      <c r="I2" s="380">
        <v>0.0520099378899987</v>
      </c>
      <c r="J2" s="379" t="s">
        <v>44</v>
      </c>
      <c r="Q2" t="s">
        <v>54</v>
      </c>
      <c r="U2" t="s">
        <v>111</v>
      </c>
      <c r="V2" t="str">
        <f t="shared" ref="V2:V6" si="0">"Trd_hdt_"&amp;Q2</f>
        <v>Trd_hdt_dsl-hyb</v>
      </c>
    </row>
    <row r="3" ht="18.5" spans="2:27">
      <c r="B3" s="405" t="s">
        <v>112</v>
      </c>
      <c r="C3" s="377"/>
      <c r="D3" s="377"/>
      <c r="E3" s="377"/>
      <c r="F3" s="378"/>
      <c r="I3" s="399">
        <f>31536000/10^9</f>
        <v>0.031536</v>
      </c>
      <c r="J3" s="379" t="s">
        <v>47</v>
      </c>
      <c r="M3" s="89"/>
      <c r="Q3" t="s">
        <v>113</v>
      </c>
      <c r="U3" t="s">
        <v>114</v>
      </c>
      <c r="V3" t="str">
        <f t="shared" si="0"/>
        <v>Trd_hdt_lng</v>
      </c>
    </row>
    <row r="4" spans="2:27">
      <c r="I4" s="379">
        <v>0.038</v>
      </c>
      <c r="J4" s="379" t="s">
        <v>50</v>
      </c>
      <c r="M4" s="89"/>
      <c r="Q4" t="s">
        <v>61</v>
      </c>
      <c r="U4" t="s">
        <v>115</v>
      </c>
      <c r="V4" t="str">
        <f>"\I:Trd_hdt_"&amp;Q4</f>
        <v>\I:Trd_hdt_lpg</v>
      </c>
    </row>
    <row r="5" spans="2:27">
      <c r="B5" s="44" t="s">
        <v>116</v>
      </c>
      <c r="I5" s="380">
        <f>1.406/26.137</f>
        <v>0.053793472854574</v>
      </c>
      <c r="J5" s="379" t="s">
        <v>53</v>
      </c>
      <c r="Q5" t="s">
        <v>66</v>
      </c>
      <c r="U5" t="s">
        <v>117</v>
      </c>
      <c r="V5" t="str">
        <f t="shared" si="0"/>
        <v>Trd_hdt_elc</v>
      </c>
    </row>
    <row r="6" ht="15" customHeight="1" spans="2:27">
      <c r="B6" s="381">
        <v>2015</v>
      </c>
      <c r="C6" s="381"/>
      <c r="D6" s="381"/>
      <c r="I6" s="380">
        <v>0.02559</v>
      </c>
      <c r="J6" s="379" t="s">
        <v>56</v>
      </c>
      <c r="Q6" t="s">
        <v>68</v>
      </c>
      <c r="U6" t="s">
        <v>118</v>
      </c>
      <c r="V6" t="str">
        <f t="shared" si="0"/>
        <v>Trd_hdt_hh2</v>
      </c>
    </row>
    <row r="7" spans="2:27">
      <c r="B7" s="46" t="s">
        <v>12</v>
      </c>
      <c r="C7" s="47" t="s">
        <v>13</v>
      </c>
      <c r="D7" s="48">
        <v>18.8825162842906</v>
      </c>
      <c r="G7" s="382">
        <f>D7*$I$4/100*10^9/10^6</f>
        <v>7.17535618803043</v>
      </c>
      <c r="H7" s="382"/>
      <c r="I7" s="382">
        <f>1/G7</f>
        <v>0.139365903767697</v>
      </c>
    </row>
    <row r="8" spans="2:27">
      <c r="B8" s="46" t="s">
        <v>14</v>
      </c>
      <c r="C8" s="47" t="s">
        <v>15</v>
      </c>
      <c r="D8" s="68">
        <v>79045.0684591355</v>
      </c>
      <c r="I8" s="44" t="s">
        <v>70</v>
      </c>
    </row>
    <row r="9" spans="2:27">
      <c r="B9" s="406"/>
      <c r="C9" s="407"/>
      <c r="D9" s="408"/>
      <c r="I9" s="44"/>
    </row>
    <row r="10" ht="15.25" spans="2:27">
      <c r="K10" s="384" t="s">
        <v>71</v>
      </c>
      <c r="W10" s="384" t="s">
        <v>72</v>
      </c>
      <c r="X10" s="385"/>
      <c r="Y10" s="385"/>
      <c r="Z10" s="385"/>
      <c r="AA10" s="385"/>
    </row>
    <row r="11" spans="2:27">
      <c r="I11" t="s">
        <v>73</v>
      </c>
      <c r="J11" t="s">
        <v>74</v>
      </c>
      <c r="K11" t="s">
        <v>75</v>
      </c>
      <c r="L11" t="s">
        <v>76</v>
      </c>
      <c r="M11">
        <f>C15</f>
        <v>2020</v>
      </c>
      <c r="N11">
        <f>D15</f>
        <v>2030</v>
      </c>
      <c r="O11">
        <f>E15</f>
        <v>2040</v>
      </c>
      <c r="P11">
        <v>2050</v>
      </c>
      <c r="Q11">
        <v>2100</v>
      </c>
      <c r="R11">
        <v>0</v>
      </c>
      <c r="U11" s="386" t="s">
        <v>77</v>
      </c>
      <c r="W11" s="385" t="s">
        <v>78</v>
      </c>
      <c r="X11" s="385" t="s">
        <v>79</v>
      </c>
      <c r="Y11" s="385" t="s">
        <v>80</v>
      </c>
      <c r="Z11" s="385" t="s">
        <v>81</v>
      </c>
      <c r="AA11" s="385" t="s">
        <v>82</v>
      </c>
    </row>
    <row r="12" ht="15" customHeight="1" spans="2:27">
      <c r="B12" s="400" t="s">
        <v>119</v>
      </c>
      <c r="C12" s="387" t="s">
        <v>110</v>
      </c>
      <c r="D12" s="400"/>
      <c r="E12" s="400"/>
      <c r="F12" s="400"/>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6"/>
      <c r="W12" t="s">
        <v>83</v>
      </c>
      <c r="X12" t="str">
        <f>K12</f>
        <v>\I:</v>
      </c>
      <c r="Y12" t="str">
        <f ca="1">OFFSET($V$1,MATCH(J12,$V$1:$V$11,0)-1,-1)&amp;" -- "&amp;TEXT(B12,"00%")</f>
        <v>7.5-16t diesel truck -- Reduction of specific energy consumption relative to 2015 diesel vehicle(%)</v>
      </c>
      <c r="Z12" s="388" t="s">
        <v>84</v>
      </c>
      <c r="AA12" s="388" t="s">
        <v>85</v>
      </c>
    </row>
    <row r="13" spans="2:27">
      <c r="B13" s="400"/>
      <c r="C13" s="387"/>
      <c r="D13" s="400"/>
      <c r="E13" s="400"/>
      <c r="F13" s="400"/>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6"/>
      <c r="W13" t="s">
        <v>83</v>
      </c>
      <c r="X13" t="str">
        <f>K13</f>
        <v>\I:</v>
      </c>
      <c r="Y13" t="str">
        <f ca="1">OFFSET($V$1,MATCH(J13,$V$1:$V$11,0)-1,-1)&amp;" -- "&amp;TEXT(B13,"00%")</f>
        <v>7.5-16t diesel truck -- 00%</v>
      </c>
      <c r="Z13" s="388" t="s">
        <v>84</v>
      </c>
      <c r="AA13" s="388" t="s">
        <v>85</v>
      </c>
    </row>
    <row r="14" spans="2:27">
      <c r="B14" s="400"/>
      <c r="C14" s="387"/>
      <c r="D14" s="400"/>
      <c r="E14" s="400"/>
      <c r="F14" s="400"/>
      <c r="J14" t="str">
        <f t="shared" si="1"/>
        <v>Trd_hdt_dsl</v>
      </c>
      <c r="K14" t="str">
        <f t="shared" si="2"/>
        <v>\I:</v>
      </c>
      <c r="L14" t="str">
        <f t="shared" si="3"/>
        <v>\I:</v>
      </c>
      <c r="M14" t="str">
        <f t="shared" si="4"/>
        <v/>
      </c>
      <c r="N14" t="str">
        <f t="shared" si="5"/>
        <v/>
      </c>
      <c r="O14" t="str">
        <f t="shared" si="5"/>
        <v/>
      </c>
      <c r="P14" t="str">
        <f t="shared" si="5"/>
        <v/>
      </c>
      <c r="U14" s="386"/>
      <c r="W14" t="s">
        <v>83</v>
      </c>
      <c r="X14" t="str">
        <f>K14</f>
        <v>\I:</v>
      </c>
      <c r="Y14" t="str">
        <f ca="1">OFFSET($V$1,MATCH(J14,$V$1:$V$11,0)-1,-1)&amp;" -- "&amp;TEXT(B14,"00%")</f>
        <v>7.5-16t diesel truck -- 00%</v>
      </c>
      <c r="Z14" s="388" t="s">
        <v>84</v>
      </c>
      <c r="AA14" s="388"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6"/>
      <c r="W15" t="s">
        <v>83</v>
      </c>
      <c r="X15" t="str">
        <f t="shared" ref="X15:X78" si="6">K15</f>
        <v>\I:</v>
      </c>
      <c r="Y15" t="str">
        <f ca="1" t="shared" ref="Y15:Y78" si="7">OFFSET($V$1,MATCH(J15,$V$1:$V$11,0)-1,-1)&amp;" -- "&amp;TEXT(B15,"00%")</f>
        <v>7.5-16t diesel truck -- 00%</v>
      </c>
      <c r="Z15" s="388" t="s">
        <v>84</v>
      </c>
      <c r="AA15" s="388" t="s">
        <v>85</v>
      </c>
    </row>
    <row r="16" spans="2:27">
      <c r="B16" s="85">
        <v>0.0441258142145298</v>
      </c>
      <c r="C16" s="86">
        <v>79927.7536460642</v>
      </c>
      <c r="D16" s="86">
        <v>79927.7536460642</v>
      </c>
      <c r="E16" s="86">
        <v>79927.7536460642</v>
      </c>
      <c r="F16" s="86">
        <v>79927.7536460642</v>
      </c>
      <c r="I16" s="389">
        <f>(1+B16)</f>
        <v>1.04412581421453</v>
      </c>
      <c r="J16" t="str">
        <f t="shared" si="1"/>
        <v>Trd_hdt_dsl</v>
      </c>
      <c r="K16" t="str">
        <f t="shared" si="2"/>
        <v>Trd_hdt_dsl_04</v>
      </c>
      <c r="L16" t="str">
        <f t="shared" si="3"/>
        <v>Trd_hdt</v>
      </c>
      <c r="M16" s="390">
        <f t="shared" si="4"/>
        <v>79927.7536460642</v>
      </c>
      <c r="N16" s="390">
        <f t="shared" si="5"/>
        <v>79927.7536460642</v>
      </c>
      <c r="O16" s="390">
        <f t="shared" si="5"/>
        <v>79927.7536460642</v>
      </c>
      <c r="P16" s="390">
        <f t="shared" si="5"/>
        <v>79927.7536460642</v>
      </c>
      <c r="Q16">
        <f t="shared" ref="Q16:Q23" si="8">P16</f>
        <v>79927.7536460642</v>
      </c>
      <c r="R16">
        <v>3</v>
      </c>
      <c r="U16" s="386"/>
      <c r="W16" t="s">
        <v>83</v>
      </c>
      <c r="X16" t="str">
        <f t="shared" si="6"/>
        <v>Trd_hdt_dsl_04</v>
      </c>
      <c r="Y16" t="str">
        <f ca="1" t="shared" si="7"/>
        <v>7.5-16t diesel truck -- 04%</v>
      </c>
      <c r="Z16" s="388" t="s">
        <v>84</v>
      </c>
      <c r="AA16" s="388" t="s">
        <v>85</v>
      </c>
    </row>
    <row r="17" spans="2:27">
      <c r="B17" s="85">
        <v>0.0941258142145298</v>
      </c>
      <c r="C17" s="86">
        <v>81360.1864067572</v>
      </c>
      <c r="D17" s="86">
        <v>80873.2378673953</v>
      </c>
      <c r="E17" s="86">
        <v>80873.2378673953</v>
      </c>
      <c r="F17" s="86">
        <v>80873.2378673953</v>
      </c>
      <c r="I17" s="389">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90">
        <f t="shared" ref="M17:M37" si="12">IF($K17="\I:","",C17)</f>
        <v>81360.1864067572</v>
      </c>
      <c r="N17" s="390">
        <f t="shared" ref="N17:N37" si="13">IF($K17="\I:","",D17)</f>
        <v>80873.2378673953</v>
      </c>
      <c r="O17" s="390">
        <f t="shared" ref="O17:O37" si="14">IF($K17="\I:","",E17)</f>
        <v>80873.2378673953</v>
      </c>
      <c r="P17" s="390">
        <f t="shared" ref="P17:P37" si="15">IF($K17="\I:","",F17)</f>
        <v>80873.2378673953</v>
      </c>
      <c r="Q17">
        <f t="shared" si="8"/>
        <v>80873.2378673953</v>
      </c>
      <c r="R17">
        <v>3</v>
      </c>
      <c r="U17" s="386"/>
      <c r="W17" t="s">
        <v>83</v>
      </c>
      <c r="X17" t="str">
        <f t="shared" si="6"/>
        <v>Trd_hdt_dsl_09</v>
      </c>
      <c r="Y17" t="str">
        <f ca="1" t="shared" si="7"/>
        <v>7.5-16t diesel truck -- 09%</v>
      </c>
      <c r="Z17" s="388" t="s">
        <v>84</v>
      </c>
      <c r="AA17" s="388" t="s">
        <v>85</v>
      </c>
    </row>
    <row r="18" spans="2:27">
      <c r="B18" s="85">
        <v>0.14412581421453</v>
      </c>
      <c r="C18" s="86">
        <v>82659.1626483237</v>
      </c>
      <c r="D18" s="86">
        <v>82265.6067669513</v>
      </c>
      <c r="E18" s="86">
        <v>82265.6067669513</v>
      </c>
      <c r="F18" s="86">
        <v>82265.6067669513</v>
      </c>
      <c r="I18" s="389">
        <f t="shared" si="9"/>
        <v>1.14412581421453</v>
      </c>
      <c r="J18" t="str">
        <f t="shared" si="10"/>
        <v>Trd_hdt_dsl</v>
      </c>
      <c r="K18" t="str">
        <f t="shared" si="11"/>
        <v>Trd_hdt_dsl_14</v>
      </c>
      <c r="L18" t="str">
        <f t="shared" si="3"/>
        <v>Trd_hdt</v>
      </c>
      <c r="M18" s="390">
        <f t="shared" si="12"/>
        <v>82659.1626483237</v>
      </c>
      <c r="N18" s="390">
        <f t="shared" si="13"/>
        <v>82265.6067669513</v>
      </c>
      <c r="O18" s="390">
        <f t="shared" si="14"/>
        <v>82265.6067669513</v>
      </c>
      <c r="P18" s="390">
        <f t="shared" si="15"/>
        <v>82265.6067669513</v>
      </c>
      <c r="Q18">
        <f t="shared" si="8"/>
        <v>82265.6067669513</v>
      </c>
      <c r="R18">
        <v>3</v>
      </c>
      <c r="U18" s="386"/>
      <c r="W18" t="s">
        <v>83</v>
      </c>
      <c r="X18" t="str">
        <f t="shared" si="6"/>
        <v>Trd_hdt_dsl_14</v>
      </c>
      <c r="Y18" t="str">
        <f ca="1" t="shared" si="7"/>
        <v>7.5-16t diesel truck -- 14%</v>
      </c>
      <c r="Z18" s="388" t="s">
        <v>84</v>
      </c>
      <c r="AA18" s="388" t="s">
        <v>85</v>
      </c>
    </row>
    <row r="19" spans="2:27">
      <c r="B19" s="85">
        <v>0.19412581421453</v>
      </c>
      <c r="C19" s="86">
        <v>88191.0297712466</v>
      </c>
      <c r="D19" s="86">
        <v>84316.0811257105</v>
      </c>
      <c r="E19" s="86">
        <v>84316.0811257105</v>
      </c>
      <c r="F19" s="86">
        <v>84316.0811257105</v>
      </c>
      <c r="I19" s="389">
        <f t="shared" si="9"/>
        <v>1.19412581421453</v>
      </c>
      <c r="J19" t="str">
        <f t="shared" si="10"/>
        <v>Trd_hdt_dsl</v>
      </c>
      <c r="K19" t="str">
        <f t="shared" si="11"/>
        <v>Trd_hdt_dsl_19</v>
      </c>
      <c r="L19" t="str">
        <f t="shared" si="3"/>
        <v>Trd_hdt</v>
      </c>
      <c r="M19" s="390">
        <f t="shared" si="12"/>
        <v>88191.0297712466</v>
      </c>
      <c r="N19" s="390">
        <f t="shared" si="13"/>
        <v>84316.0811257105</v>
      </c>
      <c r="O19" s="390">
        <f t="shared" si="14"/>
        <v>84316.0811257105</v>
      </c>
      <c r="P19" s="390">
        <f t="shared" si="15"/>
        <v>84316.0811257105</v>
      </c>
      <c r="Q19">
        <f t="shared" si="8"/>
        <v>84316.0811257105</v>
      </c>
      <c r="R19">
        <v>3</v>
      </c>
      <c r="U19" s="386"/>
      <c r="W19" t="s">
        <v>83</v>
      </c>
      <c r="X19" t="str">
        <f t="shared" si="6"/>
        <v>Trd_hdt_dsl_19</v>
      </c>
      <c r="Y19" t="str">
        <f ca="1" t="shared" si="7"/>
        <v>7.5-16t diesel truck -- 19%</v>
      </c>
      <c r="Z19" s="388" t="s">
        <v>84</v>
      </c>
      <c r="AA19" s="388" t="s">
        <v>85</v>
      </c>
    </row>
    <row r="20" spans="2:27">
      <c r="B20" s="85">
        <v>0.24412581421453</v>
      </c>
      <c r="C20" s="86">
        <v>92499.1246257596</v>
      </c>
      <c r="D20" s="86">
        <v>87335.7155755103</v>
      </c>
      <c r="E20" s="86">
        <v>87335.7155755103</v>
      </c>
      <c r="F20" s="86">
        <v>87335.7155755103</v>
      </c>
      <c r="I20" s="389">
        <f t="shared" si="9"/>
        <v>1.24412581421453</v>
      </c>
      <c r="J20" t="str">
        <f t="shared" si="10"/>
        <v>Trd_hdt_dsl</v>
      </c>
      <c r="K20" t="str">
        <f t="shared" si="11"/>
        <v>Trd_hdt_dsl_24</v>
      </c>
      <c r="L20" t="str">
        <f t="shared" si="3"/>
        <v>Trd_hdt</v>
      </c>
      <c r="M20" s="390">
        <f t="shared" si="12"/>
        <v>92499.1246257596</v>
      </c>
      <c r="N20" s="390">
        <f t="shared" si="13"/>
        <v>87335.7155755103</v>
      </c>
      <c r="O20" s="390">
        <f t="shared" si="14"/>
        <v>87335.7155755103</v>
      </c>
      <c r="P20" s="390">
        <f t="shared" si="15"/>
        <v>87335.7155755103</v>
      </c>
      <c r="Q20">
        <f t="shared" si="8"/>
        <v>87335.7155755103</v>
      </c>
      <c r="R20">
        <v>3</v>
      </c>
      <c r="U20" s="386"/>
      <c r="W20" t="s">
        <v>83</v>
      </c>
      <c r="X20" t="str">
        <f t="shared" si="6"/>
        <v>Trd_hdt_dsl_24</v>
      </c>
      <c r="Y20" t="str">
        <f ca="1" t="shared" si="7"/>
        <v>7.5-16t diesel truck -- 24%</v>
      </c>
      <c r="Z20" s="388" t="s">
        <v>84</v>
      </c>
      <c r="AA20" s="388" t="s">
        <v>85</v>
      </c>
    </row>
    <row r="21" spans="2:27">
      <c r="B21" s="85">
        <v>0.26412581421453</v>
      </c>
      <c r="C21" s="86">
        <v>115400.251045956</v>
      </c>
      <c r="D21" s="86">
        <v>91896.6101429967</v>
      </c>
      <c r="E21" s="86">
        <v>91782.585233483</v>
      </c>
      <c r="F21" s="86">
        <v>91782.585233483</v>
      </c>
      <c r="I21" s="389">
        <f t="shared" si="9"/>
        <v>1.26412581421453</v>
      </c>
      <c r="J21" t="str">
        <f t="shared" si="10"/>
        <v>Trd_hdt_dsl</v>
      </c>
      <c r="K21" t="str">
        <f t="shared" si="11"/>
        <v>Trd_hdt_dsl_26</v>
      </c>
      <c r="L21" t="str">
        <f t="shared" si="3"/>
        <v>Trd_hdt</v>
      </c>
      <c r="M21" s="390">
        <f t="shared" si="12"/>
        <v>115400.251045956</v>
      </c>
      <c r="N21" s="390">
        <f t="shared" si="13"/>
        <v>91896.6101429967</v>
      </c>
      <c r="O21" s="390">
        <f t="shared" si="14"/>
        <v>91782.585233483</v>
      </c>
      <c r="P21" s="390">
        <f t="shared" si="15"/>
        <v>91782.585233483</v>
      </c>
      <c r="Q21">
        <f t="shared" si="8"/>
        <v>91782.585233483</v>
      </c>
      <c r="R21">
        <v>3</v>
      </c>
      <c r="U21" s="386"/>
      <c r="W21" t="s">
        <v>83</v>
      </c>
      <c r="X21" t="str">
        <f t="shared" si="6"/>
        <v>Trd_hdt_dsl_26</v>
      </c>
      <c r="Y21" t="str">
        <f ca="1" t="shared" si="7"/>
        <v>7.5-16t diesel truck -- 26%</v>
      </c>
      <c r="Z21" s="388" t="s">
        <v>84</v>
      </c>
      <c r="AA21" s="388" t="s">
        <v>85</v>
      </c>
    </row>
    <row r="22" spans="2:27">
      <c r="B22" s="85">
        <v>0.29412581421453</v>
      </c>
      <c r="C22" s="86">
        <v>189775.230098575</v>
      </c>
      <c r="D22" s="86">
        <v>105837.452091052</v>
      </c>
      <c r="E22" s="86">
        <v>98331.2751771647</v>
      </c>
      <c r="F22" s="86">
        <v>98331.2751771647</v>
      </c>
      <c r="I22" s="389">
        <f t="shared" si="9"/>
        <v>1.29412581421453</v>
      </c>
      <c r="J22" t="str">
        <f t="shared" si="10"/>
        <v>Trd_hdt_dsl</v>
      </c>
      <c r="K22" t="str">
        <f t="shared" si="11"/>
        <v>Trd_hdt_dsl_29</v>
      </c>
      <c r="L22" t="str">
        <f t="shared" si="3"/>
        <v>Trd_hdt</v>
      </c>
      <c r="M22" s="390">
        <f t="shared" si="12"/>
        <v>189775.230098575</v>
      </c>
      <c r="N22" s="390">
        <f t="shared" si="13"/>
        <v>105837.452091052</v>
      </c>
      <c r="O22" s="390">
        <f t="shared" si="14"/>
        <v>98331.2751771647</v>
      </c>
      <c r="P22" s="390">
        <f t="shared" si="15"/>
        <v>98331.2751771647</v>
      </c>
      <c r="Q22">
        <f t="shared" si="8"/>
        <v>98331.2751771647</v>
      </c>
      <c r="R22">
        <v>3</v>
      </c>
      <c r="U22" s="386"/>
      <c r="W22" t="s">
        <v>83</v>
      </c>
      <c r="X22" t="str">
        <f t="shared" si="6"/>
        <v>Trd_hdt_dsl_29</v>
      </c>
      <c r="Y22" t="str">
        <f ca="1" t="shared" si="7"/>
        <v>7.5-16t diesel truck -- 29%</v>
      </c>
      <c r="Z22" s="388" t="s">
        <v>84</v>
      </c>
      <c r="AA22" s="388" t="s">
        <v>85</v>
      </c>
    </row>
    <row r="23" spans="2:27">
      <c r="I23" s="389"/>
      <c r="J23" t="str">
        <f t="shared" si="10"/>
        <v>Trd_hdt_dsl</v>
      </c>
      <c r="K23" t="str">
        <f t="shared" si="11"/>
        <v>\I:</v>
      </c>
      <c r="L23" t="str">
        <f t="shared" si="3"/>
        <v>\I:</v>
      </c>
      <c r="M23" s="390" t="str">
        <f t="shared" si="12"/>
        <v/>
      </c>
      <c r="N23" s="390" t="str">
        <f t="shared" si="13"/>
        <v/>
      </c>
      <c r="O23" s="390" t="str">
        <f t="shared" si="14"/>
        <v/>
      </c>
      <c r="P23" s="390" t="str">
        <f t="shared" si="15"/>
        <v/>
      </c>
      <c r="Q23" t="str">
        <f t="shared" si="8"/>
        <v/>
      </c>
      <c r="U23" s="386"/>
      <c r="X23" t="str">
        <f t="shared" si="6"/>
        <v>\I:</v>
      </c>
      <c r="Y23" t="str">
        <f ca="1" t="shared" si="7"/>
        <v>7.5-16t diesel truck -- 00%</v>
      </c>
      <c r="Z23" s="388" t="s">
        <v>84</v>
      </c>
      <c r="AA23" s="388" t="s">
        <v>85</v>
      </c>
    </row>
    <row r="24" spans="2:27">
      <c r="I24" s="389"/>
      <c r="J24" t="str">
        <f t="shared" si="10"/>
        <v>Trd_hdt_dsl</v>
      </c>
      <c r="K24" t="str">
        <f t="shared" si="11"/>
        <v>\I:</v>
      </c>
      <c r="L24" t="str">
        <f t="shared" si="3"/>
        <v>\I:</v>
      </c>
      <c r="M24" s="390" t="str">
        <f t="shared" si="12"/>
        <v/>
      </c>
      <c r="N24" s="390" t="str">
        <f t="shared" si="13"/>
        <v/>
      </c>
      <c r="O24" s="390" t="str">
        <f t="shared" si="14"/>
        <v/>
      </c>
      <c r="P24" s="390" t="str">
        <f t="shared" si="15"/>
        <v/>
      </c>
      <c r="U24" s="386"/>
      <c r="X24" t="str">
        <f t="shared" si="6"/>
        <v>\I:</v>
      </c>
      <c r="Y24" t="str">
        <f ca="1" t="shared" si="7"/>
        <v>7.5-16t diesel truck -- 00%</v>
      </c>
      <c r="Z24" s="388" t="s">
        <v>84</v>
      </c>
      <c r="AA24" s="388" t="s">
        <v>85</v>
      </c>
    </row>
    <row r="25" spans="2:27">
      <c r="I25" s="389"/>
      <c r="J25" t="str">
        <f t="shared" si="10"/>
        <v>Trd_hdt_dsl</v>
      </c>
      <c r="K25" t="str">
        <f t="shared" si="11"/>
        <v>\I:</v>
      </c>
      <c r="L25" t="str">
        <f t="shared" si="3"/>
        <v>\I:</v>
      </c>
      <c r="M25" s="390" t="str">
        <f t="shared" si="12"/>
        <v/>
      </c>
      <c r="N25" s="390" t="str">
        <f t="shared" si="13"/>
        <v/>
      </c>
      <c r="O25" s="390" t="str">
        <f t="shared" si="14"/>
        <v/>
      </c>
      <c r="P25" s="390" t="str">
        <f t="shared" si="15"/>
        <v/>
      </c>
      <c r="U25" s="386"/>
      <c r="X25" t="str">
        <f t="shared" si="6"/>
        <v>\I:</v>
      </c>
      <c r="Y25" t="str">
        <f ca="1" t="shared" si="7"/>
        <v>7.5-16t diesel truck -- 00%</v>
      </c>
      <c r="Z25" s="388" t="s">
        <v>84</v>
      </c>
      <c r="AA25" s="388" t="s">
        <v>85</v>
      </c>
    </row>
    <row r="26" ht="15" customHeight="1" spans="2:27">
      <c r="B26" s="400" t="s">
        <v>119</v>
      </c>
      <c r="C26" s="387" t="s">
        <v>111</v>
      </c>
      <c r="D26" s="400"/>
      <c r="E26" s="400"/>
      <c r="F26" s="400"/>
      <c r="I26" s="389"/>
      <c r="J26" t="str">
        <f t="shared" si="10"/>
        <v>Trd_hdt_dsl-hyb</v>
      </c>
      <c r="K26" t="str">
        <f t="shared" si="11"/>
        <v>\I:</v>
      </c>
      <c r="L26" t="str">
        <f t="shared" si="3"/>
        <v>\I:</v>
      </c>
      <c r="M26" s="390" t="str">
        <f t="shared" si="12"/>
        <v/>
      </c>
      <c r="N26" s="390" t="str">
        <f t="shared" si="13"/>
        <v/>
      </c>
      <c r="O26" s="390" t="str">
        <f t="shared" si="14"/>
        <v/>
      </c>
      <c r="P26" s="390" t="str">
        <f t="shared" si="15"/>
        <v/>
      </c>
      <c r="U26" s="386"/>
      <c r="X26" t="str">
        <f t="shared" si="6"/>
        <v>\I:</v>
      </c>
      <c r="Y26" t="str">
        <f ca="1" t="shared" si="7"/>
        <v>7.5-16t diesel hybrid truck -- Reduction of specific energy consumption relative to 2015 diesel vehicle(%)</v>
      </c>
      <c r="Z26" s="388" t="s">
        <v>84</v>
      </c>
      <c r="AA26" s="388" t="s">
        <v>85</v>
      </c>
    </row>
    <row r="27" spans="2:27">
      <c r="B27" s="400"/>
      <c r="C27" s="387"/>
      <c r="D27" s="400"/>
      <c r="E27" s="400"/>
      <c r="F27" s="400"/>
      <c r="I27" s="389"/>
      <c r="J27" t="str">
        <f t="shared" si="10"/>
        <v>Trd_hdt_dsl-hyb</v>
      </c>
      <c r="K27" t="str">
        <f t="shared" si="11"/>
        <v>\I:</v>
      </c>
      <c r="L27" t="str">
        <f t="shared" si="3"/>
        <v>\I:</v>
      </c>
      <c r="M27" s="390" t="str">
        <f t="shared" si="12"/>
        <v/>
      </c>
      <c r="N27" s="390" t="str">
        <f t="shared" si="13"/>
        <v/>
      </c>
      <c r="O27" s="390" t="str">
        <f t="shared" si="14"/>
        <v/>
      </c>
      <c r="P27" s="390" t="str">
        <f t="shared" si="15"/>
        <v/>
      </c>
      <c r="U27" s="386"/>
      <c r="X27" t="str">
        <f t="shared" si="6"/>
        <v>\I:</v>
      </c>
      <c r="Y27" t="str">
        <f ca="1" t="shared" si="7"/>
        <v>7.5-16t diesel hybrid truck -- 00%</v>
      </c>
      <c r="Z27" s="388" t="s">
        <v>84</v>
      </c>
      <c r="AA27" s="388" t="s">
        <v>85</v>
      </c>
    </row>
    <row r="28" spans="2:27">
      <c r="B28" s="400"/>
      <c r="C28" s="387"/>
      <c r="D28" s="400"/>
      <c r="E28" s="400"/>
      <c r="F28" s="400"/>
      <c r="I28" s="389"/>
      <c r="J28" t="str">
        <f t="shared" si="10"/>
        <v>Trd_hdt_dsl-hyb</v>
      </c>
      <c r="K28" t="str">
        <f t="shared" si="11"/>
        <v>\I:</v>
      </c>
      <c r="L28" t="str">
        <f t="shared" si="3"/>
        <v>\I:</v>
      </c>
      <c r="M28" s="390" t="str">
        <f t="shared" si="12"/>
        <v/>
      </c>
      <c r="N28" s="390" t="str">
        <f t="shared" si="13"/>
        <v/>
      </c>
      <c r="O28" s="390" t="str">
        <f t="shared" si="14"/>
        <v/>
      </c>
      <c r="P28" s="390" t="str">
        <f t="shared" si="15"/>
        <v/>
      </c>
      <c r="U28" s="386"/>
      <c r="X28" t="str">
        <f t="shared" si="6"/>
        <v>\I:</v>
      </c>
      <c r="Y28" t="str">
        <f ca="1" t="shared" si="7"/>
        <v>7.5-16t diesel hybrid truck -- 00%</v>
      </c>
      <c r="Z28" s="388" t="s">
        <v>84</v>
      </c>
      <c r="AA28" s="388" t="s">
        <v>85</v>
      </c>
    </row>
    <row r="29" spans="2:27">
      <c r="B29" s="88"/>
      <c r="C29" s="51">
        <v>2020</v>
      </c>
      <c r="D29" s="51">
        <v>2030</v>
      </c>
      <c r="E29" s="51">
        <v>2040</v>
      </c>
      <c r="F29" s="51">
        <v>2050</v>
      </c>
      <c r="I29" s="389"/>
      <c r="J29" t="str">
        <f t="shared" si="10"/>
        <v>Trd_hdt_dsl-hyb</v>
      </c>
      <c r="K29" t="str">
        <f t="shared" si="11"/>
        <v>\I:</v>
      </c>
      <c r="L29" t="str">
        <f t="shared" si="3"/>
        <v>\I:</v>
      </c>
      <c r="M29" s="390" t="str">
        <f t="shared" si="12"/>
        <v/>
      </c>
      <c r="N29" s="390" t="str">
        <f t="shared" si="13"/>
        <v/>
      </c>
      <c r="O29" s="390" t="str">
        <f t="shared" si="14"/>
        <v/>
      </c>
      <c r="P29" s="390" t="str">
        <f t="shared" si="15"/>
        <v/>
      </c>
      <c r="U29" s="386"/>
      <c r="X29" t="str">
        <f t="shared" si="6"/>
        <v>\I:</v>
      </c>
      <c r="Y29" t="str">
        <f ca="1" t="shared" si="7"/>
        <v>7.5-16t diesel hybrid truck -- 00%</v>
      </c>
      <c r="Z29" s="388" t="s">
        <v>84</v>
      </c>
      <c r="AA29" s="388" t="s">
        <v>85</v>
      </c>
    </row>
    <row r="30" spans="2:27">
      <c r="B30" s="85">
        <v>0.1</v>
      </c>
      <c r="C30" s="86">
        <v>88920.6651098532</v>
      </c>
      <c r="D30" s="86">
        <v>85723.7072151163</v>
      </c>
      <c r="E30" s="86">
        <v>84520.5888443088</v>
      </c>
      <c r="F30" s="86">
        <v>83595.636305435</v>
      </c>
      <c r="I30" s="389">
        <f t="shared" ref="I30:I37" si="16">(1+B30)</f>
        <v>1.1</v>
      </c>
      <c r="J30" t="str">
        <f t="shared" si="10"/>
        <v>Trd_hdt_dsl-hyb</v>
      </c>
      <c r="K30" t="str">
        <f t="shared" si="11"/>
        <v>Trd_hdt_dsl-hyb_10</v>
      </c>
      <c r="L30" t="str">
        <f t="shared" si="3"/>
        <v>Trd_hdt</v>
      </c>
      <c r="M30" s="390">
        <f t="shared" si="12"/>
        <v>88920.6651098532</v>
      </c>
      <c r="N30" s="390">
        <f t="shared" si="13"/>
        <v>85723.7072151163</v>
      </c>
      <c r="O30" s="390">
        <f t="shared" si="14"/>
        <v>84520.5888443088</v>
      </c>
      <c r="P30" s="390">
        <f t="shared" si="15"/>
        <v>83595.636305435</v>
      </c>
      <c r="Q30">
        <f t="shared" ref="Q30:Q37" si="17">P30</f>
        <v>83595.636305435</v>
      </c>
      <c r="R30">
        <v>3</v>
      </c>
      <c r="U30" s="386"/>
      <c r="X30" t="str">
        <f t="shared" si="6"/>
        <v>Trd_hdt_dsl-hyb_10</v>
      </c>
      <c r="Y30" t="str">
        <f ca="1" t="shared" si="7"/>
        <v>7.5-16t diesel hybrid truck -- 10%</v>
      </c>
      <c r="Z30" s="388" t="s">
        <v>84</v>
      </c>
      <c r="AA30" s="388" t="s">
        <v>85</v>
      </c>
    </row>
    <row r="31" spans="2:27">
      <c r="B31" s="85">
        <v>0.15</v>
      </c>
      <c r="C31" s="86">
        <v>90395.0204926283</v>
      </c>
      <c r="D31" s="86">
        <v>85866.8890332981</v>
      </c>
      <c r="E31" s="86">
        <v>84742.0752039553</v>
      </c>
      <c r="F31" s="86">
        <v>83858.3785974444</v>
      </c>
      <c r="I31" s="389">
        <f t="shared" si="16"/>
        <v>1.15</v>
      </c>
      <c r="J31" t="str">
        <f t="shared" si="10"/>
        <v>Trd_hdt_dsl-hyb</v>
      </c>
      <c r="K31" t="str">
        <f t="shared" si="11"/>
        <v>Trd_hdt_dsl-hyb_15</v>
      </c>
      <c r="L31" t="str">
        <f t="shared" si="3"/>
        <v>Trd_hdt</v>
      </c>
      <c r="M31" s="390">
        <f t="shared" si="12"/>
        <v>90395.0204926283</v>
      </c>
      <c r="N31" s="390">
        <f t="shared" si="13"/>
        <v>85866.8890332981</v>
      </c>
      <c r="O31" s="390">
        <f t="shared" si="14"/>
        <v>84742.0752039553</v>
      </c>
      <c r="P31" s="390">
        <f t="shared" si="15"/>
        <v>83858.3785974444</v>
      </c>
      <c r="Q31">
        <f t="shared" si="17"/>
        <v>83858.3785974444</v>
      </c>
      <c r="R31">
        <v>3</v>
      </c>
      <c r="U31" s="386"/>
      <c r="X31" t="str">
        <f t="shared" si="6"/>
        <v>Trd_hdt_dsl-hyb_15</v>
      </c>
      <c r="Y31" t="str">
        <f ca="1" t="shared" si="7"/>
        <v>7.5-16t diesel hybrid truck -- 15%</v>
      </c>
      <c r="Z31" s="388" t="s">
        <v>84</v>
      </c>
      <c r="AA31" s="388" t="s">
        <v>85</v>
      </c>
    </row>
    <row r="32" spans="2:27">
      <c r="B32" s="85">
        <v>0.2</v>
      </c>
      <c r="C32" s="86">
        <v>91869.3758754034</v>
      </c>
      <c r="D32" s="86">
        <v>86041.5708514799</v>
      </c>
      <c r="E32" s="86">
        <v>84996.5031128271</v>
      </c>
      <c r="F32" s="86">
        <v>84156.751475997</v>
      </c>
      <c r="I32" s="389">
        <f t="shared" si="16"/>
        <v>1.2</v>
      </c>
      <c r="J32" t="str">
        <f t="shared" si="10"/>
        <v>Trd_hdt_dsl-hyb</v>
      </c>
      <c r="K32" t="str">
        <f t="shared" si="11"/>
        <v>Trd_hdt_dsl-hyb_20</v>
      </c>
      <c r="L32" t="str">
        <f t="shared" si="3"/>
        <v>Trd_hdt</v>
      </c>
      <c r="M32" s="390">
        <f t="shared" si="12"/>
        <v>91869.3758754034</v>
      </c>
      <c r="N32" s="390">
        <f t="shared" si="13"/>
        <v>86041.5708514799</v>
      </c>
      <c r="O32" s="390">
        <f t="shared" si="14"/>
        <v>84996.5031128271</v>
      </c>
      <c r="P32" s="390">
        <f t="shared" si="15"/>
        <v>84156.751475997</v>
      </c>
      <c r="Q32">
        <f t="shared" si="17"/>
        <v>84156.751475997</v>
      </c>
      <c r="R32">
        <v>3</v>
      </c>
      <c r="U32" s="386"/>
      <c r="X32" t="str">
        <f t="shared" si="6"/>
        <v>Trd_hdt_dsl-hyb_20</v>
      </c>
      <c r="Y32" t="str">
        <f ca="1" t="shared" si="7"/>
        <v>7.5-16t diesel hybrid truck -- 20%</v>
      </c>
      <c r="Z32" s="388" t="s">
        <v>84</v>
      </c>
      <c r="AA32" s="388" t="s">
        <v>85</v>
      </c>
    </row>
    <row r="33" spans="2:27">
      <c r="B33" s="85">
        <v>0.25</v>
      </c>
      <c r="C33" s="86">
        <v>93343.7312581785</v>
      </c>
      <c r="D33" s="86">
        <v>86487.4440572216</v>
      </c>
      <c r="E33" s="86">
        <v>85493.1691287208</v>
      </c>
      <c r="F33" s="86">
        <v>84675.0560982984</v>
      </c>
      <c r="I33" s="389">
        <f t="shared" si="16"/>
        <v>1.25</v>
      </c>
      <c r="J33" t="str">
        <f t="shared" si="10"/>
        <v>Trd_hdt_dsl-hyb</v>
      </c>
      <c r="K33" t="str">
        <f t="shared" si="11"/>
        <v>Trd_hdt_dsl-hyb_25</v>
      </c>
      <c r="L33" t="str">
        <f t="shared" si="3"/>
        <v>Trd_hdt</v>
      </c>
      <c r="M33" s="390">
        <f t="shared" si="12"/>
        <v>93343.7312581785</v>
      </c>
      <c r="N33" s="390">
        <f t="shared" si="13"/>
        <v>86487.4440572216</v>
      </c>
      <c r="O33" s="390">
        <f t="shared" si="14"/>
        <v>85493.1691287208</v>
      </c>
      <c r="P33" s="390">
        <f t="shared" si="15"/>
        <v>84675.0560982984</v>
      </c>
      <c r="Q33">
        <f t="shared" si="17"/>
        <v>84675.0560982984</v>
      </c>
      <c r="R33">
        <v>3</v>
      </c>
      <c r="U33" s="386"/>
      <c r="X33" t="str">
        <f t="shared" si="6"/>
        <v>Trd_hdt_dsl-hyb_25</v>
      </c>
      <c r="Y33" t="str">
        <f ca="1" t="shared" si="7"/>
        <v>7.5-16t diesel hybrid truck -- 25%</v>
      </c>
      <c r="Z33" s="388" t="s">
        <v>84</v>
      </c>
      <c r="AA33" s="388" t="s">
        <v>85</v>
      </c>
    </row>
    <row r="34" spans="2:27">
      <c r="B34" s="85">
        <v>0.3</v>
      </c>
      <c r="C34" s="86">
        <v>94818.0866409536</v>
      </c>
      <c r="D34" s="86">
        <v>87242.4966888005</v>
      </c>
      <c r="E34" s="86">
        <v>86278.8059816227</v>
      </c>
      <c r="F34" s="86">
        <v>85465.4384699798</v>
      </c>
      <c r="I34" s="389">
        <f t="shared" si="16"/>
        <v>1.3</v>
      </c>
      <c r="J34" t="str">
        <f t="shared" si="10"/>
        <v>Trd_hdt_dsl-hyb</v>
      </c>
      <c r="K34" t="str">
        <f t="shared" si="11"/>
        <v>Trd_hdt_dsl-hyb_30</v>
      </c>
      <c r="L34" t="str">
        <f t="shared" si="3"/>
        <v>Trd_hdt</v>
      </c>
      <c r="M34" s="390">
        <f t="shared" si="12"/>
        <v>94818.0866409536</v>
      </c>
      <c r="N34" s="390">
        <f t="shared" si="13"/>
        <v>87242.4966888005</v>
      </c>
      <c r="O34" s="390">
        <f t="shared" si="14"/>
        <v>86278.8059816227</v>
      </c>
      <c r="P34" s="390">
        <f t="shared" si="15"/>
        <v>85465.4384699798</v>
      </c>
      <c r="Q34">
        <f t="shared" si="17"/>
        <v>85465.4384699798</v>
      </c>
      <c r="R34">
        <v>3</v>
      </c>
      <c r="U34" s="386"/>
      <c r="X34" t="str">
        <f t="shared" si="6"/>
        <v>Trd_hdt_dsl-hyb_30</v>
      </c>
      <c r="Y34" t="str">
        <f ca="1" t="shared" si="7"/>
        <v>7.5-16t diesel hybrid truck -- 30%</v>
      </c>
      <c r="Z34" s="388" t="s">
        <v>84</v>
      </c>
      <c r="AA34" s="388" t="s">
        <v>85</v>
      </c>
    </row>
    <row r="35" spans="2:27">
      <c r="B35" s="85">
        <v>0.35</v>
      </c>
      <c r="C35" s="86">
        <v>96915.1446564834</v>
      </c>
      <c r="D35" s="86">
        <v>88296.0206122455</v>
      </c>
      <c r="E35" s="86">
        <v>87359.2952176801</v>
      </c>
      <c r="F35" s="86">
        <v>86546.2415338802</v>
      </c>
      <c r="I35" s="389">
        <f t="shared" si="16"/>
        <v>1.35</v>
      </c>
      <c r="J35" t="str">
        <f t="shared" si="10"/>
        <v>Trd_hdt_dsl-hyb</v>
      </c>
      <c r="K35" t="str">
        <f t="shared" si="11"/>
        <v>Trd_hdt_dsl-hyb_35</v>
      </c>
      <c r="L35" t="str">
        <f t="shared" si="3"/>
        <v>Trd_hdt</v>
      </c>
      <c r="M35" s="390">
        <f t="shared" si="12"/>
        <v>96915.1446564834</v>
      </c>
      <c r="N35" s="390">
        <f t="shared" si="13"/>
        <v>88296.0206122455</v>
      </c>
      <c r="O35" s="390">
        <f t="shared" si="14"/>
        <v>87359.2952176801</v>
      </c>
      <c r="P35" s="390">
        <f t="shared" si="15"/>
        <v>86546.2415338802</v>
      </c>
      <c r="Q35">
        <f t="shared" si="17"/>
        <v>86546.2415338802</v>
      </c>
      <c r="R35">
        <v>3</v>
      </c>
      <c r="U35" s="386"/>
      <c r="X35" t="str">
        <f t="shared" si="6"/>
        <v>Trd_hdt_dsl-hyb_35</v>
      </c>
      <c r="Y35" t="str">
        <f ca="1" t="shared" si="7"/>
        <v>7.5-16t diesel hybrid truck -- 35%</v>
      </c>
      <c r="Z35" s="388" t="s">
        <v>84</v>
      </c>
      <c r="AA35" s="388" t="s">
        <v>85</v>
      </c>
    </row>
    <row r="36" spans="2:27">
      <c r="B36" s="85">
        <v>0.4</v>
      </c>
      <c r="C36" s="86">
        <v>98758.1767482286</v>
      </c>
      <c r="D36" s="86">
        <v>91896.2574543508</v>
      </c>
      <c r="E36" s="86">
        <v>90807.9713158337</v>
      </c>
      <c r="F36" s="86">
        <v>89832.5535866655</v>
      </c>
      <c r="I36" s="389">
        <f t="shared" si="16"/>
        <v>1.4</v>
      </c>
      <c r="J36" t="str">
        <f t="shared" si="10"/>
        <v>Trd_hdt_dsl-hyb</v>
      </c>
      <c r="K36" t="str">
        <f t="shared" si="11"/>
        <v>Trd_hdt_dsl-hyb_40</v>
      </c>
      <c r="L36" t="str">
        <f t="shared" si="3"/>
        <v>Trd_hdt</v>
      </c>
      <c r="M36" s="390">
        <f t="shared" si="12"/>
        <v>98758.1767482286</v>
      </c>
      <c r="N36" s="390">
        <f t="shared" si="13"/>
        <v>91896.2574543508</v>
      </c>
      <c r="O36" s="390">
        <f t="shared" si="14"/>
        <v>90807.9713158337</v>
      </c>
      <c r="P36" s="390">
        <f t="shared" si="15"/>
        <v>89832.5535866655</v>
      </c>
      <c r="Q36">
        <f t="shared" si="17"/>
        <v>89832.5535866655</v>
      </c>
      <c r="R36">
        <v>3</v>
      </c>
      <c r="U36" s="386"/>
      <c r="X36" t="str">
        <f t="shared" si="6"/>
        <v>Trd_hdt_dsl-hyb_40</v>
      </c>
      <c r="Y36" t="str">
        <f ca="1" t="shared" si="7"/>
        <v>7.5-16t diesel hybrid truck -- 40%</v>
      </c>
      <c r="Z36" s="388" t="s">
        <v>84</v>
      </c>
      <c r="AA36" s="388" t="s">
        <v>85</v>
      </c>
    </row>
    <row r="37" spans="2:27">
      <c r="B37" s="85">
        <v>0.45</v>
      </c>
      <c r="C37" s="86">
        <v>104720.410736048</v>
      </c>
      <c r="D37" s="86">
        <v>97691.6617605709</v>
      </c>
      <c r="E37" s="86">
        <v>96426.7577972023</v>
      </c>
      <c r="F37" s="86">
        <v>95247.6594290264</v>
      </c>
      <c r="I37" s="389">
        <f t="shared" si="16"/>
        <v>1.45</v>
      </c>
      <c r="J37" t="str">
        <f t="shared" si="10"/>
        <v>Trd_hdt_dsl-hyb</v>
      </c>
      <c r="K37" t="str">
        <f t="shared" si="11"/>
        <v>Trd_hdt_dsl-hyb_45</v>
      </c>
      <c r="L37" t="str">
        <f t="shared" si="3"/>
        <v>Trd_hdt</v>
      </c>
      <c r="M37" s="390">
        <f t="shared" si="12"/>
        <v>104720.410736048</v>
      </c>
      <c r="N37" s="390">
        <f t="shared" si="13"/>
        <v>97691.6617605709</v>
      </c>
      <c r="O37" s="390">
        <f t="shared" si="14"/>
        <v>96426.7577972023</v>
      </c>
      <c r="P37" s="390">
        <f t="shared" si="15"/>
        <v>95247.6594290264</v>
      </c>
      <c r="Q37">
        <f t="shared" si="17"/>
        <v>95247.6594290264</v>
      </c>
      <c r="R37">
        <v>3</v>
      </c>
      <c r="U37" s="386"/>
      <c r="X37" t="str">
        <f t="shared" si="6"/>
        <v>Trd_hdt_dsl-hyb_45</v>
      </c>
      <c r="Y37" t="str">
        <f ca="1" t="shared" si="7"/>
        <v>7.5-16t diesel hybrid truck -- 45%</v>
      </c>
      <c r="Z37" s="388" t="s">
        <v>84</v>
      </c>
      <c r="AA37" s="388" t="s">
        <v>85</v>
      </c>
    </row>
    <row r="38" spans="2:27">
      <c r="J38" t="str">
        <f t="shared" ref="J38:J57" si="18">IFERROR(VLOOKUP(C38,$U$1:$V$7,2,FALSE),J37)</f>
        <v>Trd_hdt_dsl-hyb</v>
      </c>
      <c r="K38" t="str">
        <f t="shared" ref="K38:K57" si="19">IFERROR(IF(VALUE(C38)&gt;2020,J38&amp;"_"&amp;TEXT(B38*100,"00"),"\I:"),"\I:")</f>
        <v>\I:</v>
      </c>
      <c r="L38" t="str">
        <f t="shared" si="3"/>
        <v>\I:</v>
      </c>
      <c r="M38" s="390" t="str">
        <f t="shared" ref="M38:M57" si="20">IF($K38="\I:","",C38)</f>
        <v/>
      </c>
      <c r="N38" s="390" t="str">
        <f t="shared" ref="N38:N57" si="21">IF($K38="\I:","",D38)</f>
        <v/>
      </c>
      <c r="O38" s="390" t="str">
        <f t="shared" ref="O38:O57" si="22">IF($K38="\I:","",E38)</f>
        <v/>
      </c>
      <c r="P38" s="390" t="str">
        <f t="shared" ref="P38:P57" si="23">IF($K38="\I:","",F38)</f>
        <v/>
      </c>
      <c r="U38" s="386"/>
      <c r="X38" t="str">
        <f t="shared" si="6"/>
        <v>\I:</v>
      </c>
      <c r="Y38" t="str">
        <f ca="1" t="shared" si="7"/>
        <v>7.5-16t diesel hybrid truck -- 00%</v>
      </c>
      <c r="Z38" s="388" t="s">
        <v>84</v>
      </c>
      <c r="AA38" s="388" t="s">
        <v>85</v>
      </c>
    </row>
    <row r="39" spans="2:27">
      <c r="J39" t="str">
        <f t="shared" si="18"/>
        <v>Trd_hdt_dsl-hyb</v>
      </c>
      <c r="K39" t="str">
        <f t="shared" si="19"/>
        <v>\I:</v>
      </c>
      <c r="L39" t="str">
        <f t="shared" si="3"/>
        <v>\I:</v>
      </c>
      <c r="M39" s="390" t="str">
        <f t="shared" si="20"/>
        <v/>
      </c>
      <c r="N39" s="390" t="str">
        <f t="shared" si="21"/>
        <v/>
      </c>
      <c r="O39" s="390" t="str">
        <f t="shared" si="22"/>
        <v/>
      </c>
      <c r="P39" s="390" t="str">
        <f t="shared" si="23"/>
        <v/>
      </c>
      <c r="U39" s="386"/>
      <c r="X39" t="str">
        <f t="shared" si="6"/>
        <v>\I:</v>
      </c>
      <c r="Y39" t="str">
        <f ca="1" t="shared" si="7"/>
        <v>7.5-16t diesel hybrid truck -- 00%</v>
      </c>
      <c r="Z39" s="388" t="s">
        <v>84</v>
      </c>
      <c r="AA39" s="388" t="s">
        <v>85</v>
      </c>
    </row>
    <row r="40" spans="2:27">
      <c r="J40" t="str">
        <f t="shared" si="18"/>
        <v>Trd_hdt_dsl-hyb</v>
      </c>
      <c r="K40" t="str">
        <f t="shared" si="19"/>
        <v>\I:</v>
      </c>
      <c r="L40" t="str">
        <f t="shared" si="3"/>
        <v>\I:</v>
      </c>
      <c r="M40" s="390" t="str">
        <f t="shared" si="20"/>
        <v/>
      </c>
      <c r="N40" s="390" t="str">
        <f t="shared" si="21"/>
        <v/>
      </c>
      <c r="O40" s="390" t="str">
        <f t="shared" si="22"/>
        <v/>
      </c>
      <c r="P40" s="390" t="str">
        <f t="shared" si="23"/>
        <v/>
      </c>
      <c r="U40" s="386"/>
      <c r="X40" t="str">
        <f t="shared" si="6"/>
        <v>\I:</v>
      </c>
      <c r="Y40" t="str">
        <f ca="1" t="shared" si="7"/>
        <v>7.5-16t diesel hybrid truck -- 00%</v>
      </c>
      <c r="Z40" s="388" t="s">
        <v>84</v>
      </c>
      <c r="AA40" s="388" t="s">
        <v>85</v>
      </c>
    </row>
    <row r="41" spans="2:27">
      <c r="J41" t="str">
        <f t="shared" si="18"/>
        <v>Trd_hdt_dsl-hyb</v>
      </c>
      <c r="K41" t="str">
        <f t="shared" si="19"/>
        <v>\I:</v>
      </c>
      <c r="L41" t="str">
        <f t="shared" si="3"/>
        <v>\I:</v>
      </c>
      <c r="M41" s="390" t="str">
        <f t="shared" si="20"/>
        <v/>
      </c>
      <c r="N41" s="390" t="str">
        <f t="shared" si="21"/>
        <v/>
      </c>
      <c r="O41" s="390" t="str">
        <f t="shared" si="22"/>
        <v/>
      </c>
      <c r="P41" s="390" t="str">
        <f t="shared" si="23"/>
        <v/>
      </c>
      <c r="U41" s="386"/>
      <c r="X41" t="str">
        <f t="shared" si="6"/>
        <v>\I:</v>
      </c>
      <c r="Y41" t="str">
        <f ca="1" t="shared" si="7"/>
        <v>7.5-16t diesel hybrid truck -- 00%</v>
      </c>
      <c r="Z41" s="388" t="s">
        <v>84</v>
      </c>
      <c r="AA41" s="388" t="s">
        <v>85</v>
      </c>
    </row>
    <row r="42" spans="2:27">
      <c r="B42" s="44" t="s">
        <v>120</v>
      </c>
      <c r="J42" t="str">
        <f t="shared" si="18"/>
        <v>Trd_hdt_dsl-hyb</v>
      </c>
      <c r="K42" t="str">
        <f t="shared" si="19"/>
        <v>\I:</v>
      </c>
      <c r="L42" t="str">
        <f t="shared" si="3"/>
        <v>\I:</v>
      </c>
      <c r="M42" s="390" t="str">
        <f t="shared" si="20"/>
        <v/>
      </c>
      <c r="N42" s="390" t="str">
        <f t="shared" si="21"/>
        <v/>
      </c>
      <c r="O42" s="390" t="str">
        <f t="shared" si="22"/>
        <v/>
      </c>
      <c r="P42" s="390" t="str">
        <f t="shared" si="23"/>
        <v/>
      </c>
      <c r="U42" s="386"/>
      <c r="X42" t="str">
        <f t="shared" si="6"/>
        <v>\I:</v>
      </c>
      <c r="Y42" t="str">
        <f ca="1" t="shared" si="7"/>
        <v>7.5-16t diesel hybrid truck -- Reference values for LNG truck 7.5-16t</v>
      </c>
      <c r="Z42" s="388" t="s">
        <v>84</v>
      </c>
      <c r="AA42" s="388" t="s">
        <v>85</v>
      </c>
    </row>
    <row r="43" spans="2:27">
      <c r="B43" s="381">
        <v>2015</v>
      </c>
      <c r="C43" s="381"/>
      <c r="D43" s="381"/>
      <c r="J43" t="str">
        <f t="shared" si="18"/>
        <v>Trd_hdt_dsl-hyb</v>
      </c>
      <c r="K43" t="str">
        <f t="shared" si="19"/>
        <v>\I:</v>
      </c>
      <c r="L43" t="str">
        <f t="shared" si="3"/>
        <v>\I:</v>
      </c>
      <c r="M43" s="390" t="str">
        <f t="shared" si="20"/>
        <v/>
      </c>
      <c r="N43" s="390" t="str">
        <f t="shared" si="21"/>
        <v/>
      </c>
      <c r="O43" s="390" t="str">
        <f t="shared" si="22"/>
        <v/>
      </c>
      <c r="P43" s="390" t="str">
        <f t="shared" si="23"/>
        <v/>
      </c>
      <c r="U43" s="386"/>
      <c r="X43" t="str">
        <f t="shared" si="6"/>
        <v>\I:</v>
      </c>
      <c r="Y43" t="str">
        <f ca="1" t="shared" si="7"/>
        <v>7.5-16t diesel hybrid truck -- 201500%</v>
      </c>
      <c r="Z43" s="388" t="s">
        <v>84</v>
      </c>
      <c r="AA43" s="388" t="s">
        <v>85</v>
      </c>
    </row>
    <row r="44" spans="2:27">
      <c r="B44" s="46" t="s">
        <v>12</v>
      </c>
      <c r="C44" s="47" t="s">
        <v>88</v>
      </c>
      <c r="D44" s="48">
        <v>15.6724885159612</v>
      </c>
      <c r="G44" s="382">
        <f>D44*$I$2/100*10^9/10^6</f>
        <v>8.1512515429686</v>
      </c>
      <c r="H44" s="382"/>
      <c r="I44" s="382">
        <f>1/G44</f>
        <v>0.122680547242174</v>
      </c>
      <c r="J44" t="str">
        <f t="shared" si="18"/>
        <v>Trd_hdt_dsl-hyb</v>
      </c>
      <c r="K44" t="str">
        <f t="shared" si="19"/>
        <v>\I:</v>
      </c>
      <c r="L44" t="str">
        <f t="shared" si="3"/>
        <v>\I:</v>
      </c>
      <c r="M44" s="390" t="str">
        <f t="shared" si="20"/>
        <v/>
      </c>
      <c r="N44" s="390" t="str">
        <f t="shared" si="21"/>
        <v/>
      </c>
      <c r="O44" s="390" t="str">
        <f t="shared" si="22"/>
        <v/>
      </c>
      <c r="P44" s="390" t="str">
        <f t="shared" si="23"/>
        <v/>
      </c>
      <c r="U44" s="386"/>
      <c r="X44" t="str">
        <f t="shared" si="6"/>
        <v>\I:</v>
      </c>
      <c r="Y44" t="str">
        <f ca="1" t="shared" si="7"/>
        <v>7.5-16t diesel hybrid truck -- Energy consumption</v>
      </c>
      <c r="Z44" s="388" t="s">
        <v>84</v>
      </c>
      <c r="AA44" s="388" t="s">
        <v>85</v>
      </c>
    </row>
    <row r="45" spans="2:27">
      <c r="B45" s="46" t="s">
        <v>14</v>
      </c>
      <c r="C45" s="47" t="s">
        <v>15</v>
      </c>
      <c r="D45" s="68">
        <v>97834.8667075987</v>
      </c>
      <c r="I45" s="44" t="s">
        <v>70</v>
      </c>
      <c r="J45" t="str">
        <f t="shared" si="18"/>
        <v>Trd_hdt_dsl-hyb</v>
      </c>
      <c r="K45" t="str">
        <f t="shared" si="19"/>
        <v>\I:</v>
      </c>
      <c r="L45" t="str">
        <f t="shared" si="3"/>
        <v>\I:</v>
      </c>
      <c r="M45" s="390" t="str">
        <f t="shared" si="20"/>
        <v/>
      </c>
      <c r="N45" s="390" t="str">
        <f t="shared" si="21"/>
        <v/>
      </c>
      <c r="O45" s="390" t="str">
        <f t="shared" si="22"/>
        <v/>
      </c>
      <c r="P45" s="390" t="str">
        <f t="shared" si="23"/>
        <v/>
      </c>
      <c r="U45" s="386"/>
      <c r="X45" t="str">
        <f t="shared" si="6"/>
        <v>\I:</v>
      </c>
      <c r="Y45" t="str">
        <f ca="1" t="shared" si="7"/>
        <v>7.5-16t diesel hybrid truck -- Capital cost</v>
      </c>
      <c r="Z45" s="388" t="s">
        <v>84</v>
      </c>
      <c r="AA45" s="388" t="s">
        <v>85</v>
      </c>
    </row>
    <row r="46" ht="15" customHeight="1" spans="2:27">
      <c r="J46" t="str">
        <f t="shared" si="18"/>
        <v>Trd_hdt_dsl-hyb</v>
      </c>
      <c r="K46" t="str">
        <f t="shared" si="19"/>
        <v>\I:</v>
      </c>
      <c r="L46" t="str">
        <f t="shared" si="3"/>
        <v>\I:</v>
      </c>
      <c r="M46" s="390" t="str">
        <f t="shared" si="20"/>
        <v/>
      </c>
      <c r="N46" s="390" t="str">
        <f t="shared" si="21"/>
        <v/>
      </c>
      <c r="O46" s="390" t="str">
        <f t="shared" si="22"/>
        <v/>
      </c>
      <c r="P46" s="390" t="str">
        <f t="shared" si="23"/>
        <v/>
      </c>
      <c r="U46" s="386"/>
      <c r="X46" t="str">
        <f t="shared" si="6"/>
        <v>\I:</v>
      </c>
      <c r="Y46" t="str">
        <f ca="1" t="shared" si="7"/>
        <v>7.5-16t diesel hybrid truck -- 00%</v>
      </c>
      <c r="Z46" s="388" t="s">
        <v>84</v>
      </c>
      <c r="AA46" s="388" t="s">
        <v>85</v>
      </c>
    </row>
    <row r="47" ht="15" customHeight="1" spans="2:27">
      <c r="B47" s="400" t="s">
        <v>121</v>
      </c>
      <c r="C47" s="387" t="s">
        <v>114</v>
      </c>
      <c r="D47" s="400"/>
      <c r="E47" s="400"/>
      <c r="F47" s="400"/>
      <c r="J47" t="str">
        <f t="shared" si="18"/>
        <v>Trd_hdt_lng</v>
      </c>
      <c r="K47" t="str">
        <f t="shared" si="19"/>
        <v>\I:</v>
      </c>
      <c r="L47" t="str">
        <f t="shared" si="3"/>
        <v>\I:</v>
      </c>
      <c r="M47" s="390" t="str">
        <f t="shared" si="20"/>
        <v/>
      </c>
      <c r="N47" s="390" t="str">
        <f t="shared" si="21"/>
        <v/>
      </c>
      <c r="O47" s="390" t="str">
        <f t="shared" si="22"/>
        <v/>
      </c>
      <c r="P47" s="390" t="str">
        <f t="shared" si="23"/>
        <v/>
      </c>
      <c r="U47" s="386"/>
      <c r="X47" t="str">
        <f t="shared" si="6"/>
        <v>\I:</v>
      </c>
      <c r="Y47" t="str">
        <f ca="1" t="shared" si="7"/>
        <v>7.5-16t LNG truck -- Reduction of specific energy consumption relative to 2015 LNG vehicle (%)</v>
      </c>
      <c r="Z47" s="388" t="s">
        <v>84</v>
      </c>
      <c r="AA47" s="388" t="s">
        <v>85</v>
      </c>
    </row>
    <row r="48" spans="2:27">
      <c r="B48" s="400"/>
      <c r="C48" s="387"/>
      <c r="D48" s="400"/>
      <c r="E48" s="400"/>
      <c r="F48" s="400"/>
      <c r="J48" t="str">
        <f t="shared" si="18"/>
        <v>Trd_hdt_lng</v>
      </c>
      <c r="K48" t="str">
        <f t="shared" si="19"/>
        <v>\I:</v>
      </c>
      <c r="L48" t="str">
        <f t="shared" si="3"/>
        <v>\I:</v>
      </c>
      <c r="M48" s="390" t="str">
        <f t="shared" si="20"/>
        <v/>
      </c>
      <c r="N48" s="390" t="str">
        <f t="shared" si="21"/>
        <v/>
      </c>
      <c r="O48" s="390" t="str">
        <f t="shared" si="22"/>
        <v/>
      </c>
      <c r="P48" s="390" t="str">
        <f t="shared" si="23"/>
        <v/>
      </c>
      <c r="U48" s="386"/>
      <c r="X48" t="str">
        <f t="shared" si="6"/>
        <v>\I:</v>
      </c>
      <c r="Y48" t="str">
        <f ca="1" t="shared" si="7"/>
        <v>7.5-16t LNG truck -- 00%</v>
      </c>
      <c r="Z48" s="388" t="s">
        <v>84</v>
      </c>
      <c r="AA48" s="388" t="s">
        <v>85</v>
      </c>
    </row>
    <row r="49" spans="2:27">
      <c r="B49" s="400"/>
      <c r="C49" s="387"/>
      <c r="D49" s="400"/>
      <c r="E49" s="400"/>
      <c r="F49" s="400"/>
      <c r="J49" t="str">
        <f t="shared" si="18"/>
        <v>Trd_hdt_lng</v>
      </c>
      <c r="K49" t="str">
        <f t="shared" si="19"/>
        <v>\I:</v>
      </c>
      <c r="L49" t="str">
        <f t="shared" si="3"/>
        <v>\I:</v>
      </c>
      <c r="M49" s="390" t="str">
        <f t="shared" si="20"/>
        <v/>
      </c>
      <c r="N49" s="390" t="str">
        <f t="shared" si="21"/>
        <v/>
      </c>
      <c r="O49" s="390" t="str">
        <f t="shared" si="22"/>
        <v/>
      </c>
      <c r="P49" s="390" t="str">
        <f t="shared" si="23"/>
        <v/>
      </c>
      <c r="U49" s="386"/>
      <c r="X49" t="str">
        <f t="shared" si="6"/>
        <v>\I:</v>
      </c>
      <c r="Y49" t="str">
        <f ca="1" t="shared" si="7"/>
        <v>7.5-16t LNG truck -- 00%</v>
      </c>
      <c r="Z49" s="388" t="s">
        <v>84</v>
      </c>
      <c r="AA49" s="388" t="s">
        <v>85</v>
      </c>
    </row>
    <row r="50" spans="2:27">
      <c r="B50" s="88"/>
      <c r="C50" s="51">
        <v>2020</v>
      </c>
      <c r="D50" s="51">
        <v>2030</v>
      </c>
      <c r="E50" s="51">
        <v>2040</v>
      </c>
      <c r="F50" s="51">
        <v>2050</v>
      </c>
      <c r="J50" t="str">
        <f t="shared" si="18"/>
        <v>Trd_hdt_lng</v>
      </c>
      <c r="K50" t="str">
        <f t="shared" si="19"/>
        <v>\I:</v>
      </c>
      <c r="L50" t="str">
        <f t="shared" si="3"/>
        <v>\I:</v>
      </c>
      <c r="M50" s="390" t="str">
        <f t="shared" si="20"/>
        <v/>
      </c>
      <c r="N50" s="390" t="str">
        <f t="shared" si="21"/>
        <v/>
      </c>
      <c r="O50" s="390" t="str">
        <f t="shared" si="22"/>
        <v/>
      </c>
      <c r="P50" s="390" t="str">
        <f t="shared" si="23"/>
        <v/>
      </c>
      <c r="U50" s="386"/>
      <c r="X50" t="str">
        <f t="shared" si="6"/>
        <v>\I:</v>
      </c>
      <c r="Y50" t="str">
        <f ca="1" t="shared" si="7"/>
        <v>7.5-16t LNG truck -- 00%</v>
      </c>
      <c r="Z50" s="388" t="s">
        <v>84</v>
      </c>
      <c r="AA50" s="388" t="s">
        <v>85</v>
      </c>
    </row>
    <row r="51" spans="2:27">
      <c r="B51" s="85">
        <v>0.0441258142145298</v>
      </c>
      <c r="C51" s="86">
        <v>98717.5518945274</v>
      </c>
      <c r="D51" s="86">
        <v>98717.5518945274</v>
      </c>
      <c r="E51" s="86">
        <v>98717.5518945274</v>
      </c>
      <c r="F51" s="86">
        <v>98717.5518945274</v>
      </c>
      <c r="I51" s="389">
        <f t="shared" ref="I51:I57" si="24">$I$44*(1+B51)/$I$7</f>
        <v>0.919119546564507</v>
      </c>
      <c r="J51" t="str">
        <f t="shared" si="18"/>
        <v>Trd_hdt_lng</v>
      </c>
      <c r="K51" t="str">
        <f t="shared" si="19"/>
        <v>Trd_hdt_lng_04</v>
      </c>
      <c r="L51" t="str">
        <f t="shared" si="3"/>
        <v>Trd_hdt</v>
      </c>
      <c r="M51" s="390">
        <f t="shared" si="20"/>
        <v>98717.5518945274</v>
      </c>
      <c r="N51" s="390">
        <f t="shared" si="21"/>
        <v>98717.5518945274</v>
      </c>
      <c r="O51" s="390">
        <f t="shared" si="22"/>
        <v>98717.5518945274</v>
      </c>
      <c r="P51" s="390">
        <f t="shared" si="23"/>
        <v>98717.5518945274</v>
      </c>
      <c r="Q51">
        <f t="shared" ref="Q51:Q58" si="25">P51</f>
        <v>98717.5518945274</v>
      </c>
      <c r="R51">
        <v>3</v>
      </c>
      <c r="U51" s="386"/>
      <c r="X51" t="str">
        <f t="shared" si="6"/>
        <v>Trd_hdt_lng_04</v>
      </c>
      <c r="Y51" t="str">
        <f ca="1" t="shared" si="7"/>
        <v>7.5-16t LNG truck -- 04%</v>
      </c>
      <c r="Z51" s="388" t="s">
        <v>84</v>
      </c>
      <c r="AA51" s="388" t="s">
        <v>85</v>
      </c>
    </row>
    <row r="52" spans="2:27">
      <c r="B52" s="85">
        <v>0.0941258142145298</v>
      </c>
      <c r="C52" s="86">
        <v>100149.98465522</v>
      </c>
      <c r="D52" s="86">
        <v>99663.0361158585</v>
      </c>
      <c r="E52" s="86">
        <v>99663.0361158585</v>
      </c>
      <c r="F52" s="86">
        <v>99663.0361158585</v>
      </c>
      <c r="I52" s="389">
        <f t="shared" si="24"/>
        <v>0.963133377754761</v>
      </c>
      <c r="J52" t="str">
        <f t="shared" si="18"/>
        <v>Trd_hdt_lng</v>
      </c>
      <c r="K52" t="str">
        <f t="shared" si="19"/>
        <v>Trd_hdt_lng_09</v>
      </c>
      <c r="L52" t="str">
        <f t="shared" si="3"/>
        <v>Trd_hdt</v>
      </c>
      <c r="M52" s="390">
        <f t="shared" si="20"/>
        <v>100149.98465522</v>
      </c>
      <c r="N52" s="390">
        <f t="shared" si="21"/>
        <v>99663.0361158585</v>
      </c>
      <c r="O52" s="390">
        <f t="shared" si="22"/>
        <v>99663.0361158585</v>
      </c>
      <c r="P52" s="390">
        <f t="shared" si="23"/>
        <v>99663.0361158585</v>
      </c>
      <c r="Q52">
        <f t="shared" si="25"/>
        <v>99663.0361158585</v>
      </c>
      <c r="R52">
        <v>3</v>
      </c>
      <c r="U52" s="386"/>
      <c r="X52" t="str">
        <f t="shared" si="6"/>
        <v>Trd_hdt_lng_09</v>
      </c>
      <c r="Y52" t="str">
        <f ca="1" t="shared" si="7"/>
        <v>7.5-16t LNG truck -- 09%</v>
      </c>
      <c r="Z52" s="388" t="s">
        <v>84</v>
      </c>
      <c r="AA52" s="388" t="s">
        <v>85</v>
      </c>
    </row>
    <row r="53" spans="2:27">
      <c r="B53" s="85">
        <v>0.14412581421453</v>
      </c>
      <c r="C53" s="86">
        <v>101448.960896787</v>
      </c>
      <c r="D53" s="86">
        <v>101055.405015415</v>
      </c>
      <c r="E53" s="86">
        <v>101055.405015415</v>
      </c>
      <c r="F53" s="86">
        <v>101055.405015415</v>
      </c>
      <c r="I53" s="389">
        <f t="shared" si="24"/>
        <v>1.00714720894502</v>
      </c>
      <c r="J53" t="str">
        <f t="shared" si="18"/>
        <v>Trd_hdt_lng</v>
      </c>
      <c r="K53" t="str">
        <f t="shared" si="19"/>
        <v>Trd_hdt_lng_14</v>
      </c>
      <c r="L53" t="str">
        <f t="shared" si="3"/>
        <v>Trd_hdt</v>
      </c>
      <c r="M53" s="390">
        <f t="shared" si="20"/>
        <v>101448.960896787</v>
      </c>
      <c r="N53" s="390">
        <f t="shared" si="21"/>
        <v>101055.405015415</v>
      </c>
      <c r="O53" s="390">
        <f t="shared" si="22"/>
        <v>101055.405015415</v>
      </c>
      <c r="P53" s="390">
        <f t="shared" si="23"/>
        <v>101055.405015415</v>
      </c>
      <c r="Q53">
        <f t="shared" si="25"/>
        <v>101055.405015415</v>
      </c>
      <c r="R53">
        <v>3</v>
      </c>
      <c r="U53" s="386"/>
      <c r="X53" t="str">
        <f t="shared" si="6"/>
        <v>Trd_hdt_lng_14</v>
      </c>
      <c r="Y53" t="str">
        <f ca="1" t="shared" si="7"/>
        <v>7.5-16t LNG truck -- 14%</v>
      </c>
      <c r="Z53" s="388" t="s">
        <v>84</v>
      </c>
      <c r="AA53" s="388" t="s">
        <v>85</v>
      </c>
    </row>
    <row r="54" spans="2:27">
      <c r="B54" s="85">
        <v>0.19412581421453</v>
      </c>
      <c r="C54" s="86">
        <v>106980.82801971</v>
      </c>
      <c r="D54" s="86">
        <v>103105.879374174</v>
      </c>
      <c r="E54" s="86">
        <v>103105.879374174</v>
      </c>
      <c r="F54" s="86">
        <v>103105.879374174</v>
      </c>
      <c r="I54" s="389">
        <f t="shared" si="24"/>
        <v>1.05116104013527</v>
      </c>
      <c r="J54" t="str">
        <f t="shared" si="18"/>
        <v>Trd_hdt_lng</v>
      </c>
      <c r="K54" t="str">
        <f t="shared" si="19"/>
        <v>Trd_hdt_lng_19</v>
      </c>
      <c r="L54" t="str">
        <f t="shared" si="3"/>
        <v>Trd_hdt</v>
      </c>
      <c r="M54" s="390">
        <f t="shared" si="20"/>
        <v>106980.82801971</v>
      </c>
      <c r="N54" s="390">
        <f t="shared" si="21"/>
        <v>103105.879374174</v>
      </c>
      <c r="O54" s="390">
        <f t="shared" si="22"/>
        <v>103105.879374174</v>
      </c>
      <c r="P54" s="390">
        <f t="shared" si="23"/>
        <v>103105.879374174</v>
      </c>
      <c r="Q54">
        <f t="shared" si="25"/>
        <v>103105.879374174</v>
      </c>
      <c r="R54">
        <v>3</v>
      </c>
      <c r="U54" s="386"/>
      <c r="X54" t="str">
        <f t="shared" si="6"/>
        <v>Trd_hdt_lng_19</v>
      </c>
      <c r="Y54" t="str">
        <f ca="1" t="shared" si="7"/>
        <v>7.5-16t LNG truck -- 19%</v>
      </c>
      <c r="Z54" s="388" t="s">
        <v>84</v>
      </c>
      <c r="AA54" s="388" t="s">
        <v>85</v>
      </c>
    </row>
    <row r="55" spans="2:27">
      <c r="B55" s="85">
        <v>0.24412581421453</v>
      </c>
      <c r="C55" s="86">
        <v>111288.922874223</v>
      </c>
      <c r="D55" s="86">
        <v>106125.513823974</v>
      </c>
      <c r="E55" s="86">
        <v>106125.513823974</v>
      </c>
      <c r="F55" s="86">
        <v>106125.513823974</v>
      </c>
      <c r="I55" s="389">
        <f t="shared" si="24"/>
        <v>1.09517487132553</v>
      </c>
      <c r="J55" t="str">
        <f t="shared" si="18"/>
        <v>Trd_hdt_lng</v>
      </c>
      <c r="K55" t="str">
        <f t="shared" si="19"/>
        <v>Trd_hdt_lng_24</v>
      </c>
      <c r="L55" t="str">
        <f t="shared" si="3"/>
        <v>Trd_hdt</v>
      </c>
      <c r="M55" s="390">
        <f t="shared" si="20"/>
        <v>111288.922874223</v>
      </c>
      <c r="N55" s="390">
        <f t="shared" si="21"/>
        <v>106125.513823974</v>
      </c>
      <c r="O55" s="390">
        <f t="shared" si="22"/>
        <v>106125.513823974</v>
      </c>
      <c r="P55" s="390">
        <f t="shared" si="23"/>
        <v>106125.513823974</v>
      </c>
      <c r="Q55">
        <f t="shared" si="25"/>
        <v>106125.513823974</v>
      </c>
      <c r="R55">
        <v>3</v>
      </c>
      <c r="U55" s="386"/>
      <c r="X55" t="str">
        <f t="shared" si="6"/>
        <v>Trd_hdt_lng_24</v>
      </c>
      <c r="Y55" t="str">
        <f ca="1" t="shared" si="7"/>
        <v>7.5-16t LNG truck -- 24%</v>
      </c>
      <c r="Z55" s="388" t="s">
        <v>84</v>
      </c>
      <c r="AA55" s="388" t="s">
        <v>85</v>
      </c>
    </row>
    <row r="56" spans="2:27">
      <c r="B56" s="85">
        <v>0.26412581421453</v>
      </c>
      <c r="C56" s="86">
        <v>134190.049294419</v>
      </c>
      <c r="D56" s="86">
        <v>110686.40839146</v>
      </c>
      <c r="E56" s="86">
        <v>110572.383481946</v>
      </c>
      <c r="F56" s="86">
        <v>110572.383481946</v>
      </c>
      <c r="I56" s="389">
        <f t="shared" si="24"/>
        <v>1.11278040380163</v>
      </c>
      <c r="J56" t="str">
        <f t="shared" si="18"/>
        <v>Trd_hdt_lng</v>
      </c>
      <c r="K56" t="str">
        <f t="shared" si="19"/>
        <v>Trd_hdt_lng_26</v>
      </c>
      <c r="L56" t="str">
        <f t="shared" si="3"/>
        <v>Trd_hdt</v>
      </c>
      <c r="M56" s="390">
        <f t="shared" si="20"/>
        <v>134190.049294419</v>
      </c>
      <c r="N56" s="390">
        <f t="shared" si="21"/>
        <v>110686.40839146</v>
      </c>
      <c r="O56" s="390">
        <f t="shared" si="22"/>
        <v>110572.383481946</v>
      </c>
      <c r="P56" s="390">
        <f t="shared" si="23"/>
        <v>110572.383481946</v>
      </c>
      <c r="Q56">
        <f t="shared" si="25"/>
        <v>110572.383481946</v>
      </c>
      <c r="R56">
        <v>3</v>
      </c>
      <c r="U56" s="386"/>
      <c r="X56" t="str">
        <f t="shared" si="6"/>
        <v>Trd_hdt_lng_26</v>
      </c>
      <c r="Y56" t="str">
        <f ca="1" t="shared" si="7"/>
        <v>7.5-16t LNG truck -- 26%</v>
      </c>
      <c r="Z56" s="388" t="s">
        <v>84</v>
      </c>
      <c r="AA56" s="388" t="s">
        <v>85</v>
      </c>
    </row>
    <row r="57" spans="2:27">
      <c r="B57" s="85">
        <v>0.29412581421453</v>
      </c>
      <c r="C57" s="86">
        <v>208565.028347038</v>
      </c>
      <c r="D57" s="86">
        <v>124627.250339516</v>
      </c>
      <c r="E57" s="86">
        <v>117121.073425628</v>
      </c>
      <c r="F57" s="86">
        <v>117121.073425628</v>
      </c>
      <c r="I57" s="389">
        <f t="shared" si="24"/>
        <v>1.13918870251578</v>
      </c>
      <c r="J57" t="str">
        <f t="shared" si="18"/>
        <v>Trd_hdt_lng</v>
      </c>
      <c r="K57" t="str">
        <f t="shared" si="19"/>
        <v>Trd_hdt_lng_29</v>
      </c>
      <c r="L57" t="str">
        <f t="shared" si="3"/>
        <v>Trd_hdt</v>
      </c>
      <c r="M57" s="390">
        <f t="shared" si="20"/>
        <v>208565.028347038</v>
      </c>
      <c r="N57" s="390">
        <f t="shared" si="21"/>
        <v>124627.250339516</v>
      </c>
      <c r="O57" s="390">
        <f t="shared" si="22"/>
        <v>117121.073425628</v>
      </c>
      <c r="P57" s="390">
        <f t="shared" si="23"/>
        <v>117121.073425628</v>
      </c>
      <c r="Q57">
        <f t="shared" si="25"/>
        <v>117121.073425628</v>
      </c>
      <c r="R57">
        <v>3</v>
      </c>
      <c r="U57" s="386"/>
      <c r="X57" t="str">
        <f t="shared" si="6"/>
        <v>Trd_hdt_lng_29</v>
      </c>
      <c r="Y57" t="str">
        <f ca="1" t="shared" si="7"/>
        <v>7.5-16t LNG truck -- 29%</v>
      </c>
      <c r="Z57" s="388" t="s">
        <v>84</v>
      </c>
      <c r="AA57" s="388" t="s">
        <v>85</v>
      </c>
    </row>
    <row r="58" spans="2:27">
      <c r="J58" t="str">
        <f t="shared" ref="J58:J111" si="26">IFERROR(VLOOKUP(C58,$U$1:$V$7,2,FALSE),J57)</f>
        <v>Trd_hdt_lng</v>
      </c>
      <c r="K58" t="str">
        <f t="shared" ref="K58:K103" si="27">IFERROR(IF(VALUE(C58)&gt;2020,J58&amp;"_"&amp;TEXT(B58*100,"00"),"\I:"),"\I:")</f>
        <v>\I:</v>
      </c>
      <c r="L58" t="str">
        <f t="shared" si="3"/>
        <v>\I:</v>
      </c>
      <c r="M58" s="390" t="str">
        <f t="shared" ref="M58:M111" si="28">IF($K58="\I:","",C58)</f>
        <v/>
      </c>
      <c r="N58" s="390" t="str">
        <f t="shared" ref="N58:N111" si="29">IF($K58="\I:","",D58)</f>
        <v/>
      </c>
      <c r="O58" s="390" t="str">
        <f t="shared" ref="O58:O111" si="30">IF($K58="\I:","",E58)</f>
        <v/>
      </c>
      <c r="P58" s="390" t="str">
        <f t="shared" ref="P58:P111" si="31">IF($K58="\I:","",F58)</f>
        <v/>
      </c>
      <c r="Q58" t="str">
        <f t="shared" si="25"/>
        <v/>
      </c>
      <c r="U58" s="386"/>
      <c r="X58" t="str">
        <f t="shared" si="6"/>
        <v>\I:</v>
      </c>
      <c r="Y58" t="str">
        <f ca="1" t="shared" si="7"/>
        <v>7.5-16t LNG truck -- 00%</v>
      </c>
      <c r="Z58" s="388" t="s">
        <v>84</v>
      </c>
      <c r="AA58" s="388" t="s">
        <v>85</v>
      </c>
    </row>
    <row r="59" spans="2:27">
      <c r="J59" t="str">
        <f t="shared" si="26"/>
        <v>Trd_hdt_lng</v>
      </c>
      <c r="K59" t="str">
        <f t="shared" si="27"/>
        <v>\I:</v>
      </c>
      <c r="L59" t="str">
        <f t="shared" si="3"/>
        <v>\I:</v>
      </c>
      <c r="M59" s="390" t="str">
        <f t="shared" si="28"/>
        <v/>
      </c>
      <c r="N59" s="390" t="str">
        <f t="shared" si="29"/>
        <v/>
      </c>
      <c r="O59" s="390" t="str">
        <f t="shared" si="30"/>
        <v/>
      </c>
      <c r="P59" s="390" t="str">
        <f t="shared" si="31"/>
        <v/>
      </c>
      <c r="U59" s="386"/>
      <c r="X59" t="str">
        <f t="shared" si="6"/>
        <v>\I:</v>
      </c>
      <c r="Y59" t="str">
        <f ca="1" t="shared" si="7"/>
        <v>7.5-16t LNG truck -- 00%</v>
      </c>
      <c r="Z59" s="388" t="s">
        <v>84</v>
      </c>
      <c r="AA59" s="388" t="s">
        <v>85</v>
      </c>
    </row>
    <row r="60" spans="2:27">
      <c r="J60" t="str">
        <f t="shared" si="26"/>
        <v>Trd_hdt_lng</v>
      </c>
      <c r="K60" t="str">
        <f t="shared" si="27"/>
        <v>\I:</v>
      </c>
      <c r="L60" t="str">
        <f t="shared" si="3"/>
        <v>\I:</v>
      </c>
      <c r="M60" s="390" t="str">
        <f t="shared" si="28"/>
        <v/>
      </c>
      <c r="N60" s="390" t="str">
        <f t="shared" si="29"/>
        <v/>
      </c>
      <c r="O60" s="390" t="str">
        <f t="shared" si="30"/>
        <v/>
      </c>
      <c r="P60" s="390" t="str">
        <f t="shared" si="31"/>
        <v/>
      </c>
      <c r="U60" s="386"/>
      <c r="X60" t="str">
        <f t="shared" si="6"/>
        <v>\I:</v>
      </c>
      <c r="Y60" t="str">
        <f ca="1" t="shared" si="7"/>
        <v>7.5-16t LNG truck -- 00%</v>
      </c>
      <c r="Z60" s="388" t="s">
        <v>84</v>
      </c>
      <c r="AA60" s="388" t="s">
        <v>85</v>
      </c>
    </row>
    <row r="61" spans="2:27">
      <c r="J61" t="str">
        <f t="shared" si="26"/>
        <v>Trd_hdt_lng</v>
      </c>
      <c r="K61" t="str">
        <f t="shared" si="27"/>
        <v>\I:</v>
      </c>
      <c r="L61" t="str">
        <f t="shared" si="3"/>
        <v>\I:</v>
      </c>
      <c r="M61" s="390" t="str">
        <f t="shared" si="28"/>
        <v/>
      </c>
      <c r="N61" s="390" t="str">
        <f t="shared" si="29"/>
        <v/>
      </c>
      <c r="O61" s="390" t="str">
        <f t="shared" si="30"/>
        <v/>
      </c>
      <c r="P61" s="390" t="str">
        <f t="shared" si="31"/>
        <v/>
      </c>
      <c r="U61" s="386"/>
      <c r="X61" t="str">
        <f t="shared" si="6"/>
        <v>\I:</v>
      </c>
      <c r="Y61" t="str">
        <f ca="1" t="shared" si="7"/>
        <v>7.5-16t LNG truck -- 00%</v>
      </c>
      <c r="Z61" s="388" t="s">
        <v>84</v>
      </c>
      <c r="AA61" s="388" t="s">
        <v>85</v>
      </c>
    </row>
    <row r="62" spans="2:27">
      <c r="B62" s="44" t="s">
        <v>122</v>
      </c>
      <c r="J62" t="str">
        <f t="shared" si="26"/>
        <v>Trd_hdt_lng</v>
      </c>
      <c r="K62" t="str">
        <f t="shared" si="27"/>
        <v>\I:</v>
      </c>
      <c r="L62" t="str">
        <f t="shared" si="3"/>
        <v>\I:</v>
      </c>
      <c r="M62" s="390" t="str">
        <f t="shared" si="28"/>
        <v/>
      </c>
      <c r="N62" s="390" t="str">
        <f t="shared" si="29"/>
        <v/>
      </c>
      <c r="O62" s="390" t="str">
        <f t="shared" si="30"/>
        <v/>
      </c>
      <c r="P62" s="390" t="str">
        <f t="shared" si="31"/>
        <v/>
      </c>
      <c r="U62" s="386"/>
      <c r="X62" t="str">
        <f t="shared" si="6"/>
        <v>\I:</v>
      </c>
      <c r="Y62" t="str">
        <f ca="1" t="shared" si="7"/>
        <v>7.5-16t LNG truck -- Reference values for LPG truck 7.5-16t</v>
      </c>
      <c r="Z62" s="388" t="s">
        <v>84</v>
      </c>
      <c r="AA62" s="388" t="s">
        <v>85</v>
      </c>
    </row>
    <row r="63" spans="2:27">
      <c r="B63" s="381">
        <v>2015</v>
      </c>
      <c r="C63" s="381"/>
      <c r="D63" s="381"/>
      <c r="J63" t="str">
        <f t="shared" si="26"/>
        <v>Trd_hdt_lng</v>
      </c>
      <c r="K63" t="str">
        <f t="shared" si="27"/>
        <v>\I:</v>
      </c>
      <c r="L63" t="str">
        <f t="shared" si="3"/>
        <v>\I:</v>
      </c>
      <c r="M63" s="390" t="str">
        <f t="shared" si="28"/>
        <v/>
      </c>
      <c r="N63" s="390" t="str">
        <f t="shared" si="29"/>
        <v/>
      </c>
      <c r="O63" s="390" t="str">
        <f t="shared" si="30"/>
        <v/>
      </c>
      <c r="P63" s="390" t="str">
        <f t="shared" si="31"/>
        <v/>
      </c>
      <c r="U63" s="386"/>
      <c r="X63" t="str">
        <f t="shared" si="6"/>
        <v>\I:</v>
      </c>
      <c r="Y63" t="str">
        <f ca="1" t="shared" si="7"/>
        <v>7.5-16t LNG truck -- 201500%</v>
      </c>
      <c r="Z63" s="388" t="s">
        <v>84</v>
      </c>
      <c r="AA63" s="388" t="s">
        <v>85</v>
      </c>
    </row>
    <row r="64" spans="2:27">
      <c r="B64" s="46" t="s">
        <v>12</v>
      </c>
      <c r="C64" s="47" t="s">
        <v>13</v>
      </c>
      <c r="D64" s="48">
        <v>23.0366698668345</v>
      </c>
      <c r="G64" s="382">
        <f>D64*$I$6/100*10^9/10^6</f>
        <v>5.89508381892295</v>
      </c>
      <c r="H64" s="382"/>
      <c r="I64" s="382">
        <f>1/G64</f>
        <v>0.169632872189204</v>
      </c>
      <c r="J64" t="str">
        <f t="shared" si="26"/>
        <v>Trd_hdt_lng</v>
      </c>
      <c r="K64" t="str">
        <f t="shared" si="27"/>
        <v>\I:</v>
      </c>
      <c r="L64" t="str">
        <f t="shared" si="3"/>
        <v>\I:</v>
      </c>
      <c r="M64" s="390" t="str">
        <f t="shared" si="28"/>
        <v/>
      </c>
      <c r="N64" s="390" t="str">
        <f t="shared" si="29"/>
        <v/>
      </c>
      <c r="O64" s="390" t="str">
        <f t="shared" si="30"/>
        <v/>
      </c>
      <c r="P64" s="390" t="str">
        <f t="shared" si="31"/>
        <v/>
      </c>
      <c r="U64" s="386"/>
      <c r="X64" t="str">
        <f t="shared" si="6"/>
        <v>\I:</v>
      </c>
      <c r="Y64" t="str">
        <f ca="1" t="shared" si="7"/>
        <v>7.5-16t LNG truck -- Energy consumption</v>
      </c>
      <c r="Z64" s="388" t="s">
        <v>84</v>
      </c>
      <c r="AA64" s="388" t="s">
        <v>85</v>
      </c>
    </row>
    <row r="65" ht="15.75" customHeight="1" spans="2:27">
      <c r="B65" s="46" t="s">
        <v>14</v>
      </c>
      <c r="C65" s="47" t="s">
        <v>15</v>
      </c>
      <c r="D65" s="68">
        <v>87115.9084188155</v>
      </c>
      <c r="I65" s="44" t="s">
        <v>70</v>
      </c>
      <c r="J65" t="str">
        <f t="shared" si="26"/>
        <v>Trd_hdt_lng</v>
      </c>
      <c r="K65" t="str">
        <f t="shared" si="27"/>
        <v>\I:</v>
      </c>
      <c r="L65" t="str">
        <f t="shared" si="3"/>
        <v>\I:</v>
      </c>
      <c r="M65" s="390" t="str">
        <f t="shared" si="28"/>
        <v/>
      </c>
      <c r="N65" s="390" t="str">
        <f t="shared" si="29"/>
        <v/>
      </c>
      <c r="O65" s="390" t="str">
        <f t="shared" si="30"/>
        <v/>
      </c>
      <c r="P65" s="390" t="str">
        <f t="shared" si="31"/>
        <v/>
      </c>
      <c r="U65" s="386"/>
      <c r="X65" t="str">
        <f t="shared" si="6"/>
        <v>\I:</v>
      </c>
      <c r="Y65" t="str">
        <f ca="1" t="shared" si="7"/>
        <v>7.5-16t LNG truck -- Capital cost</v>
      </c>
      <c r="Z65" s="388" t="s">
        <v>84</v>
      </c>
      <c r="AA65" s="388" t="s">
        <v>85</v>
      </c>
    </row>
    <row r="66" ht="15.75" customHeight="1" spans="2:27">
      <c r="B66"/>
      <c r="J66" t="str">
        <f t="shared" si="26"/>
        <v>Trd_hdt_lng</v>
      </c>
      <c r="K66" t="str">
        <f t="shared" si="27"/>
        <v>\I:</v>
      </c>
      <c r="L66" t="str">
        <f t="shared" si="3"/>
        <v>\I:</v>
      </c>
      <c r="M66" s="390" t="str">
        <f t="shared" si="28"/>
        <v/>
      </c>
      <c r="N66" s="390" t="str">
        <f t="shared" si="29"/>
        <v/>
      </c>
      <c r="O66" s="390" t="str">
        <f t="shared" si="30"/>
        <v/>
      </c>
      <c r="P66" s="390" t="str">
        <f t="shared" si="31"/>
        <v/>
      </c>
      <c r="U66" s="386"/>
      <c r="X66" t="str">
        <f t="shared" si="6"/>
        <v>\I:</v>
      </c>
      <c r="Y66" t="str">
        <f ca="1" t="shared" si="7"/>
        <v>7.5-16t LNG truck -- 00%</v>
      </c>
      <c r="Z66" s="388" t="s">
        <v>84</v>
      </c>
      <c r="AA66" s="388" t="s">
        <v>85</v>
      </c>
    </row>
    <row r="67" ht="15.75" customHeight="1" spans="2:27">
      <c r="B67" s="400" t="s">
        <v>123</v>
      </c>
      <c r="C67" s="387" t="s">
        <v>115</v>
      </c>
      <c r="D67" s="400"/>
      <c r="E67" s="400"/>
      <c r="F67" s="400"/>
      <c r="J67" t="str">
        <f t="shared" si="26"/>
        <v>\I:Trd_hdt_lpg</v>
      </c>
      <c r="K67" t="str">
        <f t="shared" si="27"/>
        <v>\I:</v>
      </c>
      <c r="L67" t="str">
        <f t="shared" si="3"/>
        <v>\I:</v>
      </c>
      <c r="M67" s="390" t="str">
        <f t="shared" si="28"/>
        <v/>
      </c>
      <c r="N67" s="390" t="str">
        <f t="shared" si="29"/>
        <v/>
      </c>
      <c r="O67" s="390" t="str">
        <f t="shared" si="30"/>
        <v/>
      </c>
      <c r="P67" s="390" t="str">
        <f t="shared" si="31"/>
        <v/>
      </c>
      <c r="U67" s="386"/>
      <c r="X67" t="str">
        <f t="shared" si="6"/>
        <v>\I:</v>
      </c>
      <c r="Y67" t="str">
        <f ca="1" t="shared" si="7"/>
        <v>7.5-16t LPG truck -- Reduction of specific energy consumption relative to 2015  LPG vehicle(%)</v>
      </c>
      <c r="Z67" s="388" t="s">
        <v>84</v>
      </c>
      <c r="AA67" s="388" t="s">
        <v>85</v>
      </c>
    </row>
    <row r="68" spans="2:27">
      <c r="B68" s="400"/>
      <c r="C68" s="387"/>
      <c r="D68" s="400"/>
      <c r="E68" s="400"/>
      <c r="F68" s="400"/>
      <c r="J68" t="str">
        <f t="shared" si="26"/>
        <v>\I:Trd_hdt_lpg</v>
      </c>
      <c r="K68" t="str">
        <f t="shared" si="27"/>
        <v>\I:</v>
      </c>
      <c r="L68" t="str">
        <f t="shared" si="3"/>
        <v>\I:</v>
      </c>
      <c r="M68" s="390" t="str">
        <f t="shared" si="28"/>
        <v/>
      </c>
      <c r="N68" s="390" t="str">
        <f t="shared" si="29"/>
        <v/>
      </c>
      <c r="O68" s="390" t="str">
        <f t="shared" si="30"/>
        <v/>
      </c>
      <c r="P68" s="390" t="str">
        <f t="shared" si="31"/>
        <v/>
      </c>
      <c r="U68" s="386"/>
      <c r="X68" t="str">
        <f t="shared" si="6"/>
        <v>\I:</v>
      </c>
      <c r="Y68" t="str">
        <f ca="1" t="shared" si="7"/>
        <v>7.5-16t LPG truck -- 00%</v>
      </c>
      <c r="Z68" s="388" t="s">
        <v>84</v>
      </c>
      <c r="AA68" s="388" t="s">
        <v>85</v>
      </c>
    </row>
    <row r="69" spans="2:27">
      <c r="B69" s="400"/>
      <c r="C69" s="387"/>
      <c r="D69" s="400"/>
      <c r="E69" s="400"/>
      <c r="F69" s="400"/>
      <c r="J69" t="str">
        <f t="shared" si="26"/>
        <v>\I:Trd_hdt_lpg</v>
      </c>
      <c r="K69" t="str">
        <f t="shared" si="27"/>
        <v>\I:</v>
      </c>
      <c r="L69" t="str">
        <f t="shared" si="3"/>
        <v>\I:</v>
      </c>
      <c r="M69" s="390" t="str">
        <f t="shared" si="28"/>
        <v/>
      </c>
      <c r="N69" s="390" t="str">
        <f t="shared" si="29"/>
        <v/>
      </c>
      <c r="O69" s="390" t="str">
        <f t="shared" si="30"/>
        <v/>
      </c>
      <c r="P69" s="390" t="str">
        <f t="shared" si="31"/>
        <v/>
      </c>
      <c r="U69" s="386"/>
      <c r="X69" t="str">
        <f t="shared" si="6"/>
        <v>\I:</v>
      </c>
      <c r="Y69" t="str">
        <f ca="1" t="shared" si="7"/>
        <v>7.5-16t LPG truck -- 00%</v>
      </c>
      <c r="Z69" s="388" t="s">
        <v>84</v>
      </c>
      <c r="AA69" s="388" t="s">
        <v>85</v>
      </c>
    </row>
    <row r="70" spans="2:27">
      <c r="B70" s="88"/>
      <c r="C70" s="51">
        <v>2020</v>
      </c>
      <c r="D70" s="51">
        <v>2030</v>
      </c>
      <c r="E70" s="51">
        <v>2040</v>
      </c>
      <c r="F70" s="51">
        <v>2050</v>
      </c>
      <c r="J70" t="str">
        <f t="shared" si="26"/>
        <v>\I:Trd_hdt_lpg</v>
      </c>
      <c r="K70" t="str">
        <f t="shared" si="27"/>
        <v>\I:</v>
      </c>
      <c r="L70" t="str">
        <f t="shared" si="3"/>
        <v>\I:</v>
      </c>
      <c r="M70" s="390" t="str">
        <f t="shared" si="28"/>
        <v/>
      </c>
      <c r="N70" s="390" t="str">
        <f t="shared" si="29"/>
        <v/>
      </c>
      <c r="O70" s="390" t="str">
        <f t="shared" si="30"/>
        <v/>
      </c>
      <c r="P70" s="390" t="str">
        <f t="shared" si="31"/>
        <v/>
      </c>
      <c r="U70" s="386"/>
      <c r="X70" t="str">
        <f t="shared" si="6"/>
        <v>\I:</v>
      </c>
      <c r="Y70" t="str">
        <f ca="1" t="shared" si="7"/>
        <v>7.5-16t LPG truck -- 00%</v>
      </c>
      <c r="Z70" s="388" t="s">
        <v>84</v>
      </c>
      <c r="AA70" s="388" t="s">
        <v>85</v>
      </c>
    </row>
    <row r="71" spans="2:27">
      <c r="B71" s="85">
        <v>0.0441258142145298</v>
      </c>
      <c r="C71" s="86">
        <v>87998.5936057443</v>
      </c>
      <c r="D71" s="86">
        <v>87998.5936057443</v>
      </c>
      <c r="E71" s="86">
        <v>87998.5936057443</v>
      </c>
      <c r="F71" s="86">
        <v>87998.5936057443</v>
      </c>
      <c r="I71" s="389">
        <f t="shared" ref="I71:I77" si="32">$I$64*(1+B71)/$I$7</f>
        <v>1.27088517351656</v>
      </c>
      <c r="J71" t="str">
        <f t="shared" si="26"/>
        <v>\I:Trd_hdt_lpg</v>
      </c>
      <c r="K71" t="str">
        <f t="shared" si="27"/>
        <v>\I:Trd_hdt_lpg_04</v>
      </c>
      <c r="L71" t="str">
        <f t="shared" si="3"/>
        <v>\I:Trd_</v>
      </c>
      <c r="M71" s="390">
        <f t="shared" si="28"/>
        <v>87998.5936057443</v>
      </c>
      <c r="N71" s="390">
        <f t="shared" si="29"/>
        <v>87998.5936057443</v>
      </c>
      <c r="O71" s="390">
        <f t="shared" si="30"/>
        <v>87998.5936057443</v>
      </c>
      <c r="P71" s="390">
        <f t="shared" si="31"/>
        <v>87998.5936057443</v>
      </c>
      <c r="Q71">
        <f t="shared" ref="Q71:Q78" si="33">P71</f>
        <v>87998.5936057443</v>
      </c>
      <c r="R71">
        <v>3</v>
      </c>
      <c r="U71" s="386"/>
      <c r="X71" t="str">
        <f t="shared" si="6"/>
        <v>\I:Trd_hdt_lpg_04</v>
      </c>
      <c r="Y71" t="str">
        <f ca="1" t="shared" si="7"/>
        <v>7.5-16t LPG truck -- 04%</v>
      </c>
      <c r="Z71" s="388" t="s">
        <v>84</v>
      </c>
      <c r="AA71" s="388" t="s">
        <v>85</v>
      </c>
    </row>
    <row r="72" spans="2:27">
      <c r="B72" s="85">
        <v>0.0941258142145298</v>
      </c>
      <c r="C72" s="86">
        <v>89431.0263664373</v>
      </c>
      <c r="D72" s="86">
        <v>88944.0778270753</v>
      </c>
      <c r="E72" s="86">
        <v>88944.0778270753</v>
      </c>
      <c r="F72" s="86">
        <v>88944.0778270753</v>
      </c>
      <c r="I72" s="389">
        <f t="shared" si="32"/>
        <v>1.33174398747437</v>
      </c>
      <c r="J72" t="str">
        <f t="shared" si="26"/>
        <v>\I:Trd_hdt_lpg</v>
      </c>
      <c r="K72" t="str">
        <f t="shared" si="27"/>
        <v>\I:Trd_hdt_lpg_09</v>
      </c>
      <c r="L72" t="str">
        <f t="shared" si="3"/>
        <v>\I:Trd_</v>
      </c>
      <c r="M72" s="390">
        <f t="shared" si="28"/>
        <v>89431.0263664373</v>
      </c>
      <c r="N72" s="390">
        <f t="shared" si="29"/>
        <v>88944.0778270753</v>
      </c>
      <c r="O72" s="390">
        <f t="shared" si="30"/>
        <v>88944.0778270753</v>
      </c>
      <c r="P72" s="390">
        <f t="shared" si="31"/>
        <v>88944.0778270753</v>
      </c>
      <c r="Q72">
        <f t="shared" si="33"/>
        <v>88944.0778270753</v>
      </c>
      <c r="R72">
        <v>3</v>
      </c>
      <c r="U72" s="386"/>
      <c r="X72" t="str">
        <f t="shared" si="6"/>
        <v>\I:Trd_hdt_lpg_09</v>
      </c>
      <c r="Y72" t="str">
        <f ca="1" t="shared" si="7"/>
        <v>7.5-16t LPG truck -- 09%</v>
      </c>
      <c r="Z72" s="388" t="s">
        <v>84</v>
      </c>
      <c r="AA72" s="388" t="s">
        <v>85</v>
      </c>
    </row>
    <row r="73" spans="2:27">
      <c r="B73" s="85">
        <v>0.14412581421453</v>
      </c>
      <c r="C73" s="86">
        <v>90730.0026080037</v>
      </c>
      <c r="D73" s="86">
        <v>90336.4467266314</v>
      </c>
      <c r="E73" s="86">
        <v>90336.4467266314</v>
      </c>
      <c r="F73" s="86">
        <v>90336.4467266314</v>
      </c>
      <c r="I73" s="389">
        <f t="shared" si="32"/>
        <v>1.39260280143217</v>
      </c>
      <c r="J73" t="str">
        <f t="shared" si="26"/>
        <v>\I:Trd_hdt_lpg</v>
      </c>
      <c r="K73" t="str">
        <f t="shared" si="27"/>
        <v>\I:Trd_hdt_lpg_14</v>
      </c>
      <c r="L73" t="str">
        <f t="shared" si="3"/>
        <v>\I:Trd_</v>
      </c>
      <c r="M73" s="390">
        <f t="shared" si="28"/>
        <v>90730.0026080037</v>
      </c>
      <c r="N73" s="390">
        <f t="shared" si="29"/>
        <v>90336.4467266314</v>
      </c>
      <c r="O73" s="390">
        <f t="shared" si="30"/>
        <v>90336.4467266314</v>
      </c>
      <c r="P73" s="390">
        <f t="shared" si="31"/>
        <v>90336.4467266314</v>
      </c>
      <c r="Q73">
        <f t="shared" si="33"/>
        <v>90336.4467266314</v>
      </c>
      <c r="R73">
        <v>3</v>
      </c>
      <c r="U73" s="386"/>
      <c r="X73" t="str">
        <f t="shared" si="6"/>
        <v>\I:Trd_hdt_lpg_14</v>
      </c>
      <c r="Y73" t="str">
        <f ca="1" t="shared" si="7"/>
        <v>7.5-16t LPG truck -- 14%</v>
      </c>
      <c r="Z73" s="388" t="s">
        <v>84</v>
      </c>
      <c r="AA73" s="388" t="s">
        <v>85</v>
      </c>
    </row>
    <row r="74" spans="2:27">
      <c r="B74" s="85">
        <v>0.19412581421453</v>
      </c>
      <c r="C74" s="86">
        <v>96261.8697309267</v>
      </c>
      <c r="D74" s="86">
        <v>92386.9210853906</v>
      </c>
      <c r="E74" s="86">
        <v>92386.9210853906</v>
      </c>
      <c r="F74" s="86">
        <v>92386.9210853906</v>
      </c>
      <c r="I74" s="389">
        <f t="shared" si="32"/>
        <v>1.45346161538998</v>
      </c>
      <c r="J74" t="str">
        <f t="shared" si="26"/>
        <v>\I:Trd_hdt_lpg</v>
      </c>
      <c r="K74" t="str">
        <f t="shared" si="27"/>
        <v>\I:Trd_hdt_lpg_19</v>
      </c>
      <c r="L74" t="str">
        <f t="shared" si="3"/>
        <v>\I:Trd_</v>
      </c>
      <c r="M74" s="390">
        <f t="shared" si="28"/>
        <v>96261.8697309267</v>
      </c>
      <c r="N74" s="390">
        <f t="shared" si="29"/>
        <v>92386.9210853906</v>
      </c>
      <c r="O74" s="390">
        <f t="shared" si="30"/>
        <v>92386.9210853906</v>
      </c>
      <c r="P74" s="390">
        <f t="shared" si="31"/>
        <v>92386.9210853906</v>
      </c>
      <c r="Q74">
        <f t="shared" si="33"/>
        <v>92386.9210853906</v>
      </c>
      <c r="R74">
        <v>3</v>
      </c>
      <c r="U74" s="386"/>
      <c r="X74" t="str">
        <f t="shared" si="6"/>
        <v>\I:Trd_hdt_lpg_19</v>
      </c>
      <c r="Y74" t="str">
        <f ca="1" t="shared" si="7"/>
        <v>7.5-16t LPG truck -- 19%</v>
      </c>
      <c r="Z74" s="388" t="s">
        <v>84</v>
      </c>
      <c r="AA74" s="388" t="s">
        <v>85</v>
      </c>
    </row>
    <row r="75" spans="2:27">
      <c r="B75" s="85">
        <v>0.24412581421453</v>
      </c>
      <c r="C75" s="86">
        <v>100569.96458544</v>
      </c>
      <c r="D75" s="86">
        <v>95406.5555351904</v>
      </c>
      <c r="E75" s="86">
        <v>95406.5555351904</v>
      </c>
      <c r="F75" s="86">
        <v>95406.5555351904</v>
      </c>
      <c r="I75" s="389">
        <f t="shared" si="32"/>
        <v>1.51432042934779</v>
      </c>
      <c r="J75" t="str">
        <f t="shared" si="26"/>
        <v>\I:Trd_hdt_lpg</v>
      </c>
      <c r="K75" t="str">
        <f t="shared" si="27"/>
        <v>\I:Trd_hdt_lpg_24</v>
      </c>
      <c r="L75" t="str">
        <f t="shared" si="3"/>
        <v>\I:Trd_</v>
      </c>
      <c r="M75" s="390">
        <f t="shared" si="28"/>
        <v>100569.96458544</v>
      </c>
      <c r="N75" s="390">
        <f t="shared" si="29"/>
        <v>95406.5555351904</v>
      </c>
      <c r="O75" s="390">
        <f t="shared" si="30"/>
        <v>95406.5555351904</v>
      </c>
      <c r="P75" s="390">
        <f t="shared" si="31"/>
        <v>95406.5555351904</v>
      </c>
      <c r="Q75">
        <f t="shared" si="33"/>
        <v>95406.5555351904</v>
      </c>
      <c r="R75">
        <v>3</v>
      </c>
      <c r="U75" s="386"/>
      <c r="X75" t="str">
        <f t="shared" si="6"/>
        <v>\I:Trd_hdt_lpg_24</v>
      </c>
      <c r="Y75" t="str">
        <f ca="1" t="shared" si="7"/>
        <v>7.5-16t LPG truck -- 24%</v>
      </c>
      <c r="Z75" s="388" t="s">
        <v>84</v>
      </c>
      <c r="AA75" s="388" t="s">
        <v>85</v>
      </c>
    </row>
    <row r="76" spans="2:27">
      <c r="B76" s="85">
        <v>0.26412581421453</v>
      </c>
      <c r="C76" s="86">
        <v>123471.091005636</v>
      </c>
      <c r="D76" s="86">
        <v>99967.4501026767</v>
      </c>
      <c r="E76" s="86">
        <v>99853.4251931631</v>
      </c>
      <c r="F76" s="86">
        <v>99853.4251931631</v>
      </c>
      <c r="I76" s="389">
        <f t="shared" si="32"/>
        <v>1.53866395493092</v>
      </c>
      <c r="J76" t="str">
        <f t="shared" si="26"/>
        <v>\I:Trd_hdt_lpg</v>
      </c>
      <c r="K76" t="str">
        <f t="shared" si="27"/>
        <v>\I:Trd_hdt_lpg_26</v>
      </c>
      <c r="L76" t="str">
        <f t="shared" si="3"/>
        <v>\I:Trd_</v>
      </c>
      <c r="M76" s="390">
        <f t="shared" si="28"/>
        <v>123471.091005636</v>
      </c>
      <c r="N76" s="390">
        <f t="shared" si="29"/>
        <v>99967.4501026767</v>
      </c>
      <c r="O76" s="390">
        <f t="shared" si="30"/>
        <v>99853.4251931631</v>
      </c>
      <c r="P76" s="390">
        <f t="shared" si="31"/>
        <v>99853.4251931631</v>
      </c>
      <c r="Q76">
        <f t="shared" si="33"/>
        <v>99853.4251931631</v>
      </c>
      <c r="R76">
        <v>3</v>
      </c>
      <c r="U76" s="386"/>
      <c r="X76" t="str">
        <f t="shared" si="6"/>
        <v>\I:Trd_hdt_lpg_26</v>
      </c>
      <c r="Y76" t="str">
        <f ca="1" t="shared" si="7"/>
        <v>7.5-16t LPG truck -- 26%</v>
      </c>
      <c r="Z76" s="388" t="s">
        <v>84</v>
      </c>
      <c r="AA76" s="388" t="s">
        <v>85</v>
      </c>
    </row>
    <row r="77" spans="2:27">
      <c r="B77" s="85">
        <v>0.29412581421453</v>
      </c>
      <c r="C77" s="86">
        <v>197846.070058255</v>
      </c>
      <c r="D77" s="86">
        <v>113908.292050733</v>
      </c>
      <c r="E77" s="86">
        <v>106402.115136845</v>
      </c>
      <c r="F77" s="86">
        <v>106402.115136845</v>
      </c>
      <c r="I77" s="389">
        <f t="shared" si="32"/>
        <v>1.5751792433056</v>
      </c>
      <c r="J77" t="str">
        <f t="shared" si="26"/>
        <v>\I:Trd_hdt_lpg</v>
      </c>
      <c r="K77" t="str">
        <f t="shared" si="27"/>
        <v>\I:Trd_hdt_lpg_29</v>
      </c>
      <c r="L77" t="str">
        <f t="shared" ref="L77:L111" si="34">LEFT(K77,7)</f>
        <v>\I:Trd_</v>
      </c>
      <c r="M77" s="390">
        <f t="shared" si="28"/>
        <v>197846.070058255</v>
      </c>
      <c r="N77" s="390">
        <f t="shared" si="29"/>
        <v>113908.292050733</v>
      </c>
      <c r="O77" s="390">
        <f t="shared" si="30"/>
        <v>106402.115136845</v>
      </c>
      <c r="P77" s="390">
        <f t="shared" si="31"/>
        <v>106402.115136845</v>
      </c>
      <c r="Q77">
        <f t="shared" si="33"/>
        <v>106402.115136845</v>
      </c>
      <c r="R77">
        <v>3</v>
      </c>
      <c r="U77" s="386"/>
      <c r="X77" t="str">
        <f t="shared" si="6"/>
        <v>\I:Trd_hdt_lpg_29</v>
      </c>
      <c r="Y77" t="str">
        <f ca="1" t="shared" si="7"/>
        <v>7.5-16t LPG truck -- 29%</v>
      </c>
      <c r="Z77" s="388" t="s">
        <v>84</v>
      </c>
      <c r="AA77" s="388" t="s">
        <v>85</v>
      </c>
    </row>
    <row r="78" spans="2:27">
      <c r="J78" t="str">
        <f t="shared" si="26"/>
        <v>\I:Trd_hdt_lpg</v>
      </c>
      <c r="K78" t="str">
        <f t="shared" si="27"/>
        <v>\I:</v>
      </c>
      <c r="L78" t="str">
        <f t="shared" si="34"/>
        <v>\I:</v>
      </c>
      <c r="M78" s="390" t="str">
        <f t="shared" si="28"/>
        <v/>
      </c>
      <c r="N78" s="390" t="str">
        <f t="shared" si="29"/>
        <v/>
      </c>
      <c r="O78" s="390" t="str">
        <f t="shared" si="30"/>
        <v/>
      </c>
      <c r="P78" s="390" t="str">
        <f t="shared" si="31"/>
        <v/>
      </c>
      <c r="Q78" t="str">
        <f t="shared" si="33"/>
        <v/>
      </c>
      <c r="U78" s="386"/>
      <c r="X78" t="str">
        <f t="shared" si="6"/>
        <v>\I:</v>
      </c>
      <c r="Y78" t="str">
        <f ca="1" t="shared" si="7"/>
        <v>7.5-16t LPG truck -- 00%</v>
      </c>
      <c r="Z78" s="388" t="s">
        <v>84</v>
      </c>
      <c r="AA78" s="388" t="s">
        <v>85</v>
      </c>
    </row>
    <row r="79" spans="2:27">
      <c r="J79" t="str">
        <f t="shared" si="26"/>
        <v>\I:Trd_hdt_lpg</v>
      </c>
      <c r="K79" t="str">
        <f t="shared" si="27"/>
        <v>\I:</v>
      </c>
      <c r="L79" t="str">
        <f t="shared" si="34"/>
        <v>\I:</v>
      </c>
      <c r="M79" s="390" t="str">
        <f t="shared" si="28"/>
        <v/>
      </c>
      <c r="N79" s="390" t="str">
        <f t="shared" si="29"/>
        <v/>
      </c>
      <c r="O79" s="390" t="str">
        <f t="shared" si="30"/>
        <v/>
      </c>
      <c r="P79" s="390" t="str">
        <f t="shared" si="31"/>
        <v/>
      </c>
      <c r="U79" s="386"/>
      <c r="X79" t="str">
        <f t="shared" ref="X79:X111" si="35">K79</f>
        <v>\I:</v>
      </c>
      <c r="Y79" t="str">
        <f ca="1" t="shared" ref="Y79:Y103" si="36">OFFSET($V$1,MATCH(J79,$V$1:$V$11,0)-1,-1)&amp;" -- "&amp;TEXT(B79,"00%")</f>
        <v>7.5-16t LPG truck -- 00%</v>
      </c>
      <c r="Z79" s="388" t="s">
        <v>84</v>
      </c>
      <c r="AA79" s="388" t="s">
        <v>85</v>
      </c>
    </row>
    <row r="80" spans="2:27">
      <c r="J80" t="str">
        <f t="shared" si="26"/>
        <v>\I:Trd_hdt_lpg</v>
      </c>
      <c r="K80" t="str">
        <f t="shared" si="27"/>
        <v>\I:</v>
      </c>
      <c r="L80" t="str">
        <f t="shared" si="34"/>
        <v>\I:</v>
      </c>
      <c r="M80" s="390" t="str">
        <f t="shared" si="28"/>
        <v/>
      </c>
      <c r="N80" s="390" t="str">
        <f t="shared" si="29"/>
        <v/>
      </c>
      <c r="O80" s="390" t="str">
        <f t="shared" si="30"/>
        <v/>
      </c>
      <c r="P80" s="390" t="str">
        <f t="shared" si="31"/>
        <v/>
      </c>
      <c r="U80" s="386"/>
      <c r="X80" t="str">
        <f t="shared" si="35"/>
        <v>\I:</v>
      </c>
      <c r="Y80" t="str">
        <f ca="1" t="shared" si="36"/>
        <v>7.5-16t LPG truck -- 00%</v>
      </c>
      <c r="Z80" s="388" t="s">
        <v>84</v>
      </c>
      <c r="AA80" s="388" t="s">
        <v>85</v>
      </c>
    </row>
    <row r="81" spans="2:27">
      <c r="B81" s="381">
        <v>2020</v>
      </c>
      <c r="C81" s="381"/>
      <c r="D81" s="381"/>
      <c r="J81" t="str">
        <f t="shared" si="26"/>
        <v>\I:Trd_hdt_lpg</v>
      </c>
      <c r="K81" t="str">
        <f t="shared" si="27"/>
        <v>\I:</v>
      </c>
      <c r="L81" t="str">
        <f t="shared" si="34"/>
        <v>\I:</v>
      </c>
      <c r="M81" s="390" t="str">
        <f t="shared" si="28"/>
        <v/>
      </c>
      <c r="N81" s="390" t="str">
        <f t="shared" si="29"/>
        <v/>
      </c>
      <c r="O81" s="390" t="str">
        <f t="shared" si="30"/>
        <v/>
      </c>
      <c r="P81" s="390" t="str">
        <f t="shared" si="31"/>
        <v/>
      </c>
      <c r="U81" s="386"/>
      <c r="X81" t="str">
        <f t="shared" si="35"/>
        <v>\I:</v>
      </c>
      <c r="Y81" t="str">
        <f ca="1" t="shared" si="36"/>
        <v>7.5-16t LPG truck -- 202000%</v>
      </c>
      <c r="Z81" s="388" t="s">
        <v>84</v>
      </c>
      <c r="AA81" s="388" t="s">
        <v>85</v>
      </c>
    </row>
    <row r="82" spans="2:27">
      <c r="B82" s="46" t="s">
        <v>124</v>
      </c>
      <c r="C82" s="47" t="s">
        <v>26</v>
      </c>
      <c r="D82" s="74">
        <v>0.74</v>
      </c>
      <c r="G82" s="75">
        <f>D82/3.6/100*10^9/10^6</f>
        <v>2.05555555555556</v>
      </c>
      <c r="H82" s="75"/>
      <c r="I82" s="409">
        <f>1/G82-0.15</f>
        <v>0.336486486486486</v>
      </c>
      <c r="J82" t="str">
        <f t="shared" si="26"/>
        <v>\I:Trd_hdt_lpg</v>
      </c>
      <c r="K82" t="str">
        <f t="shared" si="27"/>
        <v>\I:</v>
      </c>
      <c r="L82" t="str">
        <f t="shared" si="34"/>
        <v>\I:</v>
      </c>
      <c r="M82" s="390" t="str">
        <f t="shared" si="28"/>
        <v/>
      </c>
      <c r="N82" s="390" t="str">
        <f t="shared" si="29"/>
        <v/>
      </c>
      <c r="O82" s="390" t="str">
        <f t="shared" si="30"/>
        <v/>
      </c>
      <c r="P82" s="390" t="str">
        <f t="shared" si="31"/>
        <v/>
      </c>
      <c r="U82" s="386"/>
      <c r="X82" t="str">
        <f t="shared" si="35"/>
        <v>\I:</v>
      </c>
      <c r="Y82" t="str">
        <f ca="1" t="shared" si="36"/>
        <v>7.5-16t LPG truck -- Energy consumption of 7.5-16t battery electric truck</v>
      </c>
      <c r="Z82" s="388" t="s">
        <v>84</v>
      </c>
      <c r="AA82" s="388" t="s">
        <v>85</v>
      </c>
    </row>
    <row r="83" spans="2:27">
      <c r="I83" s="393" t="s">
        <v>70</v>
      </c>
      <c r="J83" t="str">
        <f t="shared" si="26"/>
        <v>\I:Trd_hdt_lpg</v>
      </c>
      <c r="K83" t="str">
        <f t="shared" si="27"/>
        <v>\I:</v>
      </c>
      <c r="L83" t="str">
        <f t="shared" si="34"/>
        <v>\I:</v>
      </c>
      <c r="M83" s="390" t="str">
        <f t="shared" si="28"/>
        <v/>
      </c>
      <c r="N83" s="390" t="str">
        <f t="shared" si="29"/>
        <v/>
      </c>
      <c r="O83" s="390" t="str">
        <f t="shared" si="30"/>
        <v/>
      </c>
      <c r="P83" s="390" t="str">
        <f t="shared" si="31"/>
        <v/>
      </c>
      <c r="U83" s="386"/>
      <c r="X83" t="str">
        <f t="shared" si="35"/>
        <v>\I:</v>
      </c>
      <c r="Y83" t="str">
        <f ca="1" t="shared" si="36"/>
        <v>7.5-16t LPG truck -- 00%</v>
      </c>
      <c r="Z83" s="388" t="s">
        <v>84</v>
      </c>
      <c r="AA83" s="388" t="s">
        <v>85</v>
      </c>
    </row>
    <row r="84" spans="2:27">
      <c r="J84" t="str">
        <f t="shared" si="26"/>
        <v>\I:Trd_hdt_lpg</v>
      </c>
      <c r="K84" t="str">
        <f t="shared" si="27"/>
        <v>\I:</v>
      </c>
      <c r="L84" t="str">
        <f t="shared" si="34"/>
        <v>\I:</v>
      </c>
      <c r="M84" s="390" t="str">
        <f t="shared" si="28"/>
        <v/>
      </c>
      <c r="N84" s="390" t="str">
        <f t="shared" si="29"/>
        <v/>
      </c>
      <c r="O84" s="390" t="str">
        <f t="shared" si="30"/>
        <v/>
      </c>
      <c r="P84" s="390" t="str">
        <f t="shared" si="31"/>
        <v/>
      </c>
      <c r="U84" s="386"/>
      <c r="X84" t="str">
        <f t="shared" si="35"/>
        <v>\I:</v>
      </c>
      <c r="Y84" t="str">
        <f ca="1" t="shared" si="36"/>
        <v>7.5-16t LPG truck -- 00%</v>
      </c>
      <c r="Z84" s="388" t="s">
        <v>84</v>
      </c>
      <c r="AA84" s="388" t="s">
        <v>85</v>
      </c>
    </row>
    <row r="85" ht="15" customHeight="1" spans="2:27">
      <c r="B85" s="400" t="s">
        <v>27</v>
      </c>
      <c r="C85" s="387" t="s">
        <v>117</v>
      </c>
      <c r="D85" s="400"/>
      <c r="E85" s="400"/>
      <c r="F85" s="400"/>
      <c r="J85" t="str">
        <f t="shared" si="26"/>
        <v>Trd_hdt_elc</v>
      </c>
      <c r="K85" t="str">
        <f t="shared" si="27"/>
        <v>\I:</v>
      </c>
      <c r="L85" t="str">
        <f t="shared" si="34"/>
        <v>\I:</v>
      </c>
      <c r="M85" s="390" t="str">
        <f t="shared" si="28"/>
        <v/>
      </c>
      <c r="N85" s="390" t="str">
        <f t="shared" si="29"/>
        <v/>
      </c>
      <c r="O85" s="390" t="str">
        <f t="shared" si="30"/>
        <v/>
      </c>
      <c r="P85" s="390" t="str">
        <f t="shared" si="31"/>
        <v/>
      </c>
      <c r="U85" s="386"/>
      <c r="X85" t="str">
        <f t="shared" si="35"/>
        <v>\I:</v>
      </c>
      <c r="Y85" t="str">
        <f ca="1" t="shared" si="36"/>
        <v>7.5-16t battery electric truck -- Electric range (km)</v>
      </c>
      <c r="Z85" s="388" t="s">
        <v>84</v>
      </c>
      <c r="AA85" s="388" t="s">
        <v>85</v>
      </c>
    </row>
    <row r="86" spans="2:27">
      <c r="B86" s="400"/>
      <c r="C86" s="387"/>
      <c r="D86" s="400"/>
      <c r="E86" s="400"/>
      <c r="F86" s="400"/>
      <c r="J86" t="str">
        <f t="shared" si="26"/>
        <v>Trd_hdt_elc</v>
      </c>
      <c r="K86" t="str">
        <f t="shared" si="27"/>
        <v>\I:</v>
      </c>
      <c r="L86" t="str">
        <f t="shared" si="34"/>
        <v>\I:</v>
      </c>
      <c r="M86" s="390" t="str">
        <f t="shared" si="28"/>
        <v/>
      </c>
      <c r="N86" s="390" t="str">
        <f t="shared" si="29"/>
        <v/>
      </c>
      <c r="O86" s="390" t="str">
        <f t="shared" si="30"/>
        <v/>
      </c>
      <c r="P86" s="390" t="str">
        <f t="shared" si="31"/>
        <v/>
      </c>
      <c r="U86" s="386"/>
      <c r="X86" t="str">
        <f t="shared" si="35"/>
        <v>\I:</v>
      </c>
      <c r="Y86" t="str">
        <f ca="1" t="shared" si="36"/>
        <v>7.5-16t battery electric truck -- 00%</v>
      </c>
      <c r="Z86" s="388" t="s">
        <v>84</v>
      </c>
      <c r="AA86" s="388" t="s">
        <v>85</v>
      </c>
    </row>
    <row r="87" spans="2:27">
      <c r="B87" s="400"/>
      <c r="C87" s="387"/>
      <c r="D87" s="400"/>
      <c r="E87" s="400"/>
      <c r="F87" s="400"/>
      <c r="J87" t="str">
        <f t="shared" si="26"/>
        <v>Trd_hdt_elc</v>
      </c>
      <c r="K87" t="str">
        <f t="shared" si="27"/>
        <v>\I:</v>
      </c>
      <c r="L87" t="str">
        <f t="shared" si="34"/>
        <v>\I:</v>
      </c>
      <c r="M87" s="390" t="str">
        <f t="shared" si="28"/>
        <v/>
      </c>
      <c r="N87" s="390" t="str">
        <f t="shared" si="29"/>
        <v/>
      </c>
      <c r="O87" s="390" t="str">
        <f t="shared" si="30"/>
        <v/>
      </c>
      <c r="P87" s="390" t="str">
        <f t="shared" si="31"/>
        <v/>
      </c>
      <c r="U87" s="386"/>
      <c r="X87" t="str">
        <f t="shared" si="35"/>
        <v>\I:</v>
      </c>
      <c r="Y87" t="str">
        <f ca="1" t="shared" si="36"/>
        <v>7.5-16t battery electric truck -- 00%</v>
      </c>
      <c r="Z87" s="388" t="s">
        <v>84</v>
      </c>
      <c r="AA87" s="388" t="s">
        <v>85</v>
      </c>
    </row>
    <row r="88" spans="2:27">
      <c r="B88" s="88"/>
      <c r="C88" s="51">
        <v>2020</v>
      </c>
      <c r="D88" s="51">
        <v>2030</v>
      </c>
      <c r="E88" s="51">
        <v>2040</v>
      </c>
      <c r="F88" s="51">
        <v>2050</v>
      </c>
      <c r="J88" t="str">
        <f t="shared" si="26"/>
        <v>Trd_hdt_elc</v>
      </c>
      <c r="K88" t="str">
        <f t="shared" si="27"/>
        <v>\I:</v>
      </c>
      <c r="L88" t="str">
        <f t="shared" si="34"/>
        <v>\I:</v>
      </c>
      <c r="M88" s="390" t="str">
        <f t="shared" si="28"/>
        <v/>
      </c>
      <c r="N88" s="390" t="str">
        <f t="shared" si="29"/>
        <v/>
      </c>
      <c r="O88" s="390" t="str">
        <f t="shared" si="30"/>
        <v/>
      </c>
      <c r="P88" s="390" t="str">
        <f t="shared" si="31"/>
        <v/>
      </c>
      <c r="U88" s="386"/>
      <c r="X88" t="str">
        <f t="shared" si="35"/>
        <v>\I:</v>
      </c>
      <c r="Y88" t="str">
        <f ca="1" t="shared" si="36"/>
        <v>7.5-16t battery electric truck -- 00%</v>
      </c>
      <c r="Z88" s="388" t="s">
        <v>84</v>
      </c>
      <c r="AA88" s="388" t="s">
        <v>85</v>
      </c>
    </row>
    <row r="89" spans="2:27">
      <c r="B89" s="66">
        <v>150</v>
      </c>
      <c r="C89" s="86">
        <v>144373.905423467</v>
      </c>
      <c r="D89" s="86">
        <v>95780.7302979094</v>
      </c>
      <c r="E89" s="86">
        <v>90629.9070208589</v>
      </c>
      <c r="F89" s="86">
        <v>88752.5161176525</v>
      </c>
      <c r="I89" s="394">
        <f t="shared" ref="I89:I96" si="37">$I$82/$I$7</f>
        <v>2.41441039299943</v>
      </c>
      <c r="J89" t="str">
        <f t="shared" si="26"/>
        <v>Trd_hdt_elc</v>
      </c>
      <c r="K89" t="str">
        <f>IFERROR(IF(VALUE(C89)&gt;2020,J89&amp;"_"&amp;TEXT(B89,"00"),"\I:"),"\I:")</f>
        <v>Trd_hdt_elc_150</v>
      </c>
      <c r="L89" t="str">
        <f t="shared" si="34"/>
        <v>Trd_hdt</v>
      </c>
      <c r="M89" s="395">
        <f>IF($K89="\I:","",C89*60%)</f>
        <v>86624.3432540802</v>
      </c>
      <c r="N89" s="395">
        <f>IF($K89="\I:","",D89*60%)</f>
        <v>57468.4381787456</v>
      </c>
      <c r="O89" s="395">
        <f>IF($K89="\I:","",E89*60%)</f>
        <v>54377.9442125153</v>
      </c>
      <c r="P89" s="395">
        <f>IF($K89="\I:","",F89*60%)</f>
        <v>53251.5096705915</v>
      </c>
      <c r="Q89">
        <f t="shared" ref="Q89:Q96" si="38">P89</f>
        <v>53251.5096705915</v>
      </c>
      <c r="R89">
        <v>3</v>
      </c>
      <c r="U89" s="396">
        <v>0.01</v>
      </c>
      <c r="X89" t="str">
        <f t="shared" si="35"/>
        <v>Trd_hdt_elc_150</v>
      </c>
      <c r="Y89" t="str">
        <f ca="1">OFFSET($V$1,MATCH(J89,$V$1:$V$11,0)-1,-1)&amp;" -- "&amp;TEXT(B89,"000")</f>
        <v>7.5-16t battery electric truck -- 150</v>
      </c>
      <c r="Z89" s="388" t="s">
        <v>84</v>
      </c>
      <c r="AA89" s="388" t="s">
        <v>85</v>
      </c>
    </row>
    <row r="90" spans="2:27">
      <c r="B90" s="66">
        <v>178.571428571429</v>
      </c>
      <c r="C90" s="86">
        <v>147802.362213157</v>
      </c>
      <c r="D90" s="86">
        <v>97793.4993710964</v>
      </c>
      <c r="E90" s="86">
        <v>92046.7492662401</v>
      </c>
      <c r="F90" s="86">
        <v>89776.9226508232</v>
      </c>
      <c r="I90" s="394">
        <f t="shared" si="37"/>
        <v>2.41441039299943</v>
      </c>
      <c r="J90" t="str">
        <f t="shared" si="26"/>
        <v>Trd_hdt_elc</v>
      </c>
      <c r="K90" t="str">
        <f t="shared" ref="K90:K96" si="39">IFERROR(IF(VALUE(C90)&gt;2020,J90&amp;"_"&amp;TEXT(B90,"00"),"\I:"),"\I:")</f>
        <v>Trd_hdt_elc_179</v>
      </c>
      <c r="L90" t="str">
        <f t="shared" si="34"/>
        <v>Trd_hdt</v>
      </c>
      <c r="M90" s="395">
        <f t="shared" ref="M90:M96" si="40">IF($K90="\I:","",C90*60%)</f>
        <v>88681.4173278942</v>
      </c>
      <c r="N90" s="395">
        <f t="shared" ref="N90:N96" si="41">IF($K90="\I:","",D90*60%)</f>
        <v>58676.0996226578</v>
      </c>
      <c r="O90" s="395">
        <f t="shared" ref="O90:O96" si="42">IF($K90="\I:","",E90*60%)</f>
        <v>55228.0495597441</v>
      </c>
      <c r="P90" s="395">
        <f t="shared" ref="P90:P96" si="43">IF($K90="\I:","",F90*60%)</f>
        <v>53866.1535904939</v>
      </c>
      <c r="Q90">
        <f t="shared" si="38"/>
        <v>53866.1535904939</v>
      </c>
      <c r="R90">
        <v>3</v>
      </c>
      <c r="U90" s="396">
        <v>0.01</v>
      </c>
      <c r="X90" t="str">
        <f t="shared" si="35"/>
        <v>Trd_hdt_elc_179</v>
      </c>
      <c r="Y90" t="str">
        <f ca="1" t="shared" ref="Y90:Y96" si="44">OFFSET($V$1,MATCH(J90,$V$1:$V$11,0)-1,-1)&amp;" -- "&amp;TEXT(B90,"000")</f>
        <v>7.5-16t battery electric truck -- 179</v>
      </c>
      <c r="Z90" s="388" t="s">
        <v>84</v>
      </c>
      <c r="AA90" s="388" t="s">
        <v>85</v>
      </c>
    </row>
    <row r="91" spans="2:27">
      <c r="B91" s="66">
        <v>207.142857142857</v>
      </c>
      <c r="C91" s="86">
        <v>149288.810561655</v>
      </c>
      <c r="D91" s="86">
        <v>100585.833714969</v>
      </c>
      <c r="E91" s="86">
        <v>93658.4385500626</v>
      </c>
      <c r="F91" s="86">
        <v>90964.2849465796</v>
      </c>
      <c r="I91" s="394">
        <f t="shared" si="37"/>
        <v>2.41441039299943</v>
      </c>
      <c r="J91" t="str">
        <f t="shared" si="26"/>
        <v>Trd_hdt_elc</v>
      </c>
      <c r="K91" t="str">
        <f t="shared" si="39"/>
        <v>Trd_hdt_elc_207</v>
      </c>
      <c r="L91" t="str">
        <f t="shared" si="34"/>
        <v>Trd_hdt</v>
      </c>
      <c r="M91" s="395">
        <f t="shared" si="40"/>
        <v>89573.286336993</v>
      </c>
      <c r="N91" s="395">
        <f t="shared" si="41"/>
        <v>60351.5002289814</v>
      </c>
      <c r="O91" s="395">
        <f t="shared" si="42"/>
        <v>56195.0631300376</v>
      </c>
      <c r="P91" s="395">
        <f t="shared" si="43"/>
        <v>54578.5709679478</v>
      </c>
      <c r="Q91">
        <f t="shared" si="38"/>
        <v>54578.5709679478</v>
      </c>
      <c r="R91">
        <v>3</v>
      </c>
      <c r="U91" s="396">
        <v>0.01</v>
      </c>
      <c r="X91" t="str">
        <f t="shared" si="35"/>
        <v>Trd_hdt_elc_207</v>
      </c>
      <c r="Y91" t="str">
        <f ca="1" t="shared" si="44"/>
        <v>7.5-16t battery electric truck -- 207</v>
      </c>
      <c r="Z91" s="388" t="s">
        <v>84</v>
      </c>
      <c r="AA91" s="388" t="s">
        <v>85</v>
      </c>
    </row>
    <row r="92" spans="2:27">
      <c r="B92" s="66">
        <v>235.714285714286</v>
      </c>
      <c r="C92" s="86">
        <v>152494.108762408</v>
      </c>
      <c r="D92" s="86">
        <v>102554.343444586</v>
      </c>
      <c r="E92" s="86">
        <v>94660.0138665998</v>
      </c>
      <c r="F92" s="86">
        <v>92014.5204906916</v>
      </c>
      <c r="I92" s="394">
        <f t="shared" si="37"/>
        <v>2.41441039299943</v>
      </c>
      <c r="J92" t="str">
        <f t="shared" si="26"/>
        <v>Trd_hdt_elc</v>
      </c>
      <c r="K92" t="str">
        <f t="shared" si="39"/>
        <v>Trd_hdt_elc_236</v>
      </c>
      <c r="L92" t="str">
        <f t="shared" si="34"/>
        <v>Trd_hdt</v>
      </c>
      <c r="M92" s="395">
        <f t="shared" si="40"/>
        <v>91496.4652574448</v>
      </c>
      <c r="N92" s="395">
        <f t="shared" si="41"/>
        <v>61532.6060667516</v>
      </c>
      <c r="O92" s="395">
        <f t="shared" si="42"/>
        <v>56796.0083199599</v>
      </c>
      <c r="P92" s="395">
        <f t="shared" si="43"/>
        <v>55208.712294415</v>
      </c>
      <c r="Q92">
        <f t="shared" si="38"/>
        <v>55208.712294415</v>
      </c>
      <c r="R92">
        <v>3</v>
      </c>
      <c r="U92" s="396">
        <v>0.01</v>
      </c>
      <c r="X92" t="str">
        <f t="shared" si="35"/>
        <v>Trd_hdt_elc_236</v>
      </c>
      <c r="Y92" t="str">
        <f ca="1" t="shared" si="44"/>
        <v>7.5-16t battery electric truck -- 236</v>
      </c>
      <c r="Z92" s="388" t="s">
        <v>84</v>
      </c>
      <c r="AA92" s="388" t="s">
        <v>85</v>
      </c>
    </row>
    <row r="93" spans="2:27">
      <c r="B93" s="66">
        <v>264.285714285714</v>
      </c>
      <c r="C93" s="86">
        <v>155632.353081546</v>
      </c>
      <c r="D93" s="86">
        <v>104580.228913704</v>
      </c>
      <c r="E93" s="86">
        <v>95569.8225134195</v>
      </c>
      <c r="F93" s="86">
        <v>92930.9045082581</v>
      </c>
      <c r="I93" s="394">
        <f t="shared" si="37"/>
        <v>2.41441039299943</v>
      </c>
      <c r="J93" t="str">
        <f t="shared" si="26"/>
        <v>Trd_hdt_elc</v>
      </c>
      <c r="K93" t="str">
        <f t="shared" si="39"/>
        <v>Trd_hdt_elc_264</v>
      </c>
      <c r="L93" t="str">
        <f t="shared" si="34"/>
        <v>Trd_hdt</v>
      </c>
      <c r="M93" s="395">
        <f t="shared" si="40"/>
        <v>93379.4118489276</v>
      </c>
      <c r="N93" s="395">
        <f t="shared" si="41"/>
        <v>62748.1373482224</v>
      </c>
      <c r="O93" s="395">
        <f t="shared" si="42"/>
        <v>57341.8935080517</v>
      </c>
      <c r="P93" s="395">
        <f t="shared" si="43"/>
        <v>55758.5427049549</v>
      </c>
      <c r="Q93">
        <f t="shared" si="38"/>
        <v>55758.5427049549</v>
      </c>
      <c r="R93">
        <v>3</v>
      </c>
      <c r="U93" s="396">
        <v>0.05</v>
      </c>
      <c r="X93" t="str">
        <f t="shared" si="35"/>
        <v>Trd_hdt_elc_264</v>
      </c>
      <c r="Y93" t="str">
        <f ca="1" t="shared" si="44"/>
        <v>7.5-16t battery electric truck -- 264</v>
      </c>
      <c r="Z93" s="388" t="s">
        <v>84</v>
      </c>
      <c r="AA93" s="388" t="s">
        <v>85</v>
      </c>
    </row>
    <row r="94" spans="2:27">
      <c r="B94" s="66">
        <v>350</v>
      </c>
      <c r="C94" s="86">
        <v>159704.765843061</v>
      </c>
      <c r="D94" s="86">
        <v>107786.20577947</v>
      </c>
      <c r="E94" s="86">
        <v>98254.3480327816</v>
      </c>
      <c r="F94" s="86">
        <v>95331.8317326809</v>
      </c>
      <c r="I94" s="394">
        <f t="shared" si="37"/>
        <v>2.41441039299943</v>
      </c>
      <c r="J94" t="str">
        <f t="shared" si="26"/>
        <v>Trd_hdt_elc</v>
      </c>
      <c r="K94" t="str">
        <f t="shared" si="39"/>
        <v>Trd_hdt_elc_350</v>
      </c>
      <c r="L94" t="str">
        <f t="shared" si="34"/>
        <v>Trd_hdt</v>
      </c>
      <c r="M94" s="395">
        <f t="shared" si="40"/>
        <v>95822.8595058366</v>
      </c>
      <c r="N94" s="395">
        <f t="shared" si="41"/>
        <v>64671.723467682</v>
      </c>
      <c r="O94" s="395">
        <f t="shared" si="42"/>
        <v>58952.608819669</v>
      </c>
      <c r="P94" s="395">
        <f t="shared" si="43"/>
        <v>57199.0990396085</v>
      </c>
      <c r="Q94">
        <f t="shared" si="38"/>
        <v>57199.0990396085</v>
      </c>
      <c r="R94">
        <v>3</v>
      </c>
      <c r="U94" s="396">
        <v>0.1</v>
      </c>
      <c r="X94" t="str">
        <f t="shared" si="35"/>
        <v>Trd_hdt_elc_350</v>
      </c>
      <c r="Y94" t="str">
        <f ca="1" t="shared" si="44"/>
        <v>7.5-16t battery electric truck -- 350</v>
      </c>
      <c r="Z94" s="388" t="s">
        <v>84</v>
      </c>
      <c r="AA94" s="388" t="s">
        <v>85</v>
      </c>
    </row>
    <row r="95" spans="2:27">
      <c r="B95" s="66">
        <v>500</v>
      </c>
      <c r="C95" s="86">
        <v>179612.758472383</v>
      </c>
      <c r="D95" s="86">
        <v>119565.16497781</v>
      </c>
      <c r="E95" s="86">
        <v>104086.944839593</v>
      </c>
      <c r="F95" s="86">
        <v>100030.341013554</v>
      </c>
      <c r="I95" s="394">
        <f t="shared" si="37"/>
        <v>2.41441039299943</v>
      </c>
      <c r="J95" t="str">
        <f t="shared" si="26"/>
        <v>Trd_hdt_elc</v>
      </c>
      <c r="K95" t="str">
        <f t="shared" si="39"/>
        <v>Trd_hdt_elc_500</v>
      </c>
      <c r="L95" t="str">
        <f t="shared" si="34"/>
        <v>Trd_hdt</v>
      </c>
      <c r="M95" s="395">
        <f t="shared" si="40"/>
        <v>107767.65508343</v>
      </c>
      <c r="N95" s="395">
        <f t="shared" si="41"/>
        <v>71739.098986686</v>
      </c>
      <c r="O95" s="395">
        <f t="shared" si="42"/>
        <v>62452.1669037558</v>
      </c>
      <c r="P95" s="395">
        <f t="shared" si="43"/>
        <v>60018.2046081324</v>
      </c>
      <c r="Q95">
        <f t="shared" si="38"/>
        <v>60018.2046081324</v>
      </c>
      <c r="R95">
        <v>3</v>
      </c>
      <c r="U95" s="396">
        <v>0.2</v>
      </c>
      <c r="X95" t="str">
        <f t="shared" si="35"/>
        <v>Trd_hdt_elc_500</v>
      </c>
      <c r="Y95" t="str">
        <f ca="1" t="shared" si="44"/>
        <v>7.5-16t battery electric truck -- 500</v>
      </c>
      <c r="Z95" s="388" t="s">
        <v>84</v>
      </c>
      <c r="AA95" s="388" t="s">
        <v>85</v>
      </c>
    </row>
    <row r="96" spans="2:27">
      <c r="B96" s="66">
        <v>600</v>
      </c>
      <c r="C96" s="86">
        <v>193069.495161372</v>
      </c>
      <c r="D96" s="86">
        <v>125556.819841456</v>
      </c>
      <c r="E96" s="86">
        <v>111128.241503766</v>
      </c>
      <c r="F96" s="86">
        <v>104587.124680729</v>
      </c>
      <c r="I96" s="394">
        <f t="shared" si="37"/>
        <v>2.41441039299943</v>
      </c>
      <c r="J96" t="str">
        <f t="shared" si="26"/>
        <v>Trd_hdt_elc</v>
      </c>
      <c r="K96" t="str">
        <f t="shared" si="39"/>
        <v>Trd_hdt_elc_600</v>
      </c>
      <c r="L96" t="str">
        <f t="shared" si="34"/>
        <v>Trd_hdt</v>
      </c>
      <c r="M96" s="395">
        <f t="shared" si="40"/>
        <v>115841.697096823</v>
      </c>
      <c r="N96" s="395">
        <f t="shared" si="41"/>
        <v>75334.0919048736</v>
      </c>
      <c r="O96" s="395">
        <f t="shared" si="42"/>
        <v>66676.9449022596</v>
      </c>
      <c r="P96" s="395">
        <f t="shared" si="43"/>
        <v>62752.2748084374</v>
      </c>
      <c r="Q96">
        <f t="shared" si="38"/>
        <v>62752.2748084374</v>
      </c>
      <c r="R96">
        <v>3</v>
      </c>
      <c r="U96" s="386"/>
      <c r="X96" t="str">
        <f t="shared" si="35"/>
        <v>Trd_hdt_elc_600</v>
      </c>
      <c r="Y96" t="str">
        <f ca="1" t="shared" si="44"/>
        <v>7.5-16t battery electric truck -- 600</v>
      </c>
      <c r="Z96" s="388" t="s">
        <v>84</v>
      </c>
      <c r="AA96" s="388" t="s">
        <v>85</v>
      </c>
    </row>
    <row r="97" spans="2:27">
      <c r="J97" t="str">
        <f t="shared" si="26"/>
        <v>Trd_hdt_elc</v>
      </c>
      <c r="K97" t="str">
        <f t="shared" si="27"/>
        <v>\I:</v>
      </c>
      <c r="L97" t="str">
        <f t="shared" si="34"/>
        <v>\I:</v>
      </c>
      <c r="M97" s="390" t="str">
        <f t="shared" si="28"/>
        <v/>
      </c>
      <c r="N97" s="390" t="str">
        <f t="shared" si="29"/>
        <v/>
      </c>
      <c r="O97" s="390" t="str">
        <f t="shared" si="30"/>
        <v/>
      </c>
      <c r="P97" s="390" t="str">
        <f t="shared" si="31"/>
        <v/>
      </c>
      <c r="U97" s="386"/>
      <c r="X97" t="str">
        <f t="shared" si="35"/>
        <v>\I:</v>
      </c>
      <c r="Y97" t="str">
        <f ca="1" t="shared" si="36"/>
        <v>7.5-16t battery electric truck -- 00%</v>
      </c>
      <c r="Z97" s="388" t="s">
        <v>84</v>
      </c>
      <c r="AA97" s="388" t="s">
        <v>85</v>
      </c>
    </row>
    <row r="98" spans="2:27">
      <c r="J98" t="str">
        <f t="shared" si="26"/>
        <v>Trd_hdt_elc</v>
      </c>
      <c r="K98" t="str">
        <f t="shared" si="27"/>
        <v>\I:</v>
      </c>
      <c r="L98" t="str">
        <f t="shared" si="34"/>
        <v>\I:</v>
      </c>
      <c r="M98" s="390" t="str">
        <f t="shared" si="28"/>
        <v/>
      </c>
      <c r="N98" s="390" t="str">
        <f t="shared" si="29"/>
        <v/>
      </c>
      <c r="O98" s="390" t="str">
        <f t="shared" si="30"/>
        <v/>
      </c>
      <c r="P98" s="390" t="str">
        <f t="shared" si="31"/>
        <v/>
      </c>
      <c r="U98" s="386"/>
      <c r="X98" t="str">
        <f t="shared" si="35"/>
        <v>\I:</v>
      </c>
      <c r="Y98" t="str">
        <f ca="1" t="shared" si="36"/>
        <v>7.5-16t battery electric truck -- 00%</v>
      </c>
      <c r="Z98" s="388" t="s">
        <v>84</v>
      </c>
      <c r="AA98" s="388" t="s">
        <v>85</v>
      </c>
    </row>
    <row r="99" ht="15.75" customHeight="1" spans="2:27">
      <c r="J99" t="str">
        <f t="shared" si="26"/>
        <v>Trd_hdt_elc</v>
      </c>
      <c r="K99" t="str">
        <f t="shared" si="27"/>
        <v>\I:</v>
      </c>
      <c r="L99" t="str">
        <f t="shared" si="34"/>
        <v>\I:</v>
      </c>
      <c r="M99" s="390" t="str">
        <f t="shared" si="28"/>
        <v/>
      </c>
      <c r="N99" s="390" t="str">
        <f t="shared" si="29"/>
        <v/>
      </c>
      <c r="O99" s="390" t="str">
        <f t="shared" si="30"/>
        <v/>
      </c>
      <c r="P99" s="390" t="str">
        <f t="shared" si="31"/>
        <v/>
      </c>
      <c r="U99" s="386"/>
      <c r="X99" t="str">
        <f t="shared" si="35"/>
        <v>\I:</v>
      </c>
      <c r="Y99" t="str">
        <f ca="1" t="shared" si="36"/>
        <v>7.5-16t battery electric truck -- 00%</v>
      </c>
      <c r="Z99" s="388" t="s">
        <v>84</v>
      </c>
      <c r="AA99" s="388" t="s">
        <v>85</v>
      </c>
    </row>
    <row r="100" spans="2:27">
      <c r="B100" s="410" t="s">
        <v>29</v>
      </c>
      <c r="C100" s="411" t="s">
        <v>118</v>
      </c>
      <c r="D100" s="412"/>
      <c r="E100" s="412"/>
      <c r="F100" s="413"/>
      <c r="J100" t="str">
        <f t="shared" si="26"/>
        <v>Trd_hdt_hh2</v>
      </c>
      <c r="K100" t="str">
        <f t="shared" si="27"/>
        <v>\I:</v>
      </c>
      <c r="L100" t="str">
        <f t="shared" si="34"/>
        <v>\I:</v>
      </c>
      <c r="M100" s="390" t="str">
        <f t="shared" si="28"/>
        <v/>
      </c>
      <c r="N100" s="390" t="str">
        <f t="shared" si="29"/>
        <v/>
      </c>
      <c r="O100" s="390" t="str">
        <f t="shared" si="30"/>
        <v/>
      </c>
      <c r="P100" s="390" t="str">
        <f t="shared" si="31"/>
        <v/>
      </c>
      <c r="U100" s="386"/>
      <c r="X100" t="str">
        <f t="shared" si="35"/>
        <v>\I:</v>
      </c>
      <c r="Y100" t="str">
        <f ca="1" t="shared" si="36"/>
        <v>7.5-16t Hydrogen fuel cell truck -- Energy consumption (kg H2/100km)</v>
      </c>
      <c r="Z100" s="388" t="s">
        <v>84</v>
      </c>
      <c r="AA100" s="388" t="s">
        <v>85</v>
      </c>
    </row>
    <row r="101" spans="2:27">
      <c r="B101" s="414"/>
      <c r="C101" s="415"/>
      <c r="D101" s="416"/>
      <c r="E101" s="416"/>
      <c r="F101" s="417"/>
      <c r="J101" t="str">
        <f t="shared" si="26"/>
        <v>Trd_hdt_hh2</v>
      </c>
      <c r="K101" t="str">
        <f t="shared" si="27"/>
        <v>\I:</v>
      </c>
      <c r="L101" t="str">
        <f t="shared" si="34"/>
        <v>\I:</v>
      </c>
      <c r="M101" s="390" t="str">
        <f t="shared" si="28"/>
        <v/>
      </c>
      <c r="N101" s="390" t="str">
        <f t="shared" si="29"/>
        <v/>
      </c>
      <c r="O101" s="390" t="str">
        <f t="shared" si="30"/>
        <v/>
      </c>
      <c r="P101" s="390" t="str">
        <f t="shared" si="31"/>
        <v/>
      </c>
      <c r="U101" s="386"/>
      <c r="X101" t="str">
        <f t="shared" si="35"/>
        <v>\I:</v>
      </c>
      <c r="Y101" t="str">
        <f ca="1" t="shared" si="36"/>
        <v>7.5-16t Hydrogen fuel cell truck -- 00%</v>
      </c>
      <c r="Z101" s="388" t="s">
        <v>84</v>
      </c>
      <c r="AA101" s="388" t="s">
        <v>85</v>
      </c>
    </row>
    <row r="102" spans="2:27">
      <c r="B102" s="418"/>
      <c r="C102" s="419"/>
      <c r="D102" s="420"/>
      <c r="E102" s="420"/>
      <c r="F102" s="421"/>
      <c r="J102" t="str">
        <f t="shared" si="26"/>
        <v>Trd_hdt_hh2</v>
      </c>
      <c r="K102" t="str">
        <f t="shared" si="27"/>
        <v>\I:</v>
      </c>
      <c r="L102" t="str">
        <f t="shared" si="34"/>
        <v>\I:</v>
      </c>
      <c r="M102" s="390" t="str">
        <f t="shared" si="28"/>
        <v/>
      </c>
      <c r="N102" s="390" t="str">
        <f t="shared" si="29"/>
        <v/>
      </c>
      <c r="O102" s="390" t="str">
        <f t="shared" si="30"/>
        <v/>
      </c>
      <c r="P102" s="390" t="str">
        <f t="shared" si="31"/>
        <v/>
      </c>
      <c r="U102" s="386"/>
      <c r="X102" t="str">
        <f t="shared" si="35"/>
        <v>\I:</v>
      </c>
      <c r="Y102" t="str">
        <f ca="1" t="shared" si="36"/>
        <v>7.5-16t Hydrogen fuel cell truck -- 00%</v>
      </c>
      <c r="Z102" s="388" t="s">
        <v>84</v>
      </c>
      <c r="AA102" s="388" t="s">
        <v>85</v>
      </c>
    </row>
    <row r="103" spans="2:27">
      <c r="B103" s="88"/>
      <c r="C103" s="51">
        <v>2020</v>
      </c>
      <c r="D103" s="51">
        <v>2030</v>
      </c>
      <c r="E103" s="51">
        <v>2040</v>
      </c>
      <c r="F103" s="51">
        <v>2050</v>
      </c>
      <c r="J103" t="str">
        <f t="shared" si="26"/>
        <v>Trd_hdt_hh2</v>
      </c>
      <c r="K103" t="str">
        <f t="shared" si="27"/>
        <v>\I:</v>
      </c>
      <c r="L103" t="str">
        <f t="shared" si="34"/>
        <v>\I:</v>
      </c>
      <c r="M103" s="390" t="str">
        <f t="shared" si="28"/>
        <v/>
      </c>
      <c r="N103" s="390" t="str">
        <f t="shared" si="29"/>
        <v/>
      </c>
      <c r="O103" s="390" t="str">
        <f t="shared" si="30"/>
        <v/>
      </c>
      <c r="P103" s="390" t="str">
        <f t="shared" si="31"/>
        <v/>
      </c>
      <c r="U103" s="386"/>
      <c r="X103" t="str">
        <f t="shared" si="35"/>
        <v>\I:</v>
      </c>
      <c r="Y103" t="str">
        <f ca="1" t="shared" si="36"/>
        <v>7.5-16t Hydrogen fuel cell truck -- 00%</v>
      </c>
      <c r="Z103" s="388" t="s">
        <v>84</v>
      </c>
      <c r="AA103" s="388" t="s">
        <v>85</v>
      </c>
    </row>
    <row r="104" spans="2:27">
      <c r="B104" s="67">
        <v>3.6</v>
      </c>
      <c r="C104" s="86">
        <v>289239.360061222</v>
      </c>
      <c r="D104" s="86">
        <v>165331.416739842</v>
      </c>
      <c r="E104" s="86">
        <v>126641.731543009</v>
      </c>
      <c r="F104" s="86">
        <v>113300.500205988</v>
      </c>
      <c r="G104" s="75">
        <f>B104*0.12/100*10^9/10^6</f>
        <v>4.32</v>
      </c>
      <c r="H104" s="75"/>
      <c r="I104" s="382">
        <f>1/G104/$I$7</f>
        <v>1.6609620805626</v>
      </c>
      <c r="J104" t="str">
        <f t="shared" si="26"/>
        <v>Trd_hdt_hh2</v>
      </c>
      <c r="K104" t="str">
        <f>IFERROR(IF(VALUE(C104)&gt;2020,J104&amp;"_"&amp;TEXT(B104,"0.0"),"\I:"),"\I:")</f>
        <v>Trd_hdt_hh2_3.6</v>
      </c>
      <c r="L104" t="str">
        <f t="shared" si="34"/>
        <v>Trd_hdt</v>
      </c>
      <c r="M104" s="390">
        <f t="shared" si="28"/>
        <v>289239.360061222</v>
      </c>
      <c r="N104" s="390">
        <f t="shared" si="29"/>
        <v>165331.416739842</v>
      </c>
      <c r="O104" s="390">
        <f t="shared" si="30"/>
        <v>126641.731543009</v>
      </c>
      <c r="P104" s="390">
        <f t="shared" si="31"/>
        <v>113300.500205988</v>
      </c>
      <c r="Q104">
        <f t="shared" ref="Q104:Q111" si="45">P104</f>
        <v>113300.500205988</v>
      </c>
      <c r="R104">
        <v>3</v>
      </c>
      <c r="U104" s="386"/>
      <c r="X104" t="str">
        <f t="shared" si="35"/>
        <v>Trd_hdt_hh2_3.6</v>
      </c>
      <c r="Y104" t="str">
        <f ca="1">OFFSET($V$1,MATCH(J104,$V$1:$V$11,0)-1,-1)&amp;" -- "&amp;TEXT(B104,"0.0")</f>
        <v>7.5-16t Hydrogen fuel cell truck -- 3.6</v>
      </c>
      <c r="Z104" s="388" t="s">
        <v>84</v>
      </c>
      <c r="AA104" s="388"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82">
        <f t="shared" ref="I105:I111" si="47">1/G105/$I$7</f>
        <v>1.71280076190358</v>
      </c>
      <c r="J105" t="str">
        <f t="shared" si="26"/>
        <v>Trd_hdt_hh2</v>
      </c>
      <c r="K105" t="str">
        <f t="shared" ref="K105:K111" si="48">IFERROR(IF(VALUE(C105)&gt;2020,J105&amp;"_"&amp;TEXT(B105,"0.0"),"\I:"),"\I:")</f>
        <v>Trd_hdt_hh2_3.5</v>
      </c>
      <c r="L105" t="str">
        <f t="shared" si="34"/>
        <v>Trd_hdt</v>
      </c>
      <c r="M105" s="390">
        <f t="shared" si="28"/>
        <v>290124.884209772</v>
      </c>
      <c r="N105" s="390">
        <f t="shared" si="29"/>
        <v>165775.115926834</v>
      </c>
      <c r="O105" s="390">
        <f t="shared" si="30"/>
        <v>127085.430730001</v>
      </c>
      <c r="P105" s="390">
        <f t="shared" si="31"/>
        <v>113744.19939298</v>
      </c>
      <c r="Q105">
        <f t="shared" si="45"/>
        <v>113744.19939298</v>
      </c>
      <c r="R105">
        <v>3</v>
      </c>
      <c r="U105" s="386"/>
      <c r="X105" t="str">
        <f t="shared" si="35"/>
        <v>Trd_hdt_hh2_3.5</v>
      </c>
      <c r="Y105" t="str">
        <f ca="1" t="shared" ref="Y105:Y111" si="49">OFFSET($V$1,MATCH(J105,$V$1:$V$11,0)-1,-1)&amp;" -- "&amp;TEXT(B105,"0.0")</f>
        <v>7.5-16t Hydrogen fuel cell truck -- 3.5</v>
      </c>
      <c r="Z105" s="388" t="s">
        <v>84</v>
      </c>
      <c r="AA105" s="388" t="s">
        <v>85</v>
      </c>
    </row>
    <row r="106" spans="2:27">
      <c r="B106" s="67">
        <v>3.38208877882548</v>
      </c>
      <c r="C106" s="86">
        <v>291607.78759882</v>
      </c>
      <c r="D106" s="86">
        <v>169260.356312954</v>
      </c>
      <c r="E106" s="86">
        <v>127529.129916993</v>
      </c>
      <c r="F106" s="86">
        <v>114187.898579971</v>
      </c>
      <c r="G106" s="75">
        <f t="shared" si="46"/>
        <v>4.05850653459058</v>
      </c>
      <c r="H106" s="75"/>
      <c r="I106" s="382">
        <f t="shared" si="47"/>
        <v>1.76797945916189</v>
      </c>
      <c r="J106" t="str">
        <f t="shared" si="26"/>
        <v>Trd_hdt_hh2</v>
      </c>
      <c r="K106" t="str">
        <f t="shared" si="48"/>
        <v>Trd_hdt_hh2_3.4</v>
      </c>
      <c r="L106" t="str">
        <f t="shared" si="34"/>
        <v>Trd_hdt</v>
      </c>
      <c r="M106" s="390">
        <f t="shared" si="28"/>
        <v>291607.78759882</v>
      </c>
      <c r="N106" s="390">
        <f t="shared" si="29"/>
        <v>169260.356312954</v>
      </c>
      <c r="O106" s="390">
        <f t="shared" si="30"/>
        <v>127529.129916993</v>
      </c>
      <c r="P106" s="390">
        <f t="shared" si="31"/>
        <v>114187.898579971</v>
      </c>
      <c r="Q106">
        <f t="shared" si="45"/>
        <v>114187.898579971</v>
      </c>
      <c r="R106">
        <v>3</v>
      </c>
      <c r="U106" s="386"/>
      <c r="X106" t="str">
        <f t="shared" si="35"/>
        <v>Trd_hdt_hh2_3.4</v>
      </c>
      <c r="Y106" t="str">
        <f ca="1" t="shared" si="49"/>
        <v>7.5-16t Hydrogen fuel cell truck -- 3.4</v>
      </c>
      <c r="Z106" s="388" t="s">
        <v>84</v>
      </c>
      <c r="AA106" s="388" t="s">
        <v>85</v>
      </c>
    </row>
    <row r="107" spans="2:27">
      <c r="B107" s="67">
        <v>3.27313316823822</v>
      </c>
      <c r="C107" s="86">
        <v>298751.243165772</v>
      </c>
      <c r="D107" s="86">
        <v>172972.418760191</v>
      </c>
      <c r="E107" s="86">
        <v>127972.829103985</v>
      </c>
      <c r="F107" s="86">
        <v>114631.597766963</v>
      </c>
      <c r="G107" s="75">
        <f t="shared" si="46"/>
        <v>3.92775980188586</v>
      </c>
      <c r="H107" s="75"/>
      <c r="I107" s="382">
        <f t="shared" si="47"/>
        <v>1.82683171832078</v>
      </c>
      <c r="J107" t="str">
        <f t="shared" si="26"/>
        <v>Trd_hdt_hh2</v>
      </c>
      <c r="K107" t="str">
        <f t="shared" si="48"/>
        <v>Trd_hdt_hh2_3.3</v>
      </c>
      <c r="L107" t="str">
        <f t="shared" si="34"/>
        <v>Trd_hdt</v>
      </c>
      <c r="M107" s="390">
        <f t="shared" si="28"/>
        <v>298751.243165772</v>
      </c>
      <c r="N107" s="390">
        <f t="shared" si="29"/>
        <v>172972.418760191</v>
      </c>
      <c r="O107" s="390">
        <f t="shared" si="30"/>
        <v>127972.829103985</v>
      </c>
      <c r="P107" s="390">
        <f t="shared" si="31"/>
        <v>114631.597766963</v>
      </c>
      <c r="Q107">
        <f t="shared" si="45"/>
        <v>114631.597766963</v>
      </c>
      <c r="R107">
        <v>3</v>
      </c>
      <c r="U107" s="386"/>
      <c r="X107" t="str">
        <f t="shared" si="35"/>
        <v>Trd_hdt_hh2_3.3</v>
      </c>
      <c r="Y107" t="str">
        <f ca="1" t="shared" si="49"/>
        <v>7.5-16t Hydrogen fuel cell truck -- 3.3</v>
      </c>
      <c r="Z107" s="388" t="s">
        <v>84</v>
      </c>
      <c r="AA107" s="388" t="s">
        <v>85</v>
      </c>
    </row>
    <row r="108" spans="2:27">
      <c r="B108" s="67">
        <v>3.16417755765097</v>
      </c>
      <c r="C108" s="86">
        <v>300389.263299954</v>
      </c>
      <c r="D108" s="86">
        <v>179433.095982914</v>
      </c>
      <c r="E108" s="86">
        <v>128416.528290977</v>
      </c>
      <c r="F108" s="86">
        <v>115075.296953955</v>
      </c>
      <c r="G108" s="75">
        <f t="shared" si="46"/>
        <v>3.79701306918116</v>
      </c>
      <c r="H108" s="75"/>
      <c r="I108" s="382">
        <f t="shared" si="47"/>
        <v>1.88973702678822</v>
      </c>
      <c r="J108" t="str">
        <f t="shared" si="26"/>
        <v>Trd_hdt_hh2</v>
      </c>
      <c r="K108" t="str">
        <f t="shared" si="48"/>
        <v>Trd_hdt_hh2_3.2</v>
      </c>
      <c r="L108" t="str">
        <f t="shared" si="34"/>
        <v>Trd_hdt</v>
      </c>
      <c r="M108" s="390">
        <f t="shared" si="28"/>
        <v>300389.263299954</v>
      </c>
      <c r="N108" s="390">
        <f t="shared" si="29"/>
        <v>179433.095982914</v>
      </c>
      <c r="O108" s="390">
        <f t="shared" si="30"/>
        <v>128416.528290977</v>
      </c>
      <c r="P108" s="390">
        <f t="shared" si="31"/>
        <v>115075.296953955</v>
      </c>
      <c r="Q108">
        <f t="shared" si="45"/>
        <v>115075.296953955</v>
      </c>
      <c r="R108">
        <v>3</v>
      </c>
      <c r="U108" s="386"/>
      <c r="X108" t="str">
        <f t="shared" si="35"/>
        <v>Trd_hdt_hh2_3.2</v>
      </c>
      <c r="Y108" t="str">
        <f ca="1" t="shared" si="49"/>
        <v>7.5-16t Hydrogen fuel cell truck -- 3.2</v>
      </c>
      <c r="Z108" s="388" t="s">
        <v>84</v>
      </c>
      <c r="AA108" s="388" t="s">
        <v>85</v>
      </c>
    </row>
    <row r="109" spans="2:27">
      <c r="B109" s="67">
        <v>3.05522194706371</v>
      </c>
      <c r="C109" s="86">
        <v>301347.939435471</v>
      </c>
      <c r="D109" s="86">
        <v>179995.322886205</v>
      </c>
      <c r="E109" s="86">
        <v>128860.227477969</v>
      </c>
      <c r="F109" s="86">
        <v>115518.996140947</v>
      </c>
      <c r="G109" s="75">
        <f t="shared" si="46"/>
        <v>3.66626633647645</v>
      </c>
      <c r="H109" s="75"/>
      <c r="I109" s="382">
        <f t="shared" si="47"/>
        <v>1.95712900523383</v>
      </c>
      <c r="J109" t="str">
        <f t="shared" si="26"/>
        <v>Trd_hdt_hh2</v>
      </c>
      <c r="K109" t="str">
        <f t="shared" si="48"/>
        <v>Trd_hdt_hh2_3.1</v>
      </c>
      <c r="L109" t="str">
        <f t="shared" si="34"/>
        <v>Trd_hdt</v>
      </c>
      <c r="M109" s="390">
        <f t="shared" si="28"/>
        <v>301347.939435471</v>
      </c>
      <c r="N109" s="390">
        <f t="shared" si="29"/>
        <v>179995.322886205</v>
      </c>
      <c r="O109" s="390">
        <f t="shared" si="30"/>
        <v>128860.227477969</v>
      </c>
      <c r="P109" s="390">
        <f t="shared" si="31"/>
        <v>115518.996140947</v>
      </c>
      <c r="Q109">
        <f t="shared" si="45"/>
        <v>115518.996140947</v>
      </c>
      <c r="R109">
        <v>3</v>
      </c>
      <c r="U109" s="386"/>
      <c r="X109" t="str">
        <f t="shared" si="35"/>
        <v>Trd_hdt_hh2_3.1</v>
      </c>
      <c r="Y109" t="str">
        <f ca="1" t="shared" si="49"/>
        <v>7.5-16t Hydrogen fuel cell truck -- 3.1</v>
      </c>
      <c r="Z109" s="388" t="s">
        <v>84</v>
      </c>
      <c r="AA109" s="388" t="s">
        <v>85</v>
      </c>
    </row>
    <row r="110" spans="2:27">
      <c r="B110" s="67">
        <v>2.94626633647645</v>
      </c>
      <c r="C110" s="86">
        <v>302306.615570987</v>
      </c>
      <c r="D110" s="86">
        <v>180557.549789496</v>
      </c>
      <c r="E110" s="86">
        <v>129303.92666496</v>
      </c>
      <c r="F110" s="86">
        <v>115962.695327939</v>
      </c>
      <c r="G110" s="75">
        <f t="shared" si="46"/>
        <v>3.53551960377174</v>
      </c>
      <c r="H110" s="75"/>
      <c r="I110" s="382">
        <f t="shared" si="47"/>
        <v>2.02950541707523</v>
      </c>
      <c r="J110" t="str">
        <f t="shared" si="26"/>
        <v>Trd_hdt_hh2</v>
      </c>
      <c r="K110" t="str">
        <f t="shared" si="48"/>
        <v>Trd_hdt_hh2_2.9</v>
      </c>
      <c r="L110" t="str">
        <f t="shared" si="34"/>
        <v>Trd_hdt</v>
      </c>
      <c r="M110" s="390">
        <f t="shared" si="28"/>
        <v>302306.615570987</v>
      </c>
      <c r="N110" s="390">
        <f t="shared" si="29"/>
        <v>180557.549789496</v>
      </c>
      <c r="O110" s="390">
        <f t="shared" si="30"/>
        <v>129303.92666496</v>
      </c>
      <c r="P110" s="390">
        <f t="shared" si="31"/>
        <v>115962.695327939</v>
      </c>
      <c r="Q110">
        <f t="shared" si="45"/>
        <v>115962.695327939</v>
      </c>
      <c r="R110">
        <v>3</v>
      </c>
      <c r="U110" s="386"/>
      <c r="X110" t="str">
        <f t="shared" si="35"/>
        <v>Trd_hdt_hh2_2.9</v>
      </c>
      <c r="Y110" t="str">
        <f ca="1" t="shared" si="49"/>
        <v>7.5-16t Hydrogen fuel cell truck -- 2.9</v>
      </c>
      <c r="Z110" s="388" t="s">
        <v>84</v>
      </c>
      <c r="AA110" s="388" t="s">
        <v>85</v>
      </c>
    </row>
    <row r="111" spans="2:27">
      <c r="B111" s="67">
        <v>2.83731072588919</v>
      </c>
      <c r="C111" s="86">
        <v>303265.291706504</v>
      </c>
      <c r="D111" s="86">
        <v>181119.776692787</v>
      </c>
      <c r="E111" s="86">
        <v>129747.625851952</v>
      </c>
      <c r="F111" s="86">
        <v>116406.394514931</v>
      </c>
      <c r="G111" s="75">
        <f t="shared" si="46"/>
        <v>3.40477287106703</v>
      </c>
      <c r="H111" s="75"/>
      <c r="I111" s="382">
        <f t="shared" si="47"/>
        <v>2.10744048421113</v>
      </c>
      <c r="J111" t="str">
        <f t="shared" si="26"/>
        <v>Trd_hdt_hh2</v>
      </c>
      <c r="K111" t="str">
        <f t="shared" si="48"/>
        <v>Trd_hdt_hh2_2.8</v>
      </c>
      <c r="L111" t="str">
        <f t="shared" si="34"/>
        <v>Trd_hdt</v>
      </c>
      <c r="M111" s="390">
        <f t="shared" si="28"/>
        <v>303265.291706504</v>
      </c>
      <c r="N111" s="390">
        <f t="shared" si="29"/>
        <v>181119.776692787</v>
      </c>
      <c r="O111" s="390">
        <f t="shared" si="30"/>
        <v>129747.625851952</v>
      </c>
      <c r="P111" s="390">
        <f t="shared" si="31"/>
        <v>116406.394514931</v>
      </c>
      <c r="Q111">
        <f t="shared" si="45"/>
        <v>116406.394514931</v>
      </c>
      <c r="R111">
        <v>3</v>
      </c>
      <c r="U111" s="386"/>
      <c r="X111" t="str">
        <f t="shared" si="35"/>
        <v>Trd_hdt_hh2_2.8</v>
      </c>
      <c r="Y111" t="str">
        <f ca="1" t="shared" si="49"/>
        <v>7.5-16t Hydrogen fuel cell truck -- 2.8</v>
      </c>
      <c r="Z111" s="388" t="s">
        <v>84</v>
      </c>
      <c r="AA111" s="388"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71" t="s">
        <v>10</v>
      </c>
      <c r="C1" s="372"/>
      <c r="D1" s="372"/>
      <c r="E1" s="372"/>
      <c r="F1" s="373"/>
      <c r="U1" t="s">
        <v>125</v>
      </c>
      <c r="V1" t="s">
        <v>126</v>
      </c>
      <c r="W1" t="str">
        <f>"Trd_2w_"&amp;U1</f>
        <v>Trd_2w_gsl150</v>
      </c>
    </row>
    <row r="2" spans="2:29">
      <c r="B2" s="397" t="s">
        <v>9</v>
      </c>
      <c r="C2" s="398"/>
      <c r="D2" s="398"/>
      <c r="E2" s="398"/>
      <c r="F2" s="398"/>
      <c r="U2" t="s">
        <v>127</v>
      </c>
      <c r="V2" t="s">
        <v>128</v>
      </c>
      <c r="W2" t="str">
        <f t="shared" ref="W2:W8" si="0">"Trd_2w_"&amp;U2</f>
        <v>Trd_2w_gsl500</v>
      </c>
    </row>
    <row r="3" spans="2:29">
      <c r="U3" t="s">
        <v>42</v>
      </c>
      <c r="V3" t="s">
        <v>129</v>
      </c>
      <c r="W3" t="str">
        <f>"Trd_3w_"&amp;U3</f>
        <v>Trd_3w_gsl</v>
      </c>
    </row>
    <row r="4" spans="2:29">
      <c r="I4" s="399">
        <f>31536000/10^9</f>
        <v>0.031536</v>
      </c>
      <c r="J4" s="379" t="s">
        <v>47</v>
      </c>
      <c r="U4" t="s">
        <v>130</v>
      </c>
      <c r="V4" t="s">
        <v>131</v>
      </c>
      <c r="W4" t="str">
        <f t="shared" si="0"/>
        <v>Trd_2w_gsl50</v>
      </c>
    </row>
    <row r="5" spans="2:29">
      <c r="B5" s="44" t="s">
        <v>132</v>
      </c>
      <c r="U5" t="s">
        <v>133</v>
      </c>
      <c r="V5" t="s">
        <v>134</v>
      </c>
      <c r="W5" t="str">
        <f t="shared" si="0"/>
        <v>Trd_2w_elc150</v>
      </c>
    </row>
    <row r="6" ht="15" customHeight="1" spans="2:29">
      <c r="B6" s="381">
        <v>2015</v>
      </c>
      <c r="C6" s="381"/>
      <c r="D6" s="381"/>
      <c r="U6" t="s">
        <v>135</v>
      </c>
      <c r="V6" t="s">
        <v>136</v>
      </c>
      <c r="W6" t="str">
        <f t="shared" si="0"/>
        <v>Trd_2w_elc500</v>
      </c>
    </row>
    <row r="7" spans="2:29">
      <c r="B7" s="46" t="s">
        <v>12</v>
      </c>
      <c r="C7" s="47" t="s">
        <v>13</v>
      </c>
      <c r="D7" s="48">
        <v>3.2040038477468</v>
      </c>
      <c r="G7" s="382">
        <f>D7*$I$4/100*10^9/10^6</f>
        <v>1.01041465342543</v>
      </c>
      <c r="H7" s="382"/>
      <c r="I7" s="382">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4" t="s">
        <v>71</v>
      </c>
      <c r="Y10" s="384" t="s">
        <v>72</v>
      </c>
      <c r="Z10" s="385"/>
      <c r="AA10" s="385"/>
      <c r="AB10" s="385"/>
      <c r="AC10" s="385"/>
    </row>
    <row r="11" spans="2:29">
      <c r="I11" t="s">
        <v>73</v>
      </c>
      <c r="J11" t="s">
        <v>74</v>
      </c>
      <c r="K11" t="s">
        <v>75</v>
      </c>
      <c r="L11" t="s">
        <v>76</v>
      </c>
      <c r="M11">
        <f>C15</f>
        <v>2020</v>
      </c>
      <c r="N11">
        <f>D15</f>
        <v>2030</v>
      </c>
      <c r="O11">
        <f>E15</f>
        <v>2040</v>
      </c>
      <c r="P11">
        <v>2050</v>
      </c>
      <c r="Q11">
        <v>2100</v>
      </c>
      <c r="R11">
        <v>0</v>
      </c>
      <c r="W11" s="386" t="s">
        <v>77</v>
      </c>
      <c r="Y11" s="385" t="s">
        <v>78</v>
      </c>
      <c r="Z11" s="385" t="s">
        <v>79</v>
      </c>
      <c r="AA11" s="385" t="s">
        <v>80</v>
      </c>
      <c r="AB11" s="385" t="s">
        <v>81</v>
      </c>
      <c r="AC11" s="385" t="s">
        <v>82</v>
      </c>
    </row>
    <row r="12" ht="15" customHeight="1" spans="2:29">
      <c r="B12" s="400" t="s">
        <v>140</v>
      </c>
      <c r="C12" s="400" t="s">
        <v>126</v>
      </c>
      <c r="D12" s="400"/>
      <c r="E12" s="400"/>
      <c r="F12" s="400"/>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6"/>
      <c r="Y12" t="s">
        <v>83</v>
      </c>
      <c r="Z12" t="str">
        <f>K12</f>
        <v>\I:</v>
      </c>
      <c r="AA12" t="str">
        <f ca="1">OFFSET($W$1,MATCH(J12,$W$1:$W$11,0)-1,-1)&amp;" -- "&amp;TEXT(B12,"00%")</f>
        <v>4-stroke MC 50-250 cc motorcycle -- Reduction of specific energy consumption relative to 2015 (%)</v>
      </c>
      <c r="AB12" s="388" t="s">
        <v>84</v>
      </c>
      <c r="AC12" s="388" t="s">
        <v>85</v>
      </c>
    </row>
    <row r="13" spans="2:29">
      <c r="B13" s="400"/>
      <c r="C13" s="400"/>
      <c r="D13" s="400"/>
      <c r="E13" s="400"/>
      <c r="F13" s="400"/>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6"/>
      <c r="Y13" t="s">
        <v>83</v>
      </c>
      <c r="Z13" t="str">
        <f t="shared" ref="Z13:Z23" si="6">K13</f>
        <v>\I:</v>
      </c>
      <c r="AA13" t="str">
        <f ca="1" t="shared" ref="AA13:AA23" si="7">OFFSET($W$1,MATCH(J13,$W$1:$W$11,0)-1,-1)&amp;" -- "&amp;TEXT(B13,"00%")</f>
        <v>4-stroke MC 50-250 cc motorcycle -- 00%</v>
      </c>
      <c r="AB13" s="388" t="s">
        <v>84</v>
      </c>
      <c r="AC13" s="388" t="s">
        <v>85</v>
      </c>
    </row>
    <row r="14" spans="2:29">
      <c r="B14" s="400"/>
      <c r="C14" s="400"/>
      <c r="D14" s="400"/>
      <c r="E14" s="400"/>
      <c r="F14" s="400"/>
      <c r="J14" t="str">
        <f t="shared" si="1"/>
        <v>Trd_2w_gsl150</v>
      </c>
      <c r="K14" t="str">
        <f t="shared" si="2"/>
        <v>\I:</v>
      </c>
      <c r="L14" t="str">
        <f t="shared" si="3"/>
        <v>\I:</v>
      </c>
      <c r="M14" t="str">
        <f t="shared" si="4"/>
        <v/>
      </c>
      <c r="N14" t="str">
        <f t="shared" si="5"/>
        <v/>
      </c>
      <c r="O14" t="str">
        <f t="shared" si="5"/>
        <v/>
      </c>
      <c r="P14" t="str">
        <f t="shared" si="5"/>
        <v/>
      </c>
      <c r="W14" s="386"/>
      <c r="Y14" t="s">
        <v>83</v>
      </c>
      <c r="Z14" t="str">
        <f t="shared" si="6"/>
        <v>\I:</v>
      </c>
      <c r="AA14" t="str">
        <f ca="1" t="shared" si="7"/>
        <v>4-stroke MC 50-250 cc motorcycle -- 00%</v>
      </c>
      <c r="AB14" s="388" t="s">
        <v>84</v>
      </c>
      <c r="AC14" s="388"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6"/>
      <c r="Y15" t="s">
        <v>83</v>
      </c>
      <c r="Z15" t="str">
        <f t="shared" si="6"/>
        <v>\I:</v>
      </c>
      <c r="AA15" t="str">
        <f ca="1" t="shared" si="7"/>
        <v>4-stroke MC 50-250 cc motorcycle -- 00%</v>
      </c>
      <c r="AB15" s="388" t="s">
        <v>84</v>
      </c>
      <c r="AC15" s="388" t="s">
        <v>85</v>
      </c>
    </row>
    <row r="16" spans="2:29">
      <c r="B16" s="85">
        <v>0.0154296707848</v>
      </c>
      <c r="C16" s="86">
        <v>2548.39995873036</v>
      </c>
      <c r="D16" s="86">
        <v>2548.39995873036</v>
      </c>
      <c r="E16" s="86">
        <v>2548.39995873036</v>
      </c>
      <c r="F16" s="86">
        <v>2548.39995873036</v>
      </c>
      <c r="I16" s="389">
        <f>(1+B16)</f>
        <v>1.0154296707848</v>
      </c>
      <c r="J16" t="str">
        <f t="shared" si="1"/>
        <v>Trd_2w_gsl150</v>
      </c>
      <c r="K16" t="str">
        <f t="shared" si="2"/>
        <v>Trd_2w_gsl150_02</v>
      </c>
      <c r="L16" t="str">
        <f t="shared" si="3"/>
        <v>Trd_2w</v>
      </c>
      <c r="M16" s="390">
        <f t="shared" si="4"/>
        <v>2548.39995873036</v>
      </c>
      <c r="N16" s="390">
        <f t="shared" si="5"/>
        <v>2548.39995873036</v>
      </c>
      <c r="O16" s="390">
        <f t="shared" si="5"/>
        <v>2548.39995873036</v>
      </c>
      <c r="P16" s="390">
        <f t="shared" si="5"/>
        <v>2548.39995873036</v>
      </c>
      <c r="Q16">
        <f t="shared" ref="Q16:Q22" si="8">P16</f>
        <v>2548.39995873036</v>
      </c>
      <c r="R16">
        <v>3</v>
      </c>
      <c r="W16" s="386"/>
      <c r="Y16" t="s">
        <v>83</v>
      </c>
      <c r="Z16" t="str">
        <f t="shared" si="6"/>
        <v>Trd_2w_gsl150_02</v>
      </c>
      <c r="AA16" t="str">
        <f ca="1" t="shared" si="7"/>
        <v>4-stroke MC 50-250 cc motorcycle -- 02%</v>
      </c>
      <c r="AB16" s="388" t="s">
        <v>84</v>
      </c>
      <c r="AC16" s="388" t="s">
        <v>85</v>
      </c>
    </row>
    <row r="17" spans="2:29">
      <c r="B17" s="85">
        <v>0.0654296707848</v>
      </c>
      <c r="C17" s="86">
        <v>2623.20910676422</v>
      </c>
      <c r="D17" s="86">
        <v>2598.40952810835</v>
      </c>
      <c r="E17" s="86">
        <v>2598.40952810835</v>
      </c>
      <c r="F17" s="86">
        <v>2598.40952810835</v>
      </c>
      <c r="I17" s="389">
        <f t="shared" ref="I17:I19" si="9">(1+B17)</f>
        <v>1.0654296707848</v>
      </c>
      <c r="J17" t="str">
        <f t="shared" si="1"/>
        <v>Trd_2w_gsl150</v>
      </c>
      <c r="K17" t="str">
        <f t="shared" si="2"/>
        <v>Trd_2w_gsl150_07</v>
      </c>
      <c r="L17" t="str">
        <f t="shared" si="3"/>
        <v>Trd_2w</v>
      </c>
      <c r="M17" s="390">
        <f t="shared" si="4"/>
        <v>2623.20910676422</v>
      </c>
      <c r="N17" s="390">
        <f t="shared" si="5"/>
        <v>2598.40952810835</v>
      </c>
      <c r="O17" s="390">
        <f t="shared" si="5"/>
        <v>2598.40952810835</v>
      </c>
      <c r="P17" s="390">
        <f t="shared" si="5"/>
        <v>2598.40952810835</v>
      </c>
      <c r="Q17">
        <f t="shared" si="8"/>
        <v>2598.40952810835</v>
      </c>
      <c r="R17">
        <v>3</v>
      </c>
      <c r="W17" s="386"/>
      <c r="Y17" t="s">
        <v>83</v>
      </c>
      <c r="Z17" t="str">
        <f t="shared" si="6"/>
        <v>Trd_2w_gsl150_07</v>
      </c>
      <c r="AA17" t="str">
        <f ca="1" t="shared" si="7"/>
        <v>4-stroke MC 50-250 cc motorcycle -- 07%</v>
      </c>
      <c r="AB17" s="388" t="s">
        <v>84</v>
      </c>
      <c r="AC17" s="388" t="s">
        <v>85</v>
      </c>
    </row>
    <row r="18" spans="2:29">
      <c r="B18" s="85">
        <v>0.1154296707848</v>
      </c>
      <c r="C18" s="86">
        <v>2666.56616060177</v>
      </c>
      <c r="D18" s="86">
        <v>2648.41909748634</v>
      </c>
      <c r="E18" s="86">
        <v>2648.41909748634</v>
      </c>
      <c r="F18" s="86">
        <v>2648.41909748634</v>
      </c>
      <c r="I18" s="389">
        <f t="shared" si="9"/>
        <v>1.1154296707848</v>
      </c>
      <c r="J18" t="str">
        <f t="shared" si="1"/>
        <v>Trd_2w_gsl150</v>
      </c>
      <c r="K18" t="str">
        <f t="shared" si="2"/>
        <v>Trd_2w_gsl150_12</v>
      </c>
      <c r="L18" t="str">
        <f t="shared" si="3"/>
        <v>Trd_2w</v>
      </c>
      <c r="M18" s="390">
        <f t="shared" si="4"/>
        <v>2666.56616060177</v>
      </c>
      <c r="N18" s="390">
        <f t="shared" si="5"/>
        <v>2648.41909748634</v>
      </c>
      <c r="O18" s="390">
        <f t="shared" si="5"/>
        <v>2648.41909748634</v>
      </c>
      <c r="P18" s="390">
        <f t="shared" si="5"/>
        <v>2648.41909748634</v>
      </c>
      <c r="Q18">
        <f t="shared" si="8"/>
        <v>2648.41909748634</v>
      </c>
      <c r="R18">
        <v>3</v>
      </c>
      <c r="W18" s="386"/>
      <c r="Y18" t="s">
        <v>83</v>
      </c>
      <c r="Z18" t="str">
        <f t="shared" si="6"/>
        <v>Trd_2w_gsl150_12</v>
      </c>
      <c r="AA18" t="str">
        <f ca="1" t="shared" si="7"/>
        <v>4-stroke MC 50-250 cc motorcycle -- 12%</v>
      </c>
      <c r="AB18" s="388" t="s">
        <v>84</v>
      </c>
      <c r="AC18" s="388" t="s">
        <v>85</v>
      </c>
    </row>
    <row r="19" spans="2:29">
      <c r="B19" s="85">
        <v>0.1654296707848</v>
      </c>
      <c r="C19" s="86">
        <v>2850.09035239822</v>
      </c>
      <c r="D19" s="86">
        <v>2698.42866686434</v>
      </c>
      <c r="E19" s="86">
        <v>2698.42866686434</v>
      </c>
      <c r="F19" s="86">
        <v>2698.42866686434</v>
      </c>
      <c r="I19" s="389">
        <f t="shared" si="9"/>
        <v>1.1654296707848</v>
      </c>
      <c r="J19" t="str">
        <f t="shared" si="1"/>
        <v>Trd_2w_gsl150</v>
      </c>
      <c r="K19" t="str">
        <f t="shared" si="2"/>
        <v>Trd_2w_gsl150_17</v>
      </c>
      <c r="L19" t="str">
        <f t="shared" si="3"/>
        <v>Trd_2w</v>
      </c>
      <c r="M19" s="390">
        <f t="shared" si="4"/>
        <v>2850.09035239822</v>
      </c>
      <c r="N19" s="390">
        <f t="shared" si="5"/>
        <v>2698.42866686434</v>
      </c>
      <c r="O19" s="390">
        <f t="shared" si="5"/>
        <v>2698.42866686434</v>
      </c>
      <c r="P19" s="390">
        <f t="shared" si="5"/>
        <v>2698.42866686434</v>
      </c>
      <c r="Q19">
        <f t="shared" si="8"/>
        <v>2698.42866686434</v>
      </c>
      <c r="R19">
        <v>3</v>
      </c>
      <c r="W19" s="386"/>
      <c r="Y19" t="s">
        <v>83</v>
      </c>
      <c r="Z19" t="str">
        <f t="shared" si="6"/>
        <v>Trd_2w_gsl150_17</v>
      </c>
      <c r="AA19" t="str">
        <f ca="1" t="shared" si="7"/>
        <v>4-stroke MC 50-250 cc motorcycle -- 17%</v>
      </c>
      <c r="AB19" s="388" t="s">
        <v>84</v>
      </c>
      <c r="AC19" s="388"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90">
        <f t="shared" ref="M20:M83" si="11">IF($K20="\I:","",C20)</f>
        <v>2913.11323778648</v>
      </c>
      <c r="N20" s="390">
        <f t="shared" ref="N20:N83" si="12">IF($K20="\I:","",D20)</f>
        <v>2748.43823624233</v>
      </c>
      <c r="O20" s="390">
        <f t="shared" ref="O20:O83" si="13">IF($K20="\I:","",E20)</f>
        <v>2748.43823624233</v>
      </c>
      <c r="P20" s="390">
        <f t="shared" ref="P20:P83" si="14">IF($K20="\I:","",F20)</f>
        <v>2748.43823624233</v>
      </c>
      <c r="Q20">
        <f t="shared" si="8"/>
        <v>2748.43823624233</v>
      </c>
      <c r="R20">
        <v>3</v>
      </c>
      <c r="W20" s="386"/>
      <c r="Y20" t="s">
        <v>83</v>
      </c>
      <c r="Z20" t="str">
        <f t="shared" si="6"/>
        <v>Trd_2w_gsl150_22</v>
      </c>
      <c r="AA20" t="str">
        <f ca="1" t="shared" si="7"/>
        <v>4-stroke MC 50-250 cc motorcycle -- 22%</v>
      </c>
      <c r="AB20" s="388" t="s">
        <v>84</v>
      </c>
      <c r="AC20" s="388"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90">
        <f t="shared" si="11"/>
        <v>3395.17369254124</v>
      </c>
      <c r="N21" s="390">
        <f t="shared" si="12"/>
        <v>2801.32876836239</v>
      </c>
      <c r="O21" s="390">
        <f t="shared" si="13"/>
        <v>2798.44780562032</v>
      </c>
      <c r="P21" s="390">
        <f t="shared" si="14"/>
        <v>2798.44780562032</v>
      </c>
      <c r="Q21">
        <f t="shared" si="8"/>
        <v>2798.44780562032</v>
      </c>
      <c r="R21">
        <v>3</v>
      </c>
      <c r="W21" s="386"/>
      <c r="Y21" t="s">
        <v>83</v>
      </c>
      <c r="Z21" t="str">
        <f t="shared" si="6"/>
        <v>Trd_2w_gsl150_27</v>
      </c>
      <c r="AA21" t="str">
        <f ca="1" t="shared" si="7"/>
        <v>4-stroke MC 50-250 cc motorcycle -- 27%</v>
      </c>
      <c r="AB21" s="388" t="s">
        <v>84</v>
      </c>
      <c r="AC21" s="388"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90">
        <f t="shared" si="11"/>
        <v>4641.47609894753</v>
      </c>
      <c r="N22" s="390">
        <f t="shared" si="12"/>
        <v>2995.6373144863</v>
      </c>
      <c r="O22" s="390">
        <f t="shared" si="13"/>
        <v>2848.45737499831</v>
      </c>
      <c r="P22" s="390">
        <f t="shared" si="14"/>
        <v>2848.45737499831</v>
      </c>
      <c r="Q22">
        <f t="shared" si="8"/>
        <v>2848.45737499831</v>
      </c>
      <c r="R22">
        <v>3</v>
      </c>
      <c r="W22" s="386"/>
      <c r="Y22" t="s">
        <v>83</v>
      </c>
      <c r="Z22" t="str">
        <f t="shared" si="6"/>
        <v>Trd_2w_gsl150_32</v>
      </c>
      <c r="AA22" t="str">
        <f ca="1" t="shared" si="7"/>
        <v>4-stroke MC 50-250 cc motorcycle -- 32%</v>
      </c>
      <c r="AB22" s="388" t="s">
        <v>84</v>
      </c>
      <c r="AC22" s="388" t="s">
        <v>85</v>
      </c>
    </row>
    <row r="23" spans="2:29">
      <c r="J23" t="str">
        <f t="shared" si="1"/>
        <v>Trd_2w_gsl150</v>
      </c>
      <c r="K23" t="str">
        <f t="shared" si="10"/>
        <v>\I:</v>
      </c>
      <c r="L23" t="str">
        <f t="shared" si="3"/>
        <v>\I:</v>
      </c>
      <c r="M23" s="390" t="str">
        <f t="shared" si="11"/>
        <v/>
      </c>
      <c r="N23" s="390" t="str">
        <f t="shared" si="12"/>
        <v/>
      </c>
      <c r="O23" s="390" t="str">
        <f t="shared" si="13"/>
        <v/>
      </c>
      <c r="P23" s="390" t="str">
        <f t="shared" si="14"/>
        <v/>
      </c>
      <c r="W23" s="386"/>
      <c r="Y23" t="s">
        <v>83</v>
      </c>
      <c r="Z23" t="str">
        <f t="shared" si="6"/>
        <v>\I:</v>
      </c>
      <c r="AA23" t="str">
        <f ca="1" t="shared" si="7"/>
        <v>4-stroke MC 50-250 cc motorcycle -- 00%</v>
      </c>
      <c r="AB23" s="388" t="s">
        <v>84</v>
      </c>
      <c r="AC23" s="388" t="s">
        <v>85</v>
      </c>
    </row>
    <row r="24" spans="2:29">
      <c r="J24" t="str">
        <f t="shared" si="1"/>
        <v>Trd_2w_gsl150</v>
      </c>
      <c r="K24" t="str">
        <f t="shared" si="10"/>
        <v>\I:</v>
      </c>
      <c r="L24" t="str">
        <f t="shared" si="3"/>
        <v>\I:</v>
      </c>
      <c r="M24" s="390" t="str">
        <f t="shared" si="11"/>
        <v/>
      </c>
      <c r="N24" s="390" t="str">
        <f t="shared" si="12"/>
        <v/>
      </c>
      <c r="O24" s="390" t="str">
        <f t="shared" si="13"/>
        <v/>
      </c>
      <c r="P24" s="390" t="str">
        <f t="shared" si="14"/>
        <v/>
      </c>
      <c r="W24" s="386"/>
      <c r="Z24" t="str">
        <f t="shared" ref="Z24:Z87" si="15">K24</f>
        <v>\I:</v>
      </c>
      <c r="AA24" t="str">
        <f ca="1" t="shared" ref="AA24:AA87" si="16">OFFSET($W$1,MATCH(J24,$W$1:$W$11,0)-1,-1)&amp;" -- "&amp;TEXT(B24,"00%")</f>
        <v>4-stroke MC 50-250 cc motorcycle -- 00%</v>
      </c>
      <c r="AB24" s="388" t="s">
        <v>84</v>
      </c>
      <c r="AC24" s="388" t="s">
        <v>85</v>
      </c>
    </row>
    <row r="25" spans="2:29">
      <c r="J25" t="str">
        <f t="shared" si="1"/>
        <v>Trd_2w_gsl150</v>
      </c>
      <c r="K25" t="str">
        <f t="shared" si="10"/>
        <v>\I:</v>
      </c>
      <c r="L25" t="str">
        <f t="shared" si="3"/>
        <v>\I:</v>
      </c>
      <c r="M25" s="390" t="str">
        <f t="shared" si="11"/>
        <v/>
      </c>
      <c r="N25" s="390" t="str">
        <f t="shared" si="12"/>
        <v/>
      </c>
      <c r="O25" s="390" t="str">
        <f t="shared" si="13"/>
        <v/>
      </c>
      <c r="P25" s="390" t="str">
        <f t="shared" si="14"/>
        <v/>
      </c>
      <c r="W25" s="386"/>
      <c r="Z25" t="str">
        <f t="shared" si="15"/>
        <v>\I:</v>
      </c>
      <c r="AA25" t="str">
        <f ca="1" t="shared" si="16"/>
        <v>4-stroke MC 50-250 cc motorcycle -- 00%</v>
      </c>
      <c r="AB25" s="388" t="s">
        <v>84</v>
      </c>
      <c r="AC25" s="388" t="s">
        <v>85</v>
      </c>
    </row>
    <row r="26" spans="2:29">
      <c r="J26" t="str">
        <f t="shared" si="1"/>
        <v>Trd_2w_gsl150</v>
      </c>
      <c r="K26" t="str">
        <f t="shared" si="10"/>
        <v>\I:</v>
      </c>
      <c r="L26" t="str">
        <f t="shared" si="3"/>
        <v>\I:</v>
      </c>
      <c r="M26" s="390" t="str">
        <f t="shared" si="11"/>
        <v/>
      </c>
      <c r="N26" s="390" t="str">
        <f t="shared" si="12"/>
        <v/>
      </c>
      <c r="O26" s="390" t="str">
        <f t="shared" si="13"/>
        <v/>
      </c>
      <c r="P26" s="390" t="str">
        <f t="shared" si="14"/>
        <v/>
      </c>
      <c r="W26" s="386"/>
      <c r="Z26" t="str">
        <f t="shared" si="15"/>
        <v>\I:</v>
      </c>
      <c r="AA26" t="str">
        <f ca="1" t="shared" si="16"/>
        <v>4-stroke MC 50-250 cc motorcycle -- 00%</v>
      </c>
      <c r="AB26" s="388" t="s">
        <v>84</v>
      </c>
      <c r="AC26" s="388" t="s">
        <v>85</v>
      </c>
    </row>
    <row r="27" spans="2:29">
      <c r="B27" s="44" t="s">
        <v>141</v>
      </c>
      <c r="J27" t="str">
        <f t="shared" si="1"/>
        <v>Trd_2w_gsl150</v>
      </c>
      <c r="K27" t="str">
        <f t="shared" si="10"/>
        <v>\I:</v>
      </c>
      <c r="L27" t="str">
        <f t="shared" si="3"/>
        <v>\I:</v>
      </c>
      <c r="M27" s="390" t="str">
        <f t="shared" si="11"/>
        <v/>
      </c>
      <c r="N27" s="390" t="str">
        <f t="shared" si="12"/>
        <v/>
      </c>
      <c r="O27" s="390" t="str">
        <f t="shared" si="13"/>
        <v/>
      </c>
      <c r="P27" s="390" t="str">
        <f t="shared" si="14"/>
        <v/>
      </c>
      <c r="W27" s="386"/>
      <c r="Z27" t="str">
        <f t="shared" si="15"/>
        <v>\I:</v>
      </c>
      <c r="AA27" t="str">
        <f ca="1" t="shared" si="16"/>
        <v>4-stroke MC 50-250 cc motorcycle -- Reference values for 4-stroke MC 250-750 cc motorcycle</v>
      </c>
      <c r="AB27" s="388" t="s">
        <v>84</v>
      </c>
      <c r="AC27" s="388" t="s">
        <v>85</v>
      </c>
    </row>
    <row r="28" ht="15" customHeight="1" spans="2:29">
      <c r="B28" s="381">
        <v>2015</v>
      </c>
      <c r="C28" s="381"/>
      <c r="D28" s="381"/>
      <c r="J28" t="str">
        <f t="shared" si="1"/>
        <v>Trd_2w_gsl150</v>
      </c>
      <c r="K28" t="str">
        <f t="shared" si="10"/>
        <v>\I:</v>
      </c>
      <c r="L28" t="str">
        <f t="shared" si="3"/>
        <v>\I:</v>
      </c>
      <c r="M28" s="390" t="str">
        <f t="shared" si="11"/>
        <v/>
      </c>
      <c r="N28" s="390" t="str">
        <f t="shared" si="12"/>
        <v/>
      </c>
      <c r="O28" s="390" t="str">
        <f t="shared" si="13"/>
        <v/>
      </c>
      <c r="P28" s="390" t="str">
        <f t="shared" si="14"/>
        <v/>
      </c>
      <c r="W28" s="386"/>
      <c r="Z28" t="str">
        <f t="shared" si="15"/>
        <v>\I:</v>
      </c>
      <c r="AA28" t="str">
        <f ca="1" t="shared" si="16"/>
        <v>4-stroke MC 50-250 cc motorcycle -- 201500%</v>
      </c>
      <c r="AB28" s="388" t="s">
        <v>84</v>
      </c>
      <c r="AC28" s="388" t="s">
        <v>85</v>
      </c>
    </row>
    <row r="29" spans="2:29">
      <c r="B29" s="46" t="s">
        <v>12</v>
      </c>
      <c r="C29" s="47" t="s">
        <v>13</v>
      </c>
      <c r="D29" s="48">
        <v>4.40705451685865</v>
      </c>
      <c r="G29" s="382">
        <f>D29*$I$4/100*10^9/10^6</f>
        <v>1.38980871243654</v>
      </c>
      <c r="H29" s="382"/>
      <c r="I29" s="382">
        <f>1/G29</f>
        <v>0.719523479059827</v>
      </c>
      <c r="J29" t="str">
        <f t="shared" si="1"/>
        <v>Trd_2w_gsl150</v>
      </c>
      <c r="K29" t="str">
        <f t="shared" si="10"/>
        <v>\I:</v>
      </c>
      <c r="L29" t="str">
        <f t="shared" si="3"/>
        <v>\I:</v>
      </c>
      <c r="M29" s="390" t="str">
        <f t="shared" si="11"/>
        <v/>
      </c>
      <c r="N29" s="390" t="str">
        <f t="shared" si="12"/>
        <v/>
      </c>
      <c r="O29" s="390" t="str">
        <f t="shared" si="13"/>
        <v/>
      </c>
      <c r="P29" s="390" t="str">
        <f t="shared" si="14"/>
        <v/>
      </c>
      <c r="W29" s="386"/>
      <c r="Z29" t="str">
        <f t="shared" si="15"/>
        <v>\I:</v>
      </c>
      <c r="AA29" t="str">
        <f ca="1" t="shared" si="16"/>
        <v>4-stroke MC 50-250 cc motorcycle -- Energy consumption</v>
      </c>
      <c r="AB29" s="388" t="s">
        <v>84</v>
      </c>
      <c r="AC29" s="388" t="s">
        <v>85</v>
      </c>
    </row>
    <row r="30" spans="2:29">
      <c r="B30" s="46" t="s">
        <v>14</v>
      </c>
      <c r="C30" s="47" t="s">
        <v>15</v>
      </c>
      <c r="D30" s="68">
        <v>6006.1537284368</v>
      </c>
      <c r="I30" s="44" t="s">
        <v>70</v>
      </c>
      <c r="J30" t="str">
        <f t="shared" si="1"/>
        <v>Trd_2w_gsl150</v>
      </c>
      <c r="K30" t="str">
        <f t="shared" si="10"/>
        <v>\I:</v>
      </c>
      <c r="L30" t="str">
        <f t="shared" si="3"/>
        <v>\I:</v>
      </c>
      <c r="M30" s="390" t="str">
        <f t="shared" si="11"/>
        <v/>
      </c>
      <c r="N30" s="390" t="str">
        <f t="shared" si="12"/>
        <v/>
      </c>
      <c r="O30" s="390" t="str">
        <f t="shared" si="13"/>
        <v/>
      </c>
      <c r="P30" s="390" t="str">
        <f t="shared" si="14"/>
        <v/>
      </c>
      <c r="W30" s="386"/>
      <c r="Z30" t="str">
        <f t="shared" si="15"/>
        <v>\I:</v>
      </c>
      <c r="AA30" t="str">
        <f ca="1" t="shared" si="16"/>
        <v>4-stroke MC 50-250 cc motorcycle -- Capital cost</v>
      </c>
      <c r="AB30" s="388" t="s">
        <v>84</v>
      </c>
      <c r="AC30" s="388" t="s">
        <v>85</v>
      </c>
    </row>
    <row r="31" spans="2:29">
      <c r="J31" t="str">
        <f t="shared" si="1"/>
        <v>Trd_2w_gsl150</v>
      </c>
      <c r="K31" t="str">
        <f t="shared" si="10"/>
        <v>\I:</v>
      </c>
      <c r="L31" t="str">
        <f t="shared" si="3"/>
        <v>\I:</v>
      </c>
      <c r="M31" s="390" t="str">
        <f t="shared" si="11"/>
        <v/>
      </c>
      <c r="N31" s="390" t="str">
        <f t="shared" si="12"/>
        <v/>
      </c>
      <c r="O31" s="390" t="str">
        <f t="shared" si="13"/>
        <v/>
      </c>
      <c r="P31" s="390" t="str">
        <f t="shared" si="14"/>
        <v/>
      </c>
      <c r="W31" s="386"/>
      <c r="Z31" t="str">
        <f t="shared" si="15"/>
        <v>\I:</v>
      </c>
      <c r="AA31" t="str">
        <f ca="1" t="shared" si="16"/>
        <v>4-stroke MC 50-250 cc motorcycle -- 00%</v>
      </c>
      <c r="AB31" s="388" t="s">
        <v>84</v>
      </c>
      <c r="AC31" s="388" t="s">
        <v>85</v>
      </c>
    </row>
    <row r="32" ht="15" customHeight="1" spans="2:29">
      <c r="B32" s="400" t="s">
        <v>140</v>
      </c>
      <c r="C32" s="400" t="s">
        <v>128</v>
      </c>
      <c r="D32" s="400"/>
      <c r="E32" s="400"/>
      <c r="F32" s="400"/>
      <c r="J32" t="str">
        <f t="shared" si="1"/>
        <v>Trd_2w_gsl500</v>
      </c>
      <c r="K32" t="str">
        <f t="shared" si="10"/>
        <v>\I:</v>
      </c>
      <c r="L32" t="str">
        <f t="shared" si="3"/>
        <v>\I:</v>
      </c>
      <c r="M32" s="390" t="str">
        <f t="shared" si="11"/>
        <v/>
      </c>
      <c r="N32" s="390" t="str">
        <f t="shared" si="12"/>
        <v/>
      </c>
      <c r="O32" s="390" t="str">
        <f t="shared" si="13"/>
        <v/>
      </c>
      <c r="P32" s="390" t="str">
        <f t="shared" si="14"/>
        <v/>
      </c>
      <c r="W32" s="386"/>
      <c r="Z32" t="str">
        <f t="shared" si="15"/>
        <v>\I:</v>
      </c>
      <c r="AA32" t="str">
        <f ca="1" t="shared" si="16"/>
        <v>4-stroke MC 250-750 cc motorcycle -- Reduction of specific energy consumption relative to 2015 (%)</v>
      </c>
      <c r="AB32" s="388" t="s">
        <v>84</v>
      </c>
      <c r="AC32" s="388" t="s">
        <v>85</v>
      </c>
    </row>
    <row r="33" spans="2:29">
      <c r="B33" s="400"/>
      <c r="C33" s="400"/>
      <c r="D33" s="400"/>
      <c r="E33" s="400"/>
      <c r="F33" s="400"/>
      <c r="J33" t="str">
        <f t="shared" si="1"/>
        <v>Trd_2w_gsl500</v>
      </c>
      <c r="K33" t="str">
        <f t="shared" si="10"/>
        <v>\I:</v>
      </c>
      <c r="L33" t="str">
        <f t="shared" si="3"/>
        <v>\I:</v>
      </c>
      <c r="M33" s="390" t="str">
        <f t="shared" si="11"/>
        <v/>
      </c>
      <c r="N33" s="390" t="str">
        <f t="shared" si="12"/>
        <v/>
      </c>
      <c r="O33" s="390" t="str">
        <f t="shared" si="13"/>
        <v/>
      </c>
      <c r="P33" s="390" t="str">
        <f t="shared" si="14"/>
        <v/>
      </c>
      <c r="W33" s="386"/>
      <c r="Z33" t="str">
        <f t="shared" si="15"/>
        <v>\I:</v>
      </c>
      <c r="AA33" t="str">
        <f ca="1" t="shared" si="16"/>
        <v>4-stroke MC 250-750 cc motorcycle -- 00%</v>
      </c>
      <c r="AB33" s="388" t="s">
        <v>84</v>
      </c>
      <c r="AC33" s="388" t="s">
        <v>85</v>
      </c>
    </row>
    <row r="34" spans="2:29">
      <c r="B34" s="400"/>
      <c r="C34" s="400"/>
      <c r="D34" s="400"/>
      <c r="E34" s="400"/>
      <c r="F34" s="400"/>
      <c r="J34" t="str">
        <f t="shared" si="1"/>
        <v>Trd_2w_gsl500</v>
      </c>
      <c r="K34" t="str">
        <f t="shared" si="10"/>
        <v>\I:</v>
      </c>
      <c r="L34" t="str">
        <f t="shared" si="3"/>
        <v>\I:</v>
      </c>
      <c r="M34" s="390" t="str">
        <f t="shared" si="11"/>
        <v/>
      </c>
      <c r="N34" s="390" t="str">
        <f t="shared" si="12"/>
        <v/>
      </c>
      <c r="O34" s="390" t="str">
        <f t="shared" si="13"/>
        <v/>
      </c>
      <c r="P34" s="390" t="str">
        <f t="shared" si="14"/>
        <v/>
      </c>
      <c r="W34" s="386"/>
      <c r="Z34" t="str">
        <f t="shared" si="15"/>
        <v>\I:</v>
      </c>
      <c r="AA34" t="str">
        <f ca="1" t="shared" si="16"/>
        <v>4-stroke MC 250-750 cc motorcycle -- 00%</v>
      </c>
      <c r="AB34" s="388" t="s">
        <v>84</v>
      </c>
      <c r="AC34" s="388" t="s">
        <v>85</v>
      </c>
    </row>
    <row r="35" spans="2:29">
      <c r="B35" s="50"/>
      <c r="C35" s="51">
        <v>2020</v>
      </c>
      <c r="D35" s="51">
        <v>2030</v>
      </c>
      <c r="E35" s="51">
        <v>2040</v>
      </c>
      <c r="F35" s="51">
        <v>2050</v>
      </c>
      <c r="J35" t="str">
        <f t="shared" si="1"/>
        <v>Trd_2w_gsl500</v>
      </c>
      <c r="K35" t="str">
        <f t="shared" si="10"/>
        <v>\I:</v>
      </c>
      <c r="L35" t="str">
        <f t="shared" si="3"/>
        <v>\I:</v>
      </c>
      <c r="M35" s="390" t="str">
        <f t="shared" si="11"/>
        <v/>
      </c>
      <c r="N35" s="390" t="str">
        <f t="shared" si="12"/>
        <v/>
      </c>
      <c r="O35" s="390" t="str">
        <f t="shared" si="13"/>
        <v/>
      </c>
      <c r="P35" s="390" t="str">
        <f t="shared" si="14"/>
        <v/>
      </c>
      <c r="W35" s="386"/>
      <c r="Z35" t="str">
        <f t="shared" si="15"/>
        <v>\I:</v>
      </c>
      <c r="AA35" t="str">
        <f ca="1" t="shared" si="16"/>
        <v>4-stroke MC 250-750 cc motorcycle -- 00%</v>
      </c>
      <c r="AB35" s="388" t="s">
        <v>84</v>
      </c>
      <c r="AC35" s="388" t="s">
        <v>85</v>
      </c>
    </row>
    <row r="36" spans="2:29">
      <c r="B36" s="85">
        <v>0.0181363576788854</v>
      </c>
      <c r="C36" s="86">
        <v>6040.16590734703</v>
      </c>
      <c r="D36" s="86">
        <v>6040.16590734703</v>
      </c>
      <c r="E36" s="86">
        <v>6040.16590734703</v>
      </c>
      <c r="F36" s="86">
        <v>6040.16590734703</v>
      </c>
      <c r="I36" s="389">
        <f>$I$29/$I$7*(1+B36)</f>
        <v>0.740202508286486</v>
      </c>
      <c r="J36" t="str">
        <f t="shared" si="1"/>
        <v>Trd_2w_gsl500</v>
      </c>
      <c r="K36" t="str">
        <f t="shared" si="10"/>
        <v>Trd_2w_gsl500_02</v>
      </c>
      <c r="L36" t="str">
        <f t="shared" si="3"/>
        <v>Trd_2w</v>
      </c>
      <c r="M36" s="390">
        <f t="shared" si="11"/>
        <v>6040.16590734703</v>
      </c>
      <c r="N36" s="390">
        <f t="shared" si="12"/>
        <v>6040.16590734703</v>
      </c>
      <c r="O36" s="390">
        <f t="shared" si="13"/>
        <v>6040.16590734703</v>
      </c>
      <c r="P36" s="390">
        <f t="shared" si="14"/>
        <v>6040.16590734703</v>
      </c>
      <c r="Q36">
        <f t="shared" ref="Q36:Q42" si="17">P36</f>
        <v>6040.16590734703</v>
      </c>
      <c r="R36">
        <v>3</v>
      </c>
      <c r="W36" s="386"/>
      <c r="Z36" t="str">
        <f t="shared" si="15"/>
        <v>Trd_2w_gsl500_02</v>
      </c>
      <c r="AA36" t="str">
        <f ca="1" t="shared" si="16"/>
        <v>4-stroke MC 250-750 cc motorcycle -- 02%</v>
      </c>
      <c r="AB36" s="388" t="s">
        <v>84</v>
      </c>
      <c r="AC36" s="388" t="s">
        <v>85</v>
      </c>
    </row>
    <row r="37" spans="2:29">
      <c r="B37" s="85">
        <v>0.0681363576788853</v>
      </c>
      <c r="C37" s="86">
        <v>6180.43305991052</v>
      </c>
      <c r="D37" s="86">
        <v>6133.93384993077</v>
      </c>
      <c r="E37" s="86">
        <v>6133.93384993077</v>
      </c>
      <c r="F37" s="86">
        <v>6133.93384993077</v>
      </c>
      <c r="I37" s="389">
        <f t="shared" ref="I37:I42" si="18">$I$29/$I$7*(1+B37)</f>
        <v>0.776553361622771</v>
      </c>
      <c r="J37" t="str">
        <f t="shared" si="1"/>
        <v>Trd_2w_gsl500</v>
      </c>
      <c r="K37" t="str">
        <f t="shared" si="10"/>
        <v>Trd_2w_gsl500_07</v>
      </c>
      <c r="L37" t="str">
        <f t="shared" si="3"/>
        <v>Trd_2w</v>
      </c>
      <c r="M37" s="390">
        <f t="shared" si="11"/>
        <v>6180.43305991052</v>
      </c>
      <c r="N37" s="390">
        <f t="shared" si="12"/>
        <v>6133.93384993077</v>
      </c>
      <c r="O37" s="390">
        <f t="shared" si="13"/>
        <v>6133.93384993077</v>
      </c>
      <c r="P37" s="390">
        <f t="shared" si="14"/>
        <v>6133.93384993077</v>
      </c>
      <c r="Q37">
        <f t="shared" si="17"/>
        <v>6133.93384993077</v>
      </c>
      <c r="R37">
        <v>3</v>
      </c>
      <c r="W37" s="386"/>
      <c r="Z37" t="str">
        <f t="shared" si="15"/>
        <v>Trd_2w_gsl500_07</v>
      </c>
      <c r="AA37" t="str">
        <f ca="1" t="shared" si="16"/>
        <v>4-stroke MC 250-750 cc motorcycle -- 07%</v>
      </c>
      <c r="AB37" s="388" t="s">
        <v>84</v>
      </c>
      <c r="AC37" s="388" t="s">
        <v>85</v>
      </c>
    </row>
    <row r="38" spans="2:29">
      <c r="B38" s="85">
        <v>0.118136357678885</v>
      </c>
      <c r="C38" s="86">
        <v>6261.72753585592</v>
      </c>
      <c r="D38" s="86">
        <v>6227.7017925145</v>
      </c>
      <c r="E38" s="86">
        <v>6227.7017925145</v>
      </c>
      <c r="F38" s="86">
        <v>6227.7017925145</v>
      </c>
      <c r="I38" s="389">
        <f t="shared" si="18"/>
        <v>0.812904214959055</v>
      </c>
      <c r="J38" t="str">
        <f t="shared" si="1"/>
        <v>Trd_2w_gsl500</v>
      </c>
      <c r="K38" t="str">
        <f t="shared" si="10"/>
        <v>Trd_2w_gsl500_12</v>
      </c>
      <c r="L38" t="str">
        <f t="shared" si="3"/>
        <v>Trd_2w</v>
      </c>
      <c r="M38" s="390">
        <f t="shared" si="11"/>
        <v>6261.72753585592</v>
      </c>
      <c r="N38" s="390">
        <f t="shared" si="12"/>
        <v>6227.7017925145</v>
      </c>
      <c r="O38" s="390">
        <f t="shared" si="13"/>
        <v>6227.7017925145</v>
      </c>
      <c r="P38" s="390">
        <f t="shared" si="14"/>
        <v>6227.7017925145</v>
      </c>
      <c r="Q38">
        <f t="shared" si="17"/>
        <v>6227.7017925145</v>
      </c>
      <c r="R38">
        <v>3</v>
      </c>
      <c r="W38" s="386"/>
      <c r="Z38" t="str">
        <f t="shared" si="15"/>
        <v>Trd_2w_gsl500_12</v>
      </c>
      <c r="AA38" t="str">
        <f ca="1" t="shared" si="16"/>
        <v>4-stroke MC 250-750 cc motorcycle -- 12%</v>
      </c>
      <c r="AB38" s="388" t="s">
        <v>84</v>
      </c>
      <c r="AC38" s="388" t="s">
        <v>85</v>
      </c>
    </row>
    <row r="39" spans="2:29">
      <c r="B39" s="85">
        <v>0.168136357678885</v>
      </c>
      <c r="C39" s="86">
        <v>6605.83539547427</v>
      </c>
      <c r="D39" s="86">
        <v>6321.46973509823</v>
      </c>
      <c r="E39" s="86">
        <v>6321.46973509823</v>
      </c>
      <c r="F39" s="86">
        <v>6321.46973509823</v>
      </c>
      <c r="I39" s="389">
        <f t="shared" si="18"/>
        <v>0.84925506829534</v>
      </c>
      <c r="J39" t="str">
        <f t="shared" si="1"/>
        <v>Trd_2w_gsl500</v>
      </c>
      <c r="K39" t="str">
        <f t="shared" si="10"/>
        <v>Trd_2w_gsl500_17</v>
      </c>
      <c r="L39" t="str">
        <f t="shared" si="3"/>
        <v>Trd_2w</v>
      </c>
      <c r="M39" s="390">
        <f t="shared" si="11"/>
        <v>6605.83539547427</v>
      </c>
      <c r="N39" s="390">
        <f t="shared" si="12"/>
        <v>6321.46973509823</v>
      </c>
      <c r="O39" s="390">
        <f t="shared" si="13"/>
        <v>6321.46973509823</v>
      </c>
      <c r="P39" s="390">
        <f t="shared" si="14"/>
        <v>6321.46973509823</v>
      </c>
      <c r="Q39">
        <f t="shared" si="17"/>
        <v>6321.46973509823</v>
      </c>
      <c r="R39">
        <v>3</v>
      </c>
      <c r="W39" s="386"/>
      <c r="Z39" t="str">
        <f t="shared" si="15"/>
        <v>Trd_2w_gsl500_17</v>
      </c>
      <c r="AA39" t="str">
        <f ca="1" t="shared" si="16"/>
        <v>4-stroke MC 250-750 cc motorcycle -- 17%</v>
      </c>
      <c r="AB39" s="388" t="s">
        <v>84</v>
      </c>
      <c r="AC39" s="388" t="s">
        <v>85</v>
      </c>
    </row>
    <row r="40" spans="2:29">
      <c r="B40" s="85">
        <v>0.218136357678885</v>
      </c>
      <c r="C40" s="86">
        <v>6724.00330557725</v>
      </c>
      <c r="D40" s="86">
        <v>6415.23767768196</v>
      </c>
      <c r="E40" s="86">
        <v>6415.23767768196</v>
      </c>
      <c r="F40" s="86">
        <v>6415.23767768196</v>
      </c>
      <c r="I40" s="389">
        <f t="shared" si="18"/>
        <v>0.885605921631625</v>
      </c>
      <c r="J40" t="str">
        <f t="shared" si="1"/>
        <v>Trd_2w_gsl500</v>
      </c>
      <c r="K40" t="str">
        <f t="shared" si="10"/>
        <v>Trd_2w_gsl500_22</v>
      </c>
      <c r="L40" t="str">
        <f t="shared" si="3"/>
        <v>Trd_2w</v>
      </c>
      <c r="M40" s="390">
        <f t="shared" si="11"/>
        <v>6724.00330557725</v>
      </c>
      <c r="N40" s="390">
        <f t="shared" si="12"/>
        <v>6415.23767768196</v>
      </c>
      <c r="O40" s="390">
        <f t="shared" si="13"/>
        <v>6415.23767768196</v>
      </c>
      <c r="P40" s="390">
        <f t="shared" si="14"/>
        <v>6415.23767768196</v>
      </c>
      <c r="Q40">
        <f t="shared" si="17"/>
        <v>6415.23767768196</v>
      </c>
      <c r="R40">
        <v>3</v>
      </c>
      <c r="W40" s="386"/>
      <c r="Z40" t="str">
        <f t="shared" si="15"/>
        <v>Trd_2w_gsl500_22</v>
      </c>
      <c r="AA40" t="str">
        <f ca="1" t="shared" si="16"/>
        <v>4-stroke MC 250-750 cc motorcycle -- 22%</v>
      </c>
      <c r="AB40" s="388" t="s">
        <v>84</v>
      </c>
      <c r="AC40" s="388" t="s">
        <v>85</v>
      </c>
    </row>
    <row r="41" spans="2:29">
      <c r="B41" s="85">
        <v>0.268136357678885</v>
      </c>
      <c r="C41" s="86">
        <v>7627.86665824243</v>
      </c>
      <c r="D41" s="86">
        <v>6514.40742540709</v>
      </c>
      <c r="E41" s="86">
        <v>6509.00562026569</v>
      </c>
      <c r="F41" s="86">
        <v>6509.00562026569</v>
      </c>
      <c r="I41" s="389">
        <f t="shared" si="18"/>
        <v>0.92195677496791</v>
      </c>
      <c r="J41" t="str">
        <f t="shared" si="1"/>
        <v>Trd_2w_gsl500</v>
      </c>
      <c r="K41" t="str">
        <f t="shared" si="10"/>
        <v>Trd_2w_gsl500_27</v>
      </c>
      <c r="L41" t="str">
        <f t="shared" si="3"/>
        <v>Trd_2w</v>
      </c>
      <c r="M41" s="390">
        <f t="shared" si="11"/>
        <v>7627.86665824243</v>
      </c>
      <c r="N41" s="390">
        <f t="shared" si="12"/>
        <v>6514.40742540709</v>
      </c>
      <c r="O41" s="390">
        <f t="shared" si="13"/>
        <v>6509.00562026569</v>
      </c>
      <c r="P41" s="390">
        <f t="shared" si="14"/>
        <v>6509.00562026569</v>
      </c>
      <c r="Q41">
        <f t="shared" si="17"/>
        <v>6509.00562026569</v>
      </c>
      <c r="R41">
        <v>3</v>
      </c>
      <c r="W41" s="386"/>
      <c r="Z41" t="str">
        <f t="shared" si="15"/>
        <v>Trd_2w_gsl500_27</v>
      </c>
      <c r="AA41" t="str">
        <f ca="1" t="shared" si="16"/>
        <v>4-stroke MC 250-750 cc motorcycle -- 27%</v>
      </c>
      <c r="AB41" s="388" t="s">
        <v>84</v>
      </c>
      <c r="AC41" s="388" t="s">
        <v>85</v>
      </c>
    </row>
    <row r="42" spans="2:29">
      <c r="B42" s="85">
        <v>0.318136357678885</v>
      </c>
      <c r="C42" s="86">
        <v>9964.68367025422</v>
      </c>
      <c r="D42" s="86">
        <v>6878.73594938942</v>
      </c>
      <c r="E42" s="86">
        <v>6602.77356284943</v>
      </c>
      <c r="F42" s="86">
        <v>6602.77356284943</v>
      </c>
      <c r="I42" s="389">
        <f t="shared" si="18"/>
        <v>0.958307628304194</v>
      </c>
      <c r="J42" t="str">
        <f t="shared" si="1"/>
        <v>Trd_2w_gsl500</v>
      </c>
      <c r="K42" t="str">
        <f t="shared" si="10"/>
        <v>Trd_2w_gsl500_32</v>
      </c>
      <c r="L42" t="str">
        <f t="shared" si="3"/>
        <v>Trd_2w</v>
      </c>
      <c r="M42" s="390">
        <f t="shared" si="11"/>
        <v>9964.68367025422</v>
      </c>
      <c r="N42" s="390">
        <f t="shared" si="12"/>
        <v>6878.73594938942</v>
      </c>
      <c r="O42" s="390">
        <f t="shared" si="13"/>
        <v>6602.77356284943</v>
      </c>
      <c r="P42" s="390">
        <f t="shared" si="14"/>
        <v>6602.77356284943</v>
      </c>
      <c r="Q42">
        <f t="shared" si="17"/>
        <v>6602.77356284943</v>
      </c>
      <c r="R42">
        <v>3</v>
      </c>
      <c r="W42" s="386"/>
      <c r="Z42" t="str">
        <f t="shared" si="15"/>
        <v>Trd_2w_gsl500_32</v>
      </c>
      <c r="AA42" t="str">
        <f ca="1" t="shared" si="16"/>
        <v>4-stroke MC 250-750 cc motorcycle -- 32%</v>
      </c>
      <c r="AB42" s="388" t="s">
        <v>84</v>
      </c>
      <c r="AC42" s="388" t="s">
        <v>85</v>
      </c>
    </row>
    <row r="43" spans="2:29">
      <c r="J43" t="str">
        <f t="shared" si="1"/>
        <v>Trd_2w_gsl500</v>
      </c>
      <c r="K43" t="str">
        <f t="shared" si="10"/>
        <v>\I:</v>
      </c>
      <c r="L43" t="str">
        <f t="shared" si="3"/>
        <v>\I:</v>
      </c>
      <c r="M43" s="390" t="str">
        <f t="shared" si="11"/>
        <v/>
      </c>
      <c r="N43" s="390" t="str">
        <f t="shared" si="12"/>
        <v/>
      </c>
      <c r="O43" s="390" t="str">
        <f t="shared" si="13"/>
        <v/>
      </c>
      <c r="P43" s="390" t="str">
        <f t="shared" si="14"/>
        <v/>
      </c>
      <c r="W43" s="386"/>
      <c r="Z43" t="str">
        <f t="shared" si="15"/>
        <v>\I:</v>
      </c>
      <c r="AA43" t="str">
        <f ca="1" t="shared" si="16"/>
        <v>4-stroke MC 250-750 cc motorcycle -- 00%</v>
      </c>
      <c r="AB43" s="388" t="s">
        <v>84</v>
      </c>
      <c r="AC43" s="388" t="s">
        <v>85</v>
      </c>
    </row>
    <row r="44" spans="2:29">
      <c r="J44" t="str">
        <f t="shared" si="1"/>
        <v>Trd_2w_gsl500</v>
      </c>
      <c r="K44" t="str">
        <f t="shared" si="10"/>
        <v>\I:</v>
      </c>
      <c r="L44" t="str">
        <f t="shared" si="3"/>
        <v>\I:</v>
      </c>
      <c r="M44" s="390" t="str">
        <f t="shared" si="11"/>
        <v/>
      </c>
      <c r="N44" s="390" t="str">
        <f t="shared" si="12"/>
        <v/>
      </c>
      <c r="O44" s="390" t="str">
        <f t="shared" si="13"/>
        <v/>
      </c>
      <c r="P44" s="390" t="str">
        <f t="shared" si="14"/>
        <v/>
      </c>
      <c r="W44" s="386"/>
      <c r="Z44" t="str">
        <f t="shared" si="15"/>
        <v>\I:</v>
      </c>
      <c r="AA44" t="str">
        <f ca="1" t="shared" si="16"/>
        <v>4-stroke MC 250-750 cc motorcycle -- 00%</v>
      </c>
      <c r="AB44" s="388" t="s">
        <v>84</v>
      </c>
      <c r="AC44" s="388" t="s">
        <v>85</v>
      </c>
    </row>
    <row r="45" spans="2:29">
      <c r="J45" t="str">
        <f t="shared" si="1"/>
        <v>Trd_2w_gsl500</v>
      </c>
      <c r="K45" t="str">
        <f t="shared" si="10"/>
        <v>\I:</v>
      </c>
      <c r="L45" t="str">
        <f t="shared" si="3"/>
        <v>\I:</v>
      </c>
      <c r="M45" s="390" t="str">
        <f t="shared" si="11"/>
        <v/>
      </c>
      <c r="N45" s="390" t="str">
        <f t="shared" si="12"/>
        <v/>
      </c>
      <c r="O45" s="390" t="str">
        <f t="shared" si="13"/>
        <v/>
      </c>
      <c r="P45" s="390" t="str">
        <f t="shared" si="14"/>
        <v/>
      </c>
      <c r="W45" s="386"/>
      <c r="Z45" t="str">
        <f t="shared" si="15"/>
        <v>\I:</v>
      </c>
      <c r="AA45" t="str">
        <f ca="1" t="shared" si="16"/>
        <v>4-stroke MC 250-750 cc motorcycle -- 00%</v>
      </c>
      <c r="AB45" s="388" t="s">
        <v>84</v>
      </c>
      <c r="AC45" s="388" t="s">
        <v>85</v>
      </c>
    </row>
    <row r="46" spans="2:29">
      <c r="J46" t="str">
        <f t="shared" si="1"/>
        <v>Trd_2w_gsl500</v>
      </c>
      <c r="K46" t="str">
        <f t="shared" si="10"/>
        <v>\I:</v>
      </c>
      <c r="L46" t="str">
        <f t="shared" si="3"/>
        <v>\I:</v>
      </c>
      <c r="M46" s="390" t="str">
        <f t="shared" si="11"/>
        <v/>
      </c>
      <c r="N46" s="390" t="str">
        <f t="shared" si="12"/>
        <v/>
      </c>
      <c r="O46" s="390" t="str">
        <f t="shared" si="13"/>
        <v/>
      </c>
      <c r="P46" s="390" t="str">
        <f t="shared" si="14"/>
        <v/>
      </c>
      <c r="W46" s="386"/>
      <c r="Z46" t="str">
        <f t="shared" si="15"/>
        <v>\I:</v>
      </c>
      <c r="AA46" t="str">
        <f ca="1" t="shared" si="16"/>
        <v>4-stroke MC 250-750 cc motorcycle -- 00%</v>
      </c>
      <c r="AB46" s="388" t="s">
        <v>84</v>
      </c>
      <c r="AC46" s="388" t="s">
        <v>85</v>
      </c>
    </row>
    <row r="47" spans="2:29">
      <c r="B47" s="44" t="s">
        <v>142</v>
      </c>
      <c r="J47" t="str">
        <f t="shared" si="1"/>
        <v>Trd_2w_gsl500</v>
      </c>
      <c r="K47" t="str">
        <f t="shared" si="10"/>
        <v>\I:</v>
      </c>
      <c r="L47" t="str">
        <f t="shared" si="3"/>
        <v>\I:</v>
      </c>
      <c r="M47" s="390" t="str">
        <f t="shared" si="11"/>
        <v/>
      </c>
      <c r="N47" s="390" t="str">
        <f t="shared" si="12"/>
        <v/>
      </c>
      <c r="O47" s="390" t="str">
        <f t="shared" si="13"/>
        <v/>
      </c>
      <c r="P47" s="390" t="str">
        <f t="shared" si="14"/>
        <v/>
      </c>
      <c r="W47" s="386"/>
      <c r="Z47" t="str">
        <f t="shared" si="15"/>
        <v>\I:</v>
      </c>
      <c r="AA47" t="str">
        <f ca="1" t="shared" si="16"/>
        <v>4-stroke MC 250-750 cc motorcycle -- Reference values for 4-stroke MC &gt;750 cc motorcycle</v>
      </c>
      <c r="AB47" s="388" t="s">
        <v>84</v>
      </c>
      <c r="AC47" s="388" t="s">
        <v>85</v>
      </c>
    </row>
    <row r="48" ht="15" customHeight="1" spans="2:29">
      <c r="B48" s="381">
        <v>2015</v>
      </c>
      <c r="C48" s="381"/>
      <c r="D48" s="381"/>
      <c r="J48" t="str">
        <f t="shared" si="1"/>
        <v>Trd_2w_gsl500</v>
      </c>
      <c r="K48" t="str">
        <f t="shared" si="10"/>
        <v>\I:</v>
      </c>
      <c r="L48" t="str">
        <f t="shared" si="3"/>
        <v>\I:</v>
      </c>
      <c r="M48" s="390" t="str">
        <f t="shared" si="11"/>
        <v/>
      </c>
      <c r="N48" s="390" t="str">
        <f t="shared" si="12"/>
        <v/>
      </c>
      <c r="O48" s="390" t="str">
        <f t="shared" si="13"/>
        <v/>
      </c>
      <c r="P48" s="390" t="str">
        <f t="shared" si="14"/>
        <v/>
      </c>
      <c r="W48" s="386"/>
      <c r="Z48" t="str">
        <f t="shared" si="15"/>
        <v>\I:</v>
      </c>
      <c r="AA48" t="str">
        <f ca="1" t="shared" si="16"/>
        <v>4-stroke MC 250-750 cc motorcycle -- 201500%</v>
      </c>
      <c r="AB48" s="388" t="s">
        <v>84</v>
      </c>
      <c r="AC48" s="388" t="s">
        <v>85</v>
      </c>
    </row>
    <row r="49" spans="2:29">
      <c r="B49" s="46" t="s">
        <v>12</v>
      </c>
      <c r="C49" s="47" t="s">
        <v>13</v>
      </c>
      <c r="D49" s="48">
        <v>5.40232952265944</v>
      </c>
      <c r="G49" s="382">
        <f>D49*$I$4/100*10^9/10^6</f>
        <v>1.70367863826588</v>
      </c>
      <c r="H49" s="382"/>
      <c r="I49" s="383">
        <f>1/G49</f>
        <v>0.586965157359646</v>
      </c>
      <c r="J49" t="str">
        <f t="shared" si="1"/>
        <v>Trd_2w_gsl500</v>
      </c>
      <c r="K49" t="str">
        <f t="shared" si="10"/>
        <v>\I:</v>
      </c>
      <c r="L49" t="str">
        <f t="shared" si="3"/>
        <v>\I:</v>
      </c>
      <c r="M49" s="390" t="str">
        <f t="shared" si="11"/>
        <v/>
      </c>
      <c r="N49" s="390" t="str">
        <f t="shared" si="12"/>
        <v/>
      </c>
      <c r="O49" s="390" t="str">
        <f t="shared" si="13"/>
        <v/>
      </c>
      <c r="P49" s="390" t="str">
        <f t="shared" si="14"/>
        <v/>
      </c>
      <c r="W49" s="386"/>
      <c r="Z49" t="str">
        <f t="shared" si="15"/>
        <v>\I:</v>
      </c>
      <c r="AA49" t="str">
        <f ca="1" t="shared" si="16"/>
        <v>4-stroke MC 250-750 cc motorcycle -- Energy consumption</v>
      </c>
      <c r="AB49" s="388" t="s">
        <v>84</v>
      </c>
      <c r="AC49" s="388" t="s">
        <v>85</v>
      </c>
    </row>
    <row r="50" spans="2:29">
      <c r="B50" s="46" t="s">
        <v>14</v>
      </c>
      <c r="C50" s="47" t="s">
        <v>15</v>
      </c>
      <c r="D50" s="68">
        <v>11061.5651294592</v>
      </c>
      <c r="I50" s="44" t="s">
        <v>70</v>
      </c>
      <c r="J50" t="str">
        <f t="shared" si="1"/>
        <v>Trd_2w_gsl500</v>
      </c>
      <c r="K50" t="str">
        <f t="shared" si="10"/>
        <v>\I:</v>
      </c>
      <c r="L50" t="str">
        <f t="shared" si="3"/>
        <v>\I:</v>
      </c>
      <c r="M50" s="390" t="str">
        <f t="shared" si="11"/>
        <v/>
      </c>
      <c r="N50" s="390" t="str">
        <f t="shared" si="12"/>
        <v/>
      </c>
      <c r="O50" s="390" t="str">
        <f t="shared" si="13"/>
        <v/>
      </c>
      <c r="P50" s="390" t="str">
        <f t="shared" si="14"/>
        <v/>
      </c>
      <c r="W50" s="386"/>
      <c r="Z50" t="str">
        <f t="shared" si="15"/>
        <v>\I:</v>
      </c>
      <c r="AA50" t="str">
        <f ca="1" t="shared" si="16"/>
        <v>4-stroke MC 250-750 cc motorcycle -- Capital cost</v>
      </c>
      <c r="AB50" s="388" t="s">
        <v>84</v>
      </c>
      <c r="AC50" s="388" t="s">
        <v>85</v>
      </c>
    </row>
    <row r="51" spans="2:29">
      <c r="J51" t="str">
        <f t="shared" si="1"/>
        <v>Trd_2w_gsl500</v>
      </c>
      <c r="K51" t="str">
        <f t="shared" si="10"/>
        <v>\I:</v>
      </c>
      <c r="L51" t="str">
        <f t="shared" si="3"/>
        <v>\I:</v>
      </c>
      <c r="M51" s="390" t="str">
        <f t="shared" si="11"/>
        <v/>
      </c>
      <c r="N51" s="390" t="str">
        <f t="shared" si="12"/>
        <v/>
      </c>
      <c r="O51" s="390" t="str">
        <f t="shared" si="13"/>
        <v/>
      </c>
      <c r="P51" s="390" t="str">
        <f t="shared" si="14"/>
        <v/>
      </c>
      <c r="W51" s="386"/>
      <c r="Z51" t="str">
        <f t="shared" si="15"/>
        <v>\I:</v>
      </c>
      <c r="AA51" t="str">
        <f ca="1" t="shared" si="16"/>
        <v>4-stroke MC 250-750 cc motorcycle -- 00%</v>
      </c>
      <c r="AB51" s="388" t="s">
        <v>84</v>
      </c>
      <c r="AC51" s="388" t="s">
        <v>85</v>
      </c>
    </row>
    <row r="52" ht="15" customHeight="1" spans="2:29">
      <c r="B52" s="400" t="s">
        <v>140</v>
      </c>
      <c r="C52" s="400" t="s">
        <v>129</v>
      </c>
      <c r="D52" s="400"/>
      <c r="E52" s="400"/>
      <c r="F52" s="400"/>
      <c r="J52" t="str">
        <f t="shared" si="1"/>
        <v>Trd_3w_gsl</v>
      </c>
      <c r="K52" t="str">
        <f t="shared" si="10"/>
        <v>\I:</v>
      </c>
      <c r="L52" t="str">
        <f t="shared" si="3"/>
        <v>\I:</v>
      </c>
      <c r="M52" s="390" t="str">
        <f t="shared" si="11"/>
        <v/>
      </c>
      <c r="N52" s="390" t="str">
        <f t="shared" si="12"/>
        <v/>
      </c>
      <c r="O52" s="390" t="str">
        <f t="shared" si="13"/>
        <v/>
      </c>
      <c r="P52" s="390" t="str">
        <f t="shared" si="14"/>
        <v/>
      </c>
      <c r="W52" s="386"/>
      <c r="Z52" t="str">
        <f t="shared" si="15"/>
        <v>\I:</v>
      </c>
      <c r="AA52" t="str">
        <f ca="1" t="shared" si="16"/>
        <v>4-stroke MC &gt;750 cc motorcycle -- Reduction of specific energy consumption relative to 2015 (%)</v>
      </c>
      <c r="AB52" s="388" t="s">
        <v>84</v>
      </c>
      <c r="AC52" s="388" t="s">
        <v>85</v>
      </c>
    </row>
    <row r="53" spans="2:29">
      <c r="B53" s="400"/>
      <c r="C53" s="400"/>
      <c r="D53" s="400"/>
      <c r="E53" s="400"/>
      <c r="F53" s="400"/>
      <c r="J53" t="str">
        <f t="shared" si="1"/>
        <v>Trd_3w_gsl</v>
      </c>
      <c r="K53" t="str">
        <f t="shared" si="10"/>
        <v>\I:</v>
      </c>
      <c r="L53" t="str">
        <f t="shared" si="3"/>
        <v>\I:</v>
      </c>
      <c r="M53" s="390" t="str">
        <f t="shared" si="11"/>
        <v/>
      </c>
      <c r="N53" s="390" t="str">
        <f t="shared" si="12"/>
        <v/>
      </c>
      <c r="O53" s="390" t="str">
        <f t="shared" si="13"/>
        <v/>
      </c>
      <c r="P53" s="390" t="str">
        <f t="shared" si="14"/>
        <v/>
      </c>
      <c r="W53" s="386"/>
      <c r="Z53" t="str">
        <f t="shared" si="15"/>
        <v>\I:</v>
      </c>
      <c r="AA53" t="str">
        <f ca="1" t="shared" si="16"/>
        <v>4-stroke MC &gt;750 cc motorcycle -- 00%</v>
      </c>
      <c r="AB53" s="388" t="s">
        <v>84</v>
      </c>
      <c r="AC53" s="388" t="s">
        <v>85</v>
      </c>
    </row>
    <row r="54" spans="2:29">
      <c r="B54" s="400"/>
      <c r="C54" s="400"/>
      <c r="D54" s="400"/>
      <c r="E54" s="400"/>
      <c r="F54" s="400"/>
      <c r="J54" t="str">
        <f t="shared" si="1"/>
        <v>Trd_3w_gsl</v>
      </c>
      <c r="K54" t="str">
        <f t="shared" si="10"/>
        <v>\I:</v>
      </c>
      <c r="L54" t="str">
        <f t="shared" si="3"/>
        <v>\I:</v>
      </c>
      <c r="M54" s="390" t="str">
        <f t="shared" si="11"/>
        <v/>
      </c>
      <c r="N54" s="390" t="str">
        <f t="shared" si="12"/>
        <v/>
      </c>
      <c r="O54" s="390" t="str">
        <f t="shared" si="13"/>
        <v/>
      </c>
      <c r="P54" s="390" t="str">
        <f t="shared" si="14"/>
        <v/>
      </c>
      <c r="W54" s="386"/>
      <c r="Z54" t="str">
        <f t="shared" si="15"/>
        <v>\I:</v>
      </c>
      <c r="AA54" t="str">
        <f ca="1" t="shared" si="16"/>
        <v>4-stroke MC &gt;750 cc motorcycle -- 00%</v>
      </c>
      <c r="AB54" s="388" t="s">
        <v>84</v>
      </c>
      <c r="AC54" s="388" t="s">
        <v>85</v>
      </c>
    </row>
    <row r="55" spans="2:29">
      <c r="B55" s="50"/>
      <c r="C55" s="51">
        <v>2020</v>
      </c>
      <c r="D55" s="51">
        <v>2030</v>
      </c>
      <c r="E55" s="51">
        <v>2040</v>
      </c>
      <c r="F55" s="51">
        <v>2050</v>
      </c>
      <c r="J55" t="str">
        <f t="shared" si="1"/>
        <v>Trd_3w_gsl</v>
      </c>
      <c r="K55" t="str">
        <f t="shared" si="10"/>
        <v>\I:</v>
      </c>
      <c r="L55" t="str">
        <f t="shared" si="3"/>
        <v>\I:</v>
      </c>
      <c r="M55" s="390" t="str">
        <f t="shared" si="11"/>
        <v/>
      </c>
      <c r="N55" s="390" t="str">
        <f t="shared" si="12"/>
        <v/>
      </c>
      <c r="O55" s="390" t="str">
        <f t="shared" si="13"/>
        <v/>
      </c>
      <c r="P55" s="390" t="str">
        <f t="shared" si="14"/>
        <v/>
      </c>
      <c r="W55" s="386"/>
      <c r="Z55" t="str">
        <f t="shared" si="15"/>
        <v>\I:</v>
      </c>
      <c r="AA55" t="str">
        <f ca="1" t="shared" si="16"/>
        <v>4-stroke MC &gt;750 cc motorcycle -- 00%</v>
      </c>
      <c r="AB55" s="388" t="s">
        <v>84</v>
      </c>
      <c r="AC55" s="388"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90">
        <f t="shared" si="11"/>
        <v>11100.6952961463</v>
      </c>
      <c r="N56" s="390">
        <f t="shared" si="12"/>
        <v>11100.6952961463</v>
      </c>
      <c r="O56" s="390">
        <f t="shared" si="13"/>
        <v>11100.6952961463</v>
      </c>
      <c r="P56" s="390">
        <f t="shared" si="14"/>
        <v>11100.6952961463</v>
      </c>
      <c r="Q56">
        <f t="shared" ref="Q56:Q62" si="19">P56</f>
        <v>11100.6952961463</v>
      </c>
      <c r="R56">
        <v>3</v>
      </c>
      <c r="W56" s="386"/>
      <c r="Z56" t="str">
        <f t="shared" si="15"/>
        <v>Trd_3w_gsl_02</v>
      </c>
      <c r="AA56" t="str">
        <f ca="1" t="shared" si="16"/>
        <v>4-stroke MC &gt;750 cc motorcycle -- 02%</v>
      </c>
      <c r="AB56" s="388" t="s">
        <v>84</v>
      </c>
      <c r="AC56" s="388"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90">
        <f t="shared" si="11"/>
        <v>11287.7181662309</v>
      </c>
      <c r="N57" s="390">
        <f t="shared" si="12"/>
        <v>11225.7192195912</v>
      </c>
      <c r="O57" s="390">
        <f t="shared" si="13"/>
        <v>11225.7192195912</v>
      </c>
      <c r="P57" s="390">
        <f t="shared" si="14"/>
        <v>11225.7192195912</v>
      </c>
      <c r="Q57">
        <f t="shared" si="19"/>
        <v>11225.7192195912</v>
      </c>
      <c r="R57">
        <v>3</v>
      </c>
      <c r="W57" s="386"/>
      <c r="Z57" t="str">
        <f t="shared" si="15"/>
        <v>Trd_3w_gsl_07</v>
      </c>
      <c r="AA57" t="str">
        <f ca="1" t="shared" si="16"/>
        <v>4-stroke MC &gt;750 cc motorcycle -- 07%</v>
      </c>
      <c r="AB57" s="388" t="s">
        <v>84</v>
      </c>
      <c r="AC57" s="388"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90">
        <f t="shared" si="11"/>
        <v>11396.1108008248</v>
      </c>
      <c r="N58" s="390">
        <f t="shared" si="12"/>
        <v>11350.7431430362</v>
      </c>
      <c r="O58" s="390">
        <f t="shared" si="13"/>
        <v>11350.7431430362</v>
      </c>
      <c r="P58" s="390">
        <f t="shared" si="14"/>
        <v>11350.7431430362</v>
      </c>
      <c r="Q58">
        <f t="shared" si="19"/>
        <v>11350.7431430362</v>
      </c>
      <c r="R58">
        <v>3</v>
      </c>
      <c r="W58" s="386"/>
      <c r="Z58" t="str">
        <f t="shared" si="15"/>
        <v>Trd_3w_gsl_12</v>
      </c>
      <c r="AA58" t="str">
        <f ca="1" t="shared" si="16"/>
        <v>4-stroke MC &gt;750 cc motorcycle -- 12%</v>
      </c>
      <c r="AB58" s="388" t="s">
        <v>84</v>
      </c>
      <c r="AC58" s="388"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90">
        <f t="shared" si="11"/>
        <v>11854.9212803159</v>
      </c>
      <c r="N59" s="390">
        <f t="shared" si="12"/>
        <v>11475.7670664812</v>
      </c>
      <c r="O59" s="390">
        <f t="shared" si="13"/>
        <v>11475.7670664812</v>
      </c>
      <c r="P59" s="390">
        <f t="shared" si="14"/>
        <v>11475.7670664812</v>
      </c>
      <c r="Q59">
        <f t="shared" si="19"/>
        <v>11475.7670664812</v>
      </c>
      <c r="R59">
        <v>3</v>
      </c>
      <c r="W59" s="386"/>
      <c r="Z59" t="str">
        <f t="shared" si="15"/>
        <v>Trd_3w_gsl_17</v>
      </c>
      <c r="AA59" t="str">
        <f ca="1" t="shared" si="16"/>
        <v>4-stroke MC &gt;750 cc motorcycle -- 17%</v>
      </c>
      <c r="AB59" s="388" t="s">
        <v>84</v>
      </c>
      <c r="AC59" s="388"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90">
        <f t="shared" si="11"/>
        <v>12012.4784937866</v>
      </c>
      <c r="N60" s="390">
        <f t="shared" si="12"/>
        <v>11600.7909899262</v>
      </c>
      <c r="O60" s="390">
        <f t="shared" si="13"/>
        <v>11600.7909899262</v>
      </c>
      <c r="P60" s="390">
        <f t="shared" si="14"/>
        <v>11600.7909899262</v>
      </c>
      <c r="Q60">
        <f t="shared" si="19"/>
        <v>11600.7909899262</v>
      </c>
      <c r="R60">
        <v>3</v>
      </c>
      <c r="W60" s="386"/>
      <c r="Z60" t="str">
        <f t="shared" si="15"/>
        <v>Trd_3w_gsl_22</v>
      </c>
      <c r="AA60" t="str">
        <f ca="1" t="shared" si="16"/>
        <v>4-stroke MC &gt;750 cc motorcycle -- 22%</v>
      </c>
      <c r="AB60" s="388" t="s">
        <v>84</v>
      </c>
      <c r="AC60" s="388"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90">
        <f t="shared" si="11"/>
        <v>13217.6296306735</v>
      </c>
      <c r="N61" s="390">
        <f t="shared" si="12"/>
        <v>11733.0173202263</v>
      </c>
      <c r="O61" s="390">
        <f t="shared" si="13"/>
        <v>11725.8149133712</v>
      </c>
      <c r="P61" s="390">
        <f t="shared" si="14"/>
        <v>11725.8149133712</v>
      </c>
      <c r="Q61">
        <f t="shared" si="19"/>
        <v>11725.8149133712</v>
      </c>
      <c r="R61">
        <v>3</v>
      </c>
      <c r="W61" s="386"/>
      <c r="Z61" t="str">
        <f t="shared" si="15"/>
        <v>Trd_3w_gsl_27</v>
      </c>
      <c r="AA61" t="str">
        <f ca="1" t="shared" si="16"/>
        <v>4-stroke MC &gt;750 cc motorcycle -- 27%</v>
      </c>
      <c r="AB61" s="388" t="s">
        <v>84</v>
      </c>
      <c r="AC61" s="388"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90">
        <f t="shared" si="11"/>
        <v>16333.3856466892</v>
      </c>
      <c r="N62" s="390">
        <f t="shared" si="12"/>
        <v>12218.7886855361</v>
      </c>
      <c r="O62" s="390">
        <f t="shared" si="13"/>
        <v>11850.8388368161</v>
      </c>
      <c r="P62" s="390">
        <f t="shared" si="14"/>
        <v>11850.8388368161</v>
      </c>
      <c r="Q62">
        <f t="shared" si="19"/>
        <v>11850.8388368161</v>
      </c>
      <c r="R62">
        <v>3</v>
      </c>
      <c r="W62" s="386"/>
      <c r="Z62" t="str">
        <f t="shared" si="15"/>
        <v>Trd_3w_gsl_32</v>
      </c>
      <c r="AA62" t="str">
        <f ca="1" t="shared" si="16"/>
        <v>4-stroke MC &gt;750 cc motorcycle -- 32%</v>
      </c>
      <c r="AB62" s="388" t="s">
        <v>84</v>
      </c>
      <c r="AC62" s="388" t="s">
        <v>85</v>
      </c>
    </row>
    <row r="63" spans="2:29">
      <c r="J63" t="str">
        <f t="shared" si="1"/>
        <v>Trd_3w_gsl</v>
      </c>
      <c r="K63" t="str">
        <f t="shared" si="10"/>
        <v>\I:</v>
      </c>
      <c r="L63" t="str">
        <f t="shared" si="3"/>
        <v>\I:</v>
      </c>
      <c r="M63" s="390" t="str">
        <f t="shared" si="11"/>
        <v/>
      </c>
      <c r="N63" s="390" t="str">
        <f t="shared" si="12"/>
        <v/>
      </c>
      <c r="O63" s="390" t="str">
        <f t="shared" si="13"/>
        <v/>
      </c>
      <c r="P63" s="390" t="str">
        <f t="shared" si="14"/>
        <v/>
      </c>
      <c r="W63" s="386"/>
      <c r="Z63" t="str">
        <f t="shared" si="15"/>
        <v>\I:</v>
      </c>
      <c r="AA63" t="str">
        <f ca="1" t="shared" si="16"/>
        <v>4-stroke MC &gt;750 cc motorcycle -- 00%</v>
      </c>
      <c r="AB63" s="388" t="s">
        <v>84</v>
      </c>
      <c r="AC63" s="388" t="s">
        <v>85</v>
      </c>
    </row>
    <row r="64" spans="2:29">
      <c r="J64" t="str">
        <f t="shared" si="1"/>
        <v>Trd_3w_gsl</v>
      </c>
      <c r="K64" t="str">
        <f t="shared" si="10"/>
        <v>\I:</v>
      </c>
      <c r="L64" t="str">
        <f t="shared" si="3"/>
        <v>\I:</v>
      </c>
      <c r="M64" s="390" t="str">
        <f t="shared" si="11"/>
        <v/>
      </c>
      <c r="N64" s="390" t="str">
        <f t="shared" si="12"/>
        <v/>
      </c>
      <c r="O64" s="390" t="str">
        <f t="shared" si="13"/>
        <v/>
      </c>
      <c r="P64" s="390" t="str">
        <f t="shared" si="14"/>
        <v/>
      </c>
      <c r="W64" s="386"/>
      <c r="Z64" t="str">
        <f t="shared" si="15"/>
        <v>\I:</v>
      </c>
      <c r="AA64" t="str">
        <f ca="1" t="shared" si="16"/>
        <v>4-stroke MC &gt;750 cc motorcycle -- 00%</v>
      </c>
      <c r="AB64" s="388" t="s">
        <v>84</v>
      </c>
      <c r="AC64" s="388" t="s">
        <v>85</v>
      </c>
    </row>
    <row r="65" spans="2:29">
      <c r="J65" t="str">
        <f t="shared" si="1"/>
        <v>Trd_3w_gsl</v>
      </c>
      <c r="K65" t="str">
        <f t="shared" si="10"/>
        <v>\I:</v>
      </c>
      <c r="L65" t="str">
        <f t="shared" si="3"/>
        <v>\I:</v>
      </c>
      <c r="M65" s="390" t="str">
        <f t="shared" si="11"/>
        <v/>
      </c>
      <c r="N65" s="390" t="str">
        <f t="shared" si="12"/>
        <v/>
      </c>
      <c r="O65" s="390" t="str">
        <f t="shared" si="13"/>
        <v/>
      </c>
      <c r="P65" s="390" t="str">
        <f t="shared" si="14"/>
        <v/>
      </c>
      <c r="W65" s="386"/>
      <c r="Z65" t="str">
        <f t="shared" si="15"/>
        <v>\I:</v>
      </c>
      <c r="AA65" t="str">
        <f ca="1" t="shared" si="16"/>
        <v>4-stroke MC &gt;750 cc motorcycle -- 00%</v>
      </c>
      <c r="AB65" s="388" t="s">
        <v>84</v>
      </c>
      <c r="AC65" s="388" t="s">
        <v>85</v>
      </c>
    </row>
    <row r="66" spans="2:29">
      <c r="J66" t="str">
        <f t="shared" si="1"/>
        <v>Trd_3w_gsl</v>
      </c>
      <c r="K66" t="str">
        <f t="shared" si="10"/>
        <v>\I:</v>
      </c>
      <c r="L66" t="str">
        <f t="shared" si="3"/>
        <v>\I:</v>
      </c>
      <c r="M66" s="390" t="str">
        <f t="shared" si="11"/>
        <v/>
      </c>
      <c r="N66" s="390" t="str">
        <f t="shared" si="12"/>
        <v/>
      </c>
      <c r="O66" s="390" t="str">
        <f t="shared" si="13"/>
        <v/>
      </c>
      <c r="P66" s="390" t="str">
        <f t="shared" si="14"/>
        <v/>
      </c>
      <c r="W66" s="386"/>
      <c r="Z66" t="str">
        <f t="shared" si="15"/>
        <v>\I:</v>
      </c>
      <c r="AA66" t="str">
        <f ca="1" t="shared" si="16"/>
        <v>4-stroke MC &gt;750 cc motorcycle -- 00%</v>
      </c>
      <c r="AB66" s="388" t="s">
        <v>84</v>
      </c>
      <c r="AC66" s="388" t="s">
        <v>85</v>
      </c>
    </row>
    <row r="67" spans="2:29">
      <c r="B67" s="44" t="s">
        <v>143</v>
      </c>
      <c r="J67" t="str">
        <f t="shared" si="1"/>
        <v>Trd_3w_gsl</v>
      </c>
      <c r="K67" t="str">
        <f t="shared" si="10"/>
        <v>\I:</v>
      </c>
      <c r="L67" t="str">
        <f t="shared" si="3"/>
        <v>\I:</v>
      </c>
      <c r="M67" s="390" t="str">
        <f t="shared" si="11"/>
        <v/>
      </c>
      <c r="N67" s="390" t="str">
        <f t="shared" si="12"/>
        <v/>
      </c>
      <c r="O67" s="390" t="str">
        <f t="shared" si="13"/>
        <v/>
      </c>
      <c r="P67" s="390" t="str">
        <f t="shared" si="14"/>
        <v/>
      </c>
      <c r="W67" s="386"/>
      <c r="Z67" t="str">
        <f t="shared" si="15"/>
        <v>\I:</v>
      </c>
      <c r="AA67" t="str">
        <f ca="1" t="shared" si="16"/>
        <v>4-stroke MC &gt;750 cc motorcycle -- Reference values for moped</v>
      </c>
      <c r="AB67" s="388" t="s">
        <v>84</v>
      </c>
      <c r="AC67" s="388" t="s">
        <v>85</v>
      </c>
    </row>
    <row r="68" ht="15" customHeight="1" spans="2:29">
      <c r="B68" s="381">
        <v>2015</v>
      </c>
      <c r="C68" s="381"/>
      <c r="D68" s="381"/>
      <c r="J68" t="str">
        <f t="shared" si="1"/>
        <v>Trd_3w_gsl</v>
      </c>
      <c r="K68" t="str">
        <f t="shared" si="10"/>
        <v>\I:</v>
      </c>
      <c r="L68" t="str">
        <f t="shared" si="3"/>
        <v>\I:</v>
      </c>
      <c r="M68" s="390" t="str">
        <f t="shared" si="11"/>
        <v/>
      </c>
      <c r="N68" s="390" t="str">
        <f t="shared" si="12"/>
        <v/>
      </c>
      <c r="O68" s="390" t="str">
        <f t="shared" si="13"/>
        <v/>
      </c>
      <c r="P68" s="390" t="str">
        <f t="shared" si="14"/>
        <v/>
      </c>
      <c r="W68" s="386"/>
      <c r="Z68" t="str">
        <f t="shared" si="15"/>
        <v>\I:</v>
      </c>
      <c r="AA68" t="str">
        <f ca="1" t="shared" si="16"/>
        <v>4-stroke MC &gt;750 cc motorcycle -- 201500%</v>
      </c>
      <c r="AB68" s="388" t="s">
        <v>84</v>
      </c>
      <c r="AC68" s="388" t="s">
        <v>85</v>
      </c>
    </row>
    <row r="69" spans="2:29">
      <c r="B69" s="46" t="s">
        <v>12</v>
      </c>
      <c r="C69" s="47" t="s">
        <v>13</v>
      </c>
      <c r="D69" s="48">
        <v>2.89822960633191</v>
      </c>
      <c r="G69" s="382">
        <f>D69*$I$4/100*10^9/10^6</f>
        <v>0.913985688652831</v>
      </c>
      <c r="H69" s="382"/>
      <c r="I69" s="382">
        <f>1/G69</f>
        <v>1.09410903520158</v>
      </c>
      <c r="J69" t="str">
        <f t="shared" si="1"/>
        <v>Trd_3w_gsl</v>
      </c>
      <c r="K69" t="str">
        <f t="shared" si="10"/>
        <v>\I:</v>
      </c>
      <c r="L69" t="str">
        <f t="shared" si="3"/>
        <v>\I:</v>
      </c>
      <c r="M69" s="390" t="str">
        <f t="shared" si="11"/>
        <v/>
      </c>
      <c r="N69" s="390" t="str">
        <f t="shared" si="12"/>
        <v/>
      </c>
      <c r="O69" s="390" t="str">
        <f t="shared" si="13"/>
        <v/>
      </c>
      <c r="P69" s="390" t="str">
        <f t="shared" si="14"/>
        <v/>
      </c>
      <c r="W69" s="386"/>
      <c r="Z69" t="str">
        <f t="shared" si="15"/>
        <v>\I:</v>
      </c>
      <c r="AA69" t="str">
        <f ca="1" t="shared" si="16"/>
        <v>4-stroke MC &gt;750 cc motorcycle -- Energy consumption</v>
      </c>
      <c r="AB69" s="388" t="s">
        <v>84</v>
      </c>
      <c r="AC69" s="388" t="s">
        <v>85</v>
      </c>
    </row>
    <row r="70" spans="2:29">
      <c r="B70" s="46" t="s">
        <v>14</v>
      </c>
      <c r="C70" s="47" t="s">
        <v>15</v>
      </c>
      <c r="D70" s="68">
        <v>1789.17324177336</v>
      </c>
      <c r="I70" s="44" t="s">
        <v>70</v>
      </c>
      <c r="J70" t="str">
        <f t="shared" si="1"/>
        <v>Trd_3w_gsl</v>
      </c>
      <c r="K70" t="str">
        <f t="shared" si="10"/>
        <v>\I:</v>
      </c>
      <c r="L70" t="str">
        <f t="shared" si="3"/>
        <v>\I:</v>
      </c>
      <c r="M70" s="390" t="str">
        <f t="shared" si="11"/>
        <v/>
      </c>
      <c r="N70" s="390" t="str">
        <f t="shared" si="12"/>
        <v/>
      </c>
      <c r="O70" s="390" t="str">
        <f t="shared" si="13"/>
        <v/>
      </c>
      <c r="P70" s="390" t="str">
        <f t="shared" si="14"/>
        <v/>
      </c>
      <c r="W70" s="386"/>
      <c r="Z70" t="str">
        <f t="shared" si="15"/>
        <v>\I:</v>
      </c>
      <c r="AA70" t="str">
        <f ca="1" t="shared" si="16"/>
        <v>4-stroke MC &gt;750 cc motorcycle -- Capital cost</v>
      </c>
      <c r="AB70" s="388" t="s">
        <v>84</v>
      </c>
      <c r="AC70" s="388" t="s">
        <v>85</v>
      </c>
    </row>
    <row r="71" spans="2:29">
      <c r="J71" t="str">
        <f t="shared" si="1"/>
        <v>Trd_3w_gsl</v>
      </c>
      <c r="K71" t="str">
        <f t="shared" si="10"/>
        <v>\I:</v>
      </c>
      <c r="L71" t="str">
        <f t="shared" si="3"/>
        <v>\I:</v>
      </c>
      <c r="M71" s="390" t="str">
        <f t="shared" si="11"/>
        <v/>
      </c>
      <c r="N71" s="390" t="str">
        <f t="shared" si="12"/>
        <v/>
      </c>
      <c r="O71" s="390" t="str">
        <f t="shared" si="13"/>
        <v/>
      </c>
      <c r="P71" s="390" t="str">
        <f t="shared" si="14"/>
        <v/>
      </c>
      <c r="W71" s="386"/>
      <c r="Z71" t="str">
        <f t="shared" si="15"/>
        <v>\I:</v>
      </c>
      <c r="AA71" t="str">
        <f ca="1" t="shared" si="16"/>
        <v>4-stroke MC &gt;750 cc motorcycle -- 00%</v>
      </c>
      <c r="AB71" s="388" t="s">
        <v>84</v>
      </c>
      <c r="AC71" s="388" t="s">
        <v>85</v>
      </c>
    </row>
    <row r="72" ht="15" customHeight="1" spans="2:29">
      <c r="B72" s="400" t="s">
        <v>140</v>
      </c>
      <c r="C72" s="400" t="s">
        <v>131</v>
      </c>
      <c r="D72" s="400"/>
      <c r="E72" s="400"/>
      <c r="F72" s="400"/>
      <c r="J72" t="str">
        <f t="shared" si="1"/>
        <v>Trd_2w_gsl50</v>
      </c>
      <c r="K72" t="str">
        <f t="shared" si="10"/>
        <v>\I:</v>
      </c>
      <c r="L72" t="str">
        <f t="shared" si="3"/>
        <v>\I:</v>
      </c>
      <c r="M72" s="390" t="str">
        <f t="shared" si="11"/>
        <v/>
      </c>
      <c r="N72" s="390" t="str">
        <f t="shared" si="12"/>
        <v/>
      </c>
      <c r="O72" s="390" t="str">
        <f t="shared" si="13"/>
        <v/>
      </c>
      <c r="P72" s="390" t="str">
        <f t="shared" si="14"/>
        <v/>
      </c>
      <c r="W72" s="386"/>
      <c r="Z72" t="str">
        <f t="shared" si="15"/>
        <v>\I:</v>
      </c>
      <c r="AA72" t="str">
        <f ca="1" t="shared" si="16"/>
        <v>Moped -- Reduction of specific energy consumption relative to 2015 (%)</v>
      </c>
      <c r="AB72" s="388" t="s">
        <v>84</v>
      </c>
      <c r="AC72" s="388" t="s">
        <v>85</v>
      </c>
    </row>
    <row r="73" spans="2:29">
      <c r="B73" s="400"/>
      <c r="C73" s="400"/>
      <c r="D73" s="400"/>
      <c r="E73" s="400"/>
      <c r="F73" s="400"/>
      <c r="J73" t="str">
        <f t="shared" si="1"/>
        <v>Trd_2w_gsl50</v>
      </c>
      <c r="K73" t="str">
        <f t="shared" si="10"/>
        <v>\I:</v>
      </c>
      <c r="L73" t="str">
        <f t="shared" si="3"/>
        <v>\I:</v>
      </c>
      <c r="M73" s="390" t="str">
        <f t="shared" si="11"/>
        <v/>
      </c>
      <c r="N73" s="390" t="str">
        <f t="shared" si="12"/>
        <v/>
      </c>
      <c r="O73" s="390" t="str">
        <f t="shared" si="13"/>
        <v/>
      </c>
      <c r="P73" s="390" t="str">
        <f t="shared" si="14"/>
        <v/>
      </c>
      <c r="W73" s="386"/>
      <c r="Z73" t="str">
        <f t="shared" si="15"/>
        <v>\I:</v>
      </c>
      <c r="AA73" t="str">
        <f ca="1" t="shared" si="16"/>
        <v>Moped -- 00%</v>
      </c>
      <c r="AB73" s="388" t="s">
        <v>84</v>
      </c>
      <c r="AC73" s="388" t="s">
        <v>85</v>
      </c>
    </row>
    <row r="74" spans="2:29">
      <c r="B74" s="400"/>
      <c r="C74" s="400"/>
      <c r="D74" s="400"/>
      <c r="E74" s="400"/>
      <c r="F74" s="400"/>
      <c r="J74" t="str">
        <f t="shared" si="1"/>
        <v>Trd_2w_gsl50</v>
      </c>
      <c r="K74" t="str">
        <f t="shared" si="10"/>
        <v>\I:</v>
      </c>
      <c r="L74" t="str">
        <f t="shared" si="3"/>
        <v>\I:</v>
      </c>
      <c r="M74" s="390" t="str">
        <f t="shared" si="11"/>
        <v/>
      </c>
      <c r="N74" s="390" t="str">
        <f t="shared" si="12"/>
        <v/>
      </c>
      <c r="O74" s="390" t="str">
        <f t="shared" si="13"/>
        <v/>
      </c>
      <c r="P74" s="390" t="str">
        <f t="shared" si="14"/>
        <v/>
      </c>
      <c r="W74" s="386"/>
      <c r="Z74" t="str">
        <f t="shared" si="15"/>
        <v>\I:</v>
      </c>
      <c r="AA74" t="str">
        <f ca="1" t="shared" si="16"/>
        <v>Moped -- 00%</v>
      </c>
      <c r="AB74" s="388" t="s">
        <v>84</v>
      </c>
      <c r="AC74" s="388" t="s">
        <v>85</v>
      </c>
    </row>
    <row r="75" spans="2:29">
      <c r="B75" s="50"/>
      <c r="C75" s="51">
        <v>2020</v>
      </c>
      <c r="D75" s="51">
        <v>2030</v>
      </c>
      <c r="E75" s="51">
        <v>2040</v>
      </c>
      <c r="F75" s="51">
        <v>2050</v>
      </c>
      <c r="J75" t="str">
        <f t="shared" si="1"/>
        <v>Trd_2w_gsl50</v>
      </c>
      <c r="K75" t="str">
        <f t="shared" si="10"/>
        <v>\I:</v>
      </c>
      <c r="L75" t="str">
        <f t="shared" si="3"/>
        <v>\I:</v>
      </c>
      <c r="M75" s="390" t="str">
        <f t="shared" si="11"/>
        <v/>
      </c>
      <c r="N75" s="390" t="str">
        <f t="shared" si="12"/>
        <v/>
      </c>
      <c r="O75" s="390" t="str">
        <f t="shared" si="13"/>
        <v/>
      </c>
      <c r="P75" s="390" t="str">
        <f t="shared" si="14"/>
        <v/>
      </c>
      <c r="W75" s="386"/>
      <c r="Z75" t="str">
        <f t="shared" si="15"/>
        <v>\I:</v>
      </c>
      <c r="AA75" t="str">
        <f ca="1" t="shared" si="16"/>
        <v>Moped -- 00%</v>
      </c>
      <c r="AB75" s="388" t="s">
        <v>84</v>
      </c>
      <c r="AC75" s="388" t="s">
        <v>85</v>
      </c>
    </row>
    <row r="76" spans="2:29">
      <c r="B76" s="85">
        <v>0.0160765354439701</v>
      </c>
      <c r="C76" s="401">
        <v>1805.25285406622</v>
      </c>
      <c r="D76" s="86">
        <v>1805.25285406622</v>
      </c>
      <c r="E76" s="86">
        <v>1805.25285406622</v>
      </c>
      <c r="F76" s="86">
        <v>1805.25285406622</v>
      </c>
      <c r="I76" s="389">
        <f>$I$69/$I$7*(1+B76)</f>
        <v>1.12327647266291</v>
      </c>
      <c r="J76" t="str">
        <f t="shared" si="1"/>
        <v>Trd_2w_gsl50</v>
      </c>
      <c r="K76" s="147" t="str">
        <f>IFERROR(IF(VALUE(C76)&gt;202,J76&amp;"_"&amp;TEXT(B76*100,"00"),"\I:"),"\I:")</f>
        <v>Trd_2w_gsl50_02</v>
      </c>
      <c r="L76" t="str">
        <f t="shared" si="3"/>
        <v>Trd_2w</v>
      </c>
      <c r="M76" s="390">
        <f t="shared" si="11"/>
        <v>1805.25285406622</v>
      </c>
      <c r="N76" s="390">
        <f t="shared" si="12"/>
        <v>1805.25285406622</v>
      </c>
      <c r="O76" s="390">
        <f t="shared" si="13"/>
        <v>1805.25285406622</v>
      </c>
      <c r="P76" s="390">
        <f t="shared" si="14"/>
        <v>1805.25285406622</v>
      </c>
      <c r="Q76">
        <f t="shared" ref="Q76:Q83" si="21">P76</f>
        <v>1805.25285406622</v>
      </c>
      <c r="R76">
        <v>3</v>
      </c>
      <c r="W76" s="386"/>
      <c r="Z76" t="str">
        <f t="shared" si="15"/>
        <v>Trd_2w_gsl50_02</v>
      </c>
      <c r="AA76" t="str">
        <f ca="1" t="shared" si="16"/>
        <v>Moped -- 02%</v>
      </c>
      <c r="AB76" s="388" t="s">
        <v>84</v>
      </c>
      <c r="AC76" s="388" t="s">
        <v>85</v>
      </c>
    </row>
    <row r="77" spans="2:29">
      <c r="B77" s="85">
        <v>0.0660765354439701</v>
      </c>
      <c r="C77" s="401">
        <v>1855.26242344421</v>
      </c>
      <c r="D77" s="86">
        <v>1855.26242344421</v>
      </c>
      <c r="E77" s="86">
        <v>1855.26242344421</v>
      </c>
      <c r="F77" s="86">
        <v>1855.26242344421</v>
      </c>
      <c r="I77" s="389">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90">
        <f t="shared" si="11"/>
        <v>1855.26242344421</v>
      </c>
      <c r="N77" s="390">
        <f t="shared" si="12"/>
        <v>1855.26242344421</v>
      </c>
      <c r="O77" s="390">
        <f t="shared" si="13"/>
        <v>1855.26242344421</v>
      </c>
      <c r="P77" s="390">
        <f t="shared" si="14"/>
        <v>1855.26242344421</v>
      </c>
      <c r="Q77">
        <f t="shared" si="21"/>
        <v>1855.26242344421</v>
      </c>
      <c r="R77">
        <v>3</v>
      </c>
      <c r="W77" s="386"/>
      <c r="Z77" t="str">
        <f t="shared" si="15"/>
        <v>Trd_2w_gsl50_07</v>
      </c>
      <c r="AA77" t="str">
        <f ca="1" t="shared" si="16"/>
        <v>Moped -- 07%</v>
      </c>
      <c r="AB77" s="388" t="s">
        <v>84</v>
      </c>
      <c r="AC77" s="388" t="s">
        <v>85</v>
      </c>
    </row>
    <row r="78" spans="2:29">
      <c r="B78" s="85">
        <v>0.11607653544397</v>
      </c>
      <c r="C78" s="401">
        <v>1930.07157147807</v>
      </c>
      <c r="D78" s="86">
        <v>1905.2719928222</v>
      </c>
      <c r="E78" s="86">
        <v>1905.2719928222</v>
      </c>
      <c r="F78" s="86">
        <v>1905.2719928222</v>
      </c>
      <c r="I78" s="389">
        <f t="shared" si="22"/>
        <v>1.23382685282419</v>
      </c>
      <c r="J78" t="str">
        <f t="shared" si="23"/>
        <v>Trd_2w_gsl50</v>
      </c>
      <c r="K78" s="147" t="str">
        <f t="shared" si="24"/>
        <v>Trd_2w_gsl50_12</v>
      </c>
      <c r="L78" t="str">
        <f t="shared" si="25"/>
        <v>Trd_2w</v>
      </c>
      <c r="M78" s="390">
        <f t="shared" si="11"/>
        <v>1930.07157147807</v>
      </c>
      <c r="N78" s="390">
        <f t="shared" si="12"/>
        <v>1905.2719928222</v>
      </c>
      <c r="O78" s="390">
        <f t="shared" si="13"/>
        <v>1905.2719928222</v>
      </c>
      <c r="P78" s="390">
        <f t="shared" si="14"/>
        <v>1905.2719928222</v>
      </c>
      <c r="Q78">
        <f t="shared" si="21"/>
        <v>1905.2719928222</v>
      </c>
      <c r="R78">
        <v>3</v>
      </c>
      <c r="W78" s="386"/>
      <c r="Z78" t="str">
        <f t="shared" si="15"/>
        <v>Trd_2w_gsl50_12</v>
      </c>
      <c r="AA78" t="str">
        <f ca="1" t="shared" si="16"/>
        <v>Moped -- 12%</v>
      </c>
      <c r="AB78" s="388" t="s">
        <v>84</v>
      </c>
      <c r="AC78" s="388" t="s">
        <v>85</v>
      </c>
    </row>
    <row r="79" spans="2:29">
      <c r="B79" s="85">
        <v>0.16607653544397</v>
      </c>
      <c r="C79" s="401">
        <v>1973.42862531562</v>
      </c>
      <c r="D79" s="86">
        <v>1955.28156220019</v>
      </c>
      <c r="E79" s="86">
        <v>1955.28156220019</v>
      </c>
      <c r="F79" s="86">
        <v>1955.28156220019</v>
      </c>
      <c r="I79" s="389">
        <f t="shared" si="22"/>
        <v>1.28910204290483</v>
      </c>
      <c r="J79" t="str">
        <f t="shared" si="23"/>
        <v>Trd_2w_gsl50</v>
      </c>
      <c r="K79" s="147" t="str">
        <f t="shared" si="24"/>
        <v>Trd_2w_gsl50_17</v>
      </c>
      <c r="L79" t="str">
        <f t="shared" si="25"/>
        <v>Trd_2w</v>
      </c>
      <c r="M79" s="390">
        <f t="shared" si="11"/>
        <v>1973.42862531562</v>
      </c>
      <c r="N79" s="390">
        <f t="shared" si="12"/>
        <v>1955.28156220019</v>
      </c>
      <c r="O79" s="390">
        <f t="shared" si="13"/>
        <v>1955.28156220019</v>
      </c>
      <c r="P79" s="390">
        <f t="shared" si="14"/>
        <v>1955.28156220019</v>
      </c>
      <c r="Q79">
        <f t="shared" si="21"/>
        <v>1955.28156220019</v>
      </c>
      <c r="R79">
        <v>3</v>
      </c>
      <c r="W79" s="386"/>
      <c r="Z79" t="str">
        <f t="shared" si="15"/>
        <v>Trd_2w_gsl50_17</v>
      </c>
      <c r="AA79" t="str">
        <f ca="1" t="shared" si="16"/>
        <v>Moped -- 17%</v>
      </c>
      <c r="AB79" s="388" t="s">
        <v>84</v>
      </c>
      <c r="AC79" s="388" t="s">
        <v>85</v>
      </c>
    </row>
    <row r="80" spans="2:29">
      <c r="B80" s="85">
        <v>0.21607653544397</v>
      </c>
      <c r="C80" s="86">
        <v>2156.95281711207</v>
      </c>
      <c r="D80" s="86">
        <v>2005.29113157818</v>
      </c>
      <c r="E80" s="86">
        <v>2005.29113157818</v>
      </c>
      <c r="F80" s="86">
        <v>2005.29113157818</v>
      </c>
      <c r="I80" s="389">
        <f t="shared" si="22"/>
        <v>1.34437723298548</v>
      </c>
      <c r="J80" t="str">
        <f t="shared" si="23"/>
        <v>Trd_2w_gsl50</v>
      </c>
      <c r="K80" t="str">
        <f t="shared" si="10"/>
        <v>Trd_2w_gsl50_22</v>
      </c>
      <c r="L80" t="str">
        <f t="shared" si="25"/>
        <v>Trd_2w</v>
      </c>
      <c r="M80" s="390">
        <f t="shared" si="11"/>
        <v>2156.95281711207</v>
      </c>
      <c r="N80" s="390">
        <f t="shared" si="12"/>
        <v>2005.29113157818</v>
      </c>
      <c r="O80" s="390">
        <f t="shared" si="13"/>
        <v>2005.29113157818</v>
      </c>
      <c r="P80" s="390">
        <f t="shared" si="14"/>
        <v>2005.29113157818</v>
      </c>
      <c r="Q80">
        <f t="shared" si="21"/>
        <v>2005.29113157818</v>
      </c>
      <c r="R80">
        <v>3</v>
      </c>
      <c r="W80" s="386"/>
      <c r="Z80" t="str">
        <f t="shared" si="15"/>
        <v>Trd_2w_gsl50_22</v>
      </c>
      <c r="AA80" t="str">
        <f ca="1" t="shared" si="16"/>
        <v>Moped -- 22%</v>
      </c>
      <c r="AB80" s="388" t="s">
        <v>84</v>
      </c>
      <c r="AC80" s="388" t="s">
        <v>85</v>
      </c>
    </row>
    <row r="81" spans="2:29">
      <c r="B81" s="85">
        <v>0.26607653544397</v>
      </c>
      <c r="C81" s="86">
        <v>2219.97570250033</v>
      </c>
      <c r="D81" s="86">
        <v>2055.30070095617</v>
      </c>
      <c r="E81" s="86">
        <v>2055.30070095617</v>
      </c>
      <c r="F81" s="86">
        <v>2055.30070095617</v>
      </c>
      <c r="I81" s="389">
        <f t="shared" si="22"/>
        <v>1.39965242306612</v>
      </c>
      <c r="J81" t="str">
        <f t="shared" si="23"/>
        <v>Trd_2w_gsl50</v>
      </c>
      <c r="K81" t="str">
        <f t="shared" si="10"/>
        <v>Trd_2w_gsl50_27</v>
      </c>
      <c r="L81" t="str">
        <f t="shared" si="25"/>
        <v>Trd_2w</v>
      </c>
      <c r="M81" s="390">
        <f t="shared" si="11"/>
        <v>2219.97570250033</v>
      </c>
      <c r="N81" s="390">
        <f t="shared" si="12"/>
        <v>2055.30070095617</v>
      </c>
      <c r="O81" s="390">
        <f t="shared" si="13"/>
        <v>2055.30070095617</v>
      </c>
      <c r="P81" s="390">
        <f t="shared" si="14"/>
        <v>2055.30070095617</v>
      </c>
      <c r="Q81">
        <f t="shared" si="21"/>
        <v>2055.30070095617</v>
      </c>
      <c r="R81">
        <v>3</v>
      </c>
      <c r="W81" s="386"/>
      <c r="Z81" t="str">
        <f t="shared" si="15"/>
        <v>Trd_2w_gsl50_27</v>
      </c>
      <c r="AA81" t="str">
        <f ca="1" t="shared" si="16"/>
        <v>Moped -- 27%</v>
      </c>
      <c r="AB81" s="388" t="s">
        <v>84</v>
      </c>
      <c r="AC81" s="388" t="s">
        <v>85</v>
      </c>
    </row>
    <row r="82" spans="2:29">
      <c r="B82" s="85">
        <v>0.31607653544397</v>
      </c>
      <c r="C82" s="86">
        <v>2702.03615725509</v>
      </c>
      <c r="D82" s="86">
        <v>2108.19123307624</v>
      </c>
      <c r="E82" s="86">
        <v>2105.31027033416</v>
      </c>
      <c r="F82" s="86">
        <v>2105.31027033416</v>
      </c>
      <c r="I82" s="389">
        <f t="shared" si="22"/>
        <v>1.45492761314676</v>
      </c>
      <c r="J82" t="str">
        <f t="shared" si="23"/>
        <v>Trd_2w_gsl50</v>
      </c>
      <c r="K82" t="str">
        <f t="shared" si="10"/>
        <v>Trd_2w_gsl50_32</v>
      </c>
      <c r="L82" t="str">
        <f t="shared" si="25"/>
        <v>Trd_2w</v>
      </c>
      <c r="M82" s="390">
        <f t="shared" si="11"/>
        <v>2702.03615725509</v>
      </c>
      <c r="N82" s="390">
        <f t="shared" si="12"/>
        <v>2108.19123307624</v>
      </c>
      <c r="O82" s="390">
        <f t="shared" si="13"/>
        <v>2105.31027033416</v>
      </c>
      <c r="P82" s="390">
        <f t="shared" si="14"/>
        <v>2105.31027033416</v>
      </c>
      <c r="Q82">
        <f t="shared" si="21"/>
        <v>2105.31027033416</v>
      </c>
      <c r="R82">
        <v>3</v>
      </c>
      <c r="W82" s="386"/>
      <c r="Z82" t="str">
        <f t="shared" si="15"/>
        <v>Trd_2w_gsl50_32</v>
      </c>
      <c r="AA82" t="str">
        <f ca="1" t="shared" si="16"/>
        <v>Moped -- 32%</v>
      </c>
      <c r="AB82" s="388" t="s">
        <v>84</v>
      </c>
      <c r="AC82" s="388" t="s">
        <v>85</v>
      </c>
    </row>
    <row r="83" spans="2:29">
      <c r="B83" s="85">
        <v>0.36607653544397</v>
      </c>
      <c r="C83" s="86">
        <v>3948.33856366138</v>
      </c>
      <c r="D83" s="86">
        <v>2302.49977920015</v>
      </c>
      <c r="E83" s="86">
        <v>2155.31983971215</v>
      </c>
      <c r="F83" s="86">
        <v>2155.31983971215</v>
      </c>
      <c r="I83" s="389">
        <f t="shared" si="22"/>
        <v>1.5102028032274</v>
      </c>
      <c r="J83" t="str">
        <f t="shared" si="23"/>
        <v>Trd_2w_gsl50</v>
      </c>
      <c r="K83" t="str">
        <f t="shared" si="10"/>
        <v>Trd_2w_gsl50_37</v>
      </c>
      <c r="L83" t="str">
        <f t="shared" si="25"/>
        <v>Trd_2w</v>
      </c>
      <c r="M83" s="390">
        <f t="shared" si="11"/>
        <v>3948.33856366138</v>
      </c>
      <c r="N83" s="390">
        <f t="shared" si="12"/>
        <v>2302.49977920015</v>
      </c>
      <c r="O83" s="390">
        <f t="shared" si="13"/>
        <v>2155.31983971215</v>
      </c>
      <c r="P83" s="390">
        <f t="shared" si="14"/>
        <v>2155.31983971215</v>
      </c>
      <c r="Q83">
        <f t="shared" si="21"/>
        <v>2155.31983971215</v>
      </c>
      <c r="R83">
        <v>3</v>
      </c>
      <c r="W83" s="386"/>
      <c r="Z83" t="str">
        <f t="shared" si="15"/>
        <v>Trd_2w_gsl50_37</v>
      </c>
      <c r="AA83" t="str">
        <f ca="1" t="shared" si="16"/>
        <v>Moped -- 37%</v>
      </c>
      <c r="AB83" s="388" t="s">
        <v>84</v>
      </c>
      <c r="AC83" s="388" t="s">
        <v>85</v>
      </c>
    </row>
    <row r="84" spans="2:29">
      <c r="J84" t="str">
        <f t="shared" si="23"/>
        <v>Trd_2w_gsl50</v>
      </c>
      <c r="K84" t="str">
        <f t="shared" ref="K84:K93" si="26">IFERROR(IF(VALUE(C84)&gt;2020,J84&amp;"_"&amp;TEXT(B84*100,"00"),"\I:"),"\I:")</f>
        <v>\I:</v>
      </c>
      <c r="L84" t="str">
        <f t="shared" si="25"/>
        <v>\I:</v>
      </c>
      <c r="M84" s="390" t="str">
        <f t="shared" ref="M84:M147" si="27">IF($K84="\I:","",C84)</f>
        <v/>
      </c>
      <c r="N84" s="390" t="str">
        <f t="shared" ref="N84:N147" si="28">IF($K84="\I:","",D84)</f>
        <v/>
      </c>
      <c r="O84" s="390" t="str">
        <f t="shared" ref="O84:O147" si="29">IF($K84="\I:","",E84)</f>
        <v/>
      </c>
      <c r="P84" s="390" t="str">
        <f t="shared" ref="P84:P147" si="30">IF($K84="\I:","",F84)</f>
        <v/>
      </c>
      <c r="W84" s="386"/>
      <c r="Z84" t="str">
        <f t="shared" si="15"/>
        <v>\I:</v>
      </c>
      <c r="AA84" t="str">
        <f ca="1" t="shared" si="16"/>
        <v>Moped -- 00%</v>
      </c>
      <c r="AB84" s="388" t="s">
        <v>84</v>
      </c>
      <c r="AC84" s="388" t="s">
        <v>85</v>
      </c>
    </row>
    <row r="85" spans="2:29">
      <c r="J85" t="str">
        <f t="shared" si="23"/>
        <v>Trd_2w_gsl50</v>
      </c>
      <c r="K85" t="str">
        <f t="shared" si="26"/>
        <v>\I:</v>
      </c>
      <c r="L85" t="str">
        <f t="shared" si="25"/>
        <v>\I:</v>
      </c>
      <c r="M85" s="390" t="str">
        <f t="shared" si="27"/>
        <v/>
      </c>
      <c r="N85" s="390" t="str">
        <f t="shared" si="28"/>
        <v/>
      </c>
      <c r="O85" s="390" t="str">
        <f t="shared" si="29"/>
        <v/>
      </c>
      <c r="P85" s="390" t="str">
        <f t="shared" si="30"/>
        <v/>
      </c>
      <c r="W85" s="386"/>
      <c r="Z85" t="str">
        <f t="shared" si="15"/>
        <v>\I:</v>
      </c>
      <c r="AA85" t="str">
        <f ca="1" t="shared" si="16"/>
        <v>Moped -- 00%</v>
      </c>
      <c r="AB85" s="388" t="s">
        <v>84</v>
      </c>
      <c r="AC85" s="388" t="s">
        <v>85</v>
      </c>
    </row>
    <row r="86" spans="2:29">
      <c r="J86" t="str">
        <f t="shared" si="23"/>
        <v>Trd_2w_gsl50</v>
      </c>
      <c r="K86" t="str">
        <f t="shared" si="26"/>
        <v>\I:</v>
      </c>
      <c r="L86" t="str">
        <f t="shared" si="25"/>
        <v>\I:</v>
      </c>
      <c r="M86" s="390" t="str">
        <f t="shared" si="27"/>
        <v/>
      </c>
      <c r="N86" s="390" t="str">
        <f t="shared" si="28"/>
        <v/>
      </c>
      <c r="O86" s="390" t="str">
        <f t="shared" si="29"/>
        <v/>
      </c>
      <c r="P86" s="390" t="str">
        <f t="shared" si="30"/>
        <v/>
      </c>
      <c r="W86" s="386"/>
      <c r="Z86" t="str">
        <f t="shared" si="15"/>
        <v>\I:</v>
      </c>
      <c r="AA86" t="str">
        <f ca="1" t="shared" si="16"/>
        <v>Moped -- 00%</v>
      </c>
      <c r="AB86" s="388" t="s">
        <v>84</v>
      </c>
      <c r="AC86" s="388" t="s">
        <v>85</v>
      </c>
    </row>
    <row r="87" spans="2:29">
      <c r="B87" s="381">
        <v>2020</v>
      </c>
      <c r="C87" s="381"/>
      <c r="D87" s="381"/>
      <c r="J87" t="str">
        <f t="shared" si="23"/>
        <v>Trd_2w_gsl50</v>
      </c>
      <c r="K87" t="str">
        <f t="shared" si="26"/>
        <v>\I:</v>
      </c>
      <c r="L87" t="str">
        <f t="shared" si="25"/>
        <v>\I:</v>
      </c>
      <c r="M87" s="390" t="str">
        <f t="shared" si="27"/>
        <v/>
      </c>
      <c r="N87" s="390" t="str">
        <f t="shared" si="28"/>
        <v/>
      </c>
      <c r="O87" s="390" t="str">
        <f t="shared" si="29"/>
        <v/>
      </c>
      <c r="P87" s="390" t="str">
        <f t="shared" si="30"/>
        <v/>
      </c>
      <c r="W87" s="386"/>
      <c r="Z87" t="str">
        <f t="shared" si="15"/>
        <v>\I:</v>
      </c>
      <c r="AA87" t="str">
        <f ca="1" t="shared" si="16"/>
        <v>Moped -- 202000%</v>
      </c>
      <c r="AB87" s="388" t="s">
        <v>84</v>
      </c>
      <c r="AC87" s="388" t="s">
        <v>85</v>
      </c>
    </row>
    <row r="88" spans="2:29">
      <c r="B88" s="46" t="s">
        <v>144</v>
      </c>
      <c r="C88" s="47" t="s">
        <v>26</v>
      </c>
      <c r="D88" s="74">
        <v>0.049</v>
      </c>
      <c r="G88" s="75">
        <f>D88/3.6/100*10^9/10^6</f>
        <v>0.136111111111111</v>
      </c>
      <c r="H88" s="75"/>
      <c r="I88" s="382">
        <f>1/G88</f>
        <v>7.3469387755102</v>
      </c>
      <c r="J88" t="str">
        <f t="shared" si="23"/>
        <v>Trd_2w_gsl50</v>
      </c>
      <c r="K88" t="str">
        <f t="shared" si="26"/>
        <v>\I:</v>
      </c>
      <c r="L88" t="str">
        <f t="shared" si="25"/>
        <v>\I:</v>
      </c>
      <c r="M88" s="390" t="str">
        <f t="shared" si="27"/>
        <v/>
      </c>
      <c r="N88" s="390" t="str">
        <f t="shared" si="28"/>
        <v/>
      </c>
      <c r="O88" s="390" t="str">
        <f t="shared" si="29"/>
        <v/>
      </c>
      <c r="P88" s="390" t="str">
        <f t="shared" si="30"/>
        <v/>
      </c>
      <c r="W88" s="386"/>
      <c r="Z88" t="str">
        <f t="shared" ref="Z88:Z151" si="31">K88</f>
        <v>\I:</v>
      </c>
      <c r="AA88" t="str">
        <f ca="1" t="shared" ref="AA88:AA151" si="32">OFFSET($W$1,MATCH(J88,$W$1:$W$11,0)-1,-1)&amp;" -- "&amp;TEXT(B88,"00%")</f>
        <v>Moped -- Energy consumption of Battery electric motorcycle (equivalent to 50-250 cc motorcycle)</v>
      </c>
      <c r="AB88" s="388" t="s">
        <v>84</v>
      </c>
      <c r="AC88" s="388" t="s">
        <v>85</v>
      </c>
    </row>
    <row r="89" spans="2:29">
      <c r="I89" s="393" t="s">
        <v>70</v>
      </c>
      <c r="J89" t="str">
        <f t="shared" si="23"/>
        <v>Trd_2w_gsl50</v>
      </c>
      <c r="K89" t="str">
        <f t="shared" si="26"/>
        <v>\I:</v>
      </c>
      <c r="L89" t="str">
        <f t="shared" si="25"/>
        <v>\I:</v>
      </c>
      <c r="M89" s="390" t="str">
        <f t="shared" si="27"/>
        <v/>
      </c>
      <c r="N89" s="390" t="str">
        <f t="shared" si="28"/>
        <v/>
      </c>
      <c r="O89" s="390" t="str">
        <f t="shared" si="29"/>
        <v/>
      </c>
      <c r="P89" s="390" t="str">
        <f t="shared" si="30"/>
        <v/>
      </c>
      <c r="W89" s="386"/>
      <c r="Z89" t="str">
        <f t="shared" si="31"/>
        <v>\I:</v>
      </c>
      <c r="AA89" t="str">
        <f ca="1" t="shared" si="32"/>
        <v>Moped -- 00%</v>
      </c>
      <c r="AB89" s="388" t="s">
        <v>84</v>
      </c>
      <c r="AC89" s="388" t="s">
        <v>85</v>
      </c>
    </row>
    <row r="90" ht="15" customHeight="1" spans="2:29">
      <c r="B90" s="400" t="s">
        <v>27</v>
      </c>
      <c r="C90" s="400" t="s">
        <v>134</v>
      </c>
      <c r="D90" s="400"/>
      <c r="E90" s="400"/>
      <c r="F90" s="400"/>
      <c r="J90" t="str">
        <f t="shared" si="23"/>
        <v>Trd_2w_elc150</v>
      </c>
      <c r="K90" t="str">
        <f t="shared" si="26"/>
        <v>\I:</v>
      </c>
      <c r="L90" t="str">
        <f t="shared" si="25"/>
        <v>\I:</v>
      </c>
      <c r="M90" s="390" t="str">
        <f t="shared" si="27"/>
        <v/>
      </c>
      <c r="N90" s="390" t="str">
        <f t="shared" si="28"/>
        <v/>
      </c>
      <c r="O90" s="390" t="str">
        <f t="shared" si="29"/>
        <v/>
      </c>
      <c r="P90" s="390" t="str">
        <f t="shared" si="30"/>
        <v/>
      </c>
      <c r="W90" s="386"/>
      <c r="Z90" t="str">
        <f t="shared" si="31"/>
        <v>\I:</v>
      </c>
      <c r="AA90" t="str">
        <f ca="1" t="shared" si="32"/>
        <v>Battery electric motorcycle (equivalent to 50-250 cc motorcycle) -- Electric range (km)</v>
      </c>
      <c r="AB90" s="388" t="s">
        <v>84</v>
      </c>
      <c r="AC90" s="388" t="s">
        <v>85</v>
      </c>
    </row>
    <row r="91" spans="2:29">
      <c r="B91" s="400"/>
      <c r="C91" s="400"/>
      <c r="D91" s="400"/>
      <c r="E91" s="400"/>
      <c r="F91" s="400"/>
      <c r="J91" t="str">
        <f t="shared" si="23"/>
        <v>Trd_2w_elc150</v>
      </c>
      <c r="K91" t="str">
        <f t="shared" si="26"/>
        <v>\I:</v>
      </c>
      <c r="L91" t="str">
        <f t="shared" si="25"/>
        <v>\I:</v>
      </c>
      <c r="M91" s="390" t="str">
        <f t="shared" si="27"/>
        <v/>
      </c>
      <c r="N91" s="390" t="str">
        <f t="shared" si="28"/>
        <v/>
      </c>
      <c r="O91" s="390" t="str">
        <f t="shared" si="29"/>
        <v/>
      </c>
      <c r="P91" s="390" t="str">
        <f t="shared" si="30"/>
        <v/>
      </c>
      <c r="W91" s="386"/>
      <c r="Z91" t="str">
        <f t="shared" si="31"/>
        <v>\I:</v>
      </c>
      <c r="AA91" t="str">
        <f ca="1" t="shared" si="32"/>
        <v>Battery electric motorcycle (equivalent to 50-250 cc motorcycle) -- 00%</v>
      </c>
      <c r="AB91" s="388" t="s">
        <v>84</v>
      </c>
      <c r="AC91" s="388" t="s">
        <v>85</v>
      </c>
    </row>
    <row r="92" spans="2:29">
      <c r="B92" s="400"/>
      <c r="C92" s="400"/>
      <c r="D92" s="400"/>
      <c r="E92" s="400"/>
      <c r="F92" s="400"/>
      <c r="J92" t="str">
        <f t="shared" si="23"/>
        <v>Trd_2w_elc150</v>
      </c>
      <c r="K92" t="str">
        <f t="shared" si="26"/>
        <v>\I:</v>
      </c>
      <c r="L92" t="str">
        <f t="shared" si="25"/>
        <v>\I:</v>
      </c>
      <c r="M92" s="390" t="str">
        <f t="shared" si="27"/>
        <v/>
      </c>
      <c r="N92" s="390" t="str">
        <f t="shared" si="28"/>
        <v/>
      </c>
      <c r="O92" s="390" t="str">
        <f t="shared" si="29"/>
        <v/>
      </c>
      <c r="P92" s="390" t="str">
        <f t="shared" si="30"/>
        <v/>
      </c>
      <c r="W92" s="386"/>
      <c r="Z92" t="str">
        <f t="shared" si="31"/>
        <v>\I:</v>
      </c>
      <c r="AA92" t="str">
        <f ca="1" t="shared" si="32"/>
        <v>Battery electric motorcycle (equivalent to 50-250 cc motorcycle) -- 00%</v>
      </c>
      <c r="AB92" s="388" t="s">
        <v>84</v>
      </c>
      <c r="AC92" s="388" t="s">
        <v>85</v>
      </c>
    </row>
    <row r="93" spans="2:29">
      <c r="B93" s="50"/>
      <c r="C93" s="51">
        <v>2020</v>
      </c>
      <c r="D93" s="51">
        <v>2030</v>
      </c>
      <c r="E93" s="51">
        <v>2040</v>
      </c>
      <c r="F93" s="51">
        <v>2050</v>
      </c>
      <c r="J93" t="str">
        <f t="shared" si="23"/>
        <v>Trd_2w_elc150</v>
      </c>
      <c r="K93" t="str">
        <f t="shared" si="26"/>
        <v>\I:</v>
      </c>
      <c r="L93" t="str">
        <f t="shared" si="25"/>
        <v>\I:</v>
      </c>
      <c r="M93" s="390" t="str">
        <f t="shared" si="27"/>
        <v/>
      </c>
      <c r="N93" s="390" t="str">
        <f t="shared" si="28"/>
        <v/>
      </c>
      <c r="O93" s="390" t="str">
        <f t="shared" si="29"/>
        <v/>
      </c>
      <c r="P93" s="390" t="str">
        <f t="shared" si="30"/>
        <v/>
      </c>
      <c r="W93" s="386"/>
      <c r="Z93" t="str">
        <f t="shared" si="31"/>
        <v>\I:</v>
      </c>
      <c r="AA93" t="str">
        <f ca="1" t="shared" si="32"/>
        <v>Battery electric motorcycle (equivalent to 50-250 cc motorcycle) -- 00%</v>
      </c>
      <c r="AB93" s="388" t="s">
        <v>84</v>
      </c>
      <c r="AC93" s="388"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5">
        <f>IF($K94="\I:","",C94*80%)</f>
        <v>4014.7718090792</v>
      </c>
      <c r="N94" s="395">
        <f>IF($K94="\I:","",D94*80%)</f>
        <v>3145.61726915557</v>
      </c>
      <c r="O94" s="395">
        <f>IF($K94="\I:","",E94*80%)</f>
        <v>2702.07620778208</v>
      </c>
      <c r="P94" s="395">
        <f>IF($K94="\I:","",F94*80%)</f>
        <v>2572.94622653951</v>
      </c>
      <c r="Q94">
        <f t="shared" ref="Q94:Q101" si="33">P94</f>
        <v>2572.94622653951</v>
      </c>
      <c r="R94">
        <v>3</v>
      </c>
      <c r="W94" s="396">
        <v>0.05</v>
      </c>
      <c r="Z94" t="str">
        <f t="shared" si="31"/>
        <v>Trd_2w_elc150_120</v>
      </c>
      <c r="AA94" t="str">
        <f ca="1" t="shared" si="32"/>
        <v>Battery electric motorcycle (equivalent to 50-250 cc motorcycle) -- 12000%</v>
      </c>
      <c r="AB94" s="388" t="s">
        <v>84</v>
      </c>
      <c r="AC94" s="388"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5">
        <f t="shared" ref="M95:M101" si="36">IF($K95="\I:","",C95*80%)</f>
        <v>4204.14304157066</v>
      </c>
      <c r="N95" s="395">
        <f t="shared" ref="N95:N101" si="37">IF($K95="\I:","",D95*80%)</f>
        <v>3252.21187879717</v>
      </c>
      <c r="O95" s="395">
        <f t="shared" ref="O95:O101" si="38">IF($K95="\I:","",E95*80%)</f>
        <v>2766.42881157858</v>
      </c>
      <c r="P95" s="395">
        <f t="shared" ref="P95:P101" si="39">IF($K95="\I:","",F95*80%)</f>
        <v>2625.00073688434</v>
      </c>
      <c r="Q95">
        <f t="shared" si="33"/>
        <v>2625.00073688434</v>
      </c>
      <c r="R95">
        <v>3</v>
      </c>
      <c r="W95" s="396">
        <v>0.075</v>
      </c>
      <c r="Z95" t="str">
        <f t="shared" si="31"/>
        <v>Trd_2w_elc150_131</v>
      </c>
      <c r="AA95" t="str">
        <f ca="1" t="shared" si="32"/>
        <v>Battery electric motorcycle (equivalent to 50-250 cc motorcycle) -- 13143%</v>
      </c>
      <c r="AB95" s="388" t="s">
        <v>84</v>
      </c>
      <c r="AC95" s="388"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5">
        <f t="shared" si="36"/>
        <v>4294.88342380616</v>
      </c>
      <c r="N96" s="395">
        <f t="shared" si="37"/>
        <v>3303.28846258377</v>
      </c>
      <c r="O96" s="395">
        <f t="shared" si="38"/>
        <v>2797.26443423107</v>
      </c>
      <c r="P96" s="395">
        <f t="shared" si="39"/>
        <v>2649.94352309123</v>
      </c>
      <c r="Q96">
        <f t="shared" si="33"/>
        <v>2649.94352309123</v>
      </c>
      <c r="R96">
        <v>3</v>
      </c>
      <c r="W96" s="396">
        <v>0.1</v>
      </c>
      <c r="Z96" t="str">
        <f t="shared" si="31"/>
        <v>Trd_2w_elc150_143</v>
      </c>
      <c r="AA96" t="str">
        <f ca="1" t="shared" si="32"/>
        <v>Battery electric motorcycle (equivalent to 50-250 cc motorcycle) -- 14286%</v>
      </c>
      <c r="AB96" s="388" t="s">
        <v>84</v>
      </c>
      <c r="AC96" s="388"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5">
        <f t="shared" si="36"/>
        <v>4327.23434269012</v>
      </c>
      <c r="N97" s="395">
        <f t="shared" si="37"/>
        <v>3321.4983750642</v>
      </c>
      <c r="O97" s="395">
        <f t="shared" si="38"/>
        <v>2808.2580040463</v>
      </c>
      <c r="P97" s="395">
        <f t="shared" si="39"/>
        <v>2658.83616860847</v>
      </c>
      <c r="Q97">
        <f t="shared" si="33"/>
        <v>2658.83616860847</v>
      </c>
      <c r="R97">
        <v>3</v>
      </c>
      <c r="W97" s="396">
        <v>0.125</v>
      </c>
      <c r="Z97" t="str">
        <f t="shared" si="31"/>
        <v>Trd_2w_elc150_154</v>
      </c>
      <c r="AA97" t="str">
        <f ca="1" t="shared" si="32"/>
        <v>Battery electric motorcycle (equivalent to 50-250 cc motorcycle) -- 15429%</v>
      </c>
      <c r="AB97" s="388" t="s">
        <v>84</v>
      </c>
      <c r="AC97" s="388"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5">
        <f t="shared" si="36"/>
        <v>4429.02138015428</v>
      </c>
      <c r="N98" s="395">
        <f t="shared" si="37"/>
        <v>3378.79297774656</v>
      </c>
      <c r="O98" s="395">
        <f t="shared" si="38"/>
        <v>2842.84752858693</v>
      </c>
      <c r="P98" s="395">
        <f t="shared" si="39"/>
        <v>2686.81546791882</v>
      </c>
      <c r="Q98">
        <f t="shared" si="33"/>
        <v>2686.81546791882</v>
      </c>
      <c r="R98">
        <v>3</v>
      </c>
      <c r="W98" s="396">
        <v>0.15</v>
      </c>
      <c r="Z98" t="str">
        <f t="shared" si="31"/>
        <v>Trd_2w_elc150_166</v>
      </c>
      <c r="AA98" t="str">
        <f ca="1" t="shared" si="32"/>
        <v>Battery electric motorcycle (equivalent to 50-250 cc motorcycle) -- 16571%</v>
      </c>
      <c r="AB98" s="388" t="s">
        <v>84</v>
      </c>
      <c r="AC98" s="388"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5">
        <f t="shared" si="36"/>
        <v>4521.33985599387</v>
      </c>
      <c r="N99" s="395">
        <f t="shared" si="37"/>
        <v>3430.75784994684</v>
      </c>
      <c r="O99" s="395">
        <f t="shared" si="38"/>
        <v>2874.21942293772</v>
      </c>
      <c r="P99" s="395">
        <f t="shared" si="39"/>
        <v>2712.19204171192</v>
      </c>
      <c r="Q99">
        <f t="shared" si="33"/>
        <v>2712.19204171192</v>
      </c>
      <c r="R99">
        <v>3</v>
      </c>
      <c r="W99" s="396">
        <v>0.175</v>
      </c>
      <c r="Z99" t="str">
        <f t="shared" si="31"/>
        <v>Trd_2w_elc150_177</v>
      </c>
      <c r="AA99" t="str">
        <f ca="1" t="shared" si="32"/>
        <v>Battery electric motorcycle (equivalent to 50-250 cc motorcycle) -- 17714%</v>
      </c>
      <c r="AB99" s="388" t="s">
        <v>84</v>
      </c>
      <c r="AC99" s="388"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5">
        <f t="shared" si="36"/>
        <v>4656.26685914404</v>
      </c>
      <c r="N100" s="395">
        <f t="shared" si="37"/>
        <v>3506.70650931647</v>
      </c>
      <c r="O100" s="395">
        <f t="shared" si="38"/>
        <v>2920.07065314273</v>
      </c>
      <c r="P100" s="395">
        <f t="shared" si="39"/>
        <v>2749.28088033262</v>
      </c>
      <c r="Q100">
        <f t="shared" si="33"/>
        <v>2749.28088033262</v>
      </c>
      <c r="R100">
        <v>3</v>
      </c>
      <c r="W100" s="396">
        <v>0.2</v>
      </c>
      <c r="Z100" t="str">
        <f t="shared" si="31"/>
        <v>Trd_2w_elc150_189</v>
      </c>
      <c r="AA100" t="str">
        <f ca="1" t="shared" si="32"/>
        <v>Battery electric motorcycle (equivalent to 50-250 cc motorcycle) -- 18857%</v>
      </c>
      <c r="AB100" s="388" t="s">
        <v>84</v>
      </c>
      <c r="AC100" s="388"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5">
        <f t="shared" si="36"/>
        <v>4788.03767508602</v>
      </c>
      <c r="N101" s="395">
        <f t="shared" si="37"/>
        <v>3580.87859185875</v>
      </c>
      <c r="O101" s="395">
        <f t="shared" si="38"/>
        <v>2964.84933995113</v>
      </c>
      <c r="P101" s="395">
        <f t="shared" si="39"/>
        <v>2785.50214378089</v>
      </c>
      <c r="Q101">
        <f t="shared" si="33"/>
        <v>2785.50214378089</v>
      </c>
      <c r="R101">
        <v>3</v>
      </c>
      <c r="W101" s="386"/>
      <c r="Z101" t="str">
        <f t="shared" si="31"/>
        <v>Trd_2w_elc150_200</v>
      </c>
      <c r="AA101" t="str">
        <f ca="1" t="shared" si="32"/>
        <v>Battery electric motorcycle (equivalent to 50-250 cc motorcycle) -- 20000%</v>
      </c>
      <c r="AB101" s="388" t="s">
        <v>84</v>
      </c>
      <c r="AC101" s="388" t="s">
        <v>85</v>
      </c>
    </row>
    <row r="102" spans="2:29">
      <c r="J102" t="str">
        <f t="shared" si="23"/>
        <v>Trd_2w_elc150</v>
      </c>
      <c r="K102" t="str">
        <f t="shared" si="35"/>
        <v>\I:</v>
      </c>
      <c r="L102" t="str">
        <f t="shared" si="25"/>
        <v>\I:</v>
      </c>
      <c r="M102" s="390" t="str">
        <f t="shared" si="27"/>
        <v/>
      </c>
      <c r="N102" s="390" t="str">
        <f t="shared" si="28"/>
        <v/>
      </c>
      <c r="O102" s="390" t="str">
        <f t="shared" si="29"/>
        <v/>
      </c>
      <c r="P102" s="390" t="str">
        <f t="shared" si="30"/>
        <v/>
      </c>
      <c r="W102" s="386"/>
      <c r="Z102" t="str">
        <f t="shared" si="31"/>
        <v>\I:</v>
      </c>
      <c r="AA102" t="str">
        <f ca="1" t="shared" si="32"/>
        <v>Battery electric motorcycle (equivalent to 50-250 cc motorcycle) -- 00%</v>
      </c>
      <c r="AB102" s="388" t="s">
        <v>84</v>
      </c>
      <c r="AC102" s="388" t="s">
        <v>85</v>
      </c>
    </row>
    <row r="103" spans="2:29">
      <c r="J103" t="str">
        <f t="shared" si="23"/>
        <v>Trd_2w_elc150</v>
      </c>
      <c r="K103" t="str">
        <f t="shared" si="35"/>
        <v>\I:</v>
      </c>
      <c r="L103" t="str">
        <f t="shared" si="25"/>
        <v>\I:</v>
      </c>
      <c r="M103" s="390" t="str">
        <f t="shared" si="27"/>
        <v/>
      </c>
      <c r="N103" s="390" t="str">
        <f t="shared" si="28"/>
        <v/>
      </c>
      <c r="O103" s="390" t="str">
        <f t="shared" si="29"/>
        <v/>
      </c>
      <c r="P103" s="390" t="str">
        <f t="shared" si="30"/>
        <v/>
      </c>
      <c r="W103" s="386"/>
      <c r="Z103" t="str">
        <f t="shared" si="31"/>
        <v>\I:</v>
      </c>
      <c r="AA103" t="str">
        <f ca="1" t="shared" si="32"/>
        <v>Battery electric motorcycle (equivalent to 50-250 cc motorcycle) -- 00%</v>
      </c>
      <c r="AB103" s="388" t="s">
        <v>84</v>
      </c>
      <c r="AC103" s="388" t="s">
        <v>85</v>
      </c>
    </row>
    <row r="104" spans="2:29">
      <c r="J104" t="str">
        <f t="shared" si="23"/>
        <v>Trd_2w_elc150</v>
      </c>
      <c r="K104" t="str">
        <f t="shared" si="35"/>
        <v>\I:</v>
      </c>
      <c r="L104" t="str">
        <f t="shared" si="25"/>
        <v>\I:</v>
      </c>
      <c r="M104" s="390" t="str">
        <f t="shared" si="27"/>
        <v/>
      </c>
      <c r="N104" s="390" t="str">
        <f t="shared" si="28"/>
        <v/>
      </c>
      <c r="O104" s="390" t="str">
        <f t="shared" si="29"/>
        <v/>
      </c>
      <c r="P104" s="390" t="str">
        <f t="shared" si="30"/>
        <v/>
      </c>
      <c r="W104" s="386"/>
      <c r="Z104" t="str">
        <f t="shared" si="31"/>
        <v>\I:</v>
      </c>
      <c r="AA104" t="str">
        <f ca="1" t="shared" si="32"/>
        <v>Battery electric motorcycle (equivalent to 50-250 cc motorcycle) -- 00%</v>
      </c>
      <c r="AB104" s="388" t="s">
        <v>84</v>
      </c>
      <c r="AC104" s="388" t="s">
        <v>85</v>
      </c>
    </row>
    <row r="105" spans="2:29">
      <c r="B105" s="381">
        <v>2020</v>
      </c>
      <c r="C105" s="381"/>
      <c r="D105" s="381"/>
      <c r="J105" t="str">
        <f t="shared" si="23"/>
        <v>Trd_2w_elc150</v>
      </c>
      <c r="K105" t="str">
        <f t="shared" si="35"/>
        <v>\I:</v>
      </c>
      <c r="L105" t="str">
        <f t="shared" si="25"/>
        <v>\I:</v>
      </c>
      <c r="M105" s="390" t="str">
        <f t="shared" si="27"/>
        <v/>
      </c>
      <c r="N105" s="390" t="str">
        <f t="shared" si="28"/>
        <v/>
      </c>
      <c r="O105" s="390" t="str">
        <f t="shared" si="29"/>
        <v/>
      </c>
      <c r="P105" s="390" t="str">
        <f t="shared" si="30"/>
        <v/>
      </c>
      <c r="W105" s="386"/>
      <c r="Z105" t="str">
        <f t="shared" si="31"/>
        <v>\I:</v>
      </c>
      <c r="AA105" t="str">
        <f ca="1" t="shared" si="32"/>
        <v>Battery electric motorcycle (equivalent to 50-250 cc motorcycle) -- 202000%</v>
      </c>
      <c r="AB105" s="388" t="s">
        <v>84</v>
      </c>
      <c r="AC105" s="388" t="s">
        <v>85</v>
      </c>
    </row>
    <row r="106" spans="2:29">
      <c r="B106" s="46" t="s">
        <v>145</v>
      </c>
      <c r="C106" s="47" t="s">
        <v>26</v>
      </c>
      <c r="D106" s="74">
        <v>0.0574</v>
      </c>
      <c r="G106" s="75">
        <f>D106/3.6/100*10^9/10^6</f>
        <v>0.159444444444444</v>
      </c>
      <c r="H106" s="75"/>
      <c r="I106" s="382">
        <f>1/G106</f>
        <v>6.27177700348432</v>
      </c>
      <c r="J106" t="str">
        <f t="shared" si="23"/>
        <v>Trd_2w_elc150</v>
      </c>
      <c r="K106" t="str">
        <f t="shared" si="35"/>
        <v>\I:</v>
      </c>
      <c r="L106" t="str">
        <f t="shared" si="25"/>
        <v>\I:</v>
      </c>
      <c r="M106" s="390" t="str">
        <f t="shared" si="27"/>
        <v/>
      </c>
      <c r="N106" s="390" t="str">
        <f t="shared" si="28"/>
        <v/>
      </c>
      <c r="O106" s="390" t="str">
        <f t="shared" si="29"/>
        <v/>
      </c>
      <c r="P106" s="390" t="str">
        <f t="shared" si="30"/>
        <v/>
      </c>
      <c r="W106" s="386"/>
      <c r="Z106" t="str">
        <f t="shared" si="31"/>
        <v>\I:</v>
      </c>
      <c r="AA106" t="str">
        <f ca="1" t="shared" si="32"/>
        <v>Battery electric motorcycle (equivalent to 50-250 cc motorcycle) -- Energy consumption of Battery electric motorcycle (equivalent to 250-750 cc motorcycle) </v>
      </c>
      <c r="AB106" s="388" t="s">
        <v>84</v>
      </c>
      <c r="AC106" s="388" t="s">
        <v>85</v>
      </c>
    </row>
    <row r="107" spans="2:29">
      <c r="I107" s="393" t="s">
        <v>70</v>
      </c>
      <c r="J107" t="str">
        <f t="shared" si="23"/>
        <v>Trd_2w_elc150</v>
      </c>
      <c r="K107" t="str">
        <f t="shared" si="35"/>
        <v>\I:</v>
      </c>
      <c r="L107" t="str">
        <f t="shared" si="25"/>
        <v>\I:</v>
      </c>
      <c r="M107" s="390" t="str">
        <f t="shared" si="27"/>
        <v/>
      </c>
      <c r="N107" s="390" t="str">
        <f t="shared" si="28"/>
        <v/>
      </c>
      <c r="O107" s="390" t="str">
        <f t="shared" si="29"/>
        <v/>
      </c>
      <c r="P107" s="390" t="str">
        <f t="shared" si="30"/>
        <v/>
      </c>
      <c r="W107" s="386"/>
      <c r="Z107" t="str">
        <f t="shared" si="31"/>
        <v>\I:</v>
      </c>
      <c r="AA107" t="str">
        <f ca="1" t="shared" si="32"/>
        <v>Battery electric motorcycle (equivalent to 50-250 cc motorcycle) -- 00%</v>
      </c>
      <c r="AB107" s="388" t="s">
        <v>84</v>
      </c>
      <c r="AC107" s="388" t="s">
        <v>85</v>
      </c>
    </row>
    <row r="108" ht="15" customHeight="1" spans="2:29">
      <c r="B108" s="400" t="s">
        <v>27</v>
      </c>
      <c r="C108" s="400" t="s">
        <v>136</v>
      </c>
      <c r="D108" s="400"/>
      <c r="E108" s="400"/>
      <c r="F108" s="400"/>
      <c r="J108" t="str">
        <f t="shared" si="23"/>
        <v>Trd_2w_elc500</v>
      </c>
      <c r="K108" t="str">
        <f t="shared" si="35"/>
        <v>\I:</v>
      </c>
      <c r="L108" t="str">
        <f t="shared" si="25"/>
        <v>\I:</v>
      </c>
      <c r="M108" s="390" t="str">
        <f t="shared" si="27"/>
        <v/>
      </c>
      <c r="N108" s="390" t="str">
        <f t="shared" si="28"/>
        <v/>
      </c>
      <c r="O108" s="390" t="str">
        <f t="shared" si="29"/>
        <v/>
      </c>
      <c r="P108" s="390" t="str">
        <f t="shared" si="30"/>
        <v/>
      </c>
      <c r="W108" s="386"/>
      <c r="Z108" t="str">
        <f t="shared" si="31"/>
        <v>\I:</v>
      </c>
      <c r="AA108" t="str">
        <f ca="1" t="shared" si="32"/>
        <v>Battery electric motorcycle (equivalent to 250-750 cc motorcycle) -- Electric range (km)</v>
      </c>
      <c r="AB108" s="388" t="s">
        <v>84</v>
      </c>
      <c r="AC108" s="388" t="s">
        <v>85</v>
      </c>
    </row>
    <row r="109" spans="2:29">
      <c r="B109" s="400"/>
      <c r="C109" s="400"/>
      <c r="D109" s="400"/>
      <c r="E109" s="400"/>
      <c r="F109" s="400"/>
      <c r="J109" t="str">
        <f t="shared" si="23"/>
        <v>Trd_2w_elc500</v>
      </c>
      <c r="K109" t="str">
        <f t="shared" si="35"/>
        <v>\I:</v>
      </c>
      <c r="L109" t="str">
        <f t="shared" si="25"/>
        <v>\I:</v>
      </c>
      <c r="M109" s="390" t="str">
        <f t="shared" si="27"/>
        <v/>
      </c>
      <c r="N109" s="390" t="str">
        <f t="shared" si="28"/>
        <v/>
      </c>
      <c r="O109" s="390" t="str">
        <f t="shared" si="29"/>
        <v/>
      </c>
      <c r="P109" s="390" t="str">
        <f t="shared" si="30"/>
        <v/>
      </c>
      <c r="W109" s="386"/>
      <c r="Z109" t="str">
        <f t="shared" si="31"/>
        <v>\I:</v>
      </c>
      <c r="AA109" t="str">
        <f ca="1" t="shared" si="32"/>
        <v>Battery electric motorcycle (equivalent to 250-750 cc motorcycle) -- 00%</v>
      </c>
      <c r="AB109" s="388" t="s">
        <v>84</v>
      </c>
      <c r="AC109" s="388" t="s">
        <v>85</v>
      </c>
    </row>
    <row r="110" spans="2:29">
      <c r="B110" s="400"/>
      <c r="C110" s="400"/>
      <c r="D110" s="400"/>
      <c r="E110" s="400"/>
      <c r="F110" s="400"/>
      <c r="J110" t="str">
        <f t="shared" si="23"/>
        <v>Trd_2w_elc500</v>
      </c>
      <c r="K110" t="str">
        <f t="shared" si="35"/>
        <v>\I:</v>
      </c>
      <c r="L110" t="str">
        <f t="shared" si="25"/>
        <v>\I:</v>
      </c>
      <c r="M110" s="390" t="str">
        <f t="shared" si="27"/>
        <v/>
      </c>
      <c r="N110" s="390" t="str">
        <f t="shared" si="28"/>
        <v/>
      </c>
      <c r="O110" s="390" t="str">
        <f t="shared" si="29"/>
        <v/>
      </c>
      <c r="P110" s="390" t="str">
        <f t="shared" si="30"/>
        <v/>
      </c>
      <c r="W110" s="386"/>
      <c r="Z110" t="str">
        <f t="shared" si="31"/>
        <v>\I:</v>
      </c>
      <c r="AA110" t="str">
        <f ca="1" t="shared" si="32"/>
        <v>Battery electric motorcycle (equivalent to 250-750 cc motorcycle) -- 00%</v>
      </c>
      <c r="AB110" s="388" t="s">
        <v>84</v>
      </c>
      <c r="AC110" s="388" t="s">
        <v>85</v>
      </c>
    </row>
    <row r="111" spans="2:29">
      <c r="B111" s="50"/>
      <c r="C111" s="51">
        <v>2020</v>
      </c>
      <c r="D111" s="51">
        <v>2030</v>
      </c>
      <c r="E111" s="51">
        <v>2040</v>
      </c>
      <c r="F111" s="51">
        <v>2050</v>
      </c>
      <c r="J111" t="str">
        <f t="shared" si="23"/>
        <v>Trd_2w_elc500</v>
      </c>
      <c r="K111" t="str">
        <f t="shared" si="35"/>
        <v>\I:</v>
      </c>
      <c r="L111" t="str">
        <f t="shared" si="25"/>
        <v>\I:</v>
      </c>
      <c r="M111" s="390" t="str">
        <f t="shared" si="27"/>
        <v/>
      </c>
      <c r="N111" s="390" t="str">
        <f t="shared" si="28"/>
        <v/>
      </c>
      <c r="O111" s="390" t="str">
        <f t="shared" si="29"/>
        <v/>
      </c>
      <c r="P111" s="390" t="str">
        <f t="shared" si="30"/>
        <v/>
      </c>
      <c r="W111" s="386"/>
      <c r="Z111" t="str">
        <f t="shared" si="31"/>
        <v>\I:</v>
      </c>
      <c r="AA111" t="str">
        <f ca="1" t="shared" si="32"/>
        <v>Battery electric motorcycle (equivalent to 250-750 cc motorcycle) -- 00%</v>
      </c>
      <c r="AB111" s="388" t="s">
        <v>84</v>
      </c>
      <c r="AC111" s="388"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5">
        <f>IF($K112="\I:","",C112*80%)</f>
        <v>7204.06712718381</v>
      </c>
      <c r="N112" s="395">
        <f>IF($K112="\I:","",D112*80%)</f>
        <v>6155.37009229882</v>
      </c>
      <c r="O112" s="395">
        <f>IF($K112="\I:","",E112*80%)</f>
        <v>5620.20612024731</v>
      </c>
      <c r="P112" s="395">
        <f>IF($K112="\I:","",F112*80%)</f>
        <v>5464.40157430806</v>
      </c>
      <c r="Q112">
        <f t="shared" ref="Q112:Q119" si="40">P112</f>
        <v>5464.40157430806</v>
      </c>
      <c r="R112">
        <v>3</v>
      </c>
      <c r="W112" s="396">
        <v>0.05</v>
      </c>
      <c r="Z112" t="str">
        <f t="shared" si="31"/>
        <v>Trd_2w_elc500_120</v>
      </c>
      <c r="AA112" t="str">
        <f ca="1" t="shared" si="32"/>
        <v>Battery electric motorcycle (equivalent to 250-750 cc motorcycle) -- 12000%</v>
      </c>
      <c r="AB112" s="388" t="s">
        <v>84</v>
      </c>
      <c r="AC112" s="388"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5">
        <f>IF($K113="\I:","",C113*80%)</f>
        <v>7423.40152631826</v>
      </c>
      <c r="N113" s="395">
        <f>IF($K113="\I:","",D113*80%)</f>
        <v>6278.83057966594</v>
      </c>
      <c r="O113" s="395">
        <f>IF($K113="\I:","",E113*80%)</f>
        <v>5694.74088194655</v>
      </c>
      <c r="P113" s="395">
        <f>IF($K113="\I:","",F113*80%)</f>
        <v>5524.69238299378</v>
      </c>
      <c r="Q113">
        <f t="shared" si="40"/>
        <v>5524.69238299378</v>
      </c>
      <c r="R113">
        <v>3</v>
      </c>
      <c r="W113" s="396">
        <v>0.075</v>
      </c>
      <c r="Z113" t="str">
        <f t="shared" si="31"/>
        <v>Trd_2w_elc500_131</v>
      </c>
      <c r="AA113" t="str">
        <f ca="1" t="shared" si="32"/>
        <v>Battery electric motorcycle (equivalent to 250-750 cc motorcycle) -- 13143%</v>
      </c>
      <c r="AB113" s="388" t="s">
        <v>84</v>
      </c>
      <c r="AC113" s="388"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5">
        <f t="shared" ref="M114:M119" si="42">IF($K114="\I:","",C114*80%)</f>
        <v>7522.96779960955</v>
      </c>
      <c r="N114" s="395">
        <f t="shared" ref="N114:N119" si="43">IF($K114="\I:","",D114*80%)</f>
        <v>6334.87514301023</v>
      </c>
      <c r="O114" s="395">
        <f t="shared" ref="O114:O119" si="44">IF($K114="\I:","",E114*80%)</f>
        <v>5728.57574087581</v>
      </c>
      <c r="P114" s="395">
        <f t="shared" ref="P114:P119" si="45">IF($K114="\I:","",F114*80%)</f>
        <v>5552.06123693663</v>
      </c>
      <c r="Q114">
        <f t="shared" si="40"/>
        <v>5552.06123693663</v>
      </c>
      <c r="R114">
        <v>3</v>
      </c>
      <c r="W114" s="396">
        <v>0.1</v>
      </c>
      <c r="Z114" t="str">
        <f t="shared" si="31"/>
        <v>Trd_2w_elc500_143</v>
      </c>
      <c r="AA114" t="str">
        <f ca="1" t="shared" si="32"/>
        <v>Battery electric motorcycle (equivalent to 250-750 cc motorcycle) -- 14286%</v>
      </c>
      <c r="AB114" s="388" t="s">
        <v>84</v>
      </c>
      <c r="AC114" s="388"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5">
        <f t="shared" si="42"/>
        <v>7552.05647695393</v>
      </c>
      <c r="N115" s="395">
        <f t="shared" si="43"/>
        <v>6351.24878205625</v>
      </c>
      <c r="O115" s="395">
        <f t="shared" si="44"/>
        <v>5738.46072764745</v>
      </c>
      <c r="P115" s="395">
        <f t="shared" si="45"/>
        <v>5560.0571549851</v>
      </c>
      <c r="Q115">
        <f t="shared" si="40"/>
        <v>5560.0571549851</v>
      </c>
      <c r="R115">
        <v>3</v>
      </c>
      <c r="W115" s="396">
        <v>0.125</v>
      </c>
      <c r="Z115" t="str">
        <f t="shared" si="31"/>
        <v>Trd_2w_elc500_154</v>
      </c>
      <c r="AA115" t="str">
        <f ca="1" t="shared" si="32"/>
        <v>Battery electric motorcycle (equivalent to 250-750 cc motorcycle) -- 15429%</v>
      </c>
      <c r="AB115" s="388" t="s">
        <v>84</v>
      </c>
      <c r="AC115" s="388"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5">
        <f t="shared" si="42"/>
        <v>7663.48511883725</v>
      </c>
      <c r="N116" s="395">
        <f t="shared" si="43"/>
        <v>6413.9705187645</v>
      </c>
      <c r="O116" s="395">
        <f t="shared" si="44"/>
        <v>5776.32668621126</v>
      </c>
      <c r="P116" s="395">
        <f t="shared" si="45"/>
        <v>5590.68674594944</v>
      </c>
      <c r="Q116">
        <f t="shared" si="40"/>
        <v>5590.68674594944</v>
      </c>
      <c r="R116">
        <v>3</v>
      </c>
      <c r="W116" s="396">
        <v>0.15</v>
      </c>
      <c r="Z116" t="str">
        <f t="shared" si="31"/>
        <v>Trd_2w_elc500_166</v>
      </c>
      <c r="AA116" t="str">
        <f ca="1" t="shared" si="32"/>
        <v>Battery electric motorcycle (equivalent to 250-750 cc motorcycle) -- 16571%</v>
      </c>
      <c r="AB116" s="388" t="s">
        <v>84</v>
      </c>
      <c r="AC116" s="388"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5">
        <f t="shared" si="42"/>
        <v>7762.83245579547</v>
      </c>
      <c r="N117" s="395">
        <f t="shared" si="43"/>
        <v>6469.89184568764</v>
      </c>
      <c r="O117" s="395">
        <f t="shared" si="44"/>
        <v>5810.08714565062</v>
      </c>
      <c r="P117" s="395">
        <f t="shared" si="45"/>
        <v>5617.99541850431</v>
      </c>
      <c r="Q117">
        <f t="shared" si="40"/>
        <v>5617.99541850431</v>
      </c>
      <c r="R117">
        <v>3</v>
      </c>
      <c r="W117" s="396">
        <v>0.175</v>
      </c>
      <c r="Z117" t="str">
        <f t="shared" si="31"/>
        <v>Trd_2w_elc500_177</v>
      </c>
      <c r="AA117" t="str">
        <f ca="1" t="shared" si="32"/>
        <v>Battery electric motorcycle (equivalent to 250-750 cc motorcycle) -- 17714%</v>
      </c>
      <c r="AB117" s="388" t="s">
        <v>84</v>
      </c>
      <c r="AC117" s="388"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5">
        <f t="shared" si="42"/>
        <v>7911.73901724052</v>
      </c>
      <c r="N118" s="395">
        <f t="shared" si="43"/>
        <v>6553.70941703402</v>
      </c>
      <c r="O118" s="395">
        <f t="shared" si="44"/>
        <v>5860.68894416722</v>
      </c>
      <c r="P118" s="395">
        <f t="shared" si="45"/>
        <v>5658.92696888382</v>
      </c>
      <c r="Q118">
        <f t="shared" si="40"/>
        <v>5658.92696888382</v>
      </c>
      <c r="R118">
        <v>3</v>
      </c>
      <c r="W118" s="396">
        <v>0.2</v>
      </c>
      <c r="Z118" t="str">
        <f t="shared" si="31"/>
        <v>Trd_2w_elc500_189</v>
      </c>
      <c r="AA118" t="str">
        <f ca="1" t="shared" si="32"/>
        <v>Battery electric motorcycle (equivalent to 250-750 cc motorcycle) -- 18857%</v>
      </c>
      <c r="AB118" s="388" t="s">
        <v>84</v>
      </c>
      <c r="AC118" s="388"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5">
        <f t="shared" si="42"/>
        <v>8055.79580718624</v>
      </c>
      <c r="N119" s="395">
        <f t="shared" si="43"/>
        <v>6634.79711493016</v>
      </c>
      <c r="O119" s="395">
        <f t="shared" si="44"/>
        <v>5909.64268125604</v>
      </c>
      <c r="P119" s="395">
        <f t="shared" si="45"/>
        <v>5698.52541033565</v>
      </c>
      <c r="Q119">
        <f t="shared" si="40"/>
        <v>5698.52541033565</v>
      </c>
      <c r="R119">
        <v>3</v>
      </c>
      <c r="W119" s="386"/>
      <c r="Z119" t="str">
        <f t="shared" si="31"/>
        <v>Trd_2w_elc500_200</v>
      </c>
      <c r="AA119" t="str">
        <f ca="1" t="shared" si="32"/>
        <v>Battery electric motorcycle (equivalent to 250-750 cc motorcycle) -- 20000%</v>
      </c>
      <c r="AB119" s="388" t="s">
        <v>84</v>
      </c>
      <c r="AC119" s="388" t="s">
        <v>85</v>
      </c>
    </row>
    <row r="120" spans="2:29">
      <c r="J120" t="str">
        <f t="shared" si="23"/>
        <v>Trd_2w_elc500</v>
      </c>
      <c r="K120" t="str">
        <f t="shared" si="35"/>
        <v>\I:</v>
      </c>
      <c r="L120" t="str">
        <f t="shared" si="25"/>
        <v>\I:</v>
      </c>
      <c r="M120" s="390" t="str">
        <f t="shared" si="27"/>
        <v/>
      </c>
      <c r="N120" s="390" t="str">
        <f t="shared" si="28"/>
        <v/>
      </c>
      <c r="O120" s="390" t="str">
        <f t="shared" si="29"/>
        <v/>
      </c>
      <c r="P120" s="390" t="str">
        <f t="shared" si="30"/>
        <v/>
      </c>
      <c r="W120" s="386"/>
      <c r="Z120" t="str">
        <f t="shared" si="31"/>
        <v>\I:</v>
      </c>
      <c r="AA120" t="str">
        <f ca="1" t="shared" si="32"/>
        <v>Battery electric motorcycle (equivalent to 250-750 cc motorcycle) -- 00%</v>
      </c>
      <c r="AB120" s="388" t="s">
        <v>84</v>
      </c>
      <c r="AC120" s="388" t="s">
        <v>85</v>
      </c>
    </row>
    <row r="121" spans="2:29">
      <c r="J121" t="str">
        <f t="shared" si="23"/>
        <v>Trd_2w_elc500</v>
      </c>
      <c r="K121" t="str">
        <f t="shared" si="35"/>
        <v>\I:</v>
      </c>
      <c r="L121" t="str">
        <f t="shared" si="25"/>
        <v>\I:</v>
      </c>
      <c r="M121" s="390" t="str">
        <f t="shared" si="27"/>
        <v/>
      </c>
      <c r="N121" s="390" t="str">
        <f t="shared" si="28"/>
        <v/>
      </c>
      <c r="O121" s="390" t="str">
        <f t="shared" si="29"/>
        <v/>
      </c>
      <c r="P121" s="390" t="str">
        <f t="shared" si="30"/>
        <v/>
      </c>
      <c r="W121" s="386"/>
      <c r="Z121" t="str">
        <f t="shared" si="31"/>
        <v>\I:</v>
      </c>
      <c r="AA121" t="str">
        <f ca="1" t="shared" si="32"/>
        <v>Battery electric motorcycle (equivalent to 250-750 cc motorcycle) -- 00%</v>
      </c>
      <c r="AB121" s="388" t="s">
        <v>84</v>
      </c>
      <c r="AC121" s="388" t="s">
        <v>85</v>
      </c>
    </row>
    <row r="122" spans="2:29">
      <c r="J122" t="str">
        <f t="shared" si="23"/>
        <v>Trd_2w_elc500</v>
      </c>
      <c r="K122" t="str">
        <f t="shared" si="35"/>
        <v>\I:</v>
      </c>
      <c r="L122" t="str">
        <f t="shared" si="25"/>
        <v>\I:</v>
      </c>
      <c r="M122" s="390" t="str">
        <f t="shared" si="27"/>
        <v/>
      </c>
      <c r="N122" s="390" t="str">
        <f t="shared" si="28"/>
        <v/>
      </c>
      <c r="O122" s="390" t="str">
        <f t="shared" si="29"/>
        <v/>
      </c>
      <c r="P122" s="390" t="str">
        <f t="shared" si="30"/>
        <v/>
      </c>
      <c r="W122" s="386"/>
      <c r="Z122" t="str">
        <f t="shared" si="31"/>
        <v>\I:</v>
      </c>
      <c r="AA122" t="str">
        <f ca="1" t="shared" si="32"/>
        <v>Battery electric motorcycle (equivalent to 250-750 cc motorcycle) -- 00%</v>
      </c>
      <c r="AB122" s="388" t="s">
        <v>84</v>
      </c>
      <c r="AC122" s="388" t="s">
        <v>85</v>
      </c>
    </row>
    <row r="123" spans="2:29">
      <c r="B123" s="381">
        <v>2020</v>
      </c>
      <c r="C123" s="381"/>
      <c r="D123" s="381"/>
      <c r="J123" t="str">
        <f t="shared" si="23"/>
        <v>Trd_2w_elc500</v>
      </c>
      <c r="K123" t="str">
        <f t="shared" si="35"/>
        <v>\I:</v>
      </c>
      <c r="L123" t="str">
        <f t="shared" si="25"/>
        <v>\I:</v>
      </c>
      <c r="M123" s="390" t="str">
        <f t="shared" si="27"/>
        <v/>
      </c>
      <c r="N123" s="390" t="str">
        <f t="shared" si="28"/>
        <v/>
      </c>
      <c r="O123" s="390" t="str">
        <f t="shared" si="29"/>
        <v/>
      </c>
      <c r="P123" s="390" t="str">
        <f t="shared" si="30"/>
        <v/>
      </c>
      <c r="W123" s="386"/>
      <c r="Z123" t="str">
        <f t="shared" si="31"/>
        <v>\I:</v>
      </c>
      <c r="AA123" t="str">
        <f ca="1" t="shared" si="32"/>
        <v>Battery electric motorcycle (equivalent to 250-750 cc motorcycle) -- 202000%</v>
      </c>
      <c r="AB123" s="388" t="s">
        <v>84</v>
      </c>
      <c r="AC123" s="388" t="s">
        <v>85</v>
      </c>
    </row>
    <row r="124" spans="2:29">
      <c r="B124" s="46" t="s">
        <v>146</v>
      </c>
      <c r="C124" s="47" t="s">
        <v>26</v>
      </c>
      <c r="D124" s="74">
        <v>0.063</v>
      </c>
      <c r="G124" s="75">
        <f>D124/3.6/100*10^9/10^6</f>
        <v>0.175</v>
      </c>
      <c r="H124" s="75"/>
      <c r="I124" s="382">
        <f>1/G124</f>
        <v>5.71428571428572</v>
      </c>
      <c r="J124" t="str">
        <f t="shared" si="23"/>
        <v>Trd_2w_elc500</v>
      </c>
      <c r="K124" t="str">
        <f t="shared" si="35"/>
        <v>\I:</v>
      </c>
      <c r="L124" t="str">
        <f t="shared" si="25"/>
        <v>\I:</v>
      </c>
      <c r="M124" s="390" t="str">
        <f t="shared" si="27"/>
        <v/>
      </c>
      <c r="N124" s="390" t="str">
        <f t="shared" si="28"/>
        <v/>
      </c>
      <c r="O124" s="390" t="str">
        <f t="shared" si="29"/>
        <v/>
      </c>
      <c r="P124" s="390" t="str">
        <f t="shared" si="30"/>
        <v/>
      </c>
      <c r="W124" s="386"/>
      <c r="Z124" t="str">
        <f t="shared" si="31"/>
        <v>\I:</v>
      </c>
      <c r="AA124" t="str">
        <f ca="1" t="shared" si="32"/>
        <v>Battery electric motorcycle (equivalent to 250-750 cc motorcycle) -- Energy consumption of Battery electric motorcycle (equivalent to &gt;750 cc motorcycle)</v>
      </c>
      <c r="AB124" s="388" t="s">
        <v>84</v>
      </c>
      <c r="AC124" s="388" t="s">
        <v>85</v>
      </c>
    </row>
    <row r="125" spans="2:29">
      <c r="I125" s="393" t="s">
        <v>70</v>
      </c>
      <c r="J125" t="str">
        <f t="shared" si="23"/>
        <v>Trd_2w_elc500</v>
      </c>
      <c r="K125" t="str">
        <f t="shared" si="35"/>
        <v>\I:</v>
      </c>
      <c r="L125" t="str">
        <f t="shared" si="25"/>
        <v>\I:</v>
      </c>
      <c r="M125" s="390" t="str">
        <f t="shared" si="27"/>
        <v/>
      </c>
      <c r="N125" s="390" t="str">
        <f t="shared" si="28"/>
        <v/>
      </c>
      <c r="O125" s="390" t="str">
        <f t="shared" si="29"/>
        <v/>
      </c>
      <c r="P125" s="390" t="str">
        <f t="shared" si="30"/>
        <v/>
      </c>
      <c r="W125" s="386"/>
      <c r="Z125" t="str">
        <f t="shared" si="31"/>
        <v>\I:</v>
      </c>
      <c r="AA125" t="str">
        <f ca="1" t="shared" si="32"/>
        <v>Battery electric motorcycle (equivalent to 250-750 cc motorcycle) -- 00%</v>
      </c>
      <c r="AB125" s="388" t="s">
        <v>84</v>
      </c>
      <c r="AC125" s="388" t="s">
        <v>85</v>
      </c>
    </row>
    <row r="126" ht="15" customHeight="1" spans="2:29">
      <c r="B126" s="400" t="s">
        <v>27</v>
      </c>
      <c r="C126" s="400" t="s">
        <v>137</v>
      </c>
      <c r="D126" s="400"/>
      <c r="E126" s="400"/>
      <c r="F126" s="400"/>
      <c r="J126" t="str">
        <f t="shared" si="23"/>
        <v>Trd_3w_elc</v>
      </c>
      <c r="K126" t="str">
        <f t="shared" si="35"/>
        <v>\I:</v>
      </c>
      <c r="L126" t="str">
        <f t="shared" si="25"/>
        <v>\I:</v>
      </c>
      <c r="M126" s="390" t="str">
        <f t="shared" si="27"/>
        <v/>
      </c>
      <c r="N126" s="390" t="str">
        <f t="shared" si="28"/>
        <v/>
      </c>
      <c r="O126" s="390" t="str">
        <f t="shared" si="29"/>
        <v/>
      </c>
      <c r="P126" s="390" t="str">
        <f t="shared" si="30"/>
        <v/>
      </c>
      <c r="W126" s="386"/>
      <c r="Z126" t="str">
        <f t="shared" si="31"/>
        <v>\I:</v>
      </c>
      <c r="AA126" t="str">
        <f ca="1" t="shared" si="32"/>
        <v>Battery electric motorcycle (equivalent to &gt;750 cc motorcycle) -- Electric range (km)</v>
      </c>
      <c r="AB126" s="388" t="s">
        <v>84</v>
      </c>
      <c r="AC126" s="388" t="s">
        <v>85</v>
      </c>
    </row>
    <row r="127" spans="2:29">
      <c r="B127" s="400"/>
      <c r="C127" s="400"/>
      <c r="D127" s="400"/>
      <c r="E127" s="400"/>
      <c r="F127" s="400"/>
      <c r="J127" t="str">
        <f t="shared" si="23"/>
        <v>Trd_3w_elc</v>
      </c>
      <c r="K127" t="str">
        <f t="shared" si="35"/>
        <v>\I:</v>
      </c>
      <c r="L127" t="str">
        <f t="shared" si="25"/>
        <v>\I:</v>
      </c>
      <c r="M127" s="390" t="str">
        <f t="shared" si="27"/>
        <v/>
      </c>
      <c r="N127" s="390" t="str">
        <f t="shared" si="28"/>
        <v/>
      </c>
      <c r="O127" s="390" t="str">
        <f t="shared" si="29"/>
        <v/>
      </c>
      <c r="P127" s="390" t="str">
        <f t="shared" si="30"/>
        <v/>
      </c>
      <c r="W127" s="386"/>
      <c r="Z127" t="str">
        <f t="shared" si="31"/>
        <v>\I:</v>
      </c>
      <c r="AA127" t="str">
        <f ca="1" t="shared" si="32"/>
        <v>Battery electric motorcycle (equivalent to &gt;750 cc motorcycle) -- 00%</v>
      </c>
      <c r="AB127" s="388" t="s">
        <v>84</v>
      </c>
      <c r="AC127" s="388" t="s">
        <v>85</v>
      </c>
    </row>
    <row r="128" spans="2:29">
      <c r="B128" s="400"/>
      <c r="C128" s="400"/>
      <c r="D128" s="400"/>
      <c r="E128" s="400"/>
      <c r="F128" s="400"/>
      <c r="J128" t="str">
        <f t="shared" si="23"/>
        <v>Trd_3w_elc</v>
      </c>
      <c r="K128" t="str">
        <f t="shared" si="35"/>
        <v>\I:</v>
      </c>
      <c r="L128" t="str">
        <f t="shared" si="25"/>
        <v>\I:</v>
      </c>
      <c r="M128" s="390" t="str">
        <f t="shared" si="27"/>
        <v/>
      </c>
      <c r="N128" s="390" t="str">
        <f t="shared" si="28"/>
        <v/>
      </c>
      <c r="O128" s="390" t="str">
        <f t="shared" si="29"/>
        <v/>
      </c>
      <c r="P128" s="390" t="str">
        <f t="shared" si="30"/>
        <v/>
      </c>
      <c r="W128" s="386"/>
      <c r="Z128" t="str">
        <f t="shared" si="31"/>
        <v>\I:</v>
      </c>
      <c r="AA128" t="str">
        <f ca="1" t="shared" si="32"/>
        <v>Battery electric motorcycle (equivalent to &gt;750 cc motorcycle) -- 00%</v>
      </c>
      <c r="AB128" s="388" t="s">
        <v>84</v>
      </c>
      <c r="AC128" s="388" t="s">
        <v>85</v>
      </c>
    </row>
    <row r="129" spans="2:29">
      <c r="B129" s="50"/>
      <c r="C129" s="51">
        <v>2020</v>
      </c>
      <c r="D129" s="51">
        <v>2030</v>
      </c>
      <c r="E129" s="51">
        <v>2040</v>
      </c>
      <c r="F129" s="51">
        <v>2050</v>
      </c>
      <c r="J129" t="str">
        <f t="shared" si="23"/>
        <v>Trd_3w_elc</v>
      </c>
      <c r="K129" t="str">
        <f t="shared" si="35"/>
        <v>\I:</v>
      </c>
      <c r="L129" t="str">
        <f t="shared" si="25"/>
        <v>\I:</v>
      </c>
      <c r="M129" s="390" t="str">
        <f t="shared" si="27"/>
        <v/>
      </c>
      <c r="N129" s="390" t="str">
        <f t="shared" si="28"/>
        <v/>
      </c>
      <c r="O129" s="390" t="str">
        <f t="shared" si="29"/>
        <v/>
      </c>
      <c r="P129" s="390" t="str">
        <f t="shared" si="30"/>
        <v/>
      </c>
      <c r="W129" s="386"/>
      <c r="Z129" t="str">
        <f t="shared" si="31"/>
        <v>\I:</v>
      </c>
      <c r="AA129" t="str">
        <f ca="1" t="shared" si="32"/>
        <v>Battery electric motorcycle (equivalent to &gt;750 cc motorcycle) -- 00%</v>
      </c>
      <c r="AB129" s="388" t="s">
        <v>84</v>
      </c>
      <c r="AC129" s="388" t="s">
        <v>85</v>
      </c>
    </row>
    <row r="130" spans="2:29">
      <c r="B130" s="66">
        <v>120</v>
      </c>
      <c r="C130" s="86">
        <v>14416.9866551673</v>
      </c>
      <c r="D130" s="86">
        <v>12950.2883690462</v>
      </c>
      <c r="E130" s="86">
        <v>12201.8128279785</v>
      </c>
      <c r="F130" s="86">
        <v>11983.9059846316</v>
      </c>
      <c r="I130" s="402">
        <f>$I$124/$I$49</f>
        <v>9.73530650437647</v>
      </c>
      <c r="J130" t="str">
        <f t="shared" si="23"/>
        <v>Trd_3w_elc</v>
      </c>
      <c r="K130" t="str">
        <f t="shared" si="35"/>
        <v>Trd_3w_elc_120</v>
      </c>
      <c r="L130" t="str">
        <f t="shared" si="25"/>
        <v>Trd_3w</v>
      </c>
      <c r="M130" s="395">
        <f>IF($K130="\I:","",C130*80%)</f>
        <v>11533.5893241338</v>
      </c>
      <c r="N130" s="395">
        <f>IF($K130="\I:","",D130*80%)</f>
        <v>10360.230695237</v>
      </c>
      <c r="O130" s="395">
        <f>IF($K130="\I:","",E130*80%)</f>
        <v>9761.4502623828</v>
      </c>
      <c r="P130" s="395">
        <f>IF($K130="\I:","",F130*80%)</f>
        <v>9587.12478770528</v>
      </c>
      <c r="Q130">
        <f t="shared" ref="Q130:Q137" si="46">P130</f>
        <v>9587.12478770528</v>
      </c>
      <c r="R130">
        <v>3</v>
      </c>
      <c r="W130" s="396">
        <v>0.05</v>
      </c>
      <c r="Z130" t="str">
        <f t="shared" si="31"/>
        <v>Trd_3w_elc_120</v>
      </c>
      <c r="AA130" t="str">
        <f ca="1" t="shared" si="32"/>
        <v>Battery electric motorcycle (equivalent to &gt;750 cc motorcycle) -- 12000%</v>
      </c>
      <c r="AB130" s="388" t="s">
        <v>84</v>
      </c>
      <c r="AC130" s="388" t="s">
        <v>85</v>
      </c>
    </row>
    <row r="131" spans="2:29">
      <c r="B131" s="66">
        <v>131.428571428571</v>
      </c>
      <c r="C131" s="86">
        <v>14724.8839894236</v>
      </c>
      <c r="D131" s="86">
        <v>13123.5997834724</v>
      </c>
      <c r="E131" s="86">
        <v>12306.4432668297</v>
      </c>
      <c r="F131" s="86">
        <v>12068.5410411833</v>
      </c>
      <c r="I131" s="402">
        <f t="shared" ref="I131:I137" si="47">$I$124/$I$49</f>
        <v>9.73530650437647</v>
      </c>
      <c r="J131" t="str">
        <f t="shared" si="23"/>
        <v>Trd_3w_elc</v>
      </c>
      <c r="K131" t="str">
        <f t="shared" si="35"/>
        <v>Trd_3w_elc_131</v>
      </c>
      <c r="L131" t="str">
        <f t="shared" si="25"/>
        <v>Trd_3w</v>
      </c>
      <c r="M131" s="395">
        <f t="shared" ref="M131:M137" si="48">IF($K131="\I:","",C131*80%)</f>
        <v>11779.9071915389</v>
      </c>
      <c r="N131" s="395">
        <f t="shared" ref="N131:N137" si="49">IF($K131="\I:","",D131*80%)</f>
        <v>10498.8798267779</v>
      </c>
      <c r="O131" s="395">
        <f t="shared" ref="O131:O137" si="50">IF($K131="\I:","",E131*80%)</f>
        <v>9845.15461346376</v>
      </c>
      <c r="P131" s="395">
        <f t="shared" ref="P131:P137" si="51">IF($K131="\I:","",F131*80%)</f>
        <v>9654.83283294664</v>
      </c>
      <c r="Q131">
        <f t="shared" si="46"/>
        <v>9654.83283294664</v>
      </c>
      <c r="R131">
        <v>3</v>
      </c>
      <c r="W131" s="396">
        <v>0.05</v>
      </c>
      <c r="Z131" t="str">
        <f t="shared" si="31"/>
        <v>Trd_3w_elc_131</v>
      </c>
      <c r="AA131" t="str">
        <f ca="1" t="shared" si="32"/>
        <v>Battery electric motorcycle (equivalent to &gt;750 cc motorcycle) -- 13143%</v>
      </c>
      <c r="AB131" s="388" t="s">
        <v>84</v>
      </c>
      <c r="AC131" s="388" t="s">
        <v>85</v>
      </c>
    </row>
    <row r="132" spans="2:29">
      <c r="B132" s="66">
        <v>142.857142857143</v>
      </c>
      <c r="C132" s="86">
        <v>14865.3695454917</v>
      </c>
      <c r="D132" s="86">
        <v>13202.6772801563</v>
      </c>
      <c r="E132" s="86">
        <v>12354.1834183292</v>
      </c>
      <c r="F132" s="86">
        <v>12107.1578191144</v>
      </c>
      <c r="I132" s="402">
        <f t="shared" si="47"/>
        <v>9.73530650437647</v>
      </c>
      <c r="J132" t="str">
        <f t="shared" si="23"/>
        <v>Trd_3w_elc</v>
      </c>
      <c r="K132" t="str">
        <f t="shared" si="35"/>
        <v>Trd_3w_elc_143</v>
      </c>
      <c r="L132" t="str">
        <f t="shared" si="25"/>
        <v>Trd_3w</v>
      </c>
      <c r="M132" s="395">
        <f t="shared" si="48"/>
        <v>11892.2956363934</v>
      </c>
      <c r="N132" s="395">
        <f t="shared" si="49"/>
        <v>10562.141824125</v>
      </c>
      <c r="O132" s="395">
        <f t="shared" si="50"/>
        <v>9883.34673466336</v>
      </c>
      <c r="P132" s="395">
        <f t="shared" si="51"/>
        <v>9685.72625529152</v>
      </c>
      <c r="Q132">
        <f t="shared" si="46"/>
        <v>9685.72625529152</v>
      </c>
      <c r="R132">
        <v>3</v>
      </c>
      <c r="W132" s="396">
        <v>0.05</v>
      </c>
      <c r="Z132" t="str">
        <f t="shared" si="31"/>
        <v>Trd_3w_elc_143</v>
      </c>
      <c r="AA132" t="str">
        <f ca="1" t="shared" si="32"/>
        <v>Battery electric motorcycle (equivalent to &gt;750 cc motorcycle) -- 14286%</v>
      </c>
      <c r="AB132" s="388" t="s">
        <v>84</v>
      </c>
      <c r="AC132" s="388" t="s">
        <v>85</v>
      </c>
    </row>
    <row r="133" spans="2:29">
      <c r="B133" s="66">
        <v>154.285714285714</v>
      </c>
      <c r="C133" s="86">
        <v>14907.2890658627</v>
      </c>
      <c r="D133" s="86">
        <v>13226.2732342593</v>
      </c>
      <c r="E133" s="86">
        <v>12368.4286141294</v>
      </c>
      <c r="F133" s="86">
        <v>12118.6806891833</v>
      </c>
      <c r="I133" s="402">
        <f t="shared" si="47"/>
        <v>9.73530650437647</v>
      </c>
      <c r="J133" t="str">
        <f t="shared" si="23"/>
        <v>Trd_3w_elc</v>
      </c>
      <c r="K133" t="str">
        <f t="shared" si="35"/>
        <v>Trd_3w_elc_154</v>
      </c>
      <c r="L133" t="str">
        <f t="shared" si="25"/>
        <v>Trd_3w</v>
      </c>
      <c r="M133" s="395">
        <f t="shared" si="48"/>
        <v>11925.8312526902</v>
      </c>
      <c r="N133" s="395">
        <f t="shared" si="49"/>
        <v>10581.0185874074</v>
      </c>
      <c r="O133" s="395">
        <f t="shared" si="50"/>
        <v>9894.74289130352</v>
      </c>
      <c r="P133" s="395">
        <f t="shared" si="51"/>
        <v>9694.94455134664</v>
      </c>
      <c r="Q133">
        <f t="shared" si="46"/>
        <v>9694.94455134664</v>
      </c>
      <c r="R133">
        <v>3</v>
      </c>
      <c r="W133" s="396">
        <v>0.05</v>
      </c>
      <c r="Z133" t="str">
        <f t="shared" si="31"/>
        <v>Trd_3w_elc_154</v>
      </c>
      <c r="AA133" t="str">
        <f ca="1" t="shared" si="32"/>
        <v>Battery electric motorcycle (equivalent to &gt;750 cc motorcycle) -- 15429%</v>
      </c>
      <c r="AB133" s="388" t="s">
        <v>84</v>
      </c>
      <c r="AC133" s="388" t="s">
        <v>85</v>
      </c>
    </row>
    <row r="134" spans="2:29">
      <c r="B134" s="66">
        <v>165.714285714286</v>
      </c>
      <c r="C134" s="86">
        <v>15064.5475025229</v>
      </c>
      <c r="D134" s="86">
        <v>13314.7919677972</v>
      </c>
      <c r="E134" s="86">
        <v>12421.8685676795</v>
      </c>
      <c r="F134" s="86">
        <v>12161.9080094592</v>
      </c>
      <c r="I134" s="402">
        <f t="shared" si="47"/>
        <v>9.73530650437647</v>
      </c>
      <c r="J134" t="str">
        <f t="shared" si="23"/>
        <v>Trd_3w_elc</v>
      </c>
      <c r="K134" t="str">
        <f t="shared" si="35"/>
        <v>Trd_3w_elc_166</v>
      </c>
      <c r="L134" t="str">
        <f t="shared" si="25"/>
        <v>Trd_3w</v>
      </c>
      <c r="M134" s="395">
        <f t="shared" si="48"/>
        <v>12051.6380020183</v>
      </c>
      <c r="N134" s="395">
        <f t="shared" si="49"/>
        <v>10651.8335742378</v>
      </c>
      <c r="O134" s="395">
        <f t="shared" si="50"/>
        <v>9937.4948541436</v>
      </c>
      <c r="P134" s="395">
        <f t="shared" si="51"/>
        <v>9729.52640756736</v>
      </c>
      <c r="Q134">
        <f t="shared" si="46"/>
        <v>9729.52640756736</v>
      </c>
      <c r="R134">
        <v>3</v>
      </c>
      <c r="W134" s="396">
        <v>0.15</v>
      </c>
      <c r="Z134" t="str">
        <f t="shared" si="31"/>
        <v>Trd_3w_elc_166</v>
      </c>
      <c r="AA134" t="str">
        <f ca="1" t="shared" si="32"/>
        <v>Battery electric motorcycle (equivalent to &gt;750 cc motorcycle) -- 16571%</v>
      </c>
      <c r="AB134" s="388" t="s">
        <v>84</v>
      </c>
      <c r="AC134" s="388" t="s">
        <v>85</v>
      </c>
    </row>
    <row r="135" spans="2:29">
      <c r="B135" s="66">
        <v>177.142857142857</v>
      </c>
      <c r="C135" s="86">
        <v>15204.9907882267</v>
      </c>
      <c r="D135" s="86">
        <v>13393.8456710415</v>
      </c>
      <c r="E135" s="86">
        <v>12469.5943547585</v>
      </c>
      <c r="F135" s="86">
        <v>12200.5131680799</v>
      </c>
      <c r="I135" s="402">
        <f t="shared" si="47"/>
        <v>9.73530650437647</v>
      </c>
      <c r="J135" t="str">
        <f t="shared" si="23"/>
        <v>Trd_3w_elc</v>
      </c>
      <c r="K135" t="str">
        <f t="shared" si="35"/>
        <v>Trd_3w_elc_177</v>
      </c>
      <c r="L135" t="str">
        <f t="shared" si="25"/>
        <v>Trd_3w</v>
      </c>
      <c r="M135" s="395">
        <f t="shared" si="48"/>
        <v>12163.9926305814</v>
      </c>
      <c r="N135" s="395">
        <f t="shared" si="49"/>
        <v>10715.0765368332</v>
      </c>
      <c r="O135" s="395">
        <f t="shared" si="50"/>
        <v>9975.6754838068</v>
      </c>
      <c r="P135" s="395">
        <f t="shared" si="51"/>
        <v>9760.41053446392</v>
      </c>
      <c r="Q135">
        <f t="shared" si="46"/>
        <v>9760.41053446392</v>
      </c>
      <c r="R135">
        <v>3</v>
      </c>
      <c r="W135" s="396">
        <v>0.175</v>
      </c>
      <c r="Z135" t="str">
        <f t="shared" si="31"/>
        <v>Trd_3w_elc_177</v>
      </c>
      <c r="AA135" t="str">
        <f ca="1" t="shared" si="32"/>
        <v>Battery electric motorcycle (equivalent to &gt;750 cc motorcycle) -- 17714%</v>
      </c>
      <c r="AB135" s="388" t="s">
        <v>84</v>
      </c>
      <c r="AC135" s="388" t="s">
        <v>85</v>
      </c>
    </row>
    <row r="136" ht="15" customHeight="1" spans="2:29">
      <c r="B136" s="66">
        <v>188.571428571428</v>
      </c>
      <c r="C136" s="86">
        <v>15414.9772774338</v>
      </c>
      <c r="D136" s="86">
        <v>13512.0443412014</v>
      </c>
      <c r="E136" s="86">
        <v>12540.9524864281</v>
      </c>
      <c r="F136" s="86">
        <v>12258.2344160799</v>
      </c>
      <c r="I136" s="402">
        <f t="shared" si="47"/>
        <v>9.73530650437647</v>
      </c>
      <c r="J136" t="str">
        <f t="shared" si="23"/>
        <v>Trd_3w_elc</v>
      </c>
      <c r="K136" t="str">
        <f t="shared" si="35"/>
        <v>Trd_3w_elc_189</v>
      </c>
      <c r="L136" t="str">
        <f t="shared" si="25"/>
        <v>Trd_3w</v>
      </c>
      <c r="M136" s="395">
        <f t="shared" si="48"/>
        <v>12331.981821947</v>
      </c>
      <c r="N136" s="395">
        <f t="shared" si="49"/>
        <v>10809.6354729611</v>
      </c>
      <c r="O136" s="395">
        <f t="shared" si="50"/>
        <v>10032.7619891425</v>
      </c>
      <c r="P136" s="395">
        <f t="shared" si="51"/>
        <v>9806.58753286392</v>
      </c>
      <c r="Q136">
        <f t="shared" si="46"/>
        <v>9806.58753286392</v>
      </c>
      <c r="R136">
        <v>3</v>
      </c>
      <c r="W136" s="396">
        <v>0.2</v>
      </c>
      <c r="Z136" t="str">
        <f t="shared" si="31"/>
        <v>Trd_3w_elc_189</v>
      </c>
      <c r="AA136" t="str">
        <f ca="1" t="shared" si="32"/>
        <v>Battery electric motorcycle (equivalent to &gt;750 cc motorcycle) -- 18857%</v>
      </c>
      <c r="AB136" s="388" t="s">
        <v>84</v>
      </c>
      <c r="AC136" s="388" t="s">
        <v>85</v>
      </c>
    </row>
    <row r="137" spans="2:29">
      <c r="B137" s="66">
        <v>200</v>
      </c>
      <c r="C137" s="86">
        <v>15618.3104112851</v>
      </c>
      <c r="D137" s="86">
        <v>13626.4979239601</v>
      </c>
      <c r="E137" s="86">
        <v>12610.0496583125</v>
      </c>
      <c r="F137" s="86">
        <v>12314.1267846316</v>
      </c>
      <c r="I137" s="402">
        <f t="shared" si="47"/>
        <v>9.73530650437647</v>
      </c>
      <c r="J137" t="str">
        <f t="shared" si="23"/>
        <v>Trd_3w_elc</v>
      </c>
      <c r="K137" t="str">
        <f t="shared" si="35"/>
        <v>Trd_3w_elc_200</v>
      </c>
      <c r="L137" t="str">
        <f t="shared" si="25"/>
        <v>Trd_3w</v>
      </c>
      <c r="M137" s="395">
        <f t="shared" si="48"/>
        <v>12494.6483290281</v>
      </c>
      <c r="N137" s="395">
        <f t="shared" si="49"/>
        <v>10901.1983391681</v>
      </c>
      <c r="O137" s="395">
        <f t="shared" si="50"/>
        <v>10088.03972665</v>
      </c>
      <c r="P137" s="395">
        <f t="shared" si="51"/>
        <v>9851.30142770528</v>
      </c>
      <c r="Q137">
        <f t="shared" si="46"/>
        <v>9851.30142770528</v>
      </c>
      <c r="R137">
        <v>3</v>
      </c>
      <c r="W137" s="386"/>
      <c r="Z137" t="str">
        <f t="shared" si="31"/>
        <v>Trd_3w_elc_200</v>
      </c>
      <c r="AA137" t="str">
        <f ca="1" t="shared" si="32"/>
        <v>Battery electric motorcycle (equivalent to &gt;750 cc motorcycle) -- 20000%</v>
      </c>
      <c r="AB137" s="388" t="s">
        <v>84</v>
      </c>
      <c r="AC137" s="388" t="s">
        <v>85</v>
      </c>
    </row>
    <row r="138" spans="2:29">
      <c r="J138" t="str">
        <f t="shared" si="23"/>
        <v>Trd_3w_elc</v>
      </c>
      <c r="K138" t="str">
        <f t="shared" si="35"/>
        <v>\I:</v>
      </c>
      <c r="L138" t="str">
        <f t="shared" si="25"/>
        <v>\I:</v>
      </c>
      <c r="M138" s="390" t="str">
        <f t="shared" si="27"/>
        <v/>
      </c>
      <c r="N138" s="390" t="str">
        <f t="shared" si="28"/>
        <v/>
      </c>
      <c r="O138" s="390" t="str">
        <f t="shared" si="29"/>
        <v/>
      </c>
      <c r="P138" s="390" t="str">
        <f t="shared" si="30"/>
        <v/>
      </c>
      <c r="W138" s="386"/>
      <c r="Z138" t="str">
        <f t="shared" si="31"/>
        <v>\I:</v>
      </c>
      <c r="AA138" t="str">
        <f ca="1" t="shared" si="32"/>
        <v>Battery electric motorcycle (equivalent to &gt;750 cc motorcycle) -- 00%</v>
      </c>
      <c r="AB138" s="388" t="s">
        <v>84</v>
      </c>
      <c r="AC138" s="388" t="s">
        <v>85</v>
      </c>
    </row>
    <row r="139" spans="2:29">
      <c r="J139" t="str">
        <f t="shared" si="23"/>
        <v>Trd_3w_elc</v>
      </c>
      <c r="K139" t="str">
        <f t="shared" si="35"/>
        <v>\I:</v>
      </c>
      <c r="L139" t="str">
        <f t="shared" si="25"/>
        <v>\I:</v>
      </c>
      <c r="M139" s="390" t="str">
        <f t="shared" si="27"/>
        <v/>
      </c>
      <c r="N139" s="390" t="str">
        <f t="shared" si="28"/>
        <v/>
      </c>
      <c r="O139" s="390" t="str">
        <f t="shared" si="29"/>
        <v/>
      </c>
      <c r="P139" s="390" t="str">
        <f t="shared" si="30"/>
        <v/>
      </c>
      <c r="W139" s="386"/>
      <c r="Z139" t="str">
        <f t="shared" si="31"/>
        <v>\I:</v>
      </c>
      <c r="AA139" t="str">
        <f ca="1" t="shared" si="32"/>
        <v>Battery electric motorcycle (equivalent to &gt;750 cc motorcycle) -- 00%</v>
      </c>
      <c r="AB139" s="388" t="s">
        <v>84</v>
      </c>
      <c r="AC139" s="388" t="s">
        <v>85</v>
      </c>
    </row>
    <row r="140" spans="2:29">
      <c r="J140" t="str">
        <f t="shared" si="23"/>
        <v>Trd_3w_elc</v>
      </c>
      <c r="K140" t="str">
        <f t="shared" si="35"/>
        <v>\I:</v>
      </c>
      <c r="L140" t="str">
        <f t="shared" si="25"/>
        <v>\I:</v>
      </c>
      <c r="M140" s="390" t="str">
        <f t="shared" si="27"/>
        <v/>
      </c>
      <c r="N140" s="390" t="str">
        <f t="shared" si="28"/>
        <v/>
      </c>
      <c r="O140" s="390" t="str">
        <f t="shared" si="29"/>
        <v/>
      </c>
      <c r="P140" s="390" t="str">
        <f t="shared" si="30"/>
        <v/>
      </c>
      <c r="W140" s="386"/>
      <c r="Z140" t="str">
        <f t="shared" si="31"/>
        <v>\I:</v>
      </c>
      <c r="AA140" t="str">
        <f ca="1" t="shared" si="32"/>
        <v>Battery electric motorcycle (equivalent to &gt;750 cc motorcycle) -- 00%</v>
      </c>
      <c r="AB140" s="388" t="s">
        <v>84</v>
      </c>
      <c r="AC140" s="388" t="s">
        <v>85</v>
      </c>
    </row>
    <row r="141" spans="2:29">
      <c r="B141" s="381">
        <v>2020</v>
      </c>
      <c r="C141" s="381"/>
      <c r="D141" s="381"/>
      <c r="J141" t="str">
        <f t="shared" ref="J141:J155" si="52">IFERROR(VLOOKUP(C141,$V$1:$W$8,2,FALSE),J140)</f>
        <v>Trd_3w_elc</v>
      </c>
      <c r="K141" t="str">
        <f t="shared" si="35"/>
        <v>\I:</v>
      </c>
      <c r="L141" t="str">
        <f t="shared" ref="L141:L155" si="53">LEFT(K141,6)</f>
        <v>\I:</v>
      </c>
      <c r="M141" s="390" t="str">
        <f t="shared" si="27"/>
        <v/>
      </c>
      <c r="N141" s="390" t="str">
        <f t="shared" si="28"/>
        <v/>
      </c>
      <c r="O141" s="390" t="str">
        <f t="shared" si="29"/>
        <v/>
      </c>
      <c r="P141" s="390" t="str">
        <f t="shared" si="30"/>
        <v/>
      </c>
      <c r="W141" s="386"/>
      <c r="Z141" t="str">
        <f t="shared" si="31"/>
        <v>\I:</v>
      </c>
      <c r="AA141" t="str">
        <f ca="1" t="shared" si="32"/>
        <v>Battery electric motorcycle (equivalent to &gt;750 cc motorcycle) -- 202000%</v>
      </c>
      <c r="AB141" s="388" t="s">
        <v>84</v>
      </c>
      <c r="AC141" s="388" t="s">
        <v>85</v>
      </c>
    </row>
    <row r="142" spans="2:29">
      <c r="B142" s="46" t="s">
        <v>147</v>
      </c>
      <c r="C142" s="47" t="s">
        <v>26</v>
      </c>
      <c r="D142" s="74">
        <v>0.0448</v>
      </c>
      <c r="G142" s="75">
        <f>D142/3.6/100*10^9/10^6</f>
        <v>0.124444444444444</v>
      </c>
      <c r="H142" s="75"/>
      <c r="I142" s="382">
        <f>1/G142</f>
        <v>8.03571428571429</v>
      </c>
      <c r="J142" t="str">
        <f t="shared" si="52"/>
        <v>Trd_3w_elc</v>
      </c>
      <c r="K142" t="str">
        <f t="shared" si="35"/>
        <v>\I:</v>
      </c>
      <c r="L142" t="str">
        <f t="shared" si="53"/>
        <v>\I:</v>
      </c>
      <c r="M142" s="390" t="str">
        <f t="shared" si="27"/>
        <v/>
      </c>
      <c r="N142" s="390" t="str">
        <f t="shared" si="28"/>
        <v/>
      </c>
      <c r="O142" s="390" t="str">
        <f t="shared" si="29"/>
        <v/>
      </c>
      <c r="P142" s="390" t="str">
        <f t="shared" si="30"/>
        <v/>
      </c>
      <c r="W142" s="386"/>
      <c r="Z142" t="str">
        <f t="shared" si="31"/>
        <v>\I:</v>
      </c>
      <c r="AA142" t="str">
        <f ca="1" t="shared" si="32"/>
        <v>Battery electric motorcycle (equivalent to &gt;750 cc motorcycle) -- Energy consumption of Battery electric moped </v>
      </c>
      <c r="AB142" s="388" t="s">
        <v>84</v>
      </c>
      <c r="AC142" s="388" t="s">
        <v>85</v>
      </c>
    </row>
    <row r="143" spans="2:29">
      <c r="I143" s="393" t="s">
        <v>70</v>
      </c>
      <c r="J143" t="str">
        <f t="shared" si="52"/>
        <v>Trd_3w_elc</v>
      </c>
      <c r="K143" t="str">
        <f t="shared" si="35"/>
        <v>\I:</v>
      </c>
      <c r="L143" t="str">
        <f t="shared" si="53"/>
        <v>\I:</v>
      </c>
      <c r="M143" s="390" t="str">
        <f t="shared" si="27"/>
        <v/>
      </c>
      <c r="N143" s="390" t="str">
        <f t="shared" si="28"/>
        <v/>
      </c>
      <c r="O143" s="390" t="str">
        <f t="shared" si="29"/>
        <v/>
      </c>
      <c r="P143" s="390" t="str">
        <f t="shared" si="30"/>
        <v/>
      </c>
      <c r="W143" s="386"/>
      <c r="Z143" t="str">
        <f t="shared" si="31"/>
        <v>\I:</v>
      </c>
      <c r="AA143" t="str">
        <f ca="1" t="shared" si="32"/>
        <v>Battery electric motorcycle (equivalent to &gt;750 cc motorcycle) -- 00%</v>
      </c>
      <c r="AB143" s="388" t="s">
        <v>84</v>
      </c>
      <c r="AC143" s="388" t="s">
        <v>85</v>
      </c>
    </row>
    <row r="144" ht="15" customHeight="1" spans="2:29">
      <c r="B144" s="400" t="s">
        <v>27</v>
      </c>
      <c r="C144" s="400" t="s">
        <v>139</v>
      </c>
      <c r="D144" s="400"/>
      <c r="E144" s="400"/>
      <c r="F144" s="400"/>
      <c r="J144" t="str">
        <f t="shared" si="52"/>
        <v>Trd_2w_elc50</v>
      </c>
      <c r="K144" t="str">
        <f t="shared" si="35"/>
        <v>\I:</v>
      </c>
      <c r="L144" t="str">
        <f t="shared" si="53"/>
        <v>\I:</v>
      </c>
      <c r="M144" s="390" t="str">
        <f t="shared" si="27"/>
        <v/>
      </c>
      <c r="N144" s="390" t="str">
        <f t="shared" si="28"/>
        <v/>
      </c>
      <c r="O144" s="390" t="str">
        <f t="shared" si="29"/>
        <v/>
      </c>
      <c r="P144" s="390" t="str">
        <f t="shared" si="30"/>
        <v/>
      </c>
      <c r="W144" s="386"/>
      <c r="Z144" t="str">
        <f t="shared" si="31"/>
        <v>\I:</v>
      </c>
      <c r="AA144" t="str">
        <f ca="1" t="shared" si="32"/>
        <v>Battery electric moped -- Electric range (km)</v>
      </c>
      <c r="AB144" s="388" t="s">
        <v>84</v>
      </c>
      <c r="AC144" s="388" t="s">
        <v>85</v>
      </c>
    </row>
    <row r="145" spans="2:29">
      <c r="B145" s="400"/>
      <c r="C145" s="400"/>
      <c r="D145" s="400"/>
      <c r="E145" s="400"/>
      <c r="F145" s="400"/>
      <c r="J145" t="str">
        <f t="shared" si="52"/>
        <v>Trd_2w_elc50</v>
      </c>
      <c r="K145" t="str">
        <f t="shared" si="35"/>
        <v>\I:</v>
      </c>
      <c r="L145" t="str">
        <f t="shared" si="53"/>
        <v>\I:</v>
      </c>
      <c r="M145" s="390" t="str">
        <f t="shared" si="27"/>
        <v/>
      </c>
      <c r="N145" s="390" t="str">
        <f t="shared" si="28"/>
        <v/>
      </c>
      <c r="O145" s="390" t="str">
        <f t="shared" si="29"/>
        <v/>
      </c>
      <c r="P145" s="390" t="str">
        <f t="shared" si="30"/>
        <v/>
      </c>
      <c r="W145" s="386"/>
      <c r="Z145" t="str">
        <f t="shared" si="31"/>
        <v>\I:</v>
      </c>
      <c r="AA145" t="str">
        <f ca="1" t="shared" si="32"/>
        <v>Battery electric moped -- 00%</v>
      </c>
      <c r="AB145" s="388" t="s">
        <v>84</v>
      </c>
      <c r="AC145" s="388" t="s">
        <v>85</v>
      </c>
    </row>
    <row r="146" spans="2:29">
      <c r="B146" s="400"/>
      <c r="C146" s="400"/>
      <c r="D146" s="400"/>
      <c r="E146" s="400"/>
      <c r="F146" s="400"/>
      <c r="J146" t="str">
        <f t="shared" si="52"/>
        <v>Trd_2w_elc50</v>
      </c>
      <c r="K146" t="str">
        <f t="shared" si="35"/>
        <v>\I:</v>
      </c>
      <c r="L146" t="str">
        <f t="shared" si="53"/>
        <v>\I:</v>
      </c>
      <c r="M146" s="390" t="str">
        <f t="shared" si="27"/>
        <v/>
      </c>
      <c r="N146" s="390" t="str">
        <f t="shared" si="28"/>
        <v/>
      </c>
      <c r="O146" s="390" t="str">
        <f t="shared" si="29"/>
        <v/>
      </c>
      <c r="P146" s="390" t="str">
        <f t="shared" si="30"/>
        <v/>
      </c>
      <c r="W146" s="386"/>
      <c r="Z146" t="str">
        <f t="shared" si="31"/>
        <v>\I:</v>
      </c>
      <c r="AA146" t="str">
        <f ca="1" t="shared" si="32"/>
        <v>Battery electric moped -- 00%</v>
      </c>
      <c r="AB146" s="388" t="s">
        <v>84</v>
      </c>
      <c r="AC146" s="388" t="s">
        <v>85</v>
      </c>
    </row>
    <row r="147" spans="2:29">
      <c r="B147" s="50"/>
      <c r="C147" s="51">
        <v>2020</v>
      </c>
      <c r="D147" s="51">
        <v>2030</v>
      </c>
      <c r="E147" s="51">
        <v>2040</v>
      </c>
      <c r="F147" s="51">
        <v>2050</v>
      </c>
      <c r="J147" t="str">
        <f t="shared" si="52"/>
        <v>Trd_2w_elc50</v>
      </c>
      <c r="K147" t="str">
        <f t="shared" si="35"/>
        <v>\I:</v>
      </c>
      <c r="L147" t="str">
        <f t="shared" si="53"/>
        <v>\I:</v>
      </c>
      <c r="M147" s="390" t="str">
        <f t="shared" si="27"/>
        <v/>
      </c>
      <c r="N147" s="390" t="str">
        <f t="shared" si="28"/>
        <v/>
      </c>
      <c r="O147" s="390" t="str">
        <f t="shared" si="29"/>
        <v/>
      </c>
      <c r="P147" s="390" t="str">
        <f t="shared" si="30"/>
        <v/>
      </c>
      <c r="W147" s="386"/>
      <c r="Z147" t="str">
        <f t="shared" si="31"/>
        <v>\I:</v>
      </c>
      <c r="AA147" t="str">
        <f ca="1" t="shared" si="32"/>
        <v>Battery electric moped -- 00%</v>
      </c>
      <c r="AB147" s="388" t="s">
        <v>84</v>
      </c>
      <c r="AC147" s="388"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5">
        <f>IF($K148="\I:","",C148*80%)</f>
        <v>3679.14347146747</v>
      </c>
      <c r="N148" s="395">
        <f>IF($K148="\I:","",D148*80%)</f>
        <v>2404.61567046235</v>
      </c>
      <c r="O148" s="395">
        <f>IF($K148="\I:","",E148*80%)</f>
        <v>2195.19324454916</v>
      </c>
      <c r="P148" s="395">
        <f>IF($K148="\I:","",F148*80%)</f>
        <v>2049.21693078874</v>
      </c>
      <c r="Q148">
        <f t="shared" ref="Q148:Q155" si="54">P148</f>
        <v>2049.21693078874</v>
      </c>
      <c r="R148">
        <v>3</v>
      </c>
      <c r="W148" s="396">
        <v>0.05</v>
      </c>
      <c r="Z148" t="str">
        <f t="shared" si="31"/>
        <v>Trd_2w_elc50_100</v>
      </c>
      <c r="AA148" t="str">
        <f ca="1" t="shared" si="32"/>
        <v>Battery electric moped -- 10000%</v>
      </c>
      <c r="AB148" s="388" t="s">
        <v>84</v>
      </c>
      <c r="AC148" s="388"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5">
        <f t="shared" ref="M149:M155" si="56">IF($K149="\I:","",C149*80%)</f>
        <v>3860.91748839131</v>
      </c>
      <c r="N149" s="395">
        <f t="shared" ref="N149:N155" si="57">IF($K149="\I:","",D149*80%)</f>
        <v>2483.3220055192</v>
      </c>
      <c r="O149" s="395">
        <f t="shared" ref="O149:O155" si="58">IF($K149="\I:","",E149*80%)</f>
        <v>2256.96414363293</v>
      </c>
      <c r="P149" s="395">
        <f t="shared" ref="P149:P155" si="59">IF($K149="\I:","",F149*80%)</f>
        <v>2099.1831126628</v>
      </c>
      <c r="Q149">
        <f t="shared" si="54"/>
        <v>2099.1831126628</v>
      </c>
      <c r="R149">
        <v>3</v>
      </c>
      <c r="W149" s="396">
        <v>0.075</v>
      </c>
      <c r="Z149" t="str">
        <f t="shared" si="31"/>
        <v>Trd_2w_elc50_109</v>
      </c>
      <c r="AA149" t="str">
        <f ca="1" t="shared" si="32"/>
        <v>Battery electric moped -- 10857%</v>
      </c>
      <c r="AB149" s="388" t="s">
        <v>84</v>
      </c>
      <c r="AC149" s="388"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5">
        <f t="shared" si="56"/>
        <v>3932.23655260236</v>
      </c>
      <c r="N150" s="395">
        <f t="shared" si="57"/>
        <v>2514.202448493</v>
      </c>
      <c r="O150" s="395">
        <f t="shared" si="58"/>
        <v>2281.19996563149</v>
      </c>
      <c r="P150" s="395">
        <f t="shared" si="59"/>
        <v>2118.78735200218</v>
      </c>
      <c r="Q150">
        <f t="shared" si="54"/>
        <v>2118.78735200218</v>
      </c>
      <c r="R150">
        <v>3</v>
      </c>
      <c r="W150" s="396">
        <v>0.1</v>
      </c>
      <c r="Z150" t="str">
        <f t="shared" si="31"/>
        <v>Trd_2w_elc50_117</v>
      </c>
      <c r="AA150" t="str">
        <f ca="1" t="shared" si="32"/>
        <v>Battery electric moped -- 11714%</v>
      </c>
      <c r="AB150" s="388" t="s">
        <v>84</v>
      </c>
      <c r="AC150" s="388"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5">
        <f t="shared" si="56"/>
        <v>3940.50813050182</v>
      </c>
      <c r="N151" s="395">
        <f t="shared" si="57"/>
        <v>2517.78395916554</v>
      </c>
      <c r="O151" s="395">
        <f t="shared" si="58"/>
        <v>2284.01083383112</v>
      </c>
      <c r="P151" s="395">
        <f t="shared" si="59"/>
        <v>2121.0610497105</v>
      </c>
      <c r="Q151">
        <f t="shared" si="54"/>
        <v>2121.0610497105</v>
      </c>
      <c r="R151">
        <v>3</v>
      </c>
      <c r="W151" s="396">
        <v>0.125</v>
      </c>
      <c r="Z151" t="str">
        <f t="shared" si="31"/>
        <v>Trd_2w_elc50_126</v>
      </c>
      <c r="AA151" t="str">
        <f ca="1" t="shared" si="32"/>
        <v>Battery electric moped -- 12571%</v>
      </c>
      <c r="AB151" s="388" t="s">
        <v>84</v>
      </c>
      <c r="AC151" s="388"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5">
        <f t="shared" si="56"/>
        <v>4025.34556205981</v>
      </c>
      <c r="N152" s="395">
        <f t="shared" si="57"/>
        <v>2554.51772027488</v>
      </c>
      <c r="O152" s="395">
        <f t="shared" si="58"/>
        <v>2312.84050108488</v>
      </c>
      <c r="P152" s="395">
        <f t="shared" si="59"/>
        <v>2144.38122828547</v>
      </c>
      <c r="Q152">
        <f t="shared" si="54"/>
        <v>2144.38122828547</v>
      </c>
      <c r="R152">
        <v>3</v>
      </c>
      <c r="W152" s="396">
        <v>0.15</v>
      </c>
      <c r="Z152" t="str">
        <f t="shared" ref="Z152:Z155" si="60">K152</f>
        <v>Trd_2w_elc50_134</v>
      </c>
      <c r="AA152" t="str">
        <f ca="1">OFFSET($W$1,MATCH(J152,$W$1:$W$11,0)-1,-1)&amp;" -- "&amp;TEXT(B152,"00%")</f>
        <v>Battery electric moped -- 13429%</v>
      </c>
      <c r="AB152" s="388" t="s">
        <v>84</v>
      </c>
      <c r="AC152" s="388"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5">
        <f t="shared" si="56"/>
        <v>4099.89011158694</v>
      </c>
      <c r="N153" s="395">
        <f t="shared" si="57"/>
        <v>2586.79476619725</v>
      </c>
      <c r="O153" s="395">
        <f t="shared" si="58"/>
        <v>2338.17241553563</v>
      </c>
      <c r="P153" s="395">
        <f t="shared" si="59"/>
        <v>2164.87209151458</v>
      </c>
      <c r="Q153">
        <f t="shared" si="54"/>
        <v>2164.87209151458</v>
      </c>
      <c r="R153">
        <v>3</v>
      </c>
      <c r="W153" s="396">
        <v>0.175</v>
      </c>
      <c r="Z153" t="str">
        <f t="shared" si="60"/>
        <v>Trd_2w_elc50_143</v>
      </c>
      <c r="AA153" t="str">
        <f ca="1">OFFSET($W$1,MATCH(J153,$W$1:$W$11,0)-1,-1)&amp;" -- "&amp;TEXT(B153,"00%")</f>
        <v>Battery electric moped -- 14286%</v>
      </c>
      <c r="AB153" s="388" t="s">
        <v>84</v>
      </c>
      <c r="AC153" s="388"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5">
        <f t="shared" si="56"/>
        <v>4219.48155011357</v>
      </c>
      <c r="N154" s="395">
        <f t="shared" si="57"/>
        <v>2638.57666544719</v>
      </c>
      <c r="O154" s="395">
        <f t="shared" si="58"/>
        <v>2378.81227598173</v>
      </c>
      <c r="P154" s="395">
        <f t="shared" si="59"/>
        <v>2197.74547831169</v>
      </c>
      <c r="Q154">
        <f t="shared" si="54"/>
        <v>2197.74547831169</v>
      </c>
      <c r="R154">
        <v>3</v>
      </c>
      <c r="W154" s="396">
        <v>0.2</v>
      </c>
      <c r="Z154" t="str">
        <f t="shared" si="60"/>
        <v>Trd_2w_elc50_151</v>
      </c>
      <c r="AA154" t="str">
        <f ca="1">OFFSET($W$1,MATCH(J154,$W$1:$W$11,0)-1,-1)&amp;" -- "&amp;TEXT(B154,"00%")</f>
        <v>Battery electric moped -- 15143%</v>
      </c>
      <c r="AB154" s="388" t="s">
        <v>84</v>
      </c>
      <c r="AC154" s="388"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5">
        <f t="shared" si="56"/>
        <v>4334.75322756503</v>
      </c>
      <c r="N155" s="395">
        <f t="shared" si="57"/>
        <v>2688.48815126675</v>
      </c>
      <c r="O155" s="395">
        <f t="shared" si="58"/>
        <v>2417.98418446222</v>
      </c>
      <c r="P155" s="395">
        <f t="shared" si="59"/>
        <v>2229.43144585501</v>
      </c>
      <c r="Q155">
        <f t="shared" si="54"/>
        <v>2229.43144585501</v>
      </c>
      <c r="R155">
        <v>3</v>
      </c>
      <c r="W155" s="386"/>
      <c r="Z155" t="str">
        <f t="shared" si="60"/>
        <v>Trd_2w_elc50_160</v>
      </c>
      <c r="AA155" t="str">
        <f ca="1">OFFSET($W$1,MATCH(J155,$W$1:$W$11,0)-1,-1)&amp;" -- "&amp;TEXT(B155,"00%")</f>
        <v>Battery electric moped -- 16000%</v>
      </c>
      <c r="AB155" s="388" t="s">
        <v>84</v>
      </c>
      <c r="AC155" s="388"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71" t="s">
        <v>10</v>
      </c>
      <c r="C1" s="372"/>
      <c r="D1" s="372"/>
      <c r="E1" s="372"/>
      <c r="F1" s="373"/>
      <c r="U1" t="s">
        <v>51</v>
      </c>
      <c r="V1" t="s">
        <v>148</v>
      </c>
      <c r="W1" t="str">
        <f>"Trd_bus_"&amp;U1</f>
        <v>Trd_bus_dsl</v>
      </c>
    </row>
    <row r="2" spans="2:28">
      <c r="B2" s="374" t="s">
        <v>9</v>
      </c>
      <c r="C2" s="375"/>
      <c r="D2" s="375"/>
      <c r="E2" s="375"/>
      <c r="F2" s="375"/>
      <c r="U2" t="s">
        <v>54</v>
      </c>
      <c r="V2" t="s">
        <v>149</v>
      </c>
      <c r="W2" t="str">
        <f t="shared" ref="W2:W6" si="0">"Trd_bus_"&amp;U2</f>
        <v>Trd_bus_dsl-hyb</v>
      </c>
    </row>
    <row r="3" ht="18.5" spans="2:28">
      <c r="B3" s="376" t="s">
        <v>150</v>
      </c>
      <c r="C3" s="377"/>
      <c r="D3" s="377"/>
      <c r="E3" s="377"/>
      <c r="F3" s="378"/>
      <c r="U3" t="s">
        <v>59</v>
      </c>
      <c r="V3" t="s">
        <v>151</v>
      </c>
      <c r="W3" t="str">
        <f t="shared" si="0"/>
        <v>Trd_bus_cng</v>
      </c>
    </row>
    <row r="4" spans="2:28">
      <c r="I4" s="379">
        <v>0.038</v>
      </c>
      <c r="J4" s="379" t="s">
        <v>50</v>
      </c>
      <c r="U4" t="s">
        <v>61</v>
      </c>
      <c r="V4" t="s">
        <v>152</v>
      </c>
      <c r="W4" t="str">
        <f>"\I:Trd_bus_"&amp;U4</f>
        <v>\I:Trd_bus_lpg</v>
      </c>
    </row>
    <row r="5" ht="15" customHeight="1" spans="2:28">
      <c r="B5" s="44" t="s">
        <v>153</v>
      </c>
      <c r="I5" s="380">
        <f>1.406/26.137</f>
        <v>0.053793472854574</v>
      </c>
      <c r="J5" s="379" t="s">
        <v>53</v>
      </c>
      <c r="U5" t="s">
        <v>66</v>
      </c>
      <c r="V5" t="s">
        <v>154</v>
      </c>
      <c r="W5" t="str">
        <f t="shared" si="0"/>
        <v>Trd_bus_elc</v>
      </c>
    </row>
    <row r="6" spans="2:28">
      <c r="B6" s="381">
        <v>2015</v>
      </c>
      <c r="C6" s="381"/>
      <c r="D6" s="381"/>
      <c r="U6" t="s">
        <v>68</v>
      </c>
      <c r="V6" t="s">
        <v>155</v>
      </c>
      <c r="W6" t="str">
        <f t="shared" si="0"/>
        <v>Trd_bus_hh2</v>
      </c>
    </row>
    <row r="7" spans="2:28">
      <c r="B7" s="46" t="s">
        <v>12</v>
      </c>
      <c r="C7" s="47" t="s">
        <v>13</v>
      </c>
      <c r="D7" s="48">
        <v>36.5156473019872</v>
      </c>
      <c r="G7" s="382">
        <f>D7*$I$4/100*10^9/10^6</f>
        <v>13.8759459747551</v>
      </c>
      <c r="H7" s="382"/>
      <c r="I7" s="383">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4" t="s">
        <v>71</v>
      </c>
      <c r="X11" s="384" t="s">
        <v>72</v>
      </c>
      <c r="Y11" s="385"/>
      <c r="Z11" s="385"/>
      <c r="AA11" s="385"/>
      <c r="AB11" s="385"/>
    </row>
    <row r="12" spans="2:28">
      <c r="I12" t="s">
        <v>73</v>
      </c>
      <c r="J12" t="s">
        <v>74</v>
      </c>
      <c r="K12" t="s">
        <v>75</v>
      </c>
      <c r="L12" t="s">
        <v>76</v>
      </c>
      <c r="M12">
        <f>C16</f>
        <v>2020</v>
      </c>
      <c r="N12">
        <f>D16</f>
        <v>2030</v>
      </c>
      <c r="O12">
        <f>E16</f>
        <v>2040</v>
      </c>
      <c r="P12">
        <v>2050</v>
      </c>
      <c r="Q12">
        <v>2100</v>
      </c>
      <c r="R12">
        <v>0</v>
      </c>
      <c r="V12" s="386" t="s">
        <v>77</v>
      </c>
      <c r="X12" s="385" t="s">
        <v>78</v>
      </c>
      <c r="Y12" s="385" t="s">
        <v>79</v>
      </c>
      <c r="Z12" s="385" t="s">
        <v>80</v>
      </c>
      <c r="AA12" s="385" t="s">
        <v>81</v>
      </c>
      <c r="AB12" s="385" t="s">
        <v>82</v>
      </c>
    </row>
    <row r="13" spans="2:28">
      <c r="B13" s="387" t="s">
        <v>119</v>
      </c>
      <c r="C13" s="387" t="s">
        <v>148</v>
      </c>
      <c r="D13" s="387"/>
      <c r="E13" s="387"/>
      <c r="F13" s="387"/>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6"/>
      <c r="X13" t="s">
        <v>83</v>
      </c>
      <c r="Y13" t="str">
        <f>K13</f>
        <v>\I:</v>
      </c>
      <c r="Z13" t="str">
        <f ca="1">OFFSET($W$1,MATCH(J13,$W$1:$W$12,0)-1,-1)&amp;" -- "&amp;TEXT(B13,"00%")</f>
        <v>Diesel bus -- Reduction of specific energy consumption relative to 2015 diesel vehicle(%)</v>
      </c>
      <c r="AA13" s="388" t="s">
        <v>84</v>
      </c>
      <c r="AB13" s="388" t="s">
        <v>85</v>
      </c>
    </row>
    <row r="14" spans="2:28">
      <c r="B14" s="387"/>
      <c r="C14" s="387"/>
      <c r="D14" s="387"/>
      <c r="E14" s="387"/>
      <c r="F14" s="387"/>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6"/>
      <c r="X14" t="s">
        <v>83</v>
      </c>
      <c r="Y14" t="str">
        <f t="shared" ref="Y14:Y23" si="8">K14</f>
        <v>\I:</v>
      </c>
      <c r="Z14" t="str">
        <f ca="1" t="shared" ref="Z14:Z23" si="9">OFFSET($W$1,MATCH(J14,$W$1:$W$12,0)-1,-1)&amp;" -- "&amp;TEXT(B14,"00%")</f>
        <v>Diesel bus -- 00%</v>
      </c>
      <c r="AA14" s="388" t="s">
        <v>84</v>
      </c>
      <c r="AB14" s="388" t="s">
        <v>85</v>
      </c>
    </row>
    <row r="15" spans="2:28">
      <c r="B15" s="387"/>
      <c r="C15" s="387"/>
      <c r="D15" s="387"/>
      <c r="E15" s="387"/>
      <c r="F15" s="387"/>
      <c r="J15" t="str">
        <f t="shared" si="1"/>
        <v>Trd_bus_dsl</v>
      </c>
      <c r="K15" t="str">
        <f t="shared" si="2"/>
        <v>\I:</v>
      </c>
      <c r="L15" t="str">
        <f t="shared" si="3"/>
        <v>\I:</v>
      </c>
      <c r="M15" t="str">
        <f t="shared" si="4"/>
        <v/>
      </c>
      <c r="N15" t="str">
        <f t="shared" si="5"/>
        <v/>
      </c>
      <c r="O15" t="str">
        <f t="shared" si="6"/>
        <v/>
      </c>
      <c r="P15" t="str">
        <f t="shared" si="7"/>
        <v/>
      </c>
      <c r="V15" s="386"/>
      <c r="X15" t="s">
        <v>83</v>
      </c>
      <c r="Y15" t="str">
        <f t="shared" si="8"/>
        <v>\I:</v>
      </c>
      <c r="Z15" t="str">
        <f ca="1" t="shared" si="9"/>
        <v>Diesel bus -- 00%</v>
      </c>
      <c r="AA15" s="388" t="s">
        <v>84</v>
      </c>
      <c r="AB15" s="388"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6"/>
      <c r="X16" t="s">
        <v>83</v>
      </c>
      <c r="Y16" t="str">
        <f t="shared" si="8"/>
        <v>\I:</v>
      </c>
      <c r="Z16" t="str">
        <f ca="1" t="shared" si="9"/>
        <v>Diesel bus -- 00%</v>
      </c>
      <c r="AA16" s="388" t="s">
        <v>84</v>
      </c>
      <c r="AB16" s="388" t="s">
        <v>85</v>
      </c>
    </row>
    <row r="17" spans="2:28">
      <c r="B17" s="85">
        <v>0.0409380868944008</v>
      </c>
      <c r="C17" s="86">
        <v>277035.545225282</v>
      </c>
      <c r="D17" s="86">
        <v>277035.545225282</v>
      </c>
      <c r="E17" s="86">
        <v>277035.545225282</v>
      </c>
      <c r="F17" s="86">
        <v>277035.545225282</v>
      </c>
      <c r="I17" s="389">
        <f>(1+B17)</f>
        <v>1.0409380868944</v>
      </c>
      <c r="J17" t="str">
        <f t="shared" si="1"/>
        <v>Trd_bus_dsl</v>
      </c>
      <c r="K17" t="str">
        <f t="shared" si="2"/>
        <v>Trd_bus_dsl_04</v>
      </c>
      <c r="L17" t="str">
        <f t="shared" si="3"/>
        <v>Trd_bus</v>
      </c>
      <c r="M17" s="390">
        <f t="shared" si="4"/>
        <v>277035.545225282</v>
      </c>
      <c r="N17" s="390">
        <f t="shared" si="5"/>
        <v>277035.545225282</v>
      </c>
      <c r="O17" s="390">
        <f t="shared" si="6"/>
        <v>277035.545225282</v>
      </c>
      <c r="P17" s="390">
        <f t="shared" si="7"/>
        <v>277035.545225282</v>
      </c>
      <c r="Q17">
        <f t="shared" ref="Q17:Q24" si="10">P17</f>
        <v>277035.545225282</v>
      </c>
      <c r="R17">
        <v>3</v>
      </c>
      <c r="V17" s="386"/>
      <c r="X17" t="s">
        <v>83</v>
      </c>
      <c r="Y17" t="str">
        <f t="shared" si="8"/>
        <v>Trd_bus_dsl_04</v>
      </c>
      <c r="Z17" t="str">
        <f ca="1" t="shared" si="9"/>
        <v>Diesel bus -- 04%</v>
      </c>
      <c r="AA17" s="388" t="s">
        <v>84</v>
      </c>
      <c r="AB17" s="388" t="s">
        <v>85</v>
      </c>
    </row>
    <row r="18" spans="2:28">
      <c r="B18" s="85">
        <v>0.0609380868944008</v>
      </c>
      <c r="C18" s="86">
        <v>278399.905207018</v>
      </c>
      <c r="D18" s="86">
        <v>277922.612863842</v>
      </c>
      <c r="E18" s="86">
        <v>277922.612863842</v>
      </c>
      <c r="F18" s="86">
        <v>277922.612863842</v>
      </c>
      <c r="I18" s="389">
        <f t="shared" ref="I18:I23" si="11">(1+B18)</f>
        <v>1.0609380868944</v>
      </c>
      <c r="J18" t="str">
        <f t="shared" si="1"/>
        <v>Trd_bus_dsl</v>
      </c>
      <c r="K18" t="str">
        <f t="shared" si="2"/>
        <v>Trd_bus_dsl_06</v>
      </c>
      <c r="L18" t="str">
        <f t="shared" si="3"/>
        <v>Trd_bus</v>
      </c>
      <c r="M18" s="390">
        <f t="shared" si="4"/>
        <v>278399.905207018</v>
      </c>
      <c r="N18" s="390">
        <f t="shared" si="5"/>
        <v>277922.612863842</v>
      </c>
      <c r="O18" s="390">
        <f t="shared" si="6"/>
        <v>277922.612863842</v>
      </c>
      <c r="P18" s="390">
        <f t="shared" si="7"/>
        <v>277922.612863842</v>
      </c>
      <c r="Q18">
        <f t="shared" si="10"/>
        <v>277922.612863842</v>
      </c>
      <c r="R18">
        <v>3</v>
      </c>
      <c r="V18" s="386"/>
      <c r="X18" t="s">
        <v>83</v>
      </c>
      <c r="Y18" t="str">
        <f t="shared" si="8"/>
        <v>Trd_bus_dsl_06</v>
      </c>
      <c r="Z18" t="str">
        <f ca="1" t="shared" si="9"/>
        <v>Diesel bus -- 06%</v>
      </c>
      <c r="AA18" s="388" t="s">
        <v>84</v>
      </c>
      <c r="AB18" s="388" t="s">
        <v>85</v>
      </c>
    </row>
    <row r="19" spans="2:28">
      <c r="B19" s="85">
        <v>0.0809380868944008</v>
      </c>
      <c r="C19" s="86">
        <v>280340.227892535</v>
      </c>
      <c r="D19" s="86">
        <v>280036.119387962</v>
      </c>
      <c r="E19" s="86">
        <v>280036.119387962</v>
      </c>
      <c r="F19" s="86">
        <v>280036.119387962</v>
      </c>
      <c r="I19" s="389">
        <f t="shared" si="11"/>
        <v>1.0809380868944</v>
      </c>
      <c r="J19" t="str">
        <f t="shared" si="1"/>
        <v>Trd_bus_dsl</v>
      </c>
      <c r="K19" t="str">
        <f t="shared" si="2"/>
        <v>Trd_bus_dsl_08</v>
      </c>
      <c r="L19" t="str">
        <f t="shared" si="3"/>
        <v>Trd_bus</v>
      </c>
      <c r="M19" s="390">
        <f t="shared" si="4"/>
        <v>280340.227892535</v>
      </c>
      <c r="N19" s="390">
        <f t="shared" si="5"/>
        <v>280036.119387962</v>
      </c>
      <c r="O19" s="390">
        <f t="shared" si="6"/>
        <v>280036.119387962</v>
      </c>
      <c r="P19" s="390">
        <f t="shared" si="7"/>
        <v>280036.119387962</v>
      </c>
      <c r="Q19">
        <f t="shared" si="10"/>
        <v>280036.119387962</v>
      </c>
      <c r="R19">
        <v>3</v>
      </c>
      <c r="V19" s="386"/>
      <c r="X19" t="s">
        <v>83</v>
      </c>
      <c r="Y19" t="str">
        <f t="shared" si="8"/>
        <v>Trd_bus_dsl_08</v>
      </c>
      <c r="Z19" t="str">
        <f ca="1" t="shared" si="9"/>
        <v>Diesel bus -- 08%</v>
      </c>
      <c r="AA19" s="388" t="s">
        <v>84</v>
      </c>
      <c r="AB19" s="388" t="s">
        <v>85</v>
      </c>
    </row>
    <row r="20" spans="2:28">
      <c r="B20" s="85">
        <v>0.110938086894401</v>
      </c>
      <c r="C20" s="86">
        <v>282100.178960952</v>
      </c>
      <c r="D20" s="86">
        <v>281836.46388557</v>
      </c>
      <c r="E20" s="86">
        <v>281836.46388557</v>
      </c>
      <c r="F20" s="86">
        <v>281836.46388557</v>
      </c>
      <c r="I20" s="389">
        <f t="shared" si="11"/>
        <v>1.1109380868944</v>
      </c>
      <c r="J20" t="str">
        <f t="shared" si="1"/>
        <v>Trd_bus_dsl</v>
      </c>
      <c r="K20" t="str">
        <f t="shared" si="2"/>
        <v>Trd_bus_dsl_11</v>
      </c>
      <c r="L20" t="str">
        <f t="shared" si="3"/>
        <v>Trd_bus</v>
      </c>
      <c r="M20" s="390">
        <f t="shared" si="4"/>
        <v>282100.178960952</v>
      </c>
      <c r="N20" s="390">
        <f t="shared" si="5"/>
        <v>281836.46388557</v>
      </c>
      <c r="O20" s="390">
        <f t="shared" si="6"/>
        <v>281836.46388557</v>
      </c>
      <c r="P20" s="390">
        <f t="shared" si="7"/>
        <v>281836.46388557</v>
      </c>
      <c r="Q20">
        <f t="shared" si="10"/>
        <v>281836.46388557</v>
      </c>
      <c r="R20">
        <v>3</v>
      </c>
      <c r="V20" s="386"/>
      <c r="X20" t="s">
        <v>83</v>
      </c>
      <c r="Y20" t="str">
        <f t="shared" si="8"/>
        <v>Trd_bus_dsl_11</v>
      </c>
      <c r="Z20" t="str">
        <f ca="1" t="shared" si="9"/>
        <v>Diesel bus -- 11%</v>
      </c>
      <c r="AA20" s="388" t="s">
        <v>84</v>
      </c>
      <c r="AB20" s="388" t="s">
        <v>85</v>
      </c>
    </row>
    <row r="21" spans="2:28">
      <c r="B21" s="85">
        <v>0.140938086894401</v>
      </c>
      <c r="C21" s="86">
        <v>284796.605674726</v>
      </c>
      <c r="D21" s="86">
        <v>284536.980631981</v>
      </c>
      <c r="E21" s="86">
        <v>284536.980631981</v>
      </c>
      <c r="F21" s="86">
        <v>284536.980631981</v>
      </c>
      <c r="I21" s="389">
        <f t="shared" si="11"/>
        <v>1.1409380868944</v>
      </c>
      <c r="J21" t="str">
        <f t="shared" si="1"/>
        <v>Trd_bus_dsl</v>
      </c>
      <c r="K21" t="str">
        <f t="shared" si="2"/>
        <v>Trd_bus_dsl_14</v>
      </c>
      <c r="L21" t="str">
        <f t="shared" si="3"/>
        <v>Trd_bus</v>
      </c>
      <c r="M21" s="390">
        <f t="shared" si="4"/>
        <v>284796.605674726</v>
      </c>
      <c r="N21" s="390">
        <f t="shared" si="5"/>
        <v>284536.980631981</v>
      </c>
      <c r="O21" s="390">
        <f t="shared" si="6"/>
        <v>284536.980631981</v>
      </c>
      <c r="P21" s="390">
        <f t="shared" si="7"/>
        <v>284536.980631981</v>
      </c>
      <c r="Q21">
        <f t="shared" si="10"/>
        <v>284536.980631981</v>
      </c>
      <c r="R21">
        <v>3</v>
      </c>
      <c r="V21" s="386"/>
      <c r="X21" t="s">
        <v>83</v>
      </c>
      <c r="Y21" t="str">
        <f t="shared" si="8"/>
        <v>Trd_bus_dsl_14</v>
      </c>
      <c r="Z21" t="str">
        <f ca="1" t="shared" si="9"/>
        <v>Diesel bus -- 14%</v>
      </c>
      <c r="AA21" s="388" t="s">
        <v>84</v>
      </c>
      <c r="AB21" s="388" t="s">
        <v>85</v>
      </c>
    </row>
    <row r="22" spans="2:28">
      <c r="B22" s="85">
        <v>0.170938086894401</v>
      </c>
      <c r="C22" s="86">
        <v>312906.877352837</v>
      </c>
      <c r="D22" s="86">
        <v>289153.080385683</v>
      </c>
      <c r="E22" s="86">
        <v>289037.841876</v>
      </c>
      <c r="F22" s="86">
        <v>289037.841876</v>
      </c>
      <c r="I22" s="389">
        <f t="shared" si="11"/>
        <v>1.1709380868944</v>
      </c>
      <c r="J22" t="str">
        <f t="shared" si="1"/>
        <v>Trd_bus_dsl</v>
      </c>
      <c r="K22" t="str">
        <f t="shared" si="2"/>
        <v>Trd_bus_dsl_17</v>
      </c>
      <c r="L22" t="str">
        <f t="shared" si="3"/>
        <v>Trd_bus</v>
      </c>
      <c r="M22" s="390">
        <f t="shared" si="4"/>
        <v>312906.877352837</v>
      </c>
      <c r="N22" s="390">
        <f t="shared" si="5"/>
        <v>289153.080385683</v>
      </c>
      <c r="O22" s="390">
        <f t="shared" si="6"/>
        <v>289037.841876</v>
      </c>
      <c r="P22" s="390">
        <f t="shared" si="7"/>
        <v>289037.841876</v>
      </c>
      <c r="Q22">
        <f t="shared" si="10"/>
        <v>289037.841876</v>
      </c>
      <c r="R22">
        <v>3</v>
      </c>
      <c r="V22" s="386"/>
      <c r="X22" t="s">
        <v>83</v>
      </c>
      <c r="Y22" t="str">
        <f t="shared" si="8"/>
        <v>Trd_bus_dsl_17</v>
      </c>
      <c r="Z22" t="str">
        <f ca="1" t="shared" si="9"/>
        <v>Diesel bus -- 17%</v>
      </c>
      <c r="AA22" s="388" t="s">
        <v>84</v>
      </c>
      <c r="AB22" s="388" t="s">
        <v>85</v>
      </c>
    </row>
    <row r="23" spans="2:28">
      <c r="B23" s="85">
        <v>0.210938086894401</v>
      </c>
      <c r="C23" s="86">
        <v>374217.896441724</v>
      </c>
      <c r="D23" s="86">
        <v>299784.837414464</v>
      </c>
      <c r="E23" s="86">
        <v>293128.62465112</v>
      </c>
      <c r="F23" s="86">
        <v>293128.62465112</v>
      </c>
      <c r="I23" s="389">
        <f t="shared" si="11"/>
        <v>1.2109380868944</v>
      </c>
      <c r="J23" t="str">
        <f t="shared" si="1"/>
        <v>Trd_bus_dsl</v>
      </c>
      <c r="K23" t="str">
        <f t="shared" si="2"/>
        <v>Trd_bus_dsl_21</v>
      </c>
      <c r="L23" t="str">
        <f t="shared" si="3"/>
        <v>Trd_bus</v>
      </c>
      <c r="M23" s="390">
        <f t="shared" si="4"/>
        <v>374217.896441724</v>
      </c>
      <c r="N23" s="390">
        <f t="shared" si="5"/>
        <v>299784.837414464</v>
      </c>
      <c r="O23" s="390">
        <f t="shared" si="6"/>
        <v>293128.62465112</v>
      </c>
      <c r="P23" s="390">
        <f t="shared" si="7"/>
        <v>293128.62465112</v>
      </c>
      <c r="Q23">
        <f t="shared" si="10"/>
        <v>293128.62465112</v>
      </c>
      <c r="R23">
        <v>3</v>
      </c>
      <c r="V23" s="386"/>
      <c r="X23" t="s">
        <v>83</v>
      </c>
      <c r="Y23" t="str">
        <f t="shared" si="8"/>
        <v>Trd_bus_dsl_21</v>
      </c>
      <c r="Z23" t="str">
        <f ca="1" t="shared" si="9"/>
        <v>Diesel bus -- 21%</v>
      </c>
      <c r="AA23" s="388" t="s">
        <v>84</v>
      </c>
      <c r="AB23" s="388" t="s">
        <v>85</v>
      </c>
    </row>
    <row r="24" spans="2:28">
      <c r="J24" t="str">
        <f t="shared" si="1"/>
        <v>Trd_bus_dsl</v>
      </c>
      <c r="K24" t="str">
        <f t="shared" ref="K24:K87" si="12">IFERROR(IF(VALUE(C24)&gt;2020,J24&amp;"_"&amp;TEXT(B24*100,"00"),"\I:"),"\I:")</f>
        <v>\I:</v>
      </c>
      <c r="L24" t="str">
        <f t="shared" si="3"/>
        <v>\I:</v>
      </c>
      <c r="M24" s="390" t="str">
        <f t="shared" ref="M24:M87" si="13">IF($K24="\I:","",C24)</f>
        <v/>
      </c>
      <c r="N24" s="390" t="str">
        <f t="shared" ref="N24:N87" si="14">IF($K24="\I:","",D24)</f>
        <v/>
      </c>
      <c r="O24" s="390" t="str">
        <f t="shared" ref="O24:O87" si="15">IF($K24="\I:","",E24)</f>
        <v/>
      </c>
      <c r="P24" s="390" t="str">
        <f t="shared" ref="P24:P87" si="16">IF($K24="\I:","",F24)</f>
        <v/>
      </c>
      <c r="Q24" t="str">
        <f t="shared" si="10"/>
        <v/>
      </c>
      <c r="V24" s="386"/>
      <c r="X24" t="s">
        <v>83</v>
      </c>
      <c r="Y24" t="str">
        <f t="shared" ref="Y24:Y87" si="17">K24</f>
        <v>\I:</v>
      </c>
      <c r="Z24" t="str">
        <f ca="1" t="shared" ref="Z24:Z87" si="18">OFFSET($W$1,MATCH(J24,$W$1:$W$12,0)-1,-1)&amp;" -- "&amp;TEXT(B24,"00%")</f>
        <v>Diesel bus -- 00%</v>
      </c>
      <c r="AA24" s="388" t="s">
        <v>84</v>
      </c>
      <c r="AB24" s="388" t="s">
        <v>85</v>
      </c>
    </row>
    <row r="25" spans="2:28">
      <c r="J25" t="str">
        <f t="shared" si="1"/>
        <v>Trd_bus_dsl</v>
      </c>
      <c r="K25" t="str">
        <f t="shared" si="12"/>
        <v>\I:</v>
      </c>
      <c r="L25" t="str">
        <f t="shared" si="3"/>
        <v>\I:</v>
      </c>
      <c r="M25" s="390" t="str">
        <f t="shared" si="13"/>
        <v/>
      </c>
      <c r="N25" s="390" t="str">
        <f t="shared" si="14"/>
        <v/>
      </c>
      <c r="O25" s="390" t="str">
        <f t="shared" si="15"/>
        <v/>
      </c>
      <c r="P25" s="390" t="str">
        <f t="shared" si="16"/>
        <v/>
      </c>
      <c r="V25" s="386"/>
      <c r="X25" t="s">
        <v>83</v>
      </c>
      <c r="Y25" t="str">
        <f t="shared" si="17"/>
        <v>\I:</v>
      </c>
      <c r="Z25" t="str">
        <f ca="1" t="shared" si="18"/>
        <v>Diesel bus -- 00%</v>
      </c>
      <c r="AA25" s="388" t="s">
        <v>84</v>
      </c>
      <c r="AB25" s="388" t="s">
        <v>85</v>
      </c>
    </row>
    <row r="26" spans="2:28">
      <c r="J26" t="str">
        <f t="shared" si="1"/>
        <v>Trd_bus_dsl</v>
      </c>
      <c r="K26" t="str">
        <f t="shared" si="12"/>
        <v>\I:</v>
      </c>
      <c r="L26" t="str">
        <f t="shared" si="3"/>
        <v>\I:</v>
      </c>
      <c r="M26" s="390" t="str">
        <f t="shared" si="13"/>
        <v/>
      </c>
      <c r="N26" s="390" t="str">
        <f t="shared" si="14"/>
        <v/>
      </c>
      <c r="O26" s="390" t="str">
        <f t="shared" si="15"/>
        <v/>
      </c>
      <c r="P26" s="390" t="str">
        <f t="shared" si="16"/>
        <v/>
      </c>
      <c r="V26" s="386"/>
      <c r="X26" t="s">
        <v>83</v>
      </c>
      <c r="Y26" t="str">
        <f t="shared" si="17"/>
        <v>\I:</v>
      </c>
      <c r="Z26" t="str">
        <f ca="1" t="shared" si="18"/>
        <v>Diesel bus -- 00%</v>
      </c>
      <c r="AA26" s="388" t="s">
        <v>84</v>
      </c>
      <c r="AB26" s="388" t="s">
        <v>85</v>
      </c>
    </row>
    <row r="27" ht="15" customHeight="1" spans="2:28">
      <c r="B27" s="387" t="s">
        <v>21</v>
      </c>
      <c r="C27" s="387" t="s">
        <v>149</v>
      </c>
      <c r="D27" s="387"/>
      <c r="E27" s="387"/>
      <c r="F27" s="387"/>
      <c r="J27" t="str">
        <f t="shared" si="1"/>
        <v>Trd_bus_dsl-hyb</v>
      </c>
      <c r="K27" t="str">
        <f t="shared" si="12"/>
        <v>\I:</v>
      </c>
      <c r="L27" t="str">
        <f t="shared" si="3"/>
        <v>\I:</v>
      </c>
      <c r="M27" s="390" t="str">
        <f t="shared" si="13"/>
        <v/>
      </c>
      <c r="N27" s="390" t="str">
        <f t="shared" si="14"/>
        <v/>
      </c>
      <c r="O27" s="390" t="str">
        <f t="shared" si="15"/>
        <v/>
      </c>
      <c r="P27" s="390" t="str">
        <f t="shared" si="16"/>
        <v/>
      </c>
      <c r="V27" s="386"/>
      <c r="X27" t="s">
        <v>83</v>
      </c>
      <c r="Y27" t="str">
        <f t="shared" si="17"/>
        <v>\I:</v>
      </c>
      <c r="Z27" t="str">
        <f ca="1" t="shared" si="18"/>
        <v>Hybrid diesel bus -- Reduction of specific energy consumption relative to 2015 diesel vehicle (%)</v>
      </c>
      <c r="AA27" s="388" t="s">
        <v>84</v>
      </c>
      <c r="AB27" s="388" t="s">
        <v>85</v>
      </c>
    </row>
    <row r="28" spans="2:28">
      <c r="B28" s="387"/>
      <c r="C28" s="387"/>
      <c r="D28" s="387"/>
      <c r="E28" s="387"/>
      <c r="F28" s="387"/>
      <c r="J28" t="str">
        <f t="shared" si="1"/>
        <v>Trd_bus_dsl-hyb</v>
      </c>
      <c r="K28" t="str">
        <f t="shared" si="12"/>
        <v>\I:</v>
      </c>
      <c r="L28" t="str">
        <f t="shared" si="3"/>
        <v>\I:</v>
      </c>
      <c r="M28" s="390" t="str">
        <f t="shared" si="13"/>
        <v/>
      </c>
      <c r="N28" s="390" t="str">
        <f t="shared" si="14"/>
        <v/>
      </c>
      <c r="O28" s="390" t="str">
        <f t="shared" si="15"/>
        <v/>
      </c>
      <c r="P28" s="390" t="str">
        <f t="shared" si="16"/>
        <v/>
      </c>
      <c r="V28" s="386"/>
      <c r="X28" t="s">
        <v>83</v>
      </c>
      <c r="Y28" t="str">
        <f t="shared" si="17"/>
        <v>\I:</v>
      </c>
      <c r="Z28" t="str">
        <f ca="1" t="shared" si="18"/>
        <v>Hybrid diesel bus -- 00%</v>
      </c>
      <c r="AA28" s="388" t="s">
        <v>84</v>
      </c>
      <c r="AB28" s="388" t="s">
        <v>85</v>
      </c>
    </row>
    <row r="29" spans="2:28">
      <c r="B29" s="387"/>
      <c r="C29" s="387"/>
      <c r="D29" s="387"/>
      <c r="E29" s="387"/>
      <c r="F29" s="387"/>
      <c r="J29" t="str">
        <f t="shared" si="1"/>
        <v>Trd_bus_dsl-hyb</v>
      </c>
      <c r="K29" t="str">
        <f t="shared" si="12"/>
        <v>\I:</v>
      </c>
      <c r="L29" t="str">
        <f t="shared" si="3"/>
        <v>\I:</v>
      </c>
      <c r="M29" s="390" t="str">
        <f t="shared" si="13"/>
        <v/>
      </c>
      <c r="N29" s="390" t="str">
        <f t="shared" si="14"/>
        <v/>
      </c>
      <c r="O29" s="390" t="str">
        <f t="shared" si="15"/>
        <v/>
      </c>
      <c r="P29" s="390" t="str">
        <f t="shared" si="16"/>
        <v/>
      </c>
      <c r="V29" s="386"/>
      <c r="X29" t="s">
        <v>83</v>
      </c>
      <c r="Y29" t="str">
        <f t="shared" si="17"/>
        <v>\I:</v>
      </c>
      <c r="Z29" t="str">
        <f ca="1" t="shared" si="18"/>
        <v>Hybrid diesel bus -- 00%</v>
      </c>
      <c r="AA29" s="388" t="s">
        <v>84</v>
      </c>
      <c r="AB29" s="388" t="s">
        <v>85</v>
      </c>
    </row>
    <row r="30" spans="2:28">
      <c r="B30" s="50"/>
      <c r="C30" s="51">
        <v>2020</v>
      </c>
      <c r="D30" s="51">
        <v>2030</v>
      </c>
      <c r="E30" s="51">
        <v>2040</v>
      </c>
      <c r="F30" s="51">
        <v>2050</v>
      </c>
      <c r="J30" t="str">
        <f t="shared" si="1"/>
        <v>Trd_bus_dsl-hyb</v>
      </c>
      <c r="K30" t="str">
        <f t="shared" si="12"/>
        <v>\I:</v>
      </c>
      <c r="L30" t="str">
        <f t="shared" si="3"/>
        <v>\I:</v>
      </c>
      <c r="M30" s="390" t="str">
        <f t="shared" si="13"/>
        <v/>
      </c>
      <c r="N30" s="390" t="str">
        <f t="shared" si="14"/>
        <v/>
      </c>
      <c r="O30" s="390" t="str">
        <f t="shared" si="15"/>
        <v/>
      </c>
      <c r="P30" s="390" t="str">
        <f t="shared" si="16"/>
        <v/>
      </c>
      <c r="V30" s="386"/>
      <c r="X30" t="s">
        <v>83</v>
      </c>
      <c r="Y30" t="str">
        <f t="shared" si="17"/>
        <v>\I:</v>
      </c>
      <c r="Z30" t="str">
        <f ca="1" t="shared" si="18"/>
        <v>Hybrid diesel bus -- 00%</v>
      </c>
      <c r="AA30" s="388" t="s">
        <v>84</v>
      </c>
      <c r="AB30" s="388" t="s">
        <v>85</v>
      </c>
    </row>
    <row r="31" spans="2:28">
      <c r="B31" s="85">
        <v>0.335</v>
      </c>
      <c r="C31" s="86">
        <v>293729.977982756</v>
      </c>
      <c r="D31" s="86">
        <v>293729.977982756</v>
      </c>
      <c r="E31" s="86">
        <v>293729.977982756</v>
      </c>
      <c r="F31" s="86">
        <v>293729.977982756</v>
      </c>
      <c r="I31" s="389">
        <f t="shared" ref="I31:I38" si="19">(1+B31)</f>
        <v>1.335</v>
      </c>
      <c r="J31" t="str">
        <f t="shared" si="1"/>
        <v>Trd_bus_dsl-hyb</v>
      </c>
      <c r="K31" t="str">
        <f t="shared" si="12"/>
        <v>Trd_bus_dsl-hyb_34</v>
      </c>
      <c r="L31" t="str">
        <f t="shared" si="3"/>
        <v>Trd_bus</v>
      </c>
      <c r="M31" s="390">
        <f t="shared" si="13"/>
        <v>293729.977982756</v>
      </c>
      <c r="N31" s="390">
        <f t="shared" si="14"/>
        <v>293729.977982756</v>
      </c>
      <c r="O31" s="390">
        <f t="shared" si="15"/>
        <v>293729.977982756</v>
      </c>
      <c r="P31" s="390">
        <f t="shared" si="16"/>
        <v>293729.977982756</v>
      </c>
      <c r="Q31">
        <f t="shared" ref="Q31:Q38" si="20">P31</f>
        <v>293729.977982756</v>
      </c>
      <c r="R31">
        <v>3</v>
      </c>
      <c r="V31" s="386"/>
      <c r="X31" t="s">
        <v>83</v>
      </c>
      <c r="Y31" t="str">
        <f t="shared" si="17"/>
        <v>Trd_bus_dsl-hyb_34</v>
      </c>
      <c r="Z31" t="str">
        <f ca="1" t="shared" si="18"/>
        <v>Hybrid diesel bus -- 34%</v>
      </c>
      <c r="AA31" s="388" t="s">
        <v>84</v>
      </c>
      <c r="AB31" s="388" t="s">
        <v>85</v>
      </c>
    </row>
    <row r="32" spans="2:28">
      <c r="B32" s="85">
        <v>0.356</v>
      </c>
      <c r="C32" s="86">
        <v>294730.169370315</v>
      </c>
      <c r="D32" s="86">
        <v>294730.169370315</v>
      </c>
      <c r="E32" s="86">
        <v>294730.169370315</v>
      </c>
      <c r="F32" s="86">
        <v>294730.169370315</v>
      </c>
      <c r="I32" s="389">
        <f t="shared" si="19"/>
        <v>1.356</v>
      </c>
      <c r="J32" t="str">
        <f t="shared" si="1"/>
        <v>Trd_bus_dsl-hyb</v>
      </c>
      <c r="K32" t="str">
        <f t="shared" si="12"/>
        <v>Trd_bus_dsl-hyb_36</v>
      </c>
      <c r="L32" t="str">
        <f t="shared" si="3"/>
        <v>Trd_bus</v>
      </c>
      <c r="M32" s="390">
        <f t="shared" si="13"/>
        <v>294730.169370315</v>
      </c>
      <c r="N32" s="390">
        <f t="shared" si="14"/>
        <v>294730.169370315</v>
      </c>
      <c r="O32" s="390">
        <f t="shared" si="15"/>
        <v>294730.169370315</v>
      </c>
      <c r="P32" s="390">
        <f t="shared" si="16"/>
        <v>294730.169370315</v>
      </c>
      <c r="Q32">
        <f t="shared" si="20"/>
        <v>294730.169370315</v>
      </c>
      <c r="R32">
        <v>3</v>
      </c>
      <c r="V32" s="386"/>
      <c r="X32" t="s">
        <v>83</v>
      </c>
      <c r="Y32" t="str">
        <f t="shared" si="17"/>
        <v>Trd_bus_dsl-hyb_36</v>
      </c>
      <c r="Z32" t="str">
        <f ca="1" t="shared" si="18"/>
        <v>Hybrid diesel bus -- 36%</v>
      </c>
      <c r="AA32" s="388" t="s">
        <v>84</v>
      </c>
      <c r="AB32" s="388" t="s">
        <v>85</v>
      </c>
    </row>
    <row r="33" spans="2:28">
      <c r="B33" s="85">
        <v>0.37</v>
      </c>
      <c r="C33" s="86">
        <v>295837.202769739</v>
      </c>
      <c r="D33" s="86">
        <v>295617.237008875</v>
      </c>
      <c r="E33" s="86">
        <v>295617.237008875</v>
      </c>
      <c r="F33" s="86">
        <v>295617.237008875</v>
      </c>
      <c r="I33" s="389">
        <f t="shared" si="19"/>
        <v>1.37</v>
      </c>
      <c r="J33" t="str">
        <f t="shared" si="1"/>
        <v>Trd_bus_dsl-hyb</v>
      </c>
      <c r="K33" t="str">
        <f t="shared" si="12"/>
        <v>Trd_bus_dsl-hyb_37</v>
      </c>
      <c r="L33" t="str">
        <f t="shared" si="3"/>
        <v>Trd_bus</v>
      </c>
      <c r="M33" s="390">
        <f t="shared" si="13"/>
        <v>295837.202769739</v>
      </c>
      <c r="N33" s="390">
        <f t="shared" si="14"/>
        <v>295617.237008875</v>
      </c>
      <c r="O33" s="390">
        <f t="shared" si="15"/>
        <v>295617.237008875</v>
      </c>
      <c r="P33" s="390">
        <f t="shared" si="16"/>
        <v>295617.237008875</v>
      </c>
      <c r="Q33">
        <f t="shared" si="20"/>
        <v>295617.237008875</v>
      </c>
      <c r="R33">
        <v>3</v>
      </c>
      <c r="V33" s="386"/>
      <c r="X33" t="s">
        <v>83</v>
      </c>
      <c r="Y33" t="str">
        <f t="shared" si="17"/>
        <v>Trd_bus_dsl-hyb_37</v>
      </c>
      <c r="Z33" t="str">
        <f ca="1" t="shared" si="18"/>
        <v>Hybrid diesel bus -- 37%</v>
      </c>
      <c r="AA33" s="388" t="s">
        <v>84</v>
      </c>
      <c r="AB33" s="388" t="s">
        <v>85</v>
      </c>
    </row>
    <row r="34" spans="2:28">
      <c r="B34" s="85">
        <v>0.384</v>
      </c>
      <c r="C34" s="86">
        <v>298043.332712174</v>
      </c>
      <c r="D34" s="86">
        <v>297730.743532995</v>
      </c>
      <c r="E34" s="86">
        <v>297730.743532995</v>
      </c>
      <c r="F34" s="86">
        <v>297730.743532995</v>
      </c>
      <c r="I34" s="389">
        <f t="shared" si="19"/>
        <v>1.384</v>
      </c>
      <c r="J34" t="str">
        <f t="shared" si="1"/>
        <v>Trd_bus_dsl-hyb</v>
      </c>
      <c r="K34" t="str">
        <f t="shared" si="12"/>
        <v>Trd_bus_dsl-hyb_38</v>
      </c>
      <c r="L34" t="str">
        <f t="shared" si="3"/>
        <v>Trd_bus</v>
      </c>
      <c r="M34" s="390">
        <f t="shared" si="13"/>
        <v>298043.332712174</v>
      </c>
      <c r="N34" s="390">
        <f t="shared" si="14"/>
        <v>297730.743532995</v>
      </c>
      <c r="O34" s="390">
        <f t="shared" si="15"/>
        <v>297730.743532995</v>
      </c>
      <c r="P34" s="390">
        <f t="shared" si="16"/>
        <v>297730.743532995</v>
      </c>
      <c r="Q34">
        <f t="shared" si="20"/>
        <v>297730.743532995</v>
      </c>
      <c r="R34">
        <v>3</v>
      </c>
      <c r="V34" s="386"/>
      <c r="X34" t="s">
        <v>83</v>
      </c>
      <c r="Y34" t="str">
        <f t="shared" si="17"/>
        <v>Trd_bus_dsl-hyb_38</v>
      </c>
      <c r="Z34" t="str">
        <f ca="1" t="shared" si="18"/>
        <v>Hybrid diesel bus -- 38%</v>
      </c>
      <c r="AA34" s="388" t="s">
        <v>84</v>
      </c>
      <c r="AB34" s="388" t="s">
        <v>85</v>
      </c>
    </row>
    <row r="35" spans="2:28">
      <c r="B35" s="85">
        <v>0.405</v>
      </c>
      <c r="C35" s="86">
        <v>301248.963386945</v>
      </c>
      <c r="D35" s="86">
        <v>299531.088030602</v>
      </c>
      <c r="E35" s="86">
        <v>299531.088030602</v>
      </c>
      <c r="F35" s="86">
        <v>299531.088030602</v>
      </c>
      <c r="I35" s="389">
        <f t="shared" si="19"/>
        <v>1.405</v>
      </c>
      <c r="J35" t="str">
        <f t="shared" si="1"/>
        <v>Trd_bus_dsl-hyb</v>
      </c>
      <c r="K35" t="str">
        <f t="shared" si="12"/>
        <v>Trd_bus_dsl-hyb_41</v>
      </c>
      <c r="L35" t="str">
        <f t="shared" si="3"/>
        <v>Trd_bus</v>
      </c>
      <c r="M35" s="390">
        <f t="shared" si="13"/>
        <v>301248.963386945</v>
      </c>
      <c r="N35" s="390">
        <f t="shared" si="14"/>
        <v>299531.088030602</v>
      </c>
      <c r="O35" s="390">
        <f t="shared" si="15"/>
        <v>299531.088030602</v>
      </c>
      <c r="P35" s="390">
        <f t="shared" si="16"/>
        <v>299531.088030602</v>
      </c>
      <c r="Q35">
        <f t="shared" si="20"/>
        <v>299531.088030602</v>
      </c>
      <c r="R35">
        <v>3</v>
      </c>
      <c r="V35" s="386"/>
      <c r="X35" t="s">
        <v>83</v>
      </c>
      <c r="Y35" t="str">
        <f t="shared" si="17"/>
        <v>Trd_bus_dsl-hyb_41</v>
      </c>
      <c r="Z35" t="str">
        <f ca="1" t="shared" si="18"/>
        <v>Hybrid diesel bus -- 41%</v>
      </c>
      <c r="AA35" s="388" t="s">
        <v>84</v>
      </c>
      <c r="AB35" s="388" t="s">
        <v>85</v>
      </c>
    </row>
    <row r="36" spans="2:28">
      <c r="B36" s="85">
        <v>0.426</v>
      </c>
      <c r="C36" s="86">
        <v>306597.98392569</v>
      </c>
      <c r="D36" s="86">
        <v>302231.604777014</v>
      </c>
      <c r="E36" s="86">
        <v>302231.604777014</v>
      </c>
      <c r="F36" s="86">
        <v>302231.604777014</v>
      </c>
      <c r="I36" s="389">
        <f t="shared" si="19"/>
        <v>1.426</v>
      </c>
      <c r="J36" t="str">
        <f t="shared" si="1"/>
        <v>Trd_bus_dsl-hyb</v>
      </c>
      <c r="K36" t="str">
        <f t="shared" si="12"/>
        <v>Trd_bus_dsl-hyb_43</v>
      </c>
      <c r="L36" t="str">
        <f t="shared" si="3"/>
        <v>Trd_bus</v>
      </c>
      <c r="M36" s="390">
        <f t="shared" si="13"/>
        <v>306597.98392569</v>
      </c>
      <c r="N36" s="390">
        <f t="shared" si="14"/>
        <v>302231.604777014</v>
      </c>
      <c r="O36" s="390">
        <f t="shared" si="15"/>
        <v>302231.604777014</v>
      </c>
      <c r="P36" s="390">
        <f t="shared" si="16"/>
        <v>302231.604777014</v>
      </c>
      <c r="Q36">
        <f t="shared" si="20"/>
        <v>302231.604777014</v>
      </c>
      <c r="R36">
        <v>3</v>
      </c>
      <c r="V36" s="386"/>
      <c r="X36" t="s">
        <v>83</v>
      </c>
      <c r="Y36" t="str">
        <f t="shared" si="17"/>
        <v>Trd_bus_dsl-hyb_43</v>
      </c>
      <c r="Z36" t="str">
        <f ca="1" t="shared" si="18"/>
        <v>Hybrid diesel bus -- 43%</v>
      </c>
      <c r="AA36" s="388" t="s">
        <v>84</v>
      </c>
      <c r="AB36" s="388" t="s">
        <v>85</v>
      </c>
    </row>
    <row r="37" spans="2:28">
      <c r="B37" s="85">
        <v>0.447</v>
      </c>
      <c r="C37" s="86">
        <v>330411.842030686</v>
      </c>
      <c r="D37" s="86">
        <v>306846.788864293</v>
      </c>
      <c r="E37" s="86">
        <v>306732.466021033</v>
      </c>
      <c r="F37" s="86">
        <v>306732.466021033</v>
      </c>
      <c r="I37" s="389">
        <f t="shared" si="19"/>
        <v>1.447</v>
      </c>
      <c r="J37" t="str">
        <f t="shared" si="1"/>
        <v>Trd_bus_dsl-hyb</v>
      </c>
      <c r="K37" t="str">
        <f t="shared" si="12"/>
        <v>Trd_bus_dsl-hyb_45</v>
      </c>
      <c r="L37" t="str">
        <f t="shared" si="3"/>
        <v>Trd_bus</v>
      </c>
      <c r="M37" s="390">
        <f t="shared" si="13"/>
        <v>330411.842030686</v>
      </c>
      <c r="N37" s="390">
        <f t="shared" si="14"/>
        <v>306846.788864293</v>
      </c>
      <c r="O37" s="390">
        <f t="shared" si="15"/>
        <v>306732.466021033</v>
      </c>
      <c r="P37" s="390">
        <f t="shared" si="16"/>
        <v>306732.466021033</v>
      </c>
      <c r="Q37">
        <f t="shared" si="20"/>
        <v>306732.466021033</v>
      </c>
      <c r="R37">
        <v>3</v>
      </c>
      <c r="V37" s="386"/>
      <c r="X37" t="s">
        <v>83</v>
      </c>
      <c r="Y37" t="str">
        <f t="shared" si="17"/>
        <v>Trd_bus_dsl-hyb_45</v>
      </c>
      <c r="Z37" t="str">
        <f ca="1" t="shared" si="18"/>
        <v>Hybrid diesel bus -- 45%</v>
      </c>
      <c r="AA37" s="388" t="s">
        <v>84</v>
      </c>
      <c r="AB37" s="388" t="s">
        <v>85</v>
      </c>
    </row>
    <row r="38" spans="2:28">
      <c r="B38" s="85">
        <v>0.475</v>
      </c>
      <c r="C38" s="86">
        <v>368539.537336585</v>
      </c>
      <c r="D38" s="86">
        <v>315560.890261571</v>
      </c>
      <c r="E38" s="86">
        <v>310823.248796153</v>
      </c>
      <c r="F38" s="86">
        <v>310823.248796153</v>
      </c>
      <c r="I38" s="389">
        <f t="shared" si="19"/>
        <v>1.475</v>
      </c>
      <c r="J38" t="str">
        <f t="shared" si="1"/>
        <v>Trd_bus_dsl-hyb</v>
      </c>
      <c r="K38" t="str">
        <f t="shared" si="12"/>
        <v>Trd_bus_dsl-hyb_48</v>
      </c>
      <c r="L38" t="str">
        <f t="shared" si="3"/>
        <v>Trd_bus</v>
      </c>
      <c r="M38" s="390">
        <f t="shared" si="13"/>
        <v>368539.537336585</v>
      </c>
      <c r="N38" s="390">
        <f t="shared" si="14"/>
        <v>315560.890261571</v>
      </c>
      <c r="O38" s="390">
        <f t="shared" si="15"/>
        <v>310823.248796153</v>
      </c>
      <c r="P38" s="390">
        <f t="shared" si="16"/>
        <v>310823.248796153</v>
      </c>
      <c r="Q38">
        <f t="shared" si="20"/>
        <v>310823.248796153</v>
      </c>
      <c r="R38">
        <v>3</v>
      </c>
      <c r="V38" s="386"/>
      <c r="X38" t="s">
        <v>83</v>
      </c>
      <c r="Y38" t="str">
        <f t="shared" si="17"/>
        <v>Trd_bus_dsl-hyb_48</v>
      </c>
      <c r="Z38" t="str">
        <f ca="1" t="shared" si="18"/>
        <v>Hybrid diesel bus -- 48%</v>
      </c>
      <c r="AA38" s="388" t="s">
        <v>84</v>
      </c>
      <c r="AB38" s="388" t="s">
        <v>85</v>
      </c>
    </row>
    <row r="39" spans="2:28">
      <c r="J39" t="str">
        <f t="shared" si="1"/>
        <v>Trd_bus_dsl-hyb</v>
      </c>
      <c r="K39" t="str">
        <f t="shared" si="12"/>
        <v>\I:</v>
      </c>
      <c r="L39" t="str">
        <f t="shared" si="3"/>
        <v>\I:</v>
      </c>
      <c r="M39" s="390" t="str">
        <f t="shared" si="13"/>
        <v/>
      </c>
      <c r="N39" s="390" t="str">
        <f t="shared" si="14"/>
        <v/>
      </c>
      <c r="O39" s="390" t="str">
        <f t="shared" si="15"/>
        <v/>
      </c>
      <c r="P39" s="390" t="str">
        <f t="shared" si="16"/>
        <v/>
      </c>
      <c r="V39" s="386"/>
      <c r="X39" t="s">
        <v>83</v>
      </c>
      <c r="Y39" t="str">
        <f t="shared" si="17"/>
        <v>\I:</v>
      </c>
      <c r="Z39" t="str">
        <f ca="1" t="shared" si="18"/>
        <v>Hybrid diesel bus -- 00%</v>
      </c>
      <c r="AA39" s="388" t="s">
        <v>84</v>
      </c>
      <c r="AB39" s="388" t="s">
        <v>85</v>
      </c>
    </row>
    <row r="40" spans="2:28">
      <c r="J40" t="str">
        <f t="shared" si="1"/>
        <v>Trd_bus_dsl-hyb</v>
      </c>
      <c r="K40" t="str">
        <f t="shared" si="12"/>
        <v>\I:</v>
      </c>
      <c r="L40" t="str">
        <f t="shared" si="3"/>
        <v>\I:</v>
      </c>
      <c r="M40" s="390" t="str">
        <f t="shared" si="13"/>
        <v/>
      </c>
      <c r="N40" s="390" t="str">
        <f t="shared" si="14"/>
        <v/>
      </c>
      <c r="O40" s="390" t="str">
        <f t="shared" si="15"/>
        <v/>
      </c>
      <c r="P40" s="390" t="str">
        <f t="shared" si="16"/>
        <v/>
      </c>
      <c r="V40" s="386"/>
      <c r="X40" t="s">
        <v>83</v>
      </c>
      <c r="Y40" t="str">
        <f t="shared" si="17"/>
        <v>\I:</v>
      </c>
      <c r="Z40" t="str">
        <f ca="1" t="shared" si="18"/>
        <v>Hybrid diesel bus -- 00%</v>
      </c>
      <c r="AA40" s="388" t="s">
        <v>84</v>
      </c>
      <c r="AB40" s="388" t="s">
        <v>85</v>
      </c>
    </row>
    <row r="41" spans="2:28">
      <c r="J41" t="str">
        <f t="shared" si="1"/>
        <v>Trd_bus_dsl-hyb</v>
      </c>
      <c r="K41" t="str">
        <f t="shared" si="12"/>
        <v>\I:</v>
      </c>
      <c r="L41" t="str">
        <f t="shared" si="3"/>
        <v>\I:</v>
      </c>
      <c r="M41" s="390" t="str">
        <f t="shared" si="13"/>
        <v/>
      </c>
      <c r="N41" s="390" t="str">
        <f t="shared" si="14"/>
        <v/>
      </c>
      <c r="O41" s="390" t="str">
        <f t="shared" si="15"/>
        <v/>
      </c>
      <c r="P41" s="390" t="str">
        <f t="shared" si="16"/>
        <v/>
      </c>
      <c r="V41" s="386"/>
      <c r="X41" t="s">
        <v>83</v>
      </c>
      <c r="Y41" t="str">
        <f t="shared" si="17"/>
        <v>\I:</v>
      </c>
      <c r="Z41" t="str">
        <f ca="1" t="shared" si="18"/>
        <v>Hybrid diesel bus -- 00%</v>
      </c>
      <c r="AA41" s="388" t="s">
        <v>84</v>
      </c>
      <c r="AB41" s="388" t="s">
        <v>85</v>
      </c>
    </row>
    <row r="42" spans="2:28">
      <c r="J42" t="str">
        <f t="shared" si="1"/>
        <v>Trd_bus_dsl-hyb</v>
      </c>
      <c r="K42" t="str">
        <f t="shared" si="12"/>
        <v>\I:</v>
      </c>
      <c r="L42" t="str">
        <f t="shared" si="3"/>
        <v>\I:</v>
      </c>
      <c r="M42" s="390" t="str">
        <f t="shared" si="13"/>
        <v/>
      </c>
      <c r="N42" s="390" t="str">
        <f t="shared" si="14"/>
        <v/>
      </c>
      <c r="O42" s="390" t="str">
        <f t="shared" si="15"/>
        <v/>
      </c>
      <c r="P42" s="390" t="str">
        <f t="shared" si="16"/>
        <v/>
      </c>
      <c r="V42" s="386"/>
      <c r="X42" t="s">
        <v>83</v>
      </c>
      <c r="Y42" t="str">
        <f t="shared" si="17"/>
        <v>\I:</v>
      </c>
      <c r="Z42" t="str">
        <f ca="1" t="shared" si="18"/>
        <v>Hybrid diesel bus -- 00%</v>
      </c>
      <c r="AA42" s="388" t="s">
        <v>84</v>
      </c>
      <c r="AB42" s="388" t="s">
        <v>85</v>
      </c>
    </row>
    <row r="43" spans="2:28">
      <c r="B43" s="44" t="s">
        <v>159</v>
      </c>
      <c r="J43" t="str">
        <f t="shared" si="1"/>
        <v>Trd_bus_dsl-hyb</v>
      </c>
      <c r="K43" t="str">
        <f t="shared" si="12"/>
        <v>\I:</v>
      </c>
      <c r="L43" t="str">
        <f t="shared" si="3"/>
        <v>\I:</v>
      </c>
      <c r="M43" s="390" t="str">
        <f t="shared" si="13"/>
        <v/>
      </c>
      <c r="N43" s="390" t="str">
        <f t="shared" si="14"/>
        <v/>
      </c>
      <c r="O43" s="390" t="str">
        <f t="shared" si="15"/>
        <v/>
      </c>
      <c r="P43" s="390" t="str">
        <f t="shared" si="16"/>
        <v/>
      </c>
      <c r="V43" s="386"/>
      <c r="X43" t="s">
        <v>83</v>
      </c>
      <c r="Y43" t="str">
        <f t="shared" si="17"/>
        <v>\I:</v>
      </c>
      <c r="Z43" t="str">
        <f ca="1" t="shared" si="18"/>
        <v>Hybrid diesel bus -- Reference values for CNG bus</v>
      </c>
      <c r="AA43" s="388" t="s">
        <v>84</v>
      </c>
      <c r="AB43" s="388" t="s">
        <v>85</v>
      </c>
    </row>
    <row r="44" spans="2:28">
      <c r="B44" s="381">
        <v>2015</v>
      </c>
      <c r="C44" s="381"/>
      <c r="D44" s="381"/>
      <c r="J44" t="str">
        <f t="shared" si="1"/>
        <v>Trd_bus_dsl-hyb</v>
      </c>
      <c r="K44" t="str">
        <f t="shared" si="12"/>
        <v>\I:</v>
      </c>
      <c r="L44" t="str">
        <f t="shared" si="3"/>
        <v>\I:</v>
      </c>
      <c r="M44" s="390" t="str">
        <f t="shared" si="13"/>
        <v/>
      </c>
      <c r="N44" s="390" t="str">
        <f t="shared" si="14"/>
        <v/>
      </c>
      <c r="O44" s="390" t="str">
        <f t="shared" si="15"/>
        <v/>
      </c>
      <c r="P44" s="390" t="str">
        <f t="shared" si="16"/>
        <v/>
      </c>
      <c r="V44" s="386"/>
      <c r="X44" t="s">
        <v>83</v>
      </c>
      <c r="Y44" t="str">
        <f t="shared" si="17"/>
        <v>\I:</v>
      </c>
      <c r="Z44" t="str">
        <f ca="1" t="shared" si="18"/>
        <v>Hybrid diesel bus -- 201500%</v>
      </c>
      <c r="AA44" s="388" t="s">
        <v>84</v>
      </c>
      <c r="AB44" s="388" t="s">
        <v>85</v>
      </c>
    </row>
    <row r="45" spans="2:28">
      <c r="B45" s="46" t="s">
        <v>12</v>
      </c>
      <c r="C45" s="47" t="s">
        <v>88</v>
      </c>
      <c r="D45" s="48">
        <v>30.3656435458631</v>
      </c>
      <c r="G45" s="382">
        <f>D45*$I$5/100*10^9/10^6</f>
        <v>16.3347342179606</v>
      </c>
      <c r="H45" s="382"/>
      <c r="I45" s="391">
        <f>1/G45</f>
        <v>0.0612192391168794</v>
      </c>
      <c r="J45" t="str">
        <f t="shared" si="1"/>
        <v>Trd_bus_dsl-hyb</v>
      </c>
      <c r="K45" t="str">
        <f t="shared" si="12"/>
        <v>\I:</v>
      </c>
      <c r="L45" t="str">
        <f t="shared" si="3"/>
        <v>\I:</v>
      </c>
      <c r="M45" s="390" t="str">
        <f t="shared" si="13"/>
        <v/>
      </c>
      <c r="N45" s="390" t="str">
        <f t="shared" si="14"/>
        <v/>
      </c>
      <c r="O45" s="390" t="str">
        <f t="shared" si="15"/>
        <v/>
      </c>
      <c r="P45" s="390" t="str">
        <f t="shared" si="16"/>
        <v/>
      </c>
      <c r="V45" s="386"/>
      <c r="X45" t="s">
        <v>83</v>
      </c>
      <c r="Y45" t="str">
        <f t="shared" si="17"/>
        <v>\I:</v>
      </c>
      <c r="Z45" t="str">
        <f ca="1" t="shared" si="18"/>
        <v>Hybrid diesel bus -- Energy consumption</v>
      </c>
      <c r="AA45" s="388" t="s">
        <v>84</v>
      </c>
      <c r="AB45" s="388" t="s">
        <v>85</v>
      </c>
    </row>
    <row r="46" spans="2:28">
      <c r="B46" s="46" t="s">
        <v>14</v>
      </c>
      <c r="C46" s="47" t="s">
        <v>15</v>
      </c>
      <c r="D46" s="68">
        <v>300008.80878602</v>
      </c>
      <c r="I46" s="44" t="s">
        <v>70</v>
      </c>
      <c r="J46" t="str">
        <f t="shared" si="1"/>
        <v>Trd_bus_dsl-hyb</v>
      </c>
      <c r="K46" t="str">
        <f t="shared" si="12"/>
        <v>\I:</v>
      </c>
      <c r="L46" t="str">
        <f t="shared" si="3"/>
        <v>\I:</v>
      </c>
      <c r="M46" s="390" t="str">
        <f t="shared" si="13"/>
        <v/>
      </c>
      <c r="N46" s="390" t="str">
        <f t="shared" si="14"/>
        <v/>
      </c>
      <c r="O46" s="390" t="str">
        <f t="shared" si="15"/>
        <v/>
      </c>
      <c r="P46" s="390" t="str">
        <f t="shared" si="16"/>
        <v/>
      </c>
      <c r="V46" s="386"/>
      <c r="X46" t="s">
        <v>83</v>
      </c>
      <c r="Y46" t="str">
        <f t="shared" si="17"/>
        <v>\I:</v>
      </c>
      <c r="Z46" t="str">
        <f ca="1" t="shared" si="18"/>
        <v>Hybrid diesel bus -- Capital cost</v>
      </c>
      <c r="AA46" s="388" t="s">
        <v>84</v>
      </c>
      <c r="AB46" s="388" t="s">
        <v>85</v>
      </c>
    </row>
    <row r="47" spans="2:28">
      <c r="J47" t="str">
        <f t="shared" si="1"/>
        <v>Trd_bus_dsl-hyb</v>
      </c>
      <c r="K47" t="str">
        <f t="shared" si="12"/>
        <v>\I:</v>
      </c>
      <c r="L47" t="str">
        <f t="shared" si="3"/>
        <v>\I:</v>
      </c>
      <c r="M47" s="390" t="str">
        <f t="shared" si="13"/>
        <v/>
      </c>
      <c r="N47" s="390" t="str">
        <f t="shared" si="14"/>
        <v/>
      </c>
      <c r="O47" s="390" t="str">
        <f t="shared" si="15"/>
        <v/>
      </c>
      <c r="P47" s="390" t="str">
        <f t="shared" si="16"/>
        <v/>
      </c>
      <c r="V47" s="386"/>
      <c r="X47" t="s">
        <v>83</v>
      </c>
      <c r="Y47" t="str">
        <f t="shared" si="17"/>
        <v>\I:</v>
      </c>
      <c r="Z47" t="str">
        <f ca="1" t="shared" si="18"/>
        <v>Hybrid diesel bus -- 00%</v>
      </c>
      <c r="AA47" s="388" t="s">
        <v>84</v>
      </c>
      <c r="AB47" s="388" t="s">
        <v>85</v>
      </c>
    </row>
    <row r="48" ht="15" customHeight="1" spans="2:28">
      <c r="B48" s="387" t="s">
        <v>89</v>
      </c>
      <c r="C48" s="387" t="s">
        <v>151</v>
      </c>
      <c r="D48" s="387"/>
      <c r="E48" s="387"/>
      <c r="F48" s="387"/>
      <c r="J48" t="str">
        <f t="shared" si="1"/>
        <v>Trd_bus_cng</v>
      </c>
      <c r="K48" t="str">
        <f t="shared" si="12"/>
        <v>\I:</v>
      </c>
      <c r="L48" t="str">
        <f t="shared" si="3"/>
        <v>\I:</v>
      </c>
      <c r="M48" s="390" t="str">
        <f t="shared" si="13"/>
        <v/>
      </c>
      <c r="N48" s="390" t="str">
        <f t="shared" si="14"/>
        <v/>
      </c>
      <c r="O48" s="390" t="str">
        <f t="shared" si="15"/>
        <v/>
      </c>
      <c r="P48" s="390" t="str">
        <f t="shared" si="16"/>
        <v/>
      </c>
      <c r="V48" s="386"/>
      <c r="X48" t="s">
        <v>83</v>
      </c>
      <c r="Y48" t="str">
        <f t="shared" si="17"/>
        <v>\I:</v>
      </c>
      <c r="Z48" t="str">
        <f ca="1" t="shared" si="18"/>
        <v>CNG bus -- Reduction of specific energy consumption relative to 2015 CNG vehicle (%)</v>
      </c>
      <c r="AA48" s="388" t="s">
        <v>84</v>
      </c>
      <c r="AB48" s="388" t="s">
        <v>85</v>
      </c>
    </row>
    <row r="49" spans="2:28">
      <c r="B49" s="387"/>
      <c r="C49" s="387"/>
      <c r="D49" s="387"/>
      <c r="E49" s="387"/>
      <c r="F49" s="387"/>
      <c r="J49" t="str">
        <f t="shared" si="1"/>
        <v>Trd_bus_cng</v>
      </c>
      <c r="K49" t="str">
        <f t="shared" si="12"/>
        <v>\I:</v>
      </c>
      <c r="L49" t="str">
        <f t="shared" si="3"/>
        <v>\I:</v>
      </c>
      <c r="M49" s="390" t="str">
        <f t="shared" si="13"/>
        <v/>
      </c>
      <c r="N49" s="390" t="str">
        <f t="shared" si="14"/>
        <v/>
      </c>
      <c r="O49" s="390" t="str">
        <f t="shared" si="15"/>
        <v/>
      </c>
      <c r="P49" s="390" t="str">
        <f t="shared" si="16"/>
        <v/>
      </c>
      <c r="V49" s="386"/>
      <c r="X49" t="s">
        <v>83</v>
      </c>
      <c r="Y49" t="str">
        <f t="shared" si="17"/>
        <v>\I:</v>
      </c>
      <c r="Z49" t="str">
        <f ca="1" t="shared" si="18"/>
        <v>CNG bus -- 00%</v>
      </c>
      <c r="AA49" s="388" t="s">
        <v>84</v>
      </c>
      <c r="AB49" s="388" t="s">
        <v>85</v>
      </c>
    </row>
    <row r="50" spans="2:28">
      <c r="B50" s="387"/>
      <c r="C50" s="387"/>
      <c r="D50" s="387"/>
      <c r="E50" s="387"/>
      <c r="F50" s="387"/>
      <c r="J50" t="str">
        <f t="shared" si="1"/>
        <v>Trd_bus_cng</v>
      </c>
      <c r="K50" t="str">
        <f t="shared" si="12"/>
        <v>\I:</v>
      </c>
      <c r="L50" t="str">
        <f t="shared" si="3"/>
        <v>\I:</v>
      </c>
      <c r="M50" s="390" t="str">
        <f t="shared" si="13"/>
        <v/>
      </c>
      <c r="N50" s="390" t="str">
        <f t="shared" si="14"/>
        <v/>
      </c>
      <c r="O50" s="390" t="str">
        <f t="shared" si="15"/>
        <v/>
      </c>
      <c r="P50" s="390" t="str">
        <f t="shared" si="16"/>
        <v/>
      </c>
      <c r="V50" s="386"/>
      <c r="X50" t="s">
        <v>83</v>
      </c>
      <c r="Y50" t="str">
        <f t="shared" si="17"/>
        <v>\I:</v>
      </c>
      <c r="Z50" t="str">
        <f ca="1" t="shared" si="18"/>
        <v>CNG bus -- 00%</v>
      </c>
      <c r="AA50" s="388" t="s">
        <v>84</v>
      </c>
      <c r="AB50" s="388" t="s">
        <v>85</v>
      </c>
    </row>
    <row r="51" spans="2:28">
      <c r="B51" s="50"/>
      <c r="C51" s="51">
        <v>2020</v>
      </c>
      <c r="D51" s="51">
        <v>2030</v>
      </c>
      <c r="E51" s="51">
        <v>2040</v>
      </c>
      <c r="F51" s="51">
        <v>2050</v>
      </c>
      <c r="J51" t="str">
        <f t="shared" si="1"/>
        <v>Trd_bus_cng</v>
      </c>
      <c r="K51" t="str">
        <f t="shared" si="12"/>
        <v>\I:</v>
      </c>
      <c r="L51" t="str">
        <f t="shared" si="3"/>
        <v>\I:</v>
      </c>
      <c r="M51" s="390" t="str">
        <f t="shared" si="13"/>
        <v/>
      </c>
      <c r="N51" s="390" t="str">
        <f t="shared" si="14"/>
        <v/>
      </c>
      <c r="O51" s="390" t="str">
        <f t="shared" si="15"/>
        <v/>
      </c>
      <c r="P51" s="390" t="str">
        <f t="shared" si="16"/>
        <v/>
      </c>
      <c r="V51" s="386"/>
      <c r="X51" t="s">
        <v>83</v>
      </c>
      <c r="Y51" t="str">
        <f t="shared" si="17"/>
        <v>\I:</v>
      </c>
      <c r="Z51" t="str">
        <f ca="1" t="shared" si="18"/>
        <v>CNG bus -- 00%</v>
      </c>
      <c r="AA51" s="388" t="s">
        <v>84</v>
      </c>
      <c r="AB51" s="388" t="s">
        <v>85</v>
      </c>
    </row>
    <row r="52" spans="2:28">
      <c r="B52" s="85">
        <v>0.0409380868944008</v>
      </c>
      <c r="C52" s="86">
        <v>301227.803779743</v>
      </c>
      <c r="D52" s="86">
        <v>301227.803779743</v>
      </c>
      <c r="E52" s="86">
        <v>301227.803779743</v>
      </c>
      <c r="F52" s="86">
        <v>301227.803779743</v>
      </c>
      <c r="I52" s="389">
        <f>(1+B52)*$I$45/$I$7</f>
        <v>0.884250730013717</v>
      </c>
      <c r="J52" t="str">
        <f t="shared" si="1"/>
        <v>Trd_bus_cng</v>
      </c>
      <c r="K52" t="str">
        <f t="shared" si="12"/>
        <v>Trd_bus_cng_04</v>
      </c>
      <c r="L52" t="str">
        <f t="shared" si="3"/>
        <v>Trd_bus</v>
      </c>
      <c r="M52" s="390">
        <f t="shared" si="13"/>
        <v>301227.803779743</v>
      </c>
      <c r="N52" s="390">
        <f t="shared" si="14"/>
        <v>301227.803779743</v>
      </c>
      <c r="O52" s="390">
        <f t="shared" si="15"/>
        <v>301227.803779743</v>
      </c>
      <c r="P52" s="390">
        <f t="shared" si="16"/>
        <v>301227.803779743</v>
      </c>
      <c r="Q52">
        <f t="shared" ref="Q52:Q59" si="21">P52</f>
        <v>301227.803779743</v>
      </c>
      <c r="R52">
        <v>3</v>
      </c>
      <c r="V52" s="386"/>
      <c r="X52" t="s">
        <v>83</v>
      </c>
      <c r="Y52" t="str">
        <f t="shared" si="17"/>
        <v>Trd_bus_cng_04</v>
      </c>
      <c r="Z52" t="str">
        <f ca="1" t="shared" si="18"/>
        <v>CNG bus -- 04%</v>
      </c>
      <c r="AA52" s="388" t="s">
        <v>84</v>
      </c>
      <c r="AB52" s="388" t="s">
        <v>85</v>
      </c>
    </row>
    <row r="53" spans="2:28">
      <c r="B53" s="85">
        <v>0.0609380868944008</v>
      </c>
      <c r="C53" s="86">
        <v>302592.163761478</v>
      </c>
      <c r="D53" s="86">
        <v>302114.871418302</v>
      </c>
      <c r="E53" s="86">
        <v>302114.871418302</v>
      </c>
      <c r="F53" s="86">
        <v>302114.871418302</v>
      </c>
      <c r="I53" s="389">
        <f t="shared" ref="I53:I58" si="22">(1+B53)*$I$45/$I$7</f>
        <v>0.901240227105746</v>
      </c>
      <c r="J53" t="str">
        <f t="shared" si="1"/>
        <v>Trd_bus_cng</v>
      </c>
      <c r="K53" t="str">
        <f t="shared" si="12"/>
        <v>Trd_bus_cng_06</v>
      </c>
      <c r="L53" t="str">
        <f t="shared" si="3"/>
        <v>Trd_bus</v>
      </c>
      <c r="M53" s="390">
        <f t="shared" si="13"/>
        <v>302592.163761478</v>
      </c>
      <c r="N53" s="390">
        <f t="shared" si="14"/>
        <v>302114.871418302</v>
      </c>
      <c r="O53" s="390">
        <f t="shared" si="15"/>
        <v>302114.871418302</v>
      </c>
      <c r="P53" s="390">
        <f t="shared" si="16"/>
        <v>302114.871418302</v>
      </c>
      <c r="Q53">
        <f t="shared" si="21"/>
        <v>302114.871418302</v>
      </c>
      <c r="R53">
        <v>3</v>
      </c>
      <c r="V53" s="386"/>
      <c r="X53" t="s">
        <v>83</v>
      </c>
      <c r="Y53" t="str">
        <f t="shared" si="17"/>
        <v>Trd_bus_cng_06</v>
      </c>
      <c r="Z53" t="str">
        <f ca="1" t="shared" si="18"/>
        <v>CNG bus -- 06%</v>
      </c>
      <c r="AA53" s="388" t="s">
        <v>84</v>
      </c>
      <c r="AB53" s="388" t="s">
        <v>85</v>
      </c>
    </row>
    <row r="54" spans="2:28">
      <c r="B54" s="85">
        <v>0.0809380868944008</v>
      </c>
      <c r="C54" s="86">
        <v>304532.486446996</v>
      </c>
      <c r="D54" s="86">
        <v>304228.377942422</v>
      </c>
      <c r="E54" s="86">
        <v>304228.377942422</v>
      </c>
      <c r="F54" s="86">
        <v>304228.377942422</v>
      </c>
      <c r="I54" s="389">
        <f t="shared" si="22"/>
        <v>0.918229724197775</v>
      </c>
      <c r="J54" t="str">
        <f t="shared" si="1"/>
        <v>Trd_bus_cng</v>
      </c>
      <c r="K54" t="str">
        <f t="shared" si="12"/>
        <v>Trd_bus_cng_08</v>
      </c>
      <c r="L54" t="str">
        <f t="shared" si="3"/>
        <v>Trd_bus</v>
      </c>
      <c r="M54" s="390">
        <f t="shared" si="13"/>
        <v>304532.486446996</v>
      </c>
      <c r="N54" s="390">
        <f t="shared" si="14"/>
        <v>304228.377942422</v>
      </c>
      <c r="O54" s="390">
        <f t="shared" si="15"/>
        <v>304228.377942422</v>
      </c>
      <c r="P54" s="390">
        <f t="shared" si="16"/>
        <v>304228.377942422</v>
      </c>
      <c r="Q54">
        <f t="shared" si="21"/>
        <v>304228.377942422</v>
      </c>
      <c r="R54">
        <v>3</v>
      </c>
      <c r="V54" s="386"/>
      <c r="X54" t="s">
        <v>83</v>
      </c>
      <c r="Y54" t="str">
        <f t="shared" si="17"/>
        <v>Trd_bus_cng_08</v>
      </c>
      <c r="Z54" t="str">
        <f ca="1" t="shared" si="18"/>
        <v>CNG bus -- 08%</v>
      </c>
      <c r="AA54" s="388" t="s">
        <v>84</v>
      </c>
      <c r="AB54" s="388" t="s">
        <v>85</v>
      </c>
    </row>
    <row r="55" spans="2:28">
      <c r="B55" s="85">
        <v>0.110938086894401</v>
      </c>
      <c r="C55" s="86">
        <v>306292.437515412</v>
      </c>
      <c r="D55" s="86">
        <v>306028.72244003</v>
      </c>
      <c r="E55" s="86">
        <v>306028.72244003</v>
      </c>
      <c r="F55" s="86">
        <v>306028.72244003</v>
      </c>
      <c r="I55" s="389">
        <f t="shared" si="22"/>
        <v>0.943713969835818</v>
      </c>
      <c r="J55" t="str">
        <f t="shared" si="1"/>
        <v>Trd_bus_cng</v>
      </c>
      <c r="K55" t="str">
        <f t="shared" si="12"/>
        <v>Trd_bus_cng_11</v>
      </c>
      <c r="L55" t="str">
        <f t="shared" si="3"/>
        <v>Trd_bus</v>
      </c>
      <c r="M55" s="390">
        <f t="shared" si="13"/>
        <v>306292.437515412</v>
      </c>
      <c r="N55" s="390">
        <f t="shared" si="14"/>
        <v>306028.72244003</v>
      </c>
      <c r="O55" s="390">
        <f t="shared" si="15"/>
        <v>306028.72244003</v>
      </c>
      <c r="P55" s="390">
        <f t="shared" si="16"/>
        <v>306028.72244003</v>
      </c>
      <c r="Q55">
        <f t="shared" si="21"/>
        <v>306028.72244003</v>
      </c>
      <c r="R55">
        <v>3</v>
      </c>
      <c r="V55" s="386"/>
      <c r="X55" t="s">
        <v>83</v>
      </c>
      <c r="Y55" t="str">
        <f t="shared" si="17"/>
        <v>Trd_bus_cng_11</v>
      </c>
      <c r="Z55" t="str">
        <f ca="1" t="shared" si="18"/>
        <v>CNG bus -- 11%</v>
      </c>
      <c r="AA55" s="388" t="s">
        <v>84</v>
      </c>
      <c r="AB55" s="388" t="s">
        <v>85</v>
      </c>
    </row>
    <row r="56" spans="2:28">
      <c r="B56" s="85">
        <v>0.140938086894401</v>
      </c>
      <c r="C56" s="86">
        <v>308988.864229186</v>
      </c>
      <c r="D56" s="86">
        <v>308729.239186441</v>
      </c>
      <c r="E56" s="86">
        <v>308729.239186441</v>
      </c>
      <c r="F56" s="86">
        <v>308729.239186441</v>
      </c>
      <c r="I56" s="389">
        <f t="shared" si="22"/>
        <v>0.969198215473861</v>
      </c>
      <c r="J56" t="str">
        <f t="shared" si="1"/>
        <v>Trd_bus_cng</v>
      </c>
      <c r="K56" t="str">
        <f t="shared" si="12"/>
        <v>Trd_bus_cng_14</v>
      </c>
      <c r="L56" t="str">
        <f t="shared" si="3"/>
        <v>Trd_bus</v>
      </c>
      <c r="M56" s="390">
        <f t="shared" si="13"/>
        <v>308988.864229186</v>
      </c>
      <c r="N56" s="390">
        <f t="shared" si="14"/>
        <v>308729.239186441</v>
      </c>
      <c r="O56" s="390">
        <f t="shared" si="15"/>
        <v>308729.239186441</v>
      </c>
      <c r="P56" s="390">
        <f t="shared" si="16"/>
        <v>308729.239186441</v>
      </c>
      <c r="Q56">
        <f t="shared" si="21"/>
        <v>308729.239186441</v>
      </c>
      <c r="R56">
        <v>3</v>
      </c>
      <c r="V56" s="386"/>
      <c r="X56" t="s">
        <v>83</v>
      </c>
      <c r="Y56" t="str">
        <f t="shared" si="17"/>
        <v>Trd_bus_cng_14</v>
      </c>
      <c r="Z56" t="str">
        <f ca="1" t="shared" si="18"/>
        <v>CNG bus -- 14%</v>
      </c>
      <c r="AA56" s="388" t="s">
        <v>84</v>
      </c>
      <c r="AB56" s="388" t="s">
        <v>85</v>
      </c>
    </row>
    <row r="57" spans="2:28">
      <c r="B57" s="85">
        <v>0.170938086894401</v>
      </c>
      <c r="C57" s="86">
        <v>337099.135907297</v>
      </c>
      <c r="D57" s="86">
        <v>313345.338940144</v>
      </c>
      <c r="E57" s="86">
        <v>313230.10043046</v>
      </c>
      <c r="F57" s="86">
        <v>313230.10043046</v>
      </c>
      <c r="I57" s="389">
        <f t="shared" si="22"/>
        <v>0.994682461111904</v>
      </c>
      <c r="J57" t="str">
        <f t="shared" si="1"/>
        <v>Trd_bus_cng</v>
      </c>
      <c r="K57" t="str">
        <f t="shared" si="12"/>
        <v>Trd_bus_cng_17</v>
      </c>
      <c r="L57" t="str">
        <f t="shared" si="3"/>
        <v>Trd_bus</v>
      </c>
      <c r="M57" s="390">
        <f t="shared" si="13"/>
        <v>337099.135907297</v>
      </c>
      <c r="N57" s="390">
        <f t="shared" si="14"/>
        <v>313345.338940144</v>
      </c>
      <c r="O57" s="390">
        <f t="shared" si="15"/>
        <v>313230.10043046</v>
      </c>
      <c r="P57" s="390">
        <f t="shared" si="16"/>
        <v>313230.10043046</v>
      </c>
      <c r="Q57">
        <f t="shared" si="21"/>
        <v>313230.10043046</v>
      </c>
      <c r="R57">
        <v>3</v>
      </c>
      <c r="V57" s="386"/>
      <c r="X57" t="s">
        <v>83</v>
      </c>
      <c r="Y57" t="str">
        <f t="shared" si="17"/>
        <v>Trd_bus_cng_17</v>
      </c>
      <c r="Z57" t="str">
        <f ca="1" t="shared" si="18"/>
        <v>CNG bus -- 17%</v>
      </c>
      <c r="AA57" s="388" t="s">
        <v>84</v>
      </c>
      <c r="AB57" s="388" t="s">
        <v>85</v>
      </c>
    </row>
    <row r="58" spans="2:28">
      <c r="B58" s="85">
        <v>0.210938086894401</v>
      </c>
      <c r="C58" s="86">
        <v>398410.154996184</v>
      </c>
      <c r="D58" s="86">
        <v>323977.095968925</v>
      </c>
      <c r="E58" s="86">
        <v>317320.88320558</v>
      </c>
      <c r="F58" s="86">
        <v>317320.88320558</v>
      </c>
      <c r="I58" s="389">
        <f t="shared" si="22"/>
        <v>1.02866145529596</v>
      </c>
      <c r="J58" t="str">
        <f t="shared" si="1"/>
        <v>Trd_bus_cng</v>
      </c>
      <c r="K58" t="str">
        <f t="shared" si="12"/>
        <v>Trd_bus_cng_21</v>
      </c>
      <c r="L58" t="str">
        <f t="shared" si="3"/>
        <v>Trd_bus</v>
      </c>
      <c r="M58" s="390">
        <f t="shared" si="13"/>
        <v>398410.154996184</v>
      </c>
      <c r="N58" s="390">
        <f t="shared" si="14"/>
        <v>323977.095968925</v>
      </c>
      <c r="O58" s="390">
        <f t="shared" si="15"/>
        <v>317320.88320558</v>
      </c>
      <c r="P58" s="390">
        <f t="shared" si="16"/>
        <v>317320.88320558</v>
      </c>
      <c r="Q58">
        <f t="shared" si="21"/>
        <v>317320.88320558</v>
      </c>
      <c r="R58">
        <v>3</v>
      </c>
      <c r="V58" s="386"/>
      <c r="X58" t="s">
        <v>83</v>
      </c>
      <c r="Y58" t="str">
        <f t="shared" si="17"/>
        <v>Trd_bus_cng_21</v>
      </c>
      <c r="Z58" t="str">
        <f ca="1" t="shared" si="18"/>
        <v>CNG bus -- 21%</v>
      </c>
      <c r="AA58" s="388" t="s">
        <v>84</v>
      </c>
      <c r="AB58" s="388" t="s">
        <v>85</v>
      </c>
    </row>
    <row r="59" spans="2:28">
      <c r="J59" t="str">
        <f t="shared" si="1"/>
        <v>Trd_bus_cng</v>
      </c>
      <c r="K59" t="str">
        <f t="shared" si="12"/>
        <v>\I:</v>
      </c>
      <c r="L59" t="str">
        <f t="shared" si="3"/>
        <v>\I:</v>
      </c>
      <c r="M59" s="390" t="str">
        <f t="shared" si="13"/>
        <v/>
      </c>
      <c r="N59" s="390" t="str">
        <f t="shared" si="14"/>
        <v/>
      </c>
      <c r="O59" s="390" t="str">
        <f t="shared" si="15"/>
        <v/>
      </c>
      <c r="P59" s="390" t="str">
        <f t="shared" si="16"/>
        <v/>
      </c>
      <c r="Q59" t="str">
        <f t="shared" si="21"/>
        <v/>
      </c>
      <c r="V59" s="386"/>
      <c r="X59" t="s">
        <v>83</v>
      </c>
      <c r="Y59" t="str">
        <f t="shared" si="17"/>
        <v>\I:</v>
      </c>
      <c r="Z59" t="str">
        <f ca="1" t="shared" si="18"/>
        <v>CNG bus -- 00%</v>
      </c>
      <c r="AA59" s="388" t="s">
        <v>84</v>
      </c>
      <c r="AB59" s="388" t="s">
        <v>85</v>
      </c>
    </row>
    <row r="60" spans="2:28">
      <c r="J60" t="str">
        <f t="shared" si="1"/>
        <v>Trd_bus_cng</v>
      </c>
      <c r="K60" t="str">
        <f t="shared" si="12"/>
        <v>\I:</v>
      </c>
      <c r="L60" t="str">
        <f t="shared" si="3"/>
        <v>\I:</v>
      </c>
      <c r="M60" s="390" t="str">
        <f t="shared" si="13"/>
        <v/>
      </c>
      <c r="N60" s="390" t="str">
        <f t="shared" si="14"/>
        <v/>
      </c>
      <c r="O60" s="390" t="str">
        <f t="shared" si="15"/>
        <v/>
      </c>
      <c r="P60" s="390" t="str">
        <f t="shared" si="16"/>
        <v/>
      </c>
      <c r="V60" s="386"/>
      <c r="X60" t="s">
        <v>83</v>
      </c>
      <c r="Y60" t="str">
        <f t="shared" si="17"/>
        <v>\I:</v>
      </c>
      <c r="Z60" t="str">
        <f ca="1" t="shared" si="18"/>
        <v>CNG bus -- 00%</v>
      </c>
      <c r="AA60" s="388" t="s">
        <v>84</v>
      </c>
      <c r="AB60" s="388" t="s">
        <v>85</v>
      </c>
    </row>
    <row r="61" spans="2:28">
      <c r="J61" t="str">
        <f t="shared" si="1"/>
        <v>Trd_bus_cng</v>
      </c>
      <c r="K61" t="str">
        <f t="shared" si="12"/>
        <v>\I:</v>
      </c>
      <c r="L61" t="str">
        <f t="shared" si="3"/>
        <v>\I:</v>
      </c>
      <c r="M61" s="390" t="str">
        <f t="shared" si="13"/>
        <v/>
      </c>
      <c r="N61" s="390" t="str">
        <f t="shared" si="14"/>
        <v/>
      </c>
      <c r="O61" s="390" t="str">
        <f t="shared" si="15"/>
        <v/>
      </c>
      <c r="P61" s="390" t="str">
        <f t="shared" si="16"/>
        <v/>
      </c>
      <c r="V61" s="386"/>
      <c r="X61" t="s">
        <v>83</v>
      </c>
      <c r="Y61" t="str">
        <f t="shared" si="17"/>
        <v>\I:</v>
      </c>
      <c r="Z61" t="str">
        <f ca="1" t="shared" si="18"/>
        <v>CNG bus -- 00%</v>
      </c>
      <c r="AA61" s="388" t="s">
        <v>84</v>
      </c>
      <c r="AB61" s="388" t="s">
        <v>85</v>
      </c>
    </row>
    <row r="62" spans="2:28">
      <c r="J62" t="str">
        <f t="shared" si="1"/>
        <v>Trd_bus_cng</v>
      </c>
      <c r="K62" t="str">
        <f t="shared" si="12"/>
        <v>\I:</v>
      </c>
      <c r="L62" t="str">
        <f t="shared" si="3"/>
        <v>\I:</v>
      </c>
      <c r="M62" s="390" t="str">
        <f t="shared" si="13"/>
        <v/>
      </c>
      <c r="N62" s="390" t="str">
        <f t="shared" si="14"/>
        <v/>
      </c>
      <c r="O62" s="390" t="str">
        <f t="shared" si="15"/>
        <v/>
      </c>
      <c r="P62" s="390" t="str">
        <f t="shared" si="16"/>
        <v/>
      </c>
      <c r="V62" s="386"/>
      <c r="X62" t="s">
        <v>83</v>
      </c>
      <c r="Y62" t="str">
        <f t="shared" si="17"/>
        <v>\I:</v>
      </c>
      <c r="Z62" t="str">
        <f ca="1" t="shared" si="18"/>
        <v>CNG bus -- 00%</v>
      </c>
      <c r="AA62" s="388" t="s">
        <v>84</v>
      </c>
      <c r="AB62" s="388" t="s">
        <v>85</v>
      </c>
    </row>
    <row r="63" spans="2:28">
      <c r="B63" s="44" t="s">
        <v>160</v>
      </c>
      <c r="J63" t="str">
        <f t="shared" si="1"/>
        <v>Trd_bus_cng</v>
      </c>
      <c r="K63" t="str">
        <f t="shared" si="12"/>
        <v>\I:</v>
      </c>
      <c r="L63" t="str">
        <f t="shared" si="3"/>
        <v>\I:</v>
      </c>
      <c r="M63" s="390" t="str">
        <f t="shared" si="13"/>
        <v/>
      </c>
      <c r="N63" s="390" t="str">
        <f t="shared" si="14"/>
        <v/>
      </c>
      <c r="O63" s="390" t="str">
        <f t="shared" si="15"/>
        <v/>
      </c>
      <c r="P63" s="390" t="str">
        <f t="shared" si="16"/>
        <v/>
      </c>
      <c r="V63" s="386"/>
      <c r="X63" t="s">
        <v>83</v>
      </c>
      <c r="Y63" t="str">
        <f t="shared" si="17"/>
        <v>\I:</v>
      </c>
      <c r="Z63" t="str">
        <f ca="1" t="shared" si="18"/>
        <v>CNG bus -- Reference values for LPG bus</v>
      </c>
      <c r="AA63" s="388" t="s">
        <v>84</v>
      </c>
      <c r="AB63" s="388" t="s">
        <v>85</v>
      </c>
    </row>
    <row r="64" spans="2:28">
      <c r="B64" s="381">
        <v>2015</v>
      </c>
      <c r="C64" s="381"/>
      <c r="D64" s="381"/>
      <c r="J64" t="str">
        <f t="shared" si="1"/>
        <v>Trd_bus_cng</v>
      </c>
      <c r="K64" t="str">
        <f t="shared" si="12"/>
        <v>\I:</v>
      </c>
      <c r="L64" t="str">
        <f t="shared" si="3"/>
        <v>\I:</v>
      </c>
      <c r="M64" s="390" t="str">
        <f t="shared" si="13"/>
        <v/>
      </c>
      <c r="N64" s="390" t="str">
        <f t="shared" si="14"/>
        <v/>
      </c>
      <c r="O64" s="390" t="str">
        <f t="shared" si="15"/>
        <v/>
      </c>
      <c r="P64" s="390" t="str">
        <f t="shared" si="16"/>
        <v/>
      </c>
      <c r="V64" s="386"/>
      <c r="X64" t="s">
        <v>83</v>
      </c>
      <c r="Y64" t="str">
        <f t="shared" si="17"/>
        <v>\I:</v>
      </c>
      <c r="Z64" t="str">
        <f ca="1" t="shared" si="18"/>
        <v>CNG bus -- 201500%</v>
      </c>
      <c r="AA64" s="388" t="s">
        <v>84</v>
      </c>
      <c r="AB64" s="388" t="s">
        <v>85</v>
      </c>
    </row>
    <row r="65" spans="2:28">
      <c r="B65" s="46" t="s">
        <v>12</v>
      </c>
      <c r="C65" s="47" t="s">
        <v>13</v>
      </c>
      <c r="D65" s="48">
        <v>44.5875272319002</v>
      </c>
      <c r="J65" t="str">
        <f t="shared" si="1"/>
        <v>Trd_bus_cng</v>
      </c>
      <c r="K65" t="str">
        <f t="shared" si="12"/>
        <v>\I:</v>
      </c>
      <c r="L65" t="str">
        <f t="shared" si="3"/>
        <v>\I:</v>
      </c>
      <c r="M65" s="390" t="str">
        <f t="shared" si="13"/>
        <v/>
      </c>
      <c r="N65" s="390" t="str">
        <f t="shared" si="14"/>
        <v/>
      </c>
      <c r="O65" s="390" t="str">
        <f t="shared" si="15"/>
        <v/>
      </c>
      <c r="P65" s="390" t="str">
        <f t="shared" si="16"/>
        <v/>
      </c>
      <c r="V65" s="386"/>
      <c r="X65" t="s">
        <v>83</v>
      </c>
      <c r="Y65" t="str">
        <f t="shared" si="17"/>
        <v>\I:</v>
      </c>
      <c r="Z65" t="str">
        <f ca="1" t="shared" si="18"/>
        <v>CNG bus -- Energy consumption</v>
      </c>
      <c r="AA65" s="388" t="s">
        <v>84</v>
      </c>
      <c r="AB65" s="388" t="s">
        <v>85</v>
      </c>
    </row>
    <row r="66" spans="2:28">
      <c r="B66" s="46" t="s">
        <v>14</v>
      </c>
      <c r="C66" s="47" t="s">
        <v>15</v>
      </c>
      <c r="D66" s="68">
        <v>293034.342145544</v>
      </c>
      <c r="J66" t="str">
        <f t="shared" si="1"/>
        <v>Trd_bus_cng</v>
      </c>
      <c r="K66" t="str">
        <f t="shared" si="12"/>
        <v>\I:</v>
      </c>
      <c r="L66" t="str">
        <f t="shared" si="3"/>
        <v>\I:</v>
      </c>
      <c r="M66" s="390" t="str">
        <f t="shared" si="13"/>
        <v/>
      </c>
      <c r="N66" s="390" t="str">
        <f t="shared" si="14"/>
        <v/>
      </c>
      <c r="O66" s="390" t="str">
        <f t="shared" si="15"/>
        <v/>
      </c>
      <c r="P66" s="390" t="str">
        <f t="shared" si="16"/>
        <v/>
      </c>
      <c r="V66" s="386"/>
      <c r="X66" t="s">
        <v>83</v>
      </c>
      <c r="Y66" t="str">
        <f t="shared" si="17"/>
        <v>\I:</v>
      </c>
      <c r="Z66" t="str">
        <f ca="1" t="shared" si="18"/>
        <v>CNG bus -- Capital cost</v>
      </c>
      <c r="AA66" s="388" t="s">
        <v>84</v>
      </c>
      <c r="AB66" s="388" t="s">
        <v>85</v>
      </c>
    </row>
    <row r="67" spans="2:28">
      <c r="J67" t="str">
        <f t="shared" si="1"/>
        <v>Trd_bus_cng</v>
      </c>
      <c r="K67" t="str">
        <f t="shared" si="12"/>
        <v>\I:</v>
      </c>
      <c r="L67" t="str">
        <f t="shared" si="3"/>
        <v>\I:</v>
      </c>
      <c r="M67" s="390" t="str">
        <f t="shared" si="13"/>
        <v/>
      </c>
      <c r="N67" s="390" t="str">
        <f t="shared" si="14"/>
        <v/>
      </c>
      <c r="O67" s="390" t="str">
        <f t="shared" si="15"/>
        <v/>
      </c>
      <c r="P67" s="390" t="str">
        <f t="shared" si="16"/>
        <v/>
      </c>
      <c r="V67" s="386"/>
      <c r="X67" t="s">
        <v>83</v>
      </c>
      <c r="Y67" t="str">
        <f t="shared" si="17"/>
        <v>\I:</v>
      </c>
      <c r="Z67" t="str">
        <f ca="1" t="shared" si="18"/>
        <v>CNG bus -- 00%</v>
      </c>
      <c r="AA67" s="388" t="s">
        <v>84</v>
      </c>
      <c r="AB67" s="388" t="s">
        <v>85</v>
      </c>
    </row>
    <row r="68" ht="15" customHeight="1" spans="2:28">
      <c r="B68" s="387" t="s">
        <v>91</v>
      </c>
      <c r="C68" s="387" t="s">
        <v>152</v>
      </c>
      <c r="D68" s="387"/>
      <c r="E68" s="387"/>
      <c r="F68" s="387"/>
      <c r="J68" t="str">
        <f t="shared" si="1"/>
        <v>\I:Trd_bus_lpg</v>
      </c>
      <c r="K68" t="str">
        <f t="shared" si="12"/>
        <v>\I:</v>
      </c>
      <c r="L68" t="str">
        <f t="shared" si="3"/>
        <v>\I:</v>
      </c>
      <c r="M68" s="390" t="str">
        <f t="shared" si="13"/>
        <v/>
      </c>
      <c r="N68" s="390" t="str">
        <f t="shared" si="14"/>
        <v/>
      </c>
      <c r="O68" s="390" t="str">
        <f t="shared" si="15"/>
        <v/>
      </c>
      <c r="P68" s="390" t="str">
        <f t="shared" si="16"/>
        <v/>
      </c>
      <c r="V68" s="386"/>
      <c r="X68" t="s">
        <v>83</v>
      </c>
      <c r="Y68" t="str">
        <f t="shared" si="17"/>
        <v>\I:</v>
      </c>
      <c r="Z68" t="str">
        <f ca="1" t="shared" si="18"/>
        <v>LPG bus -- Reduction of specific energy consumption relative to 2015 LPG vehicle (%)</v>
      </c>
      <c r="AA68" s="388" t="s">
        <v>84</v>
      </c>
      <c r="AB68" s="388" t="s">
        <v>85</v>
      </c>
    </row>
    <row r="69" spans="2:28">
      <c r="B69" s="387"/>
      <c r="C69" s="387"/>
      <c r="D69" s="387"/>
      <c r="E69" s="387"/>
      <c r="F69" s="387"/>
      <c r="J69" t="str">
        <f t="shared" si="1"/>
        <v>\I:Trd_bus_lpg</v>
      </c>
      <c r="K69" t="str">
        <f t="shared" si="12"/>
        <v>\I:</v>
      </c>
      <c r="L69" t="str">
        <f t="shared" si="3"/>
        <v>\I:</v>
      </c>
      <c r="M69" s="390" t="str">
        <f t="shared" si="13"/>
        <v/>
      </c>
      <c r="N69" s="390" t="str">
        <f t="shared" si="14"/>
        <v/>
      </c>
      <c r="O69" s="390" t="str">
        <f t="shared" si="15"/>
        <v/>
      </c>
      <c r="P69" s="390" t="str">
        <f t="shared" si="16"/>
        <v/>
      </c>
      <c r="V69" s="386"/>
      <c r="X69" t="s">
        <v>83</v>
      </c>
      <c r="Y69" t="str">
        <f t="shared" si="17"/>
        <v>\I:</v>
      </c>
      <c r="Z69" t="str">
        <f ca="1" t="shared" si="18"/>
        <v>LPG bus -- 00%</v>
      </c>
      <c r="AA69" s="388" t="s">
        <v>84</v>
      </c>
      <c r="AB69" s="388" t="s">
        <v>85</v>
      </c>
    </row>
    <row r="70" spans="2:28">
      <c r="B70" s="387"/>
      <c r="C70" s="387"/>
      <c r="D70" s="387"/>
      <c r="E70" s="387"/>
      <c r="F70" s="387"/>
      <c r="J70" t="str">
        <f t="shared" si="1"/>
        <v>\I:Trd_bus_lpg</v>
      </c>
      <c r="K70" t="str">
        <f t="shared" si="12"/>
        <v>\I:</v>
      </c>
      <c r="L70" t="str">
        <f t="shared" si="3"/>
        <v>\I:</v>
      </c>
      <c r="M70" s="390" t="str">
        <f t="shared" si="13"/>
        <v/>
      </c>
      <c r="N70" s="390" t="str">
        <f t="shared" si="14"/>
        <v/>
      </c>
      <c r="O70" s="390" t="str">
        <f t="shared" si="15"/>
        <v/>
      </c>
      <c r="P70" s="390" t="str">
        <f t="shared" si="16"/>
        <v/>
      </c>
      <c r="V70" s="386"/>
      <c r="X70" t="s">
        <v>83</v>
      </c>
      <c r="Y70" t="str">
        <f t="shared" si="17"/>
        <v>\I:</v>
      </c>
      <c r="Z70" t="str">
        <f ca="1" t="shared" si="18"/>
        <v>LPG bus -- 00%</v>
      </c>
      <c r="AA70" s="388" t="s">
        <v>84</v>
      </c>
      <c r="AB70" s="388" t="s">
        <v>85</v>
      </c>
    </row>
    <row r="71" spans="2:28">
      <c r="B71" s="50"/>
      <c r="C71" s="51">
        <v>2020</v>
      </c>
      <c r="D71" s="51">
        <v>2030</v>
      </c>
      <c r="E71" s="51">
        <v>2040</v>
      </c>
      <c r="F71" s="51">
        <v>2050</v>
      </c>
      <c r="J71" t="str">
        <f t="shared" si="1"/>
        <v>\I:Trd_bus_lpg</v>
      </c>
      <c r="K71" t="str">
        <f t="shared" si="12"/>
        <v>\I:</v>
      </c>
      <c r="L71" t="str">
        <f t="shared" si="3"/>
        <v>\I:</v>
      </c>
      <c r="M71" s="390" t="str">
        <f t="shared" si="13"/>
        <v/>
      </c>
      <c r="N71" s="390" t="str">
        <f t="shared" si="14"/>
        <v/>
      </c>
      <c r="O71" s="390" t="str">
        <f t="shared" si="15"/>
        <v/>
      </c>
      <c r="P71" s="390" t="str">
        <f t="shared" si="16"/>
        <v/>
      </c>
      <c r="V71" s="386"/>
      <c r="X71" t="s">
        <v>83</v>
      </c>
      <c r="Y71" t="str">
        <f t="shared" si="17"/>
        <v>\I:</v>
      </c>
      <c r="Z71" t="str">
        <f ca="1" t="shared" si="18"/>
        <v>LPG bus -- 00%</v>
      </c>
      <c r="AA71" s="388" t="s">
        <v>84</v>
      </c>
      <c r="AB71" s="388"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90">
        <f t="shared" si="13"/>
        <v>294253.337139267</v>
      </c>
      <c r="N72" s="390">
        <f t="shared" si="14"/>
        <v>294253.337139267</v>
      </c>
      <c r="O72" s="390">
        <f t="shared" si="15"/>
        <v>294253.337139267</v>
      </c>
      <c r="P72" s="390">
        <f t="shared" si="16"/>
        <v>294253.337139267</v>
      </c>
      <c r="Q72">
        <f t="shared" ref="Q72:Q79" si="23">P72</f>
        <v>294253.337139267</v>
      </c>
      <c r="R72">
        <v>3</v>
      </c>
      <c r="V72" s="386"/>
      <c r="X72" t="s">
        <v>83</v>
      </c>
      <c r="Y72" t="str">
        <f t="shared" si="17"/>
        <v>\I:Trd_bus_lpg_04</v>
      </c>
      <c r="Z72" t="str">
        <f ca="1" t="shared" si="18"/>
        <v>LPG bus -- 04%</v>
      </c>
      <c r="AA72" s="388" t="s">
        <v>84</v>
      </c>
      <c r="AB72" s="388"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90">
        <f t="shared" si="13"/>
        <v>295617.697121002</v>
      </c>
      <c r="N73" s="390">
        <f t="shared" si="14"/>
        <v>295140.404777826</v>
      </c>
      <c r="O73" s="390">
        <f t="shared" si="15"/>
        <v>295140.404777826</v>
      </c>
      <c r="P73" s="390">
        <f t="shared" si="16"/>
        <v>295140.404777826</v>
      </c>
      <c r="Q73">
        <f t="shared" si="23"/>
        <v>295140.404777826</v>
      </c>
      <c r="R73">
        <v>3</v>
      </c>
      <c r="V73" s="386"/>
      <c r="X73" t="s">
        <v>83</v>
      </c>
      <c r="Y73" t="str">
        <f t="shared" si="17"/>
        <v>\I:Trd_bus_lpg_06</v>
      </c>
      <c r="Z73" t="str">
        <f ca="1" t="shared" si="18"/>
        <v>LPG bus -- 06%</v>
      </c>
      <c r="AA73" s="388" t="s">
        <v>84</v>
      </c>
      <c r="AB73" s="388"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90">
        <f t="shared" si="13"/>
        <v>297558.01980652</v>
      </c>
      <c r="N74" s="390">
        <f t="shared" si="14"/>
        <v>297253.911301946</v>
      </c>
      <c r="O74" s="390">
        <f t="shared" si="15"/>
        <v>297253.911301946</v>
      </c>
      <c r="P74" s="390">
        <f t="shared" si="16"/>
        <v>297253.911301946</v>
      </c>
      <c r="Q74">
        <f t="shared" si="23"/>
        <v>297253.911301946</v>
      </c>
      <c r="R74">
        <v>3</v>
      </c>
      <c r="V74" s="386"/>
      <c r="X74" t="s">
        <v>83</v>
      </c>
      <c r="Y74" t="str">
        <f t="shared" si="17"/>
        <v>\I:Trd_bus_lpg_08</v>
      </c>
      <c r="Z74" t="str">
        <f ca="1" t="shared" si="18"/>
        <v>LPG bus -- 08%</v>
      </c>
      <c r="AA74" s="388" t="s">
        <v>84</v>
      </c>
      <c r="AB74" s="388"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90">
        <f t="shared" si="13"/>
        <v>299317.970874936</v>
      </c>
      <c r="N75" s="390">
        <f t="shared" si="14"/>
        <v>299054.255799554</v>
      </c>
      <c r="O75" s="390">
        <f t="shared" si="15"/>
        <v>299054.255799554</v>
      </c>
      <c r="P75" s="390">
        <f t="shared" si="16"/>
        <v>299054.255799554</v>
      </c>
      <c r="Q75">
        <f t="shared" si="23"/>
        <v>299054.255799554</v>
      </c>
      <c r="R75">
        <v>3</v>
      </c>
      <c r="V75" s="386"/>
      <c r="X75" t="s">
        <v>83</v>
      </c>
      <c r="Y75" t="str">
        <f t="shared" si="17"/>
        <v>\I:Trd_bus_lpg_11</v>
      </c>
      <c r="Z75" t="str">
        <f ca="1" t="shared" si="18"/>
        <v>LPG bus -- 11%</v>
      </c>
      <c r="AA75" s="388" t="s">
        <v>84</v>
      </c>
      <c r="AB75" s="388"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90">
        <f t="shared" si="13"/>
        <v>302014.39758871</v>
      </c>
      <c r="N76" s="390">
        <f t="shared" si="14"/>
        <v>301754.772545965</v>
      </c>
      <c r="O76" s="390">
        <f t="shared" si="15"/>
        <v>301754.772545965</v>
      </c>
      <c r="P76" s="390">
        <f t="shared" si="16"/>
        <v>301754.772545965</v>
      </c>
      <c r="Q76">
        <f t="shared" si="23"/>
        <v>301754.772545965</v>
      </c>
      <c r="R76">
        <v>3</v>
      </c>
      <c r="V76" s="386"/>
      <c r="X76" t="s">
        <v>83</v>
      </c>
      <c r="Y76" t="str">
        <f t="shared" si="17"/>
        <v>\I:Trd_bus_lpg_14</v>
      </c>
      <c r="Z76" t="str">
        <f ca="1" t="shared" si="18"/>
        <v>LPG bus -- 14%</v>
      </c>
      <c r="AA76" s="388" t="s">
        <v>84</v>
      </c>
      <c r="AB76" s="388"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90">
        <f t="shared" si="13"/>
        <v>330124.669266821</v>
      </c>
      <c r="N77" s="390">
        <f t="shared" si="14"/>
        <v>306370.872299667</v>
      </c>
      <c r="O77" s="390">
        <f t="shared" si="15"/>
        <v>306255.633789984</v>
      </c>
      <c r="P77" s="390">
        <f t="shared" si="16"/>
        <v>306255.633789984</v>
      </c>
      <c r="Q77">
        <f t="shared" si="23"/>
        <v>306255.633789984</v>
      </c>
      <c r="R77">
        <v>3</v>
      </c>
      <c r="V77" s="386"/>
      <c r="X77" t="s">
        <v>83</v>
      </c>
      <c r="Y77" t="str">
        <f t="shared" si="17"/>
        <v>\I:Trd_bus_lpg_17</v>
      </c>
      <c r="Z77" t="str">
        <f ca="1" t="shared" si="18"/>
        <v>LPG bus -- 17%</v>
      </c>
      <c r="AA77" s="388" t="s">
        <v>84</v>
      </c>
      <c r="AB77" s="388"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90">
        <f t="shared" si="13"/>
        <v>391435.688355708</v>
      </c>
      <c r="N78" s="390">
        <f t="shared" si="14"/>
        <v>317002.629328449</v>
      </c>
      <c r="O78" s="390">
        <f t="shared" si="15"/>
        <v>310346.416565104</v>
      </c>
      <c r="P78" s="390">
        <f t="shared" si="16"/>
        <v>310346.416565104</v>
      </c>
      <c r="Q78">
        <f t="shared" si="23"/>
        <v>310346.416565104</v>
      </c>
      <c r="R78">
        <v>3</v>
      </c>
      <c r="V78" s="386"/>
      <c r="X78" t="s">
        <v>83</v>
      </c>
      <c r="Y78" t="str">
        <f t="shared" si="17"/>
        <v>\I:Trd_bus_lpg_21</v>
      </c>
      <c r="Z78" t="str">
        <f ca="1" t="shared" si="18"/>
        <v>LPG bus -- 21%</v>
      </c>
      <c r="AA78" s="388" t="s">
        <v>84</v>
      </c>
      <c r="AB78" s="388" t="s">
        <v>85</v>
      </c>
    </row>
    <row r="79" spans="2:28">
      <c r="J79" t="str">
        <f t="shared" si="24"/>
        <v>\I:Trd_bus_lpg</v>
      </c>
      <c r="K79" t="str">
        <f t="shared" si="12"/>
        <v>\I:</v>
      </c>
      <c r="L79" t="str">
        <f t="shared" si="25"/>
        <v>\I:</v>
      </c>
      <c r="M79" s="390" t="str">
        <f t="shared" si="13"/>
        <v/>
      </c>
      <c r="N79" s="390" t="str">
        <f t="shared" si="14"/>
        <v/>
      </c>
      <c r="O79" s="390" t="str">
        <f t="shared" si="15"/>
        <v/>
      </c>
      <c r="P79" s="390" t="str">
        <f t="shared" si="16"/>
        <v/>
      </c>
      <c r="Q79" t="str">
        <f t="shared" si="23"/>
        <v/>
      </c>
      <c r="V79" s="386"/>
      <c r="X79" t="s">
        <v>83</v>
      </c>
      <c r="Y79" t="str">
        <f t="shared" si="17"/>
        <v>\I:</v>
      </c>
      <c r="Z79" t="str">
        <f ca="1" t="shared" si="18"/>
        <v>LPG bus -- 00%</v>
      </c>
      <c r="AA79" s="388" t="s">
        <v>84</v>
      </c>
      <c r="AB79" s="388" t="s">
        <v>85</v>
      </c>
    </row>
    <row r="80" spans="2:28">
      <c r="J80" t="str">
        <f t="shared" si="24"/>
        <v>\I:Trd_bus_lpg</v>
      </c>
      <c r="K80" t="str">
        <f t="shared" si="12"/>
        <v>\I:</v>
      </c>
      <c r="L80" t="str">
        <f t="shared" si="25"/>
        <v>\I:</v>
      </c>
      <c r="M80" s="390" t="str">
        <f t="shared" si="13"/>
        <v/>
      </c>
      <c r="N80" s="390" t="str">
        <f t="shared" si="14"/>
        <v/>
      </c>
      <c r="O80" s="390" t="str">
        <f t="shared" si="15"/>
        <v/>
      </c>
      <c r="P80" s="390" t="str">
        <f t="shared" si="16"/>
        <v/>
      </c>
      <c r="V80" s="386"/>
      <c r="X80" t="s">
        <v>83</v>
      </c>
      <c r="Y80" t="str">
        <f t="shared" si="17"/>
        <v>\I:</v>
      </c>
      <c r="Z80" t="str">
        <f ca="1" t="shared" si="18"/>
        <v>LPG bus -- 00%</v>
      </c>
      <c r="AA80" s="388" t="s">
        <v>84</v>
      </c>
      <c r="AB80" s="388" t="s">
        <v>85</v>
      </c>
    </row>
    <row r="81" spans="2:28">
      <c r="J81" t="str">
        <f t="shared" si="24"/>
        <v>\I:Trd_bus_lpg</v>
      </c>
      <c r="K81" t="str">
        <f t="shared" si="12"/>
        <v>\I:</v>
      </c>
      <c r="L81" t="str">
        <f t="shared" si="25"/>
        <v>\I:</v>
      </c>
      <c r="M81" s="390" t="str">
        <f t="shared" si="13"/>
        <v/>
      </c>
      <c r="N81" s="390" t="str">
        <f t="shared" si="14"/>
        <v/>
      </c>
      <c r="O81" s="390" t="str">
        <f t="shared" si="15"/>
        <v/>
      </c>
      <c r="P81" s="390" t="str">
        <f t="shared" si="16"/>
        <v/>
      </c>
      <c r="V81" s="386"/>
      <c r="X81" t="s">
        <v>83</v>
      </c>
      <c r="Y81" t="str">
        <f t="shared" si="17"/>
        <v>\I:</v>
      </c>
      <c r="Z81" t="str">
        <f ca="1" t="shared" si="18"/>
        <v>LPG bus -- 00%</v>
      </c>
      <c r="AA81" s="388" t="s">
        <v>84</v>
      </c>
      <c r="AB81" s="388" t="s">
        <v>85</v>
      </c>
    </row>
    <row r="82" spans="2:28">
      <c r="B82" s="381">
        <v>2020</v>
      </c>
      <c r="C82" s="381"/>
      <c r="D82" s="381"/>
      <c r="J82" t="str">
        <f t="shared" si="24"/>
        <v>\I:Trd_bus_lpg</v>
      </c>
      <c r="K82" t="str">
        <f t="shared" si="12"/>
        <v>\I:</v>
      </c>
      <c r="L82" t="str">
        <f t="shared" si="25"/>
        <v>\I:</v>
      </c>
      <c r="M82" s="390" t="str">
        <f t="shared" si="13"/>
        <v/>
      </c>
      <c r="N82" s="390" t="str">
        <f t="shared" si="14"/>
        <v/>
      </c>
      <c r="O82" s="390" t="str">
        <f t="shared" si="15"/>
        <v/>
      </c>
      <c r="P82" s="390" t="str">
        <f t="shared" si="16"/>
        <v/>
      </c>
      <c r="V82" s="386"/>
      <c r="X82" t="s">
        <v>83</v>
      </c>
      <c r="Y82" t="str">
        <f t="shared" si="17"/>
        <v>\I:</v>
      </c>
      <c r="Z82" t="str">
        <f ca="1" t="shared" si="18"/>
        <v>LPG bus -- 202000%</v>
      </c>
      <c r="AA82" s="388" t="s">
        <v>84</v>
      </c>
      <c r="AB82" s="388" t="s">
        <v>85</v>
      </c>
    </row>
    <row r="83" spans="2:28">
      <c r="B83" s="46" t="s">
        <v>161</v>
      </c>
      <c r="C83" s="47" t="s">
        <v>26</v>
      </c>
      <c r="D83" s="74">
        <v>1.15</v>
      </c>
      <c r="G83" s="75">
        <f>D83/3.6/100*10^9/10^6</f>
        <v>3.19444444444444</v>
      </c>
      <c r="H83" s="75"/>
      <c r="I83" s="392">
        <f>1/G83-0.1</f>
        <v>0.21304347826087</v>
      </c>
      <c r="J83" t="str">
        <f t="shared" si="24"/>
        <v>\I:Trd_bus_lpg</v>
      </c>
      <c r="K83" t="str">
        <f t="shared" si="12"/>
        <v>\I:</v>
      </c>
      <c r="L83" t="str">
        <f t="shared" si="25"/>
        <v>\I:</v>
      </c>
      <c r="M83" s="390" t="str">
        <f t="shared" si="13"/>
        <v/>
      </c>
      <c r="N83" s="390" t="str">
        <f t="shared" si="14"/>
        <v/>
      </c>
      <c r="O83" s="390" t="str">
        <f t="shared" si="15"/>
        <v/>
      </c>
      <c r="P83" s="390" t="str">
        <f t="shared" si="16"/>
        <v/>
      </c>
      <c r="V83" s="386"/>
      <c r="X83" t="s">
        <v>83</v>
      </c>
      <c r="Y83" t="str">
        <f t="shared" si="17"/>
        <v>\I:</v>
      </c>
      <c r="Z83" t="str">
        <f ca="1" t="shared" si="18"/>
        <v>LPG bus -- Energy consumption of Battery electric bus </v>
      </c>
      <c r="AA83" s="388" t="s">
        <v>84</v>
      </c>
      <c r="AB83" s="388" t="s">
        <v>85</v>
      </c>
    </row>
    <row r="84" spans="2:28">
      <c r="I84" s="393" t="s">
        <v>70</v>
      </c>
      <c r="J84" t="str">
        <f t="shared" si="24"/>
        <v>\I:Trd_bus_lpg</v>
      </c>
      <c r="K84" t="str">
        <f t="shared" si="12"/>
        <v>\I:</v>
      </c>
      <c r="L84" t="str">
        <f t="shared" si="25"/>
        <v>\I:</v>
      </c>
      <c r="M84" s="390" t="str">
        <f t="shared" si="13"/>
        <v/>
      </c>
      <c r="N84" s="390" t="str">
        <f t="shared" si="14"/>
        <v/>
      </c>
      <c r="O84" s="390" t="str">
        <f t="shared" si="15"/>
        <v/>
      </c>
      <c r="P84" s="390" t="str">
        <f t="shared" si="16"/>
        <v/>
      </c>
      <c r="V84" s="386"/>
      <c r="X84" t="s">
        <v>83</v>
      </c>
      <c r="Y84" t="str">
        <f t="shared" si="17"/>
        <v>\I:</v>
      </c>
      <c r="Z84" t="str">
        <f ca="1" t="shared" si="18"/>
        <v>LPG bus -- 00%</v>
      </c>
      <c r="AA84" s="388" t="s">
        <v>84</v>
      </c>
      <c r="AB84" s="388" t="s">
        <v>85</v>
      </c>
    </row>
    <row r="85" ht="15" customHeight="1" spans="2:28">
      <c r="B85" s="387" t="s">
        <v>27</v>
      </c>
      <c r="C85" s="387" t="s">
        <v>154</v>
      </c>
      <c r="D85" s="387"/>
      <c r="E85" s="387"/>
      <c r="F85" s="387"/>
      <c r="J85" t="str">
        <f t="shared" si="24"/>
        <v>Trd_bus_elc</v>
      </c>
      <c r="K85" t="str">
        <f t="shared" si="12"/>
        <v>\I:</v>
      </c>
      <c r="L85" t="str">
        <f t="shared" si="25"/>
        <v>\I:</v>
      </c>
      <c r="M85" s="390" t="str">
        <f t="shared" si="13"/>
        <v/>
      </c>
      <c r="N85" s="390" t="str">
        <f t="shared" si="14"/>
        <v/>
      </c>
      <c r="O85" s="390" t="str">
        <f t="shared" si="15"/>
        <v/>
      </c>
      <c r="P85" s="390" t="str">
        <f t="shared" si="16"/>
        <v/>
      </c>
      <c r="V85" s="386"/>
      <c r="X85" t="s">
        <v>83</v>
      </c>
      <c r="Y85" t="str">
        <f t="shared" si="17"/>
        <v>\I:</v>
      </c>
      <c r="Z85" t="str">
        <f ca="1" t="shared" si="18"/>
        <v>Battery electric bus -- Electric range (km)</v>
      </c>
      <c r="AA85" s="388" t="s">
        <v>84</v>
      </c>
      <c r="AB85" s="388" t="s">
        <v>85</v>
      </c>
    </row>
    <row r="86" spans="2:28">
      <c r="B86" s="387"/>
      <c r="C86" s="387"/>
      <c r="D86" s="387"/>
      <c r="E86" s="387"/>
      <c r="F86" s="387"/>
      <c r="J86" t="str">
        <f t="shared" si="24"/>
        <v>Trd_bus_elc</v>
      </c>
      <c r="K86" t="str">
        <f t="shared" si="12"/>
        <v>\I:</v>
      </c>
      <c r="L86" t="str">
        <f t="shared" si="25"/>
        <v>\I:</v>
      </c>
      <c r="M86" s="390" t="str">
        <f t="shared" si="13"/>
        <v/>
      </c>
      <c r="N86" s="390" t="str">
        <f t="shared" si="14"/>
        <v/>
      </c>
      <c r="O86" s="390" t="str">
        <f t="shared" si="15"/>
        <v/>
      </c>
      <c r="P86" s="390" t="str">
        <f t="shared" si="16"/>
        <v/>
      </c>
      <c r="V86" s="386"/>
      <c r="X86" t="s">
        <v>83</v>
      </c>
      <c r="Y86" t="str">
        <f t="shared" si="17"/>
        <v>\I:</v>
      </c>
      <c r="Z86" t="str">
        <f ca="1" t="shared" si="18"/>
        <v>Battery electric bus -- 00%</v>
      </c>
      <c r="AA86" s="388" t="s">
        <v>84</v>
      </c>
      <c r="AB86" s="388" t="s">
        <v>85</v>
      </c>
    </row>
    <row r="87" spans="2:28">
      <c r="B87" s="387"/>
      <c r="C87" s="387"/>
      <c r="D87" s="387"/>
      <c r="E87" s="387"/>
      <c r="F87" s="387"/>
      <c r="J87" t="str">
        <f t="shared" si="24"/>
        <v>Trd_bus_elc</v>
      </c>
      <c r="K87" t="str">
        <f t="shared" si="12"/>
        <v>\I:</v>
      </c>
      <c r="L87" t="str">
        <f t="shared" si="25"/>
        <v>\I:</v>
      </c>
      <c r="M87" s="390" t="str">
        <f t="shared" si="13"/>
        <v/>
      </c>
      <c r="N87" s="390" t="str">
        <f t="shared" si="14"/>
        <v/>
      </c>
      <c r="O87" s="390" t="str">
        <f t="shared" si="15"/>
        <v/>
      </c>
      <c r="P87" s="390" t="str">
        <f t="shared" si="16"/>
        <v/>
      </c>
      <c r="V87" s="386"/>
      <c r="X87" t="s">
        <v>83</v>
      </c>
      <c r="Y87" t="str">
        <f t="shared" si="17"/>
        <v>\I:</v>
      </c>
      <c r="Z87" t="str">
        <f ca="1" t="shared" si="18"/>
        <v>Battery electric bus -- 00%</v>
      </c>
      <c r="AA87" s="388" t="s">
        <v>84</v>
      </c>
      <c r="AB87" s="388"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90" t="str">
        <f t="shared" ref="M88:M151" si="27">IF($K88="\I:","",C88)</f>
        <v/>
      </c>
      <c r="N88" s="390" t="str">
        <f t="shared" ref="N88:N151" si="28">IF($K88="\I:","",D88)</f>
        <v/>
      </c>
      <c r="O88" s="390" t="str">
        <f t="shared" ref="O88:O151" si="29">IF($K88="\I:","",E88)</f>
        <v/>
      </c>
      <c r="P88" s="390" t="str">
        <f t="shared" ref="P88:P151" si="30">IF($K88="\I:","",F88)</f>
        <v/>
      </c>
      <c r="V88" s="386"/>
      <c r="X88" t="s">
        <v>83</v>
      </c>
      <c r="Y88" t="str">
        <f t="shared" ref="Y88:Y151" si="31">K88</f>
        <v>\I:</v>
      </c>
      <c r="Z88" t="str">
        <f ca="1" t="shared" ref="Z88:Z151" si="32">OFFSET($W$1,MATCH(J88,$W$1:$W$12,0)-1,-1)&amp;" -- "&amp;TEXT(B88,"00%")</f>
        <v>Battery electric bus -- 00%</v>
      </c>
      <c r="AA88" s="388" t="s">
        <v>84</v>
      </c>
      <c r="AB88" s="388" t="s">
        <v>85</v>
      </c>
    </row>
    <row r="89" spans="2:28">
      <c r="B89" s="66">
        <v>120</v>
      </c>
      <c r="C89" s="86">
        <v>414282.581831388</v>
      </c>
      <c r="D89" s="86">
        <v>303169.459903534</v>
      </c>
      <c r="E89" s="86">
        <v>289801.053326816</v>
      </c>
      <c r="F89" s="86">
        <v>284257.075106368</v>
      </c>
      <c r="I89" s="394">
        <f>$I$83/$I$7</f>
        <v>2.95617979462175</v>
      </c>
      <c r="J89" t="str">
        <f t="shared" si="24"/>
        <v>Trd_bus_elc</v>
      </c>
      <c r="K89" t="str">
        <f>IFERROR(IF(VALUE(C89)&gt;2020,J89&amp;"_"&amp;TEXT(B89,"00"),"\I:"),"\I:")</f>
        <v>Trd_bus_elc_120</v>
      </c>
      <c r="L89" t="str">
        <f t="shared" si="25"/>
        <v>Trd_bus</v>
      </c>
      <c r="M89" s="395">
        <f>IF($K89="\I:","",C89*60%)</f>
        <v>248569.549098833</v>
      </c>
      <c r="N89" s="395">
        <f t="shared" ref="N89:N96" si="33">IF($K89="\I:","",D89*60%)</f>
        <v>181901.67594212</v>
      </c>
      <c r="O89" s="395">
        <f t="shared" ref="O89:O96" si="34">IF($K89="\I:","",E89*60%)</f>
        <v>173880.63199609</v>
      </c>
      <c r="P89" s="395">
        <f t="shared" ref="P89:P96" si="35">IF($K89="\I:","",F89*60%)</f>
        <v>170554.245063821</v>
      </c>
      <c r="Q89">
        <f t="shared" ref="Q89:Q96" si="36">P89</f>
        <v>170554.245063821</v>
      </c>
      <c r="R89">
        <v>3</v>
      </c>
      <c r="V89" s="396">
        <v>0.05</v>
      </c>
      <c r="X89" t="s">
        <v>83</v>
      </c>
      <c r="Y89" t="str">
        <f t="shared" si="31"/>
        <v>Trd_bus_elc_120</v>
      </c>
      <c r="Z89" t="str">
        <f ca="1" t="shared" si="32"/>
        <v>Battery electric bus -- 12000%</v>
      </c>
      <c r="AA89" s="388" t="s">
        <v>84</v>
      </c>
      <c r="AB89" s="388" t="s">
        <v>85</v>
      </c>
    </row>
    <row r="90" spans="2:28">
      <c r="B90" s="66">
        <v>134.285714285714</v>
      </c>
      <c r="C90" s="86">
        <v>418677.39136009</v>
      </c>
      <c r="D90" s="86">
        <v>306294.576352111</v>
      </c>
      <c r="E90" s="86">
        <v>291398.806588617</v>
      </c>
      <c r="F90" s="86">
        <v>285221.419427949</v>
      </c>
      <c r="I90" s="394">
        <f t="shared" ref="I90:I96" si="37">$I$83/$I$7</f>
        <v>2.95617979462175</v>
      </c>
      <c r="J90" t="str">
        <f t="shared" si="24"/>
        <v>Trd_bus_elc</v>
      </c>
      <c r="K90" t="str">
        <f t="shared" ref="K90:K96" si="38">IFERROR(IF(VALUE(C90)&gt;2020,J90&amp;"_"&amp;TEXT(B90,"00"),"\I:"),"\I:")</f>
        <v>Trd_bus_elc_134</v>
      </c>
      <c r="L90" t="str">
        <f t="shared" si="25"/>
        <v>Trd_bus</v>
      </c>
      <c r="M90" s="395">
        <f t="shared" ref="M90:M96" si="39">IF($K90="\I:","",C90*60%)</f>
        <v>251206.434816054</v>
      </c>
      <c r="N90" s="395">
        <f t="shared" si="33"/>
        <v>183776.745811267</v>
      </c>
      <c r="O90" s="395">
        <f t="shared" si="34"/>
        <v>174839.28395317</v>
      </c>
      <c r="P90" s="395">
        <f t="shared" si="35"/>
        <v>171132.851656769</v>
      </c>
      <c r="Q90">
        <f t="shared" si="36"/>
        <v>171132.851656769</v>
      </c>
      <c r="R90">
        <v>3</v>
      </c>
      <c r="V90" s="396">
        <v>0.05</v>
      </c>
      <c r="X90" t="s">
        <v>83</v>
      </c>
      <c r="Y90" t="str">
        <f t="shared" si="31"/>
        <v>Trd_bus_elc_134</v>
      </c>
      <c r="Z90" t="str">
        <f ca="1" t="shared" si="32"/>
        <v>Battery electric bus -- 13429%</v>
      </c>
      <c r="AA90" s="388" t="s">
        <v>84</v>
      </c>
      <c r="AB90" s="388" t="s">
        <v>85</v>
      </c>
    </row>
    <row r="91" spans="2:28">
      <c r="B91" s="66">
        <v>148.571428571429</v>
      </c>
      <c r="C91" s="86">
        <v>421065.599852614</v>
      </c>
      <c r="D91" s="86">
        <v>307992.813691836</v>
      </c>
      <c r="E91" s="86">
        <v>292267.050794396</v>
      </c>
      <c r="F91" s="86">
        <v>285745.45927165</v>
      </c>
      <c r="I91" s="394">
        <f t="shared" si="37"/>
        <v>2.95617979462175</v>
      </c>
      <c r="J91" t="str">
        <f t="shared" si="24"/>
        <v>Trd_bus_elc</v>
      </c>
      <c r="K91" t="str">
        <f t="shared" si="38"/>
        <v>Trd_bus_elc_149</v>
      </c>
      <c r="L91" t="str">
        <f t="shared" si="25"/>
        <v>Trd_bus</v>
      </c>
      <c r="M91" s="395">
        <f t="shared" si="39"/>
        <v>252639.359911568</v>
      </c>
      <c r="N91" s="395">
        <f t="shared" si="33"/>
        <v>184795.688215102</v>
      </c>
      <c r="O91" s="395">
        <f t="shared" si="34"/>
        <v>175360.230476638</v>
      </c>
      <c r="P91" s="395">
        <f t="shared" si="35"/>
        <v>171447.27556299</v>
      </c>
      <c r="Q91">
        <f t="shared" si="36"/>
        <v>171447.27556299</v>
      </c>
      <c r="R91">
        <v>3</v>
      </c>
      <c r="V91" s="396">
        <v>0.05</v>
      </c>
      <c r="X91" t="s">
        <v>83</v>
      </c>
      <c r="Y91" t="str">
        <f t="shared" si="31"/>
        <v>Trd_bus_elc_149</v>
      </c>
      <c r="Z91" t="str">
        <f ca="1" t="shared" si="32"/>
        <v>Battery electric bus -- 14857%</v>
      </c>
      <c r="AA91" s="388" t="s">
        <v>84</v>
      </c>
      <c r="AB91" s="388" t="s">
        <v>85</v>
      </c>
    </row>
    <row r="92" spans="2:28">
      <c r="B92" s="66">
        <v>162.857142857143</v>
      </c>
      <c r="C92" s="86">
        <v>423484.304232436</v>
      </c>
      <c r="D92" s="86">
        <v>309712.736430754</v>
      </c>
      <c r="E92" s="86">
        <v>293146.38192057</v>
      </c>
      <c r="F92" s="86">
        <v>286276.1907673</v>
      </c>
      <c r="I92" s="394">
        <f t="shared" si="37"/>
        <v>2.95617979462175</v>
      </c>
      <c r="J92" t="str">
        <f t="shared" si="24"/>
        <v>Trd_bus_elc</v>
      </c>
      <c r="K92" t="str">
        <f t="shared" si="38"/>
        <v>Trd_bus_elc_163</v>
      </c>
      <c r="L92" t="str">
        <f t="shared" si="25"/>
        <v>Trd_bus</v>
      </c>
      <c r="M92" s="395">
        <f t="shared" si="39"/>
        <v>254090.582539462</v>
      </c>
      <c r="N92" s="395">
        <f t="shared" si="33"/>
        <v>185827.641858452</v>
      </c>
      <c r="O92" s="395">
        <f t="shared" si="34"/>
        <v>175887.829152342</v>
      </c>
      <c r="P92" s="395">
        <f t="shared" si="35"/>
        <v>171765.71446038</v>
      </c>
      <c r="Q92">
        <f t="shared" si="36"/>
        <v>171765.71446038</v>
      </c>
      <c r="R92">
        <v>3</v>
      </c>
      <c r="V92" s="396">
        <v>0.05</v>
      </c>
      <c r="X92" t="s">
        <v>83</v>
      </c>
      <c r="Y92" t="str">
        <f t="shared" si="31"/>
        <v>Trd_bus_elc_163</v>
      </c>
      <c r="Z92" t="str">
        <f ca="1" t="shared" si="32"/>
        <v>Battery electric bus -- 16286%</v>
      </c>
      <c r="AA92" s="388" t="s">
        <v>84</v>
      </c>
      <c r="AB92" s="388" t="s">
        <v>85</v>
      </c>
    </row>
    <row r="93" spans="2:28">
      <c r="B93" s="66">
        <v>177.142857142857</v>
      </c>
      <c r="C93" s="86">
        <v>426045.337290405</v>
      </c>
      <c r="D93" s="86">
        <v>311533.868036695</v>
      </c>
      <c r="E93" s="86">
        <v>294077.457293741</v>
      </c>
      <c r="F93" s="86">
        <v>286838.153161962</v>
      </c>
      <c r="I93" s="394">
        <f t="shared" si="37"/>
        <v>2.95617979462175</v>
      </c>
      <c r="J93" t="str">
        <f t="shared" si="24"/>
        <v>Trd_bus_elc</v>
      </c>
      <c r="K93" t="str">
        <f t="shared" si="38"/>
        <v>Trd_bus_elc_177</v>
      </c>
      <c r="L93" t="str">
        <f t="shared" si="25"/>
        <v>Trd_bus</v>
      </c>
      <c r="M93" s="395">
        <f t="shared" si="39"/>
        <v>255627.202374243</v>
      </c>
      <c r="N93" s="395">
        <f t="shared" si="33"/>
        <v>186920.320822017</v>
      </c>
      <c r="O93" s="395">
        <f t="shared" si="34"/>
        <v>176446.474376245</v>
      </c>
      <c r="P93" s="395">
        <f t="shared" si="35"/>
        <v>172102.891897177</v>
      </c>
      <c r="Q93">
        <f t="shared" si="36"/>
        <v>172102.891897177</v>
      </c>
      <c r="R93">
        <v>3</v>
      </c>
      <c r="V93" s="396">
        <v>0.15</v>
      </c>
      <c r="X93" t="s">
        <v>83</v>
      </c>
      <c r="Y93" t="str">
        <f t="shared" si="31"/>
        <v>Trd_bus_elc_177</v>
      </c>
      <c r="Z93" t="str">
        <f ca="1" t="shared" si="32"/>
        <v>Battery electric bus -- 17714%</v>
      </c>
      <c r="AA93" s="388" t="s">
        <v>84</v>
      </c>
      <c r="AB93" s="388" t="s">
        <v>85</v>
      </c>
    </row>
    <row r="94" spans="2:28">
      <c r="B94" s="66">
        <v>191.428571428571</v>
      </c>
      <c r="C94" s="86">
        <v>429934.421537582</v>
      </c>
      <c r="D94" s="86">
        <v>314299.366989808</v>
      </c>
      <c r="E94" s="86">
        <v>295873.386780209</v>
      </c>
      <c r="F94" s="86">
        <v>287922.109266851</v>
      </c>
      <c r="I94" s="394">
        <f t="shared" si="37"/>
        <v>2.95617979462175</v>
      </c>
      <c r="J94" t="str">
        <f t="shared" si="24"/>
        <v>Trd_bus_elc</v>
      </c>
      <c r="K94" t="str">
        <f t="shared" si="38"/>
        <v>Trd_bus_elc_191</v>
      </c>
      <c r="L94" t="str">
        <f t="shared" si="25"/>
        <v>Trd_bus</v>
      </c>
      <c r="M94" s="395">
        <f t="shared" si="39"/>
        <v>257960.652922549</v>
      </c>
      <c r="N94" s="395">
        <f t="shared" si="33"/>
        <v>188579.620193885</v>
      </c>
      <c r="O94" s="395">
        <f t="shared" si="34"/>
        <v>177524.032068125</v>
      </c>
      <c r="P94" s="395">
        <f t="shared" si="35"/>
        <v>172753.265560111</v>
      </c>
      <c r="Q94">
        <f t="shared" si="36"/>
        <v>172753.265560111</v>
      </c>
      <c r="R94">
        <v>3</v>
      </c>
      <c r="V94" s="396">
        <v>0.175</v>
      </c>
      <c r="X94" t="s">
        <v>83</v>
      </c>
      <c r="Y94" t="str">
        <f t="shared" si="31"/>
        <v>Trd_bus_elc_191</v>
      </c>
      <c r="Z94" t="str">
        <f ca="1" t="shared" si="32"/>
        <v>Battery electric bus -- 19143%</v>
      </c>
      <c r="AA94" s="388" t="s">
        <v>84</v>
      </c>
      <c r="AB94" s="388" t="s">
        <v>85</v>
      </c>
    </row>
    <row r="95" spans="2:28">
      <c r="B95" s="66">
        <v>205.714285714286</v>
      </c>
      <c r="C95" s="86">
        <v>434837.321877915</v>
      </c>
      <c r="D95" s="86">
        <v>317785.783044756</v>
      </c>
      <c r="E95" s="86">
        <v>297678.678035306</v>
      </c>
      <c r="F95" s="86">
        <v>289011.715786377</v>
      </c>
      <c r="I95" s="394">
        <f t="shared" si="37"/>
        <v>2.95617979462175</v>
      </c>
      <c r="J95" t="str">
        <f t="shared" si="24"/>
        <v>Trd_bus_elc</v>
      </c>
      <c r="K95" t="str">
        <f t="shared" si="38"/>
        <v>Trd_bus_elc_206</v>
      </c>
      <c r="L95" t="str">
        <f t="shared" si="25"/>
        <v>Trd_bus</v>
      </c>
      <c r="M95" s="395">
        <f t="shared" si="39"/>
        <v>260902.393126749</v>
      </c>
      <c r="N95" s="395">
        <f t="shared" si="33"/>
        <v>190671.469826854</v>
      </c>
      <c r="O95" s="395">
        <f t="shared" si="34"/>
        <v>178607.206821184</v>
      </c>
      <c r="P95" s="395">
        <f t="shared" si="35"/>
        <v>173407.029471826</v>
      </c>
      <c r="Q95">
        <f t="shared" si="36"/>
        <v>173407.029471826</v>
      </c>
      <c r="R95">
        <v>3</v>
      </c>
      <c r="V95" s="396">
        <v>0.2</v>
      </c>
      <c r="X95" t="s">
        <v>83</v>
      </c>
      <c r="Y95" t="str">
        <f t="shared" si="31"/>
        <v>Trd_bus_elc_206</v>
      </c>
      <c r="Z95" t="str">
        <f ca="1" t="shared" si="32"/>
        <v>Battery electric bus -- 20571%</v>
      </c>
      <c r="AA95" s="388" t="s">
        <v>84</v>
      </c>
      <c r="AB95" s="388" t="s">
        <v>85</v>
      </c>
    </row>
    <row r="96" spans="2:28">
      <c r="B96" s="66">
        <v>220</v>
      </c>
      <c r="C96" s="86">
        <v>439775.623723911</v>
      </c>
      <c r="D96" s="86">
        <v>321297.372847721</v>
      </c>
      <c r="E96" s="86">
        <v>299069.166215671</v>
      </c>
      <c r="F96" s="86">
        <v>289850.96262944</v>
      </c>
      <c r="I96" s="394">
        <f t="shared" si="37"/>
        <v>2.95617979462175</v>
      </c>
      <c r="J96" t="str">
        <f t="shared" si="24"/>
        <v>Trd_bus_elc</v>
      </c>
      <c r="K96" t="str">
        <f t="shared" si="38"/>
        <v>Trd_bus_elc_220</v>
      </c>
      <c r="L96" t="str">
        <f t="shared" si="25"/>
        <v>Trd_bus</v>
      </c>
      <c r="M96" s="395">
        <f t="shared" si="39"/>
        <v>263865.374234347</v>
      </c>
      <c r="N96" s="395">
        <f t="shared" si="33"/>
        <v>192778.423708633</v>
      </c>
      <c r="O96" s="395">
        <f t="shared" si="34"/>
        <v>179441.499729403</v>
      </c>
      <c r="P96" s="395">
        <f t="shared" si="35"/>
        <v>173910.577577664</v>
      </c>
      <c r="Q96">
        <f t="shared" si="36"/>
        <v>173910.577577664</v>
      </c>
      <c r="R96">
        <v>3</v>
      </c>
      <c r="V96" s="386"/>
      <c r="X96" t="s">
        <v>83</v>
      </c>
      <c r="Y96" t="str">
        <f t="shared" si="31"/>
        <v>Trd_bus_elc_220</v>
      </c>
      <c r="Z96" t="str">
        <f ca="1" t="shared" si="32"/>
        <v>Battery electric bus -- 22000%</v>
      </c>
      <c r="AA96" s="388" t="s">
        <v>84</v>
      </c>
      <c r="AB96" s="388" t="s">
        <v>85</v>
      </c>
    </row>
    <row r="97" spans="2:28">
      <c r="J97" t="str">
        <f t="shared" si="24"/>
        <v>Trd_bus_elc</v>
      </c>
      <c r="K97" t="str">
        <f t="shared" si="26"/>
        <v>\I:</v>
      </c>
      <c r="L97" t="str">
        <f t="shared" si="25"/>
        <v>\I:</v>
      </c>
      <c r="M97" s="390" t="str">
        <f t="shared" si="27"/>
        <v/>
      </c>
      <c r="N97" s="390" t="str">
        <f t="shared" si="28"/>
        <v/>
      </c>
      <c r="O97" s="390" t="str">
        <f t="shared" si="29"/>
        <v/>
      </c>
      <c r="P97" s="390" t="str">
        <f t="shared" si="30"/>
        <v/>
      </c>
      <c r="V97" s="386"/>
      <c r="X97" t="s">
        <v>83</v>
      </c>
      <c r="Y97" t="str">
        <f t="shared" si="31"/>
        <v>\I:</v>
      </c>
      <c r="Z97" t="str">
        <f ca="1" t="shared" si="32"/>
        <v>Battery electric bus -- 00%</v>
      </c>
      <c r="AA97" s="388" t="s">
        <v>84</v>
      </c>
      <c r="AB97" s="388" t="s">
        <v>85</v>
      </c>
    </row>
    <row r="98" spans="2:28">
      <c r="J98" t="str">
        <f t="shared" si="24"/>
        <v>Trd_bus_elc</v>
      </c>
      <c r="K98" t="str">
        <f t="shared" si="26"/>
        <v>\I:</v>
      </c>
      <c r="L98" t="str">
        <f t="shared" si="25"/>
        <v>\I:</v>
      </c>
      <c r="M98" s="390" t="str">
        <f t="shared" si="27"/>
        <v/>
      </c>
      <c r="N98" s="390" t="str">
        <f t="shared" si="28"/>
        <v/>
      </c>
      <c r="O98" s="390" t="str">
        <f t="shared" si="29"/>
        <v/>
      </c>
      <c r="P98" s="390" t="str">
        <f t="shared" si="30"/>
        <v/>
      </c>
      <c r="V98" s="386"/>
      <c r="X98" t="s">
        <v>83</v>
      </c>
      <c r="Y98" t="str">
        <f t="shared" si="31"/>
        <v>\I:</v>
      </c>
      <c r="Z98" t="str">
        <f ca="1" t="shared" si="32"/>
        <v>Battery electric bus -- 00%</v>
      </c>
      <c r="AA98" s="388" t="s">
        <v>84</v>
      </c>
      <c r="AB98" s="388" t="s">
        <v>85</v>
      </c>
    </row>
    <row r="99" ht="15.75" customHeight="1" spans="2:28">
      <c r="J99" t="str">
        <f t="shared" si="24"/>
        <v>Trd_bus_elc</v>
      </c>
      <c r="K99" t="str">
        <f t="shared" si="26"/>
        <v>\I:</v>
      </c>
      <c r="L99" t="str">
        <f t="shared" si="25"/>
        <v>\I:</v>
      </c>
      <c r="M99" s="390" t="str">
        <f t="shared" si="27"/>
        <v/>
      </c>
      <c r="N99" s="390" t="str">
        <f t="shared" si="28"/>
        <v/>
      </c>
      <c r="O99" s="390" t="str">
        <f t="shared" si="29"/>
        <v/>
      </c>
      <c r="P99" s="390" t="str">
        <f t="shared" si="30"/>
        <v/>
      </c>
      <c r="V99" s="386"/>
      <c r="X99" t="s">
        <v>83</v>
      </c>
      <c r="Y99" t="str">
        <f t="shared" si="31"/>
        <v>\I:</v>
      </c>
      <c r="Z99" t="str">
        <f ca="1" t="shared" si="32"/>
        <v>Battery electric bus -- 00%</v>
      </c>
      <c r="AA99" s="388" t="s">
        <v>84</v>
      </c>
      <c r="AB99" s="388" t="s">
        <v>85</v>
      </c>
    </row>
    <row r="100" ht="20.25" customHeight="1" spans="2:28">
      <c r="B100" s="387" t="s">
        <v>29</v>
      </c>
      <c r="C100" s="387" t="s">
        <v>155</v>
      </c>
      <c r="D100" s="387"/>
      <c r="E100" s="387"/>
      <c r="F100" s="387"/>
      <c r="J100" t="str">
        <f t="shared" si="24"/>
        <v>Trd_bus_hh2</v>
      </c>
      <c r="K100" t="str">
        <f t="shared" si="26"/>
        <v>\I:</v>
      </c>
      <c r="L100" t="str">
        <f t="shared" si="25"/>
        <v>\I:</v>
      </c>
      <c r="M100" s="390" t="str">
        <f t="shared" si="27"/>
        <v/>
      </c>
      <c r="N100" s="390" t="str">
        <f t="shared" si="28"/>
        <v/>
      </c>
      <c r="O100" s="390" t="str">
        <f t="shared" si="29"/>
        <v/>
      </c>
      <c r="P100" s="390" t="str">
        <f t="shared" si="30"/>
        <v/>
      </c>
      <c r="V100" s="386"/>
      <c r="X100" t="s">
        <v>83</v>
      </c>
      <c r="Y100" t="str">
        <f t="shared" si="31"/>
        <v>\I:</v>
      </c>
      <c r="Z100" t="str">
        <f ca="1" t="shared" si="32"/>
        <v>Hydrogen fuel cell bus -- Energy consumption (kg H2/100km)</v>
      </c>
      <c r="AA100" s="388" t="s">
        <v>84</v>
      </c>
      <c r="AB100" s="388" t="s">
        <v>85</v>
      </c>
    </row>
    <row r="101" ht="20.25" customHeight="1" spans="2:28">
      <c r="B101" s="387"/>
      <c r="C101" s="387"/>
      <c r="D101" s="387"/>
      <c r="E101" s="387"/>
      <c r="F101" s="387"/>
      <c r="J101" t="str">
        <f t="shared" si="24"/>
        <v>Trd_bus_hh2</v>
      </c>
      <c r="K101" t="str">
        <f t="shared" si="26"/>
        <v>\I:</v>
      </c>
      <c r="L101" t="str">
        <f t="shared" si="25"/>
        <v>\I:</v>
      </c>
      <c r="M101" s="390" t="str">
        <f t="shared" si="27"/>
        <v/>
      </c>
      <c r="N101" s="390" t="str">
        <f t="shared" si="28"/>
        <v/>
      </c>
      <c r="O101" s="390" t="str">
        <f t="shared" si="29"/>
        <v/>
      </c>
      <c r="P101" s="390" t="str">
        <f t="shared" si="30"/>
        <v/>
      </c>
      <c r="V101" s="386"/>
      <c r="X101" t="s">
        <v>83</v>
      </c>
      <c r="Y101" t="str">
        <f t="shared" si="31"/>
        <v>\I:</v>
      </c>
      <c r="Z101" t="str">
        <f ca="1" t="shared" si="32"/>
        <v>Hydrogen fuel cell bus -- 00%</v>
      </c>
      <c r="AA101" s="388" t="s">
        <v>84</v>
      </c>
      <c r="AB101" s="388" t="s">
        <v>85</v>
      </c>
    </row>
    <row r="102" spans="2:28">
      <c r="B102" s="387"/>
      <c r="C102" s="387"/>
      <c r="D102" s="387"/>
      <c r="E102" s="387"/>
      <c r="F102" s="387"/>
      <c r="J102" t="str">
        <f t="shared" si="24"/>
        <v>Trd_bus_hh2</v>
      </c>
      <c r="K102" t="str">
        <f t="shared" si="26"/>
        <v>\I:</v>
      </c>
      <c r="L102" t="str">
        <f t="shared" si="25"/>
        <v>\I:</v>
      </c>
      <c r="M102" s="390" t="str">
        <f t="shared" si="27"/>
        <v/>
      </c>
      <c r="N102" s="390" t="str">
        <f t="shared" si="28"/>
        <v/>
      </c>
      <c r="O102" s="390" t="str">
        <f t="shared" si="29"/>
        <v/>
      </c>
      <c r="P102" s="390" t="str">
        <f t="shared" si="30"/>
        <v/>
      </c>
      <c r="V102" s="386"/>
      <c r="X102" t="s">
        <v>83</v>
      </c>
      <c r="Y102" t="str">
        <f t="shared" si="31"/>
        <v>\I:</v>
      </c>
      <c r="Z102" t="str">
        <f ca="1" t="shared" si="32"/>
        <v>Hydrogen fuel cell bus -- 00%</v>
      </c>
      <c r="AA102" s="388" t="s">
        <v>84</v>
      </c>
      <c r="AB102" s="388" t="s">
        <v>85</v>
      </c>
    </row>
    <row r="103" spans="2:28">
      <c r="B103" s="50"/>
      <c r="C103" s="51">
        <v>2020</v>
      </c>
      <c r="D103" s="51">
        <v>2030</v>
      </c>
      <c r="E103" s="51">
        <v>2040</v>
      </c>
      <c r="F103" s="51">
        <v>2050</v>
      </c>
      <c r="J103" t="str">
        <f t="shared" si="24"/>
        <v>Trd_bus_hh2</v>
      </c>
      <c r="K103" t="str">
        <f t="shared" si="26"/>
        <v>\I:</v>
      </c>
      <c r="L103" t="str">
        <f t="shared" si="25"/>
        <v>\I:</v>
      </c>
      <c r="M103" s="390" t="str">
        <f t="shared" si="27"/>
        <v/>
      </c>
      <c r="N103" s="390" t="str">
        <f t="shared" si="28"/>
        <v/>
      </c>
      <c r="O103" s="390" t="str">
        <f t="shared" si="29"/>
        <v/>
      </c>
      <c r="P103" s="390" t="str">
        <f t="shared" si="30"/>
        <v/>
      </c>
      <c r="V103" s="386"/>
      <c r="X103" t="s">
        <v>83</v>
      </c>
      <c r="Y103" t="str">
        <f t="shared" si="31"/>
        <v>\I:</v>
      </c>
      <c r="Z103" t="str">
        <f ca="1" t="shared" si="32"/>
        <v>Hydrogen fuel cell bus -- 00%</v>
      </c>
      <c r="AA103" s="388" t="s">
        <v>84</v>
      </c>
      <c r="AB103" s="388" t="s">
        <v>85</v>
      </c>
    </row>
    <row r="104" spans="2:28">
      <c r="B104" s="67">
        <v>9</v>
      </c>
      <c r="C104" s="86">
        <v>598114.464021425</v>
      </c>
      <c r="D104" s="86">
        <v>388321.426107765</v>
      </c>
      <c r="E104" s="86">
        <v>330842.322103657</v>
      </c>
      <c r="F104" s="86">
        <v>315835.594304073</v>
      </c>
      <c r="G104" s="75">
        <f>B104*0.12/100*10^9/10^6</f>
        <v>10.8</v>
      </c>
      <c r="H104" s="75"/>
      <c r="I104" s="382">
        <f>1/G104/$I$7</f>
        <v>1.28480981247733</v>
      </c>
      <c r="J104" t="str">
        <f t="shared" si="24"/>
        <v>Trd_bus_hh2</v>
      </c>
      <c r="K104" t="str">
        <f>IFERROR(IF(VALUE(C104)&gt;2020,J104&amp;"_"&amp;TEXT(B104,"0.0"),"\I:"),"\I:")</f>
        <v>Trd_bus_hh2_9.0</v>
      </c>
      <c r="L104" t="str">
        <f t="shared" si="25"/>
        <v>Trd_bus</v>
      </c>
      <c r="M104" s="390">
        <f t="shared" si="27"/>
        <v>598114.464021425</v>
      </c>
      <c r="N104" s="390">
        <f t="shared" si="28"/>
        <v>388321.426107765</v>
      </c>
      <c r="O104" s="390">
        <f t="shared" si="29"/>
        <v>330842.322103657</v>
      </c>
      <c r="P104" s="390">
        <f t="shared" si="30"/>
        <v>315835.594304073</v>
      </c>
      <c r="Q104">
        <f t="shared" ref="Q104:Q111" si="40">P104</f>
        <v>315835.594304073</v>
      </c>
      <c r="R104">
        <v>3</v>
      </c>
      <c r="V104" s="386"/>
      <c r="X104" t="s">
        <v>83</v>
      </c>
      <c r="Y104" t="str">
        <f t="shared" si="31"/>
        <v>Trd_bus_hh2_9.0</v>
      </c>
      <c r="Z104" t="str">
        <f ca="1" t="shared" si="32"/>
        <v>Hydrogen fuel cell bus -- 900%</v>
      </c>
      <c r="AA104" s="388" t="s">
        <v>84</v>
      </c>
      <c r="AB104" s="388"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82">
        <f t="shared" ref="I105:I111" si="42">1/G105/$I$7</f>
        <v>1.3249087691195</v>
      </c>
      <c r="J105" t="str">
        <f t="shared" si="24"/>
        <v>Trd_bus_hh2</v>
      </c>
      <c r="K105" t="str">
        <f t="shared" ref="K105:K111" si="43">IFERROR(IF(VALUE(C105)&gt;2020,J105&amp;"_"&amp;TEXT(B105,"0.0"),"\I:"),"\I:")</f>
        <v>Trd_bus_hh2_8.7</v>
      </c>
      <c r="L105" t="str">
        <f t="shared" si="25"/>
        <v>Trd_bus</v>
      </c>
      <c r="M105" s="390">
        <f t="shared" si="27"/>
        <v>598869.167854178</v>
      </c>
      <c r="N105" s="390">
        <f t="shared" si="28"/>
        <v>388841.77453982</v>
      </c>
      <c r="O105" s="390">
        <f t="shared" si="29"/>
        <v>331297.792486932</v>
      </c>
      <c r="P105" s="390">
        <f t="shared" si="30"/>
        <v>316226.186638567</v>
      </c>
      <c r="Q105">
        <f t="shared" si="40"/>
        <v>316226.186638567</v>
      </c>
      <c r="R105">
        <v>3</v>
      </c>
      <c r="V105" s="386"/>
      <c r="X105" t="s">
        <v>83</v>
      </c>
      <c r="Y105" t="str">
        <f t="shared" si="31"/>
        <v>Trd_bus_hh2_8.7</v>
      </c>
      <c r="Z105" t="str">
        <f ca="1" t="shared" si="32"/>
        <v>Hydrogen fuel cell bus -- 873%</v>
      </c>
      <c r="AA105" s="388" t="s">
        <v>84</v>
      </c>
      <c r="AB105" s="388" t="s">
        <v>85</v>
      </c>
    </row>
    <row r="106" spans="2:28">
      <c r="B106" s="67">
        <v>8.45522194706371</v>
      </c>
      <c r="C106" s="86">
        <v>599623.87168693</v>
      </c>
      <c r="D106" s="86">
        <v>389362.122971876</v>
      </c>
      <c r="E106" s="86">
        <v>331753.262870207</v>
      </c>
      <c r="F106" s="86">
        <v>316616.778973062</v>
      </c>
      <c r="G106" s="75">
        <f t="shared" si="41"/>
        <v>10.1462663364765</v>
      </c>
      <c r="H106" s="75"/>
      <c r="I106" s="382">
        <f t="shared" si="42"/>
        <v>1.36759133996614</v>
      </c>
      <c r="J106" t="str">
        <f t="shared" si="24"/>
        <v>Trd_bus_hh2</v>
      </c>
      <c r="K106" t="str">
        <f t="shared" si="43"/>
        <v>Trd_bus_hh2_8.5</v>
      </c>
      <c r="L106" t="str">
        <f t="shared" si="25"/>
        <v>Trd_bus</v>
      </c>
      <c r="M106" s="390">
        <f t="shared" si="27"/>
        <v>599623.87168693</v>
      </c>
      <c r="N106" s="390">
        <f t="shared" si="28"/>
        <v>389362.122971876</v>
      </c>
      <c r="O106" s="390">
        <f t="shared" si="29"/>
        <v>331753.262870207</v>
      </c>
      <c r="P106" s="390">
        <f t="shared" si="30"/>
        <v>316616.778973062</v>
      </c>
      <c r="Q106">
        <f t="shared" si="40"/>
        <v>316616.778973062</v>
      </c>
      <c r="R106">
        <v>3</v>
      </c>
      <c r="V106" s="386"/>
      <c r="X106" t="s">
        <v>83</v>
      </c>
      <c r="Y106" t="str">
        <f t="shared" si="31"/>
        <v>Trd_bus_hh2_8.5</v>
      </c>
      <c r="Z106" t="str">
        <f ca="1" t="shared" si="32"/>
        <v>Hydrogen fuel cell bus -- 846%</v>
      </c>
      <c r="AA106" s="388" t="s">
        <v>84</v>
      </c>
      <c r="AB106" s="388" t="s">
        <v>85</v>
      </c>
    </row>
    <row r="107" spans="2:28">
      <c r="B107" s="67">
        <v>8.18283292059556</v>
      </c>
      <c r="C107" s="86">
        <v>600378.575519683</v>
      </c>
      <c r="D107" s="86">
        <v>389882.471403932</v>
      </c>
      <c r="E107" s="86">
        <v>332208.733253483</v>
      </c>
      <c r="F107" s="86">
        <v>317007.371307557</v>
      </c>
      <c r="G107" s="75">
        <f t="shared" si="41"/>
        <v>9.81939950471467</v>
      </c>
      <c r="H107" s="75"/>
      <c r="I107" s="382">
        <f t="shared" si="42"/>
        <v>1.41311553400926</v>
      </c>
      <c r="J107" t="str">
        <f t="shared" si="24"/>
        <v>Trd_bus_hh2</v>
      </c>
      <c r="K107" t="str">
        <f t="shared" si="43"/>
        <v>Trd_bus_hh2_8.2</v>
      </c>
      <c r="L107" t="str">
        <f t="shared" si="25"/>
        <v>Trd_bus</v>
      </c>
      <c r="M107" s="390">
        <f t="shared" si="27"/>
        <v>600378.575519683</v>
      </c>
      <c r="N107" s="390">
        <f t="shared" si="28"/>
        <v>389882.471403932</v>
      </c>
      <c r="O107" s="390">
        <f t="shared" si="29"/>
        <v>332208.733253483</v>
      </c>
      <c r="P107" s="390">
        <f t="shared" si="30"/>
        <v>317007.371307557</v>
      </c>
      <c r="Q107">
        <f t="shared" si="40"/>
        <v>317007.371307557</v>
      </c>
      <c r="R107">
        <v>3</v>
      </c>
      <c r="V107" s="386"/>
      <c r="X107" t="s">
        <v>83</v>
      </c>
      <c r="Y107" t="str">
        <f t="shared" si="31"/>
        <v>Trd_bus_hh2_8.2</v>
      </c>
      <c r="Z107" t="str">
        <f ca="1" t="shared" si="32"/>
        <v>Hydrogen fuel cell bus -- 818%</v>
      </c>
      <c r="AA107" s="388" t="s">
        <v>84</v>
      </c>
      <c r="AB107" s="388" t="s">
        <v>85</v>
      </c>
    </row>
    <row r="108" spans="2:28">
      <c r="B108" s="67">
        <v>7.91044389412742</v>
      </c>
      <c r="C108" s="86">
        <v>601133.279352436</v>
      </c>
      <c r="D108" s="86">
        <v>390402.819835988</v>
      </c>
      <c r="E108" s="86">
        <v>332664.203636758</v>
      </c>
      <c r="F108" s="86">
        <v>317397.963642052</v>
      </c>
      <c r="G108" s="75">
        <f t="shared" si="41"/>
        <v>9.4925326729529</v>
      </c>
      <c r="H108" s="75"/>
      <c r="I108" s="382">
        <f t="shared" si="42"/>
        <v>1.46177489747198</v>
      </c>
      <c r="J108" t="str">
        <f t="shared" si="24"/>
        <v>Trd_bus_hh2</v>
      </c>
      <c r="K108" t="str">
        <f t="shared" si="43"/>
        <v>Trd_bus_hh2_7.9</v>
      </c>
      <c r="L108" t="str">
        <f t="shared" si="25"/>
        <v>Trd_bus</v>
      </c>
      <c r="M108" s="390">
        <f t="shared" si="27"/>
        <v>601133.279352436</v>
      </c>
      <c r="N108" s="390">
        <f t="shared" si="28"/>
        <v>390402.819835988</v>
      </c>
      <c r="O108" s="390">
        <f t="shared" si="29"/>
        <v>332664.203636758</v>
      </c>
      <c r="P108" s="390">
        <f t="shared" si="30"/>
        <v>317397.963642052</v>
      </c>
      <c r="Q108">
        <f t="shared" si="40"/>
        <v>317397.963642052</v>
      </c>
      <c r="R108">
        <v>3</v>
      </c>
      <c r="V108" s="386"/>
      <c r="X108" t="s">
        <v>83</v>
      </c>
      <c r="Y108" t="str">
        <f t="shared" si="31"/>
        <v>Trd_bus_hh2_7.9</v>
      </c>
      <c r="Z108" t="str">
        <f ca="1" t="shared" si="32"/>
        <v>Hydrogen fuel cell bus -- 791%</v>
      </c>
      <c r="AA108" s="388" t="s">
        <v>84</v>
      </c>
      <c r="AB108" s="388" t="s">
        <v>85</v>
      </c>
    </row>
    <row r="109" spans="2:28">
      <c r="B109" s="67">
        <v>7.63805486765927</v>
      </c>
      <c r="C109" s="86">
        <v>601887.983185188</v>
      </c>
      <c r="D109" s="86">
        <v>390923.168268043</v>
      </c>
      <c r="E109" s="86">
        <v>333119.674020033</v>
      </c>
      <c r="F109" s="86">
        <v>317788.555976546</v>
      </c>
      <c r="G109" s="75">
        <f t="shared" si="41"/>
        <v>9.16566584119112</v>
      </c>
      <c r="H109" s="75"/>
      <c r="I109" s="382">
        <f t="shared" si="42"/>
        <v>1.51390485046877</v>
      </c>
      <c r="J109" t="str">
        <f t="shared" si="24"/>
        <v>Trd_bus_hh2</v>
      </c>
      <c r="K109" t="str">
        <f t="shared" si="43"/>
        <v>Trd_bus_hh2_7.6</v>
      </c>
      <c r="L109" t="str">
        <f t="shared" si="25"/>
        <v>Trd_bus</v>
      </c>
      <c r="M109" s="390">
        <f t="shared" si="27"/>
        <v>601887.983185188</v>
      </c>
      <c r="N109" s="390">
        <f t="shared" si="28"/>
        <v>390923.168268043</v>
      </c>
      <c r="O109" s="390">
        <f t="shared" si="29"/>
        <v>333119.674020033</v>
      </c>
      <c r="P109" s="390">
        <f t="shared" si="30"/>
        <v>317788.555976546</v>
      </c>
      <c r="Q109">
        <f t="shared" si="40"/>
        <v>317788.555976546</v>
      </c>
      <c r="R109">
        <v>3</v>
      </c>
      <c r="V109" s="386"/>
      <c r="X109" t="s">
        <v>83</v>
      </c>
      <c r="Y109" t="str">
        <f t="shared" si="31"/>
        <v>Trd_bus_hh2_7.6</v>
      </c>
      <c r="Z109" t="str">
        <f ca="1" t="shared" si="32"/>
        <v>Hydrogen fuel cell bus -- 764%</v>
      </c>
      <c r="AA109" s="388" t="s">
        <v>84</v>
      </c>
      <c r="AB109" s="388" t="s">
        <v>85</v>
      </c>
    </row>
    <row r="110" spans="2:28">
      <c r="B110" s="67">
        <v>7.36566584119112</v>
      </c>
      <c r="C110" s="86">
        <v>602642.687017941</v>
      </c>
      <c r="D110" s="86">
        <v>391443.516700099</v>
      </c>
      <c r="E110" s="86">
        <v>333575.144403309</v>
      </c>
      <c r="F110" s="86">
        <v>318179.148311041</v>
      </c>
      <c r="G110" s="75">
        <f t="shared" si="41"/>
        <v>8.83879900942934</v>
      </c>
      <c r="H110" s="75"/>
      <c r="I110" s="382">
        <f t="shared" si="42"/>
        <v>1.56989042967852</v>
      </c>
      <c r="J110" t="str">
        <f t="shared" si="24"/>
        <v>Trd_bus_hh2</v>
      </c>
      <c r="K110" t="str">
        <f t="shared" si="43"/>
        <v>Trd_bus_hh2_7.4</v>
      </c>
      <c r="L110" t="str">
        <f t="shared" si="25"/>
        <v>Trd_bus</v>
      </c>
      <c r="M110" s="390">
        <f t="shared" si="27"/>
        <v>602642.687017941</v>
      </c>
      <c r="N110" s="390">
        <f t="shared" si="28"/>
        <v>391443.516700099</v>
      </c>
      <c r="O110" s="390">
        <f t="shared" si="29"/>
        <v>333575.144403309</v>
      </c>
      <c r="P110" s="390">
        <f t="shared" si="30"/>
        <v>318179.148311041</v>
      </c>
      <c r="Q110">
        <f t="shared" si="40"/>
        <v>318179.148311041</v>
      </c>
      <c r="R110">
        <v>3</v>
      </c>
      <c r="V110" s="386"/>
      <c r="X110" t="s">
        <v>83</v>
      </c>
      <c r="Y110" t="str">
        <f t="shared" si="31"/>
        <v>Trd_bus_hh2_7.4</v>
      </c>
      <c r="Z110" t="str">
        <f ca="1" t="shared" si="32"/>
        <v>Hydrogen fuel cell bus -- 737%</v>
      </c>
      <c r="AA110" s="388" t="s">
        <v>84</v>
      </c>
      <c r="AB110" s="388" t="s">
        <v>85</v>
      </c>
    </row>
    <row r="111" spans="2:28">
      <c r="B111" s="67">
        <v>7.09327681472298</v>
      </c>
      <c r="C111" s="86">
        <v>603397.390850693</v>
      </c>
      <c r="D111" s="86">
        <v>391963.865132155</v>
      </c>
      <c r="E111" s="86">
        <v>334030.614786584</v>
      </c>
      <c r="F111" s="86">
        <v>318569.740645536</v>
      </c>
      <c r="G111" s="75">
        <f t="shared" si="41"/>
        <v>8.51193217766758</v>
      </c>
      <c r="H111" s="75"/>
      <c r="I111" s="382">
        <f t="shared" si="42"/>
        <v>1.63017581497664</v>
      </c>
      <c r="J111" t="str">
        <f t="shared" si="24"/>
        <v>Trd_bus_hh2</v>
      </c>
      <c r="K111" t="str">
        <f t="shared" si="43"/>
        <v>Trd_bus_hh2_7.1</v>
      </c>
      <c r="L111" t="str">
        <f t="shared" si="25"/>
        <v>Trd_bus</v>
      </c>
      <c r="M111" s="390">
        <f t="shared" si="27"/>
        <v>603397.390850693</v>
      </c>
      <c r="N111" s="390">
        <f t="shared" si="28"/>
        <v>391963.865132155</v>
      </c>
      <c r="O111" s="390">
        <f t="shared" si="29"/>
        <v>334030.614786584</v>
      </c>
      <c r="P111" s="390">
        <f t="shared" si="30"/>
        <v>318569.740645536</v>
      </c>
      <c r="Q111">
        <f t="shared" si="40"/>
        <v>318569.740645536</v>
      </c>
      <c r="R111">
        <v>3</v>
      </c>
      <c r="V111" s="386"/>
      <c r="X111" t="s">
        <v>83</v>
      </c>
      <c r="Y111" t="str">
        <f t="shared" si="31"/>
        <v>Trd_bus_hh2_7.1</v>
      </c>
      <c r="Z111" t="str">
        <f ca="1" t="shared" si="32"/>
        <v>Hydrogen fuel cell bus -- 709%</v>
      </c>
      <c r="AA111" s="388" t="s">
        <v>84</v>
      </c>
      <c r="AB111" s="388" t="s">
        <v>85</v>
      </c>
    </row>
    <row r="112" spans="2:28">
      <c r="J112" t="str">
        <f t="shared" si="24"/>
        <v>Trd_bus_hh2</v>
      </c>
      <c r="K112" t="str">
        <f t="shared" si="26"/>
        <v>\I:</v>
      </c>
      <c r="L112" t="str">
        <f t="shared" si="25"/>
        <v>\I:</v>
      </c>
      <c r="M112" s="390" t="str">
        <f t="shared" si="27"/>
        <v/>
      </c>
      <c r="N112" s="390" t="str">
        <f t="shared" si="28"/>
        <v/>
      </c>
      <c r="O112" s="390" t="str">
        <f t="shared" si="29"/>
        <v/>
      </c>
      <c r="P112" s="390" t="str">
        <f t="shared" si="30"/>
        <v/>
      </c>
      <c r="V112" s="386"/>
      <c r="X112" t="s">
        <v>83</v>
      </c>
      <c r="Y112" t="str">
        <f t="shared" si="31"/>
        <v>\I:</v>
      </c>
      <c r="Z112" t="str">
        <f ca="1" t="shared" si="32"/>
        <v>Hydrogen fuel cell bus -- 00%</v>
      </c>
      <c r="AA112" s="388" t="s">
        <v>84</v>
      </c>
      <c r="AB112" s="388" t="s">
        <v>85</v>
      </c>
    </row>
    <row r="113" spans="2:28">
      <c r="J113" t="str">
        <f t="shared" si="24"/>
        <v>Trd_bus_hh2</v>
      </c>
      <c r="K113" t="str">
        <f t="shared" si="26"/>
        <v>\I:</v>
      </c>
      <c r="L113" t="str">
        <f t="shared" si="25"/>
        <v>\I:</v>
      </c>
      <c r="M113" s="390" t="str">
        <f t="shared" si="27"/>
        <v/>
      </c>
      <c r="N113" s="390" t="str">
        <f t="shared" si="28"/>
        <v/>
      </c>
      <c r="O113" s="390" t="str">
        <f t="shared" si="29"/>
        <v/>
      </c>
      <c r="P113" s="390" t="str">
        <f t="shared" si="30"/>
        <v/>
      </c>
      <c r="V113" s="386"/>
      <c r="X113" t="s">
        <v>83</v>
      </c>
      <c r="Y113" t="str">
        <f t="shared" si="31"/>
        <v>\I:</v>
      </c>
      <c r="Z113" t="str">
        <f ca="1" t="shared" si="32"/>
        <v>Hydrogen fuel cell bus -- 00%</v>
      </c>
      <c r="AA113" s="388" t="s">
        <v>84</v>
      </c>
      <c r="AB113" s="388" t="s">
        <v>85</v>
      </c>
    </row>
    <row r="114" ht="18.5" spans="2:28">
      <c r="B114" s="376" t="s">
        <v>162</v>
      </c>
      <c r="C114" s="377"/>
      <c r="D114" s="377"/>
      <c r="E114" s="377"/>
      <c r="F114" s="378"/>
      <c r="J114" t="str">
        <f t="shared" si="24"/>
        <v>Trd_bus_hh2</v>
      </c>
      <c r="K114" t="str">
        <f t="shared" si="26"/>
        <v>\I:</v>
      </c>
      <c r="L114" t="str">
        <f t="shared" si="25"/>
        <v>\I:</v>
      </c>
      <c r="M114" s="390" t="str">
        <f t="shared" si="27"/>
        <v/>
      </c>
      <c r="N114" s="390" t="str">
        <f t="shared" si="28"/>
        <v/>
      </c>
      <c r="O114" s="390" t="str">
        <f t="shared" si="29"/>
        <v/>
      </c>
      <c r="P114" s="390" t="str">
        <f t="shared" si="30"/>
        <v/>
      </c>
      <c r="V114" s="386"/>
      <c r="X114" t="s">
        <v>83</v>
      </c>
      <c r="Y114" t="str">
        <f t="shared" si="31"/>
        <v>\I:</v>
      </c>
      <c r="Z114" t="str">
        <f ca="1" t="shared" si="32"/>
        <v>Hydrogen fuel cell bus -- COACHES</v>
      </c>
      <c r="AA114" s="388" t="s">
        <v>84</v>
      </c>
      <c r="AB114" s="388" t="s">
        <v>85</v>
      </c>
    </row>
    <row r="115" spans="2:28">
      <c r="J115" t="str">
        <f t="shared" si="24"/>
        <v>Trd_bus_hh2</v>
      </c>
      <c r="K115" t="str">
        <f t="shared" si="26"/>
        <v>\I:</v>
      </c>
      <c r="L115" t="str">
        <f t="shared" si="25"/>
        <v>\I:</v>
      </c>
      <c r="M115" s="390" t="str">
        <f t="shared" si="27"/>
        <v/>
      </c>
      <c r="N115" s="390" t="str">
        <f t="shared" si="28"/>
        <v/>
      </c>
      <c r="O115" s="390" t="str">
        <f t="shared" si="29"/>
        <v/>
      </c>
      <c r="P115" s="390" t="str">
        <f t="shared" si="30"/>
        <v/>
      </c>
      <c r="V115" s="386"/>
      <c r="X115" t="s">
        <v>83</v>
      </c>
      <c r="Y115" t="str">
        <f t="shared" si="31"/>
        <v>\I:</v>
      </c>
      <c r="Z115" t="str">
        <f ca="1" t="shared" si="32"/>
        <v>Hydrogen fuel cell bus -- 00%</v>
      </c>
      <c r="AA115" s="388" t="s">
        <v>84</v>
      </c>
      <c r="AB115" s="388" t="s">
        <v>85</v>
      </c>
    </row>
    <row r="116" spans="2:28">
      <c r="B116" s="44" t="s">
        <v>163</v>
      </c>
      <c r="J116" t="str">
        <f t="shared" si="24"/>
        <v>Trd_bus_hh2</v>
      </c>
      <c r="K116" t="str">
        <f t="shared" si="26"/>
        <v>\I:</v>
      </c>
      <c r="L116" t="str">
        <f t="shared" si="25"/>
        <v>\I:</v>
      </c>
      <c r="M116" s="390" t="str">
        <f t="shared" si="27"/>
        <v/>
      </c>
      <c r="N116" s="390" t="str">
        <f t="shared" si="28"/>
        <v/>
      </c>
      <c r="O116" s="390" t="str">
        <f t="shared" si="29"/>
        <v/>
      </c>
      <c r="P116" s="390" t="str">
        <f t="shared" si="30"/>
        <v/>
      </c>
      <c r="V116" s="386"/>
      <c r="X116" t="s">
        <v>83</v>
      </c>
      <c r="Y116" t="str">
        <f t="shared" si="31"/>
        <v>\I:</v>
      </c>
      <c r="Z116" t="str">
        <f ca="1" t="shared" si="32"/>
        <v>Hydrogen fuel cell bus -- Reference values for diesel coach</v>
      </c>
      <c r="AA116" s="388" t="s">
        <v>84</v>
      </c>
      <c r="AB116" s="388" t="s">
        <v>85</v>
      </c>
    </row>
    <row r="117" spans="2:28">
      <c r="B117" s="381">
        <v>2015</v>
      </c>
      <c r="C117" s="381"/>
      <c r="D117" s="381"/>
      <c r="J117" t="str">
        <f t="shared" si="24"/>
        <v>Trd_bus_hh2</v>
      </c>
      <c r="K117" t="str">
        <f t="shared" si="26"/>
        <v>\I:</v>
      </c>
      <c r="L117" t="str">
        <f t="shared" si="25"/>
        <v>\I:</v>
      </c>
      <c r="M117" s="390" t="str">
        <f t="shared" si="27"/>
        <v/>
      </c>
      <c r="N117" s="390" t="str">
        <f t="shared" si="28"/>
        <v/>
      </c>
      <c r="O117" s="390" t="str">
        <f t="shared" si="29"/>
        <v/>
      </c>
      <c r="P117" s="390" t="str">
        <f t="shared" si="30"/>
        <v/>
      </c>
      <c r="V117" s="386"/>
      <c r="X117" t="s">
        <v>83</v>
      </c>
      <c r="Y117" t="str">
        <f t="shared" si="31"/>
        <v>\I:</v>
      </c>
      <c r="Z117" t="str">
        <f ca="1" t="shared" si="32"/>
        <v>Hydrogen fuel cell bus -- 201500%</v>
      </c>
      <c r="AA117" s="388" t="s">
        <v>84</v>
      </c>
      <c r="AB117" s="388" t="s">
        <v>85</v>
      </c>
    </row>
    <row r="118" spans="2:28">
      <c r="B118" s="46" t="s">
        <v>12</v>
      </c>
      <c r="C118" s="47" t="s">
        <v>13</v>
      </c>
      <c r="D118" s="48">
        <v>26.3482912719114</v>
      </c>
      <c r="J118" t="str">
        <f t="shared" si="24"/>
        <v>Trd_bus_hh2</v>
      </c>
      <c r="K118" t="str">
        <f t="shared" si="26"/>
        <v>\I:</v>
      </c>
      <c r="L118" t="str">
        <f t="shared" si="25"/>
        <v>\I:</v>
      </c>
      <c r="M118" s="390" t="str">
        <f t="shared" si="27"/>
        <v/>
      </c>
      <c r="N118" s="390" t="str">
        <f t="shared" si="28"/>
        <v/>
      </c>
      <c r="O118" s="390" t="str">
        <f t="shared" si="29"/>
        <v/>
      </c>
      <c r="P118" s="390" t="str">
        <f t="shared" si="30"/>
        <v/>
      </c>
      <c r="V118" s="386"/>
      <c r="X118" t="s">
        <v>83</v>
      </c>
      <c r="Y118" t="str">
        <f t="shared" si="31"/>
        <v>\I:</v>
      </c>
      <c r="Z118" t="str">
        <f ca="1" t="shared" si="32"/>
        <v>Hydrogen fuel cell bus -- Energy consumption</v>
      </c>
      <c r="AA118" s="388" t="s">
        <v>84</v>
      </c>
      <c r="AB118" s="388" t="s">
        <v>85</v>
      </c>
    </row>
    <row r="119" spans="2:28">
      <c r="B119" s="46" t="s">
        <v>14</v>
      </c>
      <c r="C119" s="47" t="s">
        <v>15</v>
      </c>
      <c r="D119" s="68">
        <v>295091.098544713</v>
      </c>
      <c r="J119" t="str">
        <f t="shared" si="24"/>
        <v>Trd_bus_hh2</v>
      </c>
      <c r="K119" t="str">
        <f t="shared" si="26"/>
        <v>\I:</v>
      </c>
      <c r="L119" t="str">
        <f t="shared" si="25"/>
        <v>\I:</v>
      </c>
      <c r="M119" s="390" t="str">
        <f t="shared" si="27"/>
        <v/>
      </c>
      <c r="N119" s="390" t="str">
        <f t="shared" si="28"/>
        <v/>
      </c>
      <c r="O119" s="390" t="str">
        <f t="shared" si="29"/>
        <v/>
      </c>
      <c r="P119" s="390" t="str">
        <f t="shared" si="30"/>
        <v/>
      </c>
      <c r="V119" s="386"/>
      <c r="X119" t="s">
        <v>83</v>
      </c>
      <c r="Y119" t="str">
        <f t="shared" si="31"/>
        <v>\I:</v>
      </c>
      <c r="Z119" t="str">
        <f ca="1" t="shared" si="32"/>
        <v>Hydrogen fuel cell bus -- Capital cost</v>
      </c>
      <c r="AA119" s="388" t="s">
        <v>84</v>
      </c>
      <c r="AB119" s="388" t="s">
        <v>85</v>
      </c>
    </row>
    <row r="120" spans="2:28">
      <c r="J120" t="str">
        <f t="shared" si="24"/>
        <v>Trd_bus_hh2</v>
      </c>
      <c r="K120" t="str">
        <f t="shared" si="26"/>
        <v>\I:</v>
      </c>
      <c r="L120" t="str">
        <f t="shared" si="25"/>
        <v>\I:</v>
      </c>
      <c r="M120" s="390" t="str">
        <f t="shared" si="27"/>
        <v/>
      </c>
      <c r="N120" s="390" t="str">
        <f t="shared" si="28"/>
        <v/>
      </c>
      <c r="O120" s="390" t="str">
        <f t="shared" si="29"/>
        <v/>
      </c>
      <c r="P120" s="390" t="str">
        <f t="shared" si="30"/>
        <v/>
      </c>
      <c r="V120" s="386"/>
      <c r="X120" t="s">
        <v>83</v>
      </c>
      <c r="Y120" t="str">
        <f t="shared" si="31"/>
        <v>\I:</v>
      </c>
      <c r="Z120" t="str">
        <f ca="1" t="shared" si="32"/>
        <v>Hydrogen fuel cell bus -- 00%</v>
      </c>
      <c r="AA120" s="388" t="s">
        <v>84</v>
      </c>
      <c r="AB120" s="388" t="s">
        <v>85</v>
      </c>
    </row>
    <row r="121" ht="15" customHeight="1" spans="2:28">
      <c r="B121" s="387" t="s">
        <v>21</v>
      </c>
      <c r="C121" s="387" t="s">
        <v>164</v>
      </c>
      <c r="D121" s="387"/>
      <c r="E121" s="387"/>
      <c r="F121" s="387"/>
      <c r="J121" t="str">
        <f t="shared" si="24"/>
        <v>\I:Trd_bus_</v>
      </c>
      <c r="K121" t="str">
        <f t="shared" si="26"/>
        <v>\I:</v>
      </c>
      <c r="L121" t="str">
        <f t="shared" si="25"/>
        <v>\I:</v>
      </c>
      <c r="M121" s="390" t="str">
        <f t="shared" si="27"/>
        <v/>
      </c>
      <c r="N121" s="390" t="str">
        <f t="shared" si="28"/>
        <v/>
      </c>
      <c r="O121" s="390" t="str">
        <f t="shared" si="29"/>
        <v/>
      </c>
      <c r="P121" s="390" t="str">
        <f t="shared" si="30"/>
        <v/>
      </c>
      <c r="V121" s="386"/>
      <c r="X121" t="s">
        <v>83</v>
      </c>
      <c r="Y121" t="str">
        <f t="shared" si="31"/>
        <v>\I:</v>
      </c>
      <c r="Z121" t="str">
        <f ca="1" t="shared" si="32"/>
        <v>Hybrid diesel coach -- Reduction of specific energy consumption relative to 2015 diesel vehicle (%)</v>
      </c>
      <c r="AA121" s="388" t="s">
        <v>84</v>
      </c>
      <c r="AB121" s="388" t="s">
        <v>85</v>
      </c>
    </row>
    <row r="122" spans="2:28">
      <c r="B122" s="387"/>
      <c r="C122" s="387"/>
      <c r="D122" s="387"/>
      <c r="E122" s="387"/>
      <c r="F122" s="387"/>
      <c r="J122" t="str">
        <f t="shared" si="24"/>
        <v>\I:Trd_bus_</v>
      </c>
      <c r="K122" t="str">
        <f t="shared" si="26"/>
        <v>\I:</v>
      </c>
      <c r="L122" t="str">
        <f t="shared" si="25"/>
        <v>\I:</v>
      </c>
      <c r="M122" s="390" t="str">
        <f t="shared" si="27"/>
        <v/>
      </c>
      <c r="N122" s="390" t="str">
        <f t="shared" si="28"/>
        <v/>
      </c>
      <c r="O122" s="390" t="str">
        <f t="shared" si="29"/>
        <v/>
      </c>
      <c r="P122" s="390" t="str">
        <f t="shared" si="30"/>
        <v/>
      </c>
      <c r="V122" s="386"/>
      <c r="X122" t="s">
        <v>83</v>
      </c>
      <c r="Y122" t="str">
        <f t="shared" si="31"/>
        <v>\I:</v>
      </c>
      <c r="Z122" t="str">
        <f ca="1" t="shared" si="32"/>
        <v>Hybrid diesel coach -- 00%</v>
      </c>
      <c r="AA122" s="388" t="s">
        <v>84</v>
      </c>
      <c r="AB122" s="388" t="s">
        <v>85</v>
      </c>
    </row>
    <row r="123" spans="2:28">
      <c r="B123" s="387"/>
      <c r="C123" s="387"/>
      <c r="D123" s="387"/>
      <c r="E123" s="387"/>
      <c r="F123" s="387"/>
      <c r="J123" t="str">
        <f t="shared" si="24"/>
        <v>\I:Trd_bus_</v>
      </c>
      <c r="K123" t="str">
        <f t="shared" si="26"/>
        <v>\I:</v>
      </c>
      <c r="L123" t="str">
        <f t="shared" si="25"/>
        <v>\I:</v>
      </c>
      <c r="M123" s="390" t="str">
        <f t="shared" si="27"/>
        <v/>
      </c>
      <c r="N123" s="390" t="str">
        <f t="shared" si="28"/>
        <v/>
      </c>
      <c r="O123" s="390" t="str">
        <f t="shared" si="29"/>
        <v/>
      </c>
      <c r="P123" s="390" t="str">
        <f t="shared" si="30"/>
        <v/>
      </c>
      <c r="V123" s="386"/>
      <c r="X123" t="s">
        <v>83</v>
      </c>
      <c r="Y123" t="str">
        <f t="shared" si="31"/>
        <v>\I:</v>
      </c>
      <c r="Z123" t="str">
        <f ca="1" t="shared" si="32"/>
        <v>Hybrid diesel coach -- 00%</v>
      </c>
      <c r="AA123" s="388" t="s">
        <v>84</v>
      </c>
      <c r="AB123" s="388" t="s">
        <v>85</v>
      </c>
    </row>
    <row r="124" spans="2:28">
      <c r="B124" s="50"/>
      <c r="C124" s="51">
        <v>2020</v>
      </c>
      <c r="D124" s="51">
        <v>2030</v>
      </c>
      <c r="E124" s="51">
        <v>2040</v>
      </c>
      <c r="F124" s="51">
        <v>2050</v>
      </c>
      <c r="J124" t="str">
        <f t="shared" si="24"/>
        <v>\I:Trd_bus_</v>
      </c>
      <c r="K124" t="str">
        <f t="shared" si="26"/>
        <v>\I:</v>
      </c>
      <c r="L124" t="str">
        <f t="shared" si="25"/>
        <v>\I:</v>
      </c>
      <c r="M124" s="390" t="str">
        <f t="shared" si="27"/>
        <v/>
      </c>
      <c r="N124" s="390" t="str">
        <f t="shared" si="28"/>
        <v/>
      </c>
      <c r="O124" s="390" t="str">
        <f t="shared" si="29"/>
        <v/>
      </c>
      <c r="P124" s="390" t="str">
        <f t="shared" si="30"/>
        <v/>
      </c>
      <c r="V124" s="386"/>
      <c r="X124" t="s">
        <v>83</v>
      </c>
      <c r="Y124" t="str">
        <f t="shared" si="31"/>
        <v>\I:</v>
      </c>
      <c r="Z124" t="str">
        <f ca="1" t="shared" si="32"/>
        <v>Hybrid diesel coach -- 00%</v>
      </c>
      <c r="AA124" s="388" t="s">
        <v>84</v>
      </c>
      <c r="AB124" s="388"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90">
        <f t="shared" si="27"/>
        <v>295911.463573696</v>
      </c>
      <c r="N125" s="390">
        <f t="shared" si="28"/>
        <v>295911.463573696</v>
      </c>
      <c r="O125" s="390">
        <f t="shared" si="29"/>
        <v>295911.463573696</v>
      </c>
      <c r="P125" s="390">
        <f t="shared" si="30"/>
        <v>295911.463573696</v>
      </c>
      <c r="Q125">
        <f t="shared" ref="Q125:Q132" si="44">P125</f>
        <v>295911.463573696</v>
      </c>
      <c r="R125">
        <v>3</v>
      </c>
      <c r="V125" s="386"/>
      <c r="X125" t="s">
        <v>83</v>
      </c>
      <c r="Y125" t="str">
        <f t="shared" si="31"/>
        <v>\I:Trd_bus__06</v>
      </c>
      <c r="Z125" t="str">
        <f ca="1" t="shared" si="32"/>
        <v>Hybrid diesel coach -- 06%</v>
      </c>
      <c r="AA125" s="388" t="s">
        <v>84</v>
      </c>
      <c r="AB125" s="388"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90">
        <f t="shared" si="27"/>
        <v>297415.753257641</v>
      </c>
      <c r="N126" s="390">
        <f t="shared" si="28"/>
        <v>296918.611737195</v>
      </c>
      <c r="O126" s="390">
        <f t="shared" si="29"/>
        <v>296918.611737195</v>
      </c>
      <c r="P126" s="390">
        <f t="shared" si="30"/>
        <v>296918.611737195</v>
      </c>
      <c r="Q126">
        <f t="shared" si="44"/>
        <v>296918.611737195</v>
      </c>
      <c r="R126">
        <v>3</v>
      </c>
      <c r="V126" s="386"/>
      <c r="X126" t="s">
        <v>83</v>
      </c>
      <c r="Y126" t="str">
        <f t="shared" si="31"/>
        <v>\I:Trd_bus__11</v>
      </c>
      <c r="Z126" t="str">
        <f ca="1" t="shared" si="32"/>
        <v>Hybrid diesel coach -- 11%</v>
      </c>
      <c r="AA126" s="388" t="s">
        <v>84</v>
      </c>
      <c r="AB126" s="388"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90">
        <f t="shared" si="27"/>
        <v>298843.040992476</v>
      </c>
      <c r="N127" s="390">
        <f t="shared" si="28"/>
        <v>298432.836564148</v>
      </c>
      <c r="O127" s="390">
        <f t="shared" si="29"/>
        <v>298432.836564148</v>
      </c>
      <c r="P127" s="390">
        <f t="shared" si="30"/>
        <v>298432.836564148</v>
      </c>
      <c r="Q127">
        <f t="shared" si="44"/>
        <v>298432.836564148</v>
      </c>
      <c r="R127">
        <v>3</v>
      </c>
      <c r="V127" s="386"/>
      <c r="X127" t="s">
        <v>83</v>
      </c>
      <c r="Y127" t="str">
        <f t="shared" si="31"/>
        <v>\I:Trd_bus__16</v>
      </c>
      <c r="Z127" t="str">
        <f ca="1" t="shared" si="32"/>
        <v>Hybrid diesel coach -- 16%</v>
      </c>
      <c r="AA127" s="388" t="s">
        <v>84</v>
      </c>
      <c r="AB127" s="388"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90">
        <f t="shared" si="27"/>
        <v>303920.757291406</v>
      </c>
      <c r="N128" s="390">
        <f t="shared" si="28"/>
        <v>300709.439858143</v>
      </c>
      <c r="O128" s="390">
        <f t="shared" si="29"/>
        <v>300709.439858143</v>
      </c>
      <c r="P128" s="390">
        <f t="shared" si="30"/>
        <v>300709.439858143</v>
      </c>
      <c r="Q128">
        <f t="shared" si="44"/>
        <v>300709.439858143</v>
      </c>
      <c r="R128">
        <v>3</v>
      </c>
      <c r="V128" s="386"/>
      <c r="X128" t="s">
        <v>83</v>
      </c>
      <c r="Y128" t="str">
        <f t="shared" si="31"/>
        <v>\I:Trd_bus__21</v>
      </c>
      <c r="Z128" t="str">
        <f ca="1" t="shared" si="32"/>
        <v>Hybrid diesel coach -- 21%</v>
      </c>
      <c r="AA128" s="388" t="s">
        <v>84</v>
      </c>
      <c r="AB128" s="388"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90">
        <f t="shared" si="27"/>
        <v>309741.765477435</v>
      </c>
      <c r="N129" s="390">
        <f t="shared" si="28"/>
        <v>304132.262193354</v>
      </c>
      <c r="O129" s="390">
        <f t="shared" si="29"/>
        <v>304132.262193354</v>
      </c>
      <c r="P129" s="390">
        <f t="shared" si="30"/>
        <v>304132.262193354</v>
      </c>
      <c r="Q129">
        <f t="shared" si="44"/>
        <v>304132.262193354</v>
      </c>
      <c r="R129">
        <v>3</v>
      </c>
      <c r="V129" s="386"/>
      <c r="X129" t="s">
        <v>83</v>
      </c>
      <c r="Y129" t="str">
        <f t="shared" si="31"/>
        <v>\I:Trd_bus__26</v>
      </c>
      <c r="Z129" t="str">
        <f ca="1" t="shared" si="32"/>
        <v>Hybrid diesel coach -- 26%</v>
      </c>
      <c r="AA129" s="388" t="s">
        <v>84</v>
      </c>
      <c r="AB129" s="388"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90">
        <f t="shared" si="27"/>
        <v>335473.605243984</v>
      </c>
      <c r="N130" s="390">
        <f t="shared" si="28"/>
        <v>309404.868466266</v>
      </c>
      <c r="O130" s="390">
        <f t="shared" si="29"/>
        <v>309278.399321997</v>
      </c>
      <c r="P130" s="390">
        <f t="shared" si="30"/>
        <v>309278.399321997</v>
      </c>
      <c r="Q130">
        <f t="shared" si="44"/>
        <v>309278.399321997</v>
      </c>
      <c r="R130">
        <v>3</v>
      </c>
      <c r="V130" s="386"/>
      <c r="X130" t="s">
        <v>83</v>
      </c>
      <c r="Y130" t="str">
        <f t="shared" si="31"/>
        <v>\I:Trd_bus__28</v>
      </c>
      <c r="Z130" t="str">
        <f ca="1" t="shared" si="32"/>
        <v>Hybrid diesel coach -- 28%</v>
      </c>
      <c r="AA130" s="388" t="s">
        <v>84</v>
      </c>
      <c r="AB130" s="388"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90">
        <f t="shared" si="27"/>
        <v>420562.333159275</v>
      </c>
      <c r="N131" s="390">
        <f t="shared" si="28"/>
        <v>325515.14335664</v>
      </c>
      <c r="O131" s="390">
        <f t="shared" si="29"/>
        <v>317015.501851208</v>
      </c>
      <c r="P131" s="390">
        <f t="shared" si="30"/>
        <v>317015.501851208</v>
      </c>
      <c r="Q131">
        <f t="shared" si="44"/>
        <v>317015.501851208</v>
      </c>
      <c r="R131">
        <v>3</v>
      </c>
      <c r="V131" s="386"/>
      <c r="X131" t="s">
        <v>83</v>
      </c>
      <c r="Y131" t="str">
        <f t="shared" si="31"/>
        <v>\I:Trd_bus__31</v>
      </c>
      <c r="Z131" t="str">
        <f ca="1" t="shared" si="32"/>
        <v>Hybrid diesel coach -- 31%</v>
      </c>
      <c r="AA131" s="388" t="s">
        <v>84</v>
      </c>
      <c r="AB131" s="388" t="s">
        <v>85</v>
      </c>
    </row>
    <row r="132" spans="2:28">
      <c r="J132" t="str">
        <f t="shared" si="24"/>
        <v>\I:Trd_bus_</v>
      </c>
      <c r="K132" t="str">
        <f t="shared" si="26"/>
        <v>\I:</v>
      </c>
      <c r="L132" t="str">
        <f t="shared" si="25"/>
        <v>\I:</v>
      </c>
      <c r="M132" s="390" t="str">
        <f t="shared" si="27"/>
        <v/>
      </c>
      <c r="N132" s="390" t="str">
        <f t="shared" si="28"/>
        <v/>
      </c>
      <c r="O132" s="390" t="str">
        <f t="shared" si="29"/>
        <v/>
      </c>
      <c r="P132" s="390" t="str">
        <f t="shared" si="30"/>
        <v/>
      </c>
      <c r="Q132" t="str">
        <f t="shared" si="44"/>
        <v/>
      </c>
      <c r="V132" s="386"/>
      <c r="X132" t="s">
        <v>83</v>
      </c>
      <c r="Y132" t="str">
        <f t="shared" si="31"/>
        <v>\I:</v>
      </c>
      <c r="Z132" t="str">
        <f ca="1" t="shared" si="32"/>
        <v>Hybrid diesel coach -- 00%</v>
      </c>
      <c r="AA132" s="388" t="s">
        <v>84</v>
      </c>
      <c r="AB132" s="388" t="s">
        <v>85</v>
      </c>
    </row>
    <row r="133" spans="2:28">
      <c r="J133" t="str">
        <f t="shared" si="24"/>
        <v>\I:Trd_bus_</v>
      </c>
      <c r="K133" t="str">
        <f t="shared" si="26"/>
        <v>\I:</v>
      </c>
      <c r="L133" t="str">
        <f t="shared" si="25"/>
        <v>\I:</v>
      </c>
      <c r="M133" s="390" t="str">
        <f t="shared" si="27"/>
        <v/>
      </c>
      <c r="N133" s="390" t="str">
        <f t="shared" si="28"/>
        <v/>
      </c>
      <c r="O133" s="390" t="str">
        <f t="shared" si="29"/>
        <v/>
      </c>
      <c r="P133" s="390" t="str">
        <f t="shared" si="30"/>
        <v/>
      </c>
      <c r="V133" s="386"/>
      <c r="X133" t="s">
        <v>83</v>
      </c>
      <c r="Y133" t="str">
        <f t="shared" si="31"/>
        <v>\I:</v>
      </c>
      <c r="Z133" t="str">
        <f ca="1" t="shared" si="32"/>
        <v>Hybrid diesel coach -- 00%</v>
      </c>
      <c r="AA133" s="388" t="s">
        <v>84</v>
      </c>
      <c r="AB133" s="388" t="s">
        <v>85</v>
      </c>
    </row>
    <row r="134" spans="2:28">
      <c r="J134" t="str">
        <f t="shared" si="24"/>
        <v>\I:Trd_bus_</v>
      </c>
      <c r="K134" t="str">
        <f t="shared" si="26"/>
        <v>\I:</v>
      </c>
      <c r="L134" t="str">
        <f t="shared" si="25"/>
        <v>\I:</v>
      </c>
      <c r="M134" s="390" t="str">
        <f t="shared" si="27"/>
        <v/>
      </c>
      <c r="N134" s="390" t="str">
        <f t="shared" si="28"/>
        <v/>
      </c>
      <c r="O134" s="390" t="str">
        <f t="shared" si="29"/>
        <v/>
      </c>
      <c r="P134" s="390" t="str">
        <f t="shared" si="30"/>
        <v/>
      </c>
      <c r="V134" s="386"/>
      <c r="X134" t="s">
        <v>83</v>
      </c>
      <c r="Y134" t="str">
        <f t="shared" si="31"/>
        <v>\I:</v>
      </c>
      <c r="Z134" t="str">
        <f ca="1" t="shared" si="32"/>
        <v>Hybrid diesel coach -- 00%</v>
      </c>
      <c r="AA134" s="388" t="s">
        <v>84</v>
      </c>
      <c r="AB134" s="388" t="s">
        <v>85</v>
      </c>
    </row>
    <row r="135" ht="15" customHeight="1" spans="2:28">
      <c r="B135" s="387" t="s">
        <v>21</v>
      </c>
      <c r="C135" s="387" t="s">
        <v>156</v>
      </c>
      <c r="D135" s="387"/>
      <c r="E135" s="387"/>
      <c r="F135" s="387"/>
      <c r="J135" t="str">
        <f t="shared" si="24"/>
        <v>\I:Trd_bus_</v>
      </c>
      <c r="K135" t="str">
        <f t="shared" si="26"/>
        <v>\I:</v>
      </c>
      <c r="L135" t="str">
        <f t="shared" si="25"/>
        <v>\I:</v>
      </c>
      <c r="M135" s="390" t="str">
        <f t="shared" si="27"/>
        <v/>
      </c>
      <c r="N135" s="390" t="str">
        <f t="shared" si="28"/>
        <v/>
      </c>
      <c r="O135" s="390" t="str">
        <f t="shared" si="29"/>
        <v/>
      </c>
      <c r="P135" s="390" t="str">
        <f t="shared" si="30"/>
        <v/>
      </c>
      <c r="V135" s="386"/>
      <c r="X135" t="s">
        <v>83</v>
      </c>
      <c r="Y135" t="str">
        <f t="shared" si="31"/>
        <v>\I:</v>
      </c>
      <c r="Z135" t="str">
        <f ca="1" t="shared" si="32"/>
        <v>Hybrid diesel coach -- Reduction of specific energy consumption relative to 2015 diesel vehicle (%)</v>
      </c>
      <c r="AA135" s="388" t="s">
        <v>84</v>
      </c>
      <c r="AB135" s="388" t="s">
        <v>85</v>
      </c>
    </row>
    <row r="136" spans="2:28">
      <c r="B136" s="387"/>
      <c r="C136" s="387"/>
      <c r="D136" s="387"/>
      <c r="E136" s="387"/>
      <c r="F136" s="387"/>
      <c r="J136" t="str">
        <f t="shared" si="24"/>
        <v>\I:Trd_bus_</v>
      </c>
      <c r="K136" t="str">
        <f t="shared" si="26"/>
        <v>\I:</v>
      </c>
      <c r="L136" t="str">
        <f t="shared" si="25"/>
        <v>\I:</v>
      </c>
      <c r="M136" s="390" t="str">
        <f t="shared" si="27"/>
        <v/>
      </c>
      <c r="N136" s="390" t="str">
        <f t="shared" si="28"/>
        <v/>
      </c>
      <c r="O136" s="390" t="str">
        <f t="shared" si="29"/>
        <v/>
      </c>
      <c r="P136" s="390" t="str">
        <f t="shared" si="30"/>
        <v/>
      </c>
      <c r="V136" s="386"/>
      <c r="X136" t="s">
        <v>83</v>
      </c>
      <c r="Y136" t="str">
        <f t="shared" si="31"/>
        <v>\I:</v>
      </c>
      <c r="Z136" t="str">
        <f ca="1" t="shared" si="32"/>
        <v>Hybrid diesel coach -- 00%</v>
      </c>
      <c r="AA136" s="388" t="s">
        <v>84</v>
      </c>
      <c r="AB136" s="388" t="s">
        <v>85</v>
      </c>
    </row>
    <row r="137" spans="2:28">
      <c r="B137" s="387"/>
      <c r="C137" s="387"/>
      <c r="D137" s="387"/>
      <c r="E137" s="387"/>
      <c r="F137" s="387"/>
      <c r="J137" t="str">
        <f t="shared" si="24"/>
        <v>\I:Trd_bus_</v>
      </c>
      <c r="K137" t="str">
        <f t="shared" si="26"/>
        <v>\I:</v>
      </c>
      <c r="L137" t="str">
        <f t="shared" si="25"/>
        <v>\I:</v>
      </c>
      <c r="M137" s="390" t="str">
        <f t="shared" si="27"/>
        <v/>
      </c>
      <c r="N137" s="390" t="str">
        <f t="shared" si="28"/>
        <v/>
      </c>
      <c r="O137" s="390" t="str">
        <f t="shared" si="29"/>
        <v/>
      </c>
      <c r="P137" s="390" t="str">
        <f t="shared" si="30"/>
        <v/>
      </c>
      <c r="V137" s="386"/>
      <c r="X137" t="s">
        <v>83</v>
      </c>
      <c r="Y137" t="str">
        <f t="shared" si="31"/>
        <v>\I:</v>
      </c>
      <c r="Z137" t="str">
        <f ca="1" t="shared" si="32"/>
        <v>Hybrid diesel coach -- 00%</v>
      </c>
      <c r="AA137" s="388" t="s">
        <v>84</v>
      </c>
      <c r="AB137" s="388" t="s">
        <v>85</v>
      </c>
    </row>
    <row r="138" spans="2:28">
      <c r="B138" s="50"/>
      <c r="C138" s="51">
        <v>2020</v>
      </c>
      <c r="D138" s="51">
        <v>2030</v>
      </c>
      <c r="E138" s="51">
        <v>2040</v>
      </c>
      <c r="F138" s="51">
        <v>2050</v>
      </c>
      <c r="J138" t="str">
        <f t="shared" si="24"/>
        <v>\I:Trd_bus_</v>
      </c>
      <c r="K138" t="str">
        <f t="shared" si="26"/>
        <v>\I:</v>
      </c>
      <c r="L138" t="str">
        <f t="shared" si="25"/>
        <v>\I:</v>
      </c>
      <c r="M138" s="390" t="str">
        <f t="shared" si="27"/>
        <v/>
      </c>
      <c r="N138" s="390" t="str">
        <f t="shared" si="28"/>
        <v/>
      </c>
      <c r="O138" s="390" t="str">
        <f t="shared" si="29"/>
        <v/>
      </c>
      <c r="P138" s="390" t="str">
        <f t="shared" si="30"/>
        <v/>
      </c>
      <c r="V138" s="386"/>
      <c r="X138" t="s">
        <v>83</v>
      </c>
      <c r="Y138" t="str">
        <f t="shared" si="31"/>
        <v>\I:</v>
      </c>
      <c r="Z138" t="str">
        <f ca="1" t="shared" si="32"/>
        <v>Hybrid diesel coach -- 00%</v>
      </c>
      <c r="AA138" s="388" t="s">
        <v>84</v>
      </c>
      <c r="AB138" s="388"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90">
        <f t="shared" si="27"/>
        <v>321832.916726531</v>
      </c>
      <c r="N139" s="390">
        <f t="shared" si="28"/>
        <v>321832.916726531</v>
      </c>
      <c r="O139" s="390">
        <f t="shared" si="29"/>
        <v>321832.916726531</v>
      </c>
      <c r="P139" s="390">
        <f t="shared" si="30"/>
        <v>321832.916726531</v>
      </c>
      <c r="Q139">
        <f t="shared" ref="Q139:Q146" si="45">P139</f>
        <v>321832.916726531</v>
      </c>
      <c r="R139">
        <v>3</v>
      </c>
      <c r="V139" s="386"/>
      <c r="X139" t="s">
        <v>83</v>
      </c>
      <c r="Y139" t="str">
        <f t="shared" si="31"/>
        <v>\I:Trd_bus__16</v>
      </c>
      <c r="Z139" t="str">
        <f ca="1" t="shared" si="32"/>
        <v>Hybrid diesel coach -- 16%</v>
      </c>
      <c r="AA139" s="388" t="s">
        <v>84</v>
      </c>
      <c r="AB139" s="388"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90">
        <f t="shared" si="27"/>
        <v>322833.108114091</v>
      </c>
      <c r="N140" s="390">
        <f t="shared" si="28"/>
        <v>322833.108114091</v>
      </c>
      <c r="O140" s="390">
        <f t="shared" si="29"/>
        <v>322833.108114091</v>
      </c>
      <c r="P140" s="390">
        <f t="shared" si="30"/>
        <v>322833.108114091</v>
      </c>
      <c r="Q140">
        <f t="shared" si="45"/>
        <v>322833.108114091</v>
      </c>
      <c r="R140">
        <v>3</v>
      </c>
      <c r="V140" s="386"/>
      <c r="X140" t="s">
        <v>83</v>
      </c>
      <c r="Y140" t="str">
        <f t="shared" si="31"/>
        <v>\I:Trd_bus__21</v>
      </c>
      <c r="Z140" t="str">
        <f ca="1" t="shared" si="32"/>
        <v>Hybrid diesel coach -- 21%</v>
      </c>
      <c r="AA140" s="388" t="s">
        <v>84</v>
      </c>
      <c r="AB140" s="388"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90">
        <f t="shared" si="27"/>
        <v>325072.21883208</v>
      </c>
      <c r="N141" s="390">
        <f t="shared" si="28"/>
        <v>323840.25627759</v>
      </c>
      <c r="O141" s="390">
        <f t="shared" si="29"/>
        <v>323840.25627759</v>
      </c>
      <c r="P141" s="390">
        <f t="shared" si="30"/>
        <v>323840.25627759</v>
      </c>
      <c r="Q141">
        <f t="shared" si="45"/>
        <v>323840.25627759</v>
      </c>
      <c r="R141">
        <v>3</v>
      </c>
      <c r="V141" s="386"/>
      <c r="X141" t="s">
        <v>83</v>
      </c>
      <c r="Y141" t="str">
        <f t="shared" si="31"/>
        <v>\I:Trd_bus__25</v>
      </c>
      <c r="Z141" t="str">
        <f ca="1" t="shared" si="32"/>
        <v>Hybrid diesel coach -- 25%</v>
      </c>
      <c r="AA141" s="388" t="s">
        <v>84</v>
      </c>
      <c r="AB141" s="388"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90">
        <f t="shared" si="27"/>
        <v>327717.496433645</v>
      </c>
      <c r="N142" s="390">
        <f t="shared" si="28"/>
        <v>325354.481104544</v>
      </c>
      <c r="O142" s="390">
        <f t="shared" si="29"/>
        <v>325354.481104544</v>
      </c>
      <c r="P142" s="390">
        <f t="shared" si="30"/>
        <v>325354.481104544</v>
      </c>
      <c r="Q142">
        <f t="shared" si="45"/>
        <v>325354.481104544</v>
      </c>
      <c r="R142">
        <v>3</v>
      </c>
      <c r="V142" s="386"/>
      <c r="X142" t="s">
        <v>83</v>
      </c>
      <c r="Y142" t="str">
        <f t="shared" si="31"/>
        <v>\I:Trd_bus__30</v>
      </c>
      <c r="Z142" t="str">
        <f ca="1" t="shared" si="32"/>
        <v>Hybrid diesel coach -- 30%</v>
      </c>
      <c r="AA142" s="388" t="s">
        <v>84</v>
      </c>
      <c r="AB142" s="388"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90">
        <f t="shared" si="27"/>
        <v>341195.768621874</v>
      </c>
      <c r="N143" s="390">
        <f t="shared" si="28"/>
        <v>327631.084398538</v>
      </c>
      <c r="O143" s="390">
        <f t="shared" si="29"/>
        <v>327631.084398538</v>
      </c>
      <c r="P143" s="390">
        <f t="shared" si="30"/>
        <v>327631.084398538</v>
      </c>
      <c r="Q143">
        <f t="shared" si="45"/>
        <v>327631.084398538</v>
      </c>
      <c r="R143">
        <v>3</v>
      </c>
      <c r="V143" s="386"/>
      <c r="X143" t="s">
        <v>83</v>
      </c>
      <c r="Y143" t="str">
        <f t="shared" si="31"/>
        <v>\I:Trd_bus__34</v>
      </c>
      <c r="Z143" t="str">
        <f ca="1" t="shared" si="32"/>
        <v>Hybrid diesel coach -- 34%</v>
      </c>
      <c r="AA143" s="388" t="s">
        <v>84</v>
      </c>
      <c r="AB143" s="388"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90">
        <f t="shared" si="27"/>
        <v>357695.810307068</v>
      </c>
      <c r="N144" s="390">
        <f t="shared" si="28"/>
        <v>331053.906733749</v>
      </c>
      <c r="O144" s="390">
        <f t="shared" si="29"/>
        <v>331053.906733749</v>
      </c>
      <c r="P144" s="390">
        <f t="shared" si="30"/>
        <v>331053.906733749</v>
      </c>
      <c r="Q144">
        <f t="shared" si="45"/>
        <v>331053.906733749</v>
      </c>
      <c r="R144">
        <v>3</v>
      </c>
      <c r="V144" s="386"/>
      <c r="X144" t="s">
        <v>83</v>
      </c>
      <c r="Y144" t="str">
        <f t="shared" si="31"/>
        <v>\I:Trd_bus__38</v>
      </c>
      <c r="Z144" t="str">
        <f ca="1" t="shared" si="32"/>
        <v>Hybrid diesel coach -- 38%</v>
      </c>
      <c r="AA144" s="388" t="s">
        <v>84</v>
      </c>
      <c r="AB144" s="388"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90">
        <f t="shared" si="27"/>
        <v>367686.550041485</v>
      </c>
      <c r="N145" s="390">
        <f t="shared" si="28"/>
        <v>336352.059139705</v>
      </c>
      <c r="O145" s="390">
        <f t="shared" si="29"/>
        <v>336200.043862392</v>
      </c>
      <c r="P145" s="390">
        <f t="shared" si="30"/>
        <v>336200.043862392</v>
      </c>
      <c r="Q145">
        <f t="shared" si="45"/>
        <v>336200.043862392</v>
      </c>
      <c r="R145">
        <v>3</v>
      </c>
      <c r="V145" s="386"/>
      <c r="X145" t="s">
        <v>83</v>
      </c>
      <c r="Y145" t="str">
        <f t="shared" si="31"/>
        <v>\I:Trd_bus__40</v>
      </c>
      <c r="Z145" t="str">
        <f ca="1" t="shared" si="32"/>
        <v>Hybrid diesel coach -- 40%</v>
      </c>
      <c r="AA145" s="388" t="s">
        <v>84</v>
      </c>
      <c r="AB145" s="388"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90">
        <f t="shared" si="27"/>
        <v>424470.664466407</v>
      </c>
      <c r="N146" s="390">
        <f t="shared" si="28"/>
        <v>350547.740111951</v>
      </c>
      <c r="O146" s="390">
        <f t="shared" si="29"/>
        <v>343937.146391603</v>
      </c>
      <c r="P146" s="390">
        <f t="shared" si="30"/>
        <v>343937.146391603</v>
      </c>
      <c r="Q146">
        <f t="shared" si="45"/>
        <v>343937.146391603</v>
      </c>
      <c r="R146">
        <v>3</v>
      </c>
      <c r="V146" s="386"/>
      <c r="X146" t="s">
        <v>83</v>
      </c>
      <c r="Y146" t="str">
        <f t="shared" si="31"/>
        <v>\I:Trd_bus__43</v>
      </c>
      <c r="Z146" t="str">
        <f ca="1" t="shared" si="32"/>
        <v>Hybrid diesel coach -- 43%</v>
      </c>
      <c r="AA146" s="388" t="s">
        <v>84</v>
      </c>
      <c r="AB146" s="388" t="s">
        <v>85</v>
      </c>
    </row>
    <row r="147" spans="2:28">
      <c r="J147" t="str">
        <f t="shared" si="46"/>
        <v>\I:Trd_bus_</v>
      </c>
      <c r="K147" t="str">
        <f t="shared" si="26"/>
        <v>\I:</v>
      </c>
      <c r="L147" t="str">
        <f t="shared" si="47"/>
        <v>\I:</v>
      </c>
      <c r="M147" s="390" t="str">
        <f t="shared" si="27"/>
        <v/>
      </c>
      <c r="N147" s="390" t="str">
        <f t="shared" si="28"/>
        <v/>
      </c>
      <c r="O147" s="390" t="str">
        <f t="shared" si="29"/>
        <v/>
      </c>
      <c r="P147" s="390" t="str">
        <f t="shared" si="30"/>
        <v/>
      </c>
      <c r="V147" s="386"/>
      <c r="X147" t="s">
        <v>83</v>
      </c>
      <c r="Y147" t="str">
        <f t="shared" si="31"/>
        <v>\I:</v>
      </c>
      <c r="Z147" t="str">
        <f ca="1" t="shared" si="32"/>
        <v>Hybrid diesel coach -- 00%</v>
      </c>
      <c r="AA147" s="388" t="s">
        <v>84</v>
      </c>
      <c r="AB147" s="388" t="s">
        <v>85</v>
      </c>
    </row>
    <row r="148" spans="2:28">
      <c r="J148" t="str">
        <f t="shared" si="46"/>
        <v>\I:Trd_bus_</v>
      </c>
      <c r="K148" t="str">
        <f t="shared" si="26"/>
        <v>\I:</v>
      </c>
      <c r="L148" t="str">
        <f t="shared" si="47"/>
        <v>\I:</v>
      </c>
      <c r="M148" s="390" t="str">
        <f t="shared" si="27"/>
        <v/>
      </c>
      <c r="N148" s="390" t="str">
        <f t="shared" si="28"/>
        <v/>
      </c>
      <c r="O148" s="390" t="str">
        <f t="shared" si="29"/>
        <v/>
      </c>
      <c r="P148" s="390" t="str">
        <f t="shared" si="30"/>
        <v/>
      </c>
      <c r="V148" s="386"/>
      <c r="X148" t="s">
        <v>83</v>
      </c>
      <c r="Y148" t="str">
        <f t="shared" si="31"/>
        <v>\I:</v>
      </c>
      <c r="Z148" t="str">
        <f ca="1" t="shared" si="32"/>
        <v>Hybrid diesel coach -- 00%</v>
      </c>
      <c r="AA148" s="388" t="s">
        <v>84</v>
      </c>
      <c r="AB148" s="388" t="s">
        <v>85</v>
      </c>
    </row>
    <row r="149" spans="2:28">
      <c r="J149" t="str">
        <f t="shared" si="46"/>
        <v>\I:Trd_bus_</v>
      </c>
      <c r="K149" t="str">
        <f t="shared" si="26"/>
        <v>\I:</v>
      </c>
      <c r="L149" t="str">
        <f t="shared" si="47"/>
        <v>\I:</v>
      </c>
      <c r="M149" s="390" t="str">
        <f t="shared" si="27"/>
        <v/>
      </c>
      <c r="N149" s="390" t="str">
        <f t="shared" si="28"/>
        <v/>
      </c>
      <c r="O149" s="390" t="str">
        <f t="shared" si="29"/>
        <v/>
      </c>
      <c r="P149" s="390" t="str">
        <f t="shared" si="30"/>
        <v/>
      </c>
      <c r="V149" s="386"/>
      <c r="X149" t="s">
        <v>83</v>
      </c>
      <c r="Y149" t="str">
        <f t="shared" si="31"/>
        <v>\I:</v>
      </c>
      <c r="Z149" t="str">
        <f ca="1" t="shared" si="32"/>
        <v>Hybrid diesel coach -- 00%</v>
      </c>
      <c r="AA149" s="388" t="s">
        <v>84</v>
      </c>
      <c r="AB149" s="388" t="s">
        <v>85</v>
      </c>
    </row>
    <row r="150" spans="2:28">
      <c r="J150" t="str">
        <f t="shared" si="46"/>
        <v>\I:Trd_bus_</v>
      </c>
      <c r="K150" t="str">
        <f t="shared" si="26"/>
        <v>\I:</v>
      </c>
      <c r="L150" t="str">
        <f t="shared" si="47"/>
        <v>\I:</v>
      </c>
      <c r="M150" s="390" t="str">
        <f t="shared" si="27"/>
        <v/>
      </c>
      <c r="N150" s="390" t="str">
        <f t="shared" si="28"/>
        <v/>
      </c>
      <c r="O150" s="390" t="str">
        <f t="shared" si="29"/>
        <v/>
      </c>
      <c r="P150" s="390" t="str">
        <f t="shared" si="30"/>
        <v/>
      </c>
      <c r="V150" s="386"/>
      <c r="X150" t="s">
        <v>83</v>
      </c>
      <c r="Y150" t="str">
        <f t="shared" si="31"/>
        <v>\I:</v>
      </c>
      <c r="Z150" t="str">
        <f ca="1" t="shared" si="32"/>
        <v>Hybrid diesel coach -- 00%</v>
      </c>
      <c r="AA150" s="388" t="s">
        <v>84</v>
      </c>
      <c r="AB150" s="388" t="s">
        <v>85</v>
      </c>
    </row>
    <row r="151" spans="2:28">
      <c r="B151" s="44" t="s">
        <v>165</v>
      </c>
      <c r="J151" t="str">
        <f t="shared" si="46"/>
        <v>\I:Trd_bus_</v>
      </c>
      <c r="K151" t="str">
        <f t="shared" si="26"/>
        <v>\I:</v>
      </c>
      <c r="L151" t="str">
        <f t="shared" si="47"/>
        <v>\I:</v>
      </c>
      <c r="M151" s="390" t="str">
        <f t="shared" si="27"/>
        <v/>
      </c>
      <c r="N151" s="390" t="str">
        <f t="shared" si="28"/>
        <v/>
      </c>
      <c r="O151" s="390" t="str">
        <f t="shared" si="29"/>
        <v/>
      </c>
      <c r="P151" s="390" t="str">
        <f t="shared" si="30"/>
        <v/>
      </c>
      <c r="V151" s="386"/>
      <c r="X151" t="s">
        <v>83</v>
      </c>
      <c r="Y151" t="str">
        <f t="shared" si="31"/>
        <v>\I:</v>
      </c>
      <c r="Z151" t="str">
        <f ca="1" t="shared" si="32"/>
        <v>Hybrid diesel coach -- Reference values for LNG coach</v>
      </c>
      <c r="AA151" s="388" t="s">
        <v>84</v>
      </c>
      <c r="AB151" s="388" t="s">
        <v>85</v>
      </c>
    </row>
    <row r="152" spans="2:28">
      <c r="B152" s="381">
        <v>2015</v>
      </c>
      <c r="C152" s="381"/>
      <c r="D152" s="381"/>
      <c r="J152" t="str">
        <f t="shared" si="46"/>
        <v>\I:Trd_bus_</v>
      </c>
      <c r="K152" t="str">
        <f t="shared" ref="K152:K215" si="48">IFERROR(IF(VALUE(C152)&gt;2020,J152&amp;"_"&amp;TEXT(B152*100,"00"),"\I:"),"\I:")</f>
        <v>\I:</v>
      </c>
      <c r="L152" t="str">
        <f t="shared" si="47"/>
        <v>\I:</v>
      </c>
      <c r="M152" s="390" t="str">
        <f t="shared" ref="M152:M215" si="49">IF($K152="\I:","",C152)</f>
        <v/>
      </c>
      <c r="N152" s="390" t="str">
        <f t="shared" ref="N152:N215" si="50">IF($K152="\I:","",D152)</f>
        <v/>
      </c>
      <c r="O152" s="390" t="str">
        <f t="shared" ref="O152:O215" si="51">IF($K152="\I:","",E152)</f>
        <v/>
      </c>
      <c r="P152" s="390" t="str">
        <f t="shared" ref="P152:P215" si="52">IF($K152="\I:","",F152)</f>
        <v/>
      </c>
      <c r="V152" s="386"/>
      <c r="X152" t="s">
        <v>83</v>
      </c>
      <c r="Y152" t="str">
        <f t="shared" ref="Y152:Y215" si="53">K152</f>
        <v>\I:</v>
      </c>
      <c r="Z152" t="str">
        <f ca="1" t="shared" ref="Z152:Z215" si="54">OFFSET($W$1,MATCH(J152,$W$1:$W$12,0)-1,-1)&amp;" -- "&amp;TEXT(B152,"00%")</f>
        <v>Hybrid diesel coach -- 201500%</v>
      </c>
      <c r="AA152" s="388" t="s">
        <v>84</v>
      </c>
      <c r="AB152" s="388" t="s">
        <v>85</v>
      </c>
    </row>
    <row r="153" spans="2:28">
      <c r="B153" s="46" t="s">
        <v>12</v>
      </c>
      <c r="C153" s="47" t="s">
        <v>88</v>
      </c>
      <c r="D153" s="48">
        <v>21.9255423798406</v>
      </c>
      <c r="J153" t="str">
        <f t="shared" si="46"/>
        <v>\I:Trd_bus_</v>
      </c>
      <c r="K153" t="str">
        <f t="shared" si="48"/>
        <v>\I:</v>
      </c>
      <c r="L153" t="str">
        <f t="shared" si="47"/>
        <v>\I:</v>
      </c>
      <c r="M153" s="390" t="str">
        <f t="shared" si="49"/>
        <v/>
      </c>
      <c r="N153" s="390" t="str">
        <f t="shared" si="50"/>
        <v/>
      </c>
      <c r="O153" s="390" t="str">
        <f t="shared" si="51"/>
        <v/>
      </c>
      <c r="P153" s="390" t="str">
        <f t="shared" si="52"/>
        <v/>
      </c>
      <c r="V153" s="386"/>
      <c r="X153" t="s">
        <v>83</v>
      </c>
      <c r="Y153" t="str">
        <f t="shared" si="53"/>
        <v>\I:</v>
      </c>
      <c r="Z153" t="str">
        <f ca="1" t="shared" si="54"/>
        <v>Hybrid diesel coach -- Energy consumption</v>
      </c>
      <c r="AA153" s="388" t="s">
        <v>84</v>
      </c>
      <c r="AB153" s="388" t="s">
        <v>85</v>
      </c>
    </row>
    <row r="154" spans="2:28">
      <c r="B154" s="46" t="s">
        <v>14</v>
      </c>
      <c r="C154" s="47" t="s">
        <v>15</v>
      </c>
      <c r="D154" s="68">
        <v>321393.556544713</v>
      </c>
      <c r="J154" t="str">
        <f t="shared" si="46"/>
        <v>\I:Trd_bus_</v>
      </c>
      <c r="K154" t="str">
        <f t="shared" si="48"/>
        <v>\I:</v>
      </c>
      <c r="L154" t="str">
        <f t="shared" si="47"/>
        <v>\I:</v>
      </c>
      <c r="M154" s="390" t="str">
        <f t="shared" si="49"/>
        <v/>
      </c>
      <c r="N154" s="390" t="str">
        <f t="shared" si="50"/>
        <v/>
      </c>
      <c r="O154" s="390" t="str">
        <f t="shared" si="51"/>
        <v/>
      </c>
      <c r="P154" s="390" t="str">
        <f t="shared" si="52"/>
        <v/>
      </c>
      <c r="V154" s="386"/>
      <c r="X154" t="s">
        <v>83</v>
      </c>
      <c r="Y154" t="str">
        <f t="shared" si="53"/>
        <v>\I:</v>
      </c>
      <c r="Z154" t="str">
        <f ca="1" t="shared" si="54"/>
        <v>Hybrid diesel coach -- Capital cost</v>
      </c>
      <c r="AA154" s="388" t="s">
        <v>84</v>
      </c>
      <c r="AB154" s="388" t="s">
        <v>85</v>
      </c>
    </row>
    <row r="155" spans="2:28">
      <c r="J155" t="str">
        <f t="shared" si="46"/>
        <v>\I:Trd_bus_</v>
      </c>
      <c r="K155" t="str">
        <f t="shared" si="48"/>
        <v>\I:</v>
      </c>
      <c r="L155" t="str">
        <f t="shared" si="47"/>
        <v>\I:</v>
      </c>
      <c r="M155" s="390" t="str">
        <f t="shared" si="49"/>
        <v/>
      </c>
      <c r="N155" s="390" t="str">
        <f t="shared" si="50"/>
        <v/>
      </c>
      <c r="O155" s="390" t="str">
        <f t="shared" si="51"/>
        <v/>
      </c>
      <c r="P155" s="390" t="str">
        <f t="shared" si="52"/>
        <v/>
      </c>
      <c r="V155" s="386"/>
      <c r="X155" t="s">
        <v>83</v>
      </c>
      <c r="Y155" t="str">
        <f t="shared" si="53"/>
        <v>\I:</v>
      </c>
      <c r="Z155" t="str">
        <f ca="1" t="shared" si="54"/>
        <v>Hybrid diesel coach -- 00%</v>
      </c>
      <c r="AA155" s="388" t="s">
        <v>84</v>
      </c>
      <c r="AB155" s="388" t="s">
        <v>85</v>
      </c>
    </row>
    <row r="156" ht="15" customHeight="1" spans="2:28">
      <c r="B156" s="387" t="s">
        <v>121</v>
      </c>
      <c r="C156" s="387" t="s">
        <v>166</v>
      </c>
      <c r="D156" s="387"/>
      <c r="E156" s="387"/>
      <c r="F156" s="387"/>
      <c r="J156" t="str">
        <f t="shared" si="46"/>
        <v>\I:Trd_bus_</v>
      </c>
      <c r="K156" t="str">
        <f t="shared" si="48"/>
        <v>\I:</v>
      </c>
      <c r="L156" t="str">
        <f t="shared" si="47"/>
        <v>\I:</v>
      </c>
      <c r="M156" s="390" t="str">
        <f t="shared" si="49"/>
        <v/>
      </c>
      <c r="N156" s="390" t="str">
        <f t="shared" si="50"/>
        <v/>
      </c>
      <c r="O156" s="390" t="str">
        <f t="shared" si="51"/>
        <v/>
      </c>
      <c r="P156" s="390" t="str">
        <f t="shared" si="52"/>
        <v/>
      </c>
      <c r="V156" s="386"/>
      <c r="X156" t="s">
        <v>83</v>
      </c>
      <c r="Y156" t="str">
        <f t="shared" si="53"/>
        <v>\I:</v>
      </c>
      <c r="Z156" t="str">
        <f ca="1" t="shared" si="54"/>
        <v>Hybrid diesel coach -- Reduction of specific energy consumption relative to 2015 LNG vehicle (%)</v>
      </c>
      <c r="AA156" s="388" t="s">
        <v>84</v>
      </c>
      <c r="AB156" s="388" t="s">
        <v>85</v>
      </c>
    </row>
    <row r="157" spans="2:28">
      <c r="B157" s="387"/>
      <c r="C157" s="387"/>
      <c r="D157" s="387"/>
      <c r="E157" s="387"/>
      <c r="F157" s="387"/>
      <c r="J157" t="str">
        <f t="shared" si="46"/>
        <v>\I:Trd_bus_</v>
      </c>
      <c r="K157" t="str">
        <f t="shared" si="48"/>
        <v>\I:</v>
      </c>
      <c r="L157" t="str">
        <f t="shared" si="47"/>
        <v>\I:</v>
      </c>
      <c r="M157" s="390" t="str">
        <f t="shared" si="49"/>
        <v/>
      </c>
      <c r="N157" s="390" t="str">
        <f t="shared" si="50"/>
        <v/>
      </c>
      <c r="O157" s="390" t="str">
        <f t="shared" si="51"/>
        <v/>
      </c>
      <c r="P157" s="390" t="str">
        <f t="shared" si="52"/>
        <v/>
      </c>
      <c r="V157" s="386"/>
      <c r="X157" t="s">
        <v>83</v>
      </c>
      <c r="Y157" t="str">
        <f t="shared" si="53"/>
        <v>\I:</v>
      </c>
      <c r="Z157" t="str">
        <f ca="1" t="shared" si="54"/>
        <v>Hybrid diesel coach -- 00%</v>
      </c>
      <c r="AA157" s="388" t="s">
        <v>84</v>
      </c>
      <c r="AB157" s="388" t="s">
        <v>85</v>
      </c>
    </row>
    <row r="158" spans="2:28">
      <c r="B158" s="387"/>
      <c r="C158" s="387"/>
      <c r="D158" s="387"/>
      <c r="E158" s="387"/>
      <c r="F158" s="387"/>
      <c r="J158" t="str">
        <f t="shared" si="46"/>
        <v>\I:Trd_bus_</v>
      </c>
      <c r="K158" t="str">
        <f t="shared" si="48"/>
        <v>\I:</v>
      </c>
      <c r="L158" t="str">
        <f t="shared" si="47"/>
        <v>\I:</v>
      </c>
      <c r="M158" s="390" t="str">
        <f t="shared" si="49"/>
        <v/>
      </c>
      <c r="N158" s="390" t="str">
        <f t="shared" si="50"/>
        <v/>
      </c>
      <c r="O158" s="390" t="str">
        <f t="shared" si="51"/>
        <v/>
      </c>
      <c r="P158" s="390" t="str">
        <f t="shared" si="52"/>
        <v/>
      </c>
      <c r="V158" s="386"/>
      <c r="X158" t="s">
        <v>83</v>
      </c>
      <c r="Y158" t="str">
        <f t="shared" si="53"/>
        <v>\I:</v>
      </c>
      <c r="Z158" t="str">
        <f ca="1" t="shared" si="54"/>
        <v>Hybrid diesel coach -- 00%</v>
      </c>
      <c r="AA158" s="388" t="s">
        <v>84</v>
      </c>
      <c r="AB158" s="388" t="s">
        <v>85</v>
      </c>
    </row>
    <row r="159" spans="2:28">
      <c r="B159" s="50"/>
      <c r="C159" s="51">
        <v>2020</v>
      </c>
      <c r="D159" s="51">
        <v>2030</v>
      </c>
      <c r="E159" s="51">
        <v>2040</v>
      </c>
      <c r="F159" s="51">
        <v>2050</v>
      </c>
      <c r="J159" t="str">
        <f t="shared" si="46"/>
        <v>\I:Trd_bus_</v>
      </c>
      <c r="K159" t="str">
        <f t="shared" si="48"/>
        <v>\I:</v>
      </c>
      <c r="L159" t="str">
        <f t="shared" si="47"/>
        <v>\I:</v>
      </c>
      <c r="M159" s="390" t="str">
        <f t="shared" si="49"/>
        <v/>
      </c>
      <c r="N159" s="390" t="str">
        <f t="shared" si="50"/>
        <v/>
      </c>
      <c r="O159" s="390" t="str">
        <f t="shared" si="51"/>
        <v/>
      </c>
      <c r="P159" s="390" t="str">
        <f t="shared" si="52"/>
        <v/>
      </c>
      <c r="V159" s="386"/>
      <c r="X159" t="s">
        <v>83</v>
      </c>
      <c r="Y159" t="str">
        <f t="shared" si="53"/>
        <v>\I:</v>
      </c>
      <c r="Z159" t="str">
        <f ca="1" t="shared" si="54"/>
        <v>Hybrid diesel coach -- 00%</v>
      </c>
      <c r="AA159" s="388" t="s">
        <v>84</v>
      </c>
      <c r="AB159" s="388"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90">
        <f t="shared" si="49"/>
        <v>322213.921573696</v>
      </c>
      <c r="N160" s="390">
        <f t="shared" si="50"/>
        <v>322213.921573696</v>
      </c>
      <c r="O160" s="390">
        <f t="shared" si="51"/>
        <v>322213.921573696</v>
      </c>
      <c r="P160" s="390">
        <f t="shared" si="52"/>
        <v>322213.921573696</v>
      </c>
      <c r="Q160">
        <f t="shared" ref="Q160:Q167" si="55">P160</f>
        <v>322213.921573696</v>
      </c>
      <c r="R160">
        <v>3</v>
      </c>
      <c r="V160" s="386"/>
      <c r="X160" t="s">
        <v>83</v>
      </c>
      <c r="Y160" t="str">
        <f t="shared" si="53"/>
        <v>\I:Trd_bus__04</v>
      </c>
      <c r="Z160" t="str">
        <f ca="1" t="shared" si="54"/>
        <v>Hybrid diesel coach -- 04%</v>
      </c>
      <c r="AA160" s="388" t="s">
        <v>84</v>
      </c>
      <c r="AB160" s="388"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90">
        <f t="shared" si="49"/>
        <v>323718.211257641</v>
      </c>
      <c r="N161" s="390">
        <f t="shared" si="50"/>
        <v>323221.069737195</v>
      </c>
      <c r="O161" s="390">
        <f t="shared" si="51"/>
        <v>323221.069737195</v>
      </c>
      <c r="P161" s="390">
        <f t="shared" si="52"/>
        <v>323221.069737195</v>
      </c>
      <c r="Q161">
        <f t="shared" si="55"/>
        <v>323221.069737195</v>
      </c>
      <c r="R161">
        <v>3</v>
      </c>
      <c r="V161" s="386"/>
      <c r="X161" t="s">
        <v>83</v>
      </c>
      <c r="Y161" t="str">
        <f t="shared" si="53"/>
        <v>\I:Trd_bus__09</v>
      </c>
      <c r="Z161" t="str">
        <f ca="1" t="shared" si="54"/>
        <v>Hybrid diesel coach -- 09%</v>
      </c>
      <c r="AA161" s="388" t="s">
        <v>84</v>
      </c>
      <c r="AB161" s="388"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90">
        <f t="shared" si="49"/>
        <v>325145.498992476</v>
      </c>
      <c r="N162" s="390">
        <f t="shared" si="50"/>
        <v>324735.294564148</v>
      </c>
      <c r="O162" s="390">
        <f t="shared" si="51"/>
        <v>324735.294564148</v>
      </c>
      <c r="P162" s="390">
        <f t="shared" si="52"/>
        <v>324735.294564148</v>
      </c>
      <c r="Q162">
        <f t="shared" si="55"/>
        <v>324735.294564148</v>
      </c>
      <c r="R162">
        <v>3</v>
      </c>
      <c r="V162" s="386"/>
      <c r="X162" t="s">
        <v>83</v>
      </c>
      <c r="Y162" t="str">
        <f t="shared" si="53"/>
        <v>\I:Trd_bus__14</v>
      </c>
      <c r="Z162" t="str">
        <f ca="1" t="shared" si="54"/>
        <v>Hybrid diesel coach -- 14%</v>
      </c>
      <c r="AA162" s="388" t="s">
        <v>84</v>
      </c>
      <c r="AB162" s="388"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90">
        <f t="shared" si="49"/>
        <v>330223.215291406</v>
      </c>
      <c r="N163" s="390">
        <f t="shared" si="50"/>
        <v>327011.897858143</v>
      </c>
      <c r="O163" s="390">
        <f t="shared" si="51"/>
        <v>327011.897858143</v>
      </c>
      <c r="P163" s="390">
        <f t="shared" si="52"/>
        <v>327011.897858143</v>
      </c>
      <c r="Q163">
        <f t="shared" si="55"/>
        <v>327011.897858143</v>
      </c>
      <c r="R163">
        <v>3</v>
      </c>
      <c r="V163" s="386"/>
      <c r="X163" t="s">
        <v>83</v>
      </c>
      <c r="Y163" t="str">
        <f t="shared" si="53"/>
        <v>\I:Trd_bus__19</v>
      </c>
      <c r="Z163" t="str">
        <f ca="1" t="shared" si="54"/>
        <v>Hybrid diesel coach -- 19%</v>
      </c>
      <c r="AA163" s="388" t="s">
        <v>84</v>
      </c>
      <c r="AB163" s="388"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90">
        <f t="shared" si="49"/>
        <v>336044.223477435</v>
      </c>
      <c r="N164" s="390">
        <f t="shared" si="50"/>
        <v>330434.720193354</v>
      </c>
      <c r="O164" s="390">
        <f t="shared" si="51"/>
        <v>330434.720193354</v>
      </c>
      <c r="P164" s="390">
        <f t="shared" si="52"/>
        <v>330434.720193354</v>
      </c>
      <c r="Q164">
        <f t="shared" si="55"/>
        <v>330434.720193354</v>
      </c>
      <c r="R164">
        <v>3</v>
      </c>
      <c r="V164" s="386"/>
      <c r="X164" t="s">
        <v>83</v>
      </c>
      <c r="Y164" t="str">
        <f t="shared" si="53"/>
        <v>\I:Trd_bus__24</v>
      </c>
      <c r="Z164" t="str">
        <f ca="1" t="shared" si="54"/>
        <v>Hybrid diesel coach -- 24%</v>
      </c>
      <c r="AA164" s="388" t="s">
        <v>84</v>
      </c>
      <c r="AB164" s="388"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90">
        <f t="shared" si="49"/>
        <v>361776.063243984</v>
      </c>
      <c r="N165" s="390">
        <f t="shared" si="50"/>
        <v>335707.326466266</v>
      </c>
      <c r="O165" s="390">
        <f t="shared" si="51"/>
        <v>335580.857321997</v>
      </c>
      <c r="P165" s="390">
        <f t="shared" si="52"/>
        <v>335580.857321997</v>
      </c>
      <c r="Q165">
        <f t="shared" si="55"/>
        <v>335580.857321997</v>
      </c>
      <c r="R165">
        <v>3</v>
      </c>
      <c r="V165" s="386"/>
      <c r="X165" t="s">
        <v>83</v>
      </c>
      <c r="Y165" t="str">
        <f t="shared" si="53"/>
        <v>\I:Trd_bus__26</v>
      </c>
      <c r="Z165" t="str">
        <f ca="1" t="shared" si="54"/>
        <v>Hybrid diesel coach -- 26%</v>
      </c>
      <c r="AA165" s="388" t="s">
        <v>84</v>
      </c>
      <c r="AB165" s="388"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90">
        <f t="shared" si="49"/>
        <v>446864.791159275</v>
      </c>
      <c r="N166" s="390">
        <f t="shared" si="50"/>
        <v>351817.60135664</v>
      </c>
      <c r="O166" s="390">
        <f t="shared" si="51"/>
        <v>343317.959851208</v>
      </c>
      <c r="P166" s="390">
        <f t="shared" si="52"/>
        <v>343317.959851208</v>
      </c>
      <c r="Q166">
        <f t="shared" si="55"/>
        <v>343317.959851208</v>
      </c>
      <c r="R166">
        <v>3</v>
      </c>
      <c r="V166" s="386"/>
      <c r="X166" t="s">
        <v>83</v>
      </c>
      <c r="Y166" t="str">
        <f t="shared" si="53"/>
        <v>\I:Trd_bus__29</v>
      </c>
      <c r="Z166" t="str">
        <f ca="1" t="shared" si="54"/>
        <v>Hybrid diesel coach -- 29%</v>
      </c>
      <c r="AA166" s="388" t="s">
        <v>84</v>
      </c>
      <c r="AB166" s="388" t="s">
        <v>85</v>
      </c>
    </row>
    <row r="167" spans="2:28">
      <c r="J167" t="str">
        <f t="shared" si="46"/>
        <v>\I:Trd_bus_</v>
      </c>
      <c r="K167" t="str">
        <f t="shared" si="48"/>
        <v>\I:</v>
      </c>
      <c r="L167" t="str">
        <f t="shared" si="47"/>
        <v>\I:</v>
      </c>
      <c r="M167" s="390" t="str">
        <f t="shared" si="49"/>
        <v/>
      </c>
      <c r="N167" s="390" t="str">
        <f t="shared" si="50"/>
        <v/>
      </c>
      <c r="O167" s="390" t="str">
        <f t="shared" si="51"/>
        <v/>
      </c>
      <c r="P167" s="390" t="str">
        <f t="shared" si="52"/>
        <v/>
      </c>
      <c r="Q167" t="str">
        <f t="shared" si="55"/>
        <v/>
      </c>
      <c r="V167" s="386"/>
      <c r="X167" t="s">
        <v>83</v>
      </c>
      <c r="Y167" t="str">
        <f t="shared" si="53"/>
        <v>\I:</v>
      </c>
      <c r="Z167" t="str">
        <f ca="1" t="shared" si="54"/>
        <v>Hybrid diesel coach -- 00%</v>
      </c>
      <c r="AA167" s="388" t="s">
        <v>84</v>
      </c>
      <c r="AB167" s="388" t="s">
        <v>85</v>
      </c>
    </row>
    <row r="168" spans="2:28">
      <c r="J168" t="str">
        <f t="shared" si="46"/>
        <v>\I:Trd_bus_</v>
      </c>
      <c r="K168" t="str">
        <f t="shared" si="48"/>
        <v>\I:</v>
      </c>
      <c r="L168" t="str">
        <f t="shared" si="47"/>
        <v>\I:</v>
      </c>
      <c r="M168" s="390" t="str">
        <f t="shared" si="49"/>
        <v/>
      </c>
      <c r="N168" s="390" t="str">
        <f t="shared" si="50"/>
        <v/>
      </c>
      <c r="O168" s="390" t="str">
        <f t="shared" si="51"/>
        <v/>
      </c>
      <c r="P168" s="390" t="str">
        <f t="shared" si="52"/>
        <v/>
      </c>
      <c r="V168" s="386"/>
      <c r="X168" t="s">
        <v>83</v>
      </c>
      <c r="Y168" t="str">
        <f t="shared" si="53"/>
        <v>\I:</v>
      </c>
      <c r="Z168" t="str">
        <f ca="1" t="shared" si="54"/>
        <v>Hybrid diesel coach -- 00%</v>
      </c>
      <c r="AA168" s="388" t="s">
        <v>84</v>
      </c>
      <c r="AB168" s="388" t="s">
        <v>85</v>
      </c>
    </row>
    <row r="169" spans="2:28">
      <c r="J169" t="str">
        <f t="shared" si="46"/>
        <v>\I:Trd_bus_</v>
      </c>
      <c r="K169" t="str">
        <f t="shared" si="48"/>
        <v>\I:</v>
      </c>
      <c r="L169" t="str">
        <f t="shared" si="47"/>
        <v>\I:</v>
      </c>
      <c r="M169" s="390" t="str">
        <f t="shared" si="49"/>
        <v/>
      </c>
      <c r="N169" s="390" t="str">
        <f t="shared" si="50"/>
        <v/>
      </c>
      <c r="O169" s="390" t="str">
        <f t="shared" si="51"/>
        <v/>
      </c>
      <c r="P169" s="390" t="str">
        <f t="shared" si="52"/>
        <v/>
      </c>
      <c r="V169" s="386"/>
      <c r="X169" t="s">
        <v>83</v>
      </c>
      <c r="Y169" t="str">
        <f t="shared" si="53"/>
        <v>\I:</v>
      </c>
      <c r="Z169" t="str">
        <f ca="1" t="shared" si="54"/>
        <v>Hybrid diesel coach -- 00%</v>
      </c>
      <c r="AA169" s="388" t="s">
        <v>84</v>
      </c>
      <c r="AB169" s="388" t="s">
        <v>85</v>
      </c>
    </row>
    <row r="170" spans="2:28">
      <c r="J170" t="str">
        <f t="shared" si="46"/>
        <v>\I:Trd_bus_</v>
      </c>
      <c r="K170" t="str">
        <f t="shared" si="48"/>
        <v>\I:</v>
      </c>
      <c r="L170" t="str">
        <f t="shared" si="47"/>
        <v>\I:</v>
      </c>
      <c r="M170" s="390" t="str">
        <f t="shared" si="49"/>
        <v/>
      </c>
      <c r="N170" s="390" t="str">
        <f t="shared" si="50"/>
        <v/>
      </c>
      <c r="O170" s="390" t="str">
        <f t="shared" si="51"/>
        <v/>
      </c>
      <c r="P170" s="390" t="str">
        <f t="shared" si="52"/>
        <v/>
      </c>
      <c r="V170" s="386"/>
      <c r="X170" t="s">
        <v>83</v>
      </c>
      <c r="Y170" t="str">
        <f t="shared" si="53"/>
        <v>\I:</v>
      </c>
      <c r="Z170" t="str">
        <f ca="1" t="shared" si="54"/>
        <v>Hybrid diesel coach -- 00%</v>
      </c>
      <c r="AA170" s="388" t="s">
        <v>84</v>
      </c>
      <c r="AB170" s="388" t="s">
        <v>85</v>
      </c>
    </row>
    <row r="171" spans="2:28">
      <c r="B171" s="44" t="s">
        <v>167</v>
      </c>
      <c r="J171" t="str">
        <f t="shared" si="46"/>
        <v>\I:Trd_bus_</v>
      </c>
      <c r="K171" t="str">
        <f t="shared" si="48"/>
        <v>\I:</v>
      </c>
      <c r="L171" t="str">
        <f t="shared" si="47"/>
        <v>\I:</v>
      </c>
      <c r="M171" s="390" t="str">
        <f t="shared" si="49"/>
        <v/>
      </c>
      <c r="N171" s="390" t="str">
        <f t="shared" si="50"/>
        <v/>
      </c>
      <c r="O171" s="390" t="str">
        <f t="shared" si="51"/>
        <v/>
      </c>
      <c r="P171" s="390" t="str">
        <f t="shared" si="52"/>
        <v/>
      </c>
      <c r="V171" s="386"/>
      <c r="X171" t="s">
        <v>83</v>
      </c>
      <c r="Y171" t="str">
        <f t="shared" si="53"/>
        <v>\I:</v>
      </c>
      <c r="Z171" t="str">
        <f ca="1" t="shared" si="54"/>
        <v>Hybrid diesel coach -- Reference values for LPG coach</v>
      </c>
      <c r="AA171" s="388" t="s">
        <v>84</v>
      </c>
      <c r="AB171" s="388" t="s">
        <v>85</v>
      </c>
    </row>
    <row r="172" spans="2:28">
      <c r="B172" s="381">
        <v>2015</v>
      </c>
      <c r="C172" s="381"/>
      <c r="D172" s="381"/>
      <c r="J172" t="str">
        <f t="shared" si="46"/>
        <v>\I:Trd_bus_</v>
      </c>
      <c r="K172" t="str">
        <f t="shared" si="48"/>
        <v>\I:</v>
      </c>
      <c r="L172" t="str">
        <f t="shared" si="47"/>
        <v>\I:</v>
      </c>
      <c r="M172" s="390" t="str">
        <f t="shared" si="49"/>
        <v/>
      </c>
      <c r="N172" s="390" t="str">
        <f t="shared" si="50"/>
        <v/>
      </c>
      <c r="O172" s="390" t="str">
        <f t="shared" si="51"/>
        <v/>
      </c>
      <c r="P172" s="390" t="str">
        <f t="shared" si="52"/>
        <v/>
      </c>
      <c r="V172" s="386"/>
      <c r="X172" t="s">
        <v>83</v>
      </c>
      <c r="Y172" t="str">
        <f t="shared" si="53"/>
        <v>\I:</v>
      </c>
      <c r="Z172" t="str">
        <f ca="1" t="shared" si="54"/>
        <v>Hybrid diesel coach -- 201500%</v>
      </c>
      <c r="AA172" s="388" t="s">
        <v>84</v>
      </c>
      <c r="AB172" s="388" t="s">
        <v>85</v>
      </c>
    </row>
    <row r="173" spans="2:28">
      <c r="B173" s="46" t="s">
        <v>12</v>
      </c>
      <c r="C173" s="47" t="s">
        <v>13</v>
      </c>
      <c r="D173" s="48">
        <v>32.1825557678347</v>
      </c>
      <c r="J173" t="str">
        <f t="shared" si="46"/>
        <v>\I:Trd_bus_</v>
      </c>
      <c r="K173" t="str">
        <f t="shared" si="48"/>
        <v>\I:</v>
      </c>
      <c r="L173" t="str">
        <f t="shared" si="47"/>
        <v>\I:</v>
      </c>
      <c r="M173" s="390" t="str">
        <f t="shared" si="49"/>
        <v/>
      </c>
      <c r="N173" s="390" t="str">
        <f t="shared" si="50"/>
        <v/>
      </c>
      <c r="O173" s="390" t="str">
        <f t="shared" si="51"/>
        <v/>
      </c>
      <c r="P173" s="390" t="str">
        <f t="shared" si="52"/>
        <v/>
      </c>
      <c r="V173" s="386"/>
      <c r="X173" t="s">
        <v>83</v>
      </c>
      <c r="Y173" t="str">
        <f t="shared" si="53"/>
        <v>\I:</v>
      </c>
      <c r="Z173" t="str">
        <f ca="1" t="shared" si="54"/>
        <v>Hybrid diesel coach -- Energy consumption</v>
      </c>
      <c r="AA173" s="388" t="s">
        <v>84</v>
      </c>
      <c r="AB173" s="388" t="s">
        <v>85</v>
      </c>
    </row>
    <row r="174" spans="2:28">
      <c r="B174" s="46" t="s">
        <v>14</v>
      </c>
      <c r="C174" s="47" t="s">
        <v>15</v>
      </c>
      <c r="D174" s="68">
        <v>314033.258144713</v>
      </c>
      <c r="J174" t="str">
        <f t="shared" si="46"/>
        <v>\I:Trd_bus_</v>
      </c>
      <c r="K174" t="str">
        <f t="shared" si="48"/>
        <v>\I:</v>
      </c>
      <c r="L174" t="str">
        <f t="shared" si="47"/>
        <v>\I:</v>
      </c>
      <c r="M174" s="390" t="str">
        <f t="shared" si="49"/>
        <v/>
      </c>
      <c r="N174" s="390" t="str">
        <f t="shared" si="50"/>
        <v/>
      </c>
      <c r="O174" s="390" t="str">
        <f t="shared" si="51"/>
        <v/>
      </c>
      <c r="P174" s="390" t="str">
        <f t="shared" si="52"/>
        <v/>
      </c>
      <c r="V174" s="386"/>
      <c r="X174" t="s">
        <v>83</v>
      </c>
      <c r="Y174" t="str">
        <f t="shared" si="53"/>
        <v>\I:</v>
      </c>
      <c r="Z174" t="str">
        <f ca="1" t="shared" si="54"/>
        <v>Hybrid diesel coach -- Capital cost</v>
      </c>
      <c r="AA174" s="388" t="s">
        <v>84</v>
      </c>
      <c r="AB174" s="388" t="s">
        <v>85</v>
      </c>
    </row>
    <row r="175" spans="2:28">
      <c r="J175" t="str">
        <f t="shared" si="46"/>
        <v>\I:Trd_bus_</v>
      </c>
      <c r="K175" t="str">
        <f t="shared" si="48"/>
        <v>\I:</v>
      </c>
      <c r="L175" t="str">
        <f t="shared" si="47"/>
        <v>\I:</v>
      </c>
      <c r="M175" s="390" t="str">
        <f t="shared" si="49"/>
        <v/>
      </c>
      <c r="N175" s="390" t="str">
        <f t="shared" si="50"/>
        <v/>
      </c>
      <c r="O175" s="390" t="str">
        <f t="shared" si="51"/>
        <v/>
      </c>
      <c r="P175" s="390" t="str">
        <f t="shared" si="52"/>
        <v/>
      </c>
      <c r="V175" s="386"/>
      <c r="X175" t="s">
        <v>83</v>
      </c>
      <c r="Y175" t="str">
        <f t="shared" si="53"/>
        <v>\I:</v>
      </c>
      <c r="Z175" t="str">
        <f ca="1" t="shared" si="54"/>
        <v>Hybrid diesel coach -- 00%</v>
      </c>
      <c r="AA175" s="388" t="s">
        <v>84</v>
      </c>
      <c r="AB175" s="388" t="s">
        <v>85</v>
      </c>
    </row>
    <row r="176" ht="15" customHeight="1" spans="2:28">
      <c r="B176" s="387" t="s">
        <v>91</v>
      </c>
      <c r="C176" s="387" t="s">
        <v>168</v>
      </c>
      <c r="D176" s="387"/>
      <c r="E176" s="387"/>
      <c r="F176" s="387"/>
      <c r="J176" t="str">
        <f t="shared" si="46"/>
        <v>\I:Trd_bus_</v>
      </c>
      <c r="K176" t="str">
        <f t="shared" si="48"/>
        <v>\I:</v>
      </c>
      <c r="L176" t="str">
        <f t="shared" si="47"/>
        <v>\I:</v>
      </c>
      <c r="M176" s="390" t="str">
        <f t="shared" si="49"/>
        <v/>
      </c>
      <c r="N176" s="390" t="str">
        <f t="shared" si="50"/>
        <v/>
      </c>
      <c r="O176" s="390" t="str">
        <f t="shared" si="51"/>
        <v/>
      </c>
      <c r="P176" s="390" t="str">
        <f t="shared" si="52"/>
        <v/>
      </c>
      <c r="V176" s="386"/>
      <c r="X176" t="s">
        <v>83</v>
      </c>
      <c r="Y176" t="str">
        <f t="shared" si="53"/>
        <v>\I:</v>
      </c>
      <c r="Z176" t="str">
        <f ca="1" t="shared" si="54"/>
        <v>Hybrid diesel coach -- Reduction of specific energy consumption relative to 2015 LPG vehicle (%)</v>
      </c>
      <c r="AA176" s="388" t="s">
        <v>84</v>
      </c>
      <c r="AB176" s="388" t="s">
        <v>85</v>
      </c>
    </row>
    <row r="177" spans="2:28">
      <c r="B177" s="387"/>
      <c r="C177" s="387"/>
      <c r="D177" s="387"/>
      <c r="E177" s="387"/>
      <c r="F177" s="387"/>
      <c r="J177" t="str">
        <f t="shared" si="46"/>
        <v>\I:Trd_bus_</v>
      </c>
      <c r="K177" t="str">
        <f t="shared" si="48"/>
        <v>\I:</v>
      </c>
      <c r="L177" t="str">
        <f t="shared" si="47"/>
        <v>\I:</v>
      </c>
      <c r="M177" s="390" t="str">
        <f t="shared" si="49"/>
        <v/>
      </c>
      <c r="N177" s="390" t="str">
        <f t="shared" si="50"/>
        <v/>
      </c>
      <c r="O177" s="390" t="str">
        <f t="shared" si="51"/>
        <v/>
      </c>
      <c r="P177" s="390" t="str">
        <f t="shared" si="52"/>
        <v/>
      </c>
      <c r="V177" s="386"/>
      <c r="X177" t="s">
        <v>83</v>
      </c>
      <c r="Y177" t="str">
        <f t="shared" si="53"/>
        <v>\I:</v>
      </c>
      <c r="Z177" t="str">
        <f ca="1" t="shared" si="54"/>
        <v>Hybrid diesel coach -- 00%</v>
      </c>
      <c r="AA177" s="388" t="s">
        <v>84</v>
      </c>
      <c r="AB177" s="388" t="s">
        <v>85</v>
      </c>
    </row>
    <row r="178" spans="2:28">
      <c r="B178" s="387"/>
      <c r="C178" s="387"/>
      <c r="D178" s="387"/>
      <c r="E178" s="387"/>
      <c r="F178" s="387"/>
      <c r="J178" t="str">
        <f t="shared" si="46"/>
        <v>\I:Trd_bus_</v>
      </c>
      <c r="K178" t="str">
        <f t="shared" si="48"/>
        <v>\I:</v>
      </c>
      <c r="L178" t="str">
        <f t="shared" si="47"/>
        <v>\I:</v>
      </c>
      <c r="M178" s="390" t="str">
        <f t="shared" si="49"/>
        <v/>
      </c>
      <c r="N178" s="390" t="str">
        <f t="shared" si="50"/>
        <v/>
      </c>
      <c r="O178" s="390" t="str">
        <f t="shared" si="51"/>
        <v/>
      </c>
      <c r="P178" s="390" t="str">
        <f t="shared" si="52"/>
        <v/>
      </c>
      <c r="V178" s="386"/>
      <c r="X178" t="s">
        <v>83</v>
      </c>
      <c r="Y178" t="str">
        <f t="shared" si="53"/>
        <v>\I:</v>
      </c>
      <c r="Z178" t="str">
        <f ca="1" t="shared" si="54"/>
        <v>Hybrid diesel coach -- 00%</v>
      </c>
      <c r="AA178" s="388" t="s">
        <v>84</v>
      </c>
      <c r="AB178" s="388" t="s">
        <v>85</v>
      </c>
    </row>
    <row r="179" spans="2:28">
      <c r="B179" s="50"/>
      <c r="C179" s="51">
        <v>2020</v>
      </c>
      <c r="D179" s="51">
        <v>2030</v>
      </c>
      <c r="E179" s="51">
        <v>2040</v>
      </c>
      <c r="F179" s="51">
        <v>2050</v>
      </c>
      <c r="J179" t="str">
        <f t="shared" si="46"/>
        <v>\I:Trd_bus_</v>
      </c>
      <c r="K179" t="str">
        <f t="shared" si="48"/>
        <v>\I:</v>
      </c>
      <c r="L179" t="str">
        <f t="shared" si="47"/>
        <v>\I:</v>
      </c>
      <c r="M179" s="390" t="str">
        <f t="shared" si="49"/>
        <v/>
      </c>
      <c r="N179" s="390" t="str">
        <f t="shared" si="50"/>
        <v/>
      </c>
      <c r="O179" s="390" t="str">
        <f t="shared" si="51"/>
        <v/>
      </c>
      <c r="P179" s="390" t="str">
        <f t="shared" si="52"/>
        <v/>
      </c>
      <c r="V179" s="386"/>
      <c r="X179" t="s">
        <v>83</v>
      </c>
      <c r="Y179" t="str">
        <f t="shared" si="53"/>
        <v>\I:</v>
      </c>
      <c r="Z179" t="str">
        <f ca="1" t="shared" si="54"/>
        <v>Hybrid diesel coach -- 00%</v>
      </c>
      <c r="AA179" s="388" t="s">
        <v>84</v>
      </c>
      <c r="AB179" s="388"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90">
        <f t="shared" si="49"/>
        <v>314853.623173696</v>
      </c>
      <c r="N180" s="390">
        <f t="shared" si="50"/>
        <v>314853.623173696</v>
      </c>
      <c r="O180" s="390">
        <f t="shared" si="51"/>
        <v>314853.623173696</v>
      </c>
      <c r="P180" s="390">
        <f t="shared" si="52"/>
        <v>314853.623173696</v>
      </c>
      <c r="Q180">
        <f t="shared" ref="Q180:Q187" si="56">P180</f>
        <v>314853.623173696</v>
      </c>
      <c r="R180">
        <v>3</v>
      </c>
      <c r="V180" s="386"/>
      <c r="X180" t="s">
        <v>83</v>
      </c>
      <c r="Y180" t="str">
        <f t="shared" si="53"/>
        <v>\I:Trd_bus__04</v>
      </c>
      <c r="Z180" t="str">
        <f ca="1" t="shared" si="54"/>
        <v>Hybrid diesel coach -- 04%</v>
      </c>
      <c r="AA180" s="388" t="s">
        <v>84</v>
      </c>
      <c r="AB180" s="388"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90">
        <f t="shared" si="49"/>
        <v>316357.912857641</v>
      </c>
      <c r="N181" s="390">
        <f t="shared" si="50"/>
        <v>315860.771337195</v>
      </c>
      <c r="O181" s="390">
        <f t="shared" si="51"/>
        <v>315860.771337195</v>
      </c>
      <c r="P181" s="390">
        <f t="shared" si="52"/>
        <v>315860.771337195</v>
      </c>
      <c r="Q181">
        <f t="shared" si="56"/>
        <v>315860.771337195</v>
      </c>
      <c r="R181">
        <v>3</v>
      </c>
      <c r="V181" s="386"/>
      <c r="X181" t="s">
        <v>83</v>
      </c>
      <c r="Y181" t="str">
        <f t="shared" si="53"/>
        <v>\I:Trd_bus__09</v>
      </c>
      <c r="Z181" t="str">
        <f ca="1" t="shared" si="54"/>
        <v>Hybrid diesel coach -- 09%</v>
      </c>
      <c r="AA181" s="388" t="s">
        <v>84</v>
      </c>
      <c r="AB181" s="388"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90">
        <f t="shared" si="49"/>
        <v>317785.200592476</v>
      </c>
      <c r="N182" s="390">
        <f t="shared" si="50"/>
        <v>317374.996164148</v>
      </c>
      <c r="O182" s="390">
        <f t="shared" si="51"/>
        <v>317374.996164148</v>
      </c>
      <c r="P182" s="390">
        <f t="shared" si="52"/>
        <v>317374.996164148</v>
      </c>
      <c r="Q182">
        <f t="shared" si="56"/>
        <v>317374.996164148</v>
      </c>
      <c r="R182">
        <v>3</v>
      </c>
      <c r="V182" s="386"/>
      <c r="X182" t="s">
        <v>83</v>
      </c>
      <c r="Y182" t="str">
        <f t="shared" si="53"/>
        <v>\I:Trd_bus__14</v>
      </c>
      <c r="Z182" t="str">
        <f ca="1" t="shared" si="54"/>
        <v>Hybrid diesel coach -- 14%</v>
      </c>
      <c r="AA182" s="388" t="s">
        <v>84</v>
      </c>
      <c r="AB182" s="388"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90">
        <f t="shared" si="49"/>
        <v>322862.916891406</v>
      </c>
      <c r="N183" s="390">
        <f t="shared" si="50"/>
        <v>319651.599458143</v>
      </c>
      <c r="O183" s="390">
        <f t="shared" si="51"/>
        <v>319651.599458143</v>
      </c>
      <c r="P183" s="390">
        <f t="shared" si="52"/>
        <v>319651.599458143</v>
      </c>
      <c r="Q183">
        <f t="shared" si="56"/>
        <v>319651.599458143</v>
      </c>
      <c r="R183">
        <v>3</v>
      </c>
      <c r="V183" s="386"/>
      <c r="X183" t="s">
        <v>83</v>
      </c>
      <c r="Y183" t="str">
        <f t="shared" si="53"/>
        <v>\I:Trd_bus__19</v>
      </c>
      <c r="Z183" t="str">
        <f ca="1" t="shared" si="54"/>
        <v>Hybrid diesel coach -- 19%</v>
      </c>
      <c r="AA183" s="388" t="s">
        <v>84</v>
      </c>
      <c r="AB183" s="388"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90">
        <f t="shared" si="49"/>
        <v>328683.925077435</v>
      </c>
      <c r="N184" s="390">
        <f t="shared" si="50"/>
        <v>323074.421793354</v>
      </c>
      <c r="O184" s="390">
        <f t="shared" si="51"/>
        <v>323074.421793354</v>
      </c>
      <c r="P184" s="390">
        <f t="shared" si="52"/>
        <v>323074.421793354</v>
      </c>
      <c r="Q184">
        <f t="shared" si="56"/>
        <v>323074.421793354</v>
      </c>
      <c r="R184">
        <v>3</v>
      </c>
      <c r="V184" s="386"/>
      <c r="X184" t="s">
        <v>83</v>
      </c>
      <c r="Y184" t="str">
        <f t="shared" si="53"/>
        <v>\I:Trd_bus__24</v>
      </c>
      <c r="Z184" t="str">
        <f ca="1" t="shared" si="54"/>
        <v>Hybrid diesel coach -- 24%</v>
      </c>
      <c r="AA184" s="388" t="s">
        <v>84</v>
      </c>
      <c r="AB184" s="388"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90">
        <f t="shared" si="49"/>
        <v>354415.764843984</v>
      </c>
      <c r="N185" s="390">
        <f t="shared" si="50"/>
        <v>328347.028066266</v>
      </c>
      <c r="O185" s="390">
        <f t="shared" si="51"/>
        <v>328220.558921997</v>
      </c>
      <c r="P185" s="390">
        <f t="shared" si="52"/>
        <v>328220.558921997</v>
      </c>
      <c r="Q185">
        <f t="shared" si="56"/>
        <v>328220.558921997</v>
      </c>
      <c r="R185">
        <v>3</v>
      </c>
      <c r="V185" s="386"/>
      <c r="X185" t="s">
        <v>83</v>
      </c>
      <c r="Y185" t="str">
        <f t="shared" si="53"/>
        <v>\I:Trd_bus__26</v>
      </c>
      <c r="Z185" t="str">
        <f ca="1" t="shared" si="54"/>
        <v>Hybrid diesel coach -- 26%</v>
      </c>
      <c r="AA185" s="388" t="s">
        <v>84</v>
      </c>
      <c r="AB185" s="388"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90">
        <f t="shared" si="49"/>
        <v>439504.492759275</v>
      </c>
      <c r="N186" s="390">
        <f t="shared" si="50"/>
        <v>344457.30295664</v>
      </c>
      <c r="O186" s="390">
        <f t="shared" si="51"/>
        <v>335957.661451208</v>
      </c>
      <c r="P186" s="390">
        <f t="shared" si="52"/>
        <v>335957.661451208</v>
      </c>
      <c r="Q186">
        <f t="shared" si="56"/>
        <v>335957.661451208</v>
      </c>
      <c r="R186">
        <v>3</v>
      </c>
      <c r="V186" s="386"/>
      <c r="X186" t="s">
        <v>83</v>
      </c>
      <c r="Y186" t="str">
        <f t="shared" si="53"/>
        <v>\I:Trd_bus__29</v>
      </c>
      <c r="Z186" t="str">
        <f ca="1" t="shared" si="54"/>
        <v>Hybrid diesel coach -- 29%</v>
      </c>
      <c r="AA186" s="388" t="s">
        <v>84</v>
      </c>
      <c r="AB186" s="388" t="s">
        <v>85</v>
      </c>
    </row>
    <row r="187" spans="2:28">
      <c r="J187" t="str">
        <f t="shared" si="46"/>
        <v>\I:Trd_bus_</v>
      </c>
      <c r="K187" t="str">
        <f t="shared" si="48"/>
        <v>\I:</v>
      </c>
      <c r="L187" t="str">
        <f t="shared" si="47"/>
        <v>\I:</v>
      </c>
      <c r="M187" s="390" t="str">
        <f t="shared" si="49"/>
        <v/>
      </c>
      <c r="N187" s="390" t="str">
        <f t="shared" si="50"/>
        <v/>
      </c>
      <c r="O187" s="390" t="str">
        <f t="shared" si="51"/>
        <v/>
      </c>
      <c r="P187" s="390" t="str">
        <f t="shared" si="52"/>
        <v/>
      </c>
      <c r="Q187" t="str">
        <f t="shared" si="56"/>
        <v/>
      </c>
      <c r="V187" s="386"/>
      <c r="X187" t="s">
        <v>83</v>
      </c>
      <c r="Y187" t="str">
        <f t="shared" si="53"/>
        <v>\I:</v>
      </c>
      <c r="Z187" t="str">
        <f ca="1" t="shared" si="54"/>
        <v>Hybrid diesel coach -- 00%</v>
      </c>
      <c r="AA187" s="388" t="s">
        <v>84</v>
      </c>
      <c r="AB187" s="388" t="s">
        <v>85</v>
      </c>
    </row>
    <row r="188" spans="2:28">
      <c r="J188" t="str">
        <f t="shared" si="46"/>
        <v>\I:Trd_bus_</v>
      </c>
      <c r="K188" t="str">
        <f t="shared" si="48"/>
        <v>\I:</v>
      </c>
      <c r="L188" t="str">
        <f t="shared" si="47"/>
        <v>\I:</v>
      </c>
      <c r="M188" s="390" t="str">
        <f t="shared" si="49"/>
        <v/>
      </c>
      <c r="N188" s="390" t="str">
        <f t="shared" si="50"/>
        <v/>
      </c>
      <c r="O188" s="390" t="str">
        <f t="shared" si="51"/>
        <v/>
      </c>
      <c r="P188" s="390" t="str">
        <f t="shared" si="52"/>
        <v/>
      </c>
      <c r="V188" s="386"/>
      <c r="X188" t="s">
        <v>83</v>
      </c>
      <c r="Y188" t="str">
        <f t="shared" si="53"/>
        <v>\I:</v>
      </c>
      <c r="Z188" t="str">
        <f ca="1" t="shared" si="54"/>
        <v>Hybrid diesel coach -- 00%</v>
      </c>
      <c r="AA188" s="388" t="s">
        <v>84</v>
      </c>
      <c r="AB188" s="388" t="s">
        <v>85</v>
      </c>
    </row>
    <row r="189" spans="2:28">
      <c r="J189" t="str">
        <f t="shared" si="46"/>
        <v>\I:Trd_bus_</v>
      </c>
      <c r="K189" t="str">
        <f t="shared" si="48"/>
        <v>\I:</v>
      </c>
      <c r="L189" t="str">
        <f t="shared" si="47"/>
        <v>\I:</v>
      </c>
      <c r="M189" s="390" t="str">
        <f t="shared" si="49"/>
        <v/>
      </c>
      <c r="N189" s="390" t="str">
        <f t="shared" si="50"/>
        <v/>
      </c>
      <c r="O189" s="390" t="str">
        <f t="shared" si="51"/>
        <v/>
      </c>
      <c r="P189" s="390" t="str">
        <f t="shared" si="52"/>
        <v/>
      </c>
      <c r="V189" s="386"/>
      <c r="X189" t="s">
        <v>83</v>
      </c>
      <c r="Y189" t="str">
        <f t="shared" si="53"/>
        <v>\I:</v>
      </c>
      <c r="Z189" t="str">
        <f ca="1" t="shared" si="54"/>
        <v>Hybrid diesel coach -- 00%</v>
      </c>
      <c r="AA189" s="388" t="s">
        <v>84</v>
      </c>
      <c r="AB189" s="388" t="s">
        <v>85</v>
      </c>
    </row>
    <row r="190" spans="2:28">
      <c r="B190" s="381">
        <v>2020</v>
      </c>
      <c r="C190" s="381"/>
      <c r="D190" s="381"/>
      <c r="J190" t="str">
        <f t="shared" si="46"/>
        <v>\I:Trd_bus_</v>
      </c>
      <c r="K190" t="str">
        <f t="shared" si="48"/>
        <v>\I:</v>
      </c>
      <c r="L190" t="str">
        <f t="shared" si="47"/>
        <v>\I:</v>
      </c>
      <c r="M190" s="390" t="str">
        <f t="shared" si="49"/>
        <v/>
      </c>
      <c r="N190" s="390" t="str">
        <f t="shared" si="50"/>
        <v/>
      </c>
      <c r="O190" s="390" t="str">
        <f t="shared" si="51"/>
        <v/>
      </c>
      <c r="P190" s="390" t="str">
        <f t="shared" si="52"/>
        <v/>
      </c>
      <c r="V190" s="386"/>
      <c r="X190" t="s">
        <v>83</v>
      </c>
      <c r="Y190" t="str">
        <f t="shared" si="53"/>
        <v>\I:</v>
      </c>
      <c r="Z190" t="str">
        <f ca="1" t="shared" si="54"/>
        <v>Hybrid diesel coach -- 202000%</v>
      </c>
      <c r="AA190" s="388" t="s">
        <v>84</v>
      </c>
      <c r="AB190" s="388" t="s">
        <v>85</v>
      </c>
    </row>
    <row r="191" spans="2:28">
      <c r="B191" s="46" t="s">
        <v>169</v>
      </c>
      <c r="C191" s="47" t="s">
        <v>26</v>
      </c>
      <c r="D191" s="74">
        <v>1.15</v>
      </c>
      <c r="J191" t="str">
        <f t="shared" si="46"/>
        <v>\I:Trd_bus_</v>
      </c>
      <c r="K191" t="str">
        <f t="shared" si="48"/>
        <v>\I:</v>
      </c>
      <c r="L191" t="str">
        <f t="shared" si="47"/>
        <v>\I:</v>
      </c>
      <c r="M191" s="390" t="str">
        <f t="shared" si="49"/>
        <v/>
      </c>
      <c r="N191" s="390" t="str">
        <f t="shared" si="50"/>
        <v/>
      </c>
      <c r="O191" s="390" t="str">
        <f t="shared" si="51"/>
        <v/>
      </c>
      <c r="P191" s="390" t="str">
        <f t="shared" si="52"/>
        <v/>
      </c>
      <c r="V191" s="386"/>
      <c r="X191" t="s">
        <v>83</v>
      </c>
      <c r="Y191" t="str">
        <f t="shared" si="53"/>
        <v>\I:</v>
      </c>
      <c r="Z191" t="str">
        <f ca="1" t="shared" si="54"/>
        <v>Hybrid diesel coach -- Energy consumption of Battery electric coach</v>
      </c>
      <c r="AA191" s="388" t="s">
        <v>84</v>
      </c>
      <c r="AB191" s="388" t="s">
        <v>85</v>
      </c>
    </row>
    <row r="192" spans="2:28">
      <c r="J192" t="str">
        <f t="shared" si="46"/>
        <v>\I:Trd_bus_</v>
      </c>
      <c r="K192" t="str">
        <f t="shared" si="48"/>
        <v>\I:</v>
      </c>
      <c r="L192" t="str">
        <f t="shared" si="47"/>
        <v>\I:</v>
      </c>
      <c r="M192" s="390" t="str">
        <f t="shared" si="49"/>
        <v/>
      </c>
      <c r="N192" s="390" t="str">
        <f t="shared" si="50"/>
        <v/>
      </c>
      <c r="O192" s="390" t="str">
        <f t="shared" si="51"/>
        <v/>
      </c>
      <c r="P192" s="390" t="str">
        <f t="shared" si="52"/>
        <v/>
      </c>
      <c r="V192" s="386"/>
      <c r="X192" t="s">
        <v>83</v>
      </c>
      <c r="Y192" t="str">
        <f t="shared" si="53"/>
        <v>\I:</v>
      </c>
      <c r="Z192" t="str">
        <f ca="1" t="shared" si="54"/>
        <v>Hybrid diesel coach -- 00%</v>
      </c>
      <c r="AA192" s="388" t="s">
        <v>84</v>
      </c>
      <c r="AB192" s="388" t="s">
        <v>85</v>
      </c>
    </row>
    <row r="193" ht="15" customHeight="1" spans="2:28">
      <c r="B193" s="387" t="s">
        <v>27</v>
      </c>
      <c r="C193" s="387" t="s">
        <v>157</v>
      </c>
      <c r="D193" s="387"/>
      <c r="E193" s="387"/>
      <c r="F193" s="387"/>
      <c r="J193" t="str">
        <f t="shared" si="46"/>
        <v>\I:Trd_bus_</v>
      </c>
      <c r="K193" t="str">
        <f t="shared" si="48"/>
        <v>\I:</v>
      </c>
      <c r="L193" t="str">
        <f t="shared" si="47"/>
        <v>\I:</v>
      </c>
      <c r="M193" s="390" t="str">
        <f t="shared" si="49"/>
        <v/>
      </c>
      <c r="N193" s="390" t="str">
        <f t="shared" si="50"/>
        <v/>
      </c>
      <c r="O193" s="390" t="str">
        <f t="shared" si="51"/>
        <v/>
      </c>
      <c r="P193" s="390" t="str">
        <f t="shared" si="52"/>
        <v/>
      </c>
      <c r="V193" s="386"/>
      <c r="X193" t="s">
        <v>83</v>
      </c>
      <c r="Y193" t="str">
        <f t="shared" si="53"/>
        <v>\I:</v>
      </c>
      <c r="Z193" t="str">
        <f ca="1" t="shared" si="54"/>
        <v>Hybrid diesel coach -- Electric range (km)</v>
      </c>
      <c r="AA193" s="388" t="s">
        <v>84</v>
      </c>
      <c r="AB193" s="388" t="s">
        <v>85</v>
      </c>
    </row>
    <row r="194" spans="2:28">
      <c r="B194" s="387"/>
      <c r="C194" s="387"/>
      <c r="D194" s="387"/>
      <c r="E194" s="387"/>
      <c r="F194" s="387"/>
      <c r="J194" t="str">
        <f t="shared" si="46"/>
        <v>\I:Trd_bus_</v>
      </c>
      <c r="K194" t="str">
        <f t="shared" si="48"/>
        <v>\I:</v>
      </c>
      <c r="L194" t="str">
        <f t="shared" si="47"/>
        <v>\I:</v>
      </c>
      <c r="M194" s="390" t="str">
        <f t="shared" si="49"/>
        <v/>
      </c>
      <c r="N194" s="390" t="str">
        <f t="shared" si="50"/>
        <v/>
      </c>
      <c r="O194" s="390" t="str">
        <f t="shared" si="51"/>
        <v/>
      </c>
      <c r="P194" s="390" t="str">
        <f t="shared" si="52"/>
        <v/>
      </c>
      <c r="V194" s="386"/>
      <c r="X194" t="s">
        <v>83</v>
      </c>
      <c r="Y194" t="str">
        <f t="shared" si="53"/>
        <v>\I:</v>
      </c>
      <c r="Z194" t="str">
        <f ca="1" t="shared" si="54"/>
        <v>Hybrid diesel coach -- 00%</v>
      </c>
      <c r="AA194" s="388" t="s">
        <v>84</v>
      </c>
      <c r="AB194" s="388" t="s">
        <v>85</v>
      </c>
    </row>
    <row r="195" spans="2:28">
      <c r="B195" s="387"/>
      <c r="C195" s="387"/>
      <c r="D195" s="387"/>
      <c r="E195" s="387"/>
      <c r="F195" s="387"/>
      <c r="J195" t="str">
        <f t="shared" si="46"/>
        <v>\I:Trd_bus_</v>
      </c>
      <c r="K195" t="str">
        <f t="shared" si="48"/>
        <v>\I:</v>
      </c>
      <c r="L195" t="str">
        <f t="shared" si="47"/>
        <v>\I:</v>
      </c>
      <c r="M195" s="390" t="str">
        <f t="shared" si="49"/>
        <v/>
      </c>
      <c r="N195" s="390" t="str">
        <f t="shared" si="50"/>
        <v/>
      </c>
      <c r="O195" s="390" t="str">
        <f t="shared" si="51"/>
        <v/>
      </c>
      <c r="P195" s="390" t="str">
        <f t="shared" si="52"/>
        <v/>
      </c>
      <c r="V195" s="386"/>
      <c r="X195" t="s">
        <v>83</v>
      </c>
      <c r="Y195" t="str">
        <f t="shared" si="53"/>
        <v>\I:</v>
      </c>
      <c r="Z195" t="str">
        <f ca="1" t="shared" si="54"/>
        <v>Hybrid diesel coach -- 00%</v>
      </c>
      <c r="AA195" s="388" t="s">
        <v>84</v>
      </c>
      <c r="AB195" s="388" t="s">
        <v>85</v>
      </c>
    </row>
    <row r="196" spans="2:28">
      <c r="B196" s="50"/>
      <c r="C196" s="51">
        <v>2020</v>
      </c>
      <c r="D196" s="51">
        <v>2030</v>
      </c>
      <c r="E196" s="51">
        <v>2040</v>
      </c>
      <c r="F196" s="51">
        <v>2050</v>
      </c>
      <c r="J196" t="str">
        <f t="shared" si="46"/>
        <v>\I:Trd_bus_</v>
      </c>
      <c r="K196" t="str">
        <f t="shared" si="48"/>
        <v>\I:</v>
      </c>
      <c r="L196" t="str">
        <f t="shared" si="47"/>
        <v>\I:</v>
      </c>
      <c r="M196" s="390" t="str">
        <f t="shared" si="49"/>
        <v/>
      </c>
      <c r="N196" s="390" t="str">
        <f t="shared" si="50"/>
        <v/>
      </c>
      <c r="O196" s="390" t="str">
        <f t="shared" si="51"/>
        <v/>
      </c>
      <c r="P196" s="390" t="str">
        <f t="shared" si="52"/>
        <v/>
      </c>
      <c r="V196" s="386"/>
      <c r="X196" t="s">
        <v>83</v>
      </c>
      <c r="Y196" t="str">
        <f t="shared" si="53"/>
        <v>\I:</v>
      </c>
      <c r="Z196" t="str">
        <f ca="1" t="shared" si="54"/>
        <v>Hybrid diesel coach -- 00%</v>
      </c>
      <c r="AA196" s="388" t="s">
        <v>84</v>
      </c>
      <c r="AB196" s="388"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90">
        <f t="shared" si="49"/>
        <v>432403.149196547</v>
      </c>
      <c r="N197" s="390">
        <f t="shared" si="50"/>
        <v>321623.420926528</v>
      </c>
      <c r="O197" s="390">
        <f t="shared" si="51"/>
        <v>308656.066547112</v>
      </c>
      <c r="P197" s="390">
        <f t="shared" si="52"/>
        <v>303278.407673277</v>
      </c>
      <c r="Q197">
        <f t="shared" ref="Q197:Q204" si="57">P197</f>
        <v>303278.407673277</v>
      </c>
      <c r="R197">
        <v>3</v>
      </c>
      <c r="V197" s="386"/>
      <c r="X197" t="s">
        <v>83</v>
      </c>
      <c r="Y197" t="str">
        <f t="shared" si="53"/>
        <v>\I:Trd_bus__12000</v>
      </c>
      <c r="Z197" t="str">
        <f ca="1" t="shared" si="54"/>
        <v>Hybrid diesel coach -- 12000%</v>
      </c>
      <c r="AA197" s="388" t="s">
        <v>84</v>
      </c>
      <c r="AB197" s="388"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90">
        <f t="shared" si="49"/>
        <v>436722.073356786</v>
      </c>
      <c r="N198" s="390">
        <f t="shared" si="50"/>
        <v>324694.575852623</v>
      </c>
      <c r="O198" s="390">
        <f t="shared" si="51"/>
        <v>310226.231333419</v>
      </c>
      <c r="P198" s="390">
        <f t="shared" si="52"/>
        <v>304226.100619255</v>
      </c>
      <c r="Q198">
        <f t="shared" si="57"/>
        <v>304226.100619255</v>
      </c>
      <c r="R198">
        <v>3</v>
      </c>
      <c r="V198" s="386"/>
      <c r="X198" t="s">
        <v>83</v>
      </c>
      <c r="Y198" t="str">
        <f t="shared" si="53"/>
        <v>\I:Trd_bus__13429</v>
      </c>
      <c r="Z198" t="str">
        <f ca="1" t="shared" si="54"/>
        <v>Hybrid diesel coach -- 13429%</v>
      </c>
      <c r="AA198" s="388" t="s">
        <v>84</v>
      </c>
      <c r="AB198" s="388"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90">
        <f t="shared" si="49"/>
        <v>439101.341331762</v>
      </c>
      <c r="N199" s="390">
        <f t="shared" si="50"/>
        <v>326386.455656653</v>
      </c>
      <c r="O199" s="390">
        <f t="shared" si="51"/>
        <v>311091.225172832</v>
      </c>
      <c r="P199" s="390">
        <f t="shared" si="52"/>
        <v>304748.178662957</v>
      </c>
      <c r="Q199">
        <f t="shared" si="57"/>
        <v>304748.178662957</v>
      </c>
      <c r="R199">
        <v>3</v>
      </c>
      <c r="V199" s="386"/>
      <c r="X199" t="s">
        <v>83</v>
      </c>
      <c r="Y199" t="str">
        <f t="shared" si="53"/>
        <v>\I:Trd_bus__14857</v>
      </c>
      <c r="Z199" t="str">
        <f ca="1" t="shared" si="54"/>
        <v>Hybrid diesel coach -- 14857%</v>
      </c>
      <c r="AA199" s="388" t="s">
        <v>84</v>
      </c>
      <c r="AB199" s="388"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90">
        <f t="shared" si="49"/>
        <v>441517.145494916</v>
      </c>
      <c r="N200" s="390">
        <f t="shared" si="50"/>
        <v>328104.316073016</v>
      </c>
      <c r="O200" s="390">
        <f t="shared" si="51"/>
        <v>311969.501911868</v>
      </c>
      <c r="P200" s="390">
        <f t="shared" si="52"/>
        <v>305278.273769826</v>
      </c>
      <c r="Q200">
        <f t="shared" si="57"/>
        <v>305278.273769826</v>
      </c>
      <c r="R200">
        <v>3</v>
      </c>
      <c r="V200" s="386"/>
      <c r="X200" t="s">
        <v>83</v>
      </c>
      <c r="Y200" t="str">
        <f t="shared" si="53"/>
        <v>\I:Trd_bus__16286</v>
      </c>
      <c r="Z200" t="str">
        <f ca="1" t="shared" si="54"/>
        <v>Hybrid diesel coach -- 16286%</v>
      </c>
      <c r="AA200" s="388" t="s">
        <v>84</v>
      </c>
      <c r="AB200" s="388"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90">
        <f t="shared" si="49"/>
        <v>444078.767318675</v>
      </c>
      <c r="N201" s="390">
        <f t="shared" si="50"/>
        <v>329925.866345942</v>
      </c>
      <c r="O201" s="390">
        <f t="shared" si="51"/>
        <v>312900.791333556</v>
      </c>
      <c r="P201" s="390">
        <f t="shared" si="52"/>
        <v>305840.365356196</v>
      </c>
      <c r="Q201">
        <f t="shared" si="57"/>
        <v>305840.365356196</v>
      </c>
      <c r="R201">
        <v>3</v>
      </c>
      <c r="V201" s="386"/>
      <c r="X201" t="s">
        <v>83</v>
      </c>
      <c r="Y201" t="str">
        <f t="shared" si="53"/>
        <v>\I:Trd_bus__17714</v>
      </c>
      <c r="Z201" t="str">
        <f ca="1" t="shared" si="54"/>
        <v>Hybrid diesel coach -- 17714%</v>
      </c>
      <c r="AA201" s="388" t="s">
        <v>84</v>
      </c>
      <c r="AB201" s="388"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90">
        <f t="shared" si="49"/>
        <v>488912.15374367</v>
      </c>
      <c r="N202" s="390">
        <f t="shared" si="50"/>
        <v>365809.482166322</v>
      </c>
      <c r="O202" s="390">
        <f t="shared" si="51"/>
        <v>330905.629479526</v>
      </c>
      <c r="P202" s="390">
        <f t="shared" si="52"/>
        <v>316707.414632298</v>
      </c>
      <c r="Q202">
        <f t="shared" si="57"/>
        <v>316707.414632298</v>
      </c>
      <c r="R202">
        <v>3</v>
      </c>
      <c r="V202" s="386"/>
      <c r="X202" t="s">
        <v>83</v>
      </c>
      <c r="Y202" t="str">
        <f t="shared" si="53"/>
        <v>\I:Trd_bus__35000</v>
      </c>
      <c r="Z202" t="str">
        <f ca="1" t="shared" si="54"/>
        <v>Hybrid diesel coach -- 35000%</v>
      </c>
      <c r="AA202" s="388" t="s">
        <v>84</v>
      </c>
      <c r="AB202" s="388"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90">
        <f t="shared" si="49"/>
        <v>530094.963307474</v>
      </c>
      <c r="N203" s="390">
        <f t="shared" si="50"/>
        <v>398620.776220214</v>
      </c>
      <c r="O203" s="390">
        <f t="shared" si="51"/>
        <v>348984.265806477</v>
      </c>
      <c r="P203" s="390">
        <f t="shared" si="52"/>
        <v>327038.150254399</v>
      </c>
      <c r="Q203">
        <f t="shared" si="57"/>
        <v>327038.150254399</v>
      </c>
      <c r="R203">
        <v>3</v>
      </c>
      <c r="V203" s="386"/>
      <c r="X203" t="s">
        <v>83</v>
      </c>
      <c r="Y203" t="str">
        <f t="shared" si="53"/>
        <v>\I:Trd_bus__50000</v>
      </c>
      <c r="Z203" t="str">
        <f ca="1" t="shared" si="54"/>
        <v>Hybrid diesel coach -- 50000%</v>
      </c>
      <c r="AA203" s="388" t="s">
        <v>84</v>
      </c>
      <c r="AB203" s="388"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90">
        <f t="shared" si="49"/>
        <v>565928.361387453</v>
      </c>
      <c r="N204" s="390">
        <f t="shared" si="50"/>
        <v>427615.94590543</v>
      </c>
      <c r="O204" s="390">
        <f t="shared" si="51"/>
        <v>362846.01604123</v>
      </c>
      <c r="P204" s="390">
        <f t="shared" si="52"/>
        <v>335985.441563159</v>
      </c>
      <c r="Q204">
        <f t="shared" si="57"/>
        <v>335985.441563159</v>
      </c>
      <c r="R204">
        <v>3</v>
      </c>
      <c r="V204" s="386"/>
      <c r="X204" t="s">
        <v>83</v>
      </c>
      <c r="Y204" t="str">
        <f t="shared" si="53"/>
        <v>\I:Trd_bus__60000</v>
      </c>
      <c r="Z204" t="str">
        <f ca="1" t="shared" si="54"/>
        <v>Hybrid diesel coach -- 60000%</v>
      </c>
      <c r="AA204" s="388" t="s">
        <v>84</v>
      </c>
      <c r="AB204" s="388" t="s">
        <v>85</v>
      </c>
    </row>
    <row r="205" spans="2:28">
      <c r="B205" s="390"/>
      <c r="J205" t="str">
        <f t="shared" si="46"/>
        <v>\I:Trd_bus_</v>
      </c>
      <c r="K205" t="str">
        <f t="shared" si="48"/>
        <v>\I:</v>
      </c>
      <c r="L205" t="str">
        <f t="shared" si="47"/>
        <v>\I:</v>
      </c>
      <c r="M205" s="390" t="str">
        <f t="shared" si="49"/>
        <v/>
      </c>
      <c r="N205" s="390" t="str">
        <f t="shared" si="50"/>
        <v/>
      </c>
      <c r="O205" s="390" t="str">
        <f t="shared" si="51"/>
        <v/>
      </c>
      <c r="P205" s="390" t="str">
        <f t="shared" si="52"/>
        <v/>
      </c>
      <c r="V205" s="386"/>
      <c r="X205" t="s">
        <v>83</v>
      </c>
      <c r="Y205" t="str">
        <f t="shared" si="53"/>
        <v>\I:</v>
      </c>
      <c r="Z205" t="str">
        <f ca="1" t="shared" si="54"/>
        <v>Hybrid diesel coach -- 00%</v>
      </c>
      <c r="AA205" s="388" t="s">
        <v>84</v>
      </c>
      <c r="AB205" s="388" t="s">
        <v>85</v>
      </c>
    </row>
    <row r="206" spans="2:28">
      <c r="J206" t="str">
        <f t="shared" ref="J206:J219" si="58">IFERROR(VLOOKUP(C206,$V$1:$W$9,2,FALSE),J205)</f>
        <v>\I:Trd_bus_</v>
      </c>
      <c r="K206" t="str">
        <f t="shared" si="48"/>
        <v>\I:</v>
      </c>
      <c r="L206" t="str">
        <f t="shared" ref="L206:L219" si="59">LEFT(K206,7)</f>
        <v>\I:</v>
      </c>
      <c r="M206" s="390" t="str">
        <f t="shared" si="49"/>
        <v/>
      </c>
      <c r="N206" s="390" t="str">
        <f t="shared" si="50"/>
        <v/>
      </c>
      <c r="O206" s="390" t="str">
        <f t="shared" si="51"/>
        <v/>
      </c>
      <c r="P206" s="390" t="str">
        <f t="shared" si="52"/>
        <v/>
      </c>
      <c r="V206" s="386"/>
      <c r="X206" t="s">
        <v>83</v>
      </c>
      <c r="Y206" t="str">
        <f t="shared" si="53"/>
        <v>\I:</v>
      </c>
      <c r="Z206" t="str">
        <f ca="1" t="shared" si="54"/>
        <v>Hybrid diesel coach -- 00%</v>
      </c>
      <c r="AA206" s="388" t="s">
        <v>84</v>
      </c>
      <c r="AB206" s="388" t="s">
        <v>85</v>
      </c>
    </row>
    <row r="207" spans="2:28">
      <c r="J207" t="str">
        <f t="shared" si="58"/>
        <v>\I:Trd_bus_</v>
      </c>
      <c r="K207" t="str">
        <f t="shared" si="48"/>
        <v>\I:</v>
      </c>
      <c r="L207" t="str">
        <f t="shared" si="59"/>
        <v>\I:</v>
      </c>
      <c r="M207" s="390" t="str">
        <f t="shared" si="49"/>
        <v/>
      </c>
      <c r="N207" s="390" t="str">
        <f t="shared" si="50"/>
        <v/>
      </c>
      <c r="O207" s="390" t="str">
        <f t="shared" si="51"/>
        <v/>
      </c>
      <c r="P207" s="390" t="str">
        <f t="shared" si="52"/>
        <v/>
      </c>
      <c r="V207" s="386"/>
      <c r="X207" t="s">
        <v>83</v>
      </c>
      <c r="Y207" t="str">
        <f t="shared" si="53"/>
        <v>\I:</v>
      </c>
      <c r="Z207" t="str">
        <f ca="1" t="shared" si="54"/>
        <v>Hybrid diesel coach -- 00%</v>
      </c>
      <c r="AA207" s="388" t="s">
        <v>84</v>
      </c>
      <c r="AB207" s="388" t="s">
        <v>85</v>
      </c>
    </row>
    <row r="208" ht="21.75" customHeight="1" spans="2:28">
      <c r="B208" s="387" t="s">
        <v>29</v>
      </c>
      <c r="C208" s="387" t="s">
        <v>170</v>
      </c>
      <c r="D208" s="387"/>
      <c r="E208" s="387"/>
      <c r="F208" s="387"/>
      <c r="J208" t="str">
        <f t="shared" si="58"/>
        <v>\I:Trd_bus_</v>
      </c>
      <c r="K208" t="str">
        <f t="shared" si="48"/>
        <v>\I:</v>
      </c>
      <c r="L208" t="str">
        <f t="shared" si="59"/>
        <v>\I:</v>
      </c>
      <c r="M208" s="390" t="str">
        <f t="shared" si="49"/>
        <v/>
      </c>
      <c r="N208" s="390" t="str">
        <f t="shared" si="50"/>
        <v/>
      </c>
      <c r="O208" s="390" t="str">
        <f t="shared" si="51"/>
        <v/>
      </c>
      <c r="P208" s="390" t="str">
        <f t="shared" si="52"/>
        <v/>
      </c>
      <c r="V208" s="386"/>
      <c r="X208" t="s">
        <v>83</v>
      </c>
      <c r="Y208" t="str">
        <f t="shared" si="53"/>
        <v>\I:</v>
      </c>
      <c r="Z208" t="str">
        <f ca="1" t="shared" si="54"/>
        <v>Hybrid diesel coach -- Energy consumption (kg H2/100km)</v>
      </c>
      <c r="AA208" s="388" t="s">
        <v>84</v>
      </c>
      <c r="AB208" s="388" t="s">
        <v>85</v>
      </c>
    </row>
    <row r="209" ht="21.75" customHeight="1" spans="2:28">
      <c r="B209" s="387"/>
      <c r="C209" s="387"/>
      <c r="D209" s="387"/>
      <c r="E209" s="387"/>
      <c r="F209" s="387"/>
      <c r="J209" t="str">
        <f t="shared" si="58"/>
        <v>\I:Trd_bus_</v>
      </c>
      <c r="K209" t="str">
        <f t="shared" si="48"/>
        <v>\I:</v>
      </c>
      <c r="L209" t="str">
        <f t="shared" si="59"/>
        <v>\I:</v>
      </c>
      <c r="M209" s="390" t="str">
        <f t="shared" si="49"/>
        <v/>
      </c>
      <c r="N209" s="390" t="str">
        <f t="shared" si="50"/>
        <v/>
      </c>
      <c r="O209" s="390" t="str">
        <f t="shared" si="51"/>
        <v/>
      </c>
      <c r="P209" s="390" t="str">
        <f t="shared" si="52"/>
        <v/>
      </c>
      <c r="V209" s="386"/>
      <c r="X209" t="s">
        <v>83</v>
      </c>
      <c r="Y209" t="str">
        <f t="shared" si="53"/>
        <v>\I:</v>
      </c>
      <c r="Z209" t="str">
        <f ca="1" t="shared" si="54"/>
        <v>Hybrid diesel coach -- 00%</v>
      </c>
      <c r="AA209" s="388" t="s">
        <v>84</v>
      </c>
      <c r="AB209" s="388" t="s">
        <v>85</v>
      </c>
    </row>
    <row r="210" spans="2:28">
      <c r="B210" s="387"/>
      <c r="C210" s="387"/>
      <c r="D210" s="387"/>
      <c r="E210" s="387"/>
      <c r="F210" s="387"/>
      <c r="J210" t="str">
        <f t="shared" si="58"/>
        <v>\I:Trd_bus_</v>
      </c>
      <c r="K210" t="str">
        <f t="shared" si="48"/>
        <v>\I:</v>
      </c>
      <c r="L210" t="str">
        <f t="shared" si="59"/>
        <v>\I:</v>
      </c>
      <c r="M210" s="390" t="str">
        <f t="shared" si="49"/>
        <v/>
      </c>
      <c r="N210" s="390" t="str">
        <f t="shared" si="50"/>
        <v/>
      </c>
      <c r="O210" s="390" t="str">
        <f t="shared" si="51"/>
        <v/>
      </c>
      <c r="P210" s="390" t="str">
        <f t="shared" si="52"/>
        <v/>
      </c>
      <c r="V210" s="386"/>
      <c r="X210" t="s">
        <v>83</v>
      </c>
      <c r="Y210" t="str">
        <f t="shared" si="53"/>
        <v>\I:</v>
      </c>
      <c r="Z210" t="str">
        <f ca="1" t="shared" si="54"/>
        <v>Hybrid diesel coach -- 00%</v>
      </c>
      <c r="AA210" s="388" t="s">
        <v>84</v>
      </c>
      <c r="AB210" s="388" t="s">
        <v>85</v>
      </c>
    </row>
    <row r="211" spans="2:28">
      <c r="B211" s="50"/>
      <c r="C211" s="51">
        <v>2020</v>
      </c>
      <c r="D211" s="51">
        <v>2030</v>
      </c>
      <c r="E211" s="51">
        <v>2040</v>
      </c>
      <c r="F211" s="51">
        <v>2050</v>
      </c>
      <c r="J211" t="str">
        <f t="shared" si="58"/>
        <v>\I:Trd_bus_</v>
      </c>
      <c r="K211" t="str">
        <f t="shared" si="48"/>
        <v>\I:</v>
      </c>
      <c r="L211" t="str">
        <f t="shared" si="59"/>
        <v>\I:</v>
      </c>
      <c r="M211" s="390" t="str">
        <f t="shared" si="49"/>
        <v/>
      </c>
      <c r="N211" s="390" t="str">
        <f t="shared" si="50"/>
        <v/>
      </c>
      <c r="O211" s="390" t="str">
        <f t="shared" si="51"/>
        <v/>
      </c>
      <c r="P211" s="390" t="str">
        <f t="shared" si="52"/>
        <v/>
      </c>
      <c r="V211" s="386"/>
      <c r="X211" t="s">
        <v>83</v>
      </c>
      <c r="Y211" t="str">
        <f t="shared" si="53"/>
        <v>\I:</v>
      </c>
      <c r="Z211" t="str">
        <f ca="1" t="shared" si="54"/>
        <v>Hybrid diesel coach -- 00%</v>
      </c>
      <c r="AA211" s="388" t="s">
        <v>84</v>
      </c>
      <c r="AB211" s="388"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90">
        <f t="shared" si="49"/>
        <v>645414.917881523</v>
      </c>
      <c r="N212" s="390">
        <f t="shared" si="50"/>
        <v>417379.007105806</v>
      </c>
      <c r="O212" s="390">
        <f t="shared" si="51"/>
        <v>354901.720144819</v>
      </c>
      <c r="P212" s="390">
        <f t="shared" si="52"/>
        <v>338590.059493097</v>
      </c>
      <c r="Q212">
        <f t="shared" ref="Q212:Q219" si="60">P212</f>
        <v>338590.059493097</v>
      </c>
      <c r="R212">
        <v>3</v>
      </c>
      <c r="V212" s="386"/>
      <c r="X212" t="s">
        <v>83</v>
      </c>
      <c r="Y212" t="str">
        <f t="shared" si="53"/>
        <v>\I:Trd_bus__665</v>
      </c>
      <c r="Z212" t="str">
        <f ca="1" t="shared" si="54"/>
        <v>Hybrid diesel coach -- 665%</v>
      </c>
      <c r="AA212" s="388" t="s">
        <v>84</v>
      </c>
      <c r="AB212" s="388"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90">
        <f t="shared" si="49"/>
        <v>646209.342968632</v>
      </c>
      <c r="N213" s="390">
        <f t="shared" si="50"/>
        <v>417926.742297443</v>
      </c>
      <c r="O213" s="390">
        <f t="shared" si="51"/>
        <v>355381.16265353</v>
      </c>
      <c r="P213" s="390">
        <f t="shared" si="52"/>
        <v>339001.209318881</v>
      </c>
      <c r="Q213">
        <f t="shared" si="60"/>
        <v>339001.209318881</v>
      </c>
      <c r="R213">
        <v>3</v>
      </c>
      <c r="V213" s="386"/>
      <c r="X213" t="s">
        <v>83</v>
      </c>
      <c r="Y213" t="str">
        <f t="shared" si="53"/>
        <v>\I:Trd_bus__645</v>
      </c>
      <c r="Z213" t="str">
        <f ca="1" t="shared" si="54"/>
        <v>Hybrid diesel coach -- 645%</v>
      </c>
      <c r="AA213" s="388" t="s">
        <v>84</v>
      </c>
      <c r="AB213" s="388"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90">
        <f t="shared" si="49"/>
        <v>647003.76805574</v>
      </c>
      <c r="N214" s="390">
        <f t="shared" si="50"/>
        <v>418474.477489081</v>
      </c>
      <c r="O214" s="390">
        <f t="shared" si="51"/>
        <v>355860.605162241</v>
      </c>
      <c r="P214" s="390">
        <f t="shared" si="52"/>
        <v>339412.359144665</v>
      </c>
      <c r="Q214">
        <f t="shared" si="60"/>
        <v>339412.359144665</v>
      </c>
      <c r="R214">
        <v>3</v>
      </c>
      <c r="V214" s="386"/>
      <c r="X214" t="s">
        <v>83</v>
      </c>
      <c r="Y214" t="str">
        <f t="shared" si="53"/>
        <v>\I:Trd_bus__625</v>
      </c>
      <c r="Z214" t="str">
        <f ca="1" t="shared" si="54"/>
        <v>Hybrid diesel coach -- 625%</v>
      </c>
      <c r="AA214" s="388" t="s">
        <v>84</v>
      </c>
      <c r="AB214" s="388"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90">
        <f t="shared" si="49"/>
        <v>647798.193142848</v>
      </c>
      <c r="N215" s="390">
        <f t="shared" si="50"/>
        <v>419022.212680718</v>
      </c>
      <c r="O215" s="390">
        <f t="shared" si="51"/>
        <v>356340.047670951</v>
      </c>
      <c r="P215" s="390">
        <f t="shared" si="52"/>
        <v>339823.508970449</v>
      </c>
      <c r="Q215">
        <f t="shared" si="60"/>
        <v>339823.508970449</v>
      </c>
      <c r="R215">
        <v>3</v>
      </c>
      <c r="V215" s="386"/>
      <c r="X215" t="s">
        <v>83</v>
      </c>
      <c r="Y215" t="str">
        <f t="shared" si="53"/>
        <v>\I:Trd_bus__605</v>
      </c>
      <c r="Z215" t="str">
        <f ca="1" t="shared" si="54"/>
        <v>Hybrid diesel coach -- 605%</v>
      </c>
      <c r="AA215" s="388" t="s">
        <v>84</v>
      </c>
      <c r="AB215" s="388"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90">
        <f t="shared" ref="M216:M219" si="62">IF($K216="\I:","",C216)</f>
        <v>648592.618229956</v>
      </c>
      <c r="N216" s="390">
        <f t="shared" ref="N216:N219" si="63">IF($K216="\I:","",D216)</f>
        <v>419569.947872356</v>
      </c>
      <c r="O216" s="390">
        <f t="shared" ref="O216:O219" si="64">IF($K216="\I:","",E216)</f>
        <v>356819.490179662</v>
      </c>
      <c r="P216" s="390">
        <f t="shared" ref="P216:P219" si="65">IF($K216="\I:","",F216)</f>
        <v>340234.658796233</v>
      </c>
      <c r="Q216">
        <f t="shared" si="60"/>
        <v>340234.658796233</v>
      </c>
      <c r="R216">
        <v>3</v>
      </c>
      <c r="V216" s="386"/>
      <c r="X216" t="s">
        <v>83</v>
      </c>
      <c r="Y216" t="str">
        <f t="shared" ref="Y216:Y219" si="66">K216</f>
        <v>\I:Trd_bus__585</v>
      </c>
      <c r="Z216" t="str">
        <f ca="1">OFFSET($W$1,MATCH(J216,$W$1:$W$12,0)-1,-1)&amp;" -- "&amp;TEXT(B216,"00%")</f>
        <v>Hybrid diesel coach -- 585%</v>
      </c>
      <c r="AA216" s="388" t="s">
        <v>84</v>
      </c>
      <c r="AB216" s="388"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90">
        <f t="shared" si="62"/>
        <v>649387.043317064</v>
      </c>
      <c r="N217" s="390">
        <f t="shared" si="63"/>
        <v>420117.683063994</v>
      </c>
      <c r="O217" s="390">
        <f t="shared" si="64"/>
        <v>357298.932688373</v>
      </c>
      <c r="P217" s="390">
        <f t="shared" si="65"/>
        <v>340645.808622017</v>
      </c>
      <c r="Q217">
        <f t="shared" si="60"/>
        <v>340645.808622017</v>
      </c>
      <c r="R217">
        <v>3</v>
      </c>
      <c r="V217" s="386"/>
      <c r="X217" t="s">
        <v>83</v>
      </c>
      <c r="Y217" t="str">
        <f t="shared" si="66"/>
        <v>\I:Trd_bus__565</v>
      </c>
      <c r="Z217" t="str">
        <f ca="1">OFFSET($W$1,MATCH(J217,$W$1:$W$12,0)-1,-1)&amp;" -- "&amp;TEXT(B217,"00%")</f>
        <v>Hybrid diesel coach -- 565%</v>
      </c>
      <c r="AA217" s="388" t="s">
        <v>84</v>
      </c>
      <c r="AB217" s="388"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90">
        <f t="shared" si="62"/>
        <v>650181.468404172</v>
      </c>
      <c r="N218" s="390">
        <f t="shared" si="63"/>
        <v>420665.418255631</v>
      </c>
      <c r="O218" s="390">
        <f t="shared" si="64"/>
        <v>357778.375197084</v>
      </c>
      <c r="P218" s="390">
        <f t="shared" si="65"/>
        <v>341056.958447801</v>
      </c>
      <c r="Q218">
        <f t="shared" si="60"/>
        <v>341056.958447801</v>
      </c>
      <c r="R218">
        <v>3</v>
      </c>
      <c r="V218" s="386"/>
      <c r="X218" t="s">
        <v>83</v>
      </c>
      <c r="Y218" t="str">
        <f t="shared" si="66"/>
        <v>\I:Trd_bus__544</v>
      </c>
      <c r="Z218" t="str">
        <f ca="1">OFFSET($W$1,MATCH(J218,$W$1:$W$12,0)-1,-1)&amp;" -- "&amp;TEXT(B218,"00%")</f>
        <v>Hybrid diesel coach -- 544%</v>
      </c>
      <c r="AA218" s="388" t="s">
        <v>84</v>
      </c>
      <c r="AB218" s="388"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90">
        <f t="shared" si="62"/>
        <v>650975.89349128</v>
      </c>
      <c r="N219" s="390">
        <f t="shared" si="63"/>
        <v>421213.153447269</v>
      </c>
      <c r="O219" s="390">
        <f t="shared" si="64"/>
        <v>358257.817705795</v>
      </c>
      <c r="P219" s="390">
        <f t="shared" si="65"/>
        <v>341468.108273585</v>
      </c>
      <c r="Q219">
        <f t="shared" si="60"/>
        <v>341468.108273585</v>
      </c>
      <c r="R219">
        <v>3</v>
      </c>
      <c r="V219" s="386"/>
      <c r="X219" t="s">
        <v>83</v>
      </c>
      <c r="Y219" t="str">
        <f t="shared" si="66"/>
        <v>\I:Trd_bus__524</v>
      </c>
      <c r="Z219" t="str">
        <f ca="1">OFFSET($W$1,MATCH(J219,$W$1:$W$12,0)-1,-1)&amp;" -- "&amp;TEXT(B219,"00%")</f>
        <v>Hybrid diesel coach -- 524%</v>
      </c>
      <c r="AA219" s="388" t="s">
        <v>84</v>
      </c>
      <c r="AB219" s="388"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29" zoomScaleNormal="29" topLeftCell="AF1"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60" t="s">
        <v>171</v>
      </c>
      <c r="O22" s="361" t="s">
        <v>178</v>
      </c>
      <c r="P22" s="361" t="s">
        <v>185</v>
      </c>
      <c r="Q22" s="362">
        <f t="shared" ref="Q22:Q28" si="0">O4</f>
        <v>0.095</v>
      </c>
      <c r="S22" s="152" t="s">
        <v>195</v>
      </c>
      <c r="T22" s="360" t="str">
        <f>P2</f>
        <v>Tra_EV_Batt-LMO_virgin_package</v>
      </c>
      <c r="U22" s="361" t="str">
        <f>P3</f>
        <v>Tra_EV_Batt-LMO_virgin</v>
      </c>
      <c r="V22" s="361" t="s">
        <v>185</v>
      </c>
      <c r="W22" s="362">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60" t="s">
        <v>171</v>
      </c>
      <c r="O23" s="361" t="s">
        <v>178</v>
      </c>
      <c r="P23" s="361" t="s">
        <v>186</v>
      </c>
      <c r="Q23" s="362">
        <f t="shared" si="0"/>
        <v>0</v>
      </c>
      <c r="S23" s="152" t="s">
        <v>195</v>
      </c>
      <c r="T23" s="360" t="str">
        <f t="shared" ref="T23:T28" si="7">T22</f>
        <v>Tra_EV_Batt-LMO_virgin_package</v>
      </c>
      <c r="U23" s="361" t="str">
        <f t="shared" ref="U23:U28" si="8">U22</f>
        <v>Tra_EV_Batt-LMO_virgin</v>
      </c>
      <c r="V23" s="361" t="s">
        <v>186</v>
      </c>
      <c r="W23" s="362">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60" t="s">
        <v>171</v>
      </c>
      <c r="O24" s="361" t="s">
        <v>178</v>
      </c>
      <c r="P24" s="361" t="s">
        <v>187</v>
      </c>
      <c r="Q24" s="362">
        <f t="shared" si="0"/>
        <v>0</v>
      </c>
      <c r="S24" s="152" t="s">
        <v>195</v>
      </c>
      <c r="T24" s="360" t="str">
        <f t="shared" si="7"/>
        <v>Tra_EV_Batt-LMO_virgin_package</v>
      </c>
      <c r="U24" s="361" t="str">
        <f t="shared" si="8"/>
        <v>Tra_EV_Batt-LMO_virgin</v>
      </c>
      <c r="V24" s="361" t="s">
        <v>187</v>
      </c>
      <c r="W24" s="362">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60" t="s">
        <v>171</v>
      </c>
      <c r="O25" s="361" t="s">
        <v>178</v>
      </c>
      <c r="P25" s="361" t="s">
        <v>188</v>
      </c>
      <c r="Q25" s="362">
        <f t="shared" si="0"/>
        <v>0</v>
      </c>
      <c r="S25" s="152" t="s">
        <v>195</v>
      </c>
      <c r="T25" s="360" t="str">
        <f t="shared" si="7"/>
        <v>Tra_EV_Batt-LMO_virgin_package</v>
      </c>
      <c r="U25" s="361" t="str">
        <f t="shared" si="8"/>
        <v>Tra_EV_Batt-LMO_virgin</v>
      </c>
      <c r="V25" s="361" t="s">
        <v>188</v>
      </c>
      <c r="W25" s="362">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60" t="s">
        <v>171</v>
      </c>
      <c r="O26" s="361" t="s">
        <v>178</v>
      </c>
      <c r="P26" s="361" t="s">
        <v>189</v>
      </c>
      <c r="Q26" s="362">
        <f t="shared" si="0"/>
        <v>3.528</v>
      </c>
      <c r="S26" s="152" t="s">
        <v>195</v>
      </c>
      <c r="T26" s="360" t="str">
        <f t="shared" si="7"/>
        <v>Tra_EV_Batt-LMO_virgin_package</v>
      </c>
      <c r="U26" s="361" t="str">
        <f t="shared" si="8"/>
        <v>Tra_EV_Batt-LMO_virgin</v>
      </c>
      <c r="V26" s="361" t="s">
        <v>189</v>
      </c>
      <c r="W26" s="362">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60" t="s">
        <v>171</v>
      </c>
      <c r="O27" s="361" t="s">
        <v>178</v>
      </c>
      <c r="P27" s="361" t="s">
        <v>190</v>
      </c>
      <c r="Q27" s="362">
        <f t="shared" si="0"/>
        <v>0.946</v>
      </c>
      <c r="S27" s="152" t="s">
        <v>195</v>
      </c>
      <c r="T27" s="360" t="str">
        <f t="shared" si="7"/>
        <v>Tra_EV_Batt-LMO_virgin_package</v>
      </c>
      <c r="U27" s="361" t="str">
        <f t="shared" si="8"/>
        <v>Tra_EV_Batt-LMO_virgin</v>
      </c>
      <c r="V27" s="361" t="s">
        <v>190</v>
      </c>
      <c r="W27" s="362">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60" t="s">
        <v>171</v>
      </c>
      <c r="O28" s="361" t="s">
        <v>178</v>
      </c>
      <c r="P28" s="361" t="s">
        <v>191</v>
      </c>
      <c r="Q28" s="362">
        <f t="shared" si="0"/>
        <v>1.085</v>
      </c>
      <c r="S28" s="152" t="s">
        <v>195</v>
      </c>
      <c r="T28" s="360" t="str">
        <f t="shared" si="7"/>
        <v>Tra_EV_Batt-LMO_virgin_package</v>
      </c>
      <c r="U28" s="361" t="str">
        <f t="shared" si="8"/>
        <v>Tra_EV_Batt-LMO_virgin</v>
      </c>
      <c r="V28" s="361" t="s">
        <v>191</v>
      </c>
      <c r="W28" s="362">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3"/>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60"/>
      <c r="O40" s="361"/>
      <c r="P40" s="361"/>
      <c r="Q40" s="362"/>
      <c r="AW40" s="152" t="s">
        <v>195</v>
      </c>
      <c r="AX40" s="301" t="str">
        <f t="shared" si="19"/>
        <v>Tra_EV_Batt-Sodium_virgin_package</v>
      </c>
      <c r="AY40" s="164" t="str">
        <f t="shared" si="20"/>
        <v>Tra_EV_Batt-Sodium_virgin</v>
      </c>
      <c r="AZ40" s="164" t="s">
        <v>189</v>
      </c>
      <c r="BA40" s="196">
        <f>Q26</f>
        <v>3.528</v>
      </c>
    </row>
    <row r="41" spans="13:53">
      <c r="M41" s="152"/>
      <c r="N41" s="360"/>
      <c r="O41" s="361"/>
      <c r="P41" s="361"/>
      <c r="Q41" s="362"/>
      <c r="AW41" s="152" t="s">
        <v>195</v>
      </c>
      <c r="AX41" s="301" t="str">
        <f t="shared" si="19"/>
        <v>Tra_EV_Batt-Sodium_virgin_package</v>
      </c>
      <c r="AY41" s="164" t="str">
        <f t="shared" si="20"/>
        <v>Tra_EV_Batt-Sodium_virgin</v>
      </c>
      <c r="AZ41" s="164" t="s">
        <v>190</v>
      </c>
      <c r="BA41" s="196">
        <v>0</v>
      </c>
    </row>
    <row r="42" spans="13:53">
      <c r="M42" s="152"/>
      <c r="N42" s="360"/>
      <c r="O42" s="361"/>
      <c r="P42" s="361"/>
      <c r="Q42" s="362"/>
      <c r="AW42" s="152" t="s">
        <v>195</v>
      </c>
      <c r="AX42" s="301" t="str">
        <f t="shared" si="19"/>
        <v>Tra_EV_Batt-Sodium_virgin_package</v>
      </c>
      <c r="AY42" s="164" t="str">
        <f t="shared" si="20"/>
        <v>Tra_EV_Batt-Sodium_virgin</v>
      </c>
      <c r="AZ42" s="164" t="s">
        <v>191</v>
      </c>
      <c r="BA42" s="196">
        <v>0</v>
      </c>
    </row>
    <row r="43" spans="13:53">
      <c r="M43" s="152"/>
      <c r="N43" s="360"/>
      <c r="O43" s="361"/>
      <c r="P43" s="361"/>
      <c r="Q43" s="362"/>
    </row>
    <row r="44" spans="13:53">
      <c r="M44" s="152"/>
      <c r="N44" s="360"/>
      <c r="O44" s="361"/>
      <c r="P44" s="361"/>
      <c r="Q44" s="362"/>
    </row>
    <row r="45" spans="13:53">
      <c r="M45" s="152"/>
      <c r="N45" s="360"/>
      <c r="O45" s="361"/>
      <c r="P45" s="361"/>
      <c r="Q45" s="362"/>
    </row>
    <row r="46" spans="13:53">
      <c r="M46" s="152"/>
      <c r="N46" s="360"/>
      <c r="O46" s="361"/>
      <c r="P46" s="361"/>
      <c r="Q46" s="362"/>
    </row>
    <row r="49" spans="49:58">
      <c r="AW49" s="364"/>
      <c r="AX49" s="317"/>
      <c r="AY49" s="317"/>
      <c r="AZ49" s="317" t="s">
        <v>198</v>
      </c>
      <c r="BA49" s="365"/>
    </row>
    <row r="50" spans="49:58">
      <c r="AW50" s="366" t="s">
        <v>193</v>
      </c>
      <c r="AX50" s="317" t="s">
        <v>76</v>
      </c>
      <c r="AY50" s="317" t="s">
        <v>79</v>
      </c>
      <c r="AZ50" s="317" t="s">
        <v>194</v>
      </c>
      <c r="BA50" s="365">
        <v>2020</v>
      </c>
      <c r="BB50">
        <v>0</v>
      </c>
    </row>
    <row r="51" spans="49:58">
      <c r="AW51" s="367" t="s">
        <v>195</v>
      </c>
      <c r="AX51" s="368"/>
      <c r="AY51" s="365" t="str">
        <f>O22</f>
        <v>Tra_EV_Batt-LFP_virgin</v>
      </c>
      <c r="AZ51" s="321"/>
      <c r="BE51" s="369">
        <v>5</v>
      </c>
      <c r="BF51">
        <v>5</v>
      </c>
    </row>
    <row r="52" spans="49:58">
      <c r="AW52" s="367" t="s">
        <v>195</v>
      </c>
      <c r="AX52" s="368"/>
      <c r="AY52" s="321" t="str">
        <f>U22</f>
        <v>Tra_EV_Batt-LMO_virgin</v>
      </c>
      <c r="AZ52" s="321"/>
      <c r="BE52" s="369">
        <v>5</v>
      </c>
      <c r="BF52">
        <v>5</v>
      </c>
    </row>
    <row r="53" spans="49:58">
      <c r="AW53" s="367" t="s">
        <v>195</v>
      </c>
      <c r="AX53" s="368"/>
      <c r="AY53" s="321" t="str">
        <f>AA22</f>
        <v>Tra_EV_Batt-NCA_virgin</v>
      </c>
      <c r="AZ53" s="321"/>
      <c r="BE53" s="369">
        <v>5</v>
      </c>
      <c r="BF53">
        <v>5</v>
      </c>
    </row>
    <row r="54" spans="49:58">
      <c r="AW54" s="367" t="s">
        <v>195</v>
      </c>
      <c r="AX54" s="368"/>
      <c r="AY54" s="321" t="str">
        <f>AG22</f>
        <v>Tra_EV_Batt-NMC111_virgin</v>
      </c>
      <c r="AZ54" s="321"/>
      <c r="BE54" s="369">
        <v>5</v>
      </c>
      <c r="BF54">
        <v>5</v>
      </c>
    </row>
    <row r="55" spans="49:58">
      <c r="AW55" s="367" t="s">
        <v>195</v>
      </c>
      <c r="AX55" s="368"/>
      <c r="AY55" s="321" t="str">
        <f>AS22</f>
        <v>Tra_EV_Batt-NMC622_virgin</v>
      </c>
      <c r="AZ55" s="321"/>
      <c r="BE55" s="369">
        <v>5</v>
      </c>
      <c r="BF55">
        <v>5</v>
      </c>
    </row>
    <row r="56" spans="49:58">
      <c r="AW56" s="367" t="s">
        <v>195</v>
      </c>
      <c r="AX56" s="368"/>
      <c r="AY56" s="321" t="str">
        <f>AY22</f>
        <v>Tra_EV_Batt-NMC811_virgin</v>
      </c>
      <c r="AZ56" s="321"/>
      <c r="BE56" s="369">
        <v>5</v>
      </c>
      <c r="BF56">
        <v>5</v>
      </c>
    </row>
    <row r="57" spans="49:58">
      <c r="AW57" s="367" t="s">
        <v>195</v>
      </c>
      <c r="AX57" s="368"/>
      <c r="AY57" s="321" t="str">
        <f>AM22</f>
        <v>Tra_EV_Batt-NMC532_virgin</v>
      </c>
      <c r="AZ57" s="321"/>
      <c r="BE57" s="369">
        <v>5</v>
      </c>
      <c r="BF57">
        <v>5</v>
      </c>
    </row>
    <row r="58" spans="49:58">
      <c r="AW58" s="367" t="s">
        <v>195</v>
      </c>
      <c r="AX58" s="368"/>
      <c r="AY58" s="321" t="str">
        <f>AY36</f>
        <v>Tra_EV_Batt-Sodium_virgin</v>
      </c>
      <c r="AZ58" s="321"/>
      <c r="BE58" s="369">
        <v>5</v>
      </c>
      <c r="BF58">
        <v>5</v>
      </c>
    </row>
    <row r="62" spans="49:58">
      <c r="AW62" s="364"/>
      <c r="AX62" s="317"/>
      <c r="AY62" s="317"/>
      <c r="AZ62" s="317" t="s">
        <v>199</v>
      </c>
      <c r="BA62" s="365"/>
    </row>
    <row r="63" spans="49:58">
      <c r="AW63" s="366" t="s">
        <v>193</v>
      </c>
      <c r="AX63" s="317" t="s">
        <v>76</v>
      </c>
      <c r="AY63" s="317" t="s">
        <v>79</v>
      </c>
      <c r="AZ63" s="317" t="s">
        <v>194</v>
      </c>
      <c r="BA63" s="365" t="s">
        <v>200</v>
      </c>
      <c r="BB63" t="s">
        <v>201</v>
      </c>
    </row>
    <row r="64" spans="49:58">
      <c r="AW64" s="367" t="s">
        <v>195</v>
      </c>
      <c r="AX64" s="368"/>
      <c r="AY64" s="365" t="s">
        <v>178</v>
      </c>
      <c r="AZ64" s="321"/>
      <c r="BA64" s="370">
        <v>1</v>
      </c>
      <c r="BD64">
        <v>2020</v>
      </c>
    </row>
    <row r="65" spans="49:56">
      <c r="AW65" s="367" t="s">
        <v>195</v>
      </c>
      <c r="AX65" s="368"/>
      <c r="AY65" s="321" t="s">
        <v>179</v>
      </c>
      <c r="AZ65" s="321"/>
      <c r="BA65" s="370">
        <v>1</v>
      </c>
      <c r="BD65" s="217">
        <v>2020</v>
      </c>
    </row>
    <row r="66" spans="49:56">
      <c r="AW66" s="367" t="s">
        <v>195</v>
      </c>
      <c r="AX66" s="368"/>
      <c r="AY66" s="321" t="s">
        <v>180</v>
      </c>
      <c r="AZ66" s="321"/>
      <c r="BA66" s="370">
        <f t="shared" ref="BA66:BA70" si="21">BA65</f>
        <v>1</v>
      </c>
      <c r="BD66">
        <v>2020</v>
      </c>
    </row>
    <row r="67" spans="49:56">
      <c r="AW67" s="367" t="s">
        <v>195</v>
      </c>
      <c r="AX67" s="368"/>
      <c r="AY67" s="321" t="s">
        <v>183</v>
      </c>
      <c r="AZ67" s="321"/>
      <c r="BA67" s="370">
        <f t="shared" si="21"/>
        <v>1</v>
      </c>
      <c r="BD67">
        <v>2020</v>
      </c>
    </row>
    <row r="68" spans="49:56">
      <c r="AW68" s="367" t="s">
        <v>195</v>
      </c>
      <c r="AX68" s="368"/>
      <c r="AY68" s="321" t="s">
        <v>184</v>
      </c>
      <c r="AZ68" s="321"/>
      <c r="BA68" s="370">
        <f t="shared" si="21"/>
        <v>1</v>
      </c>
      <c r="BD68">
        <v>2020</v>
      </c>
    </row>
    <row r="69" spans="49:56">
      <c r="AW69" s="367" t="s">
        <v>195</v>
      </c>
      <c r="AX69" s="368"/>
      <c r="AY69" s="321" t="s">
        <v>182</v>
      </c>
      <c r="AZ69" s="321"/>
      <c r="BA69" s="370">
        <f t="shared" si="21"/>
        <v>1</v>
      </c>
      <c r="BD69">
        <v>2020</v>
      </c>
    </row>
    <row r="70" spans="49:56">
      <c r="AW70" s="367" t="s">
        <v>195</v>
      </c>
      <c r="AX70" s="368"/>
      <c r="AY70" s="321" t="s">
        <v>197</v>
      </c>
      <c r="AZ70" s="321"/>
      <c r="BA70" s="370">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5"/>
      <c r="B8" s="355"/>
      <c r="C8" s="355"/>
      <c r="D8" s="303" t="s">
        <v>208</v>
      </c>
      <c r="E8" s="355" t="s">
        <v>209</v>
      </c>
      <c r="F8" s="355"/>
      <c r="G8" s="355" t="s">
        <v>209</v>
      </c>
      <c r="H8" s="355"/>
      <c r="I8" s="355" t="s">
        <v>210</v>
      </c>
      <c r="J8" s="355"/>
      <c r="L8" s="75"/>
      <c r="O8" s="356" t="s">
        <v>208</v>
      </c>
      <c r="P8" t="s">
        <v>209</v>
      </c>
      <c r="R8" t="s">
        <v>209</v>
      </c>
      <c r="T8" t="s">
        <v>210</v>
      </c>
    </row>
    <row r="9" spans="1:31">
      <c r="A9" s="355"/>
      <c r="B9" s="355"/>
      <c r="C9" s="355"/>
      <c r="D9" s="355"/>
      <c r="E9" s="355"/>
      <c r="F9" s="357"/>
      <c r="G9" s="355"/>
      <c r="H9" s="355" t="s">
        <v>211</v>
      </c>
      <c r="I9" s="355" t="str">
        <f t="shared" ref="I9:I13" si="0">H9</f>
        <v>AuxStoOUT</v>
      </c>
      <c r="J9" s="358">
        <v>1.08695652173913</v>
      </c>
      <c r="L9" s="75"/>
      <c r="Q9" s="359"/>
      <c r="S9" t="s">
        <v>211</v>
      </c>
      <c r="T9" t="s">
        <v>211</v>
      </c>
      <c r="U9" s="75">
        <v>1.08695652173913</v>
      </c>
    </row>
    <row r="10" spans="1:31">
      <c r="A10" s="355"/>
      <c r="B10" s="355"/>
      <c r="C10" s="355"/>
      <c r="D10" s="303" t="s">
        <v>212</v>
      </c>
      <c r="E10" s="355" t="s">
        <v>209</v>
      </c>
      <c r="F10" s="355"/>
      <c r="G10" s="355" t="s">
        <v>209</v>
      </c>
      <c r="H10" s="355"/>
      <c r="I10" s="355" t="s">
        <v>210</v>
      </c>
      <c r="J10" s="355"/>
      <c r="L10" s="75"/>
      <c r="Q10" s="359"/>
      <c r="S10" s="359" t="s">
        <v>213</v>
      </c>
      <c r="T10" t="s">
        <v>209</v>
      </c>
      <c r="V10">
        <v>1</v>
      </c>
    </row>
    <row r="11" spans="1:31">
      <c r="A11" s="355"/>
      <c r="B11" s="355"/>
      <c r="C11" s="355"/>
      <c r="D11" s="355"/>
      <c r="E11" s="355"/>
      <c r="F11" s="357"/>
      <c r="G11" s="355"/>
      <c r="H11" s="355" t="s">
        <v>211</v>
      </c>
      <c r="I11" s="355" t="str">
        <f t="shared" si="0"/>
        <v>AuxStoOUT</v>
      </c>
      <c r="J11" s="358">
        <v>1.08695652173913</v>
      </c>
    </row>
    <row r="12" spans="1:31">
      <c r="A12" s="355"/>
      <c r="B12" s="355"/>
      <c r="C12" s="355"/>
      <c r="D12" s="303" t="s">
        <v>214</v>
      </c>
      <c r="E12" s="355" t="s">
        <v>209</v>
      </c>
      <c r="F12" s="355"/>
      <c r="G12" s="355" t="s">
        <v>209</v>
      </c>
      <c r="H12" s="355"/>
      <c r="I12" s="355" t="s">
        <v>210</v>
      </c>
      <c r="J12" s="355"/>
    </row>
    <row r="13" spans="1:31">
      <c r="A13" s="355"/>
      <c r="B13" s="355"/>
      <c r="C13" s="355"/>
      <c r="D13" s="355"/>
      <c r="E13" s="355"/>
      <c r="F13" s="357"/>
      <c r="G13" s="355"/>
      <c r="H13" s="355" t="s">
        <v>211</v>
      </c>
      <c r="I13" s="355" t="str">
        <f t="shared" si="0"/>
        <v>AuxStoOUT</v>
      </c>
      <c r="J13" s="358">
        <v>1.08695652173913</v>
      </c>
    </row>
    <row r="14" spans="1:31">
      <c r="A14" s="355"/>
      <c r="B14" s="355"/>
      <c r="C14" s="355"/>
      <c r="D14" s="303" t="s">
        <v>215</v>
      </c>
      <c r="E14" s="355" t="s">
        <v>209</v>
      </c>
      <c r="F14" s="355"/>
      <c r="G14" s="355" t="s">
        <v>209</v>
      </c>
      <c r="H14" s="355"/>
      <c r="I14" s="355" t="s">
        <v>210</v>
      </c>
      <c r="J14" s="355"/>
    </row>
    <row r="15" spans="1:31">
      <c r="A15" s="355"/>
      <c r="B15" s="355"/>
      <c r="C15" s="355"/>
      <c r="D15" s="355"/>
      <c r="E15" s="355"/>
      <c r="F15" s="357"/>
      <c r="G15" s="355"/>
      <c r="H15" s="355" t="s">
        <v>211</v>
      </c>
      <c r="I15" s="355" t="str">
        <f t="shared" ref="I15:I19" si="1">H15</f>
        <v>AuxStoOUT</v>
      </c>
      <c r="J15" s="358">
        <v>1.08695652173913</v>
      </c>
    </row>
    <row r="16" spans="1:31">
      <c r="A16" s="355"/>
      <c r="B16" s="355"/>
      <c r="C16" s="355"/>
      <c r="D16" s="303" t="s">
        <v>216</v>
      </c>
      <c r="E16" s="355" t="s">
        <v>209</v>
      </c>
      <c r="F16" s="355"/>
      <c r="G16" s="355" t="s">
        <v>209</v>
      </c>
      <c r="H16" s="355"/>
      <c r="I16" s="355" t="s">
        <v>210</v>
      </c>
      <c r="J16" s="355"/>
    </row>
    <row r="17" spans="1:22">
      <c r="A17" s="355"/>
      <c r="B17" s="355"/>
      <c r="C17" s="355"/>
      <c r="D17" s="355"/>
      <c r="E17" s="355"/>
      <c r="F17" s="357"/>
      <c r="G17" s="355"/>
      <c r="H17" s="355" t="s">
        <v>211</v>
      </c>
      <c r="I17" s="355" t="str">
        <f t="shared" si="1"/>
        <v>AuxStoOUT</v>
      </c>
      <c r="J17" s="358">
        <v>1.08695652173913</v>
      </c>
    </row>
    <row r="18" spans="1:22">
      <c r="A18" s="355"/>
      <c r="B18" s="355"/>
      <c r="C18" s="355"/>
      <c r="D18" s="303" t="s">
        <v>217</v>
      </c>
      <c r="E18" s="355" t="s">
        <v>209</v>
      </c>
      <c r="F18" s="355"/>
      <c r="G18" s="355" t="s">
        <v>209</v>
      </c>
      <c r="H18" s="355"/>
      <c r="I18" s="355" t="s">
        <v>210</v>
      </c>
      <c r="J18" s="355"/>
      <c r="T18" t="s">
        <v>199</v>
      </c>
    </row>
    <row r="19" spans="1:22">
      <c r="A19" s="355"/>
      <c r="B19" s="355"/>
      <c r="C19" s="355"/>
      <c r="D19" s="355"/>
      <c r="E19" s="355"/>
      <c r="F19" s="357"/>
      <c r="G19" s="355"/>
      <c r="H19" s="355" t="s">
        <v>211</v>
      </c>
      <c r="I19" s="355" t="str">
        <f t="shared" si="1"/>
        <v>AuxStoOUT</v>
      </c>
      <c r="J19" s="358">
        <v>1.08695652173913</v>
      </c>
      <c r="O19" t="s">
        <v>79</v>
      </c>
      <c r="P19" t="s">
        <v>194</v>
      </c>
      <c r="Q19" t="s">
        <v>203</v>
      </c>
      <c r="R19" t="s">
        <v>76</v>
      </c>
      <c r="S19" t="s">
        <v>204</v>
      </c>
      <c r="T19" t="s">
        <v>205</v>
      </c>
      <c r="U19" t="s">
        <v>206</v>
      </c>
      <c r="V19" t="s">
        <v>207</v>
      </c>
    </row>
    <row r="20" ht="16" spans="1:22">
      <c r="A20" s="355"/>
      <c r="B20" s="355"/>
      <c r="C20" s="355"/>
      <c r="D20" s="303" t="s">
        <v>218</v>
      </c>
      <c r="E20" s="355" t="s">
        <v>209</v>
      </c>
      <c r="F20" s="355"/>
      <c r="G20" s="355" t="s">
        <v>209</v>
      </c>
      <c r="H20" s="355"/>
      <c r="I20" s="355" t="s">
        <v>210</v>
      </c>
      <c r="J20" s="355"/>
      <c r="O20" s="356" t="s">
        <v>212</v>
      </c>
      <c r="P20" t="s">
        <v>209</v>
      </c>
      <c r="R20" t="s">
        <v>209</v>
      </c>
      <c r="T20" t="s">
        <v>210</v>
      </c>
    </row>
    <row r="21" spans="1:22">
      <c r="A21" s="355"/>
      <c r="B21" s="355"/>
      <c r="C21" s="355"/>
      <c r="D21" s="355"/>
      <c r="E21" s="355"/>
      <c r="F21" s="357"/>
      <c r="G21" s="355"/>
      <c r="H21" s="355" t="s">
        <v>211</v>
      </c>
      <c r="I21" s="355" t="str">
        <f>H21</f>
        <v>AuxStoOUT</v>
      </c>
      <c r="J21" s="358">
        <v>1.08695652173913</v>
      </c>
      <c r="Q21" s="359"/>
      <c r="S21" t="s">
        <v>211</v>
      </c>
      <c r="T21" t="s">
        <v>211</v>
      </c>
      <c r="U21" s="75">
        <v>1.08695652173913</v>
      </c>
    </row>
    <row r="22" spans="1:22">
      <c r="A22" s="355"/>
      <c r="B22" s="355"/>
      <c r="C22" s="355"/>
      <c r="D22" s="355"/>
      <c r="E22" s="355"/>
      <c r="F22" s="355"/>
      <c r="G22" s="355"/>
      <c r="H22" s="355"/>
      <c r="I22" s="355"/>
      <c r="J22" s="355"/>
      <c r="Q22" s="359"/>
      <c r="S22" s="359" t="s">
        <v>213</v>
      </c>
      <c r="T22" t="s">
        <v>209</v>
      </c>
      <c r="V22">
        <v>1</v>
      </c>
    </row>
    <row r="23" spans="1:22">
      <c r="A23" s="355"/>
      <c r="B23" s="355"/>
      <c r="C23" s="355"/>
      <c r="D23" s="355"/>
      <c r="E23" s="355"/>
      <c r="F23" s="355"/>
      <c r="G23" s="355"/>
      <c r="H23" s="355"/>
      <c r="I23" s="355"/>
      <c r="J23" s="355"/>
    </row>
    <row r="24" spans="1:22">
      <c r="A24" s="355"/>
      <c r="B24" s="355"/>
      <c r="C24" s="355"/>
      <c r="D24" s="355"/>
      <c r="E24" s="355"/>
      <c r="F24" s="355"/>
      <c r="G24" s="355"/>
      <c r="H24" s="355"/>
      <c r="I24" s="355"/>
      <c r="J24" s="355"/>
    </row>
    <row r="25" spans="1:22">
      <c r="A25" s="355"/>
      <c r="B25" s="355"/>
      <c r="C25" s="355"/>
      <c r="D25" s="355"/>
      <c r="E25" s="355"/>
      <c r="F25" s="355"/>
      <c r="G25" s="355"/>
      <c r="H25" s="355"/>
      <c r="I25" s="355"/>
      <c r="J25" s="355"/>
    </row>
    <row r="26" spans="1:22">
      <c r="A26" s="355"/>
      <c r="B26" s="355"/>
      <c r="C26" s="355"/>
      <c r="D26" s="355"/>
      <c r="E26" s="355"/>
      <c r="F26" s="355"/>
      <c r="G26" s="355"/>
      <c r="H26" s="355"/>
      <c r="I26" s="355"/>
      <c r="J26" s="355"/>
    </row>
    <row r="28" spans="1:22">
      <c r="T28" t="s">
        <v>199</v>
      </c>
    </row>
    <row r="29" spans="1:22">
      <c r="O29" t="s">
        <v>79</v>
      </c>
      <c r="P29" t="s">
        <v>194</v>
      </c>
      <c r="Q29" t="s">
        <v>203</v>
      </c>
      <c r="R29" t="s">
        <v>76</v>
      </c>
      <c r="S29" t="s">
        <v>204</v>
      </c>
      <c r="T29" t="s">
        <v>205</v>
      </c>
      <c r="U29" t="s">
        <v>206</v>
      </c>
      <c r="V29" t="s">
        <v>207</v>
      </c>
    </row>
    <row r="30" ht="16" spans="1:22">
      <c r="O30" s="356" t="s">
        <v>214</v>
      </c>
      <c r="P30" t="s">
        <v>209</v>
      </c>
      <c r="R30" t="s">
        <v>209</v>
      </c>
      <c r="T30" t="s">
        <v>210</v>
      </c>
    </row>
    <row r="31" spans="1:22">
      <c r="Q31" s="359"/>
      <c r="S31" t="s">
        <v>211</v>
      </c>
      <c r="T31" t="s">
        <v>211</v>
      </c>
      <c r="U31" s="75">
        <v>1.08695652173913</v>
      </c>
    </row>
    <row r="32" spans="1:22">
      <c r="Q32" s="359"/>
      <c r="S32" s="359"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9"/>
      <c r="S42" t="s">
        <v>211</v>
      </c>
      <c r="T42" t="s">
        <v>211</v>
      </c>
      <c r="U42" s="75">
        <v>1.08695652173913</v>
      </c>
    </row>
    <row r="43" spans="15:22">
      <c r="Q43" s="359"/>
      <c r="S43" s="359"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9"/>
      <c r="S53" t="s">
        <v>211</v>
      </c>
      <c r="T53" t="s">
        <v>211</v>
      </c>
      <c r="U53" s="75">
        <v>1.08695652173913</v>
      </c>
    </row>
    <row r="54" spans="15:22">
      <c r="Q54" s="359"/>
      <c r="S54" s="359"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9"/>
      <c r="S63" t="s">
        <v>211</v>
      </c>
      <c r="T63" t="s">
        <v>211</v>
      </c>
      <c r="U63" s="75">
        <v>1.08695652173913</v>
      </c>
    </row>
    <row r="64" spans="15:22">
      <c r="Q64" s="359"/>
      <c r="S64" s="359"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9"/>
      <c r="S73" t="s">
        <v>211</v>
      </c>
      <c r="T73" t="s">
        <v>211</v>
      </c>
      <c r="U73" s="75">
        <v>1.08695652173913</v>
      </c>
    </row>
    <row r="74" spans="15:22">
      <c r="Q74" s="359"/>
      <c r="S74" s="359"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53" zoomScaleNormal="53" topLeftCell="V72" workbookViewId="0">
      <selection activeCell="W118" sqref="W118"/>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325"/>
      <c r="W100" s="326" t="s">
        <v>222</v>
      </c>
      <c r="X100" s="327"/>
      <c r="Y100" s="325"/>
      <c r="Z100" s="325"/>
      <c r="AA100" s="325" t="s">
        <v>199</v>
      </c>
      <c r="AB100" s="325"/>
      <c r="AC100" s="325"/>
      <c r="AD100" s="325"/>
      <c r="AE100" s="325"/>
      <c r="AF100" s="325"/>
    </row>
    <row r="101" ht="14.5" spans="2:35">
      <c r="B101" s="314">
        <v>2020</v>
      </c>
      <c r="C101" s="319" t="s">
        <v>397</v>
      </c>
      <c r="D101" s="192"/>
      <c r="E101" s="192"/>
      <c r="G101" s="320" t="s">
        <v>397</v>
      </c>
      <c r="I101" s="318">
        <v>3</v>
      </c>
      <c r="V101" s="325" t="s">
        <v>257</v>
      </c>
      <c r="W101" s="325" t="s">
        <v>332</v>
      </c>
      <c r="X101" s="327" t="s">
        <v>398</v>
      </c>
      <c r="Y101" s="325" t="s">
        <v>399</v>
      </c>
      <c r="Z101" s="325" t="s">
        <v>400</v>
      </c>
      <c r="AA101" s="326" t="s">
        <v>401</v>
      </c>
      <c r="AB101" s="326" t="s">
        <v>335</v>
      </c>
      <c r="AC101" s="325" t="s">
        <v>402</v>
      </c>
      <c r="AD101" s="325" t="s">
        <v>403</v>
      </c>
      <c r="AE101" s="325" t="s">
        <v>404</v>
      </c>
      <c r="AF101" s="328" t="s">
        <v>405</v>
      </c>
    </row>
    <row r="102" ht="14.5" spans="2:35">
      <c r="B102" s="314">
        <v>2020</v>
      </c>
      <c r="C102" s="319" t="s">
        <v>406</v>
      </c>
      <c r="D102" s="192"/>
      <c r="E102" s="192"/>
      <c r="G102" s="320" t="s">
        <v>406</v>
      </c>
      <c r="I102" s="318">
        <v>3</v>
      </c>
      <c r="V102" s="329" t="s">
        <v>297</v>
      </c>
      <c r="W102" s="330" t="s">
        <v>185</v>
      </c>
      <c r="X102" s="331">
        <v>5.3</v>
      </c>
      <c r="Y102" s="331">
        <v>45</v>
      </c>
      <c r="Z102" s="325" t="s">
        <v>338</v>
      </c>
      <c r="AA102" s="325"/>
      <c r="AB102" s="325"/>
      <c r="AC102" s="325">
        <f t="shared" ref="AC102:AC107" si="15">Y102*3%</f>
        <v>1.35</v>
      </c>
      <c r="AD102" s="325">
        <v>0.9</v>
      </c>
      <c r="AE102" s="325">
        <v>30</v>
      </c>
      <c r="AF102" s="325"/>
      <c r="AH102" s="332">
        <v>6</v>
      </c>
      <c r="AI102" s="325">
        <v>5</v>
      </c>
    </row>
    <row r="103" ht="14.5" spans="2:35">
      <c r="B103" s="314">
        <v>2030</v>
      </c>
      <c r="C103" s="319" t="s">
        <v>407</v>
      </c>
      <c r="D103" s="192"/>
      <c r="E103" s="192"/>
      <c r="G103" s="320" t="s">
        <v>407</v>
      </c>
      <c r="I103" s="318">
        <v>3</v>
      </c>
      <c r="V103" s="333" t="s">
        <v>300</v>
      </c>
      <c r="W103" s="325" t="s">
        <v>186</v>
      </c>
      <c r="X103" s="331">
        <v>8</v>
      </c>
      <c r="Y103" s="331">
        <v>50</v>
      </c>
      <c r="Z103" s="325" t="s">
        <v>338</v>
      </c>
      <c r="AA103" s="325"/>
      <c r="AB103" s="325"/>
      <c r="AC103" s="325">
        <f t="shared" si="15"/>
        <v>1.5</v>
      </c>
      <c r="AD103" s="325">
        <v>0.9</v>
      </c>
      <c r="AE103" s="325">
        <v>30</v>
      </c>
      <c r="AF103" s="325"/>
      <c r="AH103" s="334">
        <v>4</v>
      </c>
      <c r="AI103" s="325">
        <v>5</v>
      </c>
    </row>
    <row r="104" ht="14.5" spans="2:35">
      <c r="B104" s="314">
        <v>2030</v>
      </c>
      <c r="C104" s="319" t="s">
        <v>408</v>
      </c>
      <c r="D104" s="192"/>
      <c r="E104" s="192"/>
      <c r="G104" s="320" t="s">
        <v>408</v>
      </c>
      <c r="I104" s="318">
        <v>3</v>
      </c>
      <c r="V104" s="333" t="s">
        <v>305</v>
      </c>
      <c r="W104" s="325" t="s">
        <v>188</v>
      </c>
      <c r="X104" s="335">
        <v>3.3</v>
      </c>
      <c r="Y104" s="335">
        <v>10</v>
      </c>
      <c r="Z104" s="325" t="s">
        <v>338</v>
      </c>
      <c r="AA104" s="325"/>
      <c r="AB104" s="325"/>
      <c r="AC104" s="325">
        <f t="shared" si="15"/>
        <v>0.3</v>
      </c>
      <c r="AD104" s="325">
        <v>0.9</v>
      </c>
      <c r="AE104" s="325">
        <v>30</v>
      </c>
      <c r="AF104" s="325"/>
      <c r="AH104" s="334">
        <v>4</v>
      </c>
      <c r="AI104" s="325">
        <v>5</v>
      </c>
    </row>
    <row r="105" ht="14.5" spans="2:35">
      <c r="B105" s="314">
        <v>2030</v>
      </c>
      <c r="C105" s="319" t="s">
        <v>409</v>
      </c>
      <c r="G105" s="320" t="s">
        <v>409</v>
      </c>
      <c r="I105" s="318">
        <v>3</v>
      </c>
      <c r="V105" s="333" t="s">
        <v>307</v>
      </c>
      <c r="W105" s="325" t="s">
        <v>189</v>
      </c>
      <c r="X105" s="331">
        <v>1.5</v>
      </c>
      <c r="Y105" s="331">
        <v>10</v>
      </c>
      <c r="Z105" s="325" t="s">
        <v>338</v>
      </c>
      <c r="AA105" s="325"/>
      <c r="AB105" s="325"/>
      <c r="AC105" s="325">
        <f t="shared" si="15"/>
        <v>0.3</v>
      </c>
      <c r="AD105" s="325">
        <v>0.9</v>
      </c>
      <c r="AE105" s="325">
        <v>30</v>
      </c>
      <c r="AF105" s="325"/>
      <c r="AH105" s="334">
        <v>5</v>
      </c>
      <c r="AI105" s="325">
        <v>5</v>
      </c>
    </row>
    <row r="106" ht="14.5" spans="2:35">
      <c r="B106" s="314">
        <v>2030</v>
      </c>
      <c r="C106" s="319" t="s">
        <v>410</v>
      </c>
      <c r="G106" s="320" t="s">
        <v>410</v>
      </c>
      <c r="I106" s="318">
        <v>3</v>
      </c>
      <c r="V106" s="333" t="s">
        <v>309</v>
      </c>
      <c r="W106" s="325" t="s">
        <v>190</v>
      </c>
      <c r="X106" s="331">
        <v>4.5</v>
      </c>
      <c r="Y106" s="331">
        <v>18.5</v>
      </c>
      <c r="Z106" s="325" t="s">
        <v>338</v>
      </c>
      <c r="AA106" s="325"/>
      <c r="AB106" s="325"/>
      <c r="AC106" s="325">
        <f t="shared" si="15"/>
        <v>0.555</v>
      </c>
      <c r="AD106" s="325">
        <v>0.9</v>
      </c>
      <c r="AE106" s="325">
        <v>30</v>
      </c>
      <c r="AF106" s="325"/>
      <c r="AH106" s="334">
        <v>4</v>
      </c>
      <c r="AI106" s="325">
        <v>5</v>
      </c>
    </row>
    <row r="107" ht="14.5" spans="2:35">
      <c r="B107" s="314">
        <v>2030</v>
      </c>
      <c r="C107" s="319" t="s">
        <v>411</v>
      </c>
      <c r="G107" s="320" t="s">
        <v>411</v>
      </c>
      <c r="I107" s="318">
        <v>3</v>
      </c>
      <c r="V107" s="333" t="s">
        <v>311</v>
      </c>
      <c r="W107" s="325" t="s">
        <v>191</v>
      </c>
      <c r="X107" s="331">
        <v>1.7</v>
      </c>
      <c r="Y107" s="331">
        <v>1.9</v>
      </c>
      <c r="Z107" s="325" t="s">
        <v>338</v>
      </c>
      <c r="AA107" s="325"/>
      <c r="AB107" s="325"/>
      <c r="AC107" s="325">
        <f t="shared" si="15"/>
        <v>0.057</v>
      </c>
      <c r="AD107" s="325">
        <v>0.9</v>
      </c>
      <c r="AE107" s="325">
        <v>30</v>
      </c>
      <c r="AF107" s="325"/>
      <c r="AH107" s="334">
        <v>9</v>
      </c>
      <c r="AI107" s="325">
        <v>5</v>
      </c>
    </row>
    <row r="108" ht="14.5" spans="2:35">
      <c r="B108" s="314">
        <v>2030</v>
      </c>
      <c r="C108" s="319" t="s">
        <v>412</v>
      </c>
      <c r="D108" s="192"/>
      <c r="E108" s="192"/>
      <c r="G108" s="320" t="s">
        <v>412</v>
      </c>
      <c r="I108" s="318">
        <v>3</v>
      </c>
      <c r="V108" s="333" t="s">
        <v>315</v>
      </c>
      <c r="W108" s="325" t="s">
        <v>187</v>
      </c>
      <c r="X108" s="335">
        <v>24</v>
      </c>
      <c r="Y108" s="325">
        <v>30</v>
      </c>
      <c r="Z108" s="325" t="s">
        <v>338</v>
      </c>
      <c r="AA108" s="325"/>
      <c r="AB108" s="325"/>
      <c r="AC108" s="325">
        <v>0.24</v>
      </c>
      <c r="AD108" s="325">
        <v>0.9</v>
      </c>
      <c r="AE108" s="325">
        <v>30</v>
      </c>
      <c r="AF108" s="336">
        <v>0.03</v>
      </c>
      <c r="AH108" s="334">
        <v>4</v>
      </c>
      <c r="AI108" s="325">
        <v>5</v>
      </c>
    </row>
    <row r="109" spans="2:35">
      <c r="B109" s="314">
        <v>2030</v>
      </c>
      <c r="C109" s="337" t="s">
        <v>413</v>
      </c>
      <c r="G109" s="338" t="s">
        <v>413</v>
      </c>
      <c r="I109" s="318">
        <v>3</v>
      </c>
      <c r="V109" s="325"/>
      <c r="W109" s="325" t="s">
        <v>190</v>
      </c>
      <c r="X109" s="325"/>
      <c r="Y109" s="325"/>
      <c r="Z109" s="325"/>
      <c r="AA109" s="325"/>
      <c r="AB109" s="325"/>
      <c r="AC109" s="325"/>
      <c r="AD109" s="325"/>
      <c r="AE109" s="325"/>
      <c r="AF109" s="325"/>
      <c r="AH109" s="334"/>
      <c r="AI109" s="325"/>
    </row>
    <row r="110" ht="14.5" spans="2:35">
      <c r="C110" s="192"/>
      <c r="V110" s="339" t="s">
        <v>321</v>
      </c>
      <c r="W110" s="325" t="s">
        <v>187</v>
      </c>
      <c r="X110" s="335">
        <v>24</v>
      </c>
      <c r="Y110" s="325">
        <v>30</v>
      </c>
      <c r="Z110" s="325" t="s">
        <v>338</v>
      </c>
      <c r="AA110" s="325"/>
      <c r="AB110" s="325"/>
      <c r="AC110" s="325">
        <f>Y110*3%</f>
        <v>0.9</v>
      </c>
      <c r="AD110" s="325">
        <v>0.9</v>
      </c>
      <c r="AE110" s="325">
        <v>30</v>
      </c>
      <c r="AF110" s="336">
        <v>0.03</v>
      </c>
      <c r="AH110" s="334">
        <v>4</v>
      </c>
      <c r="AI110" s="325">
        <v>5</v>
      </c>
    </row>
    <row r="111" ht="14.5" spans="2:35">
      <c r="C111" s="192"/>
      <c r="V111" s="325"/>
      <c r="W111" s="325" t="s">
        <v>190</v>
      </c>
      <c r="X111" s="325"/>
      <c r="Y111" s="325"/>
      <c r="Z111" s="325"/>
      <c r="AA111" s="325"/>
      <c r="AB111" s="325"/>
      <c r="AC111" s="325"/>
      <c r="AD111" s="325"/>
      <c r="AE111" s="325"/>
      <c r="AF111" s="325"/>
      <c r="AH111" s="334"/>
      <c r="AI111" s="325"/>
    </row>
    <row r="112" ht="14.5" spans="2:35">
      <c r="C112" s="192"/>
      <c r="V112" s="333" t="s">
        <v>327</v>
      </c>
      <c r="W112" s="325" t="s">
        <v>187</v>
      </c>
      <c r="X112" s="325">
        <f>X110</f>
        <v>24</v>
      </c>
      <c r="Y112" s="325">
        <v>50</v>
      </c>
      <c r="Z112" s="325" t="s">
        <v>338</v>
      </c>
      <c r="AA112" s="325"/>
      <c r="AB112" s="325"/>
      <c r="AC112" s="325">
        <f>Y112*3%</f>
        <v>1.5</v>
      </c>
      <c r="AD112" s="325">
        <f>AD110</f>
        <v>0.9</v>
      </c>
      <c r="AE112" s="325">
        <f>AE110</f>
        <v>30</v>
      </c>
      <c r="AF112" s="336">
        <v>0.03</v>
      </c>
      <c r="AH112" s="334">
        <v>4</v>
      </c>
      <c r="AI112" s="325">
        <f>AI110</f>
        <v>5</v>
      </c>
    </row>
    <row r="113" ht="14.5" spans="1:46">
      <c r="C113" s="192"/>
      <c r="V113" s="325"/>
      <c r="W113" s="325" t="s">
        <v>190</v>
      </c>
      <c r="X113" s="325"/>
      <c r="Y113" s="325"/>
      <c r="Z113" s="325"/>
      <c r="AA113" s="325"/>
      <c r="AB113" s="325"/>
      <c r="AC113" s="325"/>
      <c r="AD113" s="325"/>
      <c r="AE113" s="325"/>
      <c r="AF113" s="325"/>
      <c r="AH113" s="334"/>
      <c r="AI113" s="325"/>
    </row>
    <row r="114" ht="14.5" spans="1:46">
      <c r="C114" s="192"/>
      <c r="V114" s="325" t="s">
        <v>324</v>
      </c>
      <c r="W114" s="325" t="s">
        <v>187</v>
      </c>
      <c r="X114" s="325">
        <f>X112</f>
        <v>24</v>
      </c>
      <c r="Y114" s="325">
        <v>50</v>
      </c>
      <c r="Z114" s="325" t="s">
        <v>338</v>
      </c>
      <c r="AA114" s="325"/>
      <c r="AB114" s="325"/>
      <c r="AC114" s="325">
        <f>Y114*3%</f>
        <v>1.5</v>
      </c>
      <c r="AD114" s="325">
        <v>0.9</v>
      </c>
      <c r="AE114" s="325">
        <v>30</v>
      </c>
      <c r="AF114" s="325"/>
      <c r="AH114" s="334">
        <v>4</v>
      </c>
      <c r="AI114" s="325">
        <v>5</v>
      </c>
    </row>
    <row r="115" ht="14.5" spans="1:46">
      <c r="C115" s="192"/>
      <c r="AH115" s="334"/>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40"/>
      <c r="AS127" s="340"/>
      <c r="AT127" s="340"/>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40"/>
      <c r="AT128" s="340"/>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40"/>
      <c r="AR129" s="340"/>
      <c r="AS129" s="340"/>
      <c r="AT129" s="340"/>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40"/>
      <c r="AR130" s="340"/>
      <c r="AS130" s="340"/>
      <c r="AT130" s="340"/>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40"/>
      <c r="AR131" s="340"/>
      <c r="AS131" s="340"/>
      <c r="AT131" s="340"/>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40"/>
      <c r="AR132" s="340"/>
      <c r="AS132" s="340"/>
      <c r="AT132" s="340"/>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40"/>
      <c r="AR133" s="340"/>
      <c r="AS133" s="340"/>
      <c r="AT133" s="340"/>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40"/>
      <c r="AR134" s="340"/>
      <c r="AS134" s="340"/>
      <c r="AT134" s="340"/>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40"/>
      <c r="AR135" s="340"/>
      <c r="AS135" s="340"/>
      <c r="AT135" s="340"/>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41" t="s">
        <v>72</v>
      </c>
      <c r="AA156" s="341"/>
      <c r="AB156" s="341"/>
      <c r="AC156" s="341"/>
      <c r="AD156" s="341"/>
      <c r="AE156" s="341"/>
      <c r="AF156" s="341"/>
      <c r="AG156" s="341"/>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41" t="s">
        <v>78</v>
      </c>
      <c r="AA157" s="341" t="s">
        <v>79</v>
      </c>
      <c r="AB157" s="341" t="s">
        <v>80</v>
      </c>
      <c r="AC157" s="341" t="s">
        <v>81</v>
      </c>
      <c r="AD157" s="341" t="s">
        <v>82</v>
      </c>
      <c r="AE157" s="341" t="s">
        <v>223</v>
      </c>
      <c r="AF157" s="341" t="s">
        <v>224</v>
      </c>
      <c r="AG157" s="341"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42" t="s">
        <v>449</v>
      </c>
      <c r="AA158" s="341" t="s">
        <v>383</v>
      </c>
      <c r="AB158" s="341" t="s">
        <v>450</v>
      </c>
      <c r="AC158" s="341" t="s">
        <v>451</v>
      </c>
      <c r="AD158" s="341" t="s">
        <v>452</v>
      </c>
      <c r="AE158" s="341" t="s">
        <v>251</v>
      </c>
      <c r="AF158" s="341"/>
      <c r="AG158" s="341"/>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40"/>
      <c r="AA159" s="341" t="s">
        <v>385</v>
      </c>
      <c r="AB159" s="341" t="s">
        <v>450</v>
      </c>
      <c r="AC159" s="341" t="s">
        <v>451</v>
      </c>
      <c r="AD159" s="341" t="s">
        <v>452</v>
      </c>
      <c r="AE159" s="341" t="s">
        <v>251</v>
      </c>
      <c r="AF159" s="340"/>
      <c r="AG159" s="340"/>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40"/>
      <c r="AA160" s="341" t="s">
        <v>386</v>
      </c>
      <c r="AB160" s="341" t="s">
        <v>450</v>
      </c>
      <c r="AC160" s="341" t="s">
        <v>451</v>
      </c>
      <c r="AD160" s="341" t="s">
        <v>452</v>
      </c>
      <c r="AE160" s="341" t="s">
        <v>251</v>
      </c>
      <c r="AF160" s="340"/>
      <c r="AG160" s="340"/>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40"/>
      <c r="AA161" s="341" t="s">
        <v>387</v>
      </c>
      <c r="AB161" s="341" t="s">
        <v>450</v>
      </c>
      <c r="AC161" s="341" t="s">
        <v>451</v>
      </c>
      <c r="AD161" s="341" t="s">
        <v>452</v>
      </c>
      <c r="AE161" s="341" t="s">
        <v>251</v>
      </c>
      <c r="AF161" s="340"/>
      <c r="AG161" s="340"/>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40"/>
      <c r="AA162" s="341" t="s">
        <v>388</v>
      </c>
      <c r="AB162" s="341" t="s">
        <v>450</v>
      </c>
      <c r="AC162" s="341" t="s">
        <v>451</v>
      </c>
      <c r="AD162" s="341" t="s">
        <v>452</v>
      </c>
      <c r="AE162" s="341" t="s">
        <v>251</v>
      </c>
      <c r="AF162" s="340"/>
      <c r="AG162" s="340"/>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40"/>
      <c r="AA163" s="341" t="s">
        <v>390</v>
      </c>
      <c r="AB163" s="341" t="s">
        <v>450</v>
      </c>
      <c r="AC163" s="341" t="s">
        <v>451</v>
      </c>
      <c r="AD163" s="341" t="s">
        <v>452</v>
      </c>
      <c r="AE163" s="341" t="s">
        <v>251</v>
      </c>
      <c r="AF163" s="340"/>
      <c r="AG163" s="340"/>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40"/>
      <c r="AA164" s="341" t="s">
        <v>391</v>
      </c>
      <c r="AB164" s="341" t="s">
        <v>450</v>
      </c>
      <c r="AC164" s="341" t="s">
        <v>451</v>
      </c>
      <c r="AD164" s="341" t="s">
        <v>452</v>
      </c>
      <c r="AE164" s="341" t="s">
        <v>251</v>
      </c>
      <c r="AF164" s="340"/>
      <c r="AG164" s="340"/>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40"/>
      <c r="AA165" s="340" t="s">
        <v>392</v>
      </c>
      <c r="AB165" s="340" t="s">
        <v>459</v>
      </c>
      <c r="AC165" s="341" t="s">
        <v>451</v>
      </c>
      <c r="AD165" s="341" t="s">
        <v>452</v>
      </c>
      <c r="AE165" s="340" t="str">
        <f>AE164</f>
        <v>DAYNITE</v>
      </c>
      <c r="AF165" s="340"/>
      <c r="AG165" s="340"/>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40"/>
      <c r="AA166" s="340" t="s">
        <v>393</v>
      </c>
      <c r="AB166" s="340" t="s">
        <v>459</v>
      </c>
      <c r="AC166" s="341" t="s">
        <v>451</v>
      </c>
      <c r="AD166" s="341" t="s">
        <v>452</v>
      </c>
      <c r="AE166" s="340" t="str">
        <f t="shared" ref="AE166:AE172" si="34">AE165</f>
        <v>DAYNITE</v>
      </c>
      <c r="AF166" s="340"/>
      <c r="AG166" s="340"/>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40"/>
      <c r="AA167" s="340" t="s">
        <v>394</v>
      </c>
      <c r="AB167" s="340" t="s">
        <v>459</v>
      </c>
      <c r="AC167" s="341" t="s">
        <v>451</v>
      </c>
      <c r="AD167" s="341" t="s">
        <v>452</v>
      </c>
      <c r="AE167" s="340" t="str">
        <f t="shared" si="34"/>
        <v>DAYNITE</v>
      </c>
      <c r="AF167" s="340"/>
      <c r="AG167" s="340"/>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40"/>
      <c r="AA168" s="340" t="s">
        <v>395</v>
      </c>
      <c r="AB168" s="340" t="s">
        <v>459</v>
      </c>
      <c r="AC168" s="341" t="s">
        <v>451</v>
      </c>
      <c r="AD168" s="341" t="s">
        <v>452</v>
      </c>
      <c r="AE168" s="340" t="str">
        <f t="shared" si="34"/>
        <v>DAYNITE</v>
      </c>
      <c r="AF168" s="340"/>
      <c r="AG168" s="340"/>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3" t="s">
        <v>463</v>
      </c>
      <c r="J169" s="171"/>
      <c r="K169" s="171"/>
      <c r="P169" s="171"/>
      <c r="S169" s="171"/>
      <c r="T169" s="171"/>
      <c r="U169" s="171"/>
      <c r="V169" s="171"/>
      <c r="W169" s="171"/>
      <c r="Y169" s="171"/>
      <c r="Z169" s="340"/>
      <c r="AA169" s="340" t="s">
        <v>396</v>
      </c>
      <c r="AB169" s="340" t="s">
        <v>459</v>
      </c>
      <c r="AC169" s="341" t="s">
        <v>451</v>
      </c>
      <c r="AD169" s="341" t="s">
        <v>452</v>
      </c>
      <c r="AE169" s="340" t="str">
        <f t="shared" si="34"/>
        <v>DAYNITE</v>
      </c>
      <c r="AF169" s="340"/>
      <c r="AG169" s="340"/>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40"/>
      <c r="AA170" s="340" t="s">
        <v>397</v>
      </c>
      <c r="AB170" s="340" t="s">
        <v>459</v>
      </c>
      <c r="AC170" s="341" t="s">
        <v>451</v>
      </c>
      <c r="AD170" s="341" t="s">
        <v>452</v>
      </c>
      <c r="AE170" s="340" t="str">
        <f t="shared" si="34"/>
        <v>DAYNITE</v>
      </c>
      <c r="AF170" s="340"/>
      <c r="AG170" s="340"/>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40"/>
      <c r="AA171" s="340" t="s">
        <v>406</v>
      </c>
      <c r="AB171" s="340" t="s">
        <v>459</v>
      </c>
      <c r="AC171" s="341" t="s">
        <v>451</v>
      </c>
      <c r="AD171" s="341" t="s">
        <v>452</v>
      </c>
      <c r="AE171" s="340" t="str">
        <f t="shared" si="34"/>
        <v>DAYNITE</v>
      </c>
      <c r="AF171" s="340"/>
      <c r="AG171" s="340"/>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40"/>
      <c r="AA172" s="340" t="s">
        <v>407</v>
      </c>
      <c r="AB172" s="340" t="s">
        <v>464</v>
      </c>
      <c r="AC172" s="341" t="s">
        <v>451</v>
      </c>
      <c r="AD172" s="341" t="s">
        <v>452</v>
      </c>
      <c r="AE172" s="340" t="str">
        <f t="shared" si="34"/>
        <v>DAYNITE</v>
      </c>
      <c r="AF172" s="340"/>
      <c r="AG172" s="340"/>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40"/>
      <c r="AA173" s="340" t="s">
        <v>408</v>
      </c>
      <c r="AB173" s="340" t="s">
        <v>464</v>
      </c>
      <c r="AC173" s="341" t="s">
        <v>451</v>
      </c>
      <c r="AD173" s="341" t="s">
        <v>452</v>
      </c>
      <c r="AE173" s="340" t="str">
        <f t="shared" ref="AE173:AE178" si="35">AE172</f>
        <v>DAYNITE</v>
      </c>
      <c r="AF173" s="340"/>
      <c r="AG173" s="340"/>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4">
        <v>0.65</v>
      </c>
      <c r="F174" s="171">
        <v>2</v>
      </c>
      <c r="G174" s="171">
        <v>1</v>
      </c>
      <c r="H174" s="171">
        <v>0.9</v>
      </c>
      <c r="I174" s="171">
        <v>0.9</v>
      </c>
      <c r="Y174"/>
      <c r="Z174" s="340"/>
      <c r="AA174" s="340" t="s">
        <v>409</v>
      </c>
      <c r="AB174" s="340" t="s">
        <v>464</v>
      </c>
      <c r="AC174" s="341" t="s">
        <v>451</v>
      </c>
      <c r="AD174" s="341" t="s">
        <v>452</v>
      </c>
      <c r="AE174" s="340" t="str">
        <f t="shared" si="35"/>
        <v>DAYNITE</v>
      </c>
      <c r="AF174" s="340"/>
      <c r="AG174" s="340"/>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4">
        <f t="shared" ref="E175:E180" si="36">E174</f>
        <v>0.65</v>
      </c>
      <c r="F175" s="171">
        <v>2</v>
      </c>
      <c r="G175" s="171">
        <v>1</v>
      </c>
      <c r="H175" s="171">
        <f t="shared" ref="H175:H180" si="37">H174</f>
        <v>0.9</v>
      </c>
      <c r="I175" s="171">
        <f t="shared" ref="I175:I180" si="38">I174</f>
        <v>0.9</v>
      </c>
      <c r="Y175"/>
      <c r="Z175" s="340"/>
      <c r="AA175" s="340" t="s">
        <v>410</v>
      </c>
      <c r="AB175" s="340" t="s">
        <v>464</v>
      </c>
      <c r="AC175" s="341" t="s">
        <v>451</v>
      </c>
      <c r="AD175" s="341" t="s">
        <v>452</v>
      </c>
      <c r="AE175" s="340" t="str">
        <f t="shared" si="35"/>
        <v>DAYNITE</v>
      </c>
      <c r="AF175" s="340"/>
      <c r="AG175" s="340"/>
      <c r="AI175" s="245"/>
      <c r="AJ175" s="245" t="s">
        <v>458</v>
      </c>
      <c r="AK175" s="245"/>
      <c r="AL175" s="245"/>
      <c r="AM175" s="245"/>
      <c r="AN175" s="245" t="s">
        <v>253</v>
      </c>
      <c r="AO175" s="245"/>
      <c r="AP175" s="245"/>
      <c r="AQ175" s="245" t="s">
        <v>313</v>
      </c>
    </row>
    <row r="176" ht="14.5" spans="2:60">
      <c r="B176" s="316" t="s">
        <v>471</v>
      </c>
      <c r="C176" s="316" t="s">
        <v>457</v>
      </c>
      <c r="D176" s="316" t="s">
        <v>377</v>
      </c>
      <c r="E176" s="344">
        <f t="shared" si="36"/>
        <v>0.65</v>
      </c>
      <c r="F176" s="171">
        <v>2</v>
      </c>
      <c r="G176" s="171">
        <v>1</v>
      </c>
      <c r="H176" s="171">
        <f t="shared" si="37"/>
        <v>0.9</v>
      </c>
      <c r="I176" s="171">
        <f t="shared" si="38"/>
        <v>0.9</v>
      </c>
      <c r="Y176"/>
      <c r="Z176" s="340"/>
      <c r="AA176" s="340" t="s">
        <v>411</v>
      </c>
      <c r="AB176" s="340" t="s">
        <v>464</v>
      </c>
      <c r="AC176" s="341" t="s">
        <v>451</v>
      </c>
      <c r="AD176" s="341" t="s">
        <v>452</v>
      </c>
      <c r="AE176" s="340" t="str">
        <f t="shared" si="35"/>
        <v>DAYNITE</v>
      </c>
      <c r="AF176" s="340"/>
      <c r="AG176" s="340"/>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4">
        <f t="shared" si="36"/>
        <v>0.65</v>
      </c>
      <c r="F177" s="171">
        <v>2</v>
      </c>
      <c r="G177" s="171">
        <v>1</v>
      </c>
      <c r="H177" s="171">
        <f t="shared" si="37"/>
        <v>0.9</v>
      </c>
      <c r="I177" s="171">
        <f t="shared" si="38"/>
        <v>0.9</v>
      </c>
      <c r="Y177"/>
      <c r="Z177" s="340"/>
      <c r="AA177" s="340" t="s">
        <v>412</v>
      </c>
      <c r="AB177" s="340" t="s">
        <v>464</v>
      </c>
      <c r="AC177" s="341" t="s">
        <v>451</v>
      </c>
      <c r="AD177" s="341" t="s">
        <v>452</v>
      </c>
      <c r="AE177" s="340" t="str">
        <f t="shared" si="35"/>
        <v>DAYNITE</v>
      </c>
      <c r="AF177" s="340"/>
      <c r="AG177" s="340"/>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4">
        <f t="shared" si="36"/>
        <v>0.65</v>
      </c>
      <c r="F178" s="171">
        <v>2</v>
      </c>
      <c r="G178" s="171">
        <v>1</v>
      </c>
      <c r="H178" s="171">
        <f t="shared" si="37"/>
        <v>0.9</v>
      </c>
      <c r="I178" s="171">
        <f t="shared" si="38"/>
        <v>0.9</v>
      </c>
      <c r="Y178"/>
      <c r="Z178" s="340"/>
      <c r="AA178" s="340" t="s">
        <v>413</v>
      </c>
      <c r="AB178" s="340" t="s">
        <v>464</v>
      </c>
      <c r="AC178" s="341" t="s">
        <v>451</v>
      </c>
      <c r="AD178" s="341" t="s">
        <v>452</v>
      </c>
      <c r="AE178" s="340" t="str">
        <f t="shared" si="35"/>
        <v>DAYNITE</v>
      </c>
      <c r="AF178" s="340"/>
      <c r="AG178" s="340"/>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4">
        <f t="shared" si="36"/>
        <v>0.65</v>
      </c>
      <c r="F179" s="171">
        <v>2</v>
      </c>
      <c r="G179" s="171">
        <v>1</v>
      </c>
      <c r="H179" s="171">
        <f t="shared" si="37"/>
        <v>0.9</v>
      </c>
      <c r="I179" s="171">
        <f t="shared" si="38"/>
        <v>0.9</v>
      </c>
      <c r="Y179"/>
      <c r="Z179" s="340"/>
      <c r="AA179" s="340" t="s">
        <v>371</v>
      </c>
      <c r="AB179" s="340"/>
      <c r="AC179" s="340"/>
      <c r="AD179" s="340"/>
      <c r="AE179" s="340"/>
      <c r="AF179" s="340"/>
      <c r="AG179" s="340"/>
      <c r="AI179" s="245"/>
      <c r="AJ179" s="245" t="s">
        <v>364</v>
      </c>
      <c r="AK179" s="245"/>
      <c r="AL179" s="245"/>
      <c r="AM179" s="245"/>
      <c r="AN179" s="245" t="s">
        <v>253</v>
      </c>
      <c r="AO179" s="245"/>
      <c r="AP179" s="245"/>
      <c r="AQ179" s="245" t="s">
        <v>313</v>
      </c>
    </row>
    <row r="180" ht="14.5" spans="1:60">
      <c r="B180" s="316" t="s">
        <v>475</v>
      </c>
      <c r="C180" s="316" t="s">
        <v>462</v>
      </c>
      <c r="D180" s="316" t="s">
        <v>381</v>
      </c>
      <c r="E180" s="344">
        <f t="shared" si="36"/>
        <v>0.65</v>
      </c>
      <c r="F180" s="171">
        <v>2</v>
      </c>
      <c r="G180" s="171">
        <v>1</v>
      </c>
      <c r="H180" s="171">
        <f t="shared" si="37"/>
        <v>0.9</v>
      </c>
      <c r="I180" s="171">
        <f t="shared" si="38"/>
        <v>0.9</v>
      </c>
      <c r="Y180"/>
      <c r="Z180" s="340"/>
      <c r="AA180" s="340" t="s">
        <v>469</v>
      </c>
      <c r="AB180" s="340"/>
      <c r="AC180" s="341" t="s">
        <v>451</v>
      </c>
      <c r="AD180" s="341" t="s">
        <v>452</v>
      </c>
      <c r="AE180" s="340" t="s">
        <v>251</v>
      </c>
      <c r="AF180" s="340"/>
      <c r="AG180" s="340"/>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40"/>
      <c r="AA181" s="340" t="s">
        <v>470</v>
      </c>
      <c r="AB181" s="340"/>
      <c r="AC181" s="341" t="s">
        <v>451</v>
      </c>
      <c r="AD181" s="341" t="s">
        <v>452</v>
      </c>
      <c r="AE181" s="340" t="s">
        <v>251</v>
      </c>
      <c r="AF181" s="340"/>
      <c r="AG181" s="340"/>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40"/>
      <c r="AA182" s="340" t="s">
        <v>471</v>
      </c>
      <c r="AB182" s="340"/>
      <c r="AC182" s="341" t="s">
        <v>451</v>
      </c>
      <c r="AD182" s="341" t="s">
        <v>452</v>
      </c>
      <c r="AE182" s="340" t="s">
        <v>251</v>
      </c>
      <c r="AF182" s="340"/>
      <c r="AG182" s="340"/>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40"/>
      <c r="AA183" s="340" t="s">
        <v>472</v>
      </c>
      <c r="AB183" s="340"/>
      <c r="AC183" s="341" t="s">
        <v>451</v>
      </c>
      <c r="AD183" s="341" t="s">
        <v>452</v>
      </c>
      <c r="AE183" s="340" t="s">
        <v>251</v>
      </c>
      <c r="AF183" s="340"/>
      <c r="AG183" s="340"/>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40"/>
      <c r="AA184" s="340" t="s">
        <v>473</v>
      </c>
      <c r="AB184" s="340"/>
      <c r="AC184" s="341" t="s">
        <v>451</v>
      </c>
      <c r="AD184" s="341" t="s">
        <v>452</v>
      </c>
      <c r="AE184" s="340" t="s">
        <v>251</v>
      </c>
      <c r="AF184" s="340"/>
      <c r="AG184" s="340"/>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40"/>
      <c r="AA185" s="340" t="s">
        <v>474</v>
      </c>
      <c r="AB185" s="340"/>
      <c r="AC185" s="341" t="s">
        <v>451</v>
      </c>
      <c r="AD185" s="341" t="s">
        <v>452</v>
      </c>
      <c r="AE185" s="340" t="s">
        <v>251</v>
      </c>
      <c r="AF185" s="340"/>
      <c r="AG185" s="340"/>
      <c r="AI185" s="345"/>
      <c r="AJ185" s="345" t="s">
        <v>370</v>
      </c>
      <c r="AK185" s="245"/>
      <c r="AL185" s="245"/>
      <c r="AM185" s="245"/>
      <c r="AN185" s="245" t="s">
        <v>253</v>
      </c>
      <c r="AO185" s="245"/>
      <c r="AP185" s="245"/>
      <c r="AQ185" s="345" t="s">
        <v>313</v>
      </c>
    </row>
    <row r="186" ht="14.5" spans="1:60">
      <c r="B186" s="316" t="s">
        <v>481</v>
      </c>
      <c r="C186" s="316" t="s">
        <v>461</v>
      </c>
      <c r="D186" s="316" t="s">
        <v>369</v>
      </c>
      <c r="E186" s="245">
        <v>1</v>
      </c>
      <c r="F186" s="171">
        <v>0</v>
      </c>
      <c r="G186" s="171">
        <v>1</v>
      </c>
      <c r="Y186"/>
      <c r="Z186" s="340"/>
      <c r="AA186" s="340" t="s">
        <v>475</v>
      </c>
      <c r="AB186" s="340"/>
      <c r="AC186" s="341" t="s">
        <v>451</v>
      </c>
      <c r="AD186" s="341" t="s">
        <v>452</v>
      </c>
      <c r="AE186" s="340" t="s">
        <v>251</v>
      </c>
      <c r="AF186" s="340"/>
      <c r="AG186" s="340"/>
      <c r="AJ186"/>
      <c r="AK186"/>
      <c r="AL186"/>
      <c r="AM186"/>
      <c r="AN186"/>
      <c r="AO186"/>
      <c r="AP186"/>
      <c r="AQ186"/>
    </row>
    <row r="187" ht="14.5" spans="1:60">
      <c r="B187" s="316" t="s">
        <v>482</v>
      </c>
      <c r="C187" s="316" t="s">
        <v>462</v>
      </c>
      <c r="D187" s="316" t="s">
        <v>370</v>
      </c>
      <c r="E187" s="245">
        <v>1</v>
      </c>
      <c r="F187" s="171">
        <v>0</v>
      </c>
      <c r="G187" s="171">
        <v>1</v>
      </c>
      <c r="Y187"/>
      <c r="Z187" s="340"/>
      <c r="AA187" s="340" t="s">
        <v>476</v>
      </c>
      <c r="AB187" s="340"/>
      <c r="AC187" s="341" t="s">
        <v>451</v>
      </c>
      <c r="AD187" s="341" t="s">
        <v>452</v>
      </c>
      <c r="AE187" s="340" t="s">
        <v>251</v>
      </c>
      <c r="AF187" s="340"/>
      <c r="AG187" s="340"/>
      <c r="AJ187"/>
      <c r="AK187"/>
      <c r="AL187"/>
      <c r="AM187"/>
      <c r="AN187"/>
      <c r="AO187"/>
      <c r="AP187"/>
      <c r="AQ187"/>
    </row>
    <row r="188" ht="14.5" spans="1:60">
      <c r="Y188"/>
      <c r="Z188" s="340"/>
      <c r="AA188" s="340" t="s">
        <v>477</v>
      </c>
      <c r="AB188" s="340"/>
      <c r="AC188" s="341" t="s">
        <v>451</v>
      </c>
      <c r="AD188" s="341" t="s">
        <v>452</v>
      </c>
      <c r="AE188" s="340" t="s">
        <v>251</v>
      </c>
      <c r="AF188" s="340"/>
      <c r="AG188" s="340"/>
      <c r="AH188" s="192"/>
      <c r="AJ188"/>
      <c r="AK188"/>
      <c r="AL188"/>
      <c r="AM188"/>
      <c r="AN188"/>
      <c r="AO188"/>
      <c r="AP188"/>
      <c r="AQ188"/>
    </row>
    <row r="189" ht="14.5" spans="1:60">
      <c r="Y189"/>
      <c r="Z189" s="340"/>
      <c r="AA189" s="340" t="s">
        <v>478</v>
      </c>
      <c r="AB189" s="340"/>
      <c r="AC189" s="341" t="s">
        <v>451</v>
      </c>
      <c r="AD189" s="341" t="s">
        <v>452</v>
      </c>
      <c r="AE189" s="340" t="s">
        <v>251</v>
      </c>
      <c r="AF189" s="340"/>
      <c r="AG189" s="340"/>
      <c r="AJ189"/>
      <c r="AK189"/>
      <c r="AL189"/>
      <c r="AM189"/>
      <c r="AN189"/>
      <c r="AO189"/>
      <c r="AP189"/>
      <c r="AQ189"/>
    </row>
    <row r="190" ht="27.5" spans="1:60">
      <c r="A190" s="247"/>
      <c r="Y190"/>
      <c r="Z190" s="340"/>
      <c r="AA190" s="340" t="s">
        <v>479</v>
      </c>
      <c r="AB190" s="340"/>
      <c r="AC190" s="341" t="s">
        <v>451</v>
      </c>
      <c r="AD190" s="341" t="s">
        <v>452</v>
      </c>
      <c r="AE190" s="340" t="s">
        <v>251</v>
      </c>
      <c r="AF190" s="340"/>
      <c r="AG190" s="341"/>
      <c r="AJ190"/>
      <c r="AK190"/>
      <c r="AL190"/>
      <c r="AM190"/>
      <c r="AN190"/>
      <c r="AO190"/>
      <c r="AP190"/>
      <c r="AQ190"/>
    </row>
    <row r="191" ht="14.5" spans="1:60">
      <c r="Y191"/>
      <c r="Z191" s="340"/>
      <c r="AA191" s="340" t="s">
        <v>480</v>
      </c>
      <c r="AB191" s="340"/>
      <c r="AC191" s="341" t="s">
        <v>451</v>
      </c>
      <c r="AD191" s="341" t="s">
        <v>452</v>
      </c>
      <c r="AE191" s="340" t="s">
        <v>251</v>
      </c>
      <c r="AF191" s="340"/>
      <c r="AG191" s="340"/>
      <c r="AJ191"/>
      <c r="AK191"/>
      <c r="AL191"/>
      <c r="AM191"/>
      <c r="AN191"/>
      <c r="AO191"/>
      <c r="AP191"/>
      <c r="AQ191"/>
    </row>
    <row r="192" ht="14.5" spans="1:60">
      <c r="X192" s="192"/>
      <c r="Y192"/>
      <c r="Z192" s="340"/>
      <c r="AA192" s="340" t="s">
        <v>481</v>
      </c>
      <c r="AB192" s="340"/>
      <c r="AC192" s="341" t="s">
        <v>451</v>
      </c>
      <c r="AD192" s="341" t="s">
        <v>452</v>
      </c>
      <c r="AE192" s="340" t="s">
        <v>251</v>
      </c>
      <c r="AF192" s="340"/>
      <c r="AG192" s="340"/>
      <c r="AJ192"/>
      <c r="AK192"/>
      <c r="AL192"/>
      <c r="AM192"/>
      <c r="AN192"/>
      <c r="AO192"/>
      <c r="AP192"/>
      <c r="AQ192"/>
      <c r="AR192" s="192"/>
      <c r="BB192" s="192"/>
    </row>
    <row r="193" ht="14.5" spans="1:53">
      <c r="Z193" s="340"/>
      <c r="AA193" s="340" t="s">
        <v>482</v>
      </c>
      <c r="AB193" s="340"/>
      <c r="AC193" s="341" t="s">
        <v>451</v>
      </c>
      <c r="AD193" s="341" t="s">
        <v>452</v>
      </c>
      <c r="AE193" s="340" t="s">
        <v>251</v>
      </c>
      <c r="AF193" s="340"/>
      <c r="AG193" s="340"/>
    </row>
    <row r="194" ht="23" spans="1:53">
      <c r="A194" s="248"/>
      <c r="W194" s="192"/>
      <c r="Z194" s="340"/>
      <c r="AA194" s="340"/>
      <c r="AB194" s="340"/>
      <c r="AC194" s="341"/>
      <c r="AD194" s="341"/>
      <c r="AE194" s="340"/>
      <c r="AF194" s="340"/>
      <c r="AG194" s="340"/>
      <c r="BA194" s="192"/>
    </row>
    <row r="195" ht="14.5" spans="1:53">
      <c r="Z195" s="340"/>
      <c r="AA195" s="340"/>
      <c r="AB195" s="340"/>
      <c r="AC195" s="341"/>
      <c r="AD195" s="341"/>
      <c r="AE195" s="340"/>
      <c r="AF195" s="340"/>
      <c r="AG195" s="340"/>
    </row>
    <row r="196" ht="14.5" spans="1:53">
      <c r="Z196" s="340"/>
      <c r="AA196" s="340"/>
      <c r="AB196" s="340"/>
      <c r="AC196" s="341"/>
      <c r="AD196" s="341"/>
      <c r="AE196" s="340"/>
      <c r="AF196" s="340"/>
      <c r="AG196" s="340"/>
    </row>
    <row r="197" ht="14.5" spans="1:53">
      <c r="Z197" s="340"/>
      <c r="AA197" s="340"/>
      <c r="AB197" s="340"/>
      <c r="AC197" s="341"/>
      <c r="AD197" s="341"/>
      <c r="AE197" s="340"/>
      <c r="AF197" s="340"/>
      <c r="AG197" s="340"/>
    </row>
    <row r="198" ht="14.5" spans="1:53">
      <c r="Z198" s="340"/>
      <c r="AA198" s="340"/>
      <c r="AB198" s="340"/>
      <c r="AC198" s="341"/>
      <c r="AD198" s="341"/>
      <c r="AE198" s="340"/>
      <c r="AF198" s="340"/>
      <c r="AG198" s="340"/>
    </row>
    <row r="199" ht="14.5" spans="1:53">
      <c r="Z199" s="340"/>
      <c r="AA199" s="340"/>
      <c r="AB199" s="340"/>
      <c r="AC199" s="341"/>
      <c r="AD199" s="341"/>
      <c r="AE199" s="340"/>
      <c r="AF199" s="340"/>
      <c r="AG199" s="340"/>
    </row>
    <row r="200" ht="14.5" spans="1:53">
      <c r="Z200" s="340"/>
      <c r="AA200" s="340"/>
      <c r="AB200" s="340"/>
      <c r="AC200" s="341"/>
      <c r="AD200" s="341"/>
      <c r="AE200" s="340"/>
      <c r="AF200" s="340"/>
      <c r="AG200" s="340"/>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6"/>
      <c r="AU212" s="346"/>
      <c r="AV212" s="245"/>
      <c r="AW212" s="245"/>
      <c r="AX212" s="245"/>
      <c r="AY212" s="245"/>
      <c r="AZ212" s="245"/>
      <c r="BA212" s="245"/>
      <c r="BB212" s="340"/>
      <c r="BC212" s="245" t="s">
        <v>486</v>
      </c>
      <c r="BD212" s="346"/>
      <c r="BE212" s="346"/>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7"/>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40"/>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8" t="str">
        <f>B214</f>
        <v>process</v>
      </c>
      <c r="AB214" s="346" t="s">
        <v>194</v>
      </c>
      <c r="AC214" s="346" t="s">
        <v>76</v>
      </c>
      <c r="AD214" s="349"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40"/>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50">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40"/>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50">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40"/>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50">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40"/>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50">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40"/>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50">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40"/>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50">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40"/>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50">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40"/>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50">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40"/>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50">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40"/>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50">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40"/>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50">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40"/>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50">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40"/>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50">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40"/>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50">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40"/>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50">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40"/>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50">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51"/>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50">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51"/>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50">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51"/>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50">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51"/>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50">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51"/>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52" t="str">
        <f t="shared" si="51"/>
        <v>DirRecy-NMC811</v>
      </c>
      <c r="AB235" s="352" t="s">
        <v>381</v>
      </c>
      <c r="AC235" s="345" t="s">
        <v>499</v>
      </c>
      <c r="AD235" s="353">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4">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tabSelected="1" zoomScale="61" zoomScaleNormal="61" workbookViewId="0">
      <selection activeCell="P36" sqref="P36"/>
    </sheetView>
  </sheetViews>
  <sheetFormatPr defaultColWidth="8.72727272727273" defaultRowHeight="14.5"/>
  <cols>
    <col min="9" max="9" width="13.6363636363636" customWidth="1"/>
  </cols>
  <sheetData>
    <row r="6" spans="6:20">
      <c r="F6" s="285"/>
      <c r="G6" s="285"/>
      <c r="H6" s="285"/>
      <c r="I6" s="286" t="s">
        <v>199</v>
      </c>
      <c r="J6" s="285"/>
      <c r="K6" s="171"/>
      <c r="L6" s="171"/>
      <c r="M6" s="171"/>
      <c r="N6" s="171" t="s">
        <v>72</v>
      </c>
      <c r="O6" s="171"/>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2026-08-21T23:27:08Z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