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<sst xmlns="http://schemas.openxmlformats.org/spreadsheetml/2006/main" count="7753" uniqueCount="752">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</sst>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imes New Roman"/>
      <charset val="0"/>
    </font>
    <font>
      <b/>
      <sz val="9"/>
      <name val="Times New Roman"/>
      <charset val="134"/>
    </font>
    <font>
      <sz val="9"/>
      <name val="Times New Roman"/>
      <charset val="0"/>
    </font>
    <font>
      <sz val="9"/>
      <name val="Times New Roman"/>
      <charset val="134"/>
    </font>
    <font>
      <b/>
      <sz val="9"/>
      <name val="Tahoma"/>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58" zoomScaleNormal="58" topLeftCell="AU43"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85" zoomScaleNormal="85" topLeftCell="N1" workbookViewId="0">
      <selection activeCell="S33" sqref="S33"/>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77" t="s">
        <v>222</v>
      </c>
      <c r="W21" s="219"/>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AA22" s="202"/>
      <c r="AE22" s="171" t="s">
        <v>324</v>
      </c>
      <c r="AI22" s="171" t="s">
        <v>253</v>
      </c>
      <c r="AL22" s="171" t="s">
        <v>313</v>
      </c>
    </row>
    <row r="23" ht="14.5" spans="1:38">
      <c r="A23" s="294" t="s">
        <v>213</v>
      </c>
      <c r="B23" s="164" t="s">
        <v>325</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326</v>
      </c>
      <c r="AB23" s="159"/>
      <c r="AE23" s="171" t="s">
        <v>327</v>
      </c>
      <c r="AI23" s="171" t="s">
        <v>253</v>
      </c>
      <c r="AL23" s="171" t="s">
        <v>313</v>
      </c>
    </row>
    <row r="24" ht="14.5" spans="1:38">
      <c r="A24" s="294"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326</v>
      </c>
      <c r="AB24" s="159"/>
      <c r="AE24" s="171" t="s">
        <v>329</v>
      </c>
      <c r="AI24" s="171" t="s">
        <v>253</v>
      </c>
      <c r="AL24" s="171" t="s">
        <v>313</v>
      </c>
    </row>
    <row r="25" ht="14.5" spans="1:38">
      <c r="A25" s="294"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326</v>
      </c>
      <c r="AB25" s="159"/>
      <c r="AE25" s="171" t="s">
        <v>331</v>
      </c>
      <c r="AI25" s="171" t="s">
        <v>253</v>
      </c>
      <c r="AL25" s="171" t="s">
        <v>313</v>
      </c>
    </row>
    <row r="26" ht="14.5" spans="1:38">
      <c r="A26" s="294"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326</v>
      </c>
      <c r="AB26" s="207"/>
      <c r="AE26" s="171" t="s">
        <v>171</v>
      </c>
      <c r="AL26" s="171" t="s">
        <v>313</v>
      </c>
    </row>
    <row r="27" ht="14.5" spans="1:38">
      <c r="A27" s="294"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326</v>
      </c>
      <c r="AB27" s="207"/>
      <c r="AE27" s="171" t="s">
        <v>172</v>
      </c>
      <c r="AL27" s="171" t="s">
        <v>313</v>
      </c>
    </row>
    <row r="28" ht="14.5" spans="1:38">
      <c r="A28" s="294"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326</v>
      </c>
      <c r="AB28" s="159"/>
      <c r="AE28" s="171" t="s">
        <v>173</v>
      </c>
      <c r="AL28" s="171" t="s">
        <v>313</v>
      </c>
    </row>
    <row r="29" s="164" customFormat="1" ht="14.5" spans="1:38">
      <c r="A29" s="295" t="s">
        <v>213</v>
      </c>
      <c r="B29" s="208" t="s">
        <v>335</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2021</v>
      </c>
      <c r="U29" s="297"/>
      <c r="V29" s="206" t="str">
        <f t="shared" si="3"/>
        <v>MINBatMaterials_GR</v>
      </c>
      <c r="W29" s="206" t="str">
        <f t="shared" si="2"/>
        <v>m_graphite</v>
      </c>
      <c r="X29" s="206">
        <v>1</v>
      </c>
      <c r="Y29" s="206"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336</v>
      </c>
      <c r="O34" s="210">
        <v>0.6</v>
      </c>
      <c r="V34" s="209" t="str">
        <f t="shared" ref="V34:V39" si="4">"Tra_bat_recy_"&amp;N34</f>
        <v>Tra_bat_recy_lithium</v>
      </c>
      <c r="W34" s="209" t="s">
        <v>337</v>
      </c>
      <c r="X34" s="209" t="s">
        <v>185</v>
      </c>
      <c r="Y34" s="209">
        <f t="shared" ref="Y34:Y39" si="5">O34</f>
        <v>0.6</v>
      </c>
    </row>
    <row r="35" spans="3:38">
      <c r="N35" s="210" t="s">
        <v>338</v>
      </c>
      <c r="O35" s="210">
        <v>0.56</v>
      </c>
      <c r="V35" s="209" t="str">
        <f t="shared" si="4"/>
        <v>Tra_bat_recy_nickel</v>
      </c>
      <c r="W35" s="209" t="s">
        <v>339</v>
      </c>
      <c r="X35" s="209" t="s">
        <v>186</v>
      </c>
      <c r="Y35" s="209">
        <f t="shared" si="5"/>
        <v>0.56</v>
      </c>
    </row>
    <row r="36" spans="3:38">
      <c r="N36" s="210" t="s">
        <v>340</v>
      </c>
      <c r="O36" s="210">
        <v>0.65</v>
      </c>
      <c r="V36" s="209" t="str">
        <f t="shared" si="4"/>
        <v>Tra_bat_recy_cobalt</v>
      </c>
      <c r="W36" s="209" t="s">
        <v>341</v>
      </c>
      <c r="X36" s="209" t="s">
        <v>187</v>
      </c>
      <c r="Y36" s="209">
        <f t="shared" si="5"/>
        <v>0.65</v>
      </c>
    </row>
    <row r="37" ht="14.5" spans="3:38">
      <c r="D37" s="299">
        <v>1</v>
      </c>
      <c r="G37" s="171" t="s">
        <v>342</v>
      </c>
      <c r="H37" s="171" t="s">
        <v>343</v>
      </c>
      <c r="I37" s="171" t="s">
        <v>344</v>
      </c>
      <c r="J37" s="171" t="s">
        <v>345</v>
      </c>
      <c r="K37" s="171" t="s">
        <v>346</v>
      </c>
      <c r="L37" s="171" t="s">
        <v>347</v>
      </c>
      <c r="M37" s="171" t="s">
        <v>348</v>
      </c>
      <c r="N37" s="210" t="s">
        <v>349</v>
      </c>
      <c r="O37" s="210">
        <v>0.61</v>
      </c>
      <c r="V37" s="209" t="str">
        <f t="shared" si="4"/>
        <v>Tra_bat_recy_manganese</v>
      </c>
      <c r="W37" s="209" t="s">
        <v>350</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351</v>
      </c>
      <c r="O38" s="210">
        <v>0.52</v>
      </c>
      <c r="V38" s="209" t="str">
        <f t="shared" si="4"/>
        <v>Tra_bat_recy_aluminum</v>
      </c>
      <c r="W38" s="209" t="s">
        <v>352</v>
      </c>
      <c r="X38" s="209" t="s">
        <v>189</v>
      </c>
      <c r="Y38" s="209">
        <f t="shared" si="5"/>
        <v>0.52</v>
      </c>
      <c r="AD38" s="171" t="s">
        <v>353</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354</v>
      </c>
      <c r="O39" s="210">
        <v>0.55</v>
      </c>
      <c r="V39" s="209" t="str">
        <f t="shared" si="4"/>
        <v>Tra_bat_recy_copper</v>
      </c>
      <c r="W39" s="209" t="s">
        <v>355</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9"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c r="X87" s="277"/>
      <c r="Y87" s="277"/>
      <c r="Z87" s="277"/>
    </row>
    <row r="88" spans="2:26">
      <c r="B88" s="171" t="s">
        <v>201</v>
      </c>
      <c r="C88" s="171" t="s">
        <v>257</v>
      </c>
      <c r="F88" s="305" t="s">
        <v>376</v>
      </c>
      <c r="G88" s="305" t="s">
        <v>257</v>
      </c>
      <c r="J88" s="305" t="s">
        <v>257</v>
      </c>
      <c r="K88" s="305" t="s">
        <v>376</v>
      </c>
      <c r="L88" s="171" t="s">
        <v>377</v>
      </c>
      <c r="M88" s="171" t="s">
        <v>201</v>
      </c>
      <c r="N88" s="277" t="s">
        <v>378</v>
      </c>
      <c r="P88" s="202"/>
      <c r="V88" s="277" t="s">
        <v>257</v>
      </c>
      <c r="W88" s="277" t="s">
        <v>322</v>
      </c>
      <c r="X88" s="277" t="s">
        <v>379</v>
      </c>
      <c r="Y88" s="277" t="s">
        <v>380</v>
      </c>
      <c r="Z88" s="277" t="s">
        <v>193</v>
      </c>
    </row>
    <row r="89" ht="14.5" spans="2:26">
      <c r="B89" s="302">
        <v>2030</v>
      </c>
      <c r="C89" s="306" t="s">
        <v>381</v>
      </c>
      <c r="F89" s="305">
        <v>3</v>
      </c>
      <c r="G89" s="307" t="s">
        <v>381</v>
      </c>
      <c r="J89" s="308" t="s">
        <v>297</v>
      </c>
      <c r="K89" s="308">
        <v>15.7</v>
      </c>
      <c r="L89" s="171">
        <v>30</v>
      </c>
      <c r="M89" s="171">
        <v>2021</v>
      </c>
      <c r="N89" s="277">
        <v>1.2</v>
      </c>
      <c r="P89" s="309" t="s">
        <v>382</v>
      </c>
      <c r="V89" s="289" t="s">
        <v>297</v>
      </c>
      <c r="W89" s="289" t="s">
        <v>185</v>
      </c>
      <c r="X89" s="310">
        <v>7.5</v>
      </c>
      <c r="Y89" s="310">
        <v>35</v>
      </c>
      <c r="Z89" s="289" t="s">
        <v>326</v>
      </c>
    </row>
    <row r="90" ht="14.5" spans="2:26">
      <c r="B90" s="302">
        <v>2030</v>
      </c>
      <c r="C90" s="306" t="s">
        <v>383</v>
      </c>
      <c r="F90" s="305">
        <v>3</v>
      </c>
      <c r="G90" s="307" t="s">
        <v>383</v>
      </c>
      <c r="J90" s="308" t="s">
        <v>300</v>
      </c>
      <c r="K90" s="308">
        <v>15.7</v>
      </c>
      <c r="L90" s="171">
        <v>30</v>
      </c>
      <c r="M90" s="171">
        <v>2021</v>
      </c>
      <c r="N90" s="277">
        <v>1.2</v>
      </c>
      <c r="P90" s="297"/>
      <c r="V90" s="289" t="s">
        <v>300</v>
      </c>
      <c r="W90" s="289" t="s">
        <v>186</v>
      </c>
      <c r="X90" s="310">
        <v>10</v>
      </c>
      <c r="Y90" s="310">
        <v>50</v>
      </c>
      <c r="Z90" s="289" t="s">
        <v>326</v>
      </c>
    </row>
    <row r="91" ht="14.5" spans="2:26">
      <c r="B91" s="302">
        <v>2030</v>
      </c>
      <c r="C91" s="306" t="s">
        <v>384</v>
      </c>
      <c r="F91" s="305">
        <v>3</v>
      </c>
      <c r="G91" s="307" t="s">
        <v>384</v>
      </c>
      <c r="J91" s="308" t="s">
        <v>302</v>
      </c>
      <c r="K91" s="308">
        <v>15.7</v>
      </c>
      <c r="L91" s="171">
        <v>30</v>
      </c>
      <c r="M91" s="171">
        <v>2021</v>
      </c>
      <c r="N91" s="277">
        <v>1.2</v>
      </c>
      <c r="P91" s="297"/>
      <c r="V91" s="289" t="s">
        <v>302</v>
      </c>
      <c r="W91" s="289" t="s">
        <v>187</v>
      </c>
      <c r="X91" s="310">
        <v>18</v>
      </c>
      <c r="Y91" s="310">
        <v>80</v>
      </c>
      <c r="Z91" s="289" t="s">
        <v>326</v>
      </c>
    </row>
    <row r="92" ht="14.5" spans="2:26">
      <c r="B92" s="302">
        <v>2030</v>
      </c>
      <c r="C92" s="306" t="s">
        <v>385</v>
      </c>
      <c r="F92" s="305">
        <v>3</v>
      </c>
      <c r="G92" s="307" t="s">
        <v>385</v>
      </c>
      <c r="J92" s="308" t="s">
        <v>305</v>
      </c>
      <c r="K92" s="308">
        <v>15.7</v>
      </c>
      <c r="L92" s="171">
        <v>30</v>
      </c>
      <c r="M92" s="171">
        <v>2021</v>
      </c>
      <c r="N92" s="277">
        <v>1.2</v>
      </c>
      <c r="P92" s="297"/>
      <c r="V92" s="289" t="s">
        <v>305</v>
      </c>
      <c r="W92" s="289" t="s">
        <v>188</v>
      </c>
      <c r="X92" s="310">
        <v>1.2</v>
      </c>
      <c r="Y92" s="310">
        <v>8</v>
      </c>
      <c r="Z92" s="289" t="s">
        <v>326</v>
      </c>
    </row>
    <row r="93" ht="14.5" spans="2:26">
      <c r="B93" s="302">
        <v>2030</v>
      </c>
      <c r="C93" s="306" t="s">
        <v>386</v>
      </c>
      <c r="F93" s="305">
        <v>3</v>
      </c>
      <c r="G93" s="307" t="s">
        <v>386</v>
      </c>
      <c r="J93" s="308" t="s">
        <v>307</v>
      </c>
      <c r="K93" s="308">
        <v>15.7</v>
      </c>
      <c r="L93" s="171">
        <v>30</v>
      </c>
      <c r="M93" s="171">
        <v>2021</v>
      </c>
      <c r="N93" s="277">
        <v>1.2</v>
      </c>
      <c r="P93" s="297" t="s">
        <v>387</v>
      </c>
      <c r="V93" s="289" t="s">
        <v>307</v>
      </c>
      <c r="W93" s="289" t="s">
        <v>189</v>
      </c>
      <c r="X93" s="310">
        <v>1.5</v>
      </c>
      <c r="Y93" s="310">
        <v>10</v>
      </c>
      <c r="Z93" s="289" t="s">
        <v>326</v>
      </c>
    </row>
    <row r="94" ht="14.5" spans="2:26">
      <c r="B94" s="302">
        <v>2030</v>
      </c>
      <c r="C94" s="306" t="s">
        <v>388</v>
      </c>
      <c r="F94" s="305">
        <v>3</v>
      </c>
      <c r="G94" s="307" t="s">
        <v>388</v>
      </c>
      <c r="J94" s="308" t="s">
        <v>309</v>
      </c>
      <c r="K94" s="308">
        <v>15.7</v>
      </c>
      <c r="L94" s="171">
        <v>30</v>
      </c>
      <c r="M94" s="171">
        <v>2021</v>
      </c>
      <c r="N94" s="277">
        <v>1.2</v>
      </c>
      <c r="P94" s="297"/>
      <c r="V94" s="289" t="s">
        <v>309</v>
      </c>
      <c r="W94" s="289" t="s">
        <v>190</v>
      </c>
      <c r="X94" s="310">
        <v>2.5</v>
      </c>
      <c r="Y94" s="310">
        <v>12</v>
      </c>
      <c r="Z94" s="289" t="s">
        <v>326</v>
      </c>
    </row>
    <row r="95" ht="14.5" spans="2:26">
      <c r="B95" s="302">
        <v>2030</v>
      </c>
      <c r="C95" s="306" t="s">
        <v>389</v>
      </c>
      <c r="F95" s="305">
        <v>3</v>
      </c>
      <c r="G95" s="307" t="s">
        <v>389</v>
      </c>
      <c r="J95" s="308" t="s">
        <v>311</v>
      </c>
      <c r="K95" s="308">
        <v>15.7</v>
      </c>
      <c r="L95" s="171">
        <v>30</v>
      </c>
      <c r="M95" s="171">
        <v>2021</v>
      </c>
      <c r="N95" s="277">
        <v>1.2</v>
      </c>
      <c r="P95" s="297"/>
      <c r="V95" s="289" t="s">
        <v>311</v>
      </c>
      <c r="W95" s="289" t="s">
        <v>191</v>
      </c>
      <c r="X95" s="310">
        <v>0.8</v>
      </c>
      <c r="Y95" s="310">
        <v>18</v>
      </c>
      <c r="Z95" s="289"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404</v>
      </c>
      <c r="AB124" s="216"/>
      <c r="AC124" s="216"/>
      <c r="AD124" s="216"/>
      <c r="AE124" s="216"/>
      <c r="AF124" s="216"/>
    </row>
    <row r="125" ht="14.5" spans="1:46">
      <c r="B125"/>
      <c r="C125"/>
      <c r="D125"/>
    </row>
    <row r="126" ht="21" spans="1:46">
      <c r="B126" s="217"/>
      <c r="C126" s="218" t="s">
        <v>405</v>
      </c>
      <c r="D126" s="219"/>
      <c r="E126" s="219"/>
      <c r="F126" s="219"/>
      <c r="H126" s="209"/>
      <c r="I126" s="220"/>
      <c r="J126" s="221" t="s">
        <v>406</v>
      </c>
      <c r="K126" s="221"/>
      <c r="L126" s="221"/>
      <c r="M126" s="221"/>
      <c r="N126" s="221"/>
      <c r="O126" s="221"/>
      <c r="P126" s="221"/>
      <c r="Q126" s="221"/>
      <c r="R126" s="221"/>
      <c r="S126" s="209"/>
      <c r="T126" s="209"/>
      <c r="U126" s="209"/>
    </row>
    <row r="127" ht="14.5" spans="1:46">
      <c r="B127" s="217"/>
      <c r="C127" s="222" t="s">
        <v>407</v>
      </c>
      <c r="D127" s="219"/>
      <c r="E127" s="219"/>
      <c r="F127" s="219"/>
      <c r="H127" s="223" t="s">
        <v>408</v>
      </c>
      <c r="I127" s="224" t="s">
        <v>409</v>
      </c>
      <c r="J127" s="224" t="s">
        <v>410</v>
      </c>
      <c r="K127" s="224" t="s">
        <v>411</v>
      </c>
      <c r="L127" s="224" t="s">
        <v>412</v>
      </c>
      <c r="M127" s="225" t="s">
        <v>410</v>
      </c>
      <c r="N127" s="225" t="s">
        <v>411</v>
      </c>
      <c r="O127" s="225" t="s">
        <v>412</v>
      </c>
      <c r="P127" s="224" t="s">
        <v>410</v>
      </c>
      <c r="Q127" s="224" t="s">
        <v>411</v>
      </c>
      <c r="R127" s="224" t="s">
        <v>412</v>
      </c>
      <c r="S127" s="209"/>
      <c r="T127" s="226" t="s">
        <v>413</v>
      </c>
      <c r="U127" s="209"/>
      <c r="AA127" s="219"/>
      <c r="AB127" s="219"/>
      <c r="AC127" s="219" t="s">
        <v>407</v>
      </c>
      <c r="AD127" s="219"/>
      <c r="AE127" s="219"/>
      <c r="AF127" s="219"/>
      <c r="AI127" s="219"/>
      <c r="AJ127" s="219"/>
      <c r="AK127" s="219" t="s">
        <v>407</v>
      </c>
      <c r="AL127" s="219"/>
      <c r="AM127" s="219"/>
      <c r="AN127" s="219"/>
      <c r="AQ127" s="245" t="s">
        <v>407</v>
      </c>
      <c r="AR127" s="316"/>
      <c r="AS127" s="316"/>
      <c r="AT127" s="316"/>
    </row>
    <row r="128" ht="20" spans="1:46">
      <c r="A128" s="227"/>
      <c r="B128" s="219"/>
      <c r="C128" s="219"/>
      <c r="D128" s="222"/>
      <c r="E128" s="222"/>
      <c r="F128" s="222"/>
      <c r="H128" s="209" t="s">
        <v>414</v>
      </c>
      <c r="I128" s="224" t="s">
        <v>415</v>
      </c>
      <c r="J128" s="228" t="s">
        <v>416</v>
      </c>
      <c r="K128" s="229"/>
      <c r="L128" s="230"/>
      <c r="M128" s="231" t="s">
        <v>417</v>
      </c>
      <c r="N128" s="232"/>
      <c r="O128" s="233"/>
      <c r="P128" s="228" t="s">
        <v>418</v>
      </c>
      <c r="Q128" s="229"/>
      <c r="R128" s="230"/>
      <c r="S128" s="209"/>
      <c r="T128" s="209" t="s">
        <v>417</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419</v>
      </c>
      <c r="C129" s="222" t="s">
        <v>257</v>
      </c>
      <c r="D129" s="222" t="s">
        <v>420</v>
      </c>
      <c r="E129" s="222" t="s">
        <v>421</v>
      </c>
      <c r="F129" s="222" t="s">
        <v>422</v>
      </c>
      <c r="H129" s="209"/>
      <c r="I129" s="224" t="s">
        <v>423</v>
      </c>
      <c r="J129" s="228" t="s">
        <v>424</v>
      </c>
      <c r="K129" s="229"/>
      <c r="L129" s="230"/>
      <c r="M129" s="231" t="s">
        <v>424</v>
      </c>
      <c r="N129" s="232"/>
      <c r="O129" s="233"/>
      <c r="P129" s="228" t="s">
        <v>424</v>
      </c>
      <c r="Q129" s="229"/>
      <c r="R129" s="230"/>
      <c r="S129" s="209"/>
      <c r="T129" s="209" t="s">
        <v>424</v>
      </c>
      <c r="U129" s="209"/>
      <c r="AA129" s="219" t="s">
        <v>419</v>
      </c>
      <c r="AB129" s="219" t="s">
        <v>425</v>
      </c>
      <c r="AC129" s="219" t="s">
        <v>257</v>
      </c>
      <c r="AD129" s="219" t="s">
        <v>420</v>
      </c>
      <c r="AE129" s="219" t="s">
        <v>421</v>
      </c>
      <c r="AF129" s="219" t="s">
        <v>422</v>
      </c>
      <c r="AI129" s="219" t="s">
        <v>419</v>
      </c>
      <c r="AJ129" s="219" t="s">
        <v>425</v>
      </c>
      <c r="AK129" s="219" t="s">
        <v>257</v>
      </c>
      <c r="AL129" s="219" t="s">
        <v>420</v>
      </c>
      <c r="AM129" s="219" t="s">
        <v>421</v>
      </c>
      <c r="AN129" s="219" t="s">
        <v>422</v>
      </c>
      <c r="AQ129" s="316" t="s">
        <v>208</v>
      </c>
      <c r="AR129" s="316">
        <v>30</v>
      </c>
      <c r="AS129" s="316">
        <f>AR129*64%</f>
        <v>19.2</v>
      </c>
      <c r="AT129" s="316">
        <v>3</v>
      </c>
    </row>
    <row r="130" ht="13" spans="1:46">
      <c r="B130" s="219" t="s">
        <v>365</v>
      </c>
      <c r="C130" s="219"/>
      <c r="D130" s="219"/>
      <c r="E130" s="219"/>
      <c r="F130" s="219"/>
      <c r="H130" s="209">
        <v>0.2</v>
      </c>
      <c r="I130" s="224" t="s">
        <v>426</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365</v>
      </c>
      <c r="AB130" s="219"/>
      <c r="AC130" s="219"/>
      <c r="AD130" s="219"/>
      <c r="AE130" s="219"/>
      <c r="AF130" s="219"/>
      <c r="AI130" s="219" t="s">
        <v>365</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427</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428</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427</v>
      </c>
      <c r="AD131" s="219">
        <f>D131*0.313</f>
        <v>25.1599342966667</v>
      </c>
      <c r="AE131" s="219">
        <f>E131*0.313</f>
        <v>17.36734649</v>
      </c>
      <c r="AF131" s="219">
        <f>F131*0.313</f>
        <v>33.43624065</v>
      </c>
      <c r="AI131" s="219" t="s">
        <v>195</v>
      </c>
      <c r="AJ131" s="219">
        <v>0</v>
      </c>
      <c r="AK131" s="219" t="s">
        <v>427</v>
      </c>
      <c r="AL131" s="219">
        <v>5</v>
      </c>
      <c r="AM131" s="219">
        <v>5</v>
      </c>
      <c r="AN131" s="219">
        <v>5</v>
      </c>
      <c r="AQ131" s="316" t="s">
        <v>214</v>
      </c>
      <c r="AR131" s="316">
        <v>30</v>
      </c>
      <c r="AS131" s="316">
        <f t="shared" si="15"/>
        <v>19.2</v>
      </c>
      <c r="AT131" s="316">
        <v>3</v>
      </c>
    </row>
    <row r="132" ht="13" spans="1:46">
      <c r="B132" s="219" t="s">
        <v>195</v>
      </c>
      <c r="C132" s="222" t="s">
        <v>429</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430</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429</v>
      </c>
      <c r="AD132" s="219">
        <f t="shared" ref="AD132:AD144" si="18">D132*0.313</f>
        <v>29.8628918</v>
      </c>
      <c r="AE132" s="219">
        <f t="shared" ref="AE132:AE144" si="19">E132*0.313</f>
        <v>20.75992845</v>
      </c>
      <c r="AF132" s="219">
        <f t="shared" ref="AF132:AF144" si="20">F132*0.313</f>
        <v>39.52049115</v>
      </c>
      <c r="AI132" s="219" t="s">
        <v>195</v>
      </c>
      <c r="AJ132" s="219">
        <v>0</v>
      </c>
      <c r="AK132" s="219" t="s">
        <v>429</v>
      </c>
      <c r="AL132" s="219">
        <v>5</v>
      </c>
      <c r="AM132" s="219">
        <v>5</v>
      </c>
      <c r="AN132" s="219">
        <v>5</v>
      </c>
      <c r="AQ132" s="316" t="s">
        <v>215</v>
      </c>
      <c r="AR132" s="316">
        <v>30</v>
      </c>
      <c r="AS132" s="316">
        <f t="shared" si="15"/>
        <v>19.2</v>
      </c>
      <c r="AT132" s="316">
        <v>3</v>
      </c>
    </row>
    <row r="133" ht="13" spans="1:46">
      <c r="B133" s="219" t="s">
        <v>195</v>
      </c>
      <c r="C133" s="222" t="s">
        <v>431</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431</v>
      </c>
      <c r="AD133" s="219">
        <f t="shared" si="18"/>
        <v>26.7138290566667</v>
      </c>
      <c r="AE133" s="219">
        <f t="shared" si="19"/>
        <v>17.55976011</v>
      </c>
      <c r="AF133" s="219">
        <f t="shared" si="20"/>
        <v>36.41065148</v>
      </c>
      <c r="AI133" s="219" t="s">
        <v>195</v>
      </c>
      <c r="AJ133" s="219">
        <v>0</v>
      </c>
      <c r="AK133" s="219" t="s">
        <v>431</v>
      </c>
      <c r="AL133" s="219">
        <v>5</v>
      </c>
      <c r="AM133" s="219">
        <v>5</v>
      </c>
      <c r="AN133" s="219">
        <v>5</v>
      </c>
      <c r="AQ133" s="316" t="s">
        <v>216</v>
      </c>
      <c r="AR133" s="316">
        <v>30</v>
      </c>
      <c r="AS133" s="316">
        <f t="shared" si="15"/>
        <v>19.2</v>
      </c>
      <c r="AT133" s="316">
        <v>3</v>
      </c>
    </row>
    <row r="134" ht="30" spans="1:46">
      <c r="A134" s="238"/>
      <c r="B134" s="219" t="s">
        <v>195</v>
      </c>
      <c r="C134" s="222" t="s">
        <v>432</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432</v>
      </c>
      <c r="AD134" s="219">
        <f t="shared" si="18"/>
        <v>26.76825141</v>
      </c>
      <c r="AE134" s="219">
        <f t="shared" si="19"/>
        <v>17.39012663</v>
      </c>
      <c r="AF134" s="219">
        <f t="shared" si="20"/>
        <v>36.71624903</v>
      </c>
      <c r="AI134" s="219" t="s">
        <v>195</v>
      </c>
      <c r="AJ134" s="219">
        <v>0</v>
      </c>
      <c r="AK134" s="219" t="s">
        <v>432</v>
      </c>
      <c r="AL134" s="219">
        <v>5</v>
      </c>
      <c r="AM134" s="219">
        <v>5</v>
      </c>
      <c r="AN134" s="219">
        <v>5</v>
      </c>
      <c r="AQ134" s="316" t="s">
        <v>217</v>
      </c>
      <c r="AR134" s="316">
        <v>30</v>
      </c>
      <c r="AS134" s="316">
        <f t="shared" si="15"/>
        <v>19.2</v>
      </c>
      <c r="AT134" s="316">
        <v>3</v>
      </c>
    </row>
    <row r="135" ht="13" spans="1:46">
      <c r="B135" s="219" t="s">
        <v>195</v>
      </c>
      <c r="C135" s="222" t="s">
        <v>433</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433</v>
      </c>
      <c r="AD135" s="219">
        <f t="shared" si="18"/>
        <v>28.1990829166667</v>
      </c>
      <c r="AE135" s="219">
        <f t="shared" si="19"/>
        <v>18.5820901</v>
      </c>
      <c r="AF135" s="219">
        <f t="shared" si="20"/>
        <v>38.39541265</v>
      </c>
      <c r="AI135" s="219" t="s">
        <v>195</v>
      </c>
      <c r="AJ135" s="219">
        <v>0</v>
      </c>
      <c r="AK135" s="219" t="s">
        <v>433</v>
      </c>
      <c r="AL135" s="219">
        <v>5</v>
      </c>
      <c r="AM135" s="219">
        <v>5</v>
      </c>
      <c r="AN135" s="219">
        <v>5</v>
      </c>
      <c r="AQ135" s="316" t="s">
        <v>218</v>
      </c>
      <c r="AR135" s="316">
        <v>30</v>
      </c>
      <c r="AS135" s="316">
        <f t="shared" si="15"/>
        <v>19.2</v>
      </c>
      <c r="AT135" s="316">
        <v>3</v>
      </c>
    </row>
    <row r="136" ht="25" spans="1:46">
      <c r="A136" s="239"/>
      <c r="B136" s="219" t="s">
        <v>195</v>
      </c>
      <c r="C136" s="222" t="s">
        <v>434</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434</v>
      </c>
      <c r="AD136" s="219">
        <f t="shared" si="18"/>
        <v>27.2066538166667</v>
      </c>
      <c r="AE136" s="219">
        <f t="shared" si="19"/>
        <v>17.94665315</v>
      </c>
      <c r="AF136" s="219">
        <f t="shared" si="20"/>
        <v>37.0192299</v>
      </c>
      <c r="AI136" s="219" t="s">
        <v>195</v>
      </c>
      <c r="AJ136" s="219">
        <v>0</v>
      </c>
      <c r="AK136" s="219" t="s">
        <v>434</v>
      </c>
      <c r="AL136" s="219">
        <v>5</v>
      </c>
      <c r="AM136" s="219">
        <v>5</v>
      </c>
      <c r="AN136" s="219">
        <v>5</v>
      </c>
    </row>
    <row r="137" ht="13" spans="1:46">
      <c r="B137" s="219" t="s">
        <v>195</v>
      </c>
      <c r="C137" s="222" t="s">
        <v>435</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435</v>
      </c>
      <c r="AD137" s="219">
        <f t="shared" si="18"/>
        <v>28.0299846666667</v>
      </c>
      <c r="AE137" s="219">
        <f t="shared" si="19"/>
        <v>18.77670724</v>
      </c>
      <c r="AF137" s="219">
        <f t="shared" si="20"/>
        <v>37.83372476</v>
      </c>
      <c r="AI137" s="219" t="s">
        <v>195</v>
      </c>
      <c r="AJ137" s="219">
        <v>0</v>
      </c>
      <c r="AK137" s="219" t="s">
        <v>435</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436</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437</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427</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429</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431</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432</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433</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434</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435</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438</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5" t="s">
        <v>252</v>
      </c>
      <c r="AJ158" s="245" t="s">
        <v>369</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5"/>
      <c r="AJ159" s="245" t="s">
        <v>370</v>
      </c>
      <c r="AK159" s="245"/>
      <c r="AL159" s="245"/>
      <c r="AM159" s="245"/>
      <c r="AN159" s="245" t="s">
        <v>253</v>
      </c>
      <c r="AO159" s="245"/>
      <c r="AP159" s="245"/>
      <c r="AQ159" s="245" t="s">
        <v>313</v>
      </c>
    </row>
    <row r="160" customFormat="1" ht="14.5" spans="2:43">
      <c r="B160" s="245" t="s">
        <v>368</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5"/>
      <c r="AJ160" s="245" t="s">
        <v>371</v>
      </c>
      <c r="AK160" s="245"/>
      <c r="AL160" s="245"/>
      <c r="AM160" s="245"/>
      <c r="AN160" s="245" t="s">
        <v>253</v>
      </c>
      <c r="AO160" s="245"/>
      <c r="AP160" s="245"/>
      <c r="AQ160" s="245" t="s">
        <v>313</v>
      </c>
    </row>
    <row r="161" customFormat="1" ht="14.5" spans="2:60">
      <c r="B161" s="245" t="s">
        <v>257</v>
      </c>
      <c r="C161" s="245" t="s">
        <v>444</v>
      </c>
      <c r="D161" s="245"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5"/>
      <c r="AJ161" s="245" t="s">
        <v>372</v>
      </c>
      <c r="AK161" s="245"/>
      <c r="AL161" s="245"/>
      <c r="AM161" s="245"/>
      <c r="AN161" s="245" t="s">
        <v>253</v>
      </c>
      <c r="AO161" s="245"/>
      <c r="AP161" s="245"/>
      <c r="AQ161" s="245" t="s">
        <v>313</v>
      </c>
    </row>
    <row r="162" customFormat="1" ht="14.5" spans="2:60">
      <c r="B162" s="245" t="s">
        <v>321</v>
      </c>
      <c r="C162" s="245" t="s">
        <v>446</v>
      </c>
      <c r="D162" s="245">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5"/>
      <c r="AJ162" s="245" t="s">
        <v>373</v>
      </c>
      <c r="AK162" s="245"/>
      <c r="AL162" s="245"/>
      <c r="AM162" s="245"/>
      <c r="AN162" s="245" t="s">
        <v>253</v>
      </c>
      <c r="AO162" s="245"/>
      <c r="AP162" s="245"/>
      <c r="AQ162" s="245" t="s">
        <v>313</v>
      </c>
    </row>
    <row r="163" customFormat="1" ht="14.5" spans="2:60">
      <c r="B163" s="245" t="s">
        <v>325</v>
      </c>
      <c r="C163" s="245" t="s">
        <v>447</v>
      </c>
      <c r="D163" s="245">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5"/>
      <c r="AJ163" s="245" t="s">
        <v>374</v>
      </c>
      <c r="AK163" s="245"/>
      <c r="AL163" s="245"/>
      <c r="AM163" s="245"/>
      <c r="AN163" s="245" t="s">
        <v>253</v>
      </c>
      <c r="AO163" s="245"/>
      <c r="AP163" s="245"/>
      <c r="AQ163" s="245" t="s">
        <v>313</v>
      </c>
    </row>
    <row r="164" customFormat="1" ht="14.5" spans="2:60">
      <c r="B164" s="245" t="s">
        <v>328</v>
      </c>
      <c r="C164" s="245" t="s">
        <v>448</v>
      </c>
      <c r="D164" s="245">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5"/>
      <c r="AJ164" s="245" t="s">
        <v>375</v>
      </c>
      <c r="AK164" s="245"/>
      <c r="AL164" s="245"/>
      <c r="AM164" s="245"/>
      <c r="AN164" s="245" t="s">
        <v>253</v>
      </c>
      <c r="AO164" s="245"/>
      <c r="AP164" s="245"/>
      <c r="AQ164" s="245" t="s">
        <v>313</v>
      </c>
    </row>
    <row r="165" customFormat="1" ht="14.5" spans="2:60">
      <c r="B165" s="245" t="s">
        <v>330</v>
      </c>
      <c r="C165" s="245" t="s">
        <v>449</v>
      </c>
      <c r="D165" s="245">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5"/>
      <c r="AJ165" s="245" t="s">
        <v>446</v>
      </c>
      <c r="AK165" s="245"/>
      <c r="AL165" s="245"/>
      <c r="AM165" s="245"/>
      <c r="AN165" s="245" t="s">
        <v>253</v>
      </c>
      <c r="AO165" s="245"/>
      <c r="AP165" s="245"/>
      <c r="AQ165" s="245" t="s">
        <v>313</v>
      </c>
    </row>
    <row r="166" customFormat="1" ht="14.5" spans="2:60">
      <c r="B166" s="245" t="s">
        <v>332</v>
      </c>
      <c r="C166" s="245" t="s">
        <v>451</v>
      </c>
      <c r="D166" s="245">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5"/>
      <c r="AJ166" s="245" t="s">
        <v>447</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333</v>
      </c>
      <c r="C167" s="245" t="s">
        <v>452</v>
      </c>
      <c r="D167" s="245">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5"/>
      <c r="AJ167" s="245" t="s">
        <v>448</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334</v>
      </c>
      <c r="C168" s="245" t="s">
        <v>453</v>
      </c>
      <c r="D168" s="245">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5"/>
      <c r="AJ168" s="245" t="s">
        <v>449</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5"/>
      <c r="AJ169" s="245" t="s">
        <v>451</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5"/>
      <c r="AJ170" s="245" t="s">
        <v>452</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5"/>
      <c r="AJ171" s="245" t="s">
        <v>453</v>
      </c>
      <c r="AK171" s="245"/>
      <c r="AL171" s="245"/>
      <c r="AM171" s="245"/>
      <c r="AN171" s="245" t="s">
        <v>253</v>
      </c>
      <c r="AO171" s="245"/>
      <c r="AP171" s="245"/>
      <c r="AQ171" s="245" t="s">
        <v>313</v>
      </c>
    </row>
    <row r="172" ht="14.5" spans="2:60">
      <c r="B172" s="304"/>
      <c r="C172" s="304" t="s">
        <v>199</v>
      </c>
      <c r="D172" s="304"/>
      <c r="E172" s="245"/>
      <c r="Y172"/>
      <c r="Z172" s="316"/>
      <c r="AA172" s="316" t="s">
        <v>397</v>
      </c>
      <c r="AB172" s="316" t="s">
        <v>454</v>
      </c>
      <c r="AC172" s="317" t="s">
        <v>442</v>
      </c>
      <c r="AD172" s="317" t="s">
        <v>443</v>
      </c>
      <c r="AE172" s="316" t="str">
        <f t="shared" si="34"/>
        <v>DAYNITE</v>
      </c>
      <c r="AF172" s="316"/>
      <c r="AG172" s="316"/>
      <c r="AH172" s="192"/>
      <c r="AI172" s="245"/>
      <c r="AJ172" s="245" t="s">
        <v>446</v>
      </c>
      <c r="AK172" s="245"/>
      <c r="AL172" s="245"/>
      <c r="AM172" s="245"/>
      <c r="AN172" s="245" t="s">
        <v>253</v>
      </c>
      <c r="AO172" s="245"/>
      <c r="AP172" s="245"/>
      <c r="AQ172" s="245" t="s">
        <v>313</v>
      </c>
    </row>
    <row r="173" ht="16" spans="2:60">
      <c r="B173" s="304" t="s">
        <v>257</v>
      </c>
      <c r="C173" s="304" t="s">
        <v>194</v>
      </c>
      <c r="D173" s="304" t="s">
        <v>76</v>
      </c>
      <c r="E173" s="245"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5"/>
      <c r="AJ173" s="245" t="s">
        <v>447</v>
      </c>
      <c r="AK173" s="245"/>
      <c r="AL173" s="245"/>
      <c r="AM173" s="245"/>
      <c r="AN173" s="245" t="s">
        <v>253</v>
      </c>
      <c r="AO173" s="245"/>
      <c r="AP173" s="245"/>
      <c r="AQ173" s="245" t="s">
        <v>313</v>
      </c>
    </row>
    <row r="174" ht="14.5" spans="2:60">
      <c r="B174" s="304" t="s">
        <v>457</v>
      </c>
      <c r="C174" s="304" t="s">
        <v>446</v>
      </c>
      <c r="D174" s="304" t="s">
        <v>369</v>
      </c>
      <c r="E174" s="245">
        <v>1</v>
      </c>
      <c r="F174" s="171">
        <v>2</v>
      </c>
      <c r="G174" s="171">
        <v>1</v>
      </c>
      <c r="Y174"/>
      <c r="Z174" s="316"/>
      <c r="AA174" s="316" t="s">
        <v>399</v>
      </c>
      <c r="AB174" s="316" t="s">
        <v>454</v>
      </c>
      <c r="AC174" s="317" t="s">
        <v>442</v>
      </c>
      <c r="AD174" s="317" t="s">
        <v>443</v>
      </c>
      <c r="AE174" s="316" t="str">
        <f t="shared" si="35"/>
        <v>DAYNITE</v>
      </c>
      <c r="AF174" s="316"/>
      <c r="AG174" s="316"/>
      <c r="AH174" s="192"/>
      <c r="AI174" s="245"/>
      <c r="AJ174" s="245" t="s">
        <v>448</v>
      </c>
      <c r="AK174" s="245"/>
      <c r="AL174" s="245"/>
      <c r="AM174" s="245"/>
      <c r="AN174" s="245" t="s">
        <v>253</v>
      </c>
      <c r="AO174" s="245"/>
      <c r="AP174" s="245"/>
      <c r="AQ174" s="245" t="s">
        <v>313</v>
      </c>
    </row>
    <row r="175" ht="14.5" spans="2:60">
      <c r="B175" s="304" t="s">
        <v>458</v>
      </c>
      <c r="C175" s="304" t="s">
        <v>447</v>
      </c>
      <c r="D175" s="304" t="s">
        <v>370</v>
      </c>
      <c r="E175" s="245">
        <v>1</v>
      </c>
      <c r="F175" s="171">
        <v>2</v>
      </c>
      <c r="G175" s="171">
        <v>1</v>
      </c>
      <c r="Y175"/>
      <c r="Z175" s="316"/>
      <c r="AA175" s="316" t="s">
        <v>400</v>
      </c>
      <c r="AB175" s="316" t="s">
        <v>454</v>
      </c>
      <c r="AC175" s="317" t="s">
        <v>442</v>
      </c>
      <c r="AD175" s="317" t="s">
        <v>443</v>
      </c>
      <c r="AE175" s="316" t="str">
        <f t="shared" si="35"/>
        <v>DAYNITE</v>
      </c>
      <c r="AF175" s="316"/>
      <c r="AG175" s="316"/>
      <c r="AI175" s="245"/>
      <c r="AJ175" s="245" t="s">
        <v>449</v>
      </c>
      <c r="AK175" s="245"/>
      <c r="AL175" s="245"/>
      <c r="AM175" s="245"/>
      <c r="AN175" s="245" t="s">
        <v>253</v>
      </c>
      <c r="AO175" s="245"/>
      <c r="AP175" s="245"/>
      <c r="AQ175" s="245" t="s">
        <v>313</v>
      </c>
    </row>
    <row r="176" ht="14.5" spans="2:60">
      <c r="B176" s="304" t="s">
        <v>459</v>
      </c>
      <c r="C176" s="304" t="s">
        <v>448</v>
      </c>
      <c r="D176" s="304" t="s">
        <v>371</v>
      </c>
      <c r="E176" s="245">
        <v>1</v>
      </c>
      <c r="F176" s="171">
        <v>2</v>
      </c>
      <c r="G176" s="171">
        <v>1</v>
      </c>
      <c r="Y176"/>
      <c r="Z176" s="316"/>
      <c r="AA176" s="316" t="s">
        <v>401</v>
      </c>
      <c r="AB176" s="316" t="s">
        <v>454</v>
      </c>
      <c r="AC176" s="317" t="s">
        <v>442</v>
      </c>
      <c r="AD176" s="317" t="s">
        <v>443</v>
      </c>
      <c r="AE176" s="316" t="str">
        <f t="shared" si="35"/>
        <v>DAYNITE</v>
      </c>
      <c r="AF176" s="316"/>
      <c r="AG176" s="316"/>
      <c r="AI176" s="245"/>
      <c r="AJ176" s="245" t="s">
        <v>451</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5">
        <v>1</v>
      </c>
      <c r="F177" s="171">
        <v>2</v>
      </c>
      <c r="G177" s="171">
        <v>1</v>
      </c>
      <c r="Y177"/>
      <c r="Z177" s="316"/>
      <c r="AA177" s="316" t="s">
        <v>402</v>
      </c>
      <c r="AB177" s="316" t="s">
        <v>454</v>
      </c>
      <c r="AC177" s="317" t="s">
        <v>442</v>
      </c>
      <c r="AD177" s="317" t="s">
        <v>443</v>
      </c>
      <c r="AE177" s="316" t="str">
        <f t="shared" si="35"/>
        <v>DAYNITE</v>
      </c>
      <c r="AF177" s="316"/>
      <c r="AG177" s="316"/>
      <c r="AI177" s="245"/>
      <c r="AJ177" s="245" t="s">
        <v>452</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5">
        <v>1</v>
      </c>
      <c r="F178" s="171">
        <v>2</v>
      </c>
      <c r="G178" s="171">
        <v>1</v>
      </c>
      <c r="Y178"/>
      <c r="Z178" s="316"/>
      <c r="AA178" s="316" t="s">
        <v>403</v>
      </c>
      <c r="AB178" s="316" t="s">
        <v>454</v>
      </c>
      <c r="AC178" s="317" t="s">
        <v>442</v>
      </c>
      <c r="AD178" s="317" t="s">
        <v>443</v>
      </c>
      <c r="AE178" s="316" t="str">
        <f t="shared" si="35"/>
        <v>DAYNITE</v>
      </c>
      <c r="AF178" s="316"/>
      <c r="AG178" s="316"/>
      <c r="AI178" s="245"/>
      <c r="AJ178" s="245" t="s">
        <v>453</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5">
        <v>1</v>
      </c>
      <c r="F179" s="171">
        <v>2</v>
      </c>
      <c r="G179" s="171">
        <v>1</v>
      </c>
      <c r="Y179"/>
      <c r="Z179" s="316"/>
      <c r="AA179" s="316" t="s">
        <v>365</v>
      </c>
      <c r="AB179" s="316"/>
      <c r="AC179" s="316"/>
      <c r="AD179" s="316"/>
      <c r="AE179" s="316"/>
      <c r="AF179" s="316"/>
      <c r="AG179" s="316"/>
      <c r="AI179" s="245"/>
      <c r="AJ179" s="245" t="s">
        <v>358</v>
      </c>
      <c r="AK179" s="245"/>
      <c r="AL179" s="245"/>
      <c r="AM179" s="245"/>
      <c r="AN179" s="245" t="s">
        <v>253</v>
      </c>
      <c r="AO179" s="245"/>
      <c r="AP179" s="245"/>
      <c r="AQ179" s="245" t="s">
        <v>313</v>
      </c>
    </row>
    <row r="180" ht="14.5" spans="1:60">
      <c r="B180" s="304" t="s">
        <v>463</v>
      </c>
      <c r="C180" s="304" t="s">
        <v>453</v>
      </c>
      <c r="D180" s="304" t="s">
        <v>375</v>
      </c>
      <c r="E180" s="245">
        <v>1</v>
      </c>
      <c r="F180" s="171">
        <v>2</v>
      </c>
      <c r="G180" s="171">
        <v>1</v>
      </c>
      <c r="Y180"/>
      <c r="Z180" s="316"/>
      <c r="AA180" s="316" t="s">
        <v>457</v>
      </c>
      <c r="AB180" s="316"/>
      <c r="AC180" s="317" t="s">
        <v>442</v>
      </c>
      <c r="AD180" s="317" t="s">
        <v>443</v>
      </c>
      <c r="AE180" s="316" t="s">
        <v>251</v>
      </c>
      <c r="AF180" s="316"/>
      <c r="AG180" s="316"/>
      <c r="AI180" s="245"/>
      <c r="AJ180" s="245" t="s">
        <v>359</v>
      </c>
      <c r="AK180" s="245"/>
      <c r="AL180" s="245"/>
      <c r="AM180" s="245"/>
      <c r="AN180" s="245" t="s">
        <v>253</v>
      </c>
      <c r="AO180" s="245"/>
      <c r="AP180" s="245"/>
      <c r="AQ180" s="245" t="s">
        <v>313</v>
      </c>
    </row>
    <row r="181" ht="14.5" spans="1:60">
      <c r="B181" s="304" t="s">
        <v>464</v>
      </c>
      <c r="C181" s="304" t="s">
        <v>446</v>
      </c>
      <c r="D181" s="304" t="s">
        <v>358</v>
      </c>
      <c r="E181" s="245">
        <v>1</v>
      </c>
      <c r="F181" s="171">
        <v>0</v>
      </c>
      <c r="G181" s="171">
        <v>1</v>
      </c>
      <c r="Y181"/>
      <c r="Z181" s="316"/>
      <c r="AA181" s="316" t="s">
        <v>458</v>
      </c>
      <c r="AB181" s="316"/>
      <c r="AC181" s="317" t="s">
        <v>442</v>
      </c>
      <c r="AD181" s="317" t="s">
        <v>443</v>
      </c>
      <c r="AE181" s="316" t="s">
        <v>251</v>
      </c>
      <c r="AF181" s="316"/>
      <c r="AG181" s="316"/>
      <c r="AI181" s="245"/>
      <c r="AJ181" s="245" t="s">
        <v>360</v>
      </c>
      <c r="AK181" s="245"/>
      <c r="AL181" s="245"/>
      <c r="AM181" s="245"/>
      <c r="AN181" s="245" t="s">
        <v>253</v>
      </c>
      <c r="AO181" s="245"/>
      <c r="AP181" s="245"/>
      <c r="AQ181" s="245" t="s">
        <v>313</v>
      </c>
    </row>
    <row r="182" ht="14.5" spans="1:60">
      <c r="B182" s="304" t="s">
        <v>465</v>
      </c>
      <c r="C182" s="304" t="s">
        <v>447</v>
      </c>
      <c r="D182" s="304" t="s">
        <v>359</v>
      </c>
      <c r="E182" s="245">
        <v>1</v>
      </c>
      <c r="F182" s="171">
        <v>0</v>
      </c>
      <c r="G182" s="171">
        <v>1</v>
      </c>
      <c r="Y182"/>
      <c r="Z182" s="316"/>
      <c r="AA182" s="316" t="s">
        <v>459</v>
      </c>
      <c r="AB182" s="316"/>
      <c r="AC182" s="317" t="s">
        <v>442</v>
      </c>
      <c r="AD182" s="317" t="s">
        <v>443</v>
      </c>
      <c r="AE182" s="316" t="s">
        <v>251</v>
      </c>
      <c r="AF182" s="316"/>
      <c r="AG182" s="316"/>
      <c r="AI182" s="245"/>
      <c r="AJ182" s="245" t="s">
        <v>361</v>
      </c>
      <c r="AK182" s="245"/>
      <c r="AL182" s="245"/>
      <c r="AM182" s="245"/>
      <c r="AN182" s="245" t="s">
        <v>253</v>
      </c>
      <c r="AO182" s="245"/>
      <c r="AP182" s="245"/>
      <c r="AQ182" s="245" t="s">
        <v>313</v>
      </c>
    </row>
    <row r="183" ht="14.5" spans="1:60">
      <c r="B183" s="304" t="s">
        <v>466</v>
      </c>
      <c r="C183" s="304" t="s">
        <v>448</v>
      </c>
      <c r="D183" s="304" t="s">
        <v>360</v>
      </c>
      <c r="E183" s="245">
        <v>1</v>
      </c>
      <c r="F183" s="171">
        <v>0</v>
      </c>
      <c r="G183" s="171">
        <v>1</v>
      </c>
      <c r="Y183"/>
      <c r="Z183" s="316"/>
      <c r="AA183" s="316" t="s">
        <v>460</v>
      </c>
      <c r="AB183" s="316"/>
      <c r="AC183" s="317" t="s">
        <v>442</v>
      </c>
      <c r="AD183" s="317" t="s">
        <v>443</v>
      </c>
      <c r="AE183" s="316" t="s">
        <v>251</v>
      </c>
      <c r="AF183" s="316"/>
      <c r="AG183" s="316"/>
      <c r="AI183" s="245"/>
      <c r="AJ183" s="245" t="s">
        <v>362</v>
      </c>
      <c r="AK183" s="245"/>
      <c r="AL183" s="245"/>
      <c r="AM183" s="245"/>
      <c r="AN183" s="245" t="s">
        <v>253</v>
      </c>
      <c r="AO183" s="245"/>
      <c r="AP183" s="245"/>
      <c r="AQ183" s="245" t="s">
        <v>313</v>
      </c>
    </row>
    <row r="184" ht="14.5" spans="1:60">
      <c r="B184" s="304" t="s">
        <v>467</v>
      </c>
      <c r="C184" s="304" t="s">
        <v>449</v>
      </c>
      <c r="D184" s="304" t="s">
        <v>361</v>
      </c>
      <c r="E184" s="245">
        <v>1</v>
      </c>
      <c r="F184" s="171">
        <v>0</v>
      </c>
      <c r="G184" s="171">
        <v>1</v>
      </c>
      <c r="Y184"/>
      <c r="Z184" s="316"/>
      <c r="AA184" s="316" t="s">
        <v>461</v>
      </c>
      <c r="AB184" s="316"/>
      <c r="AC184" s="317" t="s">
        <v>442</v>
      </c>
      <c r="AD184" s="317" t="s">
        <v>443</v>
      </c>
      <c r="AE184" s="316" t="s">
        <v>251</v>
      </c>
      <c r="AF184" s="316"/>
      <c r="AG184" s="316"/>
      <c r="AI184" s="245"/>
      <c r="AJ184" s="245" t="s">
        <v>363</v>
      </c>
      <c r="AK184" s="245"/>
      <c r="AL184" s="245"/>
      <c r="AM184" s="245"/>
      <c r="AN184" s="245" t="s">
        <v>253</v>
      </c>
      <c r="AO184" s="245"/>
      <c r="AP184" s="245"/>
      <c r="AQ184" s="245" t="s">
        <v>313</v>
      </c>
    </row>
    <row r="185" ht="14.5" spans="1:60">
      <c r="B185" s="304" t="s">
        <v>468</v>
      </c>
      <c r="C185" s="304" t="s">
        <v>451</v>
      </c>
      <c r="D185" s="304" t="s">
        <v>362</v>
      </c>
      <c r="E185" s="245">
        <v>1</v>
      </c>
      <c r="F185" s="171">
        <v>0</v>
      </c>
      <c r="G185" s="171">
        <v>1</v>
      </c>
      <c r="Y185"/>
      <c r="Z185" s="316"/>
      <c r="AA185" s="316" t="s">
        <v>462</v>
      </c>
      <c r="AB185" s="316"/>
      <c r="AC185" s="317" t="s">
        <v>442</v>
      </c>
      <c r="AD185" s="317" t="s">
        <v>443</v>
      </c>
      <c r="AE185" s="316" t="s">
        <v>251</v>
      </c>
      <c r="AF185" s="316"/>
      <c r="AG185" s="316"/>
      <c r="AI185" s="320"/>
      <c r="AJ185" s="320" t="s">
        <v>364</v>
      </c>
      <c r="AK185" s="245"/>
      <c r="AL185" s="245"/>
      <c r="AM185" s="245"/>
      <c r="AN185" s="245" t="s">
        <v>253</v>
      </c>
      <c r="AO185" s="245"/>
      <c r="AP185" s="245"/>
      <c r="AQ185" s="320" t="s">
        <v>313</v>
      </c>
    </row>
    <row r="186" ht="14.5" spans="1:60">
      <c r="B186" s="304" t="s">
        <v>469</v>
      </c>
      <c r="C186" s="304" t="s">
        <v>452</v>
      </c>
      <c r="D186" s="304" t="s">
        <v>363</v>
      </c>
      <c r="E186" s="245">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5">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7"/>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471</v>
      </c>
      <c r="C211" s="250"/>
      <c r="D211" s="249"/>
      <c r="E211" s="249"/>
      <c r="I211" s="209"/>
      <c r="J211" s="221" t="s">
        <v>472</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407</v>
      </c>
      <c r="C212" s="249"/>
      <c r="D212" s="249"/>
      <c r="E212" s="249"/>
      <c r="I212" s="236"/>
      <c r="J212" s="254" t="s">
        <v>410</v>
      </c>
      <c r="K212" s="255"/>
      <c r="L212" s="255"/>
      <c r="M212" s="254" t="s">
        <v>411</v>
      </c>
      <c r="N212" s="255"/>
      <c r="O212" s="255"/>
      <c r="P212" s="254" t="s">
        <v>412</v>
      </c>
      <c r="Q212" s="255"/>
      <c r="R212" s="255"/>
      <c r="S212" s="226" t="s">
        <v>413</v>
      </c>
      <c r="T212" s="209"/>
      <c r="U212" s="209"/>
      <c r="W212" s="256"/>
      <c r="X212" s="257"/>
      <c r="Y212" s="257"/>
      <c r="Z212" s="257"/>
      <c r="AA212" s="257"/>
      <c r="AB212" s="257"/>
      <c r="AC212" s="257"/>
      <c r="AD212" s="257"/>
      <c r="AE212" s="257"/>
      <c r="AF212" s="257"/>
      <c r="AH212" s="221" t="s">
        <v>473</v>
      </c>
      <c r="AI212" s="221"/>
      <c r="AJ212" s="221"/>
      <c r="AK212" s="221"/>
      <c r="AL212" s="221"/>
      <c r="AM212" s="221"/>
      <c r="AN212" s="221"/>
      <c r="AO212" s="258"/>
      <c r="AP212" s="258"/>
      <c r="AS212" s="245" t="s">
        <v>474</v>
      </c>
      <c r="AT212" s="321"/>
      <c r="AU212" s="321"/>
      <c r="AV212" s="245"/>
      <c r="AW212" s="245"/>
      <c r="AX212" s="245"/>
      <c r="AY212" s="245"/>
      <c r="AZ212" s="245"/>
      <c r="BA212" s="245"/>
      <c r="BB212" s="316"/>
      <c r="BC212" s="245" t="s">
        <v>474</v>
      </c>
      <c r="BD212" s="321"/>
      <c r="BE212" s="321"/>
      <c r="BF212" s="245"/>
      <c r="BG212" s="245"/>
      <c r="BH212" s="245"/>
      <c r="BI212" s="245"/>
      <c r="BJ212" s="245"/>
      <c r="BK212" s="245"/>
      <c r="BL212" s="245"/>
    </row>
    <row r="213" ht="13" spans="1:64">
      <c r="B213" s="249"/>
      <c r="C213" s="253"/>
      <c r="D213" s="253"/>
      <c r="E213" s="253"/>
      <c r="I213" s="236"/>
      <c r="J213" s="260" t="s">
        <v>475</v>
      </c>
      <c r="K213" s="261"/>
      <c r="L213" s="255"/>
      <c r="M213" s="260" t="s">
        <v>475</v>
      </c>
      <c r="N213" s="261"/>
      <c r="O213" s="255"/>
      <c r="P213" s="260" t="s">
        <v>475</v>
      </c>
      <c r="Q213" s="261"/>
      <c r="R213" s="255"/>
      <c r="S213" s="260" t="s">
        <v>475</v>
      </c>
      <c r="T213" s="261"/>
      <c r="U213" s="255"/>
      <c r="W213" s="256"/>
      <c r="X213" s="262"/>
      <c r="Y213" s="262"/>
      <c r="Z213" s="262"/>
      <c r="AA213" s="245" t="s">
        <v>199</v>
      </c>
      <c r="AB213" s="245"/>
      <c r="AC213" s="245"/>
      <c r="AD213" s="322"/>
      <c r="AE213" s="262"/>
      <c r="AF213" s="262"/>
      <c r="AH213" s="220"/>
      <c r="AI213" s="220" t="s">
        <v>476</v>
      </c>
      <c r="AJ213" s="220" t="s">
        <v>477</v>
      </c>
      <c r="AK213" s="220" t="s">
        <v>478</v>
      </c>
      <c r="AL213" s="220" t="s">
        <v>479</v>
      </c>
      <c r="AM213" s="263" t="s">
        <v>480</v>
      </c>
      <c r="AN213" s="220" t="s">
        <v>481</v>
      </c>
      <c r="AO213" s="220" t="s">
        <v>348</v>
      </c>
      <c r="AP213" s="220" t="s">
        <v>482</v>
      </c>
      <c r="AQ213" s="251"/>
      <c r="AS213" s="245" t="s">
        <v>257</v>
      </c>
      <c r="AT213" s="245" t="s">
        <v>292</v>
      </c>
      <c r="AU213" s="245" t="s">
        <v>299</v>
      </c>
      <c r="AV213" s="245" t="s">
        <v>301</v>
      </c>
      <c r="AW213" s="245" t="s">
        <v>303</v>
      </c>
      <c r="AX213" s="245" t="s">
        <v>306</v>
      </c>
      <c r="AY213" s="245" t="s">
        <v>308</v>
      </c>
      <c r="AZ213" s="245" t="s">
        <v>310</v>
      </c>
      <c r="BA213" s="245" t="s">
        <v>419</v>
      </c>
      <c r="BB213" s="316"/>
      <c r="BC213" s="245" t="s">
        <v>257</v>
      </c>
      <c r="BD213" s="245" t="s">
        <v>292</v>
      </c>
      <c r="BE213" s="245" t="s">
        <v>299</v>
      </c>
      <c r="BF213" s="245" t="s">
        <v>301</v>
      </c>
      <c r="BG213" s="245" t="s">
        <v>303</v>
      </c>
      <c r="BH213" s="245" t="s">
        <v>306</v>
      </c>
      <c r="BI213" s="245" t="s">
        <v>308</v>
      </c>
      <c r="BJ213" s="245" t="s">
        <v>310</v>
      </c>
      <c r="BK213" s="245" t="s">
        <v>419</v>
      </c>
      <c r="BL213" s="245" t="s">
        <v>425</v>
      </c>
    </row>
    <row r="214" ht="14.5" spans="1:64">
      <c r="B214" s="253" t="s">
        <v>257</v>
      </c>
      <c r="C214" s="253" t="s">
        <v>420</v>
      </c>
      <c r="D214" s="253" t="s">
        <v>421</v>
      </c>
      <c r="E214" s="253" t="s">
        <v>422</v>
      </c>
      <c r="I214" s="236"/>
      <c r="J214" s="260" t="s">
        <v>483</v>
      </c>
      <c r="K214" s="260" t="s">
        <v>484</v>
      </c>
      <c r="L214" s="260" t="s">
        <v>485</v>
      </c>
      <c r="M214" s="254" t="s">
        <v>483</v>
      </c>
      <c r="N214" s="264" t="s">
        <v>484</v>
      </c>
      <c r="O214" s="254" t="s">
        <v>485</v>
      </c>
      <c r="P214" s="254" t="s">
        <v>483</v>
      </c>
      <c r="Q214" s="254" t="s">
        <v>484</v>
      </c>
      <c r="R214" s="254" t="s">
        <v>485</v>
      </c>
      <c r="S214" s="254" t="s">
        <v>483</v>
      </c>
      <c r="T214" s="254" t="s">
        <v>484</v>
      </c>
      <c r="U214" s="254" t="s">
        <v>485</v>
      </c>
      <c r="W214" s="256"/>
      <c r="X214" s="262"/>
      <c r="Y214" s="262"/>
      <c r="Z214" s="262"/>
      <c r="AA214" s="323" t="str">
        <f>B214</f>
        <v>process</v>
      </c>
      <c r="AB214" s="321" t="s">
        <v>194</v>
      </c>
      <c r="AC214" s="321" t="s">
        <v>76</v>
      </c>
      <c r="AD214" s="324" t="s">
        <v>73</v>
      </c>
      <c r="AE214" s="257"/>
      <c r="AF214" s="257"/>
      <c r="AH214" s="265" t="s">
        <v>486</v>
      </c>
      <c r="AI214" s="220">
        <v>0</v>
      </c>
      <c r="AJ214" s="220">
        <v>0.98</v>
      </c>
      <c r="AK214" s="220">
        <v>0.9</v>
      </c>
      <c r="AL214" s="220">
        <v>0</v>
      </c>
      <c r="AM214" s="220">
        <v>0</v>
      </c>
      <c r="AN214" s="220">
        <v>0.9</v>
      </c>
      <c r="AO214" s="220">
        <v>0</v>
      </c>
      <c r="AP214" s="220">
        <v>0.9</v>
      </c>
      <c r="AQ214" s="251"/>
      <c r="AS214" s="245" t="s">
        <v>381</v>
      </c>
      <c r="AT214" s="245">
        <f>D263/AD215</f>
        <v>0</v>
      </c>
      <c r="AU214" s="245">
        <f>E263/AD215</f>
        <v>0</v>
      </c>
      <c r="AV214" s="245">
        <f>F263/AD215</f>
        <v>0</v>
      </c>
      <c r="AW214" s="245">
        <f>G263/AD215</f>
        <v>0</v>
      </c>
      <c r="AX214" s="245">
        <f>H263/AD215</f>
        <v>0</v>
      </c>
      <c r="AY214" s="245">
        <f>I263/AD215</f>
        <v>1</v>
      </c>
      <c r="AZ214" s="245">
        <f>J263/AD215</f>
        <v>0</v>
      </c>
      <c r="BA214" s="245" t="s">
        <v>326</v>
      </c>
      <c r="BB214" s="316"/>
      <c r="BC214" s="245" t="s">
        <v>381</v>
      </c>
      <c r="BD214" s="245">
        <v>5</v>
      </c>
      <c r="BE214" s="245">
        <v>5</v>
      </c>
      <c r="BF214" s="245">
        <v>5</v>
      </c>
      <c r="BG214" s="245">
        <v>5</v>
      </c>
      <c r="BH214" s="245">
        <v>5</v>
      </c>
      <c r="BI214" s="245">
        <v>5</v>
      </c>
      <c r="BJ214" s="245">
        <v>5</v>
      </c>
      <c r="BK214" s="245" t="s">
        <v>326</v>
      </c>
      <c r="BL214" s="245">
        <v>0</v>
      </c>
    </row>
    <row r="215" ht="20" spans="1:64">
      <c r="A215" s="266"/>
      <c r="B215" s="253" t="s">
        <v>365</v>
      </c>
      <c r="C215" s="253"/>
      <c r="D215" s="267"/>
      <c r="E215" s="267"/>
      <c r="I215" s="226" t="s">
        <v>426</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369</v>
      </c>
      <c r="AC215" s="245" t="s">
        <v>487</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383</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326</v>
      </c>
      <c r="BB215" s="316"/>
      <c r="BC215" s="245" t="s">
        <v>383</v>
      </c>
      <c r="BD215" s="245">
        <v>5</v>
      </c>
      <c r="BE215" s="245">
        <v>5</v>
      </c>
      <c r="BF215" s="245">
        <v>5</v>
      </c>
      <c r="BG215" s="245">
        <v>5</v>
      </c>
      <c r="BH215" s="245">
        <v>5</v>
      </c>
      <c r="BI215" s="245">
        <v>5</v>
      </c>
      <c r="BJ215" s="245">
        <v>5</v>
      </c>
      <c r="BK215" s="245" t="s">
        <v>326</v>
      </c>
      <c r="BL215" s="245">
        <v>0</v>
      </c>
    </row>
    <row r="216" ht="20" spans="1:64">
      <c r="A216" s="266"/>
      <c r="B216" s="253" t="s">
        <v>381</v>
      </c>
      <c r="C216" s="253">
        <f>S216</f>
        <v>7.11384396954065</v>
      </c>
      <c r="D216" s="267">
        <f>P216</f>
        <v>5.40179852616065</v>
      </c>
      <c r="E216" s="267">
        <f>J216</f>
        <v>8.85540744288872</v>
      </c>
      <c r="I216" s="226" t="s">
        <v>488</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370</v>
      </c>
      <c r="AC216" s="245" t="s">
        <v>487</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384</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326</v>
      </c>
      <c r="BB216" s="316"/>
      <c r="BC216" s="245" t="s">
        <v>384</v>
      </c>
      <c r="BD216" s="245">
        <v>5</v>
      </c>
      <c r="BE216" s="245">
        <v>5</v>
      </c>
      <c r="BF216" s="245">
        <v>5</v>
      </c>
      <c r="BG216" s="245">
        <v>5</v>
      </c>
      <c r="BH216" s="245">
        <v>5</v>
      </c>
      <c r="BI216" s="245">
        <v>5</v>
      </c>
      <c r="BJ216" s="245">
        <v>5</v>
      </c>
      <c r="BK216" s="245" t="s">
        <v>326</v>
      </c>
      <c r="BL216" s="245">
        <v>0</v>
      </c>
    </row>
    <row r="217" ht="20" spans="1:64">
      <c r="A217" s="270"/>
      <c r="B217" s="253" t="s">
        <v>383</v>
      </c>
      <c r="C217" s="253">
        <f t="shared" ref="C217:C222" si="51">S217</f>
        <v>7.11384396954065</v>
      </c>
      <c r="D217" s="267">
        <f t="shared" ref="D217:D222" si="52">P217</f>
        <v>5.40179852616065</v>
      </c>
      <c r="E217" s="267">
        <f t="shared" ref="E217:E222" si="53">J217</f>
        <v>8.85540744288872</v>
      </c>
      <c r="I217" s="226" t="s">
        <v>489</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371</v>
      </c>
      <c r="AC217" s="245" t="s">
        <v>487</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385</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326</v>
      </c>
      <c r="BB217" s="316"/>
      <c r="BC217" s="245" t="s">
        <v>385</v>
      </c>
      <c r="BD217" s="245">
        <v>5</v>
      </c>
      <c r="BE217" s="245">
        <v>5</v>
      </c>
      <c r="BF217" s="245">
        <v>5</v>
      </c>
      <c r="BG217" s="245">
        <v>5</v>
      </c>
      <c r="BH217" s="245">
        <v>5</v>
      </c>
      <c r="BI217" s="245">
        <v>5</v>
      </c>
      <c r="BJ217" s="245">
        <v>5</v>
      </c>
      <c r="BK217" s="245" t="s">
        <v>326</v>
      </c>
      <c r="BL217" s="245">
        <v>0</v>
      </c>
    </row>
    <row r="218" ht="15.5" spans="1:64">
      <c r="B218" s="253" t="s">
        <v>384</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372</v>
      </c>
      <c r="AC218" s="245" t="s">
        <v>487</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386</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326</v>
      </c>
      <c r="BB218" s="316"/>
      <c r="BC218" s="245" t="s">
        <v>386</v>
      </c>
      <c r="BD218" s="245">
        <v>5</v>
      </c>
      <c r="BE218" s="245">
        <v>5</v>
      </c>
      <c r="BF218" s="245">
        <v>5</v>
      </c>
      <c r="BG218" s="245">
        <v>5</v>
      </c>
      <c r="BH218" s="245">
        <v>5</v>
      </c>
      <c r="BI218" s="245">
        <v>5</v>
      </c>
      <c r="BJ218" s="245">
        <v>5</v>
      </c>
      <c r="BK218" s="245" t="s">
        <v>326</v>
      </c>
      <c r="BL218" s="245">
        <v>0</v>
      </c>
    </row>
    <row r="219" ht="15.5" spans="1:64">
      <c r="B219" s="253" t="s">
        <v>385</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373</v>
      </c>
      <c r="AC219" s="245" t="s">
        <v>487</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388</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326</v>
      </c>
      <c r="BB219" s="316"/>
      <c r="BC219" s="245" t="s">
        <v>388</v>
      </c>
      <c r="BD219" s="245">
        <v>5</v>
      </c>
      <c r="BE219" s="245">
        <v>5</v>
      </c>
      <c r="BF219" s="245">
        <v>5</v>
      </c>
      <c r="BG219" s="245">
        <v>5</v>
      </c>
      <c r="BH219" s="245">
        <v>5</v>
      </c>
      <c r="BI219" s="245">
        <v>5</v>
      </c>
      <c r="BJ219" s="245">
        <v>5</v>
      </c>
      <c r="BK219" s="245" t="s">
        <v>326</v>
      </c>
      <c r="BL219" s="245">
        <v>0</v>
      </c>
    </row>
    <row r="220" ht="15.5" spans="1:64">
      <c r="B220" s="253" t="s">
        <v>386</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374</v>
      </c>
      <c r="AC220" s="245" t="s">
        <v>487</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389</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326</v>
      </c>
      <c r="BB220" s="316"/>
      <c r="BC220" s="245" t="s">
        <v>389</v>
      </c>
      <c r="BD220" s="245">
        <v>5</v>
      </c>
      <c r="BE220" s="245">
        <v>5</v>
      </c>
      <c r="BF220" s="245">
        <v>5</v>
      </c>
      <c r="BG220" s="245">
        <v>5</v>
      </c>
      <c r="BH220" s="245">
        <v>5</v>
      </c>
      <c r="BI220" s="245">
        <v>5</v>
      </c>
      <c r="BJ220" s="245">
        <v>5</v>
      </c>
      <c r="BK220" s="245" t="s">
        <v>326</v>
      </c>
      <c r="BL220" s="245">
        <v>0</v>
      </c>
    </row>
    <row r="221" ht="15.5" spans="1:64">
      <c r="B221" s="253" t="s">
        <v>388</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375</v>
      </c>
      <c r="AC221" s="245" t="s">
        <v>487</v>
      </c>
      <c r="AD221" s="325">
        <f t="shared" si="49"/>
        <v>1.1496</v>
      </c>
      <c r="AE221" s="269"/>
      <c r="AF221" s="269"/>
      <c r="AH221" s="196"/>
      <c r="AI221" s="237"/>
      <c r="AQ221" s="251"/>
      <c r="AS221" s="245" t="s">
        <v>390</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326</v>
      </c>
      <c r="BB221" s="316"/>
      <c r="BC221" s="245" t="s">
        <v>390</v>
      </c>
      <c r="BD221" s="245">
        <v>5</v>
      </c>
      <c r="BE221" s="245">
        <v>5</v>
      </c>
      <c r="BF221" s="245">
        <v>5</v>
      </c>
      <c r="BG221" s="245">
        <v>5</v>
      </c>
      <c r="BH221" s="245">
        <v>5</v>
      </c>
      <c r="BI221" s="245">
        <v>5</v>
      </c>
      <c r="BJ221" s="245">
        <v>5</v>
      </c>
      <c r="BK221" s="245" t="s">
        <v>326</v>
      </c>
      <c r="BL221" s="245">
        <v>0</v>
      </c>
    </row>
    <row r="222" ht="15.5" spans="1:64">
      <c r="B222" s="253" t="s">
        <v>389</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369</v>
      </c>
      <c r="AC222" s="245" t="s">
        <v>487</v>
      </c>
      <c r="AD222" s="325">
        <f t="shared" si="49"/>
        <v>5.0886</v>
      </c>
      <c r="AE222" s="269"/>
      <c r="AF222" s="269"/>
      <c r="AH222" s="251"/>
      <c r="AI222" s="251"/>
      <c r="AJ222" s="251"/>
      <c r="AK222" s="251"/>
      <c r="AL222" s="251"/>
      <c r="AM222" s="251"/>
      <c r="AN222" s="251"/>
      <c r="AO222" s="251"/>
      <c r="AP222" s="251"/>
      <c r="AQ222" s="251"/>
      <c r="AS222" s="245" t="s">
        <v>391</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326</v>
      </c>
      <c r="BB222" s="316"/>
      <c r="BC222" s="245" t="s">
        <v>391</v>
      </c>
      <c r="BD222" s="245">
        <v>5</v>
      </c>
      <c r="BE222" s="245">
        <v>5</v>
      </c>
      <c r="BF222" s="245">
        <v>5</v>
      </c>
      <c r="BG222" s="245">
        <v>5</v>
      </c>
      <c r="BH222" s="245">
        <v>5</v>
      </c>
      <c r="BI222" s="245">
        <v>5</v>
      </c>
      <c r="BJ222" s="245">
        <v>5</v>
      </c>
      <c r="BK222" s="245" t="s">
        <v>326</v>
      </c>
      <c r="BL222" s="245">
        <v>0</v>
      </c>
    </row>
    <row r="223" ht="21" spans="1:64">
      <c r="B223" s="253" t="s">
        <v>390</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370</v>
      </c>
      <c r="AC223" s="245" t="s">
        <v>487</v>
      </c>
      <c r="AD223" s="325">
        <f t="shared" si="49"/>
        <v>6.09218</v>
      </c>
      <c r="AE223" s="269"/>
      <c r="AH223" s="221" t="s">
        <v>490</v>
      </c>
      <c r="AI223" s="221"/>
      <c r="AJ223" s="221"/>
      <c r="AK223" s="221"/>
      <c r="AL223" s="221"/>
      <c r="AM223" s="221"/>
      <c r="AN223" s="221"/>
      <c r="AO223" s="251"/>
      <c r="AP223" s="251"/>
      <c r="AQ223" s="251"/>
      <c r="AS223" s="245" t="s">
        <v>392</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326</v>
      </c>
      <c r="BB223" s="316"/>
      <c r="BC223" s="245" t="s">
        <v>392</v>
      </c>
      <c r="BD223" s="245">
        <v>5</v>
      </c>
      <c r="BE223" s="245">
        <v>5</v>
      </c>
      <c r="BF223" s="245">
        <v>5</v>
      </c>
      <c r="BG223" s="245">
        <v>5</v>
      </c>
      <c r="BH223" s="245">
        <v>5</v>
      </c>
      <c r="BI223" s="245">
        <v>5</v>
      </c>
      <c r="BJ223" s="245">
        <v>5</v>
      </c>
      <c r="BK223" s="245" t="s">
        <v>326</v>
      </c>
      <c r="BL223" s="245">
        <v>0</v>
      </c>
    </row>
    <row r="224" ht="13" spans="1:64">
      <c r="B224" s="253" t="s">
        <v>391</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371</v>
      </c>
      <c r="AC224" s="245" t="s">
        <v>487</v>
      </c>
      <c r="AD224" s="325">
        <f t="shared" si="49"/>
        <v>4.89062</v>
      </c>
      <c r="AE224" s="269"/>
      <c r="AH224" s="251"/>
      <c r="AI224" s="271" t="s">
        <v>337</v>
      </c>
      <c r="AJ224" s="271" t="s">
        <v>339</v>
      </c>
      <c r="AK224" s="271" t="s">
        <v>341</v>
      </c>
      <c r="AL224" s="271" t="s">
        <v>350</v>
      </c>
      <c r="AM224" s="271" t="s">
        <v>352</v>
      </c>
      <c r="AN224" s="271" t="s">
        <v>355</v>
      </c>
      <c r="AO224" s="271" t="s">
        <v>491</v>
      </c>
      <c r="AP224" s="251"/>
      <c r="AQ224" s="251"/>
      <c r="AS224" s="245" t="s">
        <v>393</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326</v>
      </c>
      <c r="BB224" s="316"/>
      <c r="BC224" s="245" t="s">
        <v>393</v>
      </c>
      <c r="BD224" s="245">
        <v>5</v>
      </c>
      <c r="BE224" s="245">
        <v>5</v>
      </c>
      <c r="BF224" s="245">
        <v>5</v>
      </c>
      <c r="BG224" s="245">
        <v>5</v>
      </c>
      <c r="BH224" s="245">
        <v>5</v>
      </c>
      <c r="BI224" s="245">
        <v>5</v>
      </c>
      <c r="BJ224" s="245">
        <v>5</v>
      </c>
      <c r="BK224" s="245" t="s">
        <v>326</v>
      </c>
      <c r="BL224" s="245">
        <v>0</v>
      </c>
    </row>
    <row r="225" ht="13" spans="1:64">
      <c r="B225" s="253" t="s">
        <v>392</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372</v>
      </c>
      <c r="AC225" s="245" t="s">
        <v>487</v>
      </c>
      <c r="AD225" s="325">
        <f t="shared" si="49"/>
        <v>5.42578</v>
      </c>
      <c r="AE225" s="269"/>
      <c r="AH225" s="251"/>
      <c r="AI225" s="271">
        <v>0.9</v>
      </c>
      <c r="AJ225" s="271">
        <v>0.98</v>
      </c>
      <c r="AK225" s="271">
        <v>0.98</v>
      </c>
      <c r="AL225" s="271">
        <v>0.98</v>
      </c>
      <c r="AM225" s="271">
        <v>0.9</v>
      </c>
      <c r="AN225" s="271">
        <v>0.9</v>
      </c>
      <c r="AO225" s="271">
        <v>0.9</v>
      </c>
      <c r="AP225" s="251"/>
      <c r="AQ225" s="251"/>
      <c r="AS225" s="245" t="s">
        <v>394</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326</v>
      </c>
      <c r="BB225" s="316"/>
      <c r="BC225" s="245" t="s">
        <v>394</v>
      </c>
      <c r="BD225" s="245">
        <v>5</v>
      </c>
      <c r="BE225" s="245">
        <v>5</v>
      </c>
      <c r="BF225" s="245">
        <v>5</v>
      </c>
      <c r="BG225" s="245">
        <v>5</v>
      </c>
      <c r="BH225" s="245">
        <v>5</v>
      </c>
      <c r="BI225" s="245">
        <v>5</v>
      </c>
      <c r="BJ225" s="245">
        <v>5</v>
      </c>
      <c r="BK225" s="245" t="s">
        <v>326</v>
      </c>
      <c r="BL225" s="245">
        <v>0</v>
      </c>
    </row>
    <row r="226" ht="13" spans="1:64">
      <c r="B226" s="253" t="s">
        <v>393</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373</v>
      </c>
      <c r="AC226" s="245" t="s">
        <v>487</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395</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326</v>
      </c>
      <c r="BB226" s="316"/>
      <c r="BC226" s="245" t="s">
        <v>395</v>
      </c>
      <c r="BD226" s="245">
        <v>5</v>
      </c>
      <c r="BE226" s="245">
        <v>5</v>
      </c>
      <c r="BF226" s="245">
        <v>5</v>
      </c>
      <c r="BG226" s="245">
        <v>5</v>
      </c>
      <c r="BH226" s="245">
        <v>5</v>
      </c>
      <c r="BI226" s="245">
        <v>5</v>
      </c>
      <c r="BJ226" s="245">
        <v>5</v>
      </c>
      <c r="BK226" s="245" t="s">
        <v>326</v>
      </c>
      <c r="BL226" s="245">
        <v>0</v>
      </c>
    </row>
    <row r="227" ht="13" spans="1:64">
      <c r="B227" s="253" t="s">
        <v>394</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374</v>
      </c>
      <c r="AC227" s="245" t="s">
        <v>487</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396</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326</v>
      </c>
      <c r="BB227" s="316"/>
      <c r="BC227" s="245" t="s">
        <v>396</v>
      </c>
      <c r="BD227" s="245">
        <v>5</v>
      </c>
      <c r="BE227" s="245">
        <v>5</v>
      </c>
      <c r="BF227" s="245">
        <v>5</v>
      </c>
      <c r="BG227" s="245">
        <v>5</v>
      </c>
      <c r="BH227" s="245">
        <v>5</v>
      </c>
      <c r="BI227" s="245">
        <v>5</v>
      </c>
      <c r="BJ227" s="245">
        <v>5</v>
      </c>
      <c r="BK227" s="245" t="s">
        <v>326</v>
      </c>
      <c r="BL227" s="245">
        <v>0</v>
      </c>
    </row>
    <row r="228" ht="13" spans="1:64">
      <c r="B228" s="253" t="s">
        <v>395</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375</v>
      </c>
      <c r="AC228" s="245" t="s">
        <v>487</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397</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326</v>
      </c>
      <c r="BB228" s="316"/>
      <c r="BC228" s="245" t="s">
        <v>397</v>
      </c>
      <c r="BD228" s="245">
        <v>5</v>
      </c>
      <c r="BE228" s="245">
        <v>5</v>
      </c>
      <c r="BF228" s="245">
        <v>5</v>
      </c>
      <c r="BG228" s="245">
        <v>5</v>
      </c>
      <c r="BH228" s="245">
        <v>5</v>
      </c>
      <c r="BI228" s="245">
        <v>5</v>
      </c>
      <c r="BJ228" s="245">
        <v>5</v>
      </c>
      <c r="BK228" s="245" t="s">
        <v>326</v>
      </c>
      <c r="BL228" s="245">
        <v>0</v>
      </c>
    </row>
    <row r="229" ht="13" spans="1:64">
      <c r="B229" s="253" t="s">
        <v>396</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369</v>
      </c>
      <c r="AC229" s="245" t="s">
        <v>487</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398</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326</v>
      </c>
      <c r="BB229" s="316"/>
      <c r="BC229" s="245" t="s">
        <v>398</v>
      </c>
      <c r="BD229" s="245">
        <v>5</v>
      </c>
      <c r="BE229" s="245">
        <v>5</v>
      </c>
      <c r="BF229" s="245">
        <v>5</v>
      </c>
      <c r="BG229" s="245">
        <v>5</v>
      </c>
      <c r="BH229" s="245">
        <v>5</v>
      </c>
      <c r="BI229" s="245">
        <v>5</v>
      </c>
      <c r="BJ229" s="245">
        <v>5</v>
      </c>
      <c r="BK229" s="245" t="s">
        <v>326</v>
      </c>
      <c r="BL229" s="245">
        <v>0</v>
      </c>
    </row>
    <row r="230" ht="23" spans="1:64">
      <c r="A230" s="272"/>
      <c r="B230" s="253" t="s">
        <v>397</v>
      </c>
      <c r="C230" s="253">
        <f>U216</f>
        <v>3.56556266273643</v>
      </c>
      <c r="D230" s="267">
        <f>R216</f>
        <v>2.70746042741341</v>
      </c>
      <c r="E230" s="267">
        <f>L216</f>
        <v>4.4384597641857</v>
      </c>
      <c r="I230" s="273" t="s">
        <v>492</v>
      </c>
      <c r="J230" s="240" t="s">
        <v>493</v>
      </c>
      <c r="K230" s="240"/>
      <c r="L230" s="240"/>
      <c r="M230" s="240"/>
      <c r="N230" s="240"/>
      <c r="O230" s="240"/>
      <c r="P230" s="240"/>
      <c r="Q230" s="240"/>
      <c r="R230" s="240"/>
      <c r="S230" s="209"/>
      <c r="T230" s="209"/>
      <c r="U230" s="209"/>
      <c r="W230" s="274"/>
      <c r="X230" s="274"/>
      <c r="Y230" s="274"/>
      <c r="Z230" s="274"/>
      <c r="AA230" s="304" t="str">
        <f t="shared" si="48"/>
        <v>DirRecy-LMO</v>
      </c>
      <c r="AB230" s="304" t="s">
        <v>370</v>
      </c>
      <c r="AC230" s="245" t="s">
        <v>487</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326</v>
      </c>
      <c r="BB230" s="326"/>
      <c r="BC230" s="304" t="s">
        <v>399</v>
      </c>
      <c r="BD230" s="245">
        <v>5</v>
      </c>
      <c r="BE230" s="245">
        <v>5</v>
      </c>
      <c r="BF230" s="245">
        <v>5</v>
      </c>
      <c r="BG230" s="245">
        <v>5</v>
      </c>
      <c r="BH230" s="245">
        <v>5</v>
      </c>
      <c r="BI230" s="245">
        <v>5</v>
      </c>
      <c r="BJ230" s="245">
        <v>5</v>
      </c>
      <c r="BK230" s="245" t="s">
        <v>326</v>
      </c>
      <c r="BL230" s="245">
        <v>0</v>
      </c>
    </row>
    <row r="231" ht="25" spans="1:64">
      <c r="A231" s="239"/>
      <c r="B231" s="253" t="s">
        <v>398</v>
      </c>
      <c r="C231" s="253">
        <f t="shared" ref="C231:C236" si="66">U217</f>
        <v>3.60087708179809</v>
      </c>
      <c r="D231" s="267">
        <f t="shared" ref="D231:D236" si="67">R217</f>
        <v>2.73427597641857</v>
      </c>
      <c r="E231" s="267">
        <f t="shared" ref="E231:E236" si="68">L217</f>
        <v>4.48241960206338</v>
      </c>
      <c r="I231" s="209" t="s">
        <v>494</v>
      </c>
      <c r="J231" s="209"/>
      <c r="K231" s="209"/>
      <c r="L231" s="209"/>
      <c r="M231" s="209"/>
      <c r="N231" s="209"/>
      <c r="O231" s="209"/>
      <c r="P231" s="209"/>
      <c r="Q231" s="209"/>
      <c r="R231" s="241" t="s">
        <v>437</v>
      </c>
      <c r="S231" s="209"/>
      <c r="T231" s="209"/>
      <c r="U231" s="209"/>
      <c r="AA231" s="304" t="str">
        <f t="shared" si="48"/>
        <v>DirRecy-NCA</v>
      </c>
      <c r="AB231" s="304" t="s">
        <v>371</v>
      </c>
      <c r="AC231" s="245" t="s">
        <v>487</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326</v>
      </c>
      <c r="BB231" s="326"/>
      <c r="BC231" s="304" t="s">
        <v>400</v>
      </c>
      <c r="BD231" s="245">
        <v>5</v>
      </c>
      <c r="BE231" s="245">
        <v>5</v>
      </c>
      <c r="BF231" s="245">
        <v>5</v>
      </c>
      <c r="BG231" s="245">
        <v>5</v>
      </c>
      <c r="BH231" s="245">
        <v>5</v>
      </c>
      <c r="BI231" s="245">
        <v>5</v>
      </c>
      <c r="BJ231" s="245">
        <v>5</v>
      </c>
      <c r="BK231" s="245" t="s">
        <v>326</v>
      </c>
      <c r="BL231" s="245">
        <v>0</v>
      </c>
    </row>
    <row r="232" ht="13" spans="1:64">
      <c r="B232" s="253" t="s">
        <v>399</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372</v>
      </c>
      <c r="AC232" s="245" t="s">
        <v>487</v>
      </c>
      <c r="AD232" s="325">
        <f t="shared" si="49"/>
        <v>5.3433</v>
      </c>
      <c r="AE232" s="269"/>
      <c r="AH232" s="251"/>
      <c r="AI232" s="251"/>
      <c r="AJ232" s="251"/>
      <c r="AK232" s="251"/>
      <c r="AL232" s="251"/>
      <c r="AM232" s="251"/>
      <c r="AN232" s="251"/>
      <c r="AO232" s="251"/>
      <c r="AP232" s="251"/>
      <c r="AQ232" s="251"/>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326</v>
      </c>
      <c r="BB232" s="326"/>
      <c r="BC232" s="304" t="s">
        <v>401</v>
      </c>
      <c r="BD232" s="245">
        <v>5</v>
      </c>
      <c r="BE232" s="245">
        <v>5</v>
      </c>
      <c r="BF232" s="245">
        <v>5</v>
      </c>
      <c r="BG232" s="245">
        <v>5</v>
      </c>
      <c r="BH232" s="245">
        <v>5</v>
      </c>
      <c r="BI232" s="245">
        <v>5</v>
      </c>
      <c r="BJ232" s="245">
        <v>5</v>
      </c>
      <c r="BK232" s="245" t="s">
        <v>326</v>
      </c>
      <c r="BL232" s="245">
        <v>0</v>
      </c>
    </row>
    <row r="233" ht="13" spans="1:64">
      <c r="B233" s="253" t="s">
        <v>400</v>
      </c>
      <c r="C233" s="253">
        <f t="shared" si="66"/>
        <v>3.56645369688037</v>
      </c>
      <c r="D233" s="267">
        <f t="shared" si="67"/>
        <v>2.70813706705969</v>
      </c>
      <c r="E233" s="267">
        <f t="shared" si="68"/>
        <v>4.43956890198968</v>
      </c>
      <c r="I233" s="209" t="s">
        <v>427</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373</v>
      </c>
      <c r="AC233" s="245" t="s">
        <v>487</v>
      </c>
      <c r="AD233" s="325">
        <f t="shared" si="49"/>
        <v>5.2605</v>
      </c>
      <c r="AE233" s="269"/>
      <c r="AH233" s="251"/>
      <c r="AI233" s="251"/>
      <c r="AJ233" s="251"/>
      <c r="AK233" s="251"/>
      <c r="AL233" s="251"/>
      <c r="AM233" s="251"/>
      <c r="AN233" s="251"/>
      <c r="AO233" s="251"/>
      <c r="AP233" s="251"/>
      <c r="AQ233" s="251"/>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326</v>
      </c>
      <c r="BB233" s="326"/>
      <c r="BC233" s="304" t="s">
        <v>402</v>
      </c>
      <c r="BD233" s="245">
        <v>5</v>
      </c>
      <c r="BE233" s="245">
        <v>5</v>
      </c>
      <c r="BF233" s="245">
        <v>5</v>
      </c>
      <c r="BG233" s="245">
        <v>5</v>
      </c>
      <c r="BH233" s="245">
        <v>5</v>
      </c>
      <c r="BI233" s="245">
        <v>5</v>
      </c>
      <c r="BJ233" s="245">
        <v>5</v>
      </c>
      <c r="BK233" s="245" t="s">
        <v>326</v>
      </c>
      <c r="BL233" s="245">
        <v>0</v>
      </c>
    </row>
    <row r="234" ht="21" spans="1:64">
      <c r="B234" s="253" t="s">
        <v>401</v>
      </c>
      <c r="C234" s="253">
        <f t="shared" si="66"/>
        <v>3.56585961680177</v>
      </c>
      <c r="D234" s="267">
        <f t="shared" si="67"/>
        <v>2.70768592483419</v>
      </c>
      <c r="E234" s="267">
        <f t="shared" si="68"/>
        <v>4.43882940309506</v>
      </c>
      <c r="I234" s="209" t="s">
        <v>429</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374</v>
      </c>
      <c r="AC234" s="245" t="s">
        <v>487</v>
      </c>
      <c r="AD234" s="325">
        <f t="shared" si="49"/>
        <v>5.0175</v>
      </c>
      <c r="AE234" s="269"/>
      <c r="AH234" s="221" t="s">
        <v>495</v>
      </c>
      <c r="AI234" s="221"/>
      <c r="AJ234" s="221"/>
      <c r="AK234" s="221"/>
      <c r="AL234" s="221"/>
      <c r="AM234" s="221"/>
      <c r="AN234" s="221"/>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326</v>
      </c>
      <c r="BB234" s="326"/>
      <c r="BC234" s="304" t="s">
        <v>403</v>
      </c>
      <c r="BD234" s="245">
        <v>5</v>
      </c>
      <c r="BE234" s="245">
        <v>5</v>
      </c>
      <c r="BF234" s="245">
        <v>5</v>
      </c>
      <c r="BG234" s="245">
        <v>5</v>
      </c>
      <c r="BH234" s="245">
        <v>5</v>
      </c>
      <c r="BI234" s="245">
        <v>5</v>
      </c>
      <c r="BJ234" s="245">
        <v>5</v>
      </c>
      <c r="BK234" s="245" t="s">
        <v>326</v>
      </c>
      <c r="BL234" s="245">
        <v>0</v>
      </c>
    </row>
    <row r="235" ht="13" spans="1:64">
      <c r="B235" s="253" t="s">
        <v>402</v>
      </c>
      <c r="C235" s="253">
        <f t="shared" si="66"/>
        <v>3.56556266273643</v>
      </c>
      <c r="D235" s="267">
        <f t="shared" si="67"/>
        <v>2.70746042741341</v>
      </c>
      <c r="E235" s="267">
        <f t="shared" si="68"/>
        <v>4.4384597641857</v>
      </c>
      <c r="I235" s="209" t="s">
        <v>431</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375</v>
      </c>
      <c r="AC235" s="320" t="s">
        <v>487</v>
      </c>
      <c r="AD235" s="328">
        <f t="shared" si="49"/>
        <v>4.7484</v>
      </c>
      <c r="AE235" s="269"/>
      <c r="AI235" s="271" t="s">
        <v>337</v>
      </c>
      <c r="AJ235" s="271" t="s">
        <v>339</v>
      </c>
      <c r="AK235" s="271" t="s">
        <v>341</v>
      </c>
      <c r="AL235" s="271" t="s">
        <v>350</v>
      </c>
      <c r="AM235" s="271" t="s">
        <v>352</v>
      </c>
      <c r="AN235" s="271" t="s">
        <v>355</v>
      </c>
      <c r="AO235" s="271" t="s">
        <v>491</v>
      </c>
    </row>
    <row r="236" ht="13" spans="1:64">
      <c r="B236" s="276" t="s">
        <v>403</v>
      </c>
      <c r="C236" s="253">
        <f t="shared" si="66"/>
        <v>3.56496890198968</v>
      </c>
      <c r="D236" s="267">
        <f t="shared" si="67"/>
        <v>2.70700957995578</v>
      </c>
      <c r="E236" s="267">
        <f t="shared" si="68"/>
        <v>4.43772063375092</v>
      </c>
      <c r="I236" s="209" t="s">
        <v>432</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433</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434</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435</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496</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491</v>
      </c>
      <c r="V261" s="280" t="s">
        <v>444</v>
      </c>
      <c r="W261" s="280" t="s">
        <v>445</v>
      </c>
    </row>
    <row r="262" spans="2:23">
      <c r="B262" s="280" t="s">
        <v>194</v>
      </c>
      <c r="C262" s="280" t="s">
        <v>257</v>
      </c>
      <c r="D262" s="280" t="s">
        <v>185</v>
      </c>
      <c r="E262" s="280" t="s">
        <v>186</v>
      </c>
      <c r="F262" s="280" t="s">
        <v>187</v>
      </c>
      <c r="G262" s="280" t="s">
        <v>188</v>
      </c>
      <c r="H262" s="280" t="s">
        <v>189</v>
      </c>
      <c r="I262" s="280" t="s">
        <v>190</v>
      </c>
      <c r="J262" s="280" t="s">
        <v>191</v>
      </c>
      <c r="K262" s="209" t="s">
        <v>419</v>
      </c>
      <c r="L262" s="209"/>
      <c r="M262" s="280">
        <f>AB237</f>
        <v>0</v>
      </c>
      <c r="N262" s="281" t="s">
        <v>497</v>
      </c>
      <c r="O262" s="280">
        <v>0.0608</v>
      </c>
      <c r="P262" s="280">
        <v>0</v>
      </c>
      <c r="Q262" s="280">
        <v>0</v>
      </c>
      <c r="R262" s="280">
        <v>0</v>
      </c>
      <c r="S262" s="280">
        <v>2.25792</v>
      </c>
      <c r="T262" s="280">
        <v>0.60544</v>
      </c>
      <c r="U262" s="280">
        <v>0.6944</v>
      </c>
      <c r="V262" s="280" t="s">
        <v>312</v>
      </c>
      <c r="W262" s="280">
        <v>1</v>
      </c>
    </row>
    <row r="263" spans="2:23">
      <c r="B263" s="280" t="s">
        <v>498</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499</v>
      </c>
      <c r="O263" s="280">
        <v>0.06784</v>
      </c>
      <c r="P263" s="280">
        <v>0</v>
      </c>
      <c r="Q263" s="280">
        <v>0</v>
      </c>
      <c r="R263" s="280">
        <v>0.89344</v>
      </c>
      <c r="S263" s="280">
        <v>2.15616</v>
      </c>
      <c r="T263" s="280">
        <v>0.55232</v>
      </c>
      <c r="U263" s="280">
        <v>0.58304</v>
      </c>
      <c r="V263" s="280" t="s">
        <v>315</v>
      </c>
      <c r="W263" s="280">
        <v>1</v>
      </c>
    </row>
    <row r="264" spans="2:23">
      <c r="B264" s="280" t="s">
        <v>500</v>
      </c>
      <c r="C264" s="280" t="e">
        <f>#REF!</f>
        <v>#REF!</v>
      </c>
      <c r="D264" s="280">
        <v>0</v>
      </c>
      <c r="E264" s="280">
        <v>0</v>
      </c>
      <c r="F264" s="280">
        <v>0</v>
      </c>
      <c r="G264" s="280">
        <v>0</v>
      </c>
      <c r="H264" s="280">
        <v>0</v>
      </c>
      <c r="I264" s="280">
        <v>0.7767</v>
      </c>
      <c r="J264" s="280">
        <v>0</v>
      </c>
      <c r="K264" s="209" t="s">
        <v>195</v>
      </c>
      <c r="L264" s="209"/>
      <c r="M264" s="280">
        <f t="shared" si="77"/>
        <v>0</v>
      </c>
      <c r="N264" s="281" t="s">
        <v>501</v>
      </c>
      <c r="O264" s="280">
        <v>0.06528</v>
      </c>
      <c r="P264" s="280">
        <v>0.43008</v>
      </c>
      <c r="Q264" s="280">
        <v>0.08128</v>
      </c>
      <c r="R264" s="280">
        <v>0</v>
      </c>
      <c r="S264" s="280">
        <v>1.8688</v>
      </c>
      <c r="T264" s="280">
        <v>0.36096</v>
      </c>
      <c r="U264" s="280">
        <v>0.62592</v>
      </c>
      <c r="V264" s="280" t="s">
        <v>320</v>
      </c>
      <c r="W264" s="280">
        <v>1</v>
      </c>
    </row>
    <row r="265" spans="2:23">
      <c r="B265" s="280" t="s">
        <v>502</v>
      </c>
      <c r="C265" s="280" t="e">
        <f>#REF!</f>
        <v>#REF!</v>
      </c>
      <c r="D265" s="280">
        <v>0</v>
      </c>
      <c r="E265" s="280">
        <v>0.65856</v>
      </c>
      <c r="F265" s="280">
        <v>0.1143</v>
      </c>
      <c r="G265" s="280">
        <v>0</v>
      </c>
      <c r="H265" s="280">
        <v>0</v>
      </c>
      <c r="I265" s="280">
        <v>0.5076</v>
      </c>
      <c r="J265" s="280">
        <v>0</v>
      </c>
      <c r="K265" s="209" t="s">
        <v>195</v>
      </c>
      <c r="L265" s="209"/>
      <c r="M265" s="280">
        <f t="shared" si="77"/>
        <v>0</v>
      </c>
      <c r="N265" s="281" t="s">
        <v>503</v>
      </c>
      <c r="O265" s="280">
        <v>0.09024</v>
      </c>
      <c r="P265" s="280">
        <v>0.22464</v>
      </c>
      <c r="Q265" s="280">
        <v>0.22528</v>
      </c>
      <c r="R265" s="280">
        <v>0.20992</v>
      </c>
      <c r="S265" s="280">
        <v>1.9904</v>
      </c>
      <c r="T265" s="280">
        <v>0.43328</v>
      </c>
      <c r="U265" s="280">
        <v>0.62592</v>
      </c>
      <c r="V265" s="280" t="s">
        <v>324</v>
      </c>
      <c r="W265" s="280">
        <v>1</v>
      </c>
    </row>
    <row r="266" spans="2:23">
      <c r="B266" s="280" t="s">
        <v>504</v>
      </c>
      <c r="C266" s="280" t="e">
        <f>#REF!</f>
        <v>#REF!</v>
      </c>
      <c r="D266" s="280">
        <v>0</v>
      </c>
      <c r="E266" s="280">
        <v>0.34398</v>
      </c>
      <c r="F266" s="280">
        <v>0.3168</v>
      </c>
      <c r="G266" s="280">
        <v>0</v>
      </c>
      <c r="H266" s="280">
        <v>0</v>
      </c>
      <c r="I266" s="280">
        <v>0.6093</v>
      </c>
      <c r="J266" s="280">
        <v>0</v>
      </c>
      <c r="K266" s="209" t="s">
        <v>195</v>
      </c>
      <c r="L266" s="209"/>
      <c r="M266" s="280">
        <f t="shared" si="77"/>
        <v>0</v>
      </c>
      <c r="N266" s="281" t="s">
        <v>505</v>
      </c>
      <c r="O266" s="280">
        <v>0.08704</v>
      </c>
      <c r="P266" s="280">
        <v>0.32512</v>
      </c>
      <c r="Q266" s="280">
        <v>0.13056</v>
      </c>
      <c r="R266" s="280">
        <v>0.1824</v>
      </c>
      <c r="S266" s="280">
        <v>1.9648</v>
      </c>
      <c r="T266" s="280">
        <v>0.42304</v>
      </c>
      <c r="U266" s="280">
        <v>0.62784</v>
      </c>
      <c r="V266" s="280" t="s">
        <v>327</v>
      </c>
      <c r="W266" s="280">
        <v>1</v>
      </c>
    </row>
    <row r="267" spans="2:23">
      <c r="B267" s="280" t="s">
        <v>506</v>
      </c>
      <c r="C267" s="280" t="e">
        <f>#REF!</f>
        <v>#REF!</v>
      </c>
      <c r="D267" s="280">
        <v>0</v>
      </c>
      <c r="E267" s="280">
        <v>0.49784</v>
      </c>
      <c r="F267" s="280">
        <v>0.1836</v>
      </c>
      <c r="G267" s="280">
        <v>0</v>
      </c>
      <c r="H267" s="280">
        <v>0</v>
      </c>
      <c r="I267" s="280">
        <v>0.5949</v>
      </c>
      <c r="J267" s="280">
        <v>0</v>
      </c>
      <c r="K267" s="209" t="s">
        <v>195</v>
      </c>
      <c r="L267" s="209"/>
      <c r="M267" s="280">
        <f t="shared" si="77"/>
        <v>0</v>
      </c>
      <c r="N267" s="281" t="s">
        <v>507</v>
      </c>
      <c r="O267" s="280">
        <v>0.07552</v>
      </c>
      <c r="P267" s="280">
        <v>0.33984</v>
      </c>
      <c r="Q267" s="280">
        <v>0.11392</v>
      </c>
      <c r="R267" s="280">
        <v>0.10624</v>
      </c>
      <c r="S267" s="280">
        <v>1.93088</v>
      </c>
      <c r="T267" s="280">
        <v>0.3872</v>
      </c>
      <c r="U267" s="280">
        <v>0.6144</v>
      </c>
      <c r="V267" s="280" t="s">
        <v>329</v>
      </c>
      <c r="W267" s="280">
        <v>1</v>
      </c>
    </row>
    <row r="268" spans="2:23">
      <c r="B268" s="280" t="s">
        <v>508</v>
      </c>
      <c r="C268" s="280" t="e">
        <f>#REF!</f>
        <v>#REF!</v>
      </c>
      <c r="D268" s="280">
        <v>0</v>
      </c>
      <c r="E268" s="280">
        <v>0.52038</v>
      </c>
      <c r="F268" s="280">
        <v>0.1602</v>
      </c>
      <c r="G268" s="280">
        <v>0</v>
      </c>
      <c r="H268" s="280">
        <v>0</v>
      </c>
      <c r="I268" s="280">
        <v>0.5445</v>
      </c>
      <c r="J268" s="280">
        <v>0</v>
      </c>
      <c r="K268" s="209" t="s">
        <v>195</v>
      </c>
      <c r="L268" s="209"/>
      <c r="M268" s="280">
        <f t="shared" si="77"/>
        <v>0</v>
      </c>
      <c r="N268" s="281" t="s">
        <v>509</v>
      </c>
      <c r="O268" s="280">
        <v>0.064</v>
      </c>
      <c r="P268" s="280">
        <v>0.384</v>
      </c>
      <c r="Q268" s="280">
        <v>0.048</v>
      </c>
      <c r="R268" s="280">
        <v>0.0448</v>
      </c>
      <c r="S268" s="280">
        <v>1.86944</v>
      </c>
      <c r="T268" s="280">
        <v>0.35136</v>
      </c>
      <c r="U268" s="280">
        <v>0.61504</v>
      </c>
      <c r="V268" s="280" t="s">
        <v>331</v>
      </c>
      <c r="W268" s="280">
        <v>1</v>
      </c>
    </row>
    <row r="269" spans="2:23">
      <c r="B269" s="280" t="s">
        <v>510</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511</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512</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513</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514</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515</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516</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517</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518</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519</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520</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521</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522</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523</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524</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337</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339</v>
      </c>
      <c r="X35" s="209" t="s">
        <v>186</v>
      </c>
      <c r="Y35" s="209">
        <f t="shared" si="3"/>
        <v>0</v>
      </c>
    </row>
    <row r="36" ht="14.5" spans="2:34">
      <c r="B36" s="203" t="s">
        <v>525</v>
      </c>
      <c r="C36" t="s">
        <v>291</v>
      </c>
      <c r="D36"/>
      <c r="E36" s="203" t="s">
        <v>256</v>
      </c>
      <c r="K36" s="171">
        <v>1</v>
      </c>
      <c r="L36" s="171">
        <v>1</v>
      </c>
      <c r="N36" s="210"/>
      <c r="O36" s="210"/>
      <c r="V36" s="209" t="str">
        <f>"Tra_bat_recy_"&amp;N36</f>
        <v>Tra_bat_recy_</v>
      </c>
      <c r="W36" s="209" t="s">
        <v>341</v>
      </c>
      <c r="X36" s="209" t="s">
        <v>187</v>
      </c>
      <c r="Y36" s="209">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350</v>
      </c>
      <c r="X37" s="209" t="s">
        <v>188</v>
      </c>
      <c r="Y37" s="209">
        <f t="shared" si="3"/>
        <v>0</v>
      </c>
    </row>
    <row r="38" ht="16" spans="2:34">
      <c r="B38" s="203" t="s">
        <v>527</v>
      </c>
      <c r="C38" s="178" t="str">
        <f t="shared" si="4"/>
        <v>TRAELC</v>
      </c>
      <c r="E38" s="178" t="str">
        <f t="shared" si="5"/>
        <v>TRDELC</v>
      </c>
      <c r="K38" s="178">
        <f t="shared" si="6"/>
        <v>1</v>
      </c>
      <c r="L38" s="178">
        <f t="shared" si="7"/>
        <v>1</v>
      </c>
      <c r="N38" s="210"/>
      <c r="O38" s="210"/>
      <c r="V38" s="209" t="str">
        <f>"Tra_bat_recy_"&amp;N38</f>
        <v>Tra_bat_recy_</v>
      </c>
      <c r="W38" s="209" t="s">
        <v>352</v>
      </c>
      <c r="X38" s="209" t="s">
        <v>189</v>
      </c>
      <c r="Y38" s="209">
        <f t="shared" si="3"/>
        <v>0</v>
      </c>
    </row>
    <row r="39" ht="16" spans="2:34">
      <c r="B39" s="203" t="s">
        <v>528</v>
      </c>
      <c r="C39" s="178" t="str">
        <f t="shared" si="4"/>
        <v>TRAELC</v>
      </c>
      <c r="E39" s="178" t="str">
        <f t="shared" si="5"/>
        <v>TRDELC</v>
      </c>
      <c r="K39" s="178">
        <f t="shared" si="6"/>
        <v>1</v>
      </c>
      <c r="L39" s="178">
        <f t="shared" si="7"/>
        <v>1</v>
      </c>
      <c r="N39" s="210"/>
      <c r="O39" s="210"/>
      <c r="V39" s="209" t="str">
        <f>"Tra_bat_recy_"&amp;N39</f>
        <v>Tra_bat_recy_</v>
      </c>
      <c r="W39" s="209" t="s">
        <v>355</v>
      </c>
      <c r="X39" s="209" t="s">
        <v>190</v>
      </c>
      <c r="Y39" s="209">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407</v>
      </c>
      <c r="AR123" s="215"/>
      <c r="AS123" s="215"/>
      <c r="AT123" s="215"/>
    </row>
    <row r="124" spans="1:46">
      <c r="AA124" s="216" t="s">
        <v>404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405</v>
      </c>
      <c r="D126" s="219"/>
      <c r="E126" s="219"/>
      <c r="F126" s="219"/>
      <c r="H126" s="209"/>
      <c r="I126" s="220"/>
      <c r="J126" s="221" t="s">
        <v>406</v>
      </c>
      <c r="K126" s="221"/>
      <c r="L126" s="221"/>
      <c r="M126" s="221"/>
      <c r="N126" s="221"/>
      <c r="O126" s="221"/>
      <c r="P126" s="221"/>
      <c r="Q126" s="221"/>
      <c r="R126" s="221"/>
      <c r="S126" s="209"/>
      <c r="T126" s="209"/>
      <c r="U126" s="209"/>
      <c r="AQ126" s="215"/>
      <c r="AR126" s="215"/>
      <c r="AS126" s="215"/>
      <c r="AT126" s="215"/>
    </row>
    <row r="127" ht="14.5" spans="1:46">
      <c r="B127" s="217"/>
      <c r="C127" s="222" t="s">
        <v>407</v>
      </c>
      <c r="D127" s="219"/>
      <c r="E127" s="219"/>
      <c r="F127" s="219"/>
      <c r="H127" s="223" t="s">
        <v>408</v>
      </c>
      <c r="I127" s="224" t="s">
        <v>409</v>
      </c>
      <c r="J127" s="224" t="s">
        <v>410</v>
      </c>
      <c r="K127" s="224" t="s">
        <v>411</v>
      </c>
      <c r="L127" s="224" t="s">
        <v>412</v>
      </c>
      <c r="M127" s="225" t="s">
        <v>410</v>
      </c>
      <c r="N127" s="225" t="s">
        <v>411</v>
      </c>
      <c r="O127" s="225" t="s">
        <v>412</v>
      </c>
      <c r="P127" s="224" t="s">
        <v>410</v>
      </c>
      <c r="Q127" s="224" t="s">
        <v>411</v>
      </c>
      <c r="R127" s="224" t="s">
        <v>412</v>
      </c>
      <c r="S127" s="209"/>
      <c r="T127" s="226" t="s">
        <v>413</v>
      </c>
      <c r="U127" s="209"/>
      <c r="AA127" s="219"/>
      <c r="AB127" s="219"/>
      <c r="AC127" s="219" t="s">
        <v>407</v>
      </c>
      <c r="AD127" s="219"/>
      <c r="AE127" s="219"/>
      <c r="AF127" s="219"/>
      <c r="AI127" s="219"/>
      <c r="AJ127" s="219"/>
      <c r="AK127" s="219" t="s">
        <v>407</v>
      </c>
      <c r="AL127" s="219"/>
      <c r="AM127" s="219"/>
      <c r="AN127" s="219"/>
      <c r="AQ127" s="215"/>
      <c r="AR127" s="215"/>
      <c r="AS127" s="215"/>
      <c r="AT127" s="215"/>
    </row>
    <row r="128" ht="20" spans="1:46">
      <c r="A128" s="227"/>
      <c r="B128" s="219"/>
      <c r="C128" s="219"/>
      <c r="D128" s="222"/>
      <c r="E128" s="222"/>
      <c r="F128" s="222"/>
      <c r="H128" s="209" t="s">
        <v>414</v>
      </c>
      <c r="I128" s="224" t="s">
        <v>415</v>
      </c>
      <c r="J128" s="228" t="s">
        <v>416</v>
      </c>
      <c r="K128" s="229"/>
      <c r="L128" s="230"/>
      <c r="M128" s="231" t="s">
        <v>417</v>
      </c>
      <c r="N128" s="232"/>
      <c r="O128" s="233"/>
      <c r="P128" s="228" t="s">
        <v>418</v>
      </c>
      <c r="Q128" s="229"/>
      <c r="R128" s="230"/>
      <c r="S128" s="209"/>
      <c r="T128" s="209" t="s">
        <v>417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419</v>
      </c>
      <c r="C129" s="222" t="s">
        <v>257</v>
      </c>
      <c r="D129" s="222" t="s">
        <v>420</v>
      </c>
      <c r="E129" s="222" t="s">
        <v>421</v>
      </c>
      <c r="F129" s="222" t="s">
        <v>422</v>
      </c>
      <c r="H129" s="209"/>
      <c r="I129" s="224" t="s">
        <v>423</v>
      </c>
      <c r="J129" s="228" t="s">
        <v>424</v>
      </c>
      <c r="K129" s="229"/>
      <c r="L129" s="230"/>
      <c r="M129" s="231" t="s">
        <v>424</v>
      </c>
      <c r="N129" s="232"/>
      <c r="O129" s="233"/>
      <c r="P129" s="228" t="s">
        <v>424</v>
      </c>
      <c r="Q129" s="229"/>
      <c r="R129" s="230"/>
      <c r="S129" s="209"/>
      <c r="T129" s="209" t="s">
        <v>424</v>
      </c>
      <c r="U129" s="209"/>
      <c r="AA129" s="219" t="s">
        <v>419</v>
      </c>
      <c r="AB129" s="219" t="s">
        <v>425</v>
      </c>
      <c r="AC129" s="219" t="s">
        <v>257</v>
      </c>
      <c r="AD129" s="219" t="s">
        <v>420</v>
      </c>
      <c r="AE129" s="219" t="s">
        <v>421</v>
      </c>
      <c r="AF129" s="219" t="s">
        <v>422</v>
      </c>
      <c r="AI129" s="219" t="s">
        <v>419</v>
      </c>
      <c r="AJ129" s="219" t="s">
        <v>425</v>
      </c>
      <c r="AK129" s="219" t="s">
        <v>257</v>
      </c>
      <c r="AL129" s="219" t="s">
        <v>420</v>
      </c>
      <c r="AM129" s="219" t="s">
        <v>421</v>
      </c>
      <c r="AN129" s="219" t="s">
        <v>422</v>
      </c>
      <c r="AQ129" s="214" t="str">
        <f>C22</f>
        <v>Tra_EV_Batt-LFP_fromrecy</v>
      </c>
      <c r="AR129" s="215">
        <v>0.001</v>
      </c>
      <c r="AS129" s="215">
        <v>0.001</v>
      </c>
      <c r="AT129" s="215">
        <v>5</v>
      </c>
    </row>
    <row r="130" ht="13" spans="1:46">
      <c r="B130" s="219" t="s">
        <v>365</v>
      </c>
      <c r="C130" s="219"/>
      <c r="D130" s="219"/>
      <c r="E130" s="219"/>
      <c r="F130" s="219"/>
      <c r="H130" s="209">
        <v>0.2</v>
      </c>
      <c r="I130" s="224" t="s">
        <v>426</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365</v>
      </c>
      <c r="AB130" s="219"/>
      <c r="AC130" s="219"/>
      <c r="AD130" s="219"/>
      <c r="AE130" s="219"/>
      <c r="AF130" s="219"/>
      <c r="AI130" s="219" t="s">
        <v>365</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427</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428</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427</v>
      </c>
      <c r="AD131" s="219">
        <f t="shared" ref="AD131:AF131" si="17">D131*0.313</f>
        <v>25.1599342966667</v>
      </c>
      <c r="AE131" s="219">
        <f t="shared" si="17"/>
        <v>17.36734649</v>
      </c>
      <c r="AF131" s="219">
        <f t="shared" si="17"/>
        <v>33.43624065</v>
      </c>
      <c r="AI131" s="219" t="s">
        <v>195</v>
      </c>
      <c r="AJ131" s="219">
        <v>0</v>
      </c>
      <c r="AK131" s="219" t="s">
        <v>427</v>
      </c>
      <c r="AL131" s="219">
        <v>5</v>
      </c>
      <c r="AM131" s="219">
        <v>5</v>
      </c>
      <c r="AN131" s="219">
        <v>5</v>
      </c>
      <c r="AQ131" s="214" t="str">
        <f t="shared" si="15"/>
        <v>Tra_EV_Batt-NCA_fromrecy</v>
      </c>
      <c r="AR131" s="215">
        <v>0.001</v>
      </c>
      <c r="AS131" s="215">
        <v>0.001</v>
      </c>
      <c r="AT131" s="215">
        <v>5</v>
      </c>
    </row>
    <row r="132" ht="13" spans="1:46">
      <c r="B132" s="219" t="s">
        <v>195</v>
      </c>
      <c r="C132" s="222" t="s">
        <v>429</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430</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429</v>
      </c>
      <c r="AD132" s="219">
        <f t="shared" ref="AD132:AF132" si="18">D132*0.313</f>
        <v>29.8628918</v>
      </c>
      <c r="AE132" s="219">
        <f t="shared" si="18"/>
        <v>20.75992845</v>
      </c>
      <c r="AF132" s="219">
        <f t="shared" si="18"/>
        <v>39.52049115</v>
      </c>
      <c r="AI132" s="219" t="s">
        <v>195</v>
      </c>
      <c r="AJ132" s="219">
        <v>0</v>
      </c>
      <c r="AK132" s="219" t="s">
        <v>429</v>
      </c>
      <c r="AL132" s="219">
        <v>5</v>
      </c>
      <c r="AM132" s="219">
        <v>5</v>
      </c>
      <c r="AN132" s="219">
        <v>5</v>
      </c>
      <c r="AQ132" s="214" t="str">
        <f t="shared" si="15"/>
        <v>Tra_EV_Batt-NMC111_fromrecy</v>
      </c>
      <c r="AR132" s="215">
        <v>0.001</v>
      </c>
      <c r="AS132" s="215">
        <v>0.001</v>
      </c>
      <c r="AT132" s="215">
        <v>5</v>
      </c>
    </row>
    <row r="133" ht="13" spans="1:46">
      <c r="B133" s="219" t="s">
        <v>195</v>
      </c>
      <c r="C133" s="222" t="s">
        <v>431</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431</v>
      </c>
      <c r="AD133" s="219">
        <f t="shared" ref="AD133:AF133" si="19">D133*0.313</f>
        <v>26.7138290566668</v>
      </c>
      <c r="AE133" s="219">
        <f t="shared" si="19"/>
        <v>17.55976011</v>
      </c>
      <c r="AF133" s="219">
        <f t="shared" si="19"/>
        <v>36.41065148</v>
      </c>
      <c r="AI133" s="219" t="s">
        <v>195</v>
      </c>
      <c r="AJ133" s="219">
        <v>0</v>
      </c>
      <c r="AK133" s="219" t="s">
        <v>431</v>
      </c>
      <c r="AL133" s="219">
        <v>5</v>
      </c>
      <c r="AM133" s="219">
        <v>5</v>
      </c>
      <c r="AN133" s="219">
        <v>5</v>
      </c>
      <c r="AQ133" s="214" t="str">
        <f t="shared" si="15"/>
        <v>Tra_EV_Batt-NMC532_fromrecy</v>
      </c>
      <c r="AR133" s="215">
        <v>0.001</v>
      </c>
      <c r="AS133" s="215">
        <v>0.001</v>
      </c>
      <c r="AT133" s="215">
        <v>5</v>
      </c>
    </row>
    <row r="134" ht="30" spans="1:46">
      <c r="A134" s="238"/>
      <c r="B134" s="219" t="s">
        <v>195</v>
      </c>
      <c r="C134" s="222" t="s">
        <v>432</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432</v>
      </c>
      <c r="AD134" s="219">
        <f t="shared" ref="AD134:AF134" si="20">D134*0.313</f>
        <v>26.76825141</v>
      </c>
      <c r="AE134" s="219">
        <f t="shared" si="20"/>
        <v>17.39012663</v>
      </c>
      <c r="AF134" s="219">
        <f t="shared" si="20"/>
        <v>36.71624903</v>
      </c>
      <c r="AI134" s="219" t="s">
        <v>195</v>
      </c>
      <c r="AJ134" s="219">
        <v>0</v>
      </c>
      <c r="AK134" s="219" t="s">
        <v>432</v>
      </c>
      <c r="AL134" s="219">
        <v>5</v>
      </c>
      <c r="AM134" s="219">
        <v>5</v>
      </c>
      <c r="AN134" s="219">
        <v>5</v>
      </c>
      <c r="AQ134" s="214" t="str">
        <f t="shared" si="15"/>
        <v>Tra_EV_Batt-NMC622_fromrecy</v>
      </c>
      <c r="AR134" s="215">
        <v>0.001</v>
      </c>
      <c r="AS134" s="215">
        <v>0.001</v>
      </c>
      <c r="AT134" s="215">
        <v>5</v>
      </c>
    </row>
    <row r="135" ht="13" spans="1:46">
      <c r="B135" s="219" t="s">
        <v>195</v>
      </c>
      <c r="C135" s="222" t="s">
        <v>433</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433</v>
      </c>
      <c r="AD135" s="219">
        <f t="shared" ref="AD135:AF135" si="21">D135*0.313</f>
        <v>28.1990829166668</v>
      </c>
      <c r="AE135" s="219">
        <f t="shared" si="21"/>
        <v>18.5820901</v>
      </c>
      <c r="AF135" s="219">
        <f t="shared" si="21"/>
        <v>38.39541265</v>
      </c>
      <c r="AI135" s="219" t="s">
        <v>195</v>
      </c>
      <c r="AJ135" s="219">
        <v>0</v>
      </c>
      <c r="AK135" s="219" t="s">
        <v>433</v>
      </c>
      <c r="AL135" s="219">
        <v>5</v>
      </c>
      <c r="AM135" s="219">
        <v>5</v>
      </c>
      <c r="AN135" s="219">
        <v>5</v>
      </c>
      <c r="AQ135" s="214" t="str">
        <f t="shared" si="15"/>
        <v>Tra_EV_Batt-NMC811_fromrecy</v>
      </c>
      <c r="AR135" s="215">
        <v>0.001</v>
      </c>
      <c r="AS135" s="215">
        <v>0.001</v>
      </c>
      <c r="AT135" s="215">
        <v>5</v>
      </c>
    </row>
    <row r="136" ht="25" spans="1:46">
      <c r="A136" s="239"/>
      <c r="B136" s="219" t="s">
        <v>195</v>
      </c>
      <c r="C136" s="222" t="s">
        <v>434</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434</v>
      </c>
      <c r="AD136" s="219">
        <f t="shared" ref="AD136:AF136" si="22">D136*0.313</f>
        <v>27.2066538166668</v>
      </c>
      <c r="AE136" s="219">
        <f t="shared" si="22"/>
        <v>17.94665315</v>
      </c>
      <c r="AF136" s="219">
        <f t="shared" si="22"/>
        <v>37.0192299</v>
      </c>
      <c r="AI136" s="219" t="s">
        <v>195</v>
      </c>
      <c r="AJ136" s="219">
        <v>0</v>
      </c>
      <c r="AK136" s="219" t="s">
        <v>434</v>
      </c>
      <c r="AL136" s="219">
        <v>5</v>
      </c>
      <c r="AM136" s="219">
        <v>5</v>
      </c>
      <c r="AN136" s="219">
        <v>5</v>
      </c>
    </row>
    <row r="137" ht="13" spans="1:46">
      <c r="B137" s="219" t="s">
        <v>195</v>
      </c>
      <c r="C137" s="222" t="s">
        <v>435</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435</v>
      </c>
      <c r="AD137" s="219">
        <f t="shared" ref="AD137:AF137" si="23">D137*0.313</f>
        <v>28.0299846666668</v>
      </c>
      <c r="AE137" s="219">
        <f t="shared" si="23"/>
        <v>18.77670724</v>
      </c>
      <c r="AF137" s="219">
        <f t="shared" si="23"/>
        <v>37.83372476</v>
      </c>
      <c r="AI137" s="219" t="s">
        <v>195</v>
      </c>
      <c r="AJ137" s="219">
        <v>0</v>
      </c>
      <c r="AK137" s="219" t="s">
        <v>435</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436</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437</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427</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429</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431</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432</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433</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434</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435</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438</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368</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444</v>
      </c>
      <c r="D161" s="245"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446</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447</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448</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449</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451</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452</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453</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471</v>
      </c>
      <c r="C211" s="250"/>
      <c r="D211" s="249"/>
      <c r="E211" s="249"/>
      <c r="I211" s="209"/>
      <c r="J211" s="221" t="s">
        <v>472</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407</v>
      </c>
      <c r="C212" s="249"/>
      <c r="D212" s="249"/>
      <c r="E212" s="249"/>
      <c r="I212" s="236"/>
      <c r="J212" s="254" t="s">
        <v>410</v>
      </c>
      <c r="K212" s="255"/>
      <c r="L212" s="255"/>
      <c r="M212" s="254" t="s">
        <v>411</v>
      </c>
      <c r="N212" s="255"/>
      <c r="O212" s="255"/>
      <c r="P212" s="254" t="s">
        <v>412</v>
      </c>
      <c r="Q212" s="255"/>
      <c r="R212" s="255"/>
      <c r="S212" s="226" t="s">
        <v>413</v>
      </c>
      <c r="T212" s="209"/>
      <c r="U212" s="209"/>
      <c r="W212" s="256"/>
      <c r="X212" s="257"/>
      <c r="Y212" s="257"/>
      <c r="Z212" s="257"/>
      <c r="AA212" s="257"/>
      <c r="AB212" s="257"/>
      <c r="AC212" s="257"/>
      <c r="AD212" s="257"/>
      <c r="AE212" s="257"/>
      <c r="AF212" s="257"/>
      <c r="AH212" s="221" t="s">
        <v>473</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475</v>
      </c>
      <c r="K213" s="261"/>
      <c r="L213" s="255"/>
      <c r="M213" s="260" t="s">
        <v>475</v>
      </c>
      <c r="N213" s="261"/>
      <c r="O213" s="255"/>
      <c r="P213" s="260" t="s">
        <v>475</v>
      </c>
      <c r="Q213" s="261"/>
      <c r="R213" s="255"/>
      <c r="S213" s="260" t="s">
        <v>475</v>
      </c>
      <c r="T213" s="261"/>
      <c r="U213" s="255"/>
      <c r="W213" s="256"/>
      <c r="X213" s="262"/>
      <c r="Y213" s="262"/>
      <c r="Z213" s="262"/>
      <c r="AD213" s="262"/>
      <c r="AE213" s="262"/>
      <c r="AF213" s="262"/>
      <c r="AH213" s="220"/>
      <c r="AI213" s="220" t="s">
        <v>476</v>
      </c>
      <c r="AJ213" s="220" t="s">
        <v>477</v>
      </c>
      <c r="AK213" s="220" t="s">
        <v>478</v>
      </c>
      <c r="AL213" s="220" t="s">
        <v>479</v>
      </c>
      <c r="AM213" s="263" t="s">
        <v>480</v>
      </c>
      <c r="AN213" s="220" t="s">
        <v>481</v>
      </c>
      <c r="AO213" s="220" t="s">
        <v>348</v>
      </c>
      <c r="AP213" s="220" t="s">
        <v>482</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420</v>
      </c>
      <c r="D214" s="253" t="s">
        <v>421</v>
      </c>
      <c r="E214" s="253" t="s">
        <v>422</v>
      </c>
      <c r="I214" s="236"/>
      <c r="J214" s="260" t="s">
        <v>483</v>
      </c>
      <c r="K214" s="260" t="s">
        <v>484</v>
      </c>
      <c r="L214" s="260" t="s">
        <v>485</v>
      </c>
      <c r="M214" s="254" t="s">
        <v>483</v>
      </c>
      <c r="N214" s="264" t="s">
        <v>484</v>
      </c>
      <c r="O214" s="254" t="s">
        <v>485</v>
      </c>
      <c r="P214" s="254" t="s">
        <v>483</v>
      </c>
      <c r="Q214" s="254" t="s">
        <v>484</v>
      </c>
      <c r="R214" s="254" t="s">
        <v>485</v>
      </c>
      <c r="S214" s="254" t="s">
        <v>483</v>
      </c>
      <c r="T214" s="254" t="s">
        <v>484</v>
      </c>
      <c r="U214" s="254" t="s">
        <v>485</v>
      </c>
      <c r="W214" s="256"/>
      <c r="X214" s="262"/>
      <c r="Y214" s="262"/>
      <c r="Z214" s="262"/>
      <c r="AA214" s="257"/>
      <c r="AB214" s="192"/>
      <c r="AC214" s="192"/>
      <c r="AD214" s="257"/>
      <c r="AE214" s="257"/>
      <c r="AF214" s="257"/>
      <c r="AH214" s="265" t="s">
        <v>486</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365</v>
      </c>
      <c r="C215" s="253"/>
      <c r="D215" s="267"/>
      <c r="E215" s="267"/>
      <c r="I215" s="226" t="s">
        <v>426</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381</v>
      </c>
      <c r="C216" s="253">
        <f t="shared" ref="C216:C222" si="48">S216</f>
        <v>7.11384396954065</v>
      </c>
      <c r="D216" s="267">
        <f t="shared" ref="D216:D222" si="49">P216</f>
        <v>5.40179852616065</v>
      </c>
      <c r="E216" s="267">
        <f t="shared" ref="E216:E222" si="50">J216</f>
        <v>8.85540744288872</v>
      </c>
      <c r="I216" s="226" t="s">
        <v>488</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383</v>
      </c>
      <c r="C217" s="253">
        <f t="shared" si="48"/>
        <v>7.11384396954065</v>
      </c>
      <c r="D217" s="267">
        <f t="shared" si="49"/>
        <v>5.40179852616065</v>
      </c>
      <c r="E217" s="267">
        <f t="shared" si="50"/>
        <v>8.85540744288872</v>
      </c>
      <c r="I217" s="226" t="s">
        <v>489</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384</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385</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386</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388</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389</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390</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490</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391</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337</v>
      </c>
      <c r="AJ224" s="271" t="s">
        <v>339</v>
      </c>
      <c r="AK224" s="271" t="s">
        <v>341</v>
      </c>
      <c r="AL224" s="271" t="s">
        <v>350</v>
      </c>
      <c r="AM224" s="271" t="s">
        <v>352</v>
      </c>
      <c r="AN224" s="271" t="s">
        <v>355</v>
      </c>
      <c r="AO224" s="271" t="s">
        <v>491</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392</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393</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394</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395</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397</v>
      </c>
      <c r="C230" s="253">
        <f t="shared" ref="C230:C236" si="70">U216</f>
        <v>3.56556266273643</v>
      </c>
      <c r="D230" s="267">
        <f t="shared" ref="D230:D236" si="71">R216</f>
        <v>2.70746042741341</v>
      </c>
      <c r="E230" s="267">
        <f t="shared" ref="E230:E236" si="72">L216</f>
        <v>4.4384597641857</v>
      </c>
      <c r="I230" s="273" t="s">
        <v>492</v>
      </c>
      <c r="J230" s="240" t="s">
        <v>493</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398</v>
      </c>
      <c r="C231" s="253">
        <f t="shared" si="70"/>
        <v>3.60087708179809</v>
      </c>
      <c r="D231" s="267">
        <f t="shared" si="71"/>
        <v>2.73427597641857</v>
      </c>
      <c r="E231" s="267">
        <f t="shared" si="72"/>
        <v>4.48241960206338</v>
      </c>
      <c r="I231" s="209" t="s">
        <v>494</v>
      </c>
      <c r="J231" s="209"/>
      <c r="K231" s="209"/>
      <c r="L231" s="209"/>
      <c r="M231" s="209"/>
      <c r="N231" s="209"/>
      <c r="O231" s="209"/>
      <c r="P231" s="209"/>
      <c r="Q231" s="209"/>
      <c r="R231" s="241" t="s">
        <v>437</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400</v>
      </c>
      <c r="C233" s="253">
        <f t="shared" si="70"/>
        <v>3.56645369688037</v>
      </c>
      <c r="D233" s="267">
        <f t="shared" si="71"/>
        <v>2.70813706705969</v>
      </c>
      <c r="E233" s="267">
        <f t="shared" si="72"/>
        <v>4.43956890198968</v>
      </c>
      <c r="I233" s="209" t="s">
        <v>427</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401</v>
      </c>
      <c r="C234" s="253">
        <f t="shared" si="70"/>
        <v>3.56585961680177</v>
      </c>
      <c r="D234" s="267">
        <f t="shared" si="71"/>
        <v>2.70768592483419</v>
      </c>
      <c r="E234" s="267">
        <f t="shared" si="72"/>
        <v>4.43882940309506</v>
      </c>
      <c r="I234" s="209" t="s">
        <v>429</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495</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402</v>
      </c>
      <c r="C235" s="253">
        <f t="shared" si="70"/>
        <v>3.56556266273643</v>
      </c>
      <c r="D235" s="267">
        <f t="shared" si="71"/>
        <v>2.70746042741341</v>
      </c>
      <c r="E235" s="267">
        <f t="shared" si="72"/>
        <v>4.4384597641857</v>
      </c>
      <c r="I235" s="209" t="s">
        <v>431</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337</v>
      </c>
      <c r="AJ235" s="271" t="s">
        <v>339</v>
      </c>
      <c r="AK235" s="271" t="s">
        <v>341</v>
      </c>
      <c r="AL235" s="271" t="s">
        <v>350</v>
      </c>
      <c r="AM235" s="271" t="s">
        <v>352</v>
      </c>
      <c r="AN235" s="271" t="s">
        <v>355</v>
      </c>
      <c r="AO235" s="271" t="s">
        <v>491</v>
      </c>
    </row>
    <row r="236" ht="13" spans="1:64">
      <c r="B236" s="276" t="s">
        <v>403</v>
      </c>
      <c r="C236" s="253">
        <f t="shared" si="70"/>
        <v>3.56496890198968</v>
      </c>
      <c r="D236" s="267">
        <f t="shared" si="71"/>
        <v>2.70700957995578</v>
      </c>
      <c r="E236" s="267">
        <f t="shared" si="72"/>
        <v>4.43772063375092</v>
      </c>
      <c r="I236" s="209" t="s">
        <v>432</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433</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434</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435</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496</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491</v>
      </c>
      <c r="V261" s="280" t="s">
        <v>444</v>
      </c>
      <c r="W261" s="280" t="s">
        <v>445</v>
      </c>
    </row>
    <row r="262" spans="2:23">
      <c r="B262" s="280" t="s">
        <v>194</v>
      </c>
      <c r="C262" s="280" t="s">
        <v>257</v>
      </c>
      <c r="D262" s="280" t="s">
        <v>185</v>
      </c>
      <c r="E262" s="280" t="s">
        <v>186</v>
      </c>
      <c r="F262" s="280" t="s">
        <v>187</v>
      </c>
      <c r="G262" s="280" t="s">
        <v>188</v>
      </c>
      <c r="H262" s="280" t="s">
        <v>189</v>
      </c>
      <c r="I262" s="280" t="s">
        <v>190</v>
      </c>
      <c r="J262" s="280" t="s">
        <v>191</v>
      </c>
      <c r="K262" s="209" t="s">
        <v>419</v>
      </c>
      <c r="L262" s="209"/>
      <c r="M262" s="280">
        <f t="shared" ref="M262:M268" si="82">AB237</f>
        <v>0</v>
      </c>
      <c r="N262" s="281" t="s">
        <v>497</v>
      </c>
      <c r="O262" s="280">
        <v>0.0608</v>
      </c>
      <c r="P262" s="280">
        <v>0</v>
      </c>
      <c r="Q262" s="280">
        <v>0</v>
      </c>
      <c r="R262" s="280">
        <v>0</v>
      </c>
      <c r="S262" s="280">
        <v>2.25792</v>
      </c>
      <c r="T262" s="280">
        <v>0.60544</v>
      </c>
      <c r="U262" s="280">
        <v>0.6944</v>
      </c>
      <c r="V262" s="280" t="s">
        <v>312</v>
      </c>
      <c r="W262" s="280">
        <v>1</v>
      </c>
    </row>
    <row r="263" spans="2:23">
      <c r="B263" s="280" t="s">
        <v>498</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499</v>
      </c>
      <c r="O263" s="280">
        <v>0.06784</v>
      </c>
      <c r="P263" s="280">
        <v>0</v>
      </c>
      <c r="Q263" s="280">
        <v>0</v>
      </c>
      <c r="R263" s="280">
        <v>0.89344</v>
      </c>
      <c r="S263" s="280">
        <v>2.15616</v>
      </c>
      <c r="T263" s="280">
        <v>0.55232</v>
      </c>
      <c r="U263" s="280">
        <v>0.58304</v>
      </c>
      <c r="V263" s="280" t="s">
        <v>315</v>
      </c>
      <c r="W263" s="280">
        <v>1</v>
      </c>
    </row>
    <row r="264" spans="2:23">
      <c r="B264" s="280" t="s">
        <v>500</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501</v>
      </c>
      <c r="O264" s="280">
        <v>0.06528</v>
      </c>
      <c r="P264" s="280">
        <v>0.43008</v>
      </c>
      <c r="Q264" s="280">
        <v>0.08128</v>
      </c>
      <c r="R264" s="280">
        <v>0</v>
      </c>
      <c r="S264" s="280">
        <v>1.8688</v>
      </c>
      <c r="T264" s="280">
        <v>0.36096</v>
      </c>
      <c r="U264" s="280">
        <v>0.62592</v>
      </c>
      <c r="V264" s="280" t="s">
        <v>320</v>
      </c>
      <c r="W264" s="280">
        <v>1</v>
      </c>
    </row>
    <row r="265" spans="2:23">
      <c r="B265" s="280" t="s">
        <v>502</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503</v>
      </c>
      <c r="O265" s="280">
        <v>0.09024</v>
      </c>
      <c r="P265" s="280">
        <v>0.22464</v>
      </c>
      <c r="Q265" s="280">
        <v>0.22528</v>
      </c>
      <c r="R265" s="280">
        <v>0.20992</v>
      </c>
      <c r="S265" s="280">
        <v>1.9904</v>
      </c>
      <c r="T265" s="280">
        <v>0.43328</v>
      </c>
      <c r="U265" s="280">
        <v>0.62592</v>
      </c>
      <c r="V265" s="280" t="s">
        <v>324</v>
      </c>
      <c r="W265" s="280">
        <v>1</v>
      </c>
    </row>
    <row r="266" spans="2:23">
      <c r="B266" s="280" t="s">
        <v>504</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505</v>
      </c>
      <c r="O266" s="280">
        <v>0.08704</v>
      </c>
      <c r="P266" s="280">
        <v>0.32512</v>
      </c>
      <c r="Q266" s="280">
        <v>0.13056</v>
      </c>
      <c r="R266" s="280">
        <v>0.1824</v>
      </c>
      <c r="S266" s="280">
        <v>1.9648</v>
      </c>
      <c r="T266" s="280">
        <v>0.42304</v>
      </c>
      <c r="U266" s="280">
        <v>0.62784</v>
      </c>
      <c r="V266" s="280" t="s">
        <v>327</v>
      </c>
      <c r="W266" s="280">
        <v>1</v>
      </c>
    </row>
    <row r="267" spans="2:23">
      <c r="B267" s="280" t="s">
        <v>506</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507</v>
      </c>
      <c r="O267" s="280">
        <v>0.07552</v>
      </c>
      <c r="P267" s="280">
        <v>0.33984</v>
      </c>
      <c r="Q267" s="280">
        <v>0.11392</v>
      </c>
      <c r="R267" s="280">
        <v>0.10624</v>
      </c>
      <c r="S267" s="280">
        <v>1.93088</v>
      </c>
      <c r="T267" s="280">
        <v>0.3872</v>
      </c>
      <c r="U267" s="280">
        <v>0.6144</v>
      </c>
      <c r="V267" s="280" t="s">
        <v>329</v>
      </c>
      <c r="W267" s="280">
        <v>1</v>
      </c>
    </row>
    <row r="268" spans="2:23">
      <c r="B268" s="280" t="s">
        <v>508</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509</v>
      </c>
      <c r="O268" s="280">
        <v>0.064</v>
      </c>
      <c r="P268" s="280">
        <v>0.384</v>
      </c>
      <c r="Q268" s="280">
        <v>0.048</v>
      </c>
      <c r="R268" s="280">
        <v>0.0448</v>
      </c>
      <c r="S268" s="280">
        <v>1.86944</v>
      </c>
      <c r="T268" s="280">
        <v>0.35136</v>
      </c>
      <c r="U268" s="280">
        <v>0.61504</v>
      </c>
      <c r="V268" s="280" t="s">
        <v>331</v>
      </c>
      <c r="W268" s="280">
        <v>1</v>
      </c>
    </row>
    <row r="269" spans="2:23">
      <c r="B269" s="280" t="s">
        <v>510</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511</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512</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513</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514</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515</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516</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517</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518</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519</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520</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521</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522</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523</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524</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2026-08-03T20:24:19Z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