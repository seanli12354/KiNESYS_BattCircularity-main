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<sst xmlns="http://schemas.openxmlformats.org/spreadsheetml/2006/main" count="7752" uniqueCount="751">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</sst>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sz val="9"/>
      <name val="Times New Roman"/>
      <charset val="0"/>
    </font>
    <font>
      <b/>
      <sz val="9"/>
      <name val="Times New Roman"/>
      <charset val="0"/>
    </font>
    <font>
      <sz val="9"/>
      <name val="Tahoma"/>
      <charset val="1"/>
    </font>
    <font>
      <b/>
      <sz val="9"/>
      <name val="Tahoma"/>
      <charset val="134"/>
    </font>
    <font>
      <sz val="9"/>
      <name val="Tahoma"/>
      <charset val="134"/>
    </font>
    <font>
      <b/>
      <sz val="9"/>
      <name val="Tahoma"/>
      <charset val="1"/>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R49"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99" zoomScaleNormal="99" topLeftCell="N2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31" zoomScaleNormal="31" topLeftCell="P80" workbookViewId="0">
      <selection activeCell="X131" sqref="X131"/>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19"/>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AA22" s="202"/>
      <c r="AE22" s="171" t="s">
        <v>324</v>
      </c>
      <c r="AI22" s="171" t="s">
        <v>253</v>
      </c>
      <c r="AL22" s="171" t="s">
        <v>313</v>
      </c>
    </row>
    <row r="23" ht="14.5" spans="1:38">
      <c r="A23" s="294" t="s">
        <v>213</v>
      </c>
      <c r="B23" s="164" t="s">
        <v>325</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326</v>
      </c>
      <c r="AB23" s="159"/>
      <c r="AE23" s="171" t="s">
        <v>327</v>
      </c>
      <c r="AI23" s="171" t="s">
        <v>253</v>
      </c>
      <c r="AL23" s="171" t="s">
        <v>313</v>
      </c>
    </row>
    <row r="24" ht="14.5" spans="1:38">
      <c r="A24" s="294"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326</v>
      </c>
      <c r="AB24" s="159"/>
      <c r="AE24" s="171" t="s">
        <v>329</v>
      </c>
      <c r="AI24" s="171" t="s">
        <v>253</v>
      </c>
      <c r="AL24" s="171" t="s">
        <v>313</v>
      </c>
    </row>
    <row r="25" ht="14.5" spans="1:38">
      <c r="A25" s="294"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326</v>
      </c>
      <c r="AB25" s="159"/>
      <c r="AE25" s="171" t="s">
        <v>331</v>
      </c>
      <c r="AI25" s="171" t="s">
        <v>253</v>
      </c>
      <c r="AL25" s="171" t="s">
        <v>313</v>
      </c>
    </row>
    <row r="26" ht="14.5" spans="1:38">
      <c r="A26" s="294"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326</v>
      </c>
      <c r="AB26" s="207"/>
      <c r="AE26" s="171" t="s">
        <v>171</v>
      </c>
      <c r="AL26" s="171" t="s">
        <v>313</v>
      </c>
    </row>
    <row r="27" ht="14.5" spans="1:38">
      <c r="A27" s="294"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326</v>
      </c>
      <c r="AB27" s="207"/>
      <c r="AE27" s="171" t="s">
        <v>172</v>
      </c>
      <c r="AL27" s="171" t="s">
        <v>313</v>
      </c>
    </row>
    <row r="28" ht="14.5" spans="1:38">
      <c r="A28" s="294"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326</v>
      </c>
      <c r="AB28" s="159"/>
      <c r="AE28" s="171" t="s">
        <v>173</v>
      </c>
      <c r="AL28" s="171" t="s">
        <v>313</v>
      </c>
    </row>
    <row r="29" s="164" customFormat="1" ht="14.5" spans="1:38">
      <c r="A29" s="295" t="s">
        <v>213</v>
      </c>
      <c r="B29" s="208" t="s">
        <v>335</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2021</v>
      </c>
      <c r="U29" s="297"/>
      <c r="V29" s="206" t="str">
        <f t="shared" si="3"/>
        <v>MINBatMaterials_GR</v>
      </c>
      <c r="W29" s="206" t="str">
        <f t="shared" si="2"/>
        <v>m_graphite</v>
      </c>
      <c r="X29" s="206">
        <v>1</v>
      </c>
      <c r="Y29" s="206"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336</v>
      </c>
      <c r="O34" s="210">
        <v>0.6</v>
      </c>
      <c r="V34" s="209" t="str">
        <f t="shared" ref="V34:V39" si="4">"Tra_bat_recy_"&amp;N34</f>
        <v>Tra_bat_recy_lithium</v>
      </c>
      <c r="W34" s="209" t="s">
        <v>337</v>
      </c>
      <c r="X34" s="209" t="s">
        <v>185</v>
      </c>
      <c r="Y34" s="209">
        <f t="shared" ref="Y34:Y39" si="5">O34</f>
        <v>0.6</v>
      </c>
    </row>
    <row r="35" spans="3:38">
      <c r="N35" s="210" t="s">
        <v>338</v>
      </c>
      <c r="O35" s="210">
        <v>0.56</v>
      </c>
      <c r="V35" s="209" t="str">
        <f t="shared" si="4"/>
        <v>Tra_bat_recy_nickel</v>
      </c>
      <c r="W35" s="209" t="s">
        <v>339</v>
      </c>
      <c r="X35" s="209" t="s">
        <v>186</v>
      </c>
      <c r="Y35" s="209">
        <f t="shared" si="5"/>
        <v>0.56</v>
      </c>
    </row>
    <row r="36" spans="3:38">
      <c r="N36" s="210" t="s">
        <v>340</v>
      </c>
      <c r="O36" s="210">
        <v>0.65</v>
      </c>
      <c r="V36" s="209" t="str">
        <f t="shared" si="4"/>
        <v>Tra_bat_recy_cobalt</v>
      </c>
      <c r="W36" s="209" t="s">
        <v>341</v>
      </c>
      <c r="X36" s="209" t="s">
        <v>187</v>
      </c>
      <c r="Y36" s="209">
        <f t="shared" si="5"/>
        <v>0.65</v>
      </c>
    </row>
    <row r="37" ht="14.5" spans="3:38">
      <c r="D37" s="299">
        <v>1</v>
      </c>
      <c r="G37" s="171" t="s">
        <v>342</v>
      </c>
      <c r="H37" s="171" t="s">
        <v>343</v>
      </c>
      <c r="I37" s="171" t="s">
        <v>344</v>
      </c>
      <c r="J37" s="171" t="s">
        <v>345</v>
      </c>
      <c r="K37" s="171" t="s">
        <v>346</v>
      </c>
      <c r="L37" s="171" t="s">
        <v>347</v>
      </c>
      <c r="M37" s="171" t="s">
        <v>348</v>
      </c>
      <c r="N37" s="210" t="s">
        <v>349</v>
      </c>
      <c r="O37" s="210">
        <v>0.61</v>
      </c>
      <c r="V37" s="209" t="str">
        <f t="shared" si="4"/>
        <v>Tra_bat_recy_manganese</v>
      </c>
      <c r="W37" s="209" t="s">
        <v>350</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351</v>
      </c>
      <c r="O38" s="210">
        <v>0.52</v>
      </c>
      <c r="V38" s="209" t="str">
        <f t="shared" si="4"/>
        <v>Tra_bat_recy_aluminum</v>
      </c>
      <c r="W38" s="209" t="s">
        <v>352</v>
      </c>
      <c r="X38" s="209" t="s">
        <v>189</v>
      </c>
      <c r="Y38" s="209">
        <f t="shared" si="5"/>
        <v>0.52</v>
      </c>
      <c r="AD38" s="171" t="s">
        <v>353</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354</v>
      </c>
      <c r="O39" s="210">
        <v>0.55</v>
      </c>
      <c r="V39" s="209" t="str">
        <f t="shared" si="4"/>
        <v>Tra_bat_recy_copper</v>
      </c>
      <c r="W39" s="209" t="s">
        <v>355</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9"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t="s">
        <v>222</v>
      </c>
      <c r="X87" s="277"/>
      <c r="Y87" s="277"/>
      <c r="Z87" s="277"/>
    </row>
    <row r="88" spans="2:26">
      <c r="B88" s="171" t="s">
        <v>201</v>
      </c>
      <c r="C88" s="171" t="s">
        <v>257</v>
      </c>
      <c r="F88" s="305" t="s">
        <v>376</v>
      </c>
      <c r="G88" s="305" t="s">
        <v>257</v>
      </c>
      <c r="J88" s="305" t="s">
        <v>257</v>
      </c>
      <c r="K88" s="305" t="s">
        <v>376</v>
      </c>
      <c r="L88" s="171" t="s">
        <v>377</v>
      </c>
      <c r="M88" s="171" t="s">
        <v>201</v>
      </c>
      <c r="N88" s="277"/>
      <c r="P88" s="202"/>
      <c r="V88" s="277" t="s">
        <v>257</v>
      </c>
      <c r="W88" s="277" t="s">
        <v>322</v>
      </c>
      <c r="X88" s="277" t="s">
        <v>378</v>
      </c>
      <c r="Y88" s="277" t="s">
        <v>379</v>
      </c>
      <c r="Z88" s="277" t="s">
        <v>193</v>
      </c>
    </row>
    <row r="89" ht="14.5" spans="2:26">
      <c r="B89" s="302">
        <v>2030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326</v>
      </c>
    </row>
    <row r="90" ht="14.5" spans="2:26">
      <c r="B90" s="302">
        <v>2030</v>
      </c>
      <c r="C90" s="306" t="s">
        <v>382</v>
      </c>
      <c r="F90" s="305">
        <v>3</v>
      </c>
      <c r="G90" s="307" t="s">
        <v>382</v>
      </c>
      <c r="J90" s="308" t="s">
        <v>300</v>
      </c>
      <c r="L90" s="171">
        <v>30</v>
      </c>
      <c r="M90" s="171">
        <v>2021</v>
      </c>
      <c r="N90" s="277"/>
      <c r="O90" s="308">
        <v>15.7</v>
      </c>
      <c r="P90" s="297"/>
      <c r="V90" s="289" t="s">
        <v>300</v>
      </c>
      <c r="W90" s="289" t="s">
        <v>186</v>
      </c>
      <c r="X90" s="310">
        <v>10</v>
      </c>
      <c r="Y90" s="310">
        <v>50</v>
      </c>
      <c r="Z90" s="289" t="s">
        <v>326</v>
      </c>
    </row>
    <row r="91" ht="14.5" spans="2:26">
      <c r="B91" s="302">
        <v>2030</v>
      </c>
      <c r="C91" s="306" t="s">
        <v>383</v>
      </c>
      <c r="F91" s="305">
        <v>3</v>
      </c>
      <c r="G91" s="307" t="s">
        <v>383</v>
      </c>
      <c r="J91" s="308" t="s">
        <v>302</v>
      </c>
      <c r="L91" s="171">
        <v>30</v>
      </c>
      <c r="M91" s="171">
        <v>2021</v>
      </c>
      <c r="N91" s="277"/>
      <c r="O91" s="308">
        <v>15.7</v>
      </c>
      <c r="P91" s="297"/>
      <c r="V91" s="289" t="s">
        <v>302</v>
      </c>
      <c r="W91" s="289" t="s">
        <v>187</v>
      </c>
      <c r="X91" s="310">
        <v>18</v>
      </c>
      <c r="Y91" s="310">
        <v>80</v>
      </c>
      <c r="Z91" s="289" t="s">
        <v>326</v>
      </c>
    </row>
    <row r="92" ht="14.5" spans="2:26">
      <c r="B92" s="302">
        <v>2030</v>
      </c>
      <c r="C92" s="306" t="s">
        <v>384</v>
      </c>
      <c r="F92" s="305">
        <v>3</v>
      </c>
      <c r="G92" s="307" t="s">
        <v>384</v>
      </c>
      <c r="J92" s="308" t="s">
        <v>305</v>
      </c>
      <c r="L92" s="171">
        <v>30</v>
      </c>
      <c r="M92" s="171">
        <v>2021</v>
      </c>
      <c r="N92" s="277"/>
      <c r="O92" s="308">
        <v>15.7</v>
      </c>
      <c r="P92" s="297"/>
      <c r="V92" s="289" t="s">
        <v>305</v>
      </c>
      <c r="W92" s="289" t="s">
        <v>188</v>
      </c>
      <c r="X92" s="310">
        <v>1.2</v>
      </c>
      <c r="Y92" s="310">
        <v>8</v>
      </c>
      <c r="Z92" s="289" t="s">
        <v>326</v>
      </c>
    </row>
    <row r="93" ht="14.5" spans="2:26">
      <c r="B93" s="302">
        <v>2030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326</v>
      </c>
    </row>
    <row r="94" ht="14.5" spans="2:26">
      <c r="B94" s="302">
        <v>2030</v>
      </c>
      <c r="C94" s="306" t="s">
        <v>387</v>
      </c>
      <c r="F94" s="305">
        <v>3</v>
      </c>
      <c r="G94" s="307" t="s">
        <v>387</v>
      </c>
      <c r="J94" s="308" t="s">
        <v>309</v>
      </c>
      <c r="L94" s="171">
        <v>30</v>
      </c>
      <c r="M94" s="171">
        <v>2021</v>
      </c>
      <c r="N94" s="277"/>
      <c r="O94" s="308">
        <v>15.7</v>
      </c>
      <c r="P94" s="297"/>
      <c r="V94" s="289" t="s">
        <v>309</v>
      </c>
      <c r="W94" s="289" t="s">
        <v>190</v>
      </c>
      <c r="X94" s="310">
        <v>2.5</v>
      </c>
      <c r="Y94" s="310">
        <v>12</v>
      </c>
      <c r="Z94" s="289" t="s">
        <v>326</v>
      </c>
    </row>
    <row r="95" ht="14.5" spans="2:26">
      <c r="B95" s="302">
        <v>2030</v>
      </c>
      <c r="C95" s="306" t="s">
        <v>388</v>
      </c>
      <c r="F95" s="305">
        <v>3</v>
      </c>
      <c r="G95" s="307" t="s">
        <v>388</v>
      </c>
      <c r="J95" s="308" t="s">
        <v>311</v>
      </c>
      <c r="L95" s="171">
        <v>30</v>
      </c>
      <c r="M95" s="171">
        <v>2021</v>
      </c>
      <c r="N95" s="277"/>
      <c r="O95" s="308">
        <v>15.7</v>
      </c>
      <c r="P95" s="297"/>
      <c r="V95" s="289" t="s">
        <v>311</v>
      </c>
      <c r="W95" s="289" t="s">
        <v>191</v>
      </c>
      <c r="X95" s="310">
        <v>0.8</v>
      </c>
      <c r="Y95" s="310">
        <v>18</v>
      </c>
      <c r="Z95" s="289" t="s">
        <v>326</v>
      </c>
    </row>
    <row r="96" ht="14.5" spans="2:26">
      <c r="B96" s="302">
        <v>2030</v>
      </c>
      <c r="C96" s="306" t="s">
        <v>389</v>
      </c>
      <c r="D96" s="192"/>
      <c r="E96" s="192"/>
      <c r="F96" s="305">
        <v>3</v>
      </c>
      <c r="G96" s="307" t="s">
        <v>389</v>
      </c>
      <c r="H96" s="192"/>
      <c r="I96" s="192"/>
      <c r="J96" s="192"/>
    </row>
    <row r="97" ht="14.5" spans="2:24">
      <c r="B97" s="302">
        <v>2030</v>
      </c>
      <c r="C97" s="306" t="s">
        <v>390</v>
      </c>
      <c r="D97" s="192"/>
      <c r="E97" s="192"/>
      <c r="F97" s="305">
        <v>3</v>
      </c>
      <c r="G97" s="307" t="s">
        <v>390</v>
      </c>
      <c r="H97" s="192"/>
      <c r="I97" s="192"/>
      <c r="J97" s="192"/>
    </row>
    <row r="98" ht="14.5" spans="2:24">
      <c r="B98" s="302">
        <v>2030</v>
      </c>
      <c r="C98" s="306" t="s">
        <v>391</v>
      </c>
      <c r="D98" s="192"/>
      <c r="E98" s="192"/>
      <c r="F98" s="305">
        <v>3</v>
      </c>
      <c r="G98" s="307" t="s">
        <v>391</v>
      </c>
      <c r="H98" s="192"/>
      <c r="I98" s="192"/>
      <c r="J98" s="192"/>
    </row>
    <row r="99" ht="14.5" spans="2:24">
      <c r="B99" s="302">
        <v>2030</v>
      </c>
      <c r="C99" s="306" t="s">
        <v>392</v>
      </c>
      <c r="D99" s="192"/>
      <c r="E99" s="192"/>
      <c r="F99" s="305">
        <v>3</v>
      </c>
      <c r="G99" s="307" t="s">
        <v>392</v>
      </c>
    </row>
    <row r="100" ht="14.5" spans="2:24">
      <c r="B100" s="302">
        <v>2030</v>
      </c>
      <c r="C100" s="306" t="s">
        <v>393</v>
      </c>
      <c r="D100" s="192"/>
      <c r="E100" s="192"/>
      <c r="F100" s="305">
        <v>3</v>
      </c>
      <c r="G100" s="307" t="s">
        <v>393</v>
      </c>
    </row>
    <row r="101" ht="14.5" spans="2:24">
      <c r="B101" s="302">
        <v>2030</v>
      </c>
      <c r="C101" s="306" t="s">
        <v>394</v>
      </c>
      <c r="D101" s="192"/>
      <c r="E101" s="192"/>
      <c r="F101" s="305">
        <v>3</v>
      </c>
      <c r="G101" s="307" t="s">
        <v>394</v>
      </c>
    </row>
    <row r="102" ht="14.5" spans="2:24">
      <c r="B102" s="302">
        <v>2030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365</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365</v>
      </c>
      <c r="AB130" s="219"/>
      <c r="AC130" s="219"/>
      <c r="AD130" s="219"/>
      <c r="AE130" s="219"/>
      <c r="AF130" s="219"/>
      <c r="AI130" s="219" t="s">
        <v>365</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369</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370</v>
      </c>
      <c r="AK159" s="245"/>
      <c r="AL159" s="245"/>
      <c r="AM159" s="245"/>
      <c r="AN159" s="245" t="s">
        <v>253</v>
      </c>
      <c r="AO159" s="245"/>
      <c r="AP159" s="245"/>
      <c r="AQ159" s="245" t="s">
        <v>313</v>
      </c>
    </row>
    <row r="160" customFormat="1" ht="14.5" spans="2:43">
      <c r="B160" s="245" t="s">
        <v>368</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371</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372</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373</v>
      </c>
      <c r="AK162" s="245"/>
      <c r="AL162" s="245"/>
      <c r="AM162" s="245"/>
      <c r="AN162" s="245" t="s">
        <v>253</v>
      </c>
      <c r="AO162" s="245"/>
      <c r="AP162" s="245"/>
      <c r="AQ162" s="245" t="s">
        <v>313</v>
      </c>
    </row>
    <row r="163" customFormat="1" ht="14.5" spans="2:60">
      <c r="B163" s="245" t="s">
        <v>325</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374</v>
      </c>
      <c r="AK163" s="245"/>
      <c r="AL163" s="245"/>
      <c r="AM163" s="245"/>
      <c r="AN163" s="245" t="s">
        <v>253</v>
      </c>
      <c r="AO163" s="245"/>
      <c r="AP163" s="245"/>
      <c r="AQ163" s="245" t="s">
        <v>313</v>
      </c>
    </row>
    <row r="164" customFormat="1" ht="14.5" spans="2:60">
      <c r="B164" s="245" t="s">
        <v>328</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375</v>
      </c>
      <c r="AK164" s="245"/>
      <c r="AL164" s="245"/>
      <c r="AM164" s="245"/>
      <c r="AN164" s="245" t="s">
        <v>253</v>
      </c>
      <c r="AO164" s="245"/>
      <c r="AP164" s="245"/>
      <c r="AQ164" s="245" t="s">
        <v>313</v>
      </c>
    </row>
    <row r="165" customFormat="1" ht="14.5" spans="2:60">
      <c r="B165" s="245" t="s">
        <v>330</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332</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333</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334</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369</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370</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371</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372</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373</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374</v>
      </c>
      <c r="E179" s="245">
        <v>1</v>
      </c>
      <c r="F179" s="171">
        <v>2</v>
      </c>
      <c r="G179" s="171">
        <v>1</v>
      </c>
      <c r="Y179"/>
      <c r="Z179" s="316"/>
      <c r="AA179" s="316" t="s">
        <v>365</v>
      </c>
      <c r="AB179" s="316"/>
      <c r="AC179" s="316"/>
      <c r="AD179" s="316"/>
      <c r="AE179" s="316"/>
      <c r="AF179" s="316"/>
      <c r="AG179" s="316"/>
      <c r="AI179" s="245"/>
      <c r="AJ179" s="245" t="s">
        <v>358</v>
      </c>
      <c r="AK179" s="245"/>
      <c r="AL179" s="245"/>
      <c r="AM179" s="245"/>
      <c r="AN179" s="245" t="s">
        <v>253</v>
      </c>
      <c r="AO179" s="245"/>
      <c r="AP179" s="245"/>
      <c r="AQ179" s="245" t="s">
        <v>313</v>
      </c>
    </row>
    <row r="180" ht="14.5" spans="1:60">
      <c r="B180" s="304" t="s">
        <v>462</v>
      </c>
      <c r="C180" s="304" t="s">
        <v>452</v>
      </c>
      <c r="D180" s="304" t="s">
        <v>375</v>
      </c>
      <c r="E180" s="245">
        <v>1</v>
      </c>
      <c r="F180" s="171">
        <v>2</v>
      </c>
      <c r="G180" s="171">
        <v>1</v>
      </c>
      <c r="Y180"/>
      <c r="Z180" s="316"/>
      <c r="AA180" s="316" t="s">
        <v>456</v>
      </c>
      <c r="AB180" s="316"/>
      <c r="AC180" s="317" t="s">
        <v>441</v>
      </c>
      <c r="AD180" s="317" t="s">
        <v>442</v>
      </c>
      <c r="AE180" s="316" t="s">
        <v>251</v>
      </c>
      <c r="AF180" s="316"/>
      <c r="AG180" s="316"/>
      <c r="AI180" s="245"/>
      <c r="AJ180" s="245" t="s">
        <v>359</v>
      </c>
      <c r="AK180" s="245"/>
      <c r="AL180" s="245"/>
      <c r="AM180" s="245"/>
      <c r="AN180" s="245" t="s">
        <v>253</v>
      </c>
      <c r="AO180" s="245"/>
      <c r="AP180" s="245"/>
      <c r="AQ180" s="245" t="s">
        <v>313</v>
      </c>
    </row>
    <row r="181" ht="14.5" spans="1:60">
      <c r="B181" s="304" t="s">
        <v>463</v>
      </c>
      <c r="C181" s="304" t="s">
        <v>445</v>
      </c>
      <c r="D181" s="304" t="s">
        <v>358</v>
      </c>
      <c r="E181" s="245">
        <v>1</v>
      </c>
      <c r="F181" s="171">
        <v>0</v>
      </c>
      <c r="G181" s="171">
        <v>1</v>
      </c>
      <c r="Y181"/>
      <c r="Z181" s="316"/>
      <c r="AA181" s="316" t="s">
        <v>457</v>
      </c>
      <c r="AB181" s="316"/>
      <c r="AC181" s="317" t="s">
        <v>441</v>
      </c>
      <c r="AD181" s="317" t="s">
        <v>442</v>
      </c>
      <c r="AE181" s="316" t="s">
        <v>251</v>
      </c>
      <c r="AF181" s="316"/>
      <c r="AG181" s="316"/>
      <c r="AI181" s="245"/>
      <c r="AJ181" s="245" t="s">
        <v>360</v>
      </c>
      <c r="AK181" s="245"/>
      <c r="AL181" s="245"/>
      <c r="AM181" s="245"/>
      <c r="AN181" s="245" t="s">
        <v>253</v>
      </c>
      <c r="AO181" s="245"/>
      <c r="AP181" s="245"/>
      <c r="AQ181" s="245" t="s">
        <v>313</v>
      </c>
    </row>
    <row r="182" ht="14.5" spans="1:60">
      <c r="B182" s="304" t="s">
        <v>464</v>
      </c>
      <c r="C182" s="304" t="s">
        <v>446</v>
      </c>
      <c r="D182" s="304" t="s">
        <v>359</v>
      </c>
      <c r="E182" s="245">
        <v>1</v>
      </c>
      <c r="F182" s="171">
        <v>0</v>
      </c>
      <c r="G182" s="171">
        <v>1</v>
      </c>
      <c r="Y182"/>
      <c r="Z182" s="316"/>
      <c r="AA182" s="316" t="s">
        <v>458</v>
      </c>
      <c r="AB182" s="316"/>
      <c r="AC182" s="317" t="s">
        <v>441</v>
      </c>
      <c r="AD182" s="317" t="s">
        <v>442</v>
      </c>
      <c r="AE182" s="316" t="s">
        <v>251</v>
      </c>
      <c r="AF182" s="316"/>
      <c r="AG182" s="316"/>
      <c r="AI182" s="245"/>
      <c r="AJ182" s="245" t="s">
        <v>361</v>
      </c>
      <c r="AK182" s="245"/>
      <c r="AL182" s="245"/>
      <c r="AM182" s="245"/>
      <c r="AN182" s="245" t="s">
        <v>253</v>
      </c>
      <c r="AO182" s="245"/>
      <c r="AP182" s="245"/>
      <c r="AQ182" s="245" t="s">
        <v>313</v>
      </c>
    </row>
    <row r="183" ht="14.5" spans="1:60">
      <c r="B183" s="304" t="s">
        <v>465</v>
      </c>
      <c r="C183" s="304" t="s">
        <v>447</v>
      </c>
      <c r="D183" s="304" t="s">
        <v>360</v>
      </c>
      <c r="E183" s="245">
        <v>1</v>
      </c>
      <c r="F183" s="171">
        <v>0</v>
      </c>
      <c r="G183" s="171">
        <v>1</v>
      </c>
      <c r="Y183"/>
      <c r="Z183" s="316"/>
      <c r="AA183" s="316" t="s">
        <v>459</v>
      </c>
      <c r="AB183" s="316"/>
      <c r="AC183" s="317" t="s">
        <v>441</v>
      </c>
      <c r="AD183" s="317" t="s">
        <v>442</v>
      </c>
      <c r="AE183" s="316" t="s">
        <v>251</v>
      </c>
      <c r="AF183" s="316"/>
      <c r="AG183" s="316"/>
      <c r="AI183" s="245"/>
      <c r="AJ183" s="245" t="s">
        <v>362</v>
      </c>
      <c r="AK183" s="245"/>
      <c r="AL183" s="245"/>
      <c r="AM183" s="245"/>
      <c r="AN183" s="245" t="s">
        <v>253</v>
      </c>
      <c r="AO183" s="245"/>
      <c r="AP183" s="245"/>
      <c r="AQ183" s="245" t="s">
        <v>313</v>
      </c>
    </row>
    <row r="184" ht="14.5" spans="1:60">
      <c r="B184" s="304" t="s">
        <v>466</v>
      </c>
      <c r="C184" s="304" t="s">
        <v>448</v>
      </c>
      <c r="D184" s="304" t="s">
        <v>361</v>
      </c>
      <c r="E184" s="245">
        <v>1</v>
      </c>
      <c r="F184" s="171">
        <v>0</v>
      </c>
      <c r="G184" s="171">
        <v>1</v>
      </c>
      <c r="Y184"/>
      <c r="Z184" s="316"/>
      <c r="AA184" s="316" t="s">
        <v>460</v>
      </c>
      <c r="AB184" s="316"/>
      <c r="AC184" s="317" t="s">
        <v>441</v>
      </c>
      <c r="AD184" s="317" t="s">
        <v>442</v>
      </c>
      <c r="AE184" s="316" t="s">
        <v>251</v>
      </c>
      <c r="AF184" s="316"/>
      <c r="AG184" s="316"/>
      <c r="AI184" s="245"/>
      <c r="AJ184" s="245" t="s">
        <v>363</v>
      </c>
      <c r="AK184" s="245"/>
      <c r="AL184" s="245"/>
      <c r="AM184" s="245"/>
      <c r="AN184" s="245" t="s">
        <v>253</v>
      </c>
      <c r="AO184" s="245"/>
      <c r="AP184" s="245"/>
      <c r="AQ184" s="245" t="s">
        <v>313</v>
      </c>
    </row>
    <row r="185" ht="14.5" spans="1:60">
      <c r="B185" s="304" t="s">
        <v>467</v>
      </c>
      <c r="C185" s="304" t="s">
        <v>450</v>
      </c>
      <c r="D185" s="304" t="s">
        <v>362</v>
      </c>
      <c r="E185" s="245">
        <v>1</v>
      </c>
      <c r="F185" s="171">
        <v>0</v>
      </c>
      <c r="G185" s="171">
        <v>1</v>
      </c>
      <c r="Y185"/>
      <c r="Z185" s="316"/>
      <c r="AA185" s="316" t="s">
        <v>461</v>
      </c>
      <c r="AB185" s="316"/>
      <c r="AC185" s="317" t="s">
        <v>441</v>
      </c>
      <c r="AD185" s="317" t="s">
        <v>442</v>
      </c>
      <c r="AE185" s="316" t="s">
        <v>251</v>
      </c>
      <c r="AF185" s="316"/>
      <c r="AG185" s="316"/>
      <c r="AI185" s="320"/>
      <c r="AJ185" s="320" t="s">
        <v>364</v>
      </c>
      <c r="AK185" s="245"/>
      <c r="AL185" s="245"/>
      <c r="AM185" s="245"/>
      <c r="AN185" s="245" t="s">
        <v>253</v>
      </c>
      <c r="AO185" s="245"/>
      <c r="AP185" s="245"/>
      <c r="AQ185" s="320" t="s">
        <v>313</v>
      </c>
    </row>
    <row r="186" ht="14.5" spans="1:60">
      <c r="B186" s="304" t="s">
        <v>468</v>
      </c>
      <c r="C186" s="304" t="s">
        <v>451</v>
      </c>
      <c r="D186" s="304" t="s">
        <v>363</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364</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348</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326</v>
      </c>
      <c r="BB214" s="316"/>
      <c r="BC214" s="245" t="s">
        <v>380</v>
      </c>
      <c r="BD214" s="245">
        <v>5</v>
      </c>
      <c r="BE214" s="245">
        <v>5</v>
      </c>
      <c r="BF214" s="245">
        <v>5</v>
      </c>
      <c r="BG214" s="245">
        <v>5</v>
      </c>
      <c r="BH214" s="245">
        <v>5</v>
      </c>
      <c r="BI214" s="245">
        <v>5</v>
      </c>
      <c r="BJ214" s="245">
        <v>5</v>
      </c>
      <c r="BK214" s="245" t="s">
        <v>326</v>
      </c>
      <c r="BL214" s="245">
        <v>0</v>
      </c>
    </row>
    <row r="215" ht="20" spans="1:64">
      <c r="A215" s="266"/>
      <c r="B215" s="253" t="s">
        <v>365</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369</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326</v>
      </c>
      <c r="BB215" s="316"/>
      <c r="BC215" s="245" t="s">
        <v>382</v>
      </c>
      <c r="BD215" s="245">
        <v>5</v>
      </c>
      <c r="BE215" s="245">
        <v>5</v>
      </c>
      <c r="BF215" s="245">
        <v>5</v>
      </c>
      <c r="BG215" s="245">
        <v>5</v>
      </c>
      <c r="BH215" s="245">
        <v>5</v>
      </c>
      <c r="BI215" s="245">
        <v>5</v>
      </c>
      <c r="BJ215" s="245">
        <v>5</v>
      </c>
      <c r="BK215" s="245" t="s">
        <v>326</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370</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326</v>
      </c>
      <c r="BB216" s="316"/>
      <c r="BC216" s="245" t="s">
        <v>383</v>
      </c>
      <c r="BD216" s="245">
        <v>5</v>
      </c>
      <c r="BE216" s="245">
        <v>5</v>
      </c>
      <c r="BF216" s="245">
        <v>5</v>
      </c>
      <c r="BG216" s="245">
        <v>5</v>
      </c>
      <c r="BH216" s="245">
        <v>5</v>
      </c>
      <c r="BI216" s="245">
        <v>5</v>
      </c>
      <c r="BJ216" s="245">
        <v>5</v>
      </c>
      <c r="BK216" s="245" t="s">
        <v>326</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371</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326</v>
      </c>
      <c r="BB217" s="316"/>
      <c r="BC217" s="245" t="s">
        <v>384</v>
      </c>
      <c r="BD217" s="245">
        <v>5</v>
      </c>
      <c r="BE217" s="245">
        <v>5</v>
      </c>
      <c r="BF217" s="245">
        <v>5</v>
      </c>
      <c r="BG217" s="245">
        <v>5</v>
      </c>
      <c r="BH217" s="245">
        <v>5</v>
      </c>
      <c r="BI217" s="245">
        <v>5</v>
      </c>
      <c r="BJ217" s="245">
        <v>5</v>
      </c>
      <c r="BK217" s="245" t="s">
        <v>326</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372</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326</v>
      </c>
      <c r="BB218" s="316"/>
      <c r="BC218" s="245" t="s">
        <v>385</v>
      </c>
      <c r="BD218" s="245">
        <v>5</v>
      </c>
      <c r="BE218" s="245">
        <v>5</v>
      </c>
      <c r="BF218" s="245">
        <v>5</v>
      </c>
      <c r="BG218" s="245">
        <v>5</v>
      </c>
      <c r="BH218" s="245">
        <v>5</v>
      </c>
      <c r="BI218" s="245">
        <v>5</v>
      </c>
      <c r="BJ218" s="245">
        <v>5</v>
      </c>
      <c r="BK218" s="245" t="s">
        <v>326</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373</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326</v>
      </c>
      <c r="BB219" s="316"/>
      <c r="BC219" s="245" t="s">
        <v>387</v>
      </c>
      <c r="BD219" s="245">
        <v>5</v>
      </c>
      <c r="BE219" s="245">
        <v>5</v>
      </c>
      <c r="BF219" s="245">
        <v>5</v>
      </c>
      <c r="BG219" s="245">
        <v>5</v>
      </c>
      <c r="BH219" s="245">
        <v>5</v>
      </c>
      <c r="BI219" s="245">
        <v>5</v>
      </c>
      <c r="BJ219" s="245">
        <v>5</v>
      </c>
      <c r="BK219" s="245" t="s">
        <v>326</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374</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326</v>
      </c>
      <c r="BB220" s="316"/>
      <c r="BC220" s="245" t="s">
        <v>388</v>
      </c>
      <c r="BD220" s="245">
        <v>5</v>
      </c>
      <c r="BE220" s="245">
        <v>5</v>
      </c>
      <c r="BF220" s="245">
        <v>5</v>
      </c>
      <c r="BG220" s="245">
        <v>5</v>
      </c>
      <c r="BH220" s="245">
        <v>5</v>
      </c>
      <c r="BI220" s="245">
        <v>5</v>
      </c>
      <c r="BJ220" s="245">
        <v>5</v>
      </c>
      <c r="BK220" s="245" t="s">
        <v>326</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375</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326</v>
      </c>
      <c r="BB221" s="316"/>
      <c r="BC221" s="245" t="s">
        <v>389</v>
      </c>
      <c r="BD221" s="245">
        <v>5</v>
      </c>
      <c r="BE221" s="245">
        <v>5</v>
      </c>
      <c r="BF221" s="245">
        <v>5</v>
      </c>
      <c r="BG221" s="245">
        <v>5</v>
      </c>
      <c r="BH221" s="245">
        <v>5</v>
      </c>
      <c r="BI221" s="245">
        <v>5</v>
      </c>
      <c r="BJ221" s="245">
        <v>5</v>
      </c>
      <c r="BK221" s="245" t="s">
        <v>326</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369</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326</v>
      </c>
      <c r="BB222" s="316"/>
      <c r="BC222" s="245" t="s">
        <v>390</v>
      </c>
      <c r="BD222" s="245">
        <v>5</v>
      </c>
      <c r="BE222" s="245">
        <v>5</v>
      </c>
      <c r="BF222" s="245">
        <v>5</v>
      </c>
      <c r="BG222" s="245">
        <v>5</v>
      </c>
      <c r="BH222" s="245">
        <v>5</v>
      </c>
      <c r="BI222" s="245">
        <v>5</v>
      </c>
      <c r="BJ222" s="245">
        <v>5</v>
      </c>
      <c r="BK222" s="245" t="s">
        <v>326</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370</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326</v>
      </c>
      <c r="BB223" s="316"/>
      <c r="BC223" s="245" t="s">
        <v>391</v>
      </c>
      <c r="BD223" s="245">
        <v>5</v>
      </c>
      <c r="BE223" s="245">
        <v>5</v>
      </c>
      <c r="BF223" s="245">
        <v>5</v>
      </c>
      <c r="BG223" s="245">
        <v>5</v>
      </c>
      <c r="BH223" s="245">
        <v>5</v>
      </c>
      <c r="BI223" s="245">
        <v>5</v>
      </c>
      <c r="BJ223" s="245">
        <v>5</v>
      </c>
      <c r="BK223" s="245" t="s">
        <v>326</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371</v>
      </c>
      <c r="AC224" s="245" t="s">
        <v>486</v>
      </c>
      <c r="AD224" s="325">
        <f t="shared" si="49"/>
        <v>4.89062</v>
      </c>
      <c r="AE224" s="269"/>
      <c r="AH224" s="251"/>
      <c r="AI224" s="271" t="s">
        <v>337</v>
      </c>
      <c r="AJ224" s="271" t="s">
        <v>339</v>
      </c>
      <c r="AK224" s="271" t="s">
        <v>341</v>
      </c>
      <c r="AL224" s="271" t="s">
        <v>350</v>
      </c>
      <c r="AM224" s="271" t="s">
        <v>352</v>
      </c>
      <c r="AN224" s="271" t="s">
        <v>355</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326</v>
      </c>
      <c r="BB224" s="316"/>
      <c r="BC224" s="245" t="s">
        <v>392</v>
      </c>
      <c r="BD224" s="245">
        <v>5</v>
      </c>
      <c r="BE224" s="245">
        <v>5</v>
      </c>
      <c r="BF224" s="245">
        <v>5</v>
      </c>
      <c r="BG224" s="245">
        <v>5</v>
      </c>
      <c r="BH224" s="245">
        <v>5</v>
      </c>
      <c r="BI224" s="245">
        <v>5</v>
      </c>
      <c r="BJ224" s="245">
        <v>5</v>
      </c>
      <c r="BK224" s="245" t="s">
        <v>326</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372</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326</v>
      </c>
      <c r="BB225" s="316"/>
      <c r="BC225" s="245" t="s">
        <v>393</v>
      </c>
      <c r="BD225" s="245">
        <v>5</v>
      </c>
      <c r="BE225" s="245">
        <v>5</v>
      </c>
      <c r="BF225" s="245">
        <v>5</v>
      </c>
      <c r="BG225" s="245">
        <v>5</v>
      </c>
      <c r="BH225" s="245">
        <v>5</v>
      </c>
      <c r="BI225" s="245">
        <v>5</v>
      </c>
      <c r="BJ225" s="245">
        <v>5</v>
      </c>
      <c r="BK225" s="245" t="s">
        <v>326</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373</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326</v>
      </c>
      <c r="BB226" s="316"/>
      <c r="BC226" s="245" t="s">
        <v>394</v>
      </c>
      <c r="BD226" s="245">
        <v>5</v>
      </c>
      <c r="BE226" s="245">
        <v>5</v>
      </c>
      <c r="BF226" s="245">
        <v>5</v>
      </c>
      <c r="BG226" s="245">
        <v>5</v>
      </c>
      <c r="BH226" s="245">
        <v>5</v>
      </c>
      <c r="BI226" s="245">
        <v>5</v>
      </c>
      <c r="BJ226" s="245">
        <v>5</v>
      </c>
      <c r="BK226" s="245" t="s">
        <v>326</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374</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326</v>
      </c>
      <c r="BB227" s="316"/>
      <c r="BC227" s="245" t="s">
        <v>395</v>
      </c>
      <c r="BD227" s="245">
        <v>5</v>
      </c>
      <c r="BE227" s="245">
        <v>5</v>
      </c>
      <c r="BF227" s="245">
        <v>5</v>
      </c>
      <c r="BG227" s="245">
        <v>5</v>
      </c>
      <c r="BH227" s="245">
        <v>5</v>
      </c>
      <c r="BI227" s="245">
        <v>5</v>
      </c>
      <c r="BJ227" s="245">
        <v>5</v>
      </c>
      <c r="BK227" s="245" t="s">
        <v>326</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375</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326</v>
      </c>
      <c r="BB228" s="316"/>
      <c r="BC228" s="245" t="s">
        <v>396</v>
      </c>
      <c r="BD228" s="245">
        <v>5</v>
      </c>
      <c r="BE228" s="245">
        <v>5</v>
      </c>
      <c r="BF228" s="245">
        <v>5</v>
      </c>
      <c r="BG228" s="245">
        <v>5</v>
      </c>
      <c r="BH228" s="245">
        <v>5</v>
      </c>
      <c r="BI228" s="245">
        <v>5</v>
      </c>
      <c r="BJ228" s="245">
        <v>5</v>
      </c>
      <c r="BK228" s="245" t="s">
        <v>326</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369</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326</v>
      </c>
      <c r="BB229" s="316"/>
      <c r="BC229" s="245" t="s">
        <v>397</v>
      </c>
      <c r="BD229" s="245">
        <v>5</v>
      </c>
      <c r="BE229" s="245">
        <v>5</v>
      </c>
      <c r="BF229" s="245">
        <v>5</v>
      </c>
      <c r="BG229" s="245">
        <v>5</v>
      </c>
      <c r="BH229" s="245">
        <v>5</v>
      </c>
      <c r="BI229" s="245">
        <v>5</v>
      </c>
      <c r="BJ229" s="245">
        <v>5</v>
      </c>
      <c r="BK229" s="245" t="s">
        <v>326</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370</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326</v>
      </c>
      <c r="BB230" s="326"/>
      <c r="BC230" s="304" t="s">
        <v>398</v>
      </c>
      <c r="BD230" s="245">
        <v>5</v>
      </c>
      <c r="BE230" s="245">
        <v>5</v>
      </c>
      <c r="BF230" s="245">
        <v>5</v>
      </c>
      <c r="BG230" s="245">
        <v>5</v>
      </c>
      <c r="BH230" s="245">
        <v>5</v>
      </c>
      <c r="BI230" s="245">
        <v>5</v>
      </c>
      <c r="BJ230" s="245">
        <v>5</v>
      </c>
      <c r="BK230" s="245" t="s">
        <v>326</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371</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326</v>
      </c>
      <c r="BB231" s="326"/>
      <c r="BC231" s="304" t="s">
        <v>399</v>
      </c>
      <c r="BD231" s="245">
        <v>5</v>
      </c>
      <c r="BE231" s="245">
        <v>5</v>
      </c>
      <c r="BF231" s="245">
        <v>5</v>
      </c>
      <c r="BG231" s="245">
        <v>5</v>
      </c>
      <c r="BH231" s="245">
        <v>5</v>
      </c>
      <c r="BI231" s="245">
        <v>5</v>
      </c>
      <c r="BJ231" s="245">
        <v>5</v>
      </c>
      <c r="BK231" s="245" t="s">
        <v>326</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372</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326</v>
      </c>
      <c r="BB232" s="326"/>
      <c r="BC232" s="304" t="s">
        <v>400</v>
      </c>
      <c r="BD232" s="245">
        <v>5</v>
      </c>
      <c r="BE232" s="245">
        <v>5</v>
      </c>
      <c r="BF232" s="245">
        <v>5</v>
      </c>
      <c r="BG232" s="245">
        <v>5</v>
      </c>
      <c r="BH232" s="245">
        <v>5</v>
      </c>
      <c r="BI232" s="245">
        <v>5</v>
      </c>
      <c r="BJ232" s="245">
        <v>5</v>
      </c>
      <c r="BK232" s="245" t="s">
        <v>326</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373</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326</v>
      </c>
      <c r="BB233" s="326"/>
      <c r="BC233" s="304" t="s">
        <v>401</v>
      </c>
      <c r="BD233" s="245">
        <v>5</v>
      </c>
      <c r="BE233" s="245">
        <v>5</v>
      </c>
      <c r="BF233" s="245">
        <v>5</v>
      </c>
      <c r="BG233" s="245">
        <v>5</v>
      </c>
      <c r="BH233" s="245">
        <v>5</v>
      </c>
      <c r="BI233" s="245">
        <v>5</v>
      </c>
      <c r="BJ233" s="245">
        <v>5</v>
      </c>
      <c r="BK233" s="245" t="s">
        <v>326</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374</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326</v>
      </c>
      <c r="BB234" s="326"/>
      <c r="BC234" s="304" t="s">
        <v>402</v>
      </c>
      <c r="BD234" s="245">
        <v>5</v>
      </c>
      <c r="BE234" s="245">
        <v>5</v>
      </c>
      <c r="BF234" s="245">
        <v>5</v>
      </c>
      <c r="BG234" s="245">
        <v>5</v>
      </c>
      <c r="BH234" s="245">
        <v>5</v>
      </c>
      <c r="BI234" s="245">
        <v>5</v>
      </c>
      <c r="BJ234" s="245">
        <v>5</v>
      </c>
      <c r="BK234" s="245" t="s">
        <v>326</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375</v>
      </c>
      <c r="AC235" s="320" t="s">
        <v>486</v>
      </c>
      <c r="AD235" s="328">
        <f t="shared" si="49"/>
        <v>4.7484</v>
      </c>
      <c r="AE235" s="269"/>
      <c r="AI235" s="271" t="s">
        <v>337</v>
      </c>
      <c r="AJ235" s="271" t="s">
        <v>339</v>
      </c>
      <c r="AK235" s="271" t="s">
        <v>341</v>
      </c>
      <c r="AL235" s="271" t="s">
        <v>350</v>
      </c>
      <c r="AM235" s="271" t="s">
        <v>352</v>
      </c>
      <c r="AN235" s="271" t="s">
        <v>355</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324</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327</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329</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331</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89" zoomScaleNormal="89" topLeftCell="A8"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337</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339</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341</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350</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352</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355</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365</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365</v>
      </c>
      <c r="AB130" s="219"/>
      <c r="AC130" s="219"/>
      <c r="AD130" s="219"/>
      <c r="AE130" s="219"/>
      <c r="AF130" s="219"/>
      <c r="AI130" s="219" t="s">
        <v>365</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368</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348</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365</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337</v>
      </c>
      <c r="AJ224" s="271" t="s">
        <v>339</v>
      </c>
      <c r="AK224" s="271" t="s">
        <v>341</v>
      </c>
      <c r="AL224" s="271" t="s">
        <v>350</v>
      </c>
      <c r="AM224" s="271" t="s">
        <v>352</v>
      </c>
      <c r="AN224" s="271" t="s">
        <v>355</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337</v>
      </c>
      <c r="AJ235" s="271" t="s">
        <v>339</v>
      </c>
      <c r="AK235" s="271" t="s">
        <v>341</v>
      </c>
      <c r="AL235" s="271" t="s">
        <v>350</v>
      </c>
      <c r="AM235" s="271" t="s">
        <v>352</v>
      </c>
      <c r="AN235" s="271" t="s">
        <v>355</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324</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327</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329</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331</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2026-08-03T22:50:06Z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