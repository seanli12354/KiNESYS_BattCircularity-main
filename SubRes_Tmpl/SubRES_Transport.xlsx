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<sst xmlns="http://schemas.openxmlformats.org/spreadsheetml/2006/main" count="7748" uniqueCount="752">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</sst>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
    </font>
    <font>
      <sz val="9"/>
      <name val="Times New Roman"/>
      <charset val="0"/>
    </font>
    <font>
      <sz val="9"/>
      <name val="Times New Roman"/>
      <charset val="134"/>
    </font>
    <font>
      <b/>
      <sz val="9"/>
      <name val="Tahoma"/>
      <charset val="134"/>
    </font>
    <font>
      <b/>
      <sz val="9"/>
      <name val="Times New Roman"/>
      <charset val="134"/>
    </font>
    <font>
      <sz val="9"/>
      <name val="Tahoma"/>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tabSelected="1" zoomScale="54" zoomScaleNormal="54" topLeftCell="B156" workbookViewId="0">
      <selection activeCell="Q185" sqref="Q185"/>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IF($K177="\I:","",C177*60%)</f>
        <v>13894.5945491636</v>
      </c>
      <c r="N177" s="370">
        <f>IF($K177="\I:","",D177*60%)</f>
        <v>12451.0324832256</v>
      </c>
      <c r="O177" s="370">
        <f>IF($K177="\I:","",E177*60%)</f>
        <v>12130.5157663695</v>
      </c>
      <c r="P177" s="370">
        <f>IF($K177="\I:","",F177*60%)</f>
        <v>12019.5207222348</v>
      </c>
      <c r="R177" s="371">
        <v>0.05</v>
      </c>
      <c r="U177" t="str">
        <f t="shared" ref="U177:U199" si="40">K177</f>
        <v>Trd_car_elc_120</v>
      </c>
      <c r="V177" t="str">
        <f ca="1" t="shared" ref="V177:V184" si="41">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2">$I$171/$I$12</f>
        <v>4.29135863605588</v>
      </c>
      <c r="J178" t="str">
        <f t="shared" si="33"/>
        <v>Trd_car_elc</v>
      </c>
      <c r="K178" t="str">
        <f t="shared" ref="K178:K184" si="43">IFERROR(IF(VALUE(C178)&gt;2020,J178&amp;"_"&amp;TEXT(B178,"000"),"\I:"),"\I:")</f>
        <v>Trd_car_elc_160</v>
      </c>
      <c r="L178" t="str">
        <f t="shared" si="35"/>
        <v>Trd_car</v>
      </c>
      <c r="M178" s="370">
        <f>IF($K178="\I:","",C178*60%)</f>
        <v>14878.4034530119</v>
      </c>
      <c r="N178" s="370">
        <f>IF($K178="\I:","",D178*60%)</f>
        <v>12538.995681491</v>
      </c>
      <c r="O178" s="370">
        <f>IF($K178="\I:","",E178*60%)</f>
        <v>12189.7850871259</v>
      </c>
      <c r="P178" s="370">
        <f>IF($K178="\I:","",F178*60%)</f>
        <v>12068.8533438019</v>
      </c>
      <c r="R178" s="371">
        <v>0.075</v>
      </c>
      <c r="U178" t="str">
        <f t="shared" si="40"/>
        <v>Trd_car_elc_160</v>
      </c>
      <c r="V178" t="str">
        <f ca="1" t="shared" si="41"/>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2"/>
        <v>4.29135863605588</v>
      </c>
      <c r="J179" t="str">
        <f t="shared" si="33"/>
        <v>Trd_car_elc</v>
      </c>
      <c r="K179" t="str">
        <f t="shared" si="43"/>
        <v>Trd_car_elc_200</v>
      </c>
      <c r="L179" t="str">
        <f t="shared" si="35"/>
        <v>Trd_car</v>
      </c>
      <c r="M179" s="370">
        <f>IF($K179="\I:","",C179*60%)</f>
        <v>15862.21235686</v>
      </c>
      <c r="N179" s="370">
        <f>IF($K179="\I:","",D179*60%)</f>
        <v>12713.0505206118</v>
      </c>
      <c r="O179" s="370">
        <f>IF($K179="\I:","",E179*60%)</f>
        <v>12307.0626792607</v>
      </c>
      <c r="P179" s="370">
        <f>IF($K179="\I:","",F179*60%)</f>
        <v>12166.4689566901</v>
      </c>
      <c r="R179" s="371">
        <v>0.1</v>
      </c>
      <c r="U179" t="str">
        <f t="shared" si="40"/>
        <v>Trd_car_elc_200</v>
      </c>
      <c r="V179" t="str">
        <f ca="1" t="shared" si="41"/>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2"/>
        <v>4.29135863605588</v>
      </c>
      <c r="J180" t="str">
        <f t="shared" si="33"/>
        <v>Trd_car_elc</v>
      </c>
      <c r="K180" t="str">
        <f t="shared" si="43"/>
        <v>Trd_car_elc_250</v>
      </c>
      <c r="L180" t="str">
        <f t="shared" si="35"/>
        <v>Trd_car</v>
      </c>
      <c r="M180" s="370">
        <f>IF($K180="\I:","",C180*60%)</f>
        <v>17138.4065699888</v>
      </c>
      <c r="N180" s="370">
        <f>IF($K180="\I:","",D180*60%)</f>
        <v>13071.1989053621</v>
      </c>
      <c r="O180" s="370">
        <f>IF($K180="\I:","",E180*60%)</f>
        <v>12548.3819117663</v>
      </c>
      <c r="P180" s="370">
        <f>IF($K180="\I:","",F180*60%)</f>
        <v>12367.3302154687</v>
      </c>
      <c r="R180" s="371">
        <v>0.125</v>
      </c>
      <c r="U180" t="str">
        <f t="shared" si="40"/>
        <v>Trd_car_elc_250</v>
      </c>
      <c r="V180" t="str">
        <f ca="1" t="shared" si="41"/>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2"/>
        <v>4.29135863605588</v>
      </c>
      <c r="J181" t="str">
        <f t="shared" si="33"/>
        <v>Trd_car_elc</v>
      </c>
      <c r="K181" t="str">
        <f t="shared" si="43"/>
        <v>Trd_car_elc_300</v>
      </c>
      <c r="L181" t="str">
        <f t="shared" si="35"/>
        <v>Trd_car</v>
      </c>
      <c r="M181" s="370">
        <f>IF($K181="\I:","",C181*60%)</f>
        <v>18414.6007831175</v>
      </c>
      <c r="N181" s="370">
        <f>IF($K181="\I:","",D181*60%)</f>
        <v>13429.3472901124</v>
      </c>
      <c r="O181" s="370">
        <f>IF($K181="\I:","",E181*60%)</f>
        <v>12789.7011442718</v>
      </c>
      <c r="P181" s="370">
        <f>IF($K181="\I:","",F181*60%)</f>
        <v>12568.1914742472</v>
      </c>
      <c r="R181" s="371">
        <v>0.15</v>
      </c>
      <c r="U181" t="str">
        <f t="shared" si="40"/>
        <v>Trd_car_elc_300</v>
      </c>
      <c r="V181" t="str">
        <f ca="1" t="shared" si="41"/>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2"/>
        <v>4.29135863605588</v>
      </c>
      <c r="J182" t="str">
        <f t="shared" si="33"/>
        <v>Trd_car_elc</v>
      </c>
      <c r="K182" t="str">
        <f t="shared" si="43"/>
        <v>Trd_car_elc_350</v>
      </c>
      <c r="L182" t="str">
        <f t="shared" si="35"/>
        <v>Trd_car</v>
      </c>
      <c r="M182" s="370">
        <f>IF($K182="\I:","",C182*60%)</f>
        <v>20143.5137891698</v>
      </c>
      <c r="N182" s="370">
        <f>IF($K182="\I:","",D182*60%)</f>
        <v>13861.1177619737</v>
      </c>
      <c r="O182" s="370">
        <f>IF($K182="\I:","",E182*60%)</f>
        <v>13033.6705321777</v>
      </c>
      <c r="P182" s="370">
        <f>IF($K182="\I:","",F182*60%)</f>
        <v>12771.2585810393</v>
      </c>
      <c r="R182" s="371">
        <v>0.175</v>
      </c>
      <c r="U182" t="str">
        <f t="shared" si="40"/>
        <v>Trd_car_elc_350</v>
      </c>
      <c r="V182" t="str">
        <f ca="1" t="shared" si="41"/>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2"/>
        <v>4.29135863605588</v>
      </c>
      <c r="J183" t="str">
        <f t="shared" si="33"/>
        <v>Trd_car_elc</v>
      </c>
      <c r="K183" t="str">
        <f t="shared" si="43"/>
        <v>Trd_car_elc_400</v>
      </c>
      <c r="L183" t="str">
        <f t="shared" si="35"/>
        <v>Trd_car</v>
      </c>
      <c r="M183" s="370">
        <f>IF($K183="\I:","",C183*60%)</f>
        <v>22004.0083389408</v>
      </c>
      <c r="N183" s="370">
        <f>IF($K183="\I:","",D183*60%)</f>
        <v>14314.6131269486</v>
      </c>
      <c r="O183" s="370">
        <f>IF($K183="\I:","",E183*60%)</f>
        <v>13277.6399200836</v>
      </c>
      <c r="P183" s="370">
        <f>IF($K183="\I:","",F183*60%)</f>
        <v>12974.3256878315</v>
      </c>
      <c r="R183" s="371">
        <v>0.2</v>
      </c>
      <c r="U183" t="str">
        <f t="shared" si="40"/>
        <v>Trd_car_elc_400</v>
      </c>
      <c r="V183" t="str">
        <f ca="1" t="shared" si="41"/>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2"/>
        <v>4.29135863605588</v>
      </c>
      <c r="J184" t="str">
        <f t="shared" si="33"/>
        <v>Trd_car_elc</v>
      </c>
      <c r="K184" t="str">
        <f t="shared" si="43"/>
        <v>Trd_car_elc_500</v>
      </c>
      <c r="L184" t="str">
        <f t="shared" si="35"/>
        <v>Trd_car</v>
      </c>
      <c r="M184" s="370">
        <f>IF($K184="\I:","",C184*60%)</f>
        <v>26119.7420696394</v>
      </c>
      <c r="N184" s="370">
        <f>IF($K184="\I:","",D184*60%)</f>
        <v>15389.0547958786</v>
      </c>
      <c r="O184" s="370">
        <f>IF($K184="\I:","",E184*60%)</f>
        <v>13857.4632500101</v>
      </c>
      <c r="P184" s="370">
        <f>IF($K184="\I:","",F184*60%)</f>
        <v>13380.4599014158</v>
      </c>
      <c r="R184" s="361"/>
      <c r="U184" t="str">
        <f t="shared" si="40"/>
        <v>Trd_car_elc_500</v>
      </c>
      <c r="V184" t="str">
        <f ca="1" t="shared" si="41"/>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0"/>
        <v>\I:</v>
      </c>
      <c r="V185" t="str">
        <f ca="1" t="shared" ref="V185:V191" si="44">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0"/>
        <v>\I:</v>
      </c>
      <c r="V186" t="str">
        <f ca="1" t="shared" si="44"/>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0"/>
        <v>\I:</v>
      </c>
      <c r="V187" t="str">
        <f ca="1" t="shared" si="44"/>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0"/>
        <v>\I:</v>
      </c>
      <c r="V188" t="str">
        <f ca="1" t="shared" si="44"/>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0"/>
        <v>\I:</v>
      </c>
      <c r="V189" t="str">
        <f ca="1" t="shared" si="44"/>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0"/>
        <v>\I:</v>
      </c>
      <c r="V190" t="str">
        <f ca="1" t="shared" si="44"/>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0"/>
        <v>\I:</v>
      </c>
      <c r="V191" t="str">
        <f ca="1" t="shared" si="44"/>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0"/>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5">B193*0.12/100*10^9/10^6</f>
        <v>1.08739162955252</v>
      </c>
      <c r="H193" s="75"/>
      <c r="I193" s="357">
        <f t="shared" ref="I193:I199" si="46">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0"/>
        <v>Trd_car_hh2_91</v>
      </c>
      <c r="V193" t="str">
        <f ca="1" t="shared" ref="V193:V199" si="47">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5"/>
        <v>1.03870245210987</v>
      </c>
      <c r="H194" s="75"/>
      <c r="I194" s="357">
        <f t="shared" si="46"/>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0"/>
        <v>Trd_car_hh2_87</v>
      </c>
      <c r="V194" t="str">
        <f ca="1" t="shared" si="47"/>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5"/>
        <v>0.990013274667216</v>
      </c>
      <c r="H195" s="75"/>
      <c r="I195" s="357">
        <f t="shared" si="46"/>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0"/>
        <v>Trd_car_hh2_83</v>
      </c>
      <c r="V195" t="str">
        <f ca="1" t="shared" si="47"/>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5"/>
        <v>0.944245447871125</v>
      </c>
      <c r="H196" s="75"/>
      <c r="I196" s="357">
        <f t="shared" si="46"/>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0"/>
        <v>Trd_car_hh2_79</v>
      </c>
      <c r="V196" t="str">
        <f ca="1" t="shared" si="47"/>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5"/>
        <v>0.904807214142578</v>
      </c>
      <c r="H197" s="75"/>
      <c r="I197" s="357">
        <f t="shared" si="46"/>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0"/>
        <v>Trd_car_hh2_75</v>
      </c>
      <c r="V197" t="str">
        <f ca="1" t="shared" si="47"/>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5"/>
        <v>0.866667358479169</v>
      </c>
      <c r="H198" s="75"/>
      <c r="I198" s="357">
        <f t="shared" si="46"/>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0"/>
        <v>Trd_car_hh2_72</v>
      </c>
      <c r="V198" t="str">
        <f ca="1" t="shared" si="47"/>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5"/>
        <v>0.835019393141447</v>
      </c>
      <c r="H199" s="75"/>
      <c r="I199" s="357">
        <f t="shared" si="46"/>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0"/>
        <v>Trd_car_hh2_70</v>
      </c>
      <c r="V199" t="str">
        <f ca="1" t="shared" si="47"/>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61" zoomScaleNormal="61" topLeftCell="AS31" workbookViewId="0">
      <selection activeCell="BE57" sqref="BE5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58" spans="49:54">
      <c r="BA58" s="344"/>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5">
        <v>1</v>
      </c>
      <c r="BB64">
        <v>2021</v>
      </c>
    </row>
    <row r="65" spans="49:54">
      <c r="AW65" s="341" t="s">
        <v>195</v>
      </c>
      <c r="AX65" s="342"/>
      <c r="AY65" s="308" t="s">
        <v>179</v>
      </c>
      <c r="AZ65" s="308"/>
      <c r="BA65" s="345">
        <v>1</v>
      </c>
      <c r="BB65">
        <v>2021</v>
      </c>
    </row>
    <row r="66" spans="49:54">
      <c r="AW66" s="341" t="s">
        <v>195</v>
      </c>
      <c r="AX66" s="342"/>
      <c r="AY66" s="308" t="s">
        <v>180</v>
      </c>
      <c r="AZ66" s="308"/>
      <c r="BA66" s="345">
        <f t="shared" ref="BA66:BA70" si="21">BA65</f>
        <v>1</v>
      </c>
      <c r="BB66">
        <v>2021</v>
      </c>
    </row>
    <row r="67" spans="49:54">
      <c r="AW67" s="341" t="s">
        <v>195</v>
      </c>
      <c r="AX67" s="342"/>
      <c r="AY67" s="308" t="s">
        <v>183</v>
      </c>
      <c r="AZ67" s="308"/>
      <c r="BA67" s="345">
        <f t="shared" si="21"/>
        <v>1</v>
      </c>
      <c r="BB67">
        <v>2021</v>
      </c>
    </row>
    <row r="68" spans="49:54">
      <c r="AW68" s="341" t="s">
        <v>195</v>
      </c>
      <c r="AX68" s="342"/>
      <c r="AY68" s="308" t="s">
        <v>184</v>
      </c>
      <c r="AZ68" s="308"/>
      <c r="BA68" s="345">
        <f t="shared" si="21"/>
        <v>1</v>
      </c>
      <c r="BB68">
        <v>2021</v>
      </c>
    </row>
    <row r="69" spans="49:54">
      <c r="AW69" s="341" t="s">
        <v>195</v>
      </c>
      <c r="AX69" s="342"/>
      <c r="AY69" s="308" t="s">
        <v>182</v>
      </c>
      <c r="AZ69" s="308"/>
      <c r="BA69" s="345">
        <f t="shared" si="21"/>
        <v>1</v>
      </c>
      <c r="BB69">
        <v>2021</v>
      </c>
    </row>
    <row r="70" spans="49:54">
      <c r="AW70" s="341" t="s">
        <v>195</v>
      </c>
      <c r="AX70" s="342"/>
      <c r="AY70" s="308" t="s">
        <v>197</v>
      </c>
      <c r="AZ70" s="308"/>
      <c r="BA70" s="345">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9" zoomScaleNormal="49" topLeftCell="F1" workbookViewId="0">
      <selection activeCell="M50" sqref="M5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2026-08-01T02:08:59Z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