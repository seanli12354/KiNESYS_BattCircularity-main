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89" authorId="0">
      <text>
        <r>
          <rPr>
            <b/>
            <sz val="9"/>
            <rFont val="Times New Roman"/>
            <charset val="0"/>
          </rPr>
          <t>xli9:</t>
        </r>
        <r>
          <rPr>
            <sz val="9"/>
            <rFont val="Times New Roman"/>
            <charset val="0"/>
          </rPr>
          <t xml:space="preserve">
bcz 15.7 can cause fatal error when running, the G_RATE threshold is 15</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<sst xmlns="http://schemas.openxmlformats.org/spreadsheetml/2006/main" count="7781" uniqueCount="758">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</sst>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
    </font>
    <font>
      <sz val="9"/>
      <name val="Times New Roman"/>
      <charset val="0"/>
    </font>
    <font>
      <b/>
      <sz val="9"/>
      <name val="Times New Roman"/>
      <charset val="134"/>
    </font>
    <font>
      <b/>
      <sz val="9"/>
      <name val="Tahoma"/>
      <charset val="134"/>
    </font>
    <font>
      <sz val="9"/>
      <name val="Tahoma"/>
      <charset val="134"/>
    </font>
    <font>
      <b/>
      <sz val="9"/>
      <name val="Tahoma"/>
      <charset val="1"/>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s="147" t="str">
        <f t="shared" si="3"/>
        <v>\I:</v>
      </c>
      <c r="L48" s="147" t="str">
        <f t="shared" si="4"/>
        <v>\I:</v>
      </c>
      <c r="M48" s="372" t="str">
        <f t="shared" si="11"/>
        <v/>
      </c>
      <c r="N48" s="372" t="str">
        <f t="shared" si="12"/>
        <v/>
      </c>
      <c r="O48" s="372" t="str">
        <f t="shared" si="13"/>
        <v/>
      </c>
      <c r="P48" s="372"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2">
        <f t="shared" si="11"/>
        <v>25855.4162729033</v>
      </c>
      <c r="N49" s="372">
        <f t="shared" si="12"/>
        <v>20946.0136101116</v>
      </c>
      <c r="O49" s="372">
        <f t="shared" si="13"/>
        <v>19751.4795793658</v>
      </c>
      <c r="P49" s="372">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2">
        <f t="shared" si="11"/>
        <v>25936.7339540823</v>
      </c>
      <c r="N50" s="372">
        <f t="shared" si="12"/>
        <v>20972.5685484446</v>
      </c>
      <c r="O50" s="372">
        <f t="shared" si="13"/>
        <v>19766.6423788705</v>
      </c>
      <c r="P50" s="372">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2">
        <f t="shared" si="11"/>
        <v>26068.0641465879</v>
      </c>
      <c r="N51" s="372">
        <f t="shared" si="12"/>
        <v>20983.7357684659</v>
      </c>
      <c r="O51" s="372">
        <f t="shared" si="13"/>
        <v>19772.1960204821</v>
      </c>
      <c r="P51" s="372">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2">
        <f t="shared" si="11"/>
        <v>29189.2099676658</v>
      </c>
      <c r="N52" s="372">
        <f t="shared" si="12"/>
        <v>21014.1005815479</v>
      </c>
      <c r="O52" s="372">
        <f t="shared" si="13"/>
        <v>19796.1968088197</v>
      </c>
      <c r="P52" s="372">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2">
        <f t="shared" si="11"/>
        <v>44989.8543167652</v>
      </c>
      <c r="N53" s="372">
        <f t="shared" si="12"/>
        <v>21032.5204061794</v>
      </c>
      <c r="O53" s="372">
        <f t="shared" si="13"/>
        <v>19824.2506796935</v>
      </c>
      <c r="P53" s="372">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2">
        <f t="shared" si="11"/>
        <v>61078.7026089492</v>
      </c>
      <c r="N54" s="372">
        <f t="shared" si="12"/>
        <v>24620.9228746061</v>
      </c>
      <c r="O54" s="372">
        <f t="shared" si="13"/>
        <v>22831.7849053289</v>
      </c>
      <c r="P54" s="372">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2">
        <f t="shared" si="11"/>
        <v>61658.5569109629</v>
      </c>
      <c r="N55" s="372">
        <f t="shared" si="12"/>
        <v>36662.6858263954</v>
      </c>
      <c r="O55" s="372">
        <f t="shared" si="13"/>
        <v>34512.2146444883</v>
      </c>
      <c r="P55" s="372">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2">
        <f t="shared" si="11"/>
        <v>99213.7185822678</v>
      </c>
      <c r="N56" s="372">
        <f t="shared" si="12"/>
        <v>52428.018226086</v>
      </c>
      <c r="O56" s="372">
        <f t="shared" si="13"/>
        <v>50000.3633152236</v>
      </c>
      <c r="P56" s="372">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51" zoomScaleNormal="51" topLeftCell="AR40" workbookViewId="0">
      <selection activeCell="BE77" sqref="BE7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7">
      <c r="AW49" s="341"/>
      <c r="AX49" s="307"/>
      <c r="AY49" s="307"/>
      <c r="AZ49" s="307" t="s">
        <v>198</v>
      </c>
      <c r="BA49" s="342"/>
    </row>
    <row r="50" spans="49:57">
      <c r="AW50" s="343" t="s">
        <v>193</v>
      </c>
      <c r="AX50" s="307" t="s">
        <v>76</v>
      </c>
      <c r="AY50" s="307" t="s">
        <v>79</v>
      </c>
      <c r="AZ50" s="307" t="s">
        <v>194</v>
      </c>
      <c r="BA50" s="342">
        <v>2020</v>
      </c>
      <c r="BB50">
        <v>0</v>
      </c>
    </row>
    <row r="51" spans="49:57">
      <c r="AW51" s="344" t="s">
        <v>195</v>
      </c>
      <c r="AX51" s="345"/>
      <c r="AY51" s="342" t="str">
        <f>O22</f>
        <v>Tra_EV_Batt-LFP_virgin</v>
      </c>
      <c r="AZ51" s="310"/>
      <c r="BA51" s="346">
        <v>5</v>
      </c>
      <c r="BB51">
        <v>5</v>
      </c>
    </row>
    <row r="52" spans="49:57">
      <c r="AW52" s="344" t="s">
        <v>195</v>
      </c>
      <c r="AX52" s="345"/>
      <c r="AY52" s="310" t="str">
        <f>U22</f>
        <v>Tra_EV_Batt-LMO_virgin</v>
      </c>
      <c r="AZ52" s="310"/>
      <c r="BA52" s="346">
        <v>5</v>
      </c>
      <c r="BB52">
        <v>5</v>
      </c>
    </row>
    <row r="53" spans="49:57">
      <c r="AW53" s="344" t="s">
        <v>195</v>
      </c>
      <c r="AX53" s="345"/>
      <c r="AY53" s="310" t="str">
        <f>AA22</f>
        <v>Tra_EV_Batt-NCA_virgin</v>
      </c>
      <c r="AZ53" s="310"/>
      <c r="BA53" s="346">
        <v>5</v>
      </c>
      <c r="BB53">
        <v>5</v>
      </c>
    </row>
    <row r="54" spans="49:57">
      <c r="AW54" s="344" t="s">
        <v>195</v>
      </c>
      <c r="AX54" s="345"/>
      <c r="AY54" s="310" t="str">
        <f>AG22</f>
        <v>Tra_EV_Batt-NMC111_virgin</v>
      </c>
      <c r="AZ54" s="310"/>
      <c r="BA54" s="346">
        <v>5</v>
      </c>
      <c r="BB54">
        <v>5</v>
      </c>
    </row>
    <row r="55" spans="49:57">
      <c r="AW55" s="344" t="s">
        <v>195</v>
      </c>
      <c r="AX55" s="345"/>
      <c r="AY55" s="310" t="str">
        <f>AS22</f>
        <v>Tra_EV_Batt-NMC622_virgin</v>
      </c>
      <c r="AZ55" s="310"/>
      <c r="BA55" s="346">
        <v>5</v>
      </c>
      <c r="BB55">
        <v>5</v>
      </c>
    </row>
    <row r="56" spans="49:57">
      <c r="AW56" s="344" t="s">
        <v>195</v>
      </c>
      <c r="AX56" s="345"/>
      <c r="AY56" s="310" t="str">
        <f>AY22</f>
        <v>Tra_EV_Batt-NMC811_virgin</v>
      </c>
      <c r="AZ56" s="310"/>
      <c r="BA56" s="346">
        <v>5</v>
      </c>
      <c r="BB56">
        <v>5</v>
      </c>
    </row>
    <row r="57" spans="49:57">
      <c r="AW57" s="344" t="s">
        <v>195</v>
      </c>
      <c r="AX57" s="345"/>
      <c r="AY57" s="310" t="str">
        <f>AM22</f>
        <v>Tra_EV_Batt-NMC532_virgin</v>
      </c>
      <c r="AZ57" s="310"/>
      <c r="BA57" s="346">
        <v>5</v>
      </c>
      <c r="BB57">
        <v>5</v>
      </c>
    </row>
    <row r="58" spans="49:57">
      <c r="AW58" s="344" t="s">
        <v>195</v>
      </c>
      <c r="AX58" s="345"/>
      <c r="AY58" s="310" t="str">
        <f>AY36</f>
        <v>Tra_EV_Batt-Sodium_virgin</v>
      </c>
      <c r="AZ58" s="310"/>
      <c r="BA58" s="346">
        <v>5</v>
      </c>
      <c r="BB58">
        <v>5</v>
      </c>
    </row>
    <row r="62" spans="49:57">
      <c r="AW62" s="341"/>
      <c r="AX62" s="307"/>
      <c r="AY62" s="307"/>
      <c r="AZ62" s="307" t="s">
        <v>199</v>
      </c>
      <c r="BA62" s="342"/>
    </row>
    <row r="63" spans="49:57">
      <c r="AW63" s="343" t="s">
        <v>193</v>
      </c>
      <c r="AX63" s="307" t="s">
        <v>76</v>
      </c>
      <c r="AY63" s="307" t="s">
        <v>79</v>
      </c>
      <c r="AZ63" s="307" t="s">
        <v>194</v>
      </c>
      <c r="BA63" s="342" t="s">
        <v>200</v>
      </c>
      <c r="BB63" t="s">
        <v>201</v>
      </c>
    </row>
    <row r="64" spans="49:57">
      <c r="AW64" s="344" t="s">
        <v>195</v>
      </c>
      <c r="AX64" s="345"/>
      <c r="AY64" s="342" t="s">
        <v>178</v>
      </c>
      <c r="AZ64" s="310"/>
      <c r="BA64" s="347">
        <v>1</v>
      </c>
      <c r="BE64">
        <v>2020</v>
      </c>
    </row>
    <row r="65" spans="49:57">
      <c r="AW65" s="344" t="s">
        <v>195</v>
      </c>
      <c r="AX65" s="345"/>
      <c r="AY65" s="310" t="s">
        <v>179</v>
      </c>
      <c r="AZ65" s="310"/>
      <c r="BA65" s="347">
        <v>1</v>
      </c>
      <c r="BE65" s="217">
        <v>2150</v>
      </c>
    </row>
    <row r="66" spans="49:57">
      <c r="AW66" s="344" t="s">
        <v>195</v>
      </c>
      <c r="AX66" s="345"/>
      <c r="AY66" s="310" t="s">
        <v>180</v>
      </c>
      <c r="AZ66" s="310"/>
      <c r="BA66" s="347">
        <f t="shared" ref="BA66:BA70" si="21">BA65</f>
        <v>1</v>
      </c>
      <c r="BE66">
        <v>2020</v>
      </c>
    </row>
    <row r="67" spans="49:57">
      <c r="AW67" s="344" t="s">
        <v>195</v>
      </c>
      <c r="AX67" s="345"/>
      <c r="AY67" s="310" t="s">
        <v>183</v>
      </c>
      <c r="AZ67" s="310"/>
      <c r="BA67" s="347">
        <f t="shared" si="21"/>
        <v>1</v>
      </c>
      <c r="BE67">
        <v>2020</v>
      </c>
    </row>
    <row r="68" spans="49:57">
      <c r="AW68" s="344" t="s">
        <v>195</v>
      </c>
      <c r="AX68" s="345"/>
      <c r="AY68" s="310" t="s">
        <v>184</v>
      </c>
      <c r="AZ68" s="310"/>
      <c r="BA68" s="347">
        <f t="shared" si="21"/>
        <v>1</v>
      </c>
      <c r="BE68">
        <v>2020</v>
      </c>
    </row>
    <row r="69" spans="49:57">
      <c r="AW69" s="344" t="s">
        <v>195</v>
      </c>
      <c r="AX69" s="345"/>
      <c r="AY69" s="310" t="s">
        <v>182</v>
      </c>
      <c r="AZ69" s="310"/>
      <c r="BA69" s="347">
        <f t="shared" si="21"/>
        <v>1</v>
      </c>
      <c r="BE69">
        <v>2020</v>
      </c>
    </row>
    <row r="70" spans="49:57">
      <c r="AW70" s="344" t="s">
        <v>195</v>
      </c>
      <c r="AX70" s="345"/>
      <c r="AY70" s="310" t="s">
        <v>197</v>
      </c>
      <c r="AZ70" s="310"/>
      <c r="BA70" s="347">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4" zoomScaleNormal="54" topLeftCell="W48" workbookViewId="0">
      <selection activeCell="AB100" sqref="AB10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2030</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2030</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2030</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2030</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2030</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2030</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2030</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380</v>
      </c>
      <c r="Y88" s="277" t="s">
        <v>381</v>
      </c>
      <c r="Z88" s="277" t="s">
        <v>193</v>
      </c>
      <c r="AA88" s="295" t="s">
        <v>324</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77">
        <v>15</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77">
        <v>15</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77">
        <v>15</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77">
        <v>15</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77">
        <v>15</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77">
        <v>15</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77">
        <v>15</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19">
        <v>2050</v>
      </c>
      <c r="AT128" s="319">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t="s">
        <v>208</v>
      </c>
      <c r="AR129" s="319">
        <v>30</v>
      </c>
      <c r="AS129" s="319">
        <f>AR129*64%</f>
        <v>19.2</v>
      </c>
      <c r="AT129" s="319">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t="s">
        <v>212</v>
      </c>
      <c r="AR130" s="319">
        <v>30</v>
      </c>
      <c r="AS130" s="319">
        <f t="shared" ref="AS130:AS135" si="16">AR130*64%</f>
        <v>19.2</v>
      </c>
      <c r="AT130" s="319">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t="s">
        <v>214</v>
      </c>
      <c r="AR131" s="319">
        <v>30</v>
      </c>
      <c r="AS131" s="319">
        <f t="shared" si="16"/>
        <v>19.2</v>
      </c>
      <c r="AT131" s="319">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19" t="s">
        <v>215</v>
      </c>
      <c r="AR132" s="319">
        <v>30</v>
      </c>
      <c r="AS132" s="319">
        <f t="shared" si="16"/>
        <v>19.2</v>
      </c>
      <c r="AT132" s="319">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19" t="s">
        <v>216</v>
      </c>
      <c r="AR133" s="319">
        <v>30</v>
      </c>
      <c r="AS133" s="319">
        <f t="shared" si="16"/>
        <v>19.2</v>
      </c>
      <c r="AT133" s="319">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19" t="s">
        <v>217</v>
      </c>
      <c r="AR134" s="319">
        <v>30</v>
      </c>
      <c r="AS134" s="319">
        <f t="shared" si="16"/>
        <v>19.2</v>
      </c>
      <c r="AT134" s="319">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19" t="s">
        <v>218</v>
      </c>
      <c r="AR135" s="319">
        <v>30</v>
      </c>
      <c r="AS135" s="319">
        <f t="shared" si="16"/>
        <v>19.2</v>
      </c>
      <c r="AT135" s="319">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5">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5"/>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5"/>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5"/>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5"/>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5"/>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5"/>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6">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6"/>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6"/>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6"/>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6"/>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6"/>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6" t="str">
        <f t="shared" ref="AA216:AA235" si="49">B217</f>
        <v>PyroRecy-LMO</v>
      </c>
      <c r="AB216" s="306" t="s">
        <v>372</v>
      </c>
      <c r="AC216" s="245" t="s">
        <v>490</v>
      </c>
      <c r="AD216" s="328">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6" t="str">
        <f t="shared" si="49"/>
        <v>PyroRecy-NCA</v>
      </c>
      <c r="AB217" s="306" t="s">
        <v>373</v>
      </c>
      <c r="AC217" s="245" t="s">
        <v>490</v>
      </c>
      <c r="AD217" s="328">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6" t="str">
        <f t="shared" si="49"/>
        <v>PyroRecy-NMC111</v>
      </c>
      <c r="AB218" s="306" t="s">
        <v>374</v>
      </c>
      <c r="AC218" s="245" t="s">
        <v>490</v>
      </c>
      <c r="AD218" s="328">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6" t="str">
        <f t="shared" si="49"/>
        <v>PyroRecy-NMC532</v>
      </c>
      <c r="AB219" s="306" t="s">
        <v>375</v>
      </c>
      <c r="AC219" s="245" t="s">
        <v>490</v>
      </c>
      <c r="AD219" s="328">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6" t="str">
        <f t="shared" si="49"/>
        <v>PyroRecy-NMC622</v>
      </c>
      <c r="AB220" s="306" t="s">
        <v>376</v>
      </c>
      <c r="AC220" s="245" t="s">
        <v>490</v>
      </c>
      <c r="AD220" s="328">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6" t="str">
        <f t="shared" si="49"/>
        <v>PyroRecy-NMC811</v>
      </c>
      <c r="AB221" s="306" t="s">
        <v>377</v>
      </c>
      <c r="AC221" s="245" t="s">
        <v>490</v>
      </c>
      <c r="AD221" s="328">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6" t="str">
        <f t="shared" si="49"/>
        <v>HydRecy-LFP</v>
      </c>
      <c r="AB222" s="306" t="s">
        <v>371</v>
      </c>
      <c r="AC222" s="245" t="s">
        <v>490</v>
      </c>
      <c r="AD222" s="328">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9"/>
        <v>HydRecy-LMO</v>
      </c>
      <c r="AB223" s="306" t="s">
        <v>372</v>
      </c>
      <c r="AC223" s="245" t="s">
        <v>490</v>
      </c>
      <c r="AD223" s="328">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6" t="str">
        <f t="shared" si="49"/>
        <v>HydRecy-NCA</v>
      </c>
      <c r="AB224" s="306" t="s">
        <v>373</v>
      </c>
      <c r="AC224" s="245" t="s">
        <v>490</v>
      </c>
      <c r="AD224" s="328">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6" t="str">
        <f t="shared" si="49"/>
        <v>HydRecy-NMC111</v>
      </c>
      <c r="AB225" s="306" t="s">
        <v>374</v>
      </c>
      <c r="AC225" s="245" t="s">
        <v>490</v>
      </c>
      <c r="AD225" s="328">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6" t="str">
        <f t="shared" si="49"/>
        <v>HydRecy-NMC532</v>
      </c>
      <c r="AB226" s="306" t="s">
        <v>375</v>
      </c>
      <c r="AC226" s="245" t="s">
        <v>490</v>
      </c>
      <c r="AD226" s="328">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6" t="str">
        <f t="shared" si="49"/>
        <v>HydRecy-NMC622</v>
      </c>
      <c r="AB227" s="306" t="s">
        <v>376</v>
      </c>
      <c r="AC227" s="245" t="s">
        <v>490</v>
      </c>
      <c r="AD227" s="328">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6" t="str">
        <f t="shared" si="49"/>
        <v>HydRecy-NMC811</v>
      </c>
      <c r="AB228" s="306" t="s">
        <v>377</v>
      </c>
      <c r="AC228" s="245" t="s">
        <v>490</v>
      </c>
      <c r="AD228" s="328">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6" t="str">
        <f t="shared" si="49"/>
        <v>DirRecy-LFP</v>
      </c>
      <c r="AB229" s="306" t="s">
        <v>371</v>
      </c>
      <c r="AC229" s="245" t="s">
        <v>490</v>
      </c>
      <c r="AD229" s="328">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9"/>
        <v>DirRecy-LMO</v>
      </c>
      <c r="AB230" s="306" t="s">
        <v>372</v>
      </c>
      <c r="AC230" s="245" t="s">
        <v>490</v>
      </c>
      <c r="AD230" s="328">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6" t="s">
        <v>402</v>
      </c>
      <c r="AT230" s="306">
        <f t="shared" si="39"/>
        <v>0.0190192056684691</v>
      </c>
      <c r="AU230" s="306">
        <f t="shared" si="40"/>
        <v>0.125303002051091</v>
      </c>
      <c r="AV230" s="306">
        <f t="shared" si="41"/>
        <v>0.0236807756852508</v>
      </c>
      <c r="AW230" s="306">
        <f t="shared" si="42"/>
        <v>0</v>
      </c>
      <c r="AX230" s="306">
        <f t="shared" si="43"/>
        <v>0.544471377960097</v>
      </c>
      <c r="AY230" s="306">
        <f t="shared" si="44"/>
        <v>0.105165019578594</v>
      </c>
      <c r="AZ230" s="306">
        <f t="shared" si="45"/>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6" t="str">
        <f t="shared" si="49"/>
        <v>DirRecy-NCA</v>
      </c>
      <c r="AB231" s="306" t="s">
        <v>373</v>
      </c>
      <c r="AC231" s="245" t="s">
        <v>490</v>
      </c>
      <c r="AD231" s="328">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6" t="s">
        <v>403</v>
      </c>
      <c r="AT231" s="306">
        <f t="shared" si="39"/>
        <v>0.0237493683678626</v>
      </c>
      <c r="AU231" s="306">
        <f t="shared" si="40"/>
        <v>0.0591207680646791</v>
      </c>
      <c r="AV231" s="306">
        <f t="shared" si="41"/>
        <v>0.0592892033013306</v>
      </c>
      <c r="AW231" s="306">
        <f t="shared" si="42"/>
        <v>0.0552467576216945</v>
      </c>
      <c r="AX231" s="306">
        <f t="shared" si="43"/>
        <v>0.523833585986188</v>
      </c>
      <c r="AY231" s="306">
        <f t="shared" si="44"/>
        <v>0.114030655213071</v>
      </c>
      <c r="AZ231" s="306">
        <f t="shared" si="45"/>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9"/>
        <v>DirRecy-NMC111</v>
      </c>
      <c r="AB232" s="306" t="s">
        <v>374</v>
      </c>
      <c r="AC232" s="245" t="s">
        <v>490</v>
      </c>
      <c r="AD232" s="328">
        <f t="shared" si="50"/>
        <v>5.3433</v>
      </c>
      <c r="AE232" s="269"/>
      <c r="AH232" s="251"/>
      <c r="AI232" s="251"/>
      <c r="AJ232" s="251"/>
      <c r="AK232" s="251"/>
      <c r="AL232" s="251"/>
      <c r="AM232" s="251"/>
      <c r="AN232" s="251"/>
      <c r="AO232" s="251"/>
      <c r="AP232" s="251"/>
      <c r="AQ232" s="251"/>
      <c r="AS232" s="306" t="s">
        <v>404</v>
      </c>
      <c r="AT232" s="306">
        <f t="shared" si="39"/>
        <v>0.023267750213858</v>
      </c>
      <c r="AU232" s="306">
        <f t="shared" si="40"/>
        <v>0.0869118905047049</v>
      </c>
      <c r="AV232" s="306">
        <f t="shared" si="41"/>
        <v>0.034901625320787</v>
      </c>
      <c r="AW232" s="306">
        <f t="shared" si="42"/>
        <v>0.048759623609923</v>
      </c>
      <c r="AX232" s="306">
        <f t="shared" si="43"/>
        <v>0.525235243798118</v>
      </c>
      <c r="AY232" s="306">
        <f t="shared" si="44"/>
        <v>0.113088109495295</v>
      </c>
      <c r="AZ232" s="306">
        <f t="shared" si="45"/>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6" t="str">
        <f t="shared" si="49"/>
        <v>DirRecy-NMC532</v>
      </c>
      <c r="AB233" s="306" t="s">
        <v>375</v>
      </c>
      <c r="AC233" s="245" t="s">
        <v>490</v>
      </c>
      <c r="AD233" s="328">
        <f t="shared" si="50"/>
        <v>5.2605</v>
      </c>
      <c r="AE233" s="269"/>
      <c r="AH233" s="251"/>
      <c r="AI233" s="251"/>
      <c r="AJ233" s="251"/>
      <c r="AK233" s="251"/>
      <c r="AL233" s="251"/>
      <c r="AM233" s="251"/>
      <c r="AN233" s="251"/>
      <c r="AO233" s="251"/>
      <c r="AP233" s="251"/>
      <c r="AQ233" s="251"/>
      <c r="AS233" s="306" t="s">
        <v>405</v>
      </c>
      <c r="AT233" s="306">
        <f t="shared" si="39"/>
        <v>0.0211659192825112</v>
      </c>
      <c r="AU233" s="306">
        <f t="shared" si="40"/>
        <v>0.0952466367713004</v>
      </c>
      <c r="AV233" s="306">
        <f t="shared" si="41"/>
        <v>0.0319282511210762</v>
      </c>
      <c r="AW233" s="306">
        <f t="shared" si="42"/>
        <v>0.0297757847533632</v>
      </c>
      <c r="AX233" s="306">
        <f t="shared" si="43"/>
        <v>0.541165919282511</v>
      </c>
      <c r="AY233" s="306">
        <f t="shared" si="44"/>
        <v>0.108520179372197</v>
      </c>
      <c r="AZ233" s="306">
        <f t="shared" si="45"/>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6" t="str">
        <f t="shared" si="49"/>
        <v>DirRecy-NMC622</v>
      </c>
      <c r="AB234" s="306" t="s">
        <v>376</v>
      </c>
      <c r="AC234" s="245" t="s">
        <v>490</v>
      </c>
      <c r="AD234" s="328">
        <f t="shared" si="50"/>
        <v>5.0175</v>
      </c>
      <c r="AE234" s="269"/>
      <c r="AH234" s="221" t="s">
        <v>498</v>
      </c>
      <c r="AI234" s="221"/>
      <c r="AJ234" s="221"/>
      <c r="AK234" s="221"/>
      <c r="AL234" s="221"/>
      <c r="AM234" s="221"/>
      <c r="AN234" s="221"/>
      <c r="AS234" s="306" t="s">
        <v>406</v>
      </c>
      <c r="AT234" s="306">
        <f t="shared" si="39"/>
        <v>0.0189537528430629</v>
      </c>
      <c r="AU234" s="306">
        <f t="shared" si="40"/>
        <v>0.113722517058378</v>
      </c>
      <c r="AV234" s="306">
        <f t="shared" si="41"/>
        <v>0.0142153146322972</v>
      </c>
      <c r="AW234" s="306">
        <f t="shared" si="42"/>
        <v>0.013267626990144</v>
      </c>
      <c r="AX234" s="306">
        <f t="shared" si="43"/>
        <v>0.553639120545868</v>
      </c>
      <c r="AY234" s="306">
        <f t="shared" si="44"/>
        <v>0.104056103108415</v>
      </c>
      <c r="AZ234" s="306">
        <f t="shared" si="45"/>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0" t="str">
        <f t="shared" si="49"/>
        <v>DirRecy-NMC811</v>
      </c>
      <c r="AB235" s="330" t="s">
        <v>377</v>
      </c>
      <c r="AC235" s="323" t="s">
        <v>490</v>
      </c>
      <c r="AD235" s="331">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2026-08-09T15:53:13Z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