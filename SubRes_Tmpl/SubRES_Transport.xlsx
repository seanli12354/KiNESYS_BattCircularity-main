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2" activeTab="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<sst xmlns="http://schemas.openxmlformats.org/spreadsheetml/2006/main" count="7897" uniqueCount="788">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</sst>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sz val="9"/>
      <name val="Times New Roman"/>
      <charset val="0"/>
    </font>
    <font>
      <b/>
      <sz val="9"/>
      <name val="Times New Roman"/>
      <charset val="0"/>
    </font>
    <font>
      <sz val="9"/>
      <name val="Tahoma"/>
      <charset val="134"/>
    </font>
    <font>
      <b/>
      <sz val="9"/>
      <name val="Tahoma"/>
      <charset val="134"/>
    </font>
    <font>
      <b/>
      <sz val="9"/>
      <name val="Tahoma"/>
      <charset val="1"/>
    </font>
    <font>
      <b/>
      <sz val="9"/>
      <name val="Times New Roman"/>
      <charset val="134"/>
    </font>
    <font>
      <sz val="9"/>
      <name val="Times New Roman"/>
      <charset val="134"/>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tabSelected="1" zoomScale="35" zoomScaleNormal="35" workbookViewId="0">
      <selection activeCell="U48" sqref="U48"/>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si="44"/>
        <v>23157.6575819394</v>
      </c>
      <c r="N177" s="392">
        <f>IF($K177="\I:","",D177*100%)</f>
        <v>20751.720805376</v>
      </c>
      <c r="O177" s="392">
        <f>IF($K177="\I:","",E177*100%)</f>
        <v>20217.5262772825</v>
      </c>
      <c r="P177" s="392">
        <f>IF($K177="\I:","",F177*100%)</f>
        <v>20032.534537058</v>
      </c>
      <c r="Q177">
        <f t="shared" ref="Q177:Q184" si="49">P177</f>
        <v>20032.534537058</v>
      </c>
      <c r="R177">
        <v>3</v>
      </c>
      <c r="U177" s="393">
        <v>0.05</v>
      </c>
      <c r="X177" t="str">
        <f t="shared" ref="X177:X199" si="50">K177</f>
        <v>Trd_car_elc_120</v>
      </c>
      <c r="Y177" t="str">
        <f ca="1" t="shared" ref="Y177:Y184" si="51">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2">$I$171/$I$12</f>
        <v>4.29135863605588</v>
      </c>
      <c r="J178" t="str">
        <f t="shared" si="41"/>
        <v>Trd_car_elc</v>
      </c>
      <c r="K178" t="str">
        <f t="shared" ref="K178:K184" si="53">IFERROR(IF(VALUE(C178)&gt;2020,J178&amp;"_"&amp;TEXT(B178,"000"),"\I:"),"\I:")</f>
        <v>Trd_car_elc_160</v>
      </c>
      <c r="L178" t="str">
        <f t="shared" si="43"/>
        <v>Trd_car</v>
      </c>
      <c r="M178" s="392">
        <f>IF($K178="\I:","",C178*100%)</f>
        <v>24797.3390883531</v>
      </c>
      <c r="N178" s="392">
        <f>IF($K178="\I:","",D178*100%)</f>
        <v>20898.3261358183</v>
      </c>
      <c r="O178" s="392">
        <f>IF($K178="\I:","",E178*100%)</f>
        <v>20316.3084785431</v>
      </c>
      <c r="P178" s="392">
        <f>IF($K178="\I:","",F178*100%)</f>
        <v>20114.7555730032</v>
      </c>
      <c r="Q178">
        <f t="shared" si="49"/>
        <v>20114.7555730032</v>
      </c>
      <c r="R178">
        <v>3</v>
      </c>
      <c r="U178" s="393">
        <v>0.075</v>
      </c>
      <c r="X178" t="str">
        <f t="shared" si="50"/>
        <v>Trd_car_elc_160</v>
      </c>
      <c r="Y178" t="str">
        <f ca="1" t="shared" si="51"/>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2"/>
        <v>4.29135863605588</v>
      </c>
      <c r="J179" t="str">
        <f t="shared" si="41"/>
        <v>Trd_car_elc</v>
      </c>
      <c r="K179" t="str">
        <f t="shared" si="53"/>
        <v>Trd_car_elc_200</v>
      </c>
      <c r="L179" t="str">
        <f t="shared" si="43"/>
        <v>Trd_car</v>
      </c>
      <c r="M179" s="392">
        <f>IF($K179="\I:","",C179*100%)</f>
        <v>26437.0205947667</v>
      </c>
      <c r="N179" s="392">
        <f>IF($K179="\I:","",D179*100%)</f>
        <v>21188.417534353</v>
      </c>
      <c r="O179" s="392">
        <f>IF($K179="\I:","",E179*100%)</f>
        <v>20511.7711321012</v>
      </c>
      <c r="P179" s="392">
        <f>IF($K179="\I:","",F179*100%)</f>
        <v>20277.4482611501</v>
      </c>
      <c r="Q179">
        <f t="shared" si="49"/>
        <v>20277.4482611501</v>
      </c>
      <c r="R179">
        <v>3</v>
      </c>
      <c r="U179" s="393">
        <v>0.1</v>
      </c>
      <c r="X179" t="str">
        <f t="shared" si="50"/>
        <v>Trd_car_elc_200</v>
      </c>
      <c r="Y179" t="str">
        <f ca="1" t="shared" si="51"/>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2"/>
        <v>4.29135863605588</v>
      </c>
      <c r="J180" t="str">
        <f t="shared" si="41"/>
        <v>Trd_car_elc</v>
      </c>
      <c r="K180" t="str">
        <f t="shared" si="53"/>
        <v>Trd_car_elc_250</v>
      </c>
      <c r="L180" t="str">
        <f t="shared" si="43"/>
        <v>Trd_car</v>
      </c>
      <c r="M180" s="392">
        <f>IF($K180="\I:","",C180*100%)</f>
        <v>28564.0109499813</v>
      </c>
      <c r="N180" s="392">
        <f>IF($K180="\I:","",D180*100%)</f>
        <v>21785.3315089368</v>
      </c>
      <c r="O180" s="392">
        <f>IF($K180="\I:","",E180*100%)</f>
        <v>20913.9698529438</v>
      </c>
      <c r="P180" s="392">
        <f>IF($K180="\I:","",F180*100%)</f>
        <v>20612.2170257811</v>
      </c>
      <c r="Q180">
        <f t="shared" si="49"/>
        <v>20612.2170257811</v>
      </c>
      <c r="R180">
        <v>3</v>
      </c>
      <c r="U180" s="393">
        <v>0.125</v>
      </c>
      <c r="X180" t="str">
        <f t="shared" si="50"/>
        <v>Trd_car_elc_250</v>
      </c>
      <c r="Y180" t="str">
        <f ca="1" t="shared" si="51"/>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2"/>
        <v>4.29135863605588</v>
      </c>
      <c r="J181" t="str">
        <f t="shared" si="41"/>
        <v>Trd_car_elc</v>
      </c>
      <c r="K181" t="str">
        <f t="shared" si="53"/>
        <v>Trd_car_elc_300</v>
      </c>
      <c r="L181" t="str">
        <f t="shared" si="43"/>
        <v>Trd_car</v>
      </c>
      <c r="M181" s="392">
        <f>IF($K181="\I:","",C181*100%)</f>
        <v>30691.0013051959</v>
      </c>
      <c r="N181" s="392">
        <f>IF($K181="\I:","",D181*100%)</f>
        <v>22382.2454835207</v>
      </c>
      <c r="O181" s="392">
        <f>IF($K181="\I:","",E181*100%)</f>
        <v>21316.1685737864</v>
      </c>
      <c r="P181" s="392">
        <f>IF($K181="\I:","",F181*100%)</f>
        <v>20946.985790412</v>
      </c>
      <c r="Q181">
        <f t="shared" si="49"/>
        <v>20946.985790412</v>
      </c>
      <c r="R181">
        <v>3</v>
      </c>
      <c r="U181" s="393">
        <v>0.15</v>
      </c>
      <c r="X181" t="str">
        <f t="shared" si="50"/>
        <v>Trd_car_elc_300</v>
      </c>
      <c r="Y181" t="str">
        <f ca="1" t="shared" si="51"/>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2"/>
        <v>4.29135863605588</v>
      </c>
      <c r="J182" t="str">
        <f t="shared" si="41"/>
        <v>Trd_car_elc</v>
      </c>
      <c r="K182" t="str">
        <f t="shared" si="53"/>
        <v>Trd_car_elc_350</v>
      </c>
      <c r="L182" t="str">
        <f t="shared" si="43"/>
        <v>Trd_car</v>
      </c>
      <c r="M182" s="392">
        <f>IF($K182="\I:","",C182*100%)</f>
        <v>33572.5229819496</v>
      </c>
      <c r="N182" s="392">
        <f>IF($K182="\I:","",D182*100%)</f>
        <v>23101.8629366229</v>
      </c>
      <c r="O182" s="392">
        <f>IF($K182="\I:","",E182*100%)</f>
        <v>21722.7842202962</v>
      </c>
      <c r="P182" s="392">
        <f>IF($K182="\I:","",F182*100%)</f>
        <v>21285.4309683989</v>
      </c>
      <c r="Q182">
        <f t="shared" si="49"/>
        <v>21285.4309683989</v>
      </c>
      <c r="R182">
        <v>3</v>
      </c>
      <c r="U182" s="393">
        <v>0.175</v>
      </c>
      <c r="X182" t="str">
        <f t="shared" si="50"/>
        <v>Trd_car_elc_350</v>
      </c>
      <c r="Y182" t="str">
        <f ca="1" t="shared" si="51"/>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2"/>
        <v>4.29135863605588</v>
      </c>
      <c r="J183" t="str">
        <f t="shared" si="41"/>
        <v>Trd_car_elc</v>
      </c>
      <c r="K183" t="str">
        <f t="shared" si="53"/>
        <v>Trd_car_elc_400</v>
      </c>
      <c r="L183" t="str">
        <f t="shared" si="43"/>
        <v>Trd_car</v>
      </c>
      <c r="M183" s="392">
        <f>IF($K183="\I:","",C183*100%)</f>
        <v>36673.347231568</v>
      </c>
      <c r="N183" s="392">
        <f>IF($K183="\I:","",D183*100%)</f>
        <v>23857.6885449144</v>
      </c>
      <c r="O183" s="392">
        <f>IF($K183="\I:","",E183*100%)</f>
        <v>22129.399866806</v>
      </c>
      <c r="P183" s="392">
        <f>IF($K183="\I:","",F183*100%)</f>
        <v>21623.8761463858</v>
      </c>
      <c r="Q183">
        <f t="shared" si="49"/>
        <v>21623.8761463858</v>
      </c>
      <c r="R183">
        <v>3</v>
      </c>
      <c r="U183" s="393">
        <v>0.2</v>
      </c>
      <c r="X183" t="str">
        <f t="shared" si="50"/>
        <v>Trd_car_elc_400</v>
      </c>
      <c r="Y183" t="str">
        <f ca="1" t="shared" si="51"/>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2"/>
        <v>4.29135863605588</v>
      </c>
      <c r="J184" t="str">
        <f t="shared" si="41"/>
        <v>Trd_car_elc</v>
      </c>
      <c r="K184" t="str">
        <f t="shared" si="53"/>
        <v>Trd_car_elc_500</v>
      </c>
      <c r="L184" t="str">
        <f t="shared" si="43"/>
        <v>Trd_car</v>
      </c>
      <c r="M184" s="392">
        <f>IF($K184="\I:","",C184*100%)</f>
        <v>43532.903449399</v>
      </c>
      <c r="N184" s="392">
        <f>IF($K184="\I:","",D184*100%)</f>
        <v>25648.4246597977</v>
      </c>
      <c r="O184" s="392">
        <f>IF($K184="\I:","",E184*100%)</f>
        <v>23095.7720833501</v>
      </c>
      <c r="P184" s="392">
        <f>IF($K184="\I:","",F184*100%)</f>
        <v>22300.7665023597</v>
      </c>
      <c r="Q184">
        <f t="shared" si="49"/>
        <v>22300.7665023597</v>
      </c>
      <c r="R184">
        <v>3</v>
      </c>
      <c r="U184" s="383"/>
      <c r="X184" t="str">
        <f t="shared" si="50"/>
        <v>Trd_car_elc_500</v>
      </c>
      <c r="Y184" t="str">
        <f ca="1" t="shared" si="51"/>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0"/>
        <v>\I:</v>
      </c>
      <c r="Y185" t="str">
        <f ca="1" t="shared" ref="Y185:Y191" si="54">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0"/>
        <v>\I:</v>
      </c>
      <c r="Y186" t="str">
        <f ca="1" t="shared" si="54"/>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0"/>
        <v>\I:</v>
      </c>
      <c r="Y187" t="str">
        <f ca="1" t="shared" si="54"/>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0"/>
        <v>\I:</v>
      </c>
      <c r="Y188" t="str">
        <f ca="1" t="shared" si="54"/>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0"/>
        <v>\I:</v>
      </c>
      <c r="Y189" t="str">
        <f ca="1" t="shared" si="54"/>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0"/>
        <v>\I:</v>
      </c>
      <c r="Y190" t="str">
        <f ca="1" t="shared" si="54"/>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0"/>
        <v>\I:</v>
      </c>
      <c r="Y191" t="str">
        <f ca="1" t="shared" si="54"/>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0"/>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5">B193*0.12/100*10^9/10^6</f>
        <v>1.08739162955252</v>
      </c>
      <c r="H193" s="75"/>
      <c r="I193" s="379">
        <f t="shared" ref="I193:I199" si="56">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57">P193</f>
        <v>28592.3568093659</v>
      </c>
      <c r="R193">
        <v>3</v>
      </c>
      <c r="U193" s="383"/>
      <c r="X193" t="str">
        <f t="shared" si="50"/>
        <v>Trd_car_hh2_91</v>
      </c>
      <c r="Y193" t="str">
        <f ca="1" t="shared" ref="Y193:Y199" si="58">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5"/>
        <v>1.03870245210987</v>
      </c>
      <c r="H194" s="75"/>
      <c r="I194" s="379">
        <f t="shared" si="56"/>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57"/>
        <v>28771.7296316655</v>
      </c>
      <c r="R194">
        <v>3</v>
      </c>
      <c r="U194" s="383"/>
      <c r="X194" t="str">
        <f t="shared" si="50"/>
        <v>Trd_car_hh2_87</v>
      </c>
      <c r="Y194" t="str">
        <f ca="1" t="shared" si="58"/>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5"/>
        <v>0.990013274667216</v>
      </c>
      <c r="H195" s="75"/>
      <c r="I195" s="379">
        <f t="shared" si="56"/>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57"/>
        <v>28951.1024539652</v>
      </c>
      <c r="R195">
        <v>3</v>
      </c>
      <c r="U195" s="383"/>
      <c r="X195" t="str">
        <f t="shared" si="50"/>
        <v>Trd_car_hh2_83</v>
      </c>
      <c r="Y195" t="str">
        <f ca="1" t="shared" si="58"/>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5"/>
        <v>0.944245447871125</v>
      </c>
      <c r="H196" s="75"/>
      <c r="I196" s="379">
        <f t="shared" si="56"/>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57"/>
        <v>29130.4752762648</v>
      </c>
      <c r="R196">
        <v>3</v>
      </c>
      <c r="U196" s="383"/>
      <c r="X196" t="str">
        <f t="shared" si="50"/>
        <v>Trd_car_hh2_79</v>
      </c>
      <c r="Y196" t="str">
        <f ca="1" t="shared" si="58"/>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5"/>
        <v>0.904807214142578</v>
      </c>
      <c r="H197" s="75"/>
      <c r="I197" s="379">
        <f t="shared" si="56"/>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57"/>
        <v>29309.8480985645</v>
      </c>
      <c r="R197">
        <v>3</v>
      </c>
      <c r="U197" s="383"/>
      <c r="X197" t="str">
        <f t="shared" si="50"/>
        <v>Trd_car_hh2_75</v>
      </c>
      <c r="Y197" t="str">
        <f ca="1" t="shared" si="58"/>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5"/>
        <v>0.866667358479169</v>
      </c>
      <c r="H198" s="75"/>
      <c r="I198" s="379">
        <f t="shared" si="56"/>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57"/>
        <v>29489.2209208641</v>
      </c>
      <c r="R198">
        <v>3</v>
      </c>
      <c r="U198" s="383"/>
      <c r="X198" t="str">
        <f t="shared" si="50"/>
        <v>Trd_car_hh2_72</v>
      </c>
      <c r="Y198" t="str">
        <f ca="1" t="shared" si="58"/>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5"/>
        <v>0.835019393141447</v>
      </c>
      <c r="H199" s="75"/>
      <c r="I199" s="379">
        <f t="shared" si="56"/>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57"/>
        <v>29668.5937431638</v>
      </c>
      <c r="R199">
        <v>3</v>
      </c>
      <c r="U199" s="383"/>
      <c r="X199" t="str">
        <f t="shared" si="50"/>
        <v>Trd_car_hh2_70</v>
      </c>
      <c r="Y199" t="str">
        <f ca="1" t="shared" si="58"/>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35" workbookViewId="0">
      <selection activeCell="N160" sqref="N160"/>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IF($K156="\I:","",C156*100%)</f>
        <v>22060.8898906779</v>
      </c>
      <c r="N156" s="392">
        <f>IF($K156="\I:","",D156*100%)</f>
        <v>18978.0198753824</v>
      </c>
      <c r="O156" s="392">
        <f>IF($K156="\I:","",E156*100%)</f>
        <v>18465.8673516113</v>
      </c>
      <c r="P156" s="392">
        <f>IF($K156="\I:","",F156*100%)</f>
        <v>18288.5087647105</v>
      </c>
      <c r="Q156">
        <f t="shared" ref="Q156:Q163" si="51">P156</f>
        <v>18288.5087647105</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IF($K157="\I:","",C157*100%)</f>
        <v>23847.6536151786</v>
      </c>
      <c r="N157" s="392">
        <f>IF($K157="\I:","",D157*100%)</f>
        <v>20088.9351310926</v>
      </c>
      <c r="O157" s="392">
        <f>IF($K157="\I:","",E157*100%)</f>
        <v>19214.3984864749</v>
      </c>
      <c r="P157" s="392">
        <f>IF($K157="\I:","",F157*100%)</f>
        <v>18911.5461597104</v>
      </c>
      <c r="Q157">
        <f t="shared" si="51"/>
        <v>18911.5461597104</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IF($K158="\I:","",C158*100%)</f>
        <v>25634.4173396793</v>
      </c>
      <c r="N158" s="392">
        <f>IF($K158="\I:","",D158*100%)</f>
        <v>20759.4262694129</v>
      </c>
      <c r="O158" s="392">
        <f>IF($K158="\I:","",E158*100%)</f>
        <v>19666.1732641666</v>
      </c>
      <c r="P158" s="392">
        <f>IF($K158="\I:","",F158*100%)</f>
        <v>19287.5793900062</v>
      </c>
      <c r="Q158">
        <f t="shared" si="51"/>
        <v>19287.5793900062</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IF($K159="\I:","",C159*100%)</f>
        <v>27948.3523689399</v>
      </c>
      <c r="N159" s="392">
        <f>IF($K159="\I:","",D159*100%)</f>
        <v>21676.7267933811</v>
      </c>
      <c r="O159" s="392">
        <f>IF($K159="\I:","",E159*100%)</f>
        <v>20284.2474140061</v>
      </c>
      <c r="P159" s="392">
        <f>IF($K159="\I:","",F159*100%)</f>
        <v>19802.031348378</v>
      </c>
      <c r="Q159">
        <f t="shared" si="51"/>
        <v>19802.031348378</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IF($K160="\I:","",C160*100%)</f>
        <v>30262.2873982005</v>
      </c>
      <c r="N160" s="392">
        <f>IF($K160="\I:","",D160*100%)</f>
        <v>22594.0273173494</v>
      </c>
      <c r="O160" s="392">
        <f>IF($K160="\I:","",E160*100%)</f>
        <v>20902.3215638457</v>
      </c>
      <c r="P160" s="392">
        <f>IF($K160="\I:","",F160*100%)</f>
        <v>20316.4833067498</v>
      </c>
      <c r="Q160">
        <f t="shared" si="51"/>
        <v>20316.4833067498</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IF($K161="\I:","",C161*100%)</f>
        <v>33408.2814289264</v>
      </c>
      <c r="N161" s="392">
        <f>IF($K161="\I:","",D161*100%)</f>
        <v>23702.9684508776</v>
      </c>
      <c r="O161" s="392">
        <f>IF($K161="\I:","",E161*100%)</f>
        <v>21525.9824247356</v>
      </c>
      <c r="P161" s="392">
        <f>IF($K161="\I:","",F161*100%)</f>
        <v>20835.585345442</v>
      </c>
      <c r="Q161">
        <f t="shared" si="51"/>
        <v>20835.585345442</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IF($K162="\I:","",C162*100%)</f>
        <v>36792.6829441682</v>
      </c>
      <c r="N162" s="392">
        <f>IF($K162="\I:","",D162*100%)</f>
        <v>24867.4450991613</v>
      </c>
      <c r="O162" s="392">
        <f>IF($K162="\I:","",E162*100%)</f>
        <v>22149.6432856255</v>
      </c>
      <c r="P162" s="392">
        <f>IF($K162="\I:","",F162*100%)</f>
        <v>21354.6873841341</v>
      </c>
      <c r="Q162">
        <f t="shared" si="51"/>
        <v>21354.6873841341</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IF($K163="\I:","",C163*100%)</f>
        <v>44276.7084281994</v>
      </c>
      <c r="N163" s="392">
        <f>IF($K163="\I:","",D163*100%)</f>
        <v>27629.6574330657</v>
      </c>
      <c r="O163" s="392">
        <f>IF($K163="\I:","",E163*100%)</f>
        <v>23636.5244664208</v>
      </c>
      <c r="P163" s="392">
        <f>IF($K163="\I:","",F163*100%)</f>
        <v>22392.8914615185</v>
      </c>
      <c r="Q163">
        <f t="shared" si="51"/>
        <v>22392.8914615185</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5">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5"/>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5"/>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5"/>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5"/>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5"/>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5"/>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56">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57">B172*0.12/100*10^9/10^6</f>
        <v>1.38465223698326</v>
      </c>
      <c r="H172" s="75"/>
      <c r="I172" s="379">
        <f t="shared" ref="I172:I178" si="58">1/G172/$I$11</f>
        <v>1.93769077347827</v>
      </c>
      <c r="J172" t="str">
        <f t="shared" si="46"/>
        <v>Trd_lcv_hh2</v>
      </c>
      <c r="K172" t="str">
        <f t="shared" ref="K172:K178" si="59">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56"/>
        <v>26680.6458603409</v>
      </c>
      <c r="R172">
        <v>3</v>
      </c>
      <c r="V172" s="383"/>
      <c r="Y172" t="str">
        <f t="shared" si="42"/>
        <v>Trd_lcv_hh2_87</v>
      </c>
      <c r="Z172" t="str">
        <f ca="1" t="shared" ref="Z172:Z178" si="60">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57"/>
        <v>1.3226528830885</v>
      </c>
      <c r="H173" s="75"/>
      <c r="I173" s="379">
        <f t="shared" si="58"/>
        <v>2.02852002848505</v>
      </c>
      <c r="J173" t="str">
        <f t="shared" si="46"/>
        <v>Trd_lcv_hh2</v>
      </c>
      <c r="K173" t="str">
        <f t="shared" si="59"/>
        <v>Trd_lcv_hh2_91</v>
      </c>
      <c r="L173" t="str">
        <f t="shared" si="45"/>
        <v>Trd_lcv</v>
      </c>
      <c r="M173" s="387">
        <f t="shared" si="47"/>
        <v>47015.1741892966</v>
      </c>
      <c r="N173" s="387">
        <f t="shared" si="48"/>
        <v>34286.2822531159</v>
      </c>
      <c r="O173" s="387">
        <f t="shared" si="49"/>
        <v>28433.6762991349</v>
      </c>
      <c r="P173" s="387">
        <f t="shared" si="50"/>
        <v>27002.5970798531</v>
      </c>
      <c r="Q173">
        <f t="shared" si="56"/>
        <v>27002.5970798531</v>
      </c>
      <c r="R173">
        <v>3</v>
      </c>
      <c r="V173" s="383"/>
      <c r="Y173" t="str">
        <f t="shared" si="42"/>
        <v>Trd_lcv_hh2_91</v>
      </c>
      <c r="Z173" t="str">
        <f ca="1" t="shared" si="60"/>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57"/>
        <v>1.26065352919373</v>
      </c>
      <c r="H174" s="75"/>
      <c r="I174" s="379">
        <f t="shared" si="58"/>
        <v>2.12828330857447</v>
      </c>
      <c r="J174" t="str">
        <f t="shared" si="46"/>
        <v>Trd_lcv_hh2</v>
      </c>
      <c r="K174" t="str">
        <f t="shared" si="59"/>
        <v>Trd_lcv_hh2_95</v>
      </c>
      <c r="L174" t="str">
        <f t="shared" si="45"/>
        <v>Trd_lcv</v>
      </c>
      <c r="M174" s="387">
        <f t="shared" si="47"/>
        <v>49703.0325829883</v>
      </c>
      <c r="N174" s="387">
        <f t="shared" si="48"/>
        <v>34673.2741230346</v>
      </c>
      <c r="O174" s="387">
        <f t="shared" si="49"/>
        <v>28764.570608078</v>
      </c>
      <c r="P174" s="387">
        <f t="shared" si="50"/>
        <v>27324.5482993653</v>
      </c>
      <c r="Q174">
        <f t="shared" si="56"/>
        <v>27324.5482993653</v>
      </c>
      <c r="R174">
        <v>3</v>
      </c>
      <c r="V174" s="383"/>
      <c r="Y174" t="str">
        <f t="shared" si="42"/>
        <v>Trd_lcv_hh2_95</v>
      </c>
      <c r="Z174" t="str">
        <f ca="1" t="shared" si="60"/>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57"/>
        <v>1.19865417529895</v>
      </c>
      <c r="H175" s="75"/>
      <c r="I175" s="379">
        <f t="shared" si="58"/>
        <v>2.23836692798351</v>
      </c>
      <c r="J175" t="str">
        <f t="shared" si="46"/>
        <v>Trd_lcv_hh2</v>
      </c>
      <c r="K175" t="str">
        <f t="shared" si="59"/>
        <v>Trd_lcv_hh2_100</v>
      </c>
      <c r="L175" t="str">
        <f t="shared" si="45"/>
        <v>Trd_lcv</v>
      </c>
      <c r="M175" s="387">
        <f t="shared" si="47"/>
        <v>50460.9409463544</v>
      </c>
      <c r="N175" s="387">
        <f t="shared" si="48"/>
        <v>36490.73991933</v>
      </c>
      <c r="O175" s="387">
        <f t="shared" si="49"/>
        <v>29095.4649170211</v>
      </c>
      <c r="P175" s="387">
        <f t="shared" si="50"/>
        <v>27646.4995188775</v>
      </c>
      <c r="Q175">
        <f t="shared" si="56"/>
        <v>27646.4995188775</v>
      </c>
      <c r="R175">
        <v>3</v>
      </c>
      <c r="V175" s="383"/>
      <c r="Y175" t="str">
        <f t="shared" si="42"/>
        <v>Trd_lcv_hh2_100</v>
      </c>
      <c r="Z175" t="str">
        <f ca="1" t="shared" si="60"/>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57"/>
        <v>1.13665482140418</v>
      </c>
      <c r="H176" s="75"/>
      <c r="I176" s="379">
        <f t="shared" si="58"/>
        <v>2.36045966950988</v>
      </c>
      <c r="J176" t="str">
        <f t="shared" si="46"/>
        <v>Trd_lcv_hh2</v>
      </c>
      <c r="K176" t="str">
        <f t="shared" si="59"/>
        <v>Trd_lcv_hh2_106</v>
      </c>
      <c r="L176" t="str">
        <f t="shared" si="45"/>
        <v>Trd_lcv</v>
      </c>
      <c r="M176" s="387">
        <f t="shared" si="47"/>
        <v>50979.1442628498</v>
      </c>
      <c r="N176" s="387">
        <f t="shared" si="48"/>
        <v>36898.6956750849</v>
      </c>
      <c r="O176" s="387">
        <f t="shared" si="49"/>
        <v>29426.3592259642</v>
      </c>
      <c r="P176" s="387">
        <f t="shared" si="50"/>
        <v>27968.4507383897</v>
      </c>
      <c r="Q176">
        <f t="shared" si="56"/>
        <v>27968.4507383897</v>
      </c>
      <c r="R176">
        <v>3</v>
      </c>
      <c r="V176" s="383"/>
      <c r="Y176" t="str">
        <f t="shared" si="42"/>
        <v>Trd_lcv_hh2_106</v>
      </c>
      <c r="Z176" t="str">
        <f ca="1" t="shared" si="60"/>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57"/>
        <v>1.0746554675094</v>
      </c>
      <c r="H177" s="75"/>
      <c r="I177" s="379">
        <f t="shared" si="58"/>
        <v>2.49664003505853</v>
      </c>
      <c r="J177" t="str">
        <f t="shared" si="46"/>
        <v>Trd_lcv_hh2</v>
      </c>
      <c r="K177" t="str">
        <f t="shared" si="59"/>
        <v>Trd_lcv_hh2_112</v>
      </c>
      <c r="L177" t="str">
        <f t="shared" si="45"/>
        <v>Trd_lcv</v>
      </c>
      <c r="M177" s="387">
        <f t="shared" si="47"/>
        <v>51497.3475793452</v>
      </c>
      <c r="N177" s="387">
        <f t="shared" si="48"/>
        <v>37306.6514308397</v>
      </c>
      <c r="O177" s="387">
        <f t="shared" si="49"/>
        <v>29757.2535349073</v>
      </c>
      <c r="P177" s="387">
        <f t="shared" si="50"/>
        <v>28290.4019579018</v>
      </c>
      <c r="Q177">
        <f t="shared" si="56"/>
        <v>28290.4019579018</v>
      </c>
      <c r="R177">
        <v>3</v>
      </c>
      <c r="V177" s="383"/>
      <c r="Y177" t="str">
        <f t="shared" si="42"/>
        <v>Trd_lcv_hh2_112</v>
      </c>
      <c r="Z177" t="str">
        <f ca="1" t="shared" si="60"/>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57"/>
        <v>1.01265611361463</v>
      </c>
      <c r="H178" s="75"/>
      <c r="I178" s="379">
        <f t="shared" si="58"/>
        <v>2.64949554740905</v>
      </c>
      <c r="J178" t="str">
        <f t="shared" si="46"/>
        <v>Trd_lcv_hh2</v>
      </c>
      <c r="K178" t="str">
        <f t="shared" si="59"/>
        <v>Trd_lcv_hh2_119</v>
      </c>
      <c r="L178" t="str">
        <f t="shared" si="45"/>
        <v>Trd_lcv</v>
      </c>
      <c r="M178" s="387">
        <f t="shared" si="47"/>
        <v>52015.5508958406</v>
      </c>
      <c r="N178" s="387">
        <f t="shared" si="48"/>
        <v>37714.6071865946</v>
      </c>
      <c r="O178" s="387">
        <f t="shared" si="49"/>
        <v>30088.1478438504</v>
      </c>
      <c r="P178" s="387">
        <f t="shared" si="50"/>
        <v>28612.3531774141</v>
      </c>
      <c r="Q178">
        <f t="shared" si="56"/>
        <v>28612.3531774141</v>
      </c>
      <c r="R178">
        <v>3</v>
      </c>
      <c r="V178" s="383"/>
      <c r="Y178" t="str">
        <f t="shared" si="42"/>
        <v>Trd_lcv_hh2_119</v>
      </c>
      <c r="Z178" t="str">
        <f ca="1" t="shared" si="60"/>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workbookViewId="0">
      <selection activeCell="M91" sqref="M91"/>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IF($K89="\I:","",C89*100%)</f>
        <v>144373.905423467</v>
      </c>
      <c r="N89" s="392">
        <f>IF($K89="\I:","",D89*100%)</f>
        <v>95780.7302979094</v>
      </c>
      <c r="O89" s="392">
        <f>IF($K89="\I:","",E89*100%)</f>
        <v>90629.9070208589</v>
      </c>
      <c r="P89" s="392">
        <f>IF($K89="\I:","",F89*100%)</f>
        <v>88752.5161176525</v>
      </c>
      <c r="Q89">
        <f t="shared" ref="Q89:Q96" si="38">P89</f>
        <v>88752.5161176525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IF($K90="\I:","",C90*100%)</f>
        <v>147802.362213157</v>
      </c>
      <c r="N90" s="392">
        <f>IF($K90="\I:","",D90*100%)</f>
        <v>97793.4993710964</v>
      </c>
      <c r="O90" s="392">
        <f>IF($K90="\I:","",E90*100%)</f>
        <v>92046.7492662401</v>
      </c>
      <c r="P90" s="392">
        <f>IF($K90="\I:","",F90*100%)</f>
        <v>89776.9226508232</v>
      </c>
      <c r="Q90">
        <f t="shared" si="38"/>
        <v>89776.9226508232</v>
      </c>
      <c r="R90">
        <v>3</v>
      </c>
      <c r="U90" s="393">
        <v>0.01</v>
      </c>
      <c r="X90" t="str">
        <f t="shared" si="35"/>
        <v>Trd_hdt_elc_179</v>
      </c>
      <c r="Y90" t="str">
        <f ca="1" t="shared" ref="Y90:Y96" si="40">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IF($K91="\I:","",C91*100%)</f>
        <v>149288.810561655</v>
      </c>
      <c r="N91" s="392">
        <f>IF($K91="\I:","",D91*100%)</f>
        <v>100585.833714969</v>
      </c>
      <c r="O91" s="392">
        <f>IF($K91="\I:","",E91*100%)</f>
        <v>93658.4385500626</v>
      </c>
      <c r="P91" s="392">
        <f>IF($K91="\I:","",F91*100%)</f>
        <v>90964.2849465796</v>
      </c>
      <c r="Q91">
        <f t="shared" si="38"/>
        <v>90964.2849465796</v>
      </c>
      <c r="R91">
        <v>3</v>
      </c>
      <c r="U91" s="393">
        <v>0.01</v>
      </c>
      <c r="X91" t="str">
        <f t="shared" si="35"/>
        <v>Trd_hdt_elc_207</v>
      </c>
      <c r="Y91" t="str">
        <f ca="1" t="shared" si="40"/>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IF($K92="\I:","",C92*100%)</f>
        <v>152494.108762408</v>
      </c>
      <c r="N92" s="392">
        <f>IF($K92="\I:","",D92*100%)</f>
        <v>102554.343444586</v>
      </c>
      <c r="O92" s="392">
        <f>IF($K92="\I:","",E92*100%)</f>
        <v>94660.0138665998</v>
      </c>
      <c r="P92" s="392">
        <f>IF($K92="\I:","",F92*100%)</f>
        <v>92014.5204906916</v>
      </c>
      <c r="Q92">
        <f t="shared" si="38"/>
        <v>92014.5204906916</v>
      </c>
      <c r="R92">
        <v>3</v>
      </c>
      <c r="U92" s="393">
        <v>0.01</v>
      </c>
      <c r="X92" t="str">
        <f t="shared" si="35"/>
        <v>Trd_hdt_elc_236</v>
      </c>
      <c r="Y92" t="str">
        <f ca="1" t="shared" si="40"/>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IF($K93="\I:","",C93*100%)</f>
        <v>155632.353081546</v>
      </c>
      <c r="N93" s="392">
        <f>IF($K93="\I:","",D93*100%)</f>
        <v>104580.228913704</v>
      </c>
      <c r="O93" s="392">
        <f>IF($K93="\I:","",E93*100%)</f>
        <v>95569.8225134195</v>
      </c>
      <c r="P93" s="392">
        <f>IF($K93="\I:","",F93*100%)</f>
        <v>92930.9045082581</v>
      </c>
      <c r="Q93">
        <f t="shared" si="38"/>
        <v>92930.9045082581</v>
      </c>
      <c r="R93">
        <v>3</v>
      </c>
      <c r="U93" s="393">
        <v>0.05</v>
      </c>
      <c r="X93" t="str">
        <f t="shared" si="35"/>
        <v>Trd_hdt_elc_264</v>
      </c>
      <c r="Y93" t="str">
        <f ca="1" t="shared" si="40"/>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IF($K94="\I:","",C94*100%)</f>
        <v>159704.765843061</v>
      </c>
      <c r="N94" s="392">
        <f>IF($K94="\I:","",D94*100%)</f>
        <v>107786.20577947</v>
      </c>
      <c r="O94" s="392">
        <f>IF($K94="\I:","",E94*100%)</f>
        <v>98254.3480327816</v>
      </c>
      <c r="P94" s="392">
        <f>IF($K94="\I:","",F94*100%)</f>
        <v>95331.8317326809</v>
      </c>
      <c r="Q94">
        <f t="shared" si="38"/>
        <v>95331.8317326809</v>
      </c>
      <c r="R94">
        <v>3</v>
      </c>
      <c r="U94" s="393">
        <v>0.1</v>
      </c>
      <c r="X94" t="str">
        <f t="shared" si="35"/>
        <v>Trd_hdt_elc_350</v>
      </c>
      <c r="Y94" t="str">
        <f ca="1" t="shared" si="40"/>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IF($K95="\I:","",C95*100%)</f>
        <v>179612.758472383</v>
      </c>
      <c r="N95" s="392">
        <f>IF($K95="\I:","",D95*100%)</f>
        <v>119565.16497781</v>
      </c>
      <c r="O95" s="392">
        <f>IF($K95="\I:","",E95*100%)</f>
        <v>104086.944839593</v>
      </c>
      <c r="P95" s="392">
        <f>IF($K95="\I:","",F95*100%)</f>
        <v>100030.341013554</v>
      </c>
      <c r="Q95">
        <f t="shared" si="38"/>
        <v>100030.341013554</v>
      </c>
      <c r="R95">
        <v>3</v>
      </c>
      <c r="U95" s="393">
        <v>0.2</v>
      </c>
      <c r="X95" t="str">
        <f t="shared" si="35"/>
        <v>Trd_hdt_elc_500</v>
      </c>
      <c r="Y95" t="str">
        <f ca="1" t="shared" si="40"/>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IF($K96="\I:","",C96*100%)</f>
        <v>193069.495161372</v>
      </c>
      <c r="N96" s="392">
        <f>IF($K96="\I:","",D96*100%)</f>
        <v>125556.819841456</v>
      </c>
      <c r="O96" s="392">
        <f>IF($K96="\I:","",E96*100%)</f>
        <v>111128.241503766</v>
      </c>
      <c r="P96" s="392">
        <f>IF($K96="\I:","",F96*100%)</f>
        <v>104587.124680729</v>
      </c>
      <c r="Q96">
        <f t="shared" si="38"/>
        <v>104587.124680729</v>
      </c>
      <c r="R96">
        <v>3</v>
      </c>
      <c r="U96" s="383"/>
      <c r="X96" t="str">
        <f t="shared" si="35"/>
        <v>Trd_hdt_elc_600</v>
      </c>
      <c r="Y96" t="str">
        <f ca="1" t="shared" si="40"/>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1">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2">B105*0.12/100*10^9/10^6</f>
        <v>4.18925326729529</v>
      </c>
      <c r="H105" s="75"/>
      <c r="I105" s="379">
        <f t="shared" ref="I105:I111" si="43">1/G105/$I$7</f>
        <v>1.71280076190358</v>
      </c>
      <c r="J105" t="str">
        <f t="shared" si="26"/>
        <v>Trd_hdt_hh2</v>
      </c>
      <c r="K105" t="str">
        <f t="shared" ref="K105:K111" si="44">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1"/>
        <v>113744.19939298</v>
      </c>
      <c r="R105">
        <v>3</v>
      </c>
      <c r="U105" s="383"/>
      <c r="X105" t="str">
        <f t="shared" si="35"/>
        <v>Trd_hdt_hh2_3.5</v>
      </c>
      <c r="Y105" t="str">
        <f ca="1" t="shared" ref="Y105:Y111" si="45">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2"/>
        <v>4.05850653459058</v>
      </c>
      <c r="H106" s="75"/>
      <c r="I106" s="379">
        <f t="shared" si="43"/>
        <v>1.76797945916189</v>
      </c>
      <c r="J106" t="str">
        <f t="shared" si="26"/>
        <v>Trd_hdt_hh2</v>
      </c>
      <c r="K106" t="str">
        <f t="shared" si="44"/>
        <v>Trd_hdt_hh2_3.4</v>
      </c>
      <c r="L106" t="str">
        <f t="shared" si="34"/>
        <v>Trd_hdt</v>
      </c>
      <c r="M106" s="387">
        <f t="shared" si="28"/>
        <v>291607.78759882</v>
      </c>
      <c r="N106" s="387">
        <f t="shared" si="29"/>
        <v>169260.356312954</v>
      </c>
      <c r="O106" s="387">
        <f t="shared" si="30"/>
        <v>127529.129916993</v>
      </c>
      <c r="P106" s="387">
        <f t="shared" si="31"/>
        <v>114187.898579971</v>
      </c>
      <c r="Q106">
        <f t="shared" si="41"/>
        <v>114187.898579971</v>
      </c>
      <c r="R106">
        <v>3</v>
      </c>
      <c r="U106" s="383"/>
      <c r="X106" t="str">
        <f t="shared" si="35"/>
        <v>Trd_hdt_hh2_3.4</v>
      </c>
      <c r="Y106" t="str">
        <f ca="1" t="shared" si="45"/>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2"/>
        <v>3.92775980188586</v>
      </c>
      <c r="H107" s="75"/>
      <c r="I107" s="379">
        <f t="shared" si="43"/>
        <v>1.82683171832078</v>
      </c>
      <c r="J107" t="str">
        <f t="shared" si="26"/>
        <v>Trd_hdt_hh2</v>
      </c>
      <c r="K107" t="str">
        <f t="shared" si="44"/>
        <v>Trd_hdt_hh2_3.3</v>
      </c>
      <c r="L107" t="str">
        <f t="shared" si="34"/>
        <v>Trd_hdt</v>
      </c>
      <c r="M107" s="387">
        <f t="shared" si="28"/>
        <v>298751.243165772</v>
      </c>
      <c r="N107" s="387">
        <f t="shared" si="29"/>
        <v>172972.418760191</v>
      </c>
      <c r="O107" s="387">
        <f t="shared" si="30"/>
        <v>127972.829103985</v>
      </c>
      <c r="P107" s="387">
        <f t="shared" si="31"/>
        <v>114631.597766963</v>
      </c>
      <c r="Q107">
        <f t="shared" si="41"/>
        <v>114631.597766963</v>
      </c>
      <c r="R107">
        <v>3</v>
      </c>
      <c r="U107" s="383"/>
      <c r="X107" t="str">
        <f t="shared" si="35"/>
        <v>Trd_hdt_hh2_3.3</v>
      </c>
      <c r="Y107" t="str">
        <f ca="1" t="shared" si="45"/>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2"/>
        <v>3.79701306918116</v>
      </c>
      <c r="H108" s="75"/>
      <c r="I108" s="379">
        <f t="shared" si="43"/>
        <v>1.88973702678822</v>
      </c>
      <c r="J108" t="str">
        <f t="shared" si="26"/>
        <v>Trd_hdt_hh2</v>
      </c>
      <c r="K108" t="str">
        <f t="shared" si="44"/>
        <v>Trd_hdt_hh2_3.2</v>
      </c>
      <c r="L108" t="str">
        <f t="shared" si="34"/>
        <v>Trd_hdt</v>
      </c>
      <c r="M108" s="387">
        <f t="shared" si="28"/>
        <v>300389.263299954</v>
      </c>
      <c r="N108" s="387">
        <f t="shared" si="29"/>
        <v>179433.095982914</v>
      </c>
      <c r="O108" s="387">
        <f t="shared" si="30"/>
        <v>128416.528290977</v>
      </c>
      <c r="P108" s="387">
        <f t="shared" si="31"/>
        <v>115075.296953955</v>
      </c>
      <c r="Q108">
        <f t="shared" si="41"/>
        <v>115075.296953955</v>
      </c>
      <c r="R108">
        <v>3</v>
      </c>
      <c r="U108" s="383"/>
      <c r="X108" t="str">
        <f t="shared" si="35"/>
        <v>Trd_hdt_hh2_3.2</v>
      </c>
      <c r="Y108" t="str">
        <f ca="1" t="shared" si="45"/>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2"/>
        <v>3.66626633647645</v>
      </c>
      <c r="H109" s="75"/>
      <c r="I109" s="379">
        <f t="shared" si="43"/>
        <v>1.95712900523383</v>
      </c>
      <c r="J109" t="str">
        <f t="shared" si="26"/>
        <v>Trd_hdt_hh2</v>
      </c>
      <c r="K109" t="str">
        <f t="shared" si="44"/>
        <v>Trd_hdt_hh2_3.1</v>
      </c>
      <c r="L109" t="str">
        <f t="shared" si="34"/>
        <v>Trd_hdt</v>
      </c>
      <c r="M109" s="387">
        <f t="shared" si="28"/>
        <v>301347.939435471</v>
      </c>
      <c r="N109" s="387">
        <f t="shared" si="29"/>
        <v>179995.322886205</v>
      </c>
      <c r="O109" s="387">
        <f t="shared" si="30"/>
        <v>128860.227477969</v>
      </c>
      <c r="P109" s="387">
        <f t="shared" si="31"/>
        <v>115518.996140947</v>
      </c>
      <c r="Q109">
        <f t="shared" si="41"/>
        <v>115518.996140947</v>
      </c>
      <c r="R109">
        <v>3</v>
      </c>
      <c r="U109" s="383"/>
      <c r="X109" t="str">
        <f t="shared" si="35"/>
        <v>Trd_hdt_hh2_3.1</v>
      </c>
      <c r="Y109" t="str">
        <f ca="1" t="shared" si="45"/>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2"/>
        <v>3.53551960377174</v>
      </c>
      <c r="H110" s="75"/>
      <c r="I110" s="379">
        <f t="shared" si="43"/>
        <v>2.02950541707523</v>
      </c>
      <c r="J110" t="str">
        <f t="shared" si="26"/>
        <v>Trd_hdt_hh2</v>
      </c>
      <c r="K110" t="str">
        <f t="shared" si="44"/>
        <v>Trd_hdt_hh2_2.9</v>
      </c>
      <c r="L110" t="str">
        <f t="shared" si="34"/>
        <v>Trd_hdt</v>
      </c>
      <c r="M110" s="387">
        <f t="shared" si="28"/>
        <v>302306.615570987</v>
      </c>
      <c r="N110" s="387">
        <f t="shared" si="29"/>
        <v>180557.549789496</v>
      </c>
      <c r="O110" s="387">
        <f t="shared" si="30"/>
        <v>129303.92666496</v>
      </c>
      <c r="P110" s="387">
        <f t="shared" si="31"/>
        <v>115962.695327939</v>
      </c>
      <c r="Q110">
        <f t="shared" si="41"/>
        <v>115962.695327939</v>
      </c>
      <c r="R110">
        <v>3</v>
      </c>
      <c r="U110" s="383"/>
      <c r="X110" t="str">
        <f t="shared" si="35"/>
        <v>Trd_hdt_hh2_2.9</v>
      </c>
      <c r="Y110" t="str">
        <f ca="1" t="shared" si="45"/>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2"/>
        <v>3.40477287106703</v>
      </c>
      <c r="H111" s="75"/>
      <c r="I111" s="379">
        <f t="shared" si="43"/>
        <v>2.10744048421113</v>
      </c>
      <c r="J111" t="str">
        <f t="shared" si="26"/>
        <v>Trd_hdt_hh2</v>
      </c>
      <c r="K111" t="str">
        <f t="shared" si="44"/>
        <v>Trd_hdt_hh2_2.8</v>
      </c>
      <c r="L111" t="str">
        <f t="shared" si="34"/>
        <v>Trd_hdt</v>
      </c>
      <c r="M111" s="387">
        <f t="shared" si="28"/>
        <v>303265.291706504</v>
      </c>
      <c r="N111" s="387">
        <f t="shared" si="29"/>
        <v>181119.776692787</v>
      </c>
      <c r="O111" s="387">
        <f t="shared" si="30"/>
        <v>129747.625851952</v>
      </c>
      <c r="P111" s="387">
        <f t="shared" si="31"/>
        <v>116406.394514931</v>
      </c>
      <c r="Q111">
        <f t="shared" si="41"/>
        <v>116406.394514931</v>
      </c>
      <c r="R111">
        <v>3</v>
      </c>
      <c r="U111" s="383"/>
      <c r="X111" t="str">
        <f t="shared" si="35"/>
        <v>Trd_hdt_hh2_2.8</v>
      </c>
      <c r="Y111" t="str">
        <f ca="1" t="shared" si="45"/>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98" workbookViewId="0">
      <selection activeCell="M114" sqref="M11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IF($K94="\I:","",C94*100%)</f>
        <v>5018.464761349</v>
      </c>
      <c r="N94" s="392">
        <f>IF($K94="\I:","",D94*100%)</f>
        <v>3932.02158644446</v>
      </c>
      <c r="O94" s="392">
        <f>IF($K94="\I:","",E94*100%)</f>
        <v>3377.5952597276</v>
      </c>
      <c r="P94" s="392">
        <f>IF($K94="\I:","",F94*100%)</f>
        <v>3216.18278317439</v>
      </c>
      <c r="Q94">
        <f t="shared" ref="Q94:Q101" si="33">P94</f>
        <v>3216.18278317439</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IF($K95="\I:","",C95*100%)</f>
        <v>5255.17880196333</v>
      </c>
      <c r="N95" s="392">
        <f>IF($K95="\I:","",D95*100%)</f>
        <v>4065.26484849646</v>
      </c>
      <c r="O95" s="392">
        <f>IF($K95="\I:","",E95*100%)</f>
        <v>3458.03601447322</v>
      </c>
      <c r="P95" s="392">
        <f>IF($K95="\I:","",F95*100%)</f>
        <v>3281.25092110542</v>
      </c>
      <c r="Q95">
        <f t="shared" si="33"/>
        <v>3281.25092110542</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IF($K96="\I:","",C96*100%)</f>
        <v>5368.6042797577</v>
      </c>
      <c r="N96" s="392">
        <f>IF($K96="\I:","",D96*100%)</f>
        <v>4129.11057822971</v>
      </c>
      <c r="O96" s="392">
        <f>IF($K96="\I:","",E96*100%)</f>
        <v>3496.58054278884</v>
      </c>
      <c r="P96" s="392">
        <f>IF($K96="\I:","",F96*100%)</f>
        <v>3312.42940386404</v>
      </c>
      <c r="Q96">
        <f t="shared" si="33"/>
        <v>3312.42940386404</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IF($K97="\I:","",C97*100%)</f>
        <v>5409.04292836265</v>
      </c>
      <c r="N97" s="392">
        <f>IF($K97="\I:","",D97*100%)</f>
        <v>4151.87296883025</v>
      </c>
      <c r="O97" s="392">
        <f>IF($K97="\I:","",E97*100%)</f>
        <v>3510.32250505788</v>
      </c>
      <c r="P97" s="392">
        <f>IF($K97="\I:","",F97*100%)</f>
        <v>3323.54521076059</v>
      </c>
      <c r="Q97">
        <f t="shared" si="33"/>
        <v>3323.54521076059</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IF($K98="\I:","",C98*100%)</f>
        <v>5536.27672519285</v>
      </c>
      <c r="N98" s="392">
        <f>IF($K98="\I:","",D98*100%)</f>
        <v>4223.4912221832</v>
      </c>
      <c r="O98" s="392">
        <f>IF($K98="\I:","",E98*100%)</f>
        <v>3553.55941073366</v>
      </c>
      <c r="P98" s="392">
        <f>IF($K98="\I:","",F98*100%)</f>
        <v>3358.51933489852</v>
      </c>
      <c r="Q98">
        <f t="shared" si="33"/>
        <v>3358.51933489852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IF($K99="\I:","",C99*100%)</f>
        <v>5651.67481999234</v>
      </c>
      <c r="N99" s="392">
        <f>IF($K99="\I:","",D99*100%)</f>
        <v>4288.44731243355</v>
      </c>
      <c r="O99" s="392">
        <f>IF($K99="\I:","",E99*100%)</f>
        <v>3592.77427867215</v>
      </c>
      <c r="P99" s="392">
        <f>IF($K99="\I:","",F99*100%)</f>
        <v>3390.2400521399</v>
      </c>
      <c r="Q99">
        <f t="shared" si="33"/>
        <v>3390.2400521399</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IF($K100="\I:","",C100*100%)</f>
        <v>5820.33357393005</v>
      </c>
      <c r="N100" s="392">
        <f>IF($K100="\I:","",D100*100%)</f>
        <v>4383.38313664559</v>
      </c>
      <c r="O100" s="392">
        <f>IF($K100="\I:","",E100*100%)</f>
        <v>3650.08831642841</v>
      </c>
      <c r="P100" s="392">
        <f>IF($K100="\I:","",F100*100%)</f>
        <v>3436.60110041577</v>
      </c>
      <c r="Q100">
        <f t="shared" si="33"/>
        <v>3436.60110041577</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IF($K101="\I:","",C101*100%)</f>
        <v>5985.04709385752</v>
      </c>
      <c r="N101" s="392">
        <f>IF($K101="\I:","",D101*100%)</f>
        <v>4476.09823982344</v>
      </c>
      <c r="O101" s="392">
        <f>IF($K101="\I:","",E101*100%)</f>
        <v>3706.06167493891</v>
      </c>
      <c r="P101" s="392">
        <f>IF($K101="\I:","",F101*100%)</f>
        <v>3481.87767972611</v>
      </c>
      <c r="Q101">
        <f t="shared" si="33"/>
        <v>3481.87767972611</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IF($K112="\I:","",C112*100%)</f>
        <v>9005.08390897976</v>
      </c>
      <c r="N112" s="392">
        <f>IF($K112="\I:","",D112*100%)</f>
        <v>7694.21261537352</v>
      </c>
      <c r="O112" s="392">
        <f>IF($K112="\I:","",E112*100%)</f>
        <v>7025.25765030914</v>
      </c>
      <c r="P112" s="392">
        <f>IF($K112="\I:","",F112*100%)</f>
        <v>6830.50196788507</v>
      </c>
      <c r="Q112">
        <f t="shared" ref="Q112:Q119" si="36">P112</f>
        <v>6830.50196788507</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37">$I$106</f>
        <v>6.27177700348432</v>
      </c>
      <c r="J113" t="str">
        <f t="shared" si="23"/>
        <v>Trd_2w_elc500</v>
      </c>
      <c r="K113" t="str">
        <f t="shared" si="35"/>
        <v>Trd_2w_elc500_131</v>
      </c>
      <c r="L113" t="str">
        <f t="shared" si="25"/>
        <v>Trd_2w</v>
      </c>
      <c r="M113" s="392">
        <f>IF($K113="\I:","",C113*100%)</f>
        <v>9279.25190789782</v>
      </c>
      <c r="N113" s="392">
        <f>IF($K113="\I:","",D113*100%)</f>
        <v>7848.53822458243</v>
      </c>
      <c r="O113" s="392">
        <f>IF($K113="\I:","",E113*100%)</f>
        <v>7118.42610243319</v>
      </c>
      <c r="P113" s="392">
        <f>IF($K113="\I:","",F113*100%)</f>
        <v>6905.86547874222</v>
      </c>
      <c r="Q113">
        <f t="shared" si="36"/>
        <v>6905.86547874222</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37"/>
        <v>6.27177700348432</v>
      </c>
      <c r="J114" t="str">
        <f t="shared" si="23"/>
        <v>Trd_2w_elc500</v>
      </c>
      <c r="K114" t="str">
        <f t="shared" si="35"/>
        <v>Trd_2w_elc500_143</v>
      </c>
      <c r="L114" t="str">
        <f t="shared" si="25"/>
        <v>Trd_2w</v>
      </c>
      <c r="M114" s="392">
        <f>IF($K114="\I:","",C114*100%)</f>
        <v>9403.70974951194</v>
      </c>
      <c r="N114" s="392">
        <f>IF($K114="\I:","",D114*100%)</f>
        <v>7918.59392876279</v>
      </c>
      <c r="O114" s="392">
        <f>IF($K114="\I:","",E114*100%)</f>
        <v>7160.71967609476</v>
      </c>
      <c r="P114" s="392">
        <f>IF($K114="\I:","",F114*100%)</f>
        <v>6940.07654617079</v>
      </c>
      <c r="Q114">
        <f t="shared" si="36"/>
        <v>6940.07654617079</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37"/>
        <v>6.27177700348432</v>
      </c>
      <c r="J115" t="str">
        <f t="shared" si="23"/>
        <v>Trd_2w_elc500</v>
      </c>
      <c r="K115" t="str">
        <f t="shared" si="35"/>
        <v>Trd_2w_elc500_154</v>
      </c>
      <c r="L115" t="str">
        <f t="shared" si="25"/>
        <v>Trd_2w</v>
      </c>
      <c r="M115" s="392">
        <f>IF($K115="\I:","",C115*100%)</f>
        <v>9440.07059619241</v>
      </c>
      <c r="N115" s="392">
        <f>IF($K115="\I:","",D115*100%)</f>
        <v>7939.06097757031</v>
      </c>
      <c r="O115" s="392">
        <f>IF($K115="\I:","",E115*100%)</f>
        <v>7173.07590955931</v>
      </c>
      <c r="P115" s="392">
        <f>IF($K115="\I:","",F115*100%)</f>
        <v>6950.07144373138</v>
      </c>
      <c r="Q115">
        <f t="shared" si="36"/>
        <v>6950.07144373138</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37"/>
        <v>6.27177700348432</v>
      </c>
      <c r="J116" t="str">
        <f t="shared" si="23"/>
        <v>Trd_2w_elc500</v>
      </c>
      <c r="K116" t="str">
        <f t="shared" si="35"/>
        <v>Trd_2w_elc500_166</v>
      </c>
      <c r="L116" t="str">
        <f t="shared" si="25"/>
        <v>Trd_2w</v>
      </c>
      <c r="M116" s="392">
        <f>IF($K116="\I:","",C116*100%)</f>
        <v>9579.35639854656</v>
      </c>
      <c r="N116" s="392">
        <f>IF($K116="\I:","",D116*100%)</f>
        <v>8017.46314845562</v>
      </c>
      <c r="O116" s="392">
        <f>IF($K116="\I:","",E116*100%)</f>
        <v>7220.40835776407</v>
      </c>
      <c r="P116" s="392">
        <f>IF($K116="\I:","",F116*100%)</f>
        <v>6988.3584324368</v>
      </c>
      <c r="Q116">
        <f t="shared" si="36"/>
        <v>6988.3584324368</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37"/>
        <v>6.27177700348432</v>
      </c>
      <c r="J117" t="str">
        <f t="shared" si="23"/>
        <v>Trd_2w_elc500</v>
      </c>
      <c r="K117" t="str">
        <f t="shared" si="35"/>
        <v>Trd_2w_elc500_177</v>
      </c>
      <c r="L117" t="str">
        <f t="shared" si="25"/>
        <v>Trd_2w</v>
      </c>
      <c r="M117" s="392">
        <f>IF($K117="\I:","",C117*100%)</f>
        <v>9703.54056974434</v>
      </c>
      <c r="N117" s="392">
        <f>IF($K117="\I:","",D117*100%)</f>
        <v>8087.36480710955</v>
      </c>
      <c r="O117" s="392">
        <f>IF($K117="\I:","",E117*100%)</f>
        <v>7262.60893206328</v>
      </c>
      <c r="P117" s="392">
        <f>IF($K117="\I:","",F117*100%)</f>
        <v>7022.49427313039</v>
      </c>
      <c r="Q117">
        <f t="shared" si="36"/>
        <v>7022.49427313039</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37"/>
        <v>6.27177700348432</v>
      </c>
      <c r="J118" t="str">
        <f t="shared" si="23"/>
        <v>Trd_2w_elc500</v>
      </c>
      <c r="K118" t="str">
        <f t="shared" si="35"/>
        <v>Trd_2w_elc500_189</v>
      </c>
      <c r="L118" t="str">
        <f t="shared" si="25"/>
        <v>Trd_2w</v>
      </c>
      <c r="M118" s="392">
        <f>IF($K118="\I:","",C118*100%)</f>
        <v>9889.67377155065</v>
      </c>
      <c r="N118" s="392">
        <f>IF($K118="\I:","",D118*100%)</f>
        <v>8192.13677129253</v>
      </c>
      <c r="O118" s="392">
        <f>IF($K118="\I:","",E118*100%)</f>
        <v>7325.86118020902</v>
      </c>
      <c r="P118" s="392">
        <f>IF($K118="\I:","",F118*100%)</f>
        <v>7073.65871110478</v>
      </c>
      <c r="Q118">
        <f t="shared" si="36"/>
        <v>7073.65871110478</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37"/>
        <v>6.27177700348432</v>
      </c>
      <c r="J119" t="str">
        <f t="shared" si="23"/>
        <v>Trd_2w_elc500</v>
      </c>
      <c r="K119" t="str">
        <f t="shared" si="35"/>
        <v>Trd_2w_elc500_200</v>
      </c>
      <c r="L119" t="str">
        <f t="shared" si="25"/>
        <v>Trd_2w</v>
      </c>
      <c r="M119" s="392">
        <f>IF($K119="\I:","",C119*100%)</f>
        <v>10069.7447589828</v>
      </c>
      <c r="N119" s="392">
        <f>IF($K119="\I:","",D119*100%)</f>
        <v>8293.4963936627</v>
      </c>
      <c r="O119" s="392">
        <f>IF($K119="\I:","",E119*100%)</f>
        <v>7387.05335157005</v>
      </c>
      <c r="P119" s="392">
        <f>IF($K119="\I:","",F119*100%)</f>
        <v>7123.15676291956</v>
      </c>
      <c r="Q119">
        <f t="shared" si="36"/>
        <v>7123.15676291956</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IF($K130="\I:","",C130*100%)</f>
        <v>14416.9866551673</v>
      </c>
      <c r="N130" s="392">
        <f>IF($K130="\I:","",D130*100%)</f>
        <v>12950.2883690462</v>
      </c>
      <c r="O130" s="392">
        <f>IF($K130="\I:","",E130*100%)</f>
        <v>12201.8128279785</v>
      </c>
      <c r="P130" s="392">
        <f>IF($K130="\I:","",F130*100%)</f>
        <v>11983.9059846316</v>
      </c>
      <c r="Q130">
        <f t="shared" ref="Q130:Q137" si="38">P130</f>
        <v>11983.9059846316</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39">$I$124/$I$49</f>
        <v>9.73530650437647</v>
      </c>
      <c r="J131" t="str">
        <f t="shared" si="23"/>
        <v>Trd_3w_elc</v>
      </c>
      <c r="K131" t="str">
        <f t="shared" si="35"/>
        <v>Trd_3w_elc_131</v>
      </c>
      <c r="L131" t="str">
        <f t="shared" si="25"/>
        <v>Trd_3w</v>
      </c>
      <c r="M131" s="392">
        <f>IF($K131="\I:","",C131*100%)</f>
        <v>14724.8839894236</v>
      </c>
      <c r="N131" s="392">
        <f>IF($K131="\I:","",D131*100%)</f>
        <v>13123.5997834724</v>
      </c>
      <c r="O131" s="392">
        <f>IF($K131="\I:","",E131*100%)</f>
        <v>12306.4432668297</v>
      </c>
      <c r="P131" s="392">
        <f>IF($K131="\I:","",F131*100%)</f>
        <v>12068.5410411833</v>
      </c>
      <c r="Q131">
        <f t="shared" si="38"/>
        <v>12068.5410411833</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39"/>
        <v>9.73530650437647</v>
      </c>
      <c r="J132" t="str">
        <f t="shared" si="23"/>
        <v>Trd_3w_elc</v>
      </c>
      <c r="K132" t="str">
        <f t="shared" si="35"/>
        <v>Trd_3w_elc_143</v>
      </c>
      <c r="L132" t="str">
        <f t="shared" si="25"/>
        <v>Trd_3w</v>
      </c>
      <c r="M132" s="392">
        <f>IF($K132="\I:","",C132*100%)</f>
        <v>14865.3695454917</v>
      </c>
      <c r="N132" s="392">
        <f>IF($K132="\I:","",D132*100%)</f>
        <v>13202.6772801563</v>
      </c>
      <c r="O132" s="392">
        <f>IF($K132="\I:","",E132*100%)</f>
        <v>12354.1834183292</v>
      </c>
      <c r="P132" s="392">
        <f>IF($K132="\I:","",F132*100%)</f>
        <v>12107.1578191144</v>
      </c>
      <c r="Q132">
        <f t="shared" si="38"/>
        <v>12107.1578191144</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39"/>
        <v>9.73530650437647</v>
      </c>
      <c r="J133" t="str">
        <f t="shared" si="23"/>
        <v>Trd_3w_elc</v>
      </c>
      <c r="K133" t="str">
        <f t="shared" si="35"/>
        <v>Trd_3w_elc_154</v>
      </c>
      <c r="L133" t="str">
        <f t="shared" si="25"/>
        <v>Trd_3w</v>
      </c>
      <c r="M133" s="392">
        <f>IF($K133="\I:","",C133*100%)</f>
        <v>14907.2890658627</v>
      </c>
      <c r="N133" s="392">
        <f>IF($K133="\I:","",D133*100%)</f>
        <v>13226.2732342593</v>
      </c>
      <c r="O133" s="392">
        <f>IF($K133="\I:","",E133*100%)</f>
        <v>12368.4286141294</v>
      </c>
      <c r="P133" s="392">
        <f>IF($K133="\I:","",F133*100%)</f>
        <v>12118.6806891833</v>
      </c>
      <c r="Q133">
        <f t="shared" si="38"/>
        <v>12118.6806891833</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39"/>
        <v>9.73530650437647</v>
      </c>
      <c r="J134" t="str">
        <f t="shared" si="23"/>
        <v>Trd_3w_elc</v>
      </c>
      <c r="K134" t="str">
        <f t="shared" si="35"/>
        <v>Trd_3w_elc_166</v>
      </c>
      <c r="L134" t="str">
        <f t="shared" si="25"/>
        <v>Trd_3w</v>
      </c>
      <c r="M134" s="392">
        <f>IF($K134="\I:","",C134*100%)</f>
        <v>15064.5475025229</v>
      </c>
      <c r="N134" s="392">
        <f>IF($K134="\I:","",D134*100%)</f>
        <v>13314.7919677972</v>
      </c>
      <c r="O134" s="392">
        <f>IF($K134="\I:","",E134*100%)</f>
        <v>12421.8685676795</v>
      </c>
      <c r="P134" s="392">
        <f>IF($K134="\I:","",F134*100%)</f>
        <v>12161.9080094592</v>
      </c>
      <c r="Q134">
        <f t="shared" si="38"/>
        <v>12161.9080094592</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39"/>
        <v>9.73530650437647</v>
      </c>
      <c r="J135" t="str">
        <f t="shared" si="23"/>
        <v>Trd_3w_elc</v>
      </c>
      <c r="K135" t="str">
        <f t="shared" si="35"/>
        <v>Trd_3w_elc_177</v>
      </c>
      <c r="L135" t="str">
        <f t="shared" si="25"/>
        <v>Trd_3w</v>
      </c>
      <c r="M135" s="392">
        <f>IF($K135="\I:","",C135*100%)</f>
        <v>15204.9907882267</v>
      </c>
      <c r="N135" s="392">
        <f>IF($K135="\I:","",D135*100%)</f>
        <v>13393.8456710415</v>
      </c>
      <c r="O135" s="392">
        <f>IF($K135="\I:","",E135*100%)</f>
        <v>12469.5943547585</v>
      </c>
      <c r="P135" s="392">
        <f>IF($K135="\I:","",F135*100%)</f>
        <v>12200.5131680799</v>
      </c>
      <c r="Q135">
        <f t="shared" si="38"/>
        <v>12200.5131680799</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39"/>
        <v>9.73530650437647</v>
      </c>
      <c r="J136" t="str">
        <f t="shared" si="23"/>
        <v>Trd_3w_elc</v>
      </c>
      <c r="K136" t="str">
        <f t="shared" si="35"/>
        <v>Trd_3w_elc_189</v>
      </c>
      <c r="L136" t="str">
        <f t="shared" si="25"/>
        <v>Trd_3w</v>
      </c>
      <c r="M136" s="392">
        <f>IF($K136="\I:","",C136*100%)</f>
        <v>15414.9772774338</v>
      </c>
      <c r="N136" s="392">
        <f>IF($K136="\I:","",D136*100%)</f>
        <v>13512.0443412014</v>
      </c>
      <c r="O136" s="392">
        <f>IF($K136="\I:","",E136*100%)</f>
        <v>12540.9524864281</v>
      </c>
      <c r="P136" s="392">
        <f>IF($K136="\I:","",F136*100%)</f>
        <v>12258.2344160799</v>
      </c>
      <c r="Q136">
        <f t="shared" si="38"/>
        <v>12258.2344160799</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39"/>
        <v>9.73530650437647</v>
      </c>
      <c r="J137" t="str">
        <f t="shared" si="23"/>
        <v>Trd_3w_elc</v>
      </c>
      <c r="K137" t="str">
        <f t="shared" si="35"/>
        <v>Trd_3w_elc_200</v>
      </c>
      <c r="L137" t="str">
        <f t="shared" si="25"/>
        <v>Trd_3w</v>
      </c>
      <c r="M137" s="392">
        <f>IF($K137="\I:","",C137*100%)</f>
        <v>15618.3104112851</v>
      </c>
      <c r="N137" s="392">
        <f>IF($K137="\I:","",D137*100%)</f>
        <v>13626.4979239601</v>
      </c>
      <c r="O137" s="392">
        <f>IF($K137="\I:","",E137*100%)</f>
        <v>12610.0496583125</v>
      </c>
      <c r="P137" s="392">
        <f>IF($K137="\I:","",F137*100%)</f>
        <v>12314.1267846316</v>
      </c>
      <c r="Q137">
        <f t="shared" si="38"/>
        <v>12314.1267846316</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40">IFERROR(VLOOKUP(C141,$V$1:$W$8,2,FALSE),J140)</f>
        <v>Trd_3w_elc</v>
      </c>
      <c r="K141" t="str">
        <f t="shared" si="35"/>
        <v>\I:</v>
      </c>
      <c r="L141" t="str">
        <f t="shared" ref="L141:L155" si="41">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40"/>
        <v>Trd_3w_elc</v>
      </c>
      <c r="K142" t="str">
        <f t="shared" si="35"/>
        <v>\I:</v>
      </c>
      <c r="L142" t="str">
        <f t="shared" si="41"/>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40"/>
        <v>Trd_3w_elc</v>
      </c>
      <c r="K143" t="str">
        <f t="shared" si="35"/>
        <v>\I:</v>
      </c>
      <c r="L143" t="str">
        <f t="shared" si="41"/>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40"/>
        <v>Trd_2w_elc50</v>
      </c>
      <c r="K144" t="str">
        <f t="shared" si="35"/>
        <v>\I:</v>
      </c>
      <c r="L144" t="str">
        <f t="shared" si="41"/>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40"/>
        <v>Trd_2w_elc50</v>
      </c>
      <c r="K145" t="str">
        <f t="shared" si="35"/>
        <v>\I:</v>
      </c>
      <c r="L145" t="str">
        <f t="shared" si="41"/>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40"/>
        <v>Trd_2w_elc50</v>
      </c>
      <c r="K146" t="str">
        <f t="shared" si="35"/>
        <v>\I:</v>
      </c>
      <c r="L146" t="str">
        <f t="shared" si="41"/>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40"/>
        <v>Trd_2w_elc50</v>
      </c>
      <c r="K147" t="str">
        <f t="shared" si="35"/>
        <v>\I:</v>
      </c>
      <c r="L147" t="str">
        <f t="shared" si="41"/>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40"/>
        <v>Trd_2w_elc50</v>
      </c>
      <c r="K148" t="str">
        <f t="shared" si="35"/>
        <v>Trd_2w_elc50_100</v>
      </c>
      <c r="L148" t="str">
        <f t="shared" si="41"/>
        <v>Trd_2w</v>
      </c>
      <c r="M148" s="392">
        <f>IF($K148="\I:","",C148*100%)</f>
        <v>4598.92933933434</v>
      </c>
      <c r="N148" s="392">
        <f>IF($K148="\I:","",D148*100%)</f>
        <v>3005.76958807794</v>
      </c>
      <c r="O148" s="392">
        <f>IF($K148="\I:","",E148*100%)</f>
        <v>2743.99155568645</v>
      </c>
      <c r="P148" s="392">
        <f>IF($K148="\I:","",F148*100%)</f>
        <v>2561.52116348593</v>
      </c>
      <c r="Q148">
        <f t="shared" ref="Q148:Q155" si="42">P148</f>
        <v>2561.52116348593</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43">$I$142</f>
        <v>8.03571428571429</v>
      </c>
      <c r="J149" t="str">
        <f t="shared" si="40"/>
        <v>Trd_2w_elc50</v>
      </c>
      <c r="K149" t="str">
        <f t="shared" si="35"/>
        <v>Trd_2w_elc50_109</v>
      </c>
      <c r="L149" t="str">
        <f t="shared" si="41"/>
        <v>Trd_2w</v>
      </c>
      <c r="M149" s="392">
        <f>IF($K149="\I:","",C149*100%)</f>
        <v>4826.14686048914</v>
      </c>
      <c r="N149" s="392">
        <f>IF($K149="\I:","",D149*100%)</f>
        <v>3104.152506899</v>
      </c>
      <c r="O149" s="392">
        <f>IF($K149="\I:","",E149*100%)</f>
        <v>2821.20517954116</v>
      </c>
      <c r="P149" s="392">
        <f>IF($K149="\I:","",F149*100%)</f>
        <v>2623.9788908285</v>
      </c>
      <c r="Q149">
        <f t="shared" si="42"/>
        <v>2623.9788908285</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43"/>
        <v>8.03571428571429</v>
      </c>
      <c r="J150" t="str">
        <f t="shared" si="40"/>
        <v>Trd_2w_elc50</v>
      </c>
      <c r="K150" t="str">
        <f t="shared" si="35"/>
        <v>Trd_2w_elc50_117</v>
      </c>
      <c r="L150" t="str">
        <f t="shared" si="41"/>
        <v>Trd_2w</v>
      </c>
      <c r="M150" s="392">
        <f>IF($K150="\I:","",C150*100%)</f>
        <v>4915.29569075295</v>
      </c>
      <c r="N150" s="392">
        <f>IF($K150="\I:","",D150*100%)</f>
        <v>3142.75306061625</v>
      </c>
      <c r="O150" s="392">
        <f>IF($K150="\I:","",E150*100%)</f>
        <v>2851.49995703936</v>
      </c>
      <c r="P150" s="392">
        <f>IF($K150="\I:","",F150*100%)</f>
        <v>2648.48419000273</v>
      </c>
      <c r="Q150">
        <f t="shared" si="42"/>
        <v>2648.48419000273</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43"/>
        <v>8.03571428571429</v>
      </c>
      <c r="J151" t="str">
        <f t="shared" si="40"/>
        <v>Trd_2w_elc50</v>
      </c>
      <c r="K151" t="str">
        <f t="shared" si="35"/>
        <v>Trd_2w_elc50_126</v>
      </c>
      <c r="L151" t="str">
        <f t="shared" si="41"/>
        <v>Trd_2w</v>
      </c>
      <c r="M151" s="392">
        <f>IF($K151="\I:","",C151*100%)</f>
        <v>4925.63516312727</v>
      </c>
      <c r="N151" s="392">
        <f>IF($K151="\I:","",D151*100%)</f>
        <v>3147.22994895693</v>
      </c>
      <c r="O151" s="392">
        <f>IF($K151="\I:","",E151*100%)</f>
        <v>2855.0135422889</v>
      </c>
      <c r="P151" s="392">
        <f>IF($K151="\I:","",F151*100%)</f>
        <v>2651.32631213812</v>
      </c>
      <c r="Q151">
        <f t="shared" si="42"/>
        <v>2651.32631213812</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43"/>
        <v>8.03571428571429</v>
      </c>
      <c r="J152" t="str">
        <f t="shared" si="40"/>
        <v>Trd_2w_elc50</v>
      </c>
      <c r="K152" t="str">
        <f t="shared" si="35"/>
        <v>Trd_2w_elc50_134</v>
      </c>
      <c r="L152" t="str">
        <f t="shared" si="41"/>
        <v>Trd_2w</v>
      </c>
      <c r="M152" s="392">
        <f>IF($K152="\I:","",C152*100%)</f>
        <v>5031.68195257476</v>
      </c>
      <c r="N152" s="392">
        <f>IF($K152="\I:","",D152*100%)</f>
        <v>3193.1471503436</v>
      </c>
      <c r="O152" s="392">
        <f>IF($K152="\I:","",E152*100%)</f>
        <v>2891.0506263561</v>
      </c>
      <c r="P152" s="392">
        <f>IF($K152="\I:","",F152*100%)</f>
        <v>2680.47653535684</v>
      </c>
      <c r="Q152">
        <f t="shared" si="42"/>
        <v>2680.47653535684</v>
      </c>
      <c r="R152">
        <v>3</v>
      </c>
      <c r="W152" s="393">
        <v>0.15</v>
      </c>
      <c r="Z152" t="str">
        <f t="shared" ref="Z152:Z155" si="44">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43"/>
        <v>8.03571428571429</v>
      </c>
      <c r="J153" t="str">
        <f t="shared" si="40"/>
        <v>Trd_2w_elc50</v>
      </c>
      <c r="K153" t="str">
        <f t="shared" si="35"/>
        <v>Trd_2w_elc50_143</v>
      </c>
      <c r="L153" t="str">
        <f t="shared" si="41"/>
        <v>Trd_2w</v>
      </c>
      <c r="M153" s="392">
        <f>IF($K153="\I:","",C153*100%)</f>
        <v>5124.86263948367</v>
      </c>
      <c r="N153" s="392">
        <f>IF($K153="\I:","",D153*100%)</f>
        <v>3233.49345774656</v>
      </c>
      <c r="O153" s="392">
        <f>IF($K153="\I:","",E153*100%)</f>
        <v>2922.71551941954</v>
      </c>
      <c r="P153" s="392">
        <f>IF($K153="\I:","",F153*100%)</f>
        <v>2706.09011439322</v>
      </c>
      <c r="Q153">
        <f t="shared" si="42"/>
        <v>2706.09011439322</v>
      </c>
      <c r="R153">
        <v>3</v>
      </c>
      <c r="W153" s="393">
        <v>0.175</v>
      </c>
      <c r="Z153" t="str">
        <f t="shared" si="44"/>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43"/>
        <v>8.03571428571429</v>
      </c>
      <c r="J154" t="str">
        <f t="shared" si="40"/>
        <v>Trd_2w_elc50</v>
      </c>
      <c r="K154" t="str">
        <f t="shared" si="35"/>
        <v>Trd_2w_elc50_151</v>
      </c>
      <c r="L154" t="str">
        <f t="shared" si="41"/>
        <v>Trd_2w</v>
      </c>
      <c r="M154" s="392">
        <f>IF($K154="\I:","",C154*100%)</f>
        <v>5274.35193764196</v>
      </c>
      <c r="N154" s="392">
        <f>IF($K154="\I:","",D154*100%)</f>
        <v>3298.22083180899</v>
      </c>
      <c r="O154" s="392">
        <f>IF($K154="\I:","",E154*100%)</f>
        <v>2973.51534497716</v>
      </c>
      <c r="P154" s="392">
        <f>IF($K154="\I:","",F154*100%)</f>
        <v>2747.18184788961</v>
      </c>
      <c r="Q154">
        <f t="shared" si="42"/>
        <v>2747.18184788961</v>
      </c>
      <c r="R154">
        <v>3</v>
      </c>
      <c r="W154" s="393">
        <v>0.2</v>
      </c>
      <c r="Z154" t="str">
        <f t="shared" si="44"/>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43"/>
        <v>8.03571428571429</v>
      </c>
      <c r="J155" t="str">
        <f t="shared" si="40"/>
        <v>Trd_2w_elc50</v>
      </c>
      <c r="K155" t="str">
        <f t="shared" si="35"/>
        <v>Trd_2w_elc50_160</v>
      </c>
      <c r="L155" t="str">
        <f t="shared" si="41"/>
        <v>Trd_2w</v>
      </c>
      <c r="M155" s="392">
        <f>IF($K155="\I:","",C155*100%)</f>
        <v>5418.44153445629</v>
      </c>
      <c r="N155" s="392">
        <f>IF($K155="\I:","",D155*100%)</f>
        <v>3360.61018908344</v>
      </c>
      <c r="O155" s="392">
        <f>IF($K155="\I:","",E155*100%)</f>
        <v>3022.48023057777</v>
      </c>
      <c r="P155" s="392">
        <f>IF($K155="\I:","",F155*100%)</f>
        <v>2786.78930731876</v>
      </c>
      <c r="Q155">
        <f t="shared" si="42"/>
        <v>2786.78930731876</v>
      </c>
      <c r="R155">
        <v>3</v>
      </c>
      <c r="W155" s="383"/>
      <c r="Z155" t="str">
        <f t="shared" si="44"/>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A198" workbookViewId="0">
      <selection activeCell="S232" sqref="S232"/>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IF($K89="\I:","",C89*100%)</f>
        <v>414282.581831388</v>
      </c>
      <c r="N89" s="392">
        <f>IF($K89="\I:","",D89*100%)</f>
        <v>303169.459903534</v>
      </c>
      <c r="O89" s="392">
        <f>IF($K89="\I:","",E89*100%)</f>
        <v>289801.053326816</v>
      </c>
      <c r="P89" s="392">
        <f>IF($K89="\I:","",F89*100%)</f>
        <v>284257.075106368</v>
      </c>
      <c r="Q89">
        <f t="shared" ref="Q89:Q96" si="33">P89</f>
        <v>284257.075106368</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4">$I$83/$I$7</f>
        <v>2.95617979462175</v>
      </c>
      <c r="J90" t="str">
        <f t="shared" si="24"/>
        <v>Trd_bus_elc</v>
      </c>
      <c r="K90" t="str">
        <f t="shared" ref="K90:K96" si="35">IFERROR(IF(VALUE(C90)&gt;2020,J90&amp;"_"&amp;TEXT(B90,"00"),"\I:"),"\I:")</f>
        <v>Trd_bus_elc_134</v>
      </c>
      <c r="L90" t="str">
        <f t="shared" si="25"/>
        <v>Trd_bus</v>
      </c>
      <c r="M90" s="392">
        <f>IF($K90="\I:","",C90*100%)</f>
        <v>418677.39136009</v>
      </c>
      <c r="N90" s="392">
        <f>IF($K90="\I:","",D90*100%)</f>
        <v>306294.576352111</v>
      </c>
      <c r="O90" s="392">
        <f>IF($K90="\I:","",E90*100%)</f>
        <v>291398.806588617</v>
      </c>
      <c r="P90" s="392">
        <f>IF($K90="\I:","",F90*100%)</f>
        <v>285221.419427949</v>
      </c>
      <c r="Q90">
        <f t="shared" si="33"/>
        <v>285221.419427949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4"/>
        <v>2.95617979462175</v>
      </c>
      <c r="J91" t="str">
        <f t="shared" si="24"/>
        <v>Trd_bus_elc</v>
      </c>
      <c r="K91" t="str">
        <f t="shared" si="35"/>
        <v>Trd_bus_elc_149</v>
      </c>
      <c r="L91" t="str">
        <f t="shared" si="25"/>
        <v>Trd_bus</v>
      </c>
      <c r="M91" s="392">
        <f>IF($K91="\I:","",C91*100%)</f>
        <v>421065.599852614</v>
      </c>
      <c r="N91" s="392">
        <f>IF($K91="\I:","",D91*100%)</f>
        <v>307992.813691836</v>
      </c>
      <c r="O91" s="392">
        <f>IF($K91="\I:","",E91*100%)</f>
        <v>292267.050794396</v>
      </c>
      <c r="P91" s="392">
        <f>IF($K91="\I:","",F91*100%)</f>
        <v>285745.45927165</v>
      </c>
      <c r="Q91">
        <f t="shared" si="33"/>
        <v>285745.45927165</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4"/>
        <v>2.95617979462175</v>
      </c>
      <c r="J92" t="str">
        <f t="shared" si="24"/>
        <v>Trd_bus_elc</v>
      </c>
      <c r="K92" t="str">
        <f t="shared" si="35"/>
        <v>Trd_bus_elc_163</v>
      </c>
      <c r="L92" t="str">
        <f t="shared" si="25"/>
        <v>Trd_bus</v>
      </c>
      <c r="M92" s="392">
        <f>IF($K92="\I:","",C92*100%)</f>
        <v>423484.304232436</v>
      </c>
      <c r="N92" s="392">
        <f>IF($K92="\I:","",D92*100%)</f>
        <v>309712.736430754</v>
      </c>
      <c r="O92" s="392">
        <f>IF($K92="\I:","",E92*100%)</f>
        <v>293146.38192057</v>
      </c>
      <c r="P92" s="392">
        <f>IF($K92="\I:","",F92*100%)</f>
        <v>286276.1907673</v>
      </c>
      <c r="Q92">
        <f t="shared" si="33"/>
        <v>286276.1907673</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4"/>
        <v>2.95617979462175</v>
      </c>
      <c r="J93" t="str">
        <f t="shared" si="24"/>
        <v>Trd_bus_elc</v>
      </c>
      <c r="K93" t="str">
        <f t="shared" si="35"/>
        <v>Trd_bus_elc_177</v>
      </c>
      <c r="L93" t="str">
        <f t="shared" si="25"/>
        <v>Trd_bus</v>
      </c>
      <c r="M93" s="392">
        <f>IF($K93="\I:","",C93*100%)</f>
        <v>426045.337290405</v>
      </c>
      <c r="N93" s="392">
        <f>IF($K93="\I:","",D93*100%)</f>
        <v>311533.868036695</v>
      </c>
      <c r="O93" s="392">
        <f>IF($K93="\I:","",E93*100%)</f>
        <v>294077.457293741</v>
      </c>
      <c r="P93" s="392">
        <f>IF($K93="\I:","",F93*100%)</f>
        <v>286838.153161962</v>
      </c>
      <c r="Q93">
        <f t="shared" si="33"/>
        <v>286838.153161962</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4"/>
        <v>2.95617979462175</v>
      </c>
      <c r="J94" t="str">
        <f t="shared" si="24"/>
        <v>Trd_bus_elc</v>
      </c>
      <c r="K94" t="str">
        <f t="shared" si="35"/>
        <v>Trd_bus_elc_191</v>
      </c>
      <c r="L94" t="str">
        <f t="shared" si="25"/>
        <v>Trd_bus</v>
      </c>
      <c r="M94" s="392">
        <f>IF($K94="\I:","",C94*100%)</f>
        <v>429934.421537582</v>
      </c>
      <c r="N94" s="392">
        <f>IF($K94="\I:","",D94*100%)</f>
        <v>314299.366989808</v>
      </c>
      <c r="O94" s="392">
        <f>IF($K94="\I:","",E94*100%)</f>
        <v>295873.386780209</v>
      </c>
      <c r="P94" s="392">
        <f>IF($K94="\I:","",F94*100%)</f>
        <v>287922.109266851</v>
      </c>
      <c r="Q94">
        <f t="shared" si="33"/>
        <v>287922.109266851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4"/>
        <v>2.95617979462175</v>
      </c>
      <c r="J95" t="str">
        <f t="shared" si="24"/>
        <v>Trd_bus_elc</v>
      </c>
      <c r="K95" t="str">
        <f t="shared" si="35"/>
        <v>Trd_bus_elc_206</v>
      </c>
      <c r="L95" t="str">
        <f t="shared" si="25"/>
        <v>Trd_bus</v>
      </c>
      <c r="M95" s="392">
        <f>IF($K95="\I:","",C95*100%)</f>
        <v>434837.321877915</v>
      </c>
      <c r="N95" s="392">
        <f>IF($K95="\I:","",D95*100%)</f>
        <v>317785.783044756</v>
      </c>
      <c r="O95" s="392">
        <f>IF($K95="\I:","",E95*100%)</f>
        <v>297678.678035306</v>
      </c>
      <c r="P95" s="392">
        <f>IF($K95="\I:","",F95*100%)</f>
        <v>289011.715786377</v>
      </c>
      <c r="Q95">
        <f t="shared" si="33"/>
        <v>289011.715786377</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4"/>
        <v>2.95617979462175</v>
      </c>
      <c r="J96" t="str">
        <f t="shared" si="24"/>
        <v>Trd_bus_elc</v>
      </c>
      <c r="K96" t="str">
        <f t="shared" si="35"/>
        <v>Trd_bus_elc_220</v>
      </c>
      <c r="L96" t="str">
        <f t="shared" si="25"/>
        <v>Trd_bus</v>
      </c>
      <c r="M96" s="392">
        <f>IF($K96="\I:","",C96*100%)</f>
        <v>439775.623723911</v>
      </c>
      <c r="N96" s="392">
        <f>IF($K96="\I:","",D96*100%)</f>
        <v>321297.372847721</v>
      </c>
      <c r="O96" s="392">
        <f>IF($K96="\I:","",E96*100%)</f>
        <v>299069.166215671</v>
      </c>
      <c r="P96" s="392">
        <f>IF($K96="\I:","",F96*100%)</f>
        <v>289850.96262944</v>
      </c>
      <c r="Q96">
        <f t="shared" si="33"/>
        <v>289850.96262944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36">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37">B105*0.12/100*10^9/10^6</f>
        <v>10.4731331682382</v>
      </c>
      <c r="H105" s="75"/>
      <c r="I105" s="379">
        <f t="shared" ref="I105:I111" si="38">1/G105/$I$7</f>
        <v>1.3249087691195</v>
      </c>
      <c r="J105" t="str">
        <f t="shared" si="24"/>
        <v>Trd_bus_hh2</v>
      </c>
      <c r="K105" t="str">
        <f t="shared" ref="K105:K111" si="39">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36"/>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37"/>
        <v>10.1462663364765</v>
      </c>
      <c r="H106" s="75"/>
      <c r="I106" s="379">
        <f t="shared" si="38"/>
        <v>1.36759133996614</v>
      </c>
      <c r="J106" t="str">
        <f t="shared" si="24"/>
        <v>Trd_bus_hh2</v>
      </c>
      <c r="K106" t="str">
        <f t="shared" si="39"/>
        <v>Trd_bus_hh2_8.5</v>
      </c>
      <c r="L106" t="str">
        <f t="shared" si="25"/>
        <v>Trd_bus</v>
      </c>
      <c r="M106" s="387">
        <f t="shared" si="27"/>
        <v>599623.87168693</v>
      </c>
      <c r="N106" s="387">
        <f t="shared" si="28"/>
        <v>389362.122971876</v>
      </c>
      <c r="O106" s="387">
        <f t="shared" si="29"/>
        <v>331753.262870207</v>
      </c>
      <c r="P106" s="387">
        <f t="shared" si="30"/>
        <v>316616.778973062</v>
      </c>
      <c r="Q106">
        <f t="shared" si="36"/>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37"/>
        <v>9.81939950471467</v>
      </c>
      <c r="H107" s="75"/>
      <c r="I107" s="379">
        <f t="shared" si="38"/>
        <v>1.41311553400926</v>
      </c>
      <c r="J107" t="str">
        <f t="shared" si="24"/>
        <v>Trd_bus_hh2</v>
      </c>
      <c r="K107" t="str">
        <f t="shared" si="39"/>
        <v>Trd_bus_hh2_8.2</v>
      </c>
      <c r="L107" t="str">
        <f t="shared" si="25"/>
        <v>Trd_bus</v>
      </c>
      <c r="M107" s="387">
        <f t="shared" si="27"/>
        <v>600378.575519683</v>
      </c>
      <c r="N107" s="387">
        <f t="shared" si="28"/>
        <v>389882.471403932</v>
      </c>
      <c r="O107" s="387">
        <f t="shared" si="29"/>
        <v>332208.733253483</v>
      </c>
      <c r="P107" s="387">
        <f t="shared" si="30"/>
        <v>317007.371307557</v>
      </c>
      <c r="Q107">
        <f t="shared" si="36"/>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37"/>
        <v>9.4925326729529</v>
      </c>
      <c r="H108" s="75"/>
      <c r="I108" s="379">
        <f t="shared" si="38"/>
        <v>1.46177489747198</v>
      </c>
      <c r="J108" t="str">
        <f t="shared" si="24"/>
        <v>Trd_bus_hh2</v>
      </c>
      <c r="K108" t="str">
        <f t="shared" si="39"/>
        <v>Trd_bus_hh2_7.9</v>
      </c>
      <c r="L108" t="str">
        <f t="shared" si="25"/>
        <v>Trd_bus</v>
      </c>
      <c r="M108" s="387">
        <f t="shared" si="27"/>
        <v>601133.279352436</v>
      </c>
      <c r="N108" s="387">
        <f t="shared" si="28"/>
        <v>390402.819835988</v>
      </c>
      <c r="O108" s="387">
        <f t="shared" si="29"/>
        <v>332664.203636758</v>
      </c>
      <c r="P108" s="387">
        <f t="shared" si="30"/>
        <v>317397.963642052</v>
      </c>
      <c r="Q108">
        <f t="shared" si="36"/>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37"/>
        <v>9.16566584119112</v>
      </c>
      <c r="H109" s="75"/>
      <c r="I109" s="379">
        <f t="shared" si="38"/>
        <v>1.51390485046877</v>
      </c>
      <c r="J109" t="str">
        <f t="shared" si="24"/>
        <v>Trd_bus_hh2</v>
      </c>
      <c r="K109" t="str">
        <f t="shared" si="39"/>
        <v>Trd_bus_hh2_7.6</v>
      </c>
      <c r="L109" t="str">
        <f t="shared" si="25"/>
        <v>Trd_bus</v>
      </c>
      <c r="M109" s="387">
        <f t="shared" si="27"/>
        <v>601887.983185188</v>
      </c>
      <c r="N109" s="387">
        <f t="shared" si="28"/>
        <v>390923.168268043</v>
      </c>
      <c r="O109" s="387">
        <f t="shared" si="29"/>
        <v>333119.674020033</v>
      </c>
      <c r="P109" s="387">
        <f t="shared" si="30"/>
        <v>317788.555976546</v>
      </c>
      <c r="Q109">
        <f t="shared" si="36"/>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37"/>
        <v>8.83879900942934</v>
      </c>
      <c r="H110" s="75"/>
      <c r="I110" s="379">
        <f t="shared" si="38"/>
        <v>1.56989042967852</v>
      </c>
      <c r="J110" t="str">
        <f t="shared" si="24"/>
        <v>Trd_bus_hh2</v>
      </c>
      <c r="K110" t="str">
        <f t="shared" si="39"/>
        <v>Trd_bus_hh2_7.4</v>
      </c>
      <c r="L110" t="str">
        <f t="shared" si="25"/>
        <v>Trd_bus</v>
      </c>
      <c r="M110" s="387">
        <f t="shared" si="27"/>
        <v>602642.687017941</v>
      </c>
      <c r="N110" s="387">
        <f t="shared" si="28"/>
        <v>391443.516700099</v>
      </c>
      <c r="O110" s="387">
        <f t="shared" si="29"/>
        <v>333575.144403309</v>
      </c>
      <c r="P110" s="387">
        <f t="shared" si="30"/>
        <v>318179.148311041</v>
      </c>
      <c r="Q110">
        <f t="shared" si="36"/>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37"/>
        <v>8.51193217766758</v>
      </c>
      <c r="H111" s="75"/>
      <c r="I111" s="379">
        <f t="shared" si="38"/>
        <v>1.63017581497664</v>
      </c>
      <c r="J111" t="str">
        <f t="shared" si="24"/>
        <v>Trd_bus_hh2</v>
      </c>
      <c r="K111" t="str">
        <f t="shared" si="39"/>
        <v>Trd_bus_hh2_7.1</v>
      </c>
      <c r="L111" t="str">
        <f t="shared" si="25"/>
        <v>Trd_bus</v>
      </c>
      <c r="M111" s="387">
        <f t="shared" si="27"/>
        <v>603397.390850693</v>
      </c>
      <c r="N111" s="387">
        <f t="shared" si="28"/>
        <v>391963.865132155</v>
      </c>
      <c r="O111" s="387">
        <f t="shared" si="29"/>
        <v>334030.614786584</v>
      </c>
      <c r="P111" s="387">
        <f t="shared" si="30"/>
        <v>318569.740645536</v>
      </c>
      <c r="Q111">
        <f t="shared" si="36"/>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0">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0"/>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0"/>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0"/>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0"/>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0"/>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0"/>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0"/>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1">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1"/>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1"/>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2">IFERROR(VLOOKUP(C142,$V$1:$W$9,2,FALSE),J141)</f>
        <v>\I:Trd_bus_</v>
      </c>
      <c r="K142" t="str">
        <f t="shared" si="26"/>
        <v>\I:Trd_bus__30</v>
      </c>
      <c r="L142" t="str">
        <f t="shared" ref="L142:L205" si="43">LEFT(K142,7)</f>
        <v>\I:Trd_</v>
      </c>
      <c r="M142" s="387">
        <f t="shared" si="27"/>
        <v>327717.496433645</v>
      </c>
      <c r="N142" s="387">
        <f t="shared" si="28"/>
        <v>325354.481104544</v>
      </c>
      <c r="O142" s="387">
        <f t="shared" si="29"/>
        <v>325354.481104544</v>
      </c>
      <c r="P142" s="387">
        <f t="shared" si="30"/>
        <v>325354.481104544</v>
      </c>
      <c r="Q142">
        <f t="shared" si="41"/>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2"/>
        <v>\I:Trd_bus_</v>
      </c>
      <c r="K143" t="str">
        <f t="shared" si="26"/>
        <v>\I:Trd_bus__34</v>
      </c>
      <c r="L143" t="str">
        <f t="shared" si="43"/>
        <v>\I:Trd_</v>
      </c>
      <c r="M143" s="387">
        <f t="shared" si="27"/>
        <v>341195.768621874</v>
      </c>
      <c r="N143" s="387">
        <f t="shared" si="28"/>
        <v>327631.084398538</v>
      </c>
      <c r="O143" s="387">
        <f t="shared" si="29"/>
        <v>327631.084398538</v>
      </c>
      <c r="P143" s="387">
        <f t="shared" si="30"/>
        <v>327631.084398538</v>
      </c>
      <c r="Q143">
        <f t="shared" si="41"/>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2"/>
        <v>\I:Trd_bus_</v>
      </c>
      <c r="K144" t="str">
        <f t="shared" si="26"/>
        <v>\I:Trd_bus__38</v>
      </c>
      <c r="L144" t="str">
        <f t="shared" si="43"/>
        <v>\I:Trd_</v>
      </c>
      <c r="M144" s="387">
        <f t="shared" si="27"/>
        <v>357695.810307068</v>
      </c>
      <c r="N144" s="387">
        <f t="shared" si="28"/>
        <v>331053.906733749</v>
      </c>
      <c r="O144" s="387">
        <f t="shared" si="29"/>
        <v>331053.906733749</v>
      </c>
      <c r="P144" s="387">
        <f t="shared" si="30"/>
        <v>331053.906733749</v>
      </c>
      <c r="Q144">
        <f t="shared" si="41"/>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2"/>
        <v>\I:Trd_bus_</v>
      </c>
      <c r="K145" t="str">
        <f t="shared" si="26"/>
        <v>\I:Trd_bus__40</v>
      </c>
      <c r="L145" t="str">
        <f t="shared" si="43"/>
        <v>\I:Trd_</v>
      </c>
      <c r="M145" s="387">
        <f t="shared" si="27"/>
        <v>367686.550041485</v>
      </c>
      <c r="N145" s="387">
        <f t="shared" si="28"/>
        <v>336352.059139705</v>
      </c>
      <c r="O145" s="387">
        <f t="shared" si="29"/>
        <v>336200.043862392</v>
      </c>
      <c r="P145" s="387">
        <f t="shared" si="30"/>
        <v>336200.043862392</v>
      </c>
      <c r="Q145">
        <f t="shared" si="41"/>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2"/>
        <v>\I:Trd_bus_</v>
      </c>
      <c r="K146" t="str">
        <f t="shared" si="26"/>
        <v>\I:Trd_bus__43</v>
      </c>
      <c r="L146" t="str">
        <f t="shared" si="43"/>
        <v>\I:Trd_</v>
      </c>
      <c r="M146" s="387">
        <f t="shared" si="27"/>
        <v>424470.664466407</v>
      </c>
      <c r="N146" s="387">
        <f t="shared" si="28"/>
        <v>350547.740111951</v>
      </c>
      <c r="O146" s="387">
        <f t="shared" si="29"/>
        <v>343937.146391603</v>
      </c>
      <c r="P146" s="387">
        <f t="shared" si="30"/>
        <v>343937.146391603</v>
      </c>
      <c r="Q146">
        <f t="shared" si="41"/>
        <v>343937.146391603</v>
      </c>
      <c r="R146">
        <v>3</v>
      </c>
      <c r="V146" s="383"/>
      <c r="X146" t="s">
        <v>83</v>
      </c>
      <c r="Y146" t="str">
        <f t="shared" si="31"/>
        <v>\I:Trd_bus__43</v>
      </c>
      <c r="Z146" t="str">
        <f ca="1" t="shared" si="32"/>
        <v>Hybrid diesel coach -- 43%</v>
      </c>
      <c r="AA146" s="385" t="s">
        <v>84</v>
      </c>
      <c r="AB146" s="385" t="s">
        <v>85</v>
      </c>
    </row>
    <row r="147" spans="2:28">
      <c r="J147" t="str">
        <f t="shared" si="42"/>
        <v>\I:Trd_bus_</v>
      </c>
      <c r="K147" t="str">
        <f t="shared" si="26"/>
        <v>\I:</v>
      </c>
      <c r="L147" t="str">
        <f t="shared" si="43"/>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2"/>
        <v>\I:Trd_bus_</v>
      </c>
      <c r="K148" t="str">
        <f t="shared" si="26"/>
        <v>\I:</v>
      </c>
      <c r="L148" t="str">
        <f t="shared" si="43"/>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2"/>
        <v>\I:Trd_bus_</v>
      </c>
      <c r="K149" t="str">
        <f t="shared" si="26"/>
        <v>\I:</v>
      </c>
      <c r="L149" t="str">
        <f t="shared" si="43"/>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2"/>
        <v>\I:Trd_bus_</v>
      </c>
      <c r="K150" t="str">
        <f t="shared" si="26"/>
        <v>\I:</v>
      </c>
      <c r="L150" t="str">
        <f t="shared" si="43"/>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2"/>
        <v>\I:Trd_bus_</v>
      </c>
      <c r="K151" t="str">
        <f t="shared" si="26"/>
        <v>\I:</v>
      </c>
      <c r="L151" t="str">
        <f t="shared" si="43"/>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2"/>
        <v>\I:Trd_bus_</v>
      </c>
      <c r="K152" t="str">
        <f t="shared" ref="K152:K215" si="44">IFERROR(IF(VALUE(C152)&gt;2020,J152&amp;"_"&amp;TEXT(B152*100,"00"),"\I:"),"\I:")</f>
        <v>\I:</v>
      </c>
      <c r="L152" t="str">
        <f t="shared" si="43"/>
        <v>\I:</v>
      </c>
      <c r="M152" s="387" t="str">
        <f t="shared" ref="M152:M215" si="45">IF($K152="\I:","",C152)</f>
        <v/>
      </c>
      <c r="N152" s="387" t="str">
        <f t="shared" ref="N152:N215" si="46">IF($K152="\I:","",D152)</f>
        <v/>
      </c>
      <c r="O152" s="387" t="str">
        <f t="shared" ref="O152:O215" si="47">IF($K152="\I:","",E152)</f>
        <v/>
      </c>
      <c r="P152" s="387" t="str">
        <f t="shared" ref="P152:P215" si="48">IF($K152="\I:","",F152)</f>
        <v/>
      </c>
      <c r="V152" s="383"/>
      <c r="X152" t="s">
        <v>83</v>
      </c>
      <c r="Y152" t="str">
        <f t="shared" ref="Y152:Y215" si="49">K152</f>
        <v>\I:</v>
      </c>
      <c r="Z152" t="str">
        <f ca="1" t="shared" ref="Z152:Z215" si="50">OFFSET($W$1,MATCH(J152,$W$1:$W$12,0)-1,-1)&amp;" -- "&amp;TEXT(B152,"00%")</f>
        <v>Hybrid diesel coach -- 201500%</v>
      </c>
      <c r="AA152" s="385" t="s">
        <v>84</v>
      </c>
      <c r="AB152" s="385" t="s">
        <v>85</v>
      </c>
    </row>
    <row r="153" spans="2:28">
      <c r="B153" s="46" t="s">
        <v>12</v>
      </c>
      <c r="C153" s="47" t="s">
        <v>88</v>
      </c>
      <c r="D153" s="48">
        <v>21.9255423798406</v>
      </c>
      <c r="J153" t="str">
        <f t="shared" si="42"/>
        <v>\I:Trd_bus_</v>
      </c>
      <c r="K153" t="str">
        <f t="shared" si="44"/>
        <v>\I:</v>
      </c>
      <c r="L153" t="str">
        <f t="shared" si="43"/>
        <v>\I:</v>
      </c>
      <c r="M153" s="387" t="str">
        <f t="shared" si="45"/>
        <v/>
      </c>
      <c r="N153" s="387" t="str">
        <f t="shared" si="46"/>
        <v/>
      </c>
      <c r="O153" s="387" t="str">
        <f t="shared" si="47"/>
        <v/>
      </c>
      <c r="P153" s="387" t="str">
        <f t="shared" si="48"/>
        <v/>
      </c>
      <c r="V153" s="383"/>
      <c r="X153" t="s">
        <v>83</v>
      </c>
      <c r="Y153" t="str">
        <f t="shared" si="49"/>
        <v>\I:</v>
      </c>
      <c r="Z153" t="str">
        <f ca="1" t="shared" si="50"/>
        <v>Hybrid diesel coach -- Energy consumption</v>
      </c>
      <c r="AA153" s="385" t="s">
        <v>84</v>
      </c>
      <c r="AB153" s="385" t="s">
        <v>85</v>
      </c>
    </row>
    <row r="154" spans="2:28">
      <c r="B154" s="46" t="s">
        <v>14</v>
      </c>
      <c r="C154" s="47" t="s">
        <v>15</v>
      </c>
      <c r="D154" s="68">
        <v>321393.556544713</v>
      </c>
      <c r="J154" t="str">
        <f t="shared" si="42"/>
        <v>\I:Trd_bus_</v>
      </c>
      <c r="K154" t="str">
        <f t="shared" si="44"/>
        <v>\I:</v>
      </c>
      <c r="L154" t="str">
        <f t="shared" si="43"/>
        <v>\I:</v>
      </c>
      <c r="M154" s="387" t="str">
        <f t="shared" si="45"/>
        <v/>
      </c>
      <c r="N154" s="387" t="str">
        <f t="shared" si="46"/>
        <v/>
      </c>
      <c r="O154" s="387" t="str">
        <f t="shared" si="47"/>
        <v/>
      </c>
      <c r="P154" s="387" t="str">
        <f t="shared" si="48"/>
        <v/>
      </c>
      <c r="V154" s="383"/>
      <c r="X154" t="s">
        <v>83</v>
      </c>
      <c r="Y154" t="str">
        <f t="shared" si="49"/>
        <v>\I:</v>
      </c>
      <c r="Z154" t="str">
        <f ca="1" t="shared" si="50"/>
        <v>Hybrid diesel coach -- Capital cost</v>
      </c>
      <c r="AA154" s="385" t="s">
        <v>84</v>
      </c>
      <c r="AB154" s="385" t="s">
        <v>85</v>
      </c>
    </row>
    <row r="155" spans="2:28">
      <c r="J155" t="str">
        <f t="shared" si="42"/>
        <v>\I:Trd_bus_</v>
      </c>
      <c r="K155" t="str">
        <f t="shared" si="44"/>
        <v>\I:</v>
      </c>
      <c r="L155" t="str">
        <f t="shared" si="43"/>
        <v>\I:</v>
      </c>
      <c r="M155" s="387" t="str">
        <f t="shared" si="45"/>
        <v/>
      </c>
      <c r="N155" s="387" t="str">
        <f t="shared" si="46"/>
        <v/>
      </c>
      <c r="O155" s="387" t="str">
        <f t="shared" si="47"/>
        <v/>
      </c>
      <c r="P155" s="387" t="str">
        <f t="shared" si="48"/>
        <v/>
      </c>
      <c r="V155" s="383"/>
      <c r="X155" t="s">
        <v>83</v>
      </c>
      <c r="Y155" t="str">
        <f t="shared" si="49"/>
        <v>\I:</v>
      </c>
      <c r="Z155" t="str">
        <f ca="1" t="shared" si="50"/>
        <v>Hybrid diesel coach -- 00%</v>
      </c>
      <c r="AA155" s="385" t="s">
        <v>84</v>
      </c>
      <c r="AB155" s="385" t="s">
        <v>85</v>
      </c>
    </row>
    <row r="156" ht="15" customHeight="1" spans="2:28">
      <c r="B156" s="384" t="s">
        <v>121</v>
      </c>
      <c r="C156" s="384" t="s">
        <v>166</v>
      </c>
      <c r="D156" s="384"/>
      <c r="E156" s="384"/>
      <c r="F156" s="384"/>
      <c r="J156" t="str">
        <f t="shared" si="42"/>
        <v>\I:Trd_bus_</v>
      </c>
      <c r="K156" t="str">
        <f t="shared" si="44"/>
        <v>\I:</v>
      </c>
      <c r="L156" t="str">
        <f t="shared" si="43"/>
        <v>\I:</v>
      </c>
      <c r="M156" s="387" t="str">
        <f t="shared" si="45"/>
        <v/>
      </c>
      <c r="N156" s="387" t="str">
        <f t="shared" si="46"/>
        <v/>
      </c>
      <c r="O156" s="387" t="str">
        <f t="shared" si="47"/>
        <v/>
      </c>
      <c r="P156" s="387" t="str">
        <f t="shared" si="48"/>
        <v/>
      </c>
      <c r="V156" s="383"/>
      <c r="X156" t="s">
        <v>83</v>
      </c>
      <c r="Y156" t="str">
        <f t="shared" si="49"/>
        <v>\I:</v>
      </c>
      <c r="Z156" t="str">
        <f ca="1" t="shared" si="50"/>
        <v>Hybrid diesel coach -- Reduction of specific energy consumption relative to 2015 LNG vehicle (%)</v>
      </c>
      <c r="AA156" s="385" t="s">
        <v>84</v>
      </c>
      <c r="AB156" s="385" t="s">
        <v>85</v>
      </c>
    </row>
    <row r="157" spans="2:28">
      <c r="B157" s="384"/>
      <c r="C157" s="384"/>
      <c r="D157" s="384"/>
      <c r="E157" s="384"/>
      <c r="F157" s="384"/>
      <c r="J157" t="str">
        <f t="shared" si="42"/>
        <v>\I:Trd_bus_</v>
      </c>
      <c r="K157" t="str">
        <f t="shared" si="44"/>
        <v>\I:</v>
      </c>
      <c r="L157" t="str">
        <f t="shared" si="43"/>
        <v>\I:</v>
      </c>
      <c r="M157" s="387" t="str">
        <f t="shared" si="45"/>
        <v/>
      </c>
      <c r="N157" s="387" t="str">
        <f t="shared" si="46"/>
        <v/>
      </c>
      <c r="O157" s="387" t="str">
        <f t="shared" si="47"/>
        <v/>
      </c>
      <c r="P157" s="387" t="str">
        <f t="shared" si="48"/>
        <v/>
      </c>
      <c r="V157" s="383"/>
      <c r="X157" t="s">
        <v>83</v>
      </c>
      <c r="Y157" t="str">
        <f t="shared" si="49"/>
        <v>\I:</v>
      </c>
      <c r="Z157" t="str">
        <f ca="1" t="shared" si="50"/>
        <v>Hybrid diesel coach -- 00%</v>
      </c>
      <c r="AA157" s="385" t="s">
        <v>84</v>
      </c>
      <c r="AB157" s="385" t="s">
        <v>85</v>
      </c>
    </row>
    <row r="158" spans="2:28">
      <c r="B158" s="384"/>
      <c r="C158" s="384"/>
      <c r="D158" s="384"/>
      <c r="E158" s="384"/>
      <c r="F158" s="384"/>
      <c r="J158" t="str">
        <f t="shared" si="42"/>
        <v>\I:Trd_bus_</v>
      </c>
      <c r="K158" t="str">
        <f t="shared" si="44"/>
        <v>\I:</v>
      </c>
      <c r="L158" t="str">
        <f t="shared" si="43"/>
        <v>\I:</v>
      </c>
      <c r="M158" s="387" t="str">
        <f t="shared" si="45"/>
        <v/>
      </c>
      <c r="N158" s="387" t="str">
        <f t="shared" si="46"/>
        <v/>
      </c>
      <c r="O158" s="387" t="str">
        <f t="shared" si="47"/>
        <v/>
      </c>
      <c r="P158" s="387" t="str">
        <f t="shared" si="48"/>
        <v/>
      </c>
      <c r="V158" s="383"/>
      <c r="X158" t="s">
        <v>83</v>
      </c>
      <c r="Y158" t="str">
        <f t="shared" si="49"/>
        <v>\I:</v>
      </c>
      <c r="Z158" t="str">
        <f ca="1" t="shared" si="50"/>
        <v>Hybrid diesel coach -- 00%</v>
      </c>
      <c r="AA158" s="385" t="s">
        <v>84</v>
      </c>
      <c r="AB158" s="385" t="s">
        <v>85</v>
      </c>
    </row>
    <row r="159" spans="2:28">
      <c r="B159" s="50"/>
      <c r="C159" s="51">
        <v>2020</v>
      </c>
      <c r="D159" s="51">
        <v>2030</v>
      </c>
      <c r="E159" s="51">
        <v>2040</v>
      </c>
      <c r="F159" s="51">
        <v>2050</v>
      </c>
      <c r="J159" t="str">
        <f t="shared" si="42"/>
        <v>\I:Trd_bus_</v>
      </c>
      <c r="K159" t="str">
        <f t="shared" si="44"/>
        <v>\I:</v>
      </c>
      <c r="L159" t="str">
        <f t="shared" si="43"/>
        <v>\I:</v>
      </c>
      <c r="M159" s="387" t="str">
        <f t="shared" si="45"/>
        <v/>
      </c>
      <c r="N159" s="387" t="str">
        <f t="shared" si="46"/>
        <v/>
      </c>
      <c r="O159" s="387" t="str">
        <f t="shared" si="47"/>
        <v/>
      </c>
      <c r="P159" s="387" t="str">
        <f t="shared" si="48"/>
        <v/>
      </c>
      <c r="V159" s="383"/>
      <c r="X159" t="s">
        <v>83</v>
      </c>
      <c r="Y159" t="str">
        <f t="shared" si="49"/>
        <v>\I:</v>
      </c>
      <c r="Z159" t="str">
        <f ca="1" t="shared" si="50"/>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2"/>
        <v>\I:Trd_bus_</v>
      </c>
      <c r="K160" t="str">
        <f t="shared" si="44"/>
        <v>\I:Trd_bus__04</v>
      </c>
      <c r="L160" t="str">
        <f t="shared" si="43"/>
        <v>\I:Trd_</v>
      </c>
      <c r="M160" s="387">
        <f t="shared" si="45"/>
        <v>322213.921573696</v>
      </c>
      <c r="N160" s="387">
        <f t="shared" si="46"/>
        <v>322213.921573696</v>
      </c>
      <c r="O160" s="387">
        <f t="shared" si="47"/>
        <v>322213.921573696</v>
      </c>
      <c r="P160" s="387">
        <f t="shared" si="48"/>
        <v>322213.921573696</v>
      </c>
      <c r="Q160">
        <f t="shared" ref="Q160:Q167" si="51">P160</f>
        <v>322213.921573696</v>
      </c>
      <c r="R160">
        <v>3</v>
      </c>
      <c r="V160" s="383"/>
      <c r="X160" t="s">
        <v>83</v>
      </c>
      <c r="Y160" t="str">
        <f t="shared" si="49"/>
        <v>\I:Trd_bus__04</v>
      </c>
      <c r="Z160" t="str">
        <f ca="1" t="shared" si="50"/>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2"/>
        <v>\I:Trd_bus_</v>
      </c>
      <c r="K161" t="str">
        <f t="shared" si="44"/>
        <v>\I:Trd_bus__09</v>
      </c>
      <c r="L161" t="str">
        <f t="shared" si="43"/>
        <v>\I:Trd_</v>
      </c>
      <c r="M161" s="387">
        <f t="shared" si="45"/>
        <v>323718.211257641</v>
      </c>
      <c r="N161" s="387">
        <f t="shared" si="46"/>
        <v>323221.069737195</v>
      </c>
      <c r="O161" s="387">
        <f t="shared" si="47"/>
        <v>323221.069737195</v>
      </c>
      <c r="P161" s="387">
        <f t="shared" si="48"/>
        <v>323221.069737195</v>
      </c>
      <c r="Q161">
        <f t="shared" si="51"/>
        <v>323221.069737195</v>
      </c>
      <c r="R161">
        <v>3</v>
      </c>
      <c r="V161" s="383"/>
      <c r="X161" t="s">
        <v>83</v>
      </c>
      <c r="Y161" t="str">
        <f t="shared" si="49"/>
        <v>\I:Trd_bus__09</v>
      </c>
      <c r="Z161" t="str">
        <f ca="1" t="shared" si="50"/>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2"/>
        <v>\I:Trd_bus_</v>
      </c>
      <c r="K162" t="str">
        <f t="shared" si="44"/>
        <v>\I:Trd_bus__14</v>
      </c>
      <c r="L162" t="str">
        <f t="shared" si="43"/>
        <v>\I:Trd_</v>
      </c>
      <c r="M162" s="387">
        <f t="shared" si="45"/>
        <v>325145.498992476</v>
      </c>
      <c r="N162" s="387">
        <f t="shared" si="46"/>
        <v>324735.294564148</v>
      </c>
      <c r="O162" s="387">
        <f t="shared" si="47"/>
        <v>324735.294564148</v>
      </c>
      <c r="P162" s="387">
        <f t="shared" si="48"/>
        <v>324735.294564148</v>
      </c>
      <c r="Q162">
        <f t="shared" si="51"/>
        <v>324735.294564148</v>
      </c>
      <c r="R162">
        <v>3</v>
      </c>
      <c r="V162" s="383"/>
      <c r="X162" t="s">
        <v>83</v>
      </c>
      <c r="Y162" t="str">
        <f t="shared" si="49"/>
        <v>\I:Trd_bus__14</v>
      </c>
      <c r="Z162" t="str">
        <f ca="1" t="shared" si="50"/>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2"/>
        <v>\I:Trd_bus_</v>
      </c>
      <c r="K163" t="str">
        <f t="shared" si="44"/>
        <v>\I:Trd_bus__19</v>
      </c>
      <c r="L163" t="str">
        <f t="shared" si="43"/>
        <v>\I:Trd_</v>
      </c>
      <c r="M163" s="387">
        <f t="shared" si="45"/>
        <v>330223.215291406</v>
      </c>
      <c r="N163" s="387">
        <f t="shared" si="46"/>
        <v>327011.897858143</v>
      </c>
      <c r="O163" s="387">
        <f t="shared" si="47"/>
        <v>327011.897858143</v>
      </c>
      <c r="P163" s="387">
        <f t="shared" si="48"/>
        <v>327011.897858143</v>
      </c>
      <c r="Q163">
        <f t="shared" si="51"/>
        <v>327011.897858143</v>
      </c>
      <c r="R163">
        <v>3</v>
      </c>
      <c r="V163" s="383"/>
      <c r="X163" t="s">
        <v>83</v>
      </c>
      <c r="Y163" t="str">
        <f t="shared" si="49"/>
        <v>\I:Trd_bus__19</v>
      </c>
      <c r="Z163" t="str">
        <f ca="1" t="shared" si="50"/>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2"/>
        <v>\I:Trd_bus_</v>
      </c>
      <c r="K164" t="str">
        <f t="shared" si="44"/>
        <v>\I:Trd_bus__24</v>
      </c>
      <c r="L164" t="str">
        <f t="shared" si="43"/>
        <v>\I:Trd_</v>
      </c>
      <c r="M164" s="387">
        <f t="shared" si="45"/>
        <v>336044.223477435</v>
      </c>
      <c r="N164" s="387">
        <f t="shared" si="46"/>
        <v>330434.720193354</v>
      </c>
      <c r="O164" s="387">
        <f t="shared" si="47"/>
        <v>330434.720193354</v>
      </c>
      <c r="P164" s="387">
        <f t="shared" si="48"/>
        <v>330434.720193354</v>
      </c>
      <c r="Q164">
        <f t="shared" si="51"/>
        <v>330434.720193354</v>
      </c>
      <c r="R164">
        <v>3</v>
      </c>
      <c r="V164" s="383"/>
      <c r="X164" t="s">
        <v>83</v>
      </c>
      <c r="Y164" t="str">
        <f t="shared" si="49"/>
        <v>\I:Trd_bus__24</v>
      </c>
      <c r="Z164" t="str">
        <f ca="1" t="shared" si="50"/>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2"/>
        <v>\I:Trd_bus_</v>
      </c>
      <c r="K165" t="str">
        <f t="shared" si="44"/>
        <v>\I:Trd_bus__26</v>
      </c>
      <c r="L165" t="str">
        <f t="shared" si="43"/>
        <v>\I:Trd_</v>
      </c>
      <c r="M165" s="387">
        <f t="shared" si="45"/>
        <v>361776.063243984</v>
      </c>
      <c r="N165" s="387">
        <f t="shared" si="46"/>
        <v>335707.326466266</v>
      </c>
      <c r="O165" s="387">
        <f t="shared" si="47"/>
        <v>335580.857321997</v>
      </c>
      <c r="P165" s="387">
        <f t="shared" si="48"/>
        <v>335580.857321997</v>
      </c>
      <c r="Q165">
        <f t="shared" si="51"/>
        <v>335580.857321997</v>
      </c>
      <c r="R165">
        <v>3</v>
      </c>
      <c r="V165" s="383"/>
      <c r="X165" t="s">
        <v>83</v>
      </c>
      <c r="Y165" t="str">
        <f t="shared" si="49"/>
        <v>\I:Trd_bus__26</v>
      </c>
      <c r="Z165" t="str">
        <f ca="1" t="shared" si="50"/>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2"/>
        <v>\I:Trd_bus_</v>
      </c>
      <c r="K166" t="str">
        <f t="shared" si="44"/>
        <v>\I:Trd_bus__29</v>
      </c>
      <c r="L166" t="str">
        <f t="shared" si="43"/>
        <v>\I:Trd_</v>
      </c>
      <c r="M166" s="387">
        <f t="shared" si="45"/>
        <v>446864.791159275</v>
      </c>
      <c r="N166" s="387">
        <f t="shared" si="46"/>
        <v>351817.60135664</v>
      </c>
      <c r="O166" s="387">
        <f t="shared" si="47"/>
        <v>343317.959851208</v>
      </c>
      <c r="P166" s="387">
        <f t="shared" si="48"/>
        <v>343317.959851208</v>
      </c>
      <c r="Q166">
        <f t="shared" si="51"/>
        <v>343317.959851208</v>
      </c>
      <c r="R166">
        <v>3</v>
      </c>
      <c r="V166" s="383"/>
      <c r="X166" t="s">
        <v>83</v>
      </c>
      <c r="Y166" t="str">
        <f t="shared" si="49"/>
        <v>\I:Trd_bus__29</v>
      </c>
      <c r="Z166" t="str">
        <f ca="1" t="shared" si="50"/>
        <v>Hybrid diesel coach -- 29%</v>
      </c>
      <c r="AA166" s="385" t="s">
        <v>84</v>
      </c>
      <c r="AB166" s="385" t="s">
        <v>85</v>
      </c>
    </row>
    <row r="167" spans="2:28">
      <c r="J167" t="str">
        <f t="shared" si="42"/>
        <v>\I:Trd_bus_</v>
      </c>
      <c r="K167" t="str">
        <f t="shared" si="44"/>
        <v>\I:</v>
      </c>
      <c r="L167" t="str">
        <f t="shared" si="43"/>
        <v>\I:</v>
      </c>
      <c r="M167" s="387" t="str">
        <f t="shared" si="45"/>
        <v/>
      </c>
      <c r="N167" s="387" t="str">
        <f t="shared" si="46"/>
        <v/>
      </c>
      <c r="O167" s="387" t="str">
        <f t="shared" si="47"/>
        <v/>
      </c>
      <c r="P167" s="387" t="str">
        <f t="shared" si="48"/>
        <v/>
      </c>
      <c r="Q167" t="str">
        <f t="shared" si="51"/>
        <v/>
      </c>
      <c r="V167" s="383"/>
      <c r="X167" t="s">
        <v>83</v>
      </c>
      <c r="Y167" t="str">
        <f t="shared" si="49"/>
        <v>\I:</v>
      </c>
      <c r="Z167" t="str">
        <f ca="1" t="shared" si="50"/>
        <v>Hybrid diesel coach -- 00%</v>
      </c>
      <c r="AA167" s="385" t="s">
        <v>84</v>
      </c>
      <c r="AB167" s="385" t="s">
        <v>85</v>
      </c>
    </row>
    <row r="168" spans="2:28">
      <c r="J168" t="str">
        <f t="shared" si="42"/>
        <v>\I:Trd_bus_</v>
      </c>
      <c r="K168" t="str">
        <f t="shared" si="44"/>
        <v>\I:</v>
      </c>
      <c r="L168" t="str">
        <f t="shared" si="43"/>
        <v>\I:</v>
      </c>
      <c r="M168" s="387" t="str">
        <f t="shared" si="45"/>
        <v/>
      </c>
      <c r="N168" s="387" t="str">
        <f t="shared" si="46"/>
        <v/>
      </c>
      <c r="O168" s="387" t="str">
        <f t="shared" si="47"/>
        <v/>
      </c>
      <c r="P168" s="387" t="str">
        <f t="shared" si="48"/>
        <v/>
      </c>
      <c r="V168" s="383"/>
      <c r="X168" t="s">
        <v>83</v>
      </c>
      <c r="Y168" t="str">
        <f t="shared" si="49"/>
        <v>\I:</v>
      </c>
      <c r="Z168" t="str">
        <f ca="1" t="shared" si="50"/>
        <v>Hybrid diesel coach -- 00%</v>
      </c>
      <c r="AA168" s="385" t="s">
        <v>84</v>
      </c>
      <c r="AB168" s="385" t="s">
        <v>85</v>
      </c>
    </row>
    <row r="169" spans="2:28">
      <c r="J169" t="str">
        <f t="shared" si="42"/>
        <v>\I:Trd_bus_</v>
      </c>
      <c r="K169" t="str">
        <f t="shared" si="44"/>
        <v>\I:</v>
      </c>
      <c r="L169" t="str">
        <f t="shared" si="43"/>
        <v>\I:</v>
      </c>
      <c r="M169" s="387" t="str">
        <f t="shared" si="45"/>
        <v/>
      </c>
      <c r="N169" s="387" t="str">
        <f t="shared" si="46"/>
        <v/>
      </c>
      <c r="O169" s="387" t="str">
        <f t="shared" si="47"/>
        <v/>
      </c>
      <c r="P169" s="387" t="str">
        <f t="shared" si="48"/>
        <v/>
      </c>
      <c r="V169" s="383"/>
      <c r="X169" t="s">
        <v>83</v>
      </c>
      <c r="Y169" t="str">
        <f t="shared" si="49"/>
        <v>\I:</v>
      </c>
      <c r="Z169" t="str">
        <f ca="1" t="shared" si="50"/>
        <v>Hybrid diesel coach -- 00%</v>
      </c>
      <c r="AA169" s="385" t="s">
        <v>84</v>
      </c>
      <c r="AB169" s="385" t="s">
        <v>85</v>
      </c>
    </row>
    <row r="170" spans="2:28">
      <c r="J170" t="str">
        <f t="shared" si="42"/>
        <v>\I:Trd_bus_</v>
      </c>
      <c r="K170" t="str">
        <f t="shared" si="44"/>
        <v>\I:</v>
      </c>
      <c r="L170" t="str">
        <f t="shared" si="43"/>
        <v>\I:</v>
      </c>
      <c r="M170" s="387" t="str">
        <f t="shared" si="45"/>
        <v/>
      </c>
      <c r="N170" s="387" t="str">
        <f t="shared" si="46"/>
        <v/>
      </c>
      <c r="O170" s="387" t="str">
        <f t="shared" si="47"/>
        <v/>
      </c>
      <c r="P170" s="387" t="str">
        <f t="shared" si="48"/>
        <v/>
      </c>
      <c r="V170" s="383"/>
      <c r="X170" t="s">
        <v>83</v>
      </c>
      <c r="Y170" t="str">
        <f t="shared" si="49"/>
        <v>\I:</v>
      </c>
      <c r="Z170" t="str">
        <f ca="1" t="shared" si="50"/>
        <v>Hybrid diesel coach -- 00%</v>
      </c>
      <c r="AA170" s="385" t="s">
        <v>84</v>
      </c>
      <c r="AB170" s="385" t="s">
        <v>85</v>
      </c>
    </row>
    <row r="171" spans="2:28">
      <c r="B171" s="44" t="s">
        <v>167</v>
      </c>
      <c r="J171" t="str">
        <f t="shared" si="42"/>
        <v>\I:Trd_bus_</v>
      </c>
      <c r="K171" t="str">
        <f t="shared" si="44"/>
        <v>\I:</v>
      </c>
      <c r="L171" t="str">
        <f t="shared" si="43"/>
        <v>\I:</v>
      </c>
      <c r="M171" s="387" t="str">
        <f t="shared" si="45"/>
        <v/>
      </c>
      <c r="N171" s="387" t="str">
        <f t="shared" si="46"/>
        <v/>
      </c>
      <c r="O171" s="387" t="str">
        <f t="shared" si="47"/>
        <v/>
      </c>
      <c r="P171" s="387" t="str">
        <f t="shared" si="48"/>
        <v/>
      </c>
      <c r="V171" s="383"/>
      <c r="X171" t="s">
        <v>83</v>
      </c>
      <c r="Y171" t="str">
        <f t="shared" si="49"/>
        <v>\I:</v>
      </c>
      <c r="Z171" t="str">
        <f ca="1" t="shared" si="50"/>
        <v>Hybrid diesel coach -- Reference values for LPG coach</v>
      </c>
      <c r="AA171" s="385" t="s">
        <v>84</v>
      </c>
      <c r="AB171" s="385" t="s">
        <v>85</v>
      </c>
    </row>
    <row r="172" spans="2:28">
      <c r="B172" s="378">
        <v>2015</v>
      </c>
      <c r="C172" s="378"/>
      <c r="D172" s="378"/>
      <c r="J172" t="str">
        <f t="shared" si="42"/>
        <v>\I:Trd_bus_</v>
      </c>
      <c r="K172" t="str">
        <f t="shared" si="44"/>
        <v>\I:</v>
      </c>
      <c r="L172" t="str">
        <f t="shared" si="43"/>
        <v>\I:</v>
      </c>
      <c r="M172" s="387" t="str">
        <f t="shared" si="45"/>
        <v/>
      </c>
      <c r="N172" s="387" t="str">
        <f t="shared" si="46"/>
        <v/>
      </c>
      <c r="O172" s="387" t="str">
        <f t="shared" si="47"/>
        <v/>
      </c>
      <c r="P172" s="387" t="str">
        <f t="shared" si="48"/>
        <v/>
      </c>
      <c r="V172" s="383"/>
      <c r="X172" t="s">
        <v>83</v>
      </c>
      <c r="Y172" t="str">
        <f t="shared" si="49"/>
        <v>\I:</v>
      </c>
      <c r="Z172" t="str">
        <f ca="1" t="shared" si="50"/>
        <v>Hybrid diesel coach -- 201500%</v>
      </c>
      <c r="AA172" s="385" t="s">
        <v>84</v>
      </c>
      <c r="AB172" s="385" t="s">
        <v>85</v>
      </c>
    </row>
    <row r="173" spans="2:28">
      <c r="B173" s="46" t="s">
        <v>12</v>
      </c>
      <c r="C173" s="47" t="s">
        <v>13</v>
      </c>
      <c r="D173" s="48">
        <v>32.1825557678347</v>
      </c>
      <c r="J173" t="str">
        <f t="shared" si="42"/>
        <v>\I:Trd_bus_</v>
      </c>
      <c r="K173" t="str">
        <f t="shared" si="44"/>
        <v>\I:</v>
      </c>
      <c r="L173" t="str">
        <f t="shared" si="43"/>
        <v>\I:</v>
      </c>
      <c r="M173" s="387" t="str">
        <f t="shared" si="45"/>
        <v/>
      </c>
      <c r="N173" s="387" t="str">
        <f t="shared" si="46"/>
        <v/>
      </c>
      <c r="O173" s="387" t="str">
        <f t="shared" si="47"/>
        <v/>
      </c>
      <c r="P173" s="387" t="str">
        <f t="shared" si="48"/>
        <v/>
      </c>
      <c r="V173" s="383"/>
      <c r="X173" t="s">
        <v>83</v>
      </c>
      <c r="Y173" t="str">
        <f t="shared" si="49"/>
        <v>\I:</v>
      </c>
      <c r="Z173" t="str">
        <f ca="1" t="shared" si="50"/>
        <v>Hybrid diesel coach -- Energy consumption</v>
      </c>
      <c r="AA173" s="385" t="s">
        <v>84</v>
      </c>
      <c r="AB173" s="385" t="s">
        <v>85</v>
      </c>
    </row>
    <row r="174" spans="2:28">
      <c r="B174" s="46" t="s">
        <v>14</v>
      </c>
      <c r="C174" s="47" t="s">
        <v>15</v>
      </c>
      <c r="D174" s="68">
        <v>314033.258144713</v>
      </c>
      <c r="J174" t="str">
        <f t="shared" si="42"/>
        <v>\I:Trd_bus_</v>
      </c>
      <c r="K174" t="str">
        <f t="shared" si="44"/>
        <v>\I:</v>
      </c>
      <c r="L174" t="str">
        <f t="shared" si="43"/>
        <v>\I:</v>
      </c>
      <c r="M174" s="387" t="str">
        <f t="shared" si="45"/>
        <v/>
      </c>
      <c r="N174" s="387" t="str">
        <f t="shared" si="46"/>
        <v/>
      </c>
      <c r="O174" s="387" t="str">
        <f t="shared" si="47"/>
        <v/>
      </c>
      <c r="P174" s="387" t="str">
        <f t="shared" si="48"/>
        <v/>
      </c>
      <c r="V174" s="383"/>
      <c r="X174" t="s">
        <v>83</v>
      </c>
      <c r="Y174" t="str">
        <f t="shared" si="49"/>
        <v>\I:</v>
      </c>
      <c r="Z174" t="str">
        <f ca="1" t="shared" si="50"/>
        <v>Hybrid diesel coach -- Capital cost</v>
      </c>
      <c r="AA174" s="385" t="s">
        <v>84</v>
      </c>
      <c r="AB174" s="385" t="s">
        <v>85</v>
      </c>
    </row>
    <row r="175" spans="2:28">
      <c r="J175" t="str">
        <f t="shared" si="42"/>
        <v>\I:Trd_bus_</v>
      </c>
      <c r="K175" t="str">
        <f t="shared" si="44"/>
        <v>\I:</v>
      </c>
      <c r="L175" t="str">
        <f t="shared" si="43"/>
        <v>\I:</v>
      </c>
      <c r="M175" s="387" t="str">
        <f t="shared" si="45"/>
        <v/>
      </c>
      <c r="N175" s="387" t="str">
        <f t="shared" si="46"/>
        <v/>
      </c>
      <c r="O175" s="387" t="str">
        <f t="shared" si="47"/>
        <v/>
      </c>
      <c r="P175" s="387" t="str">
        <f t="shared" si="48"/>
        <v/>
      </c>
      <c r="V175" s="383"/>
      <c r="X175" t="s">
        <v>83</v>
      </c>
      <c r="Y175" t="str">
        <f t="shared" si="49"/>
        <v>\I:</v>
      </c>
      <c r="Z175" t="str">
        <f ca="1" t="shared" si="50"/>
        <v>Hybrid diesel coach -- 00%</v>
      </c>
      <c r="AA175" s="385" t="s">
        <v>84</v>
      </c>
      <c r="AB175" s="385" t="s">
        <v>85</v>
      </c>
    </row>
    <row r="176" ht="15" customHeight="1" spans="2:28">
      <c r="B176" s="384" t="s">
        <v>91</v>
      </c>
      <c r="C176" s="384" t="s">
        <v>168</v>
      </c>
      <c r="D176" s="384"/>
      <c r="E176" s="384"/>
      <c r="F176" s="384"/>
      <c r="J176" t="str">
        <f t="shared" si="42"/>
        <v>\I:Trd_bus_</v>
      </c>
      <c r="K176" t="str">
        <f t="shared" si="44"/>
        <v>\I:</v>
      </c>
      <c r="L176" t="str">
        <f t="shared" si="43"/>
        <v>\I:</v>
      </c>
      <c r="M176" s="387" t="str">
        <f t="shared" si="45"/>
        <v/>
      </c>
      <c r="N176" s="387" t="str">
        <f t="shared" si="46"/>
        <v/>
      </c>
      <c r="O176" s="387" t="str">
        <f t="shared" si="47"/>
        <v/>
      </c>
      <c r="P176" s="387" t="str">
        <f t="shared" si="48"/>
        <v/>
      </c>
      <c r="V176" s="383"/>
      <c r="X176" t="s">
        <v>83</v>
      </c>
      <c r="Y176" t="str">
        <f t="shared" si="49"/>
        <v>\I:</v>
      </c>
      <c r="Z176" t="str">
        <f ca="1" t="shared" si="50"/>
        <v>Hybrid diesel coach -- Reduction of specific energy consumption relative to 2015 LPG vehicle (%)</v>
      </c>
      <c r="AA176" s="385" t="s">
        <v>84</v>
      </c>
      <c r="AB176" s="385" t="s">
        <v>85</v>
      </c>
    </row>
    <row r="177" spans="2:28">
      <c r="B177" s="384"/>
      <c r="C177" s="384"/>
      <c r="D177" s="384"/>
      <c r="E177" s="384"/>
      <c r="F177" s="384"/>
      <c r="J177" t="str">
        <f t="shared" si="42"/>
        <v>\I:Trd_bus_</v>
      </c>
      <c r="K177" t="str">
        <f t="shared" si="44"/>
        <v>\I:</v>
      </c>
      <c r="L177" t="str">
        <f t="shared" si="43"/>
        <v>\I:</v>
      </c>
      <c r="M177" s="387" t="str">
        <f t="shared" si="45"/>
        <v/>
      </c>
      <c r="N177" s="387" t="str">
        <f t="shared" si="46"/>
        <v/>
      </c>
      <c r="O177" s="387" t="str">
        <f t="shared" si="47"/>
        <v/>
      </c>
      <c r="P177" s="387" t="str">
        <f t="shared" si="48"/>
        <v/>
      </c>
      <c r="V177" s="383"/>
      <c r="X177" t="s">
        <v>83</v>
      </c>
      <c r="Y177" t="str">
        <f t="shared" si="49"/>
        <v>\I:</v>
      </c>
      <c r="Z177" t="str">
        <f ca="1" t="shared" si="50"/>
        <v>Hybrid diesel coach -- 00%</v>
      </c>
      <c r="AA177" s="385" t="s">
        <v>84</v>
      </c>
      <c r="AB177" s="385" t="s">
        <v>85</v>
      </c>
    </row>
    <row r="178" spans="2:28">
      <c r="B178" s="384"/>
      <c r="C178" s="384"/>
      <c r="D178" s="384"/>
      <c r="E178" s="384"/>
      <c r="F178" s="384"/>
      <c r="J178" t="str">
        <f t="shared" si="42"/>
        <v>\I:Trd_bus_</v>
      </c>
      <c r="K178" t="str">
        <f t="shared" si="44"/>
        <v>\I:</v>
      </c>
      <c r="L178" t="str">
        <f t="shared" si="43"/>
        <v>\I:</v>
      </c>
      <c r="M178" s="387" t="str">
        <f t="shared" si="45"/>
        <v/>
      </c>
      <c r="N178" s="387" t="str">
        <f t="shared" si="46"/>
        <v/>
      </c>
      <c r="O178" s="387" t="str">
        <f t="shared" si="47"/>
        <v/>
      </c>
      <c r="P178" s="387" t="str">
        <f t="shared" si="48"/>
        <v/>
      </c>
      <c r="V178" s="383"/>
      <c r="X178" t="s">
        <v>83</v>
      </c>
      <c r="Y178" t="str">
        <f t="shared" si="49"/>
        <v>\I:</v>
      </c>
      <c r="Z178" t="str">
        <f ca="1" t="shared" si="50"/>
        <v>Hybrid diesel coach -- 00%</v>
      </c>
      <c r="AA178" s="385" t="s">
        <v>84</v>
      </c>
      <c r="AB178" s="385" t="s">
        <v>85</v>
      </c>
    </row>
    <row r="179" spans="2:28">
      <c r="B179" s="50"/>
      <c r="C179" s="51">
        <v>2020</v>
      </c>
      <c r="D179" s="51">
        <v>2030</v>
      </c>
      <c r="E179" s="51">
        <v>2040</v>
      </c>
      <c r="F179" s="51">
        <v>2050</v>
      </c>
      <c r="J179" t="str">
        <f t="shared" si="42"/>
        <v>\I:Trd_bus_</v>
      </c>
      <c r="K179" t="str">
        <f t="shared" si="44"/>
        <v>\I:</v>
      </c>
      <c r="L179" t="str">
        <f t="shared" si="43"/>
        <v>\I:</v>
      </c>
      <c r="M179" s="387" t="str">
        <f t="shared" si="45"/>
        <v/>
      </c>
      <c r="N179" s="387" t="str">
        <f t="shared" si="46"/>
        <v/>
      </c>
      <c r="O179" s="387" t="str">
        <f t="shared" si="47"/>
        <v/>
      </c>
      <c r="P179" s="387" t="str">
        <f t="shared" si="48"/>
        <v/>
      </c>
      <c r="V179" s="383"/>
      <c r="X179" t="s">
        <v>83</v>
      </c>
      <c r="Y179" t="str">
        <f t="shared" si="49"/>
        <v>\I:</v>
      </c>
      <c r="Z179" t="str">
        <f ca="1" t="shared" si="50"/>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2"/>
        <v>\I:Trd_bus_</v>
      </c>
      <c r="K180" t="str">
        <f t="shared" si="44"/>
        <v>\I:Trd_bus__04</v>
      </c>
      <c r="L180" t="str">
        <f t="shared" si="43"/>
        <v>\I:Trd_</v>
      </c>
      <c r="M180" s="387">
        <f t="shared" si="45"/>
        <v>314853.623173696</v>
      </c>
      <c r="N180" s="387">
        <f t="shared" si="46"/>
        <v>314853.623173696</v>
      </c>
      <c r="O180" s="387">
        <f t="shared" si="47"/>
        <v>314853.623173696</v>
      </c>
      <c r="P180" s="387">
        <f t="shared" si="48"/>
        <v>314853.623173696</v>
      </c>
      <c r="Q180">
        <f t="shared" ref="Q180:Q187" si="52">P180</f>
        <v>314853.623173696</v>
      </c>
      <c r="R180">
        <v>3</v>
      </c>
      <c r="V180" s="383"/>
      <c r="X180" t="s">
        <v>83</v>
      </c>
      <c r="Y180" t="str">
        <f t="shared" si="49"/>
        <v>\I:Trd_bus__04</v>
      </c>
      <c r="Z180" t="str">
        <f ca="1" t="shared" si="50"/>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2"/>
        <v>\I:Trd_bus_</v>
      </c>
      <c r="K181" t="str">
        <f t="shared" si="44"/>
        <v>\I:Trd_bus__09</v>
      </c>
      <c r="L181" t="str">
        <f t="shared" si="43"/>
        <v>\I:Trd_</v>
      </c>
      <c r="M181" s="387">
        <f t="shared" si="45"/>
        <v>316357.912857641</v>
      </c>
      <c r="N181" s="387">
        <f t="shared" si="46"/>
        <v>315860.771337195</v>
      </c>
      <c r="O181" s="387">
        <f t="shared" si="47"/>
        <v>315860.771337195</v>
      </c>
      <c r="P181" s="387">
        <f t="shared" si="48"/>
        <v>315860.771337195</v>
      </c>
      <c r="Q181">
        <f t="shared" si="52"/>
        <v>315860.771337195</v>
      </c>
      <c r="R181">
        <v>3</v>
      </c>
      <c r="V181" s="383"/>
      <c r="X181" t="s">
        <v>83</v>
      </c>
      <c r="Y181" t="str">
        <f t="shared" si="49"/>
        <v>\I:Trd_bus__09</v>
      </c>
      <c r="Z181" t="str">
        <f ca="1" t="shared" si="50"/>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2"/>
        <v>\I:Trd_bus_</v>
      </c>
      <c r="K182" t="str">
        <f t="shared" si="44"/>
        <v>\I:Trd_bus__14</v>
      </c>
      <c r="L182" t="str">
        <f t="shared" si="43"/>
        <v>\I:Trd_</v>
      </c>
      <c r="M182" s="387">
        <f t="shared" si="45"/>
        <v>317785.200592476</v>
      </c>
      <c r="N182" s="387">
        <f t="shared" si="46"/>
        <v>317374.996164148</v>
      </c>
      <c r="O182" s="387">
        <f t="shared" si="47"/>
        <v>317374.996164148</v>
      </c>
      <c r="P182" s="387">
        <f t="shared" si="48"/>
        <v>317374.996164148</v>
      </c>
      <c r="Q182">
        <f t="shared" si="52"/>
        <v>317374.996164148</v>
      </c>
      <c r="R182">
        <v>3</v>
      </c>
      <c r="V182" s="383"/>
      <c r="X182" t="s">
        <v>83</v>
      </c>
      <c r="Y182" t="str">
        <f t="shared" si="49"/>
        <v>\I:Trd_bus__14</v>
      </c>
      <c r="Z182" t="str">
        <f ca="1" t="shared" si="50"/>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2"/>
        <v>\I:Trd_bus_</v>
      </c>
      <c r="K183" t="str">
        <f t="shared" si="44"/>
        <v>\I:Trd_bus__19</v>
      </c>
      <c r="L183" t="str">
        <f t="shared" si="43"/>
        <v>\I:Trd_</v>
      </c>
      <c r="M183" s="387">
        <f t="shared" si="45"/>
        <v>322862.916891406</v>
      </c>
      <c r="N183" s="387">
        <f t="shared" si="46"/>
        <v>319651.599458143</v>
      </c>
      <c r="O183" s="387">
        <f t="shared" si="47"/>
        <v>319651.599458143</v>
      </c>
      <c r="P183" s="387">
        <f t="shared" si="48"/>
        <v>319651.599458143</v>
      </c>
      <c r="Q183">
        <f t="shared" si="52"/>
        <v>319651.599458143</v>
      </c>
      <c r="R183">
        <v>3</v>
      </c>
      <c r="V183" s="383"/>
      <c r="X183" t="s">
        <v>83</v>
      </c>
      <c r="Y183" t="str">
        <f t="shared" si="49"/>
        <v>\I:Trd_bus__19</v>
      </c>
      <c r="Z183" t="str">
        <f ca="1" t="shared" si="50"/>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2"/>
        <v>\I:Trd_bus_</v>
      </c>
      <c r="K184" t="str">
        <f t="shared" si="44"/>
        <v>\I:Trd_bus__24</v>
      </c>
      <c r="L184" t="str">
        <f t="shared" si="43"/>
        <v>\I:Trd_</v>
      </c>
      <c r="M184" s="387">
        <f t="shared" si="45"/>
        <v>328683.925077435</v>
      </c>
      <c r="N184" s="387">
        <f t="shared" si="46"/>
        <v>323074.421793354</v>
      </c>
      <c r="O184" s="387">
        <f t="shared" si="47"/>
        <v>323074.421793354</v>
      </c>
      <c r="P184" s="387">
        <f t="shared" si="48"/>
        <v>323074.421793354</v>
      </c>
      <c r="Q184">
        <f t="shared" si="52"/>
        <v>323074.421793354</v>
      </c>
      <c r="R184">
        <v>3</v>
      </c>
      <c r="V184" s="383"/>
      <c r="X184" t="s">
        <v>83</v>
      </c>
      <c r="Y184" t="str">
        <f t="shared" si="49"/>
        <v>\I:Trd_bus__24</v>
      </c>
      <c r="Z184" t="str">
        <f ca="1" t="shared" si="50"/>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2"/>
        <v>\I:Trd_bus_</v>
      </c>
      <c r="K185" t="str">
        <f t="shared" si="44"/>
        <v>\I:Trd_bus__26</v>
      </c>
      <c r="L185" t="str">
        <f t="shared" si="43"/>
        <v>\I:Trd_</v>
      </c>
      <c r="M185" s="387">
        <f t="shared" si="45"/>
        <v>354415.764843984</v>
      </c>
      <c r="N185" s="387">
        <f t="shared" si="46"/>
        <v>328347.028066266</v>
      </c>
      <c r="O185" s="387">
        <f t="shared" si="47"/>
        <v>328220.558921997</v>
      </c>
      <c r="P185" s="387">
        <f t="shared" si="48"/>
        <v>328220.558921997</v>
      </c>
      <c r="Q185">
        <f t="shared" si="52"/>
        <v>328220.558921997</v>
      </c>
      <c r="R185">
        <v>3</v>
      </c>
      <c r="V185" s="383"/>
      <c r="X185" t="s">
        <v>83</v>
      </c>
      <c r="Y185" t="str">
        <f t="shared" si="49"/>
        <v>\I:Trd_bus__26</v>
      </c>
      <c r="Z185" t="str">
        <f ca="1" t="shared" si="50"/>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2"/>
        <v>\I:Trd_bus_</v>
      </c>
      <c r="K186" t="str">
        <f t="shared" si="44"/>
        <v>\I:Trd_bus__29</v>
      </c>
      <c r="L186" t="str">
        <f t="shared" si="43"/>
        <v>\I:Trd_</v>
      </c>
      <c r="M186" s="387">
        <f t="shared" si="45"/>
        <v>439504.492759275</v>
      </c>
      <c r="N186" s="387">
        <f t="shared" si="46"/>
        <v>344457.30295664</v>
      </c>
      <c r="O186" s="387">
        <f t="shared" si="47"/>
        <v>335957.661451208</v>
      </c>
      <c r="P186" s="387">
        <f t="shared" si="48"/>
        <v>335957.661451208</v>
      </c>
      <c r="Q186">
        <f t="shared" si="52"/>
        <v>335957.661451208</v>
      </c>
      <c r="R186">
        <v>3</v>
      </c>
      <c r="V186" s="383"/>
      <c r="X186" t="s">
        <v>83</v>
      </c>
      <c r="Y186" t="str">
        <f t="shared" si="49"/>
        <v>\I:Trd_bus__29</v>
      </c>
      <c r="Z186" t="str">
        <f ca="1" t="shared" si="50"/>
        <v>Hybrid diesel coach -- 29%</v>
      </c>
      <c r="AA186" s="385" t="s">
        <v>84</v>
      </c>
      <c r="AB186" s="385" t="s">
        <v>85</v>
      </c>
    </row>
    <row r="187" spans="2:28">
      <c r="J187" t="str">
        <f t="shared" si="42"/>
        <v>\I:Trd_bus_</v>
      </c>
      <c r="K187" t="str">
        <f t="shared" si="44"/>
        <v>\I:</v>
      </c>
      <c r="L187" t="str">
        <f t="shared" si="43"/>
        <v>\I:</v>
      </c>
      <c r="M187" s="387" t="str">
        <f t="shared" si="45"/>
        <v/>
      </c>
      <c r="N187" s="387" t="str">
        <f t="shared" si="46"/>
        <v/>
      </c>
      <c r="O187" s="387" t="str">
        <f t="shared" si="47"/>
        <v/>
      </c>
      <c r="P187" s="387" t="str">
        <f t="shared" si="48"/>
        <v/>
      </c>
      <c r="Q187" t="str">
        <f t="shared" si="52"/>
        <v/>
      </c>
      <c r="V187" s="383"/>
      <c r="X187" t="s">
        <v>83</v>
      </c>
      <c r="Y187" t="str">
        <f t="shared" si="49"/>
        <v>\I:</v>
      </c>
      <c r="Z187" t="str">
        <f ca="1" t="shared" si="50"/>
        <v>Hybrid diesel coach -- 00%</v>
      </c>
      <c r="AA187" s="385" t="s">
        <v>84</v>
      </c>
      <c r="AB187" s="385" t="s">
        <v>85</v>
      </c>
    </row>
    <row r="188" spans="2:28">
      <c r="J188" t="str">
        <f t="shared" si="42"/>
        <v>\I:Trd_bus_</v>
      </c>
      <c r="K188" t="str">
        <f t="shared" si="44"/>
        <v>\I:</v>
      </c>
      <c r="L188" t="str">
        <f t="shared" si="43"/>
        <v>\I:</v>
      </c>
      <c r="M188" s="387" t="str">
        <f t="shared" si="45"/>
        <v/>
      </c>
      <c r="N188" s="387" t="str">
        <f t="shared" si="46"/>
        <v/>
      </c>
      <c r="O188" s="387" t="str">
        <f t="shared" si="47"/>
        <v/>
      </c>
      <c r="P188" s="387" t="str">
        <f t="shared" si="48"/>
        <v/>
      </c>
      <c r="V188" s="383"/>
      <c r="X188" t="s">
        <v>83</v>
      </c>
      <c r="Y188" t="str">
        <f t="shared" si="49"/>
        <v>\I:</v>
      </c>
      <c r="Z188" t="str">
        <f ca="1" t="shared" si="50"/>
        <v>Hybrid diesel coach -- 00%</v>
      </c>
      <c r="AA188" s="385" t="s">
        <v>84</v>
      </c>
      <c r="AB188" s="385" t="s">
        <v>85</v>
      </c>
    </row>
    <row r="189" spans="2:28">
      <c r="J189" t="str">
        <f t="shared" si="42"/>
        <v>\I:Trd_bus_</v>
      </c>
      <c r="K189" t="str">
        <f t="shared" si="44"/>
        <v>\I:</v>
      </c>
      <c r="L189" t="str">
        <f t="shared" si="43"/>
        <v>\I:</v>
      </c>
      <c r="M189" s="387" t="str">
        <f t="shared" si="45"/>
        <v/>
      </c>
      <c r="N189" s="387" t="str">
        <f t="shared" si="46"/>
        <v/>
      </c>
      <c r="O189" s="387" t="str">
        <f t="shared" si="47"/>
        <v/>
      </c>
      <c r="P189" s="387" t="str">
        <f t="shared" si="48"/>
        <v/>
      </c>
      <c r="V189" s="383"/>
      <c r="X189" t="s">
        <v>83</v>
      </c>
      <c r="Y189" t="str">
        <f t="shared" si="49"/>
        <v>\I:</v>
      </c>
      <c r="Z189" t="str">
        <f ca="1" t="shared" si="50"/>
        <v>Hybrid diesel coach -- 00%</v>
      </c>
      <c r="AA189" s="385" t="s">
        <v>84</v>
      </c>
      <c r="AB189" s="385" t="s">
        <v>85</v>
      </c>
    </row>
    <row r="190" spans="2:28">
      <c r="B190" s="378">
        <v>2020</v>
      </c>
      <c r="C190" s="378"/>
      <c r="D190" s="378"/>
      <c r="J190" t="str">
        <f t="shared" si="42"/>
        <v>\I:Trd_bus_</v>
      </c>
      <c r="K190" t="str">
        <f t="shared" si="44"/>
        <v>\I:</v>
      </c>
      <c r="L190" t="str">
        <f t="shared" si="43"/>
        <v>\I:</v>
      </c>
      <c r="M190" s="387" t="str">
        <f t="shared" si="45"/>
        <v/>
      </c>
      <c r="N190" s="387" t="str">
        <f t="shared" si="46"/>
        <v/>
      </c>
      <c r="O190" s="387" t="str">
        <f t="shared" si="47"/>
        <v/>
      </c>
      <c r="P190" s="387" t="str">
        <f t="shared" si="48"/>
        <v/>
      </c>
      <c r="V190" s="383"/>
      <c r="X190" t="s">
        <v>83</v>
      </c>
      <c r="Y190" t="str">
        <f t="shared" si="49"/>
        <v>\I:</v>
      </c>
      <c r="Z190" t="str">
        <f ca="1" t="shared" si="50"/>
        <v>Hybrid diesel coach -- 202000%</v>
      </c>
      <c r="AA190" s="385" t="s">
        <v>84</v>
      </c>
      <c r="AB190" s="385" t="s">
        <v>85</v>
      </c>
    </row>
    <row r="191" spans="2:28">
      <c r="B191" s="46" t="s">
        <v>169</v>
      </c>
      <c r="C191" s="47" t="s">
        <v>26</v>
      </c>
      <c r="D191" s="74">
        <v>1.15</v>
      </c>
      <c r="J191" t="str">
        <f t="shared" si="42"/>
        <v>\I:Trd_bus_</v>
      </c>
      <c r="K191" t="str">
        <f t="shared" si="44"/>
        <v>\I:</v>
      </c>
      <c r="L191" t="str">
        <f t="shared" si="43"/>
        <v>\I:</v>
      </c>
      <c r="M191" s="387" t="str">
        <f t="shared" si="45"/>
        <v/>
      </c>
      <c r="N191" s="387" t="str">
        <f t="shared" si="46"/>
        <v/>
      </c>
      <c r="O191" s="387" t="str">
        <f t="shared" si="47"/>
        <v/>
      </c>
      <c r="P191" s="387" t="str">
        <f t="shared" si="48"/>
        <v/>
      </c>
      <c r="V191" s="383"/>
      <c r="X191" t="s">
        <v>83</v>
      </c>
      <c r="Y191" t="str">
        <f t="shared" si="49"/>
        <v>\I:</v>
      </c>
      <c r="Z191" t="str">
        <f ca="1" t="shared" si="50"/>
        <v>Hybrid diesel coach -- Energy consumption of Battery electric coach</v>
      </c>
      <c r="AA191" s="385" t="s">
        <v>84</v>
      </c>
      <c r="AB191" s="385" t="s">
        <v>85</v>
      </c>
    </row>
    <row r="192" spans="2:28">
      <c r="J192" t="str">
        <f t="shared" si="42"/>
        <v>\I:Trd_bus_</v>
      </c>
      <c r="K192" t="str">
        <f t="shared" si="44"/>
        <v>\I:</v>
      </c>
      <c r="L192" t="str">
        <f t="shared" si="43"/>
        <v>\I:</v>
      </c>
      <c r="M192" s="387" t="str">
        <f t="shared" si="45"/>
        <v/>
      </c>
      <c r="N192" s="387" t="str">
        <f t="shared" si="46"/>
        <v/>
      </c>
      <c r="O192" s="387" t="str">
        <f t="shared" si="47"/>
        <v/>
      </c>
      <c r="P192" s="387" t="str">
        <f t="shared" si="48"/>
        <v/>
      </c>
      <c r="V192" s="383"/>
      <c r="X192" t="s">
        <v>83</v>
      </c>
      <c r="Y192" t="str">
        <f t="shared" si="49"/>
        <v>\I:</v>
      </c>
      <c r="Z192" t="str">
        <f ca="1" t="shared" si="50"/>
        <v>Hybrid diesel coach -- 00%</v>
      </c>
      <c r="AA192" s="385" t="s">
        <v>84</v>
      </c>
      <c r="AB192" s="385" t="s">
        <v>85</v>
      </c>
    </row>
    <row r="193" ht="15" customHeight="1" spans="2:28">
      <c r="B193" s="384" t="s">
        <v>27</v>
      </c>
      <c r="C193" s="384" t="s">
        <v>157</v>
      </c>
      <c r="D193" s="384"/>
      <c r="E193" s="384"/>
      <c r="F193" s="384"/>
      <c r="J193" t="str">
        <f t="shared" si="42"/>
        <v>\I:Trd_bus_</v>
      </c>
      <c r="K193" t="str">
        <f t="shared" si="44"/>
        <v>\I:</v>
      </c>
      <c r="L193" t="str">
        <f t="shared" si="43"/>
        <v>\I:</v>
      </c>
      <c r="M193" s="387" t="str">
        <f t="shared" si="45"/>
        <v/>
      </c>
      <c r="N193" s="387" t="str">
        <f t="shared" si="46"/>
        <v/>
      </c>
      <c r="O193" s="387" t="str">
        <f t="shared" si="47"/>
        <v/>
      </c>
      <c r="P193" s="387" t="str">
        <f t="shared" si="48"/>
        <v/>
      </c>
      <c r="V193" s="383"/>
      <c r="X193" t="s">
        <v>83</v>
      </c>
      <c r="Y193" t="str">
        <f t="shared" si="49"/>
        <v>\I:</v>
      </c>
      <c r="Z193" t="str">
        <f ca="1" t="shared" si="50"/>
        <v>Hybrid diesel coach -- Electric range (km)</v>
      </c>
      <c r="AA193" s="385" t="s">
        <v>84</v>
      </c>
      <c r="AB193" s="385" t="s">
        <v>85</v>
      </c>
    </row>
    <row r="194" spans="2:28">
      <c r="B194" s="384"/>
      <c r="C194" s="384"/>
      <c r="D194" s="384"/>
      <c r="E194" s="384"/>
      <c r="F194" s="384"/>
      <c r="J194" t="str">
        <f t="shared" si="42"/>
        <v>\I:Trd_bus_</v>
      </c>
      <c r="K194" t="str">
        <f t="shared" si="44"/>
        <v>\I:</v>
      </c>
      <c r="L194" t="str">
        <f t="shared" si="43"/>
        <v>\I:</v>
      </c>
      <c r="M194" s="387" t="str">
        <f t="shared" si="45"/>
        <v/>
      </c>
      <c r="N194" s="387" t="str">
        <f t="shared" si="46"/>
        <v/>
      </c>
      <c r="O194" s="387" t="str">
        <f t="shared" si="47"/>
        <v/>
      </c>
      <c r="P194" s="387" t="str">
        <f t="shared" si="48"/>
        <v/>
      </c>
      <c r="V194" s="383"/>
      <c r="X194" t="s">
        <v>83</v>
      </c>
      <c r="Y194" t="str">
        <f t="shared" si="49"/>
        <v>\I:</v>
      </c>
      <c r="Z194" t="str">
        <f ca="1" t="shared" si="50"/>
        <v>Hybrid diesel coach -- 00%</v>
      </c>
      <c r="AA194" s="385" t="s">
        <v>84</v>
      </c>
      <c r="AB194" s="385" t="s">
        <v>85</v>
      </c>
    </row>
    <row r="195" spans="2:28">
      <c r="B195" s="384"/>
      <c r="C195" s="384"/>
      <c r="D195" s="384"/>
      <c r="E195" s="384"/>
      <c r="F195" s="384"/>
      <c r="J195" t="str">
        <f t="shared" si="42"/>
        <v>\I:Trd_bus_</v>
      </c>
      <c r="K195" t="str">
        <f t="shared" si="44"/>
        <v>\I:</v>
      </c>
      <c r="L195" t="str">
        <f t="shared" si="43"/>
        <v>\I:</v>
      </c>
      <c r="M195" s="387" t="str">
        <f t="shared" si="45"/>
        <v/>
      </c>
      <c r="N195" s="387" t="str">
        <f t="shared" si="46"/>
        <v/>
      </c>
      <c r="O195" s="387" t="str">
        <f t="shared" si="47"/>
        <v/>
      </c>
      <c r="P195" s="387" t="str">
        <f t="shared" si="48"/>
        <v/>
      </c>
      <c r="V195" s="383"/>
      <c r="X195" t="s">
        <v>83</v>
      </c>
      <c r="Y195" t="str">
        <f t="shared" si="49"/>
        <v>\I:</v>
      </c>
      <c r="Z195" t="str">
        <f ca="1" t="shared" si="50"/>
        <v>Hybrid diesel coach -- 00%</v>
      </c>
      <c r="AA195" s="385" t="s">
        <v>84</v>
      </c>
      <c r="AB195" s="385" t="s">
        <v>85</v>
      </c>
    </row>
    <row r="196" spans="2:28">
      <c r="B196" s="50"/>
      <c r="C196" s="51">
        <v>2020</v>
      </c>
      <c r="D196" s="51">
        <v>2030</v>
      </c>
      <c r="E196" s="51">
        <v>2040</v>
      </c>
      <c r="F196" s="51">
        <v>2050</v>
      </c>
      <c r="J196" t="str">
        <f t="shared" si="42"/>
        <v>\I:Trd_bus_</v>
      </c>
      <c r="K196" t="str">
        <f t="shared" si="44"/>
        <v>\I:</v>
      </c>
      <c r="L196" t="str">
        <f t="shared" si="43"/>
        <v>\I:</v>
      </c>
      <c r="M196" s="387" t="str">
        <f t="shared" si="45"/>
        <v/>
      </c>
      <c r="N196" s="387" t="str">
        <f t="shared" si="46"/>
        <v/>
      </c>
      <c r="O196" s="387" t="str">
        <f t="shared" si="47"/>
        <v/>
      </c>
      <c r="P196" s="387" t="str">
        <f t="shared" si="48"/>
        <v/>
      </c>
      <c r="V196" s="383"/>
      <c r="X196" t="s">
        <v>83</v>
      </c>
      <c r="Y196" t="str">
        <f t="shared" si="49"/>
        <v>\I:</v>
      </c>
      <c r="Z196" t="str">
        <f ca="1" t="shared" si="50"/>
        <v>Hybrid diesel coach -- 00%</v>
      </c>
      <c r="AA196" s="385" t="s">
        <v>84</v>
      </c>
      <c r="AB196" s="385" t="s">
        <v>85</v>
      </c>
    </row>
    <row r="197" spans="2:28">
      <c r="B197" s="79">
        <v>120</v>
      </c>
      <c r="C197" s="86">
        <v>432403.149196547</v>
      </c>
      <c r="D197" s="86">
        <v>321623.420926528</v>
      </c>
      <c r="E197" s="86">
        <v>308656.066547112</v>
      </c>
      <c r="F197" s="86">
        <v>303278.407673277</v>
      </c>
      <c r="J197" t="str">
        <f t="shared" si="42"/>
        <v>\I:Trd_bus_</v>
      </c>
      <c r="K197" t="str">
        <f t="shared" si="44"/>
        <v>\I:Trd_bus__12000</v>
      </c>
      <c r="L197" t="str">
        <f t="shared" si="43"/>
        <v>\I:Trd_</v>
      </c>
      <c r="M197" s="387">
        <f t="shared" si="45"/>
        <v>432403.149196547</v>
      </c>
      <c r="N197" s="387">
        <f t="shared" si="46"/>
        <v>321623.420926528</v>
      </c>
      <c r="O197" s="387">
        <f t="shared" si="47"/>
        <v>308656.066547112</v>
      </c>
      <c r="P197" s="387">
        <f t="shared" si="48"/>
        <v>303278.407673277</v>
      </c>
      <c r="Q197">
        <f t="shared" ref="Q197:Q204" si="53">P197</f>
        <v>303278.407673277</v>
      </c>
      <c r="R197">
        <v>3</v>
      </c>
      <c r="V197" s="383"/>
      <c r="X197" t="s">
        <v>83</v>
      </c>
      <c r="Y197" t="str">
        <f t="shared" si="49"/>
        <v>\I:Trd_bus__12000</v>
      </c>
      <c r="Z197" t="str">
        <f ca="1" t="shared" si="50"/>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2"/>
        <v>\I:Trd_bus_</v>
      </c>
      <c r="K198" t="str">
        <f t="shared" si="44"/>
        <v>\I:Trd_bus__13429</v>
      </c>
      <c r="L198" t="str">
        <f t="shared" si="43"/>
        <v>\I:Trd_</v>
      </c>
      <c r="M198" s="387">
        <f t="shared" si="45"/>
        <v>436722.073356786</v>
      </c>
      <c r="N198" s="387">
        <f t="shared" si="46"/>
        <v>324694.575852623</v>
      </c>
      <c r="O198" s="387">
        <f t="shared" si="47"/>
        <v>310226.231333419</v>
      </c>
      <c r="P198" s="387">
        <f t="shared" si="48"/>
        <v>304226.100619255</v>
      </c>
      <c r="Q198">
        <f t="shared" si="53"/>
        <v>304226.100619255</v>
      </c>
      <c r="R198">
        <v>3</v>
      </c>
      <c r="V198" s="383"/>
      <c r="X198" t="s">
        <v>83</v>
      </c>
      <c r="Y198" t="str">
        <f t="shared" si="49"/>
        <v>\I:Trd_bus__13429</v>
      </c>
      <c r="Z198" t="str">
        <f ca="1" t="shared" si="50"/>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2"/>
        <v>\I:Trd_bus_</v>
      </c>
      <c r="K199" t="str">
        <f t="shared" si="44"/>
        <v>\I:Trd_bus__14857</v>
      </c>
      <c r="L199" t="str">
        <f t="shared" si="43"/>
        <v>\I:Trd_</v>
      </c>
      <c r="M199" s="387">
        <f t="shared" si="45"/>
        <v>439101.341331762</v>
      </c>
      <c r="N199" s="387">
        <f t="shared" si="46"/>
        <v>326386.455656653</v>
      </c>
      <c r="O199" s="387">
        <f t="shared" si="47"/>
        <v>311091.225172832</v>
      </c>
      <c r="P199" s="387">
        <f t="shared" si="48"/>
        <v>304748.178662957</v>
      </c>
      <c r="Q199">
        <f t="shared" si="53"/>
        <v>304748.178662957</v>
      </c>
      <c r="R199">
        <v>3</v>
      </c>
      <c r="V199" s="383"/>
      <c r="X199" t="s">
        <v>83</v>
      </c>
      <c r="Y199" t="str">
        <f t="shared" si="49"/>
        <v>\I:Trd_bus__14857</v>
      </c>
      <c r="Z199" t="str">
        <f ca="1" t="shared" si="50"/>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2"/>
        <v>\I:Trd_bus_</v>
      </c>
      <c r="K200" t="str">
        <f t="shared" si="44"/>
        <v>\I:Trd_bus__16286</v>
      </c>
      <c r="L200" t="str">
        <f t="shared" si="43"/>
        <v>\I:Trd_</v>
      </c>
      <c r="M200" s="387">
        <f t="shared" si="45"/>
        <v>441517.145494916</v>
      </c>
      <c r="N200" s="387">
        <f t="shared" si="46"/>
        <v>328104.316073016</v>
      </c>
      <c r="O200" s="387">
        <f t="shared" si="47"/>
        <v>311969.501911868</v>
      </c>
      <c r="P200" s="387">
        <f t="shared" si="48"/>
        <v>305278.273769826</v>
      </c>
      <c r="Q200">
        <f t="shared" si="53"/>
        <v>305278.273769826</v>
      </c>
      <c r="R200">
        <v>3</v>
      </c>
      <c r="V200" s="383"/>
      <c r="X200" t="s">
        <v>83</v>
      </c>
      <c r="Y200" t="str">
        <f t="shared" si="49"/>
        <v>\I:Trd_bus__16286</v>
      </c>
      <c r="Z200" t="str">
        <f ca="1" t="shared" si="50"/>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2"/>
        <v>\I:Trd_bus_</v>
      </c>
      <c r="K201" t="str">
        <f t="shared" si="44"/>
        <v>\I:Trd_bus__17714</v>
      </c>
      <c r="L201" t="str">
        <f t="shared" si="43"/>
        <v>\I:Trd_</v>
      </c>
      <c r="M201" s="387">
        <f t="shared" si="45"/>
        <v>444078.767318675</v>
      </c>
      <c r="N201" s="387">
        <f t="shared" si="46"/>
        <v>329925.866345942</v>
      </c>
      <c r="O201" s="387">
        <f t="shared" si="47"/>
        <v>312900.791333556</v>
      </c>
      <c r="P201" s="387">
        <f t="shared" si="48"/>
        <v>305840.365356196</v>
      </c>
      <c r="Q201">
        <f t="shared" si="53"/>
        <v>305840.365356196</v>
      </c>
      <c r="R201">
        <v>3</v>
      </c>
      <c r="V201" s="383"/>
      <c r="X201" t="s">
        <v>83</v>
      </c>
      <c r="Y201" t="str">
        <f t="shared" si="49"/>
        <v>\I:Trd_bus__17714</v>
      </c>
      <c r="Z201" t="str">
        <f ca="1" t="shared" si="50"/>
        <v>Hybrid diesel coach -- 17714%</v>
      </c>
      <c r="AA201" s="385" t="s">
        <v>84</v>
      </c>
      <c r="AB201" s="385" t="s">
        <v>85</v>
      </c>
    </row>
    <row r="202" spans="2:28">
      <c r="B202" s="79">
        <v>350</v>
      </c>
      <c r="C202" s="86">
        <v>488912.15374367</v>
      </c>
      <c r="D202" s="86">
        <v>365809.482166322</v>
      </c>
      <c r="E202" s="86">
        <v>330905.629479526</v>
      </c>
      <c r="F202" s="86">
        <v>316707.414632298</v>
      </c>
      <c r="J202" t="str">
        <f t="shared" si="42"/>
        <v>\I:Trd_bus_</v>
      </c>
      <c r="K202" t="str">
        <f t="shared" si="44"/>
        <v>\I:Trd_bus__35000</v>
      </c>
      <c r="L202" t="str">
        <f t="shared" si="43"/>
        <v>\I:Trd_</v>
      </c>
      <c r="M202" s="387">
        <f t="shared" si="45"/>
        <v>488912.15374367</v>
      </c>
      <c r="N202" s="387">
        <f t="shared" si="46"/>
        <v>365809.482166322</v>
      </c>
      <c r="O202" s="387">
        <f t="shared" si="47"/>
        <v>330905.629479526</v>
      </c>
      <c r="P202" s="387">
        <f t="shared" si="48"/>
        <v>316707.414632298</v>
      </c>
      <c r="Q202">
        <f t="shared" si="53"/>
        <v>316707.414632298</v>
      </c>
      <c r="R202">
        <v>3</v>
      </c>
      <c r="V202" s="383"/>
      <c r="X202" t="s">
        <v>83</v>
      </c>
      <c r="Y202" t="str">
        <f t="shared" si="49"/>
        <v>\I:Trd_bus__35000</v>
      </c>
      <c r="Z202" t="str">
        <f ca="1" t="shared" si="50"/>
        <v>Hybrid diesel coach -- 35000%</v>
      </c>
      <c r="AA202" s="385" t="s">
        <v>84</v>
      </c>
      <c r="AB202" s="385" t="s">
        <v>85</v>
      </c>
    </row>
    <row r="203" spans="2:28">
      <c r="B203" s="79">
        <v>500</v>
      </c>
      <c r="C203" s="86">
        <v>530094.963307474</v>
      </c>
      <c r="D203" s="86">
        <v>398620.776220214</v>
      </c>
      <c r="E203" s="86">
        <v>348984.265806477</v>
      </c>
      <c r="F203" s="86">
        <v>327038.150254399</v>
      </c>
      <c r="J203" t="str">
        <f t="shared" si="42"/>
        <v>\I:Trd_bus_</v>
      </c>
      <c r="K203" t="str">
        <f t="shared" si="44"/>
        <v>\I:Trd_bus__50000</v>
      </c>
      <c r="L203" t="str">
        <f t="shared" si="43"/>
        <v>\I:Trd_</v>
      </c>
      <c r="M203" s="387">
        <f t="shared" si="45"/>
        <v>530094.963307474</v>
      </c>
      <c r="N203" s="387">
        <f t="shared" si="46"/>
        <v>398620.776220214</v>
      </c>
      <c r="O203" s="387">
        <f t="shared" si="47"/>
        <v>348984.265806477</v>
      </c>
      <c r="P203" s="387">
        <f t="shared" si="48"/>
        <v>327038.150254399</v>
      </c>
      <c r="Q203">
        <f t="shared" si="53"/>
        <v>327038.150254399</v>
      </c>
      <c r="R203">
        <v>3</v>
      </c>
      <c r="V203" s="383"/>
      <c r="X203" t="s">
        <v>83</v>
      </c>
      <c r="Y203" t="str">
        <f t="shared" si="49"/>
        <v>\I:Trd_bus__50000</v>
      </c>
      <c r="Z203" t="str">
        <f ca="1" t="shared" si="50"/>
        <v>Hybrid diesel coach -- 50000%</v>
      </c>
      <c r="AA203" s="385" t="s">
        <v>84</v>
      </c>
      <c r="AB203" s="385" t="s">
        <v>85</v>
      </c>
    </row>
    <row r="204" spans="2:28">
      <c r="B204" s="79">
        <v>600</v>
      </c>
      <c r="C204" s="86">
        <v>565928.361387453</v>
      </c>
      <c r="D204" s="86">
        <v>427615.94590543</v>
      </c>
      <c r="E204" s="86">
        <v>362846.01604123</v>
      </c>
      <c r="F204" s="86">
        <v>335985.441563159</v>
      </c>
      <c r="J204" t="str">
        <f t="shared" si="42"/>
        <v>\I:Trd_bus_</v>
      </c>
      <c r="K204" t="str">
        <f t="shared" si="44"/>
        <v>\I:Trd_bus__60000</v>
      </c>
      <c r="L204" t="str">
        <f t="shared" si="43"/>
        <v>\I:Trd_</v>
      </c>
      <c r="M204" s="387">
        <f t="shared" si="45"/>
        <v>565928.361387453</v>
      </c>
      <c r="N204" s="387">
        <f t="shared" si="46"/>
        <v>427615.94590543</v>
      </c>
      <c r="O204" s="387">
        <f t="shared" si="47"/>
        <v>362846.01604123</v>
      </c>
      <c r="P204" s="387">
        <f t="shared" si="48"/>
        <v>335985.441563159</v>
      </c>
      <c r="Q204">
        <f t="shared" si="53"/>
        <v>335985.441563159</v>
      </c>
      <c r="R204">
        <v>3</v>
      </c>
      <c r="V204" s="383"/>
      <c r="X204" t="s">
        <v>83</v>
      </c>
      <c r="Y204" t="str">
        <f t="shared" si="49"/>
        <v>\I:Trd_bus__60000</v>
      </c>
      <c r="Z204" t="str">
        <f ca="1" t="shared" si="50"/>
        <v>Hybrid diesel coach -- 60000%</v>
      </c>
      <c r="AA204" s="385" t="s">
        <v>84</v>
      </c>
      <c r="AB204" s="385" t="s">
        <v>85</v>
      </c>
    </row>
    <row r="205" spans="2:28">
      <c r="B205" s="387"/>
      <c r="J205" t="str">
        <f t="shared" si="42"/>
        <v>\I:Trd_bus_</v>
      </c>
      <c r="K205" t="str">
        <f t="shared" si="44"/>
        <v>\I:</v>
      </c>
      <c r="L205" t="str">
        <f t="shared" si="43"/>
        <v>\I:</v>
      </c>
      <c r="M205" s="387" t="str">
        <f t="shared" si="45"/>
        <v/>
      </c>
      <c r="N205" s="387" t="str">
        <f t="shared" si="46"/>
        <v/>
      </c>
      <c r="O205" s="387" t="str">
        <f t="shared" si="47"/>
        <v/>
      </c>
      <c r="P205" s="387" t="str">
        <f t="shared" si="48"/>
        <v/>
      </c>
      <c r="V205" s="383"/>
      <c r="X205" t="s">
        <v>83</v>
      </c>
      <c r="Y205" t="str">
        <f t="shared" si="49"/>
        <v>\I:</v>
      </c>
      <c r="Z205" t="str">
        <f ca="1" t="shared" si="50"/>
        <v>Hybrid diesel coach -- 00%</v>
      </c>
      <c r="AA205" s="385" t="s">
        <v>84</v>
      </c>
      <c r="AB205" s="385" t="s">
        <v>85</v>
      </c>
    </row>
    <row r="206" spans="2:28">
      <c r="J206" t="str">
        <f t="shared" ref="J206:J219" si="54">IFERROR(VLOOKUP(C206,$V$1:$W$9,2,FALSE),J205)</f>
        <v>\I:Trd_bus_</v>
      </c>
      <c r="K206" t="str">
        <f t="shared" si="44"/>
        <v>\I:</v>
      </c>
      <c r="L206" t="str">
        <f t="shared" ref="L206:L219" si="55">LEFT(K206,7)</f>
        <v>\I:</v>
      </c>
      <c r="M206" s="387" t="str">
        <f t="shared" si="45"/>
        <v/>
      </c>
      <c r="N206" s="387" t="str">
        <f t="shared" si="46"/>
        <v/>
      </c>
      <c r="O206" s="387" t="str">
        <f t="shared" si="47"/>
        <v/>
      </c>
      <c r="P206" s="387" t="str">
        <f t="shared" si="48"/>
        <v/>
      </c>
      <c r="V206" s="383"/>
      <c r="X206" t="s">
        <v>83</v>
      </c>
      <c r="Y206" t="str">
        <f t="shared" si="49"/>
        <v>\I:</v>
      </c>
      <c r="Z206" t="str">
        <f ca="1" t="shared" si="50"/>
        <v>Hybrid diesel coach -- 00%</v>
      </c>
      <c r="AA206" s="385" t="s">
        <v>84</v>
      </c>
      <c r="AB206" s="385" t="s">
        <v>85</v>
      </c>
    </row>
    <row r="207" spans="2:28">
      <c r="J207" t="str">
        <f t="shared" si="54"/>
        <v>\I:Trd_bus_</v>
      </c>
      <c r="K207" t="str">
        <f t="shared" si="44"/>
        <v>\I:</v>
      </c>
      <c r="L207" t="str">
        <f t="shared" si="55"/>
        <v>\I:</v>
      </c>
      <c r="M207" s="387" t="str">
        <f t="shared" si="45"/>
        <v/>
      </c>
      <c r="N207" s="387" t="str">
        <f t="shared" si="46"/>
        <v/>
      </c>
      <c r="O207" s="387" t="str">
        <f t="shared" si="47"/>
        <v/>
      </c>
      <c r="P207" s="387" t="str">
        <f t="shared" si="48"/>
        <v/>
      </c>
      <c r="V207" s="383"/>
      <c r="X207" t="s">
        <v>83</v>
      </c>
      <c r="Y207" t="str">
        <f t="shared" si="49"/>
        <v>\I:</v>
      </c>
      <c r="Z207" t="str">
        <f ca="1" t="shared" si="50"/>
        <v>Hybrid diesel coach -- 00%</v>
      </c>
      <c r="AA207" s="385" t="s">
        <v>84</v>
      </c>
      <c r="AB207" s="385" t="s">
        <v>85</v>
      </c>
    </row>
    <row r="208" ht="21.75" customHeight="1" spans="2:28">
      <c r="B208" s="384" t="s">
        <v>29</v>
      </c>
      <c r="C208" s="384" t="s">
        <v>170</v>
      </c>
      <c r="D208" s="384"/>
      <c r="E208" s="384"/>
      <c r="F208" s="384"/>
      <c r="J208" t="str">
        <f t="shared" si="54"/>
        <v>\I:Trd_bus_</v>
      </c>
      <c r="K208" t="str">
        <f t="shared" si="44"/>
        <v>\I:</v>
      </c>
      <c r="L208" t="str">
        <f t="shared" si="55"/>
        <v>\I:</v>
      </c>
      <c r="M208" s="387" t="str">
        <f t="shared" si="45"/>
        <v/>
      </c>
      <c r="N208" s="387" t="str">
        <f t="shared" si="46"/>
        <v/>
      </c>
      <c r="O208" s="387" t="str">
        <f t="shared" si="47"/>
        <v/>
      </c>
      <c r="P208" s="387" t="str">
        <f t="shared" si="48"/>
        <v/>
      </c>
      <c r="V208" s="383"/>
      <c r="X208" t="s">
        <v>83</v>
      </c>
      <c r="Y208" t="str">
        <f t="shared" si="49"/>
        <v>\I:</v>
      </c>
      <c r="Z208" t="str">
        <f ca="1" t="shared" si="50"/>
        <v>Hybrid diesel coach -- Energy consumption (kg H2/100km)</v>
      </c>
      <c r="AA208" s="385" t="s">
        <v>84</v>
      </c>
      <c r="AB208" s="385" t="s">
        <v>85</v>
      </c>
    </row>
    <row r="209" ht="21.75" customHeight="1" spans="2:28">
      <c r="B209" s="384"/>
      <c r="C209" s="384"/>
      <c r="D209" s="384"/>
      <c r="E209" s="384"/>
      <c r="F209" s="384"/>
      <c r="J209" t="str">
        <f t="shared" si="54"/>
        <v>\I:Trd_bus_</v>
      </c>
      <c r="K209" t="str">
        <f t="shared" si="44"/>
        <v>\I:</v>
      </c>
      <c r="L209" t="str">
        <f t="shared" si="55"/>
        <v>\I:</v>
      </c>
      <c r="M209" s="387" t="str">
        <f t="shared" si="45"/>
        <v/>
      </c>
      <c r="N209" s="387" t="str">
        <f t="shared" si="46"/>
        <v/>
      </c>
      <c r="O209" s="387" t="str">
        <f t="shared" si="47"/>
        <v/>
      </c>
      <c r="P209" s="387" t="str">
        <f t="shared" si="48"/>
        <v/>
      </c>
      <c r="V209" s="383"/>
      <c r="X209" t="s">
        <v>83</v>
      </c>
      <c r="Y209" t="str">
        <f t="shared" si="49"/>
        <v>\I:</v>
      </c>
      <c r="Z209" t="str">
        <f ca="1" t="shared" si="50"/>
        <v>Hybrid diesel coach -- 00%</v>
      </c>
      <c r="AA209" s="385" t="s">
        <v>84</v>
      </c>
      <c r="AB209" s="385" t="s">
        <v>85</v>
      </c>
    </row>
    <row r="210" spans="2:28">
      <c r="B210" s="384"/>
      <c r="C210" s="384"/>
      <c r="D210" s="384"/>
      <c r="E210" s="384"/>
      <c r="F210" s="384"/>
      <c r="J210" t="str">
        <f t="shared" si="54"/>
        <v>\I:Trd_bus_</v>
      </c>
      <c r="K210" t="str">
        <f t="shared" si="44"/>
        <v>\I:</v>
      </c>
      <c r="L210" t="str">
        <f t="shared" si="55"/>
        <v>\I:</v>
      </c>
      <c r="M210" s="387" t="str">
        <f t="shared" si="45"/>
        <v/>
      </c>
      <c r="N210" s="387" t="str">
        <f t="shared" si="46"/>
        <v/>
      </c>
      <c r="O210" s="387" t="str">
        <f t="shared" si="47"/>
        <v/>
      </c>
      <c r="P210" s="387" t="str">
        <f t="shared" si="48"/>
        <v/>
      </c>
      <c r="V210" s="383"/>
      <c r="X210" t="s">
        <v>83</v>
      </c>
      <c r="Y210" t="str">
        <f t="shared" si="49"/>
        <v>\I:</v>
      </c>
      <c r="Z210" t="str">
        <f ca="1" t="shared" si="50"/>
        <v>Hybrid diesel coach -- 00%</v>
      </c>
      <c r="AA210" s="385" t="s">
        <v>84</v>
      </c>
      <c r="AB210" s="385" t="s">
        <v>85</v>
      </c>
    </row>
    <row r="211" spans="2:28">
      <c r="B211" s="50"/>
      <c r="C211" s="51">
        <v>2020</v>
      </c>
      <c r="D211" s="51">
        <v>2030</v>
      </c>
      <c r="E211" s="51">
        <v>2040</v>
      </c>
      <c r="F211" s="51">
        <v>2050</v>
      </c>
      <c r="J211" t="str">
        <f t="shared" si="54"/>
        <v>\I:Trd_bus_</v>
      </c>
      <c r="K211" t="str">
        <f t="shared" si="44"/>
        <v>\I:</v>
      </c>
      <c r="L211" t="str">
        <f t="shared" si="55"/>
        <v>\I:</v>
      </c>
      <c r="M211" s="387" t="str">
        <f t="shared" si="45"/>
        <v/>
      </c>
      <c r="N211" s="387" t="str">
        <f t="shared" si="46"/>
        <v/>
      </c>
      <c r="O211" s="387" t="str">
        <f t="shared" si="47"/>
        <v/>
      </c>
      <c r="P211" s="387" t="str">
        <f t="shared" si="48"/>
        <v/>
      </c>
      <c r="V211" s="383"/>
      <c r="X211" t="s">
        <v>83</v>
      </c>
      <c r="Y211" t="str">
        <f t="shared" si="49"/>
        <v>\I:</v>
      </c>
      <c r="Z211" t="str">
        <f ca="1" t="shared" si="50"/>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4"/>
        <v>\I:Trd_bus_</v>
      </c>
      <c r="K212" t="str">
        <f t="shared" si="44"/>
        <v>\I:Trd_bus__665</v>
      </c>
      <c r="L212" t="str">
        <f t="shared" si="55"/>
        <v>\I:Trd_</v>
      </c>
      <c r="M212" s="387">
        <f t="shared" si="45"/>
        <v>645414.917881523</v>
      </c>
      <c r="N212" s="387">
        <f t="shared" si="46"/>
        <v>417379.007105806</v>
      </c>
      <c r="O212" s="387">
        <f t="shared" si="47"/>
        <v>354901.720144819</v>
      </c>
      <c r="P212" s="387">
        <f t="shared" si="48"/>
        <v>338590.059493097</v>
      </c>
      <c r="Q212">
        <f t="shared" ref="Q212:Q219" si="56">P212</f>
        <v>338590.059493097</v>
      </c>
      <c r="R212">
        <v>3</v>
      </c>
      <c r="V212" s="383"/>
      <c r="X212" t="s">
        <v>83</v>
      </c>
      <c r="Y212" t="str">
        <f t="shared" si="49"/>
        <v>\I:Trd_bus__665</v>
      </c>
      <c r="Z212" t="str">
        <f ca="1" t="shared" si="50"/>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4"/>
        <v>\I:Trd_bus_</v>
      </c>
      <c r="K213" t="str">
        <f t="shared" si="44"/>
        <v>\I:Trd_bus__645</v>
      </c>
      <c r="L213" t="str">
        <f t="shared" si="55"/>
        <v>\I:Trd_</v>
      </c>
      <c r="M213" s="387">
        <f t="shared" si="45"/>
        <v>646209.342968632</v>
      </c>
      <c r="N213" s="387">
        <f t="shared" si="46"/>
        <v>417926.742297443</v>
      </c>
      <c r="O213" s="387">
        <f t="shared" si="47"/>
        <v>355381.16265353</v>
      </c>
      <c r="P213" s="387">
        <f t="shared" si="48"/>
        <v>339001.209318881</v>
      </c>
      <c r="Q213">
        <f t="shared" si="56"/>
        <v>339001.209318881</v>
      </c>
      <c r="R213">
        <v>3</v>
      </c>
      <c r="V213" s="383"/>
      <c r="X213" t="s">
        <v>83</v>
      </c>
      <c r="Y213" t="str">
        <f t="shared" si="49"/>
        <v>\I:Trd_bus__645</v>
      </c>
      <c r="Z213" t="str">
        <f ca="1" t="shared" si="50"/>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4"/>
        <v>\I:Trd_bus_</v>
      </c>
      <c r="K214" t="str">
        <f t="shared" si="44"/>
        <v>\I:Trd_bus__625</v>
      </c>
      <c r="L214" t="str">
        <f t="shared" si="55"/>
        <v>\I:Trd_</v>
      </c>
      <c r="M214" s="387">
        <f t="shared" si="45"/>
        <v>647003.76805574</v>
      </c>
      <c r="N214" s="387">
        <f t="shared" si="46"/>
        <v>418474.477489081</v>
      </c>
      <c r="O214" s="387">
        <f t="shared" si="47"/>
        <v>355860.605162241</v>
      </c>
      <c r="P214" s="387">
        <f t="shared" si="48"/>
        <v>339412.359144665</v>
      </c>
      <c r="Q214">
        <f t="shared" si="56"/>
        <v>339412.359144665</v>
      </c>
      <c r="R214">
        <v>3</v>
      </c>
      <c r="V214" s="383"/>
      <c r="X214" t="s">
        <v>83</v>
      </c>
      <c r="Y214" t="str">
        <f t="shared" si="49"/>
        <v>\I:Trd_bus__625</v>
      </c>
      <c r="Z214" t="str">
        <f ca="1" t="shared" si="50"/>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4"/>
        <v>\I:Trd_bus_</v>
      </c>
      <c r="K215" t="str">
        <f t="shared" si="44"/>
        <v>\I:Trd_bus__605</v>
      </c>
      <c r="L215" t="str">
        <f t="shared" si="55"/>
        <v>\I:Trd_</v>
      </c>
      <c r="M215" s="387">
        <f t="shared" si="45"/>
        <v>647798.193142848</v>
      </c>
      <c r="N215" s="387">
        <f t="shared" si="46"/>
        <v>419022.212680718</v>
      </c>
      <c r="O215" s="387">
        <f t="shared" si="47"/>
        <v>356340.047670951</v>
      </c>
      <c r="P215" s="387">
        <f t="shared" si="48"/>
        <v>339823.508970449</v>
      </c>
      <c r="Q215">
        <f t="shared" si="56"/>
        <v>339823.508970449</v>
      </c>
      <c r="R215">
        <v>3</v>
      </c>
      <c r="V215" s="383"/>
      <c r="X215" t="s">
        <v>83</v>
      </c>
      <c r="Y215" t="str">
        <f t="shared" si="49"/>
        <v>\I:Trd_bus__605</v>
      </c>
      <c r="Z215" t="str">
        <f ca="1" t="shared" si="50"/>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4"/>
        <v>\I:Trd_bus_</v>
      </c>
      <c r="K216" t="str">
        <f t="shared" ref="K216:K219" si="57">IFERROR(IF(VALUE(C216)&gt;2020,J216&amp;"_"&amp;TEXT(B216*100,"00"),"\I:"),"\I:")</f>
        <v>\I:Trd_bus__585</v>
      </c>
      <c r="L216" t="str">
        <f t="shared" si="55"/>
        <v>\I:Trd_</v>
      </c>
      <c r="M216" s="387">
        <f t="shared" ref="M216:M219" si="58">IF($K216="\I:","",C216)</f>
        <v>648592.618229956</v>
      </c>
      <c r="N216" s="387">
        <f t="shared" ref="N216:N219" si="59">IF($K216="\I:","",D216)</f>
        <v>419569.947872356</v>
      </c>
      <c r="O216" s="387">
        <f t="shared" ref="O216:O219" si="60">IF($K216="\I:","",E216)</f>
        <v>356819.490179662</v>
      </c>
      <c r="P216" s="387">
        <f t="shared" ref="P216:P219" si="61">IF($K216="\I:","",F216)</f>
        <v>340234.658796233</v>
      </c>
      <c r="Q216">
        <f t="shared" si="56"/>
        <v>340234.658796233</v>
      </c>
      <c r="R216">
        <v>3</v>
      </c>
      <c r="V216" s="383"/>
      <c r="X216" t="s">
        <v>83</v>
      </c>
      <c r="Y216" t="str">
        <f t="shared" ref="Y216:Y219" si="62">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4"/>
        <v>\I:Trd_bus_</v>
      </c>
      <c r="K217" t="str">
        <f t="shared" si="57"/>
        <v>\I:Trd_bus__565</v>
      </c>
      <c r="L217" t="str">
        <f t="shared" si="55"/>
        <v>\I:Trd_</v>
      </c>
      <c r="M217" s="387">
        <f t="shared" si="58"/>
        <v>649387.043317064</v>
      </c>
      <c r="N217" s="387">
        <f t="shared" si="59"/>
        <v>420117.683063994</v>
      </c>
      <c r="O217" s="387">
        <f t="shared" si="60"/>
        <v>357298.932688373</v>
      </c>
      <c r="P217" s="387">
        <f t="shared" si="61"/>
        <v>340645.808622017</v>
      </c>
      <c r="Q217">
        <f t="shared" si="56"/>
        <v>340645.808622017</v>
      </c>
      <c r="R217">
        <v>3</v>
      </c>
      <c r="V217" s="383"/>
      <c r="X217" t="s">
        <v>83</v>
      </c>
      <c r="Y217" t="str">
        <f t="shared" si="62"/>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4"/>
        <v>\I:Trd_bus_</v>
      </c>
      <c r="K218" t="str">
        <f t="shared" si="57"/>
        <v>\I:Trd_bus__544</v>
      </c>
      <c r="L218" t="str">
        <f t="shared" si="55"/>
        <v>\I:Trd_</v>
      </c>
      <c r="M218" s="387">
        <f t="shared" si="58"/>
        <v>650181.468404172</v>
      </c>
      <c r="N218" s="387">
        <f t="shared" si="59"/>
        <v>420665.418255631</v>
      </c>
      <c r="O218" s="387">
        <f t="shared" si="60"/>
        <v>357778.375197084</v>
      </c>
      <c r="P218" s="387">
        <f t="shared" si="61"/>
        <v>341056.958447801</v>
      </c>
      <c r="Q218">
        <f t="shared" si="56"/>
        <v>341056.958447801</v>
      </c>
      <c r="R218">
        <v>3</v>
      </c>
      <c r="V218" s="383"/>
      <c r="X218" t="s">
        <v>83</v>
      </c>
      <c r="Y218" t="str">
        <f t="shared" si="62"/>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4"/>
        <v>\I:Trd_bus_</v>
      </c>
      <c r="K219" t="str">
        <f t="shared" si="57"/>
        <v>\I:Trd_bus__524</v>
      </c>
      <c r="L219" t="str">
        <f t="shared" si="55"/>
        <v>\I:Trd_</v>
      </c>
      <c r="M219" s="387">
        <f t="shared" si="58"/>
        <v>650975.89349128</v>
      </c>
      <c r="N219" s="387">
        <f t="shared" si="59"/>
        <v>421213.153447269</v>
      </c>
      <c r="O219" s="387">
        <f t="shared" si="60"/>
        <v>358257.817705795</v>
      </c>
      <c r="P219" s="387">
        <f t="shared" si="61"/>
        <v>341468.108273585</v>
      </c>
      <c r="Q219">
        <f t="shared" si="56"/>
        <v>341468.108273585</v>
      </c>
      <c r="R219">
        <v>3</v>
      </c>
      <c r="V219" s="383"/>
      <c r="X219" t="s">
        <v>83</v>
      </c>
      <c r="Y219" t="str">
        <f t="shared" si="62"/>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18" zoomScaleNormal="18" workbookViewId="0">
      <selection activeCell="O4" sqref="O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73" zoomScaleNormal="73" topLeftCell="L217" workbookViewId="0">
      <selection activeCell="K244" sqref="K24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2026-09-21T16:07:22Z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