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<sst xmlns="http://schemas.openxmlformats.org/spreadsheetml/2006/main" count="7810" uniqueCount="786">
  <si>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</si>
  <si>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</si>
  <si>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</si>
  <si>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</si>
  <si>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</si>
  <si>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</si>
  <si>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</si>
  <si>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</si>
  <si>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</si>
  <si>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</si>
  <si>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</si>
  <si>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</si>
  <si>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</si>
  <si>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</si>
  <si>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</si>
  <si>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</si>
  <si>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</si>
  <si>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</si>
  <si>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</si>
  <si>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</si>
  <si>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</si>
  <si>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</si>
  <si>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</si>
  <si>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</si>
  <si>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</si>
  <si>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</si>
  <si>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</si>
  <si>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</si>
  <si>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</si>
  <si>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</si>
  <si>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</si>
  <si>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</si>
  <si>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</si>
  <si>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</si>
  <si>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</si>
  <si>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</si>
  <si>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</si>
  <si>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</si>
  <si>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</si>
  <si>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</si>
  <si>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</si>
  <si>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</si>
  <si>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</si>
  <si>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</si>
  <si>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</si>
  <si>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</si>
  <si>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</si>
  <si>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</si>
  <si>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</si>
  <si>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</si>
  <si>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</si>
  <si>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</si>
  <si>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</si>
  <si>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</si>
  <si>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</si>
  <si>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</si>
  <si>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</si>
  <si>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</si>
  <si>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</si>
  <si>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</si>
  <si>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</si>
  <si>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</si>
  <si>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</si>
  <si>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</si>
  <si>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</si>
  <si>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</si>
  <si>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</si>
  <si>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</si>
  <si>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</si>
  <si>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</si>
  <si>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</si>
  <si>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</si>
  <si>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</si>
  <si>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</si>
  <si>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</si>
  <si>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</si>
  <si>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</si>
  <si>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</si>
  <si>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</si>
  <si>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</si>
  <si>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</si>
  <si>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</si>
  <si>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</si>
  <si>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</si>
  <si>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</si>
  <si>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</si>
  <si>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</si>
  <si>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</si>
  <si>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</si>
  <si>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</si>
  <si>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</si>
  <si>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</si>
  <si>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</si>
  <si>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</si>
  <si>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</si>
  <si>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</si>
  <si>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</si>
  <si>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</si>
  <si>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</si>
  <si>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</si>
  <si>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</si>
  <si>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</si>
  <si>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</si>
  <si>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</si>
  <si>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</si>
  <si>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</si>
  <si>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</si>
  <si>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</si>
  <si>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</si>
  <si>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</si>
  <si>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</si>
  <si>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</si>
  <si>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</si>
  <si>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</si>
  <si>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</si>
  <si>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</si>
  <si>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</si>
  <si>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</si>
  <si>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</si>
  <si>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</si>
  <si>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</si>
  <si>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</si>
  <si>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</si>
  <si>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</si>
  <si>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</si>
  <si>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</si>
  <si>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</si>
  <si>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</si>
  <si>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</si>
  <si>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</si>
  <si>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</si>
  <si>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</si>
  <si>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</si>
  <si>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</si>
  <si>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</si>
  <si>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</si>
  <si>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</si>
  <si>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</si>
  <si>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</si>
  <si>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</si>
  <si>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</si>
  <si>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</si>
  <si>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</si>
  <si>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</si>
  <si>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</si>
  <si>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</si>
  <si>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</si>
  <si>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</si>
  <si>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</si>
  <si>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</si>
  <si>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</si>
  <si>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</si>
  <si>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</si>
  <si>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</si>
  <si>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</si>
  <si>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</si>
  <si>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</si>
  <si>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</si>
  <si>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</si>
  <si>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</si>
  <si>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</si>
  <si>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</si>
  <si>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</si>
  <si>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</si>
  <si>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</si>
  <si>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</si>
  <si>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</si>
  <si>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</si>
  <si>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</si>
  <si>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</si>
  <si>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</si>
  <si>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</si>
  <si>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</si>
  <si>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</si>
  <si>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</si>
  <si>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</si>
  <si>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</si>
  <si>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</si>
  <si>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</si>
  <si>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</si>
  <si>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</si>
  <si>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</si>
  <si>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</si>
  <si>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</si>
  <si>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</si>
  <si>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</si>
  <si>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</si>
  <si>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</si>
  <si>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</si>
  <si>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</si>
  <si>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</si>
  <si>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</si>
  <si>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</si>
  <si>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</si>
  <si>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</si>
  <si>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</si>
  <si>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</si>
  <si>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</si>
  <si>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</si>
  <si>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</si>
  <si>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</si>
  <si>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</si>
  <si>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</si>
  <si>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</si>
  <si>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</si>
  <si>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</si>
  <si>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</si>
  <si>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</si>
  <si>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</si>
  <si>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</si>
  <si>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</si>
  <si>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</si>
  <si>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</si>
  <si>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</si>
  <si>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</si>
  <si>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</si>
  <si>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</si>
  <si>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</si>
  <si>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</si>
  <si>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</si>
  <si>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</si>
  <si>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</si>
  <si>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</si>
  <si>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</si>
  <si>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</si>
  <si>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</si>
  <si>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</si>
  <si>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</si>
  <si>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</si>
  <si>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</si>
  <si>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</si>
  <si>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</si>
  <si>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</si>
  <si>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</si>
  <si>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</si>
  <si>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</si>
  <si>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</si>
  <si>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</si>
  <si>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</si>
  <si>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</si>
  <si>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</si>
  <si>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</si>
  <si>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</si>
  <si>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</si>
  <si>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</si>
  <si>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</si>
  <si>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</si>
  <si>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</si>
  <si>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</si>
  <si>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</si>
  <si>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</si>
  <si>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</si>
  <si>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</si>
  <si>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</si>
  <si>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</si>
  <si>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</si>
  <si>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</si>
  <si>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</si>
  <si>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</si>
  <si>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</si>
  <si>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</si>
  <si>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</si>
  <si>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</si>
  <si>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</si>
  <si>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</si>
  <si>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</si>
  <si>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</si>
  <si>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</si>
  <si>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</si>
  <si>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</si>
  <si>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</si>
  <si>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</si>
  <si>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</si>
  <si>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</si>
  <si>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</si>
  <si>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</si>
  <si>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</si>
  <si>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</si>
  <si>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</si>
  <si>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</si>
  <si>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</si>
  <si>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</si>
  <si>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</si>
  <si>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</si>
  <si>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</si>
  <si>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</si>
  <si>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</si>
  <si>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</si>
  <si>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</si>
  <si>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</si>
  <si>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</si>
  <si>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</si>
  <si>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</si>
  <si>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</si>
  <si>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</si>
  <si>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</si>
  <si>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</si>
  <si>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</si>
  <si>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</si>
  <si>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</si>
  <si>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</si>
  <si>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</si>
  <si>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</si>
  <si>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</si>
  <si>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</si>
  <si>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</si>
  <si>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</si>
  <si>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</si>
  <si>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</si>
  <si>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</si>
  <si>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</si>
  <si>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</si>
  <si>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</si>
  <si>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</si>
  <si>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</si>
  <si>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</si>
  <si>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</si>
  <si>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</si>
  <si>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</si>
  <si>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</si>
  <si>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</si>
  <si>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</si>
  <si>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</si>
  <si>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</si>
  <si>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</si>
  <si>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</si>
  <si>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</si>
  <si>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</si>
  <si>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</si>
  <si>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</si>
  <si>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</si>
  <si>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</si>
  <si>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</si>
  <si>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</si>
  <si>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</si>
  <si>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</si>
  <si>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</si>
  <si>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</si>
  <si>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</si>
  <si>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</si>
  <si>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</si>
  <si>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</si>
  <si>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</si>
  <si>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</si>
  <si>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</si>
  <si>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</si>
  <si>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</si>
  <si>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</si>
  <si>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</si>
  <si>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</si>
  <si>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</si>
  <si>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</si>
  <si>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</si>
  <si>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</si>
  <si>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</si>
  <si>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</si>
  <si>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</si>
  <si>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</si>
  <si>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</si>
  <si>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</si>
  <si>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</si>
  <si>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</si>
  <si>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</si>
  <si>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</si>
  <si>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</si>
  <si>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</si>
  <si>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</si>
  <si>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</si>
  <si>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</si>
  <si>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</si>
  <si>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</si>
  <si>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</si>
  <si>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</si>
  <si>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</si>
  <si>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</si>
  <si>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</si>
  <si>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</si>
  <si>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</si>
  <si>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</si>
  <si>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</si>
  <si>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</si>
  <si>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</si>
  <si>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</si>
  <si>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</si>
  <si>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</si>
  <si>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</si>
  <si>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</si>
  <si>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</si>
  <si>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</si>
  <si>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</si>
  <si>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</si>
  <si>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</si>
  <si>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</si>
  <si>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</si>
  <si>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</si>
  <si>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</si>
  <si>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</si>
  <si>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</si>
  <si>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</si>
  <si>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</si>
  <si>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</si>
  <si>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</si>
  <si>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</si>
  <si>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</si>
  <si>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</si>
  <si>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</si>
  <si>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</si>
  <si>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</si>
  <si>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</si>
  <si>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</si>
  <si>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</si>
  <si>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</si>
  <si>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</si>
  <si>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</si>
  <si>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</si>
  <si>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</si>
  <si>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</si>
  <si>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</si>
  <si>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</si>
  <si>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</si>
  <si>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</si>
  <si>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</si>
  <si>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</si>
  <si>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</si>
  <si>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</si>
  <si>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</si>
  <si>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</si>
  <si>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</si>
  <si>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</si>
  <si>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</si>
  <si>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</si>
  <si>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</si>
  <si>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</si>
  <si>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</si>
  <si>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</si>
  <si>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</si>
  <si>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</si>
  <si>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</si>
  <si>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</si>
  <si>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</si>
  <si>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</si>
  <si>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</si>
  <si>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</si>
  <si>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</si>
  <si>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</si>
  <si>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</si>
  <si>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</si>
  <si>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</si>
  <si>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</si>
  <si>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</si>
  <si>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</si>
  <si>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</si>
  <si>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</si>
  <si>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</si>
  <si>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</si>
  <si>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</si>
  <si>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</si>
  <si>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</si>
  <si>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</si>
  <si>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</si>
  <si>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</si>
  <si>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</si>
  <si>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</si>
  <si>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</si>
  <si>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</si>
  <si>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</si>
  <si>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</si>
  <si>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</si>
  <si>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</si>
  <si>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</si>
  <si>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</si>
  <si>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</si>
  <si>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</si>
  <si>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</si>
  <si>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</si>
  <si>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</si>
  <si>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</si>
  <si>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</si>
  <si>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</si>
  <si>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</si>
  <si>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</si>
  <si>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</si>
  <si>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</si>
  <si>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</si>
  <si>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</si>
  <si>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</si>
  <si>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</si>
  <si>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</si>
  <si>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</si>
  <si>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</si>
  <si>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</si>
  <si>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</si>
  <si>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</si>
  <si>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</si>
  <si>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</si>
  <si>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</si>
  <si>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</si>
  <si>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</si>
  <si>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</si>
  <si>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</si>
  <si>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</si>
  <si>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</si>
  <si>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</si>
  <si>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</si>
  <si>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</si>
  <si>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</si>
  <si>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</si>
  <si>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</si>
  <si>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</si>
  <si>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</si>
  <si>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</si>
  <si>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</si>
  <si>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</si>
  <si>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</si>
  <si>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</si>
  <si>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</si>
  <si>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</si>
  <si>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</si>
  <si>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</si>
  <si>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</si>
  <si>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</si>
  <si>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</si>
  <si>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</si>
  <si>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</si>
  <si>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</si>
  <si>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</si>
  <si>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</si>
  <si>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</si>
  <si>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</si>
  <si>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</si>
  <si>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</si>
  <si>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</si>
  <si>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</si>
  <si>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</si>
  <si>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</si>
  <si>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</si>
  <si>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</si>
  <si>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</si>
  <si>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</si>
  <si>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</si>
  <si>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</si>
  <si>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</si>
  <si>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</si>
  <si>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</si>
  <si>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</si>
  <si>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</si>
  <si>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</si>
  <si>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</si>
  <si>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</si>
  <si>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</si>
  <si>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</si>
  <si>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</si>
  <si>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</si>
  <si>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</si>
  <si>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</si>
  <si>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</si>
  <si>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</si>
  <si>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</si>
  <si>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</si>
  <si>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</si>
  <si>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</si>
  <si>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</si>
  <si>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</si>
  <si>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</si>
  <si>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</si>
  <si>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</si>
  <si>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</si>
  <si>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</si>
  <si>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</si>
  <si>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</si>
  <si>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</si>
  <si>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</si>
  <si>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</si>
  <si>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</si>
  <si>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</si>
  <si>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</si>
  <si>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</si>
  <si>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</si>
  <si>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</si>
  <si>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</si>
  <si>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</si>
  <si>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</si>
  <si>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</si>
  <si>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</si>
  <si>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</si>
  <si>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</si>
  <si>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</si>
  <si>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</si>
  <si>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</si>
  <si>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</si>
  <si>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</si>
  <si>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</si>
  <si>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</si>
  <si>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</si>
  <si>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</si>
  <si>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</si>
  <si>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</si>
  <si>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</si>
  <si>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</si>
  <si>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</si>
  <si>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</si>
  <si>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</si>
  <si>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</si>
  <si>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</si>
  <si>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</si>
  <si>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</si>
  <si>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</si>
  <si>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</si>
  <si>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</si>
  <si>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</si>
  <si>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</si>
  <si>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</si>
  <si>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</si>
  <si>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</si>
  <si>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</si>
  <si>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</si>
  <si>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</si>
  <si>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</si>
  <si>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</si>
  <si>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</si>
  <si>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</si>
  <si>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</si>
  <si>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</si>
  <si>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</si>
  <si>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</si>
  <si>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</si>
  <si>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</si>
  <si>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</si>
  <si>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</si>
  <si>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</si>
  <si>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</si>
  <si>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</si>
  <si>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</si>
  <si>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</si>
  <si>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</si>
  <si>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</si>
  <si>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</si>
  <si>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</si>
  <si>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</si>
  <si>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</si>
  <si>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</si>
  <si>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</si>
  <si>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</si>
  <si>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</si>
  <si>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</si>
  <si>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</si>
  <si>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</si>
  <si>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</si>
  <si>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</si>
  <si>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</si>
  <si>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</si>
  <si>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</si>
  <si>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</si>
  <si>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</si>
  <si>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</si>
  <si>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</si>
  <si>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</si>
  <si>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</si>
  <si>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</si>
  <si>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</si>
  <si>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</si>
  <si>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</si>
  <si>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</si>
  <si>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</si>
  <si>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</si>
  <si>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</si>
  <si>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</si>
  <si>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</si>
  <si>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</si>
  <si>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</si>
  <si>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</si>
  <si>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</si>
  <si>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</si>
  <si>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</si>
  <si>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</si>
  <si>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</si>
  <si>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</si>
  <si>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</si>
  <si>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</si>
  <si>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</si>
  <si>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</si>
  <si>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</si>
  <si>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</si>
  <si>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</si>
  <si>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</si>
  <si>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</si>
  <si>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</si>
  <si>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</si>
  <si>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</si>
  <si>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</si>
  <si>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</si>
  <si>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</si>
  <si>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</si>
  <si>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</si>
  <si>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</si>
  <si>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</si>
  <si>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</si>
  <si>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</si>
  <si>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</si>
  <si>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</si>
  <si>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</si>
  <si>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</si>
  <si>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</si>
  <si>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</si>
  <si>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</si>
  <si>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</si>
  <si>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</si>
  <si>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</si>
  <si>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</si>
  <si>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</si>
  <si>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</si>
  <si>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</si>
  <si>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</si>
  <si>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</si>
  <si>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</si>
  <si>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</si>
  <si>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</si>
  <si>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</si>
  <si>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</si>
  <si>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</si>
  <si>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</si>
  <si>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</si>
  <si>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</si>
  <si>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</si>
  <si>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</si>
  <si>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</si>
  <si>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</si>
  <si>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</si>
  <si>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</si>
  <si>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</si>
  <si>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</si>
  <si>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</si>
  <si>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</si>
  <si>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</si>
  <si>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</si>
  <si>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</si>
  <si>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</si>
  <si>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</si>
  <si>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</si>
  <si>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</si>
  <si>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</si>
  <si>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</si>
  <si>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</si>
  <si>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</si>
  <si>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</si>
  <si>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</si>
  <si>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</si>
  <si>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</si>
  <si>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</si>
  <si>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</si>
  <si>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</si>
  <si>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</si>
  <si>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Africa_North</t>
  </si>
  <si>
    <t>Africa_Other</t>
  </si>
  <si>
    <t>Australia</t>
  </si>
  <si>
    <t>Austria</t>
  </si>
  <si>
    <t>Baltics</t>
  </si>
  <si>
    <t>BeNeLux</t>
  </si>
  <si>
    <t>Brazil</t>
  </si>
  <si>
    <t>CroSloven</t>
  </si>
  <si>
    <t>CzechSlovak</t>
  </si>
  <si>
    <t>France</t>
  </si>
  <si>
    <t>Germany</t>
  </si>
  <si>
    <t>GreeceCyp</t>
  </si>
  <si>
    <t>HunRomBul</t>
  </si>
  <si>
    <t>Iceland</t>
  </si>
  <si>
    <t>India</t>
  </si>
  <si>
    <t>Ireland</t>
  </si>
  <si>
    <t>ItalyMal</t>
  </si>
  <si>
    <t>Japan</t>
  </si>
  <si>
    <t>LatAm</t>
  </si>
  <si>
    <t>MidEast</t>
  </si>
  <si>
    <t>Norway</t>
  </si>
  <si>
    <t>Poland</t>
  </si>
  <si>
    <t>ROW</t>
  </si>
  <si>
    <t>Russia</t>
  </si>
  <si>
    <t>SaudiArabia</t>
  </si>
  <si>
    <t>SouthAfrica</t>
  </si>
  <si>
    <t>SpainPor</t>
  </si>
  <si>
    <t>SweFinDen</t>
  </si>
  <si>
    <t>Switzerland</t>
  </si>
  <si>
    <t>Turkey</t>
  </si>
  <si>
    <t>UK</t>
  </si>
  <si>
    <t>Ukraine</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</si>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</sst>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imes New Roman"/>
      <charset val="0"/>
    </font>
    <font>
      <sz val="9"/>
      <name val="Times New Roman"/>
      <charset val="0"/>
    </font>
    <font>
      <b/>
      <sz val="9"/>
      <name val="Tahoma"/>
      <charset val="134"/>
    </font>
    <font>
      <sz val="9"/>
      <name val="Times New Roman"/>
      <charset val="134"/>
    </font>
    <font>
      <b/>
      <sz val="9"/>
      <name val="Times New Roman"/>
      <charset val="134"/>
    </font>
    <font>
      <sz val="9"/>
      <name val="Tahoma"/>
      <charset val="1"/>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54" zoomScaleNormal="54"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88" zoomScaleNormal="88" topLeftCell="D1" workbookViewId="0">
      <selection activeCell="K177" sqref="K177:K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A143" workbookViewId="0">
      <selection activeCell="K156" sqref="K156:K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J89" sqref="J89:J9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57" zoomScaleNormal="57" topLeftCell="B21" workbookViewId="0">
      <selection activeCell="K38" sqref="K38"/>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57" zoomScaleNormal="57" topLeftCell="A66" workbookViewId="0">
      <selection activeCell="K89" sqref="K89:K9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R4" workbookViewId="0">
      <selection activeCell="BF73" sqref="BF73"/>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2020</v>
      </c>
      <c r="S21" s="157" t="s">
        <v>193</v>
      </c>
      <c r="T21" s="244" t="s">
        <v>76</v>
      </c>
      <c r="U21" s="244" t="s">
        <v>79</v>
      </c>
      <c r="V21" s="244" t="s">
        <v>194</v>
      </c>
      <c r="W21" s="259">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3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4"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4"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4"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2021</v>
      </c>
    </row>
    <row r="65" spans="49:54">
      <c r="AW65" s="341" t="s">
        <v>195</v>
      </c>
      <c r="AX65" s="342"/>
      <c r="AY65" s="308" t="s">
        <v>179</v>
      </c>
      <c r="AZ65" s="308"/>
      <c r="BA65" s="344">
        <v>1</v>
      </c>
      <c r="BB65" s="217">
        <v>2150</v>
      </c>
    </row>
    <row r="66" spans="49:54">
      <c r="AW66" s="341" t="s">
        <v>195</v>
      </c>
      <c r="AX66" s="342"/>
      <c r="AY66" s="308" t="s">
        <v>180</v>
      </c>
      <c r="AZ66" s="308"/>
      <c r="BA66" s="344">
        <f t="shared" ref="BA66:BA70" si="21">BA65</f>
        <v>1</v>
      </c>
      <c r="BB66">
        <v>2021</v>
      </c>
    </row>
    <row r="67" spans="49:54">
      <c r="AW67" s="341" t="s">
        <v>195</v>
      </c>
      <c r="AX67" s="342"/>
      <c r="AY67" s="308" t="s">
        <v>183</v>
      </c>
      <c r="AZ67" s="308"/>
      <c r="BA67" s="344">
        <f t="shared" si="21"/>
        <v>1</v>
      </c>
      <c r="BB67">
        <v>2021</v>
      </c>
    </row>
    <row r="68" spans="49:54">
      <c r="AW68" s="341" t="s">
        <v>195</v>
      </c>
      <c r="AX68" s="342"/>
      <c r="AY68" s="308" t="s">
        <v>184</v>
      </c>
      <c r="AZ68" s="308"/>
      <c r="BA68" s="344">
        <f t="shared" si="21"/>
        <v>1</v>
      </c>
      <c r="BB68">
        <v>2021</v>
      </c>
    </row>
    <row r="69" spans="49:54">
      <c r="AW69" s="341" t="s">
        <v>195</v>
      </c>
      <c r="AX69" s="342"/>
      <c r="AY69" s="308" t="s">
        <v>182</v>
      </c>
      <c r="AZ69" s="308"/>
      <c r="BA69" s="344">
        <f t="shared" si="21"/>
        <v>1</v>
      </c>
      <c r="BB69">
        <v>2021</v>
      </c>
    </row>
    <row r="70" spans="49:54">
      <c r="AW70" s="341" t="s">
        <v>195</v>
      </c>
      <c r="AX70" s="342"/>
      <c r="AY70" s="308" t="s">
        <v>197</v>
      </c>
      <c r="AZ70" s="308"/>
      <c r="BA70" s="344">
        <f t="shared" si="21"/>
        <v>1</v>
      </c>
      <c r="BB70">
        <v>2021</v>
      </c>
    </row>
    <row r="71" spans="49:54">
      <c r="AW71" t="s">
        <v>195</v>
      </c>
      <c r="AY71" t="s">
        <v>181</v>
      </c>
      <c r="BA71">
        <v>1</v>
      </c>
      <c r="BB71">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49" zoomScaleNormal="49"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62" zoomScaleNormal="62" topLeftCell="U76" workbookViewId="0">
      <selection activeCell="Z106" sqref="Z10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X21" s="219"/>
      <c r="Y21" s="219"/>
      <c r="Z21" s="202"/>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2021</v>
      </c>
      <c r="U22" s="202"/>
      <c r="V22" s="219" t="s">
        <v>257</v>
      </c>
      <c r="W22" s="219" t="s">
        <v>322</v>
      </c>
      <c r="X22" s="219" t="s">
        <v>323</v>
      </c>
      <c r="Y22" s="219" t="s">
        <v>193</v>
      </c>
      <c r="Z22" s="277" t="s">
        <v>324</v>
      </c>
      <c r="AA22" s="202"/>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06" t="str">
        <f>V13</f>
        <v>MINBatMaterials_LI</v>
      </c>
      <c r="W23" s="206" t="str">
        <f t="shared" ref="W23:W29" si="2">AE5</f>
        <v>m_lithium</v>
      </c>
      <c r="X23" s="206">
        <v>12.85</v>
      </c>
      <c r="Y23" s="206" t="s">
        <v>327</v>
      </c>
      <c r="Z23" s="171">
        <v>1</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2021</v>
      </c>
      <c r="U24" s="202"/>
      <c r="V24" s="206" t="str">
        <f t="shared" ref="V24:V29" si="3">V14</f>
        <v>MINBatMaterials_NI</v>
      </c>
      <c r="W24" s="206" t="str">
        <f t="shared" si="2"/>
        <v>m_nickel</v>
      </c>
      <c r="X24" s="206">
        <v>20</v>
      </c>
      <c r="Y24" s="206" t="s">
        <v>327</v>
      </c>
      <c r="Z24" s="171">
        <v>1</v>
      </c>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2021</v>
      </c>
      <c r="U25" s="202"/>
      <c r="V25" s="206" t="str">
        <f t="shared" si="3"/>
        <v>MINBatMaterials_COB</v>
      </c>
      <c r="W25" s="206" t="str">
        <f t="shared" si="2"/>
        <v>m_cobalt</v>
      </c>
      <c r="X25" s="206">
        <v>29.3</v>
      </c>
      <c r="Y25" s="206" t="s">
        <v>327</v>
      </c>
      <c r="Z25" s="171">
        <v>1</v>
      </c>
      <c r="AB25" s="159"/>
      <c r="AE25" s="171" t="s">
        <v>332</v>
      </c>
      <c r="AI25" s="171" t="s">
        <v>253</v>
      </c>
      <c r="AL25" s="171" t="s">
        <v>313</v>
      </c>
    </row>
    <row r="26" ht="14.5" spans="1:38">
      <c r="A26" s="294" t="s">
        <v>213</v>
      </c>
      <c r="B26" s="164" t="s">
        <v>333</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2021</v>
      </c>
      <c r="U26" s="202"/>
      <c r="V26" s="206" t="str">
        <f t="shared" si="3"/>
        <v>MINBatMaterials_MN</v>
      </c>
      <c r="W26" s="206" t="str">
        <f t="shared" si="2"/>
        <v>m_manganese</v>
      </c>
      <c r="X26" s="206">
        <v>2</v>
      </c>
      <c r="Y26" s="206" t="s">
        <v>327</v>
      </c>
      <c r="Z26" s="171">
        <v>1</v>
      </c>
      <c r="AB26" s="207"/>
      <c r="AE26" s="171" t="s">
        <v>171</v>
      </c>
      <c r="AL26" s="171" t="s">
        <v>313</v>
      </c>
    </row>
    <row r="27" ht="14.5" spans="1:38">
      <c r="A27" s="294" t="s">
        <v>213</v>
      </c>
      <c r="B27" s="164" t="s">
        <v>334</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2021</v>
      </c>
      <c r="U27" s="202"/>
      <c r="V27" s="206" t="str">
        <f t="shared" si="3"/>
        <v>MINBatMaterials_AL</v>
      </c>
      <c r="W27" s="206" t="str">
        <f t="shared" si="2"/>
        <v>m_aluminum</v>
      </c>
      <c r="X27" s="206">
        <v>2.5</v>
      </c>
      <c r="Y27" s="206" t="s">
        <v>327</v>
      </c>
      <c r="Z27" s="171">
        <v>1</v>
      </c>
      <c r="AB27" s="207"/>
      <c r="AE27" s="171" t="s">
        <v>172</v>
      </c>
      <c r="AL27" s="171" t="s">
        <v>313</v>
      </c>
    </row>
    <row r="28" ht="14.5" spans="1:38">
      <c r="A28" s="294" t="s">
        <v>213</v>
      </c>
      <c r="B28" s="164" t="s">
        <v>335</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2021</v>
      </c>
      <c r="U28" s="202"/>
      <c r="V28" s="206" t="str">
        <f t="shared" si="3"/>
        <v>MINBatMaterials_COP</v>
      </c>
      <c r="W28" s="206" t="str">
        <f t="shared" si="2"/>
        <v>m_copper</v>
      </c>
      <c r="X28" s="206">
        <v>8</v>
      </c>
      <c r="Y28" s="206" t="s">
        <v>327</v>
      </c>
      <c r="Z28" s="171">
        <v>1</v>
      </c>
      <c r="AB28" s="159"/>
      <c r="AE28" s="171" t="s">
        <v>173</v>
      </c>
      <c r="AL28" s="171" t="s">
        <v>313</v>
      </c>
    </row>
    <row r="29" s="164" customFormat="1" ht="14.5" spans="1:38">
      <c r="A29" s="295" t="s">
        <v>213</v>
      </c>
      <c r="B29" s="208" t="s">
        <v>336</v>
      </c>
      <c r="C29" s="208">
        <v>0</v>
      </c>
      <c r="D29" s="208">
        <v>0</v>
      </c>
      <c r="E29" s="208">
        <v>0</v>
      </c>
      <c r="F29" s="208">
        <v>0</v>
      </c>
      <c r="G29" s="208">
        <v>0</v>
      </c>
      <c r="H29" s="208">
        <v>0</v>
      </c>
      <c r="I29" s="208">
        <v>0</v>
      </c>
      <c r="J29" s="296">
        <v>1</v>
      </c>
      <c r="K29" s="208">
        <v>15</v>
      </c>
      <c r="L29" s="208" t="s">
        <v>291</v>
      </c>
      <c r="M29" s="208" t="s">
        <v>256</v>
      </c>
      <c r="N29" s="208">
        <v>0.925</v>
      </c>
      <c r="O29" s="208">
        <f>O28</f>
        <v>1.314</v>
      </c>
      <c r="P29" s="208">
        <f>P28</f>
        <v>1</v>
      </c>
      <c r="Q29" s="208">
        <f>Q28</f>
        <v>1</v>
      </c>
      <c r="R29" s="208">
        <v>4000</v>
      </c>
      <c r="S29" s="171">
        <v>2150</v>
      </c>
      <c r="U29" s="297"/>
      <c r="V29" s="206" t="str">
        <f t="shared" si="3"/>
        <v>MINBatMaterials_GR</v>
      </c>
      <c r="W29" s="206" t="str">
        <f t="shared" si="2"/>
        <v>m_graphite</v>
      </c>
      <c r="X29" s="206">
        <v>1</v>
      </c>
      <c r="Y29" s="206" t="s">
        <v>327</v>
      </c>
      <c r="Z29" s="171">
        <v>1</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337</v>
      </c>
      <c r="O34" s="210">
        <v>0.6</v>
      </c>
      <c r="V34" s="209" t="str">
        <f t="shared" ref="V34:V39" si="4">"Tra_bat_recy_"&amp;N34</f>
        <v>Tra_bat_recy_lithium</v>
      </c>
      <c r="W34" s="209" t="s">
        <v>338</v>
      </c>
      <c r="X34" s="209" t="s">
        <v>185</v>
      </c>
      <c r="Y34" s="209">
        <f t="shared" ref="Y34:Y39" si="5">O34</f>
        <v>0.6</v>
      </c>
    </row>
    <row r="35" spans="3:38">
      <c r="N35" s="210" t="s">
        <v>339</v>
      </c>
      <c r="O35" s="210">
        <v>0.56</v>
      </c>
      <c r="V35" s="209" t="str">
        <f t="shared" si="4"/>
        <v>Tra_bat_recy_nickel</v>
      </c>
      <c r="W35" s="209" t="s">
        <v>340</v>
      </c>
      <c r="X35" s="209" t="s">
        <v>186</v>
      </c>
      <c r="Y35" s="209">
        <f t="shared" si="5"/>
        <v>0.56</v>
      </c>
    </row>
    <row r="36" spans="3:38">
      <c r="N36" s="210" t="s">
        <v>341</v>
      </c>
      <c r="O36" s="210">
        <v>0.65</v>
      </c>
      <c r="V36" s="209" t="str">
        <f t="shared" si="4"/>
        <v>Tra_bat_recy_cobalt</v>
      </c>
      <c r="W36" s="209" t="s">
        <v>342</v>
      </c>
      <c r="X36" s="209" t="s">
        <v>187</v>
      </c>
      <c r="Y36" s="209">
        <f t="shared" si="5"/>
        <v>0.65</v>
      </c>
    </row>
    <row r="37" ht="14.5" spans="3:38">
      <c r="D37" s="299">
        <v>1</v>
      </c>
      <c r="G37" s="171" t="s">
        <v>343</v>
      </c>
      <c r="H37" s="171" t="s">
        <v>344</v>
      </c>
      <c r="I37" s="171" t="s">
        <v>345</v>
      </c>
      <c r="J37" s="171" t="s">
        <v>346</v>
      </c>
      <c r="K37" s="171" t="s">
        <v>347</v>
      </c>
      <c r="L37" s="171" t="s">
        <v>348</v>
      </c>
      <c r="M37" s="171" t="s">
        <v>349</v>
      </c>
      <c r="N37" s="210" t="s">
        <v>350</v>
      </c>
      <c r="O37" s="210">
        <v>0.61</v>
      </c>
      <c r="V37" s="209" t="str">
        <f t="shared" si="4"/>
        <v>Tra_bat_recy_manganese</v>
      </c>
      <c r="W37" s="209" t="s">
        <v>351</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352</v>
      </c>
      <c r="O38" s="210">
        <v>0.52</v>
      </c>
      <c r="V38" s="209" t="str">
        <f t="shared" si="4"/>
        <v>Tra_bat_recy_aluminum</v>
      </c>
      <c r="W38" s="209" t="s">
        <v>353</v>
      </c>
      <c r="X38" s="209" t="s">
        <v>189</v>
      </c>
      <c r="Y38" s="209">
        <f t="shared" si="5"/>
        <v>0.52</v>
      </c>
      <c r="AD38" s="171" t="s">
        <v>354</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355</v>
      </c>
      <c r="O39" s="210">
        <v>0.55</v>
      </c>
      <c r="V39" s="209" t="str">
        <f t="shared" si="4"/>
        <v>Tra_bat_recy_copper</v>
      </c>
      <c r="W39" s="209" t="s">
        <v>356</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357</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358</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359</v>
      </c>
      <c r="E60" s="171" t="s">
        <v>360</v>
      </c>
      <c r="F60" s="171" t="s">
        <v>361</v>
      </c>
      <c r="G60" s="171" t="s">
        <v>362</v>
      </c>
      <c r="H60" s="171" t="s">
        <v>363</v>
      </c>
      <c r="I60" s="171" t="s">
        <v>364</v>
      </c>
      <c r="J60" s="171" t="s">
        <v>365</v>
      </c>
      <c r="K60" s="219" t="s">
        <v>239</v>
      </c>
      <c r="L60" s="192" t="s">
        <v>194</v>
      </c>
      <c r="M60" s="192" t="s">
        <v>76</v>
      </c>
      <c r="N60" s="171" t="s">
        <v>285</v>
      </c>
      <c r="O60" s="171" t="s">
        <v>316</v>
      </c>
      <c r="P60" s="192" t="s">
        <v>317</v>
      </c>
      <c r="Q60" s="192" t="s">
        <v>318</v>
      </c>
      <c r="R60" s="171" t="s">
        <v>366</v>
      </c>
      <c r="S60" s="171" t="s">
        <v>319</v>
      </c>
      <c r="T60" s="171" t="s">
        <v>367</v>
      </c>
      <c r="U60" s="171" t="s">
        <v>368</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369</v>
      </c>
    </row>
    <row r="72" spans="1:28">
      <c r="C72" s="171" t="s">
        <v>257</v>
      </c>
      <c r="D72" s="304" t="s">
        <v>370</v>
      </c>
      <c r="E72" s="304" t="s">
        <v>371</v>
      </c>
      <c r="F72" s="304" t="s">
        <v>372</v>
      </c>
      <c r="G72" s="304" t="s">
        <v>373</v>
      </c>
      <c r="H72" s="304" t="s">
        <v>374</v>
      </c>
      <c r="I72" s="304" t="s">
        <v>375</v>
      </c>
      <c r="J72" s="304" t="s">
        <v>376</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7" t="s">
        <v>222</v>
      </c>
      <c r="X87" s="277"/>
      <c r="Y87" s="277"/>
      <c r="Z87" s="277"/>
    </row>
    <row r="88" spans="2:26">
      <c r="B88" s="171" t="s">
        <v>201</v>
      </c>
      <c r="C88" s="171" t="s">
        <v>257</v>
      </c>
      <c r="F88" s="305" t="s">
        <v>377</v>
      </c>
      <c r="G88" s="305" t="s">
        <v>257</v>
      </c>
      <c r="J88" s="305" t="s">
        <v>257</v>
      </c>
      <c r="K88" s="305" t="s">
        <v>377</v>
      </c>
      <c r="L88" s="171" t="s">
        <v>378</v>
      </c>
      <c r="M88" s="171" t="s">
        <v>201</v>
      </c>
      <c r="N88" s="277"/>
      <c r="P88" s="202"/>
      <c r="V88" s="277" t="s">
        <v>257</v>
      </c>
      <c r="W88" s="277" t="s">
        <v>322</v>
      </c>
      <c r="X88" s="277" t="s">
        <v>379</v>
      </c>
      <c r="Y88" s="277" t="s">
        <v>324</v>
      </c>
      <c r="Z88" s="277" t="s">
        <v>193</v>
      </c>
    </row>
    <row r="89" ht="14.5" spans="2:26">
      <c r="B89" s="302">
        <v>2030</v>
      </c>
      <c r="C89" s="306" t="s">
        <v>380</v>
      </c>
      <c r="F89" s="305">
        <v>3</v>
      </c>
      <c r="G89" s="307" t="s">
        <v>380</v>
      </c>
      <c r="J89" s="308" t="s">
        <v>297</v>
      </c>
      <c r="L89" s="171">
        <v>30</v>
      </c>
      <c r="M89" s="171">
        <v>2021</v>
      </c>
      <c r="N89" s="277"/>
      <c r="O89" s="308">
        <v>15.7</v>
      </c>
      <c r="P89" s="309" t="s">
        <v>381</v>
      </c>
      <c r="V89" s="289" t="s">
        <v>297</v>
      </c>
      <c r="W89" s="289" t="s">
        <v>185</v>
      </c>
      <c r="X89" s="310">
        <v>7.5</v>
      </c>
      <c r="Y89" s="310">
        <v>35</v>
      </c>
      <c r="Z89" s="289" t="s">
        <v>327</v>
      </c>
    </row>
    <row r="90" ht="14.5" spans="2:26">
      <c r="B90" s="302">
        <v>2030</v>
      </c>
      <c r="C90" s="306" t="s">
        <v>382</v>
      </c>
      <c r="F90" s="305">
        <v>3</v>
      </c>
      <c r="G90" s="307" t="s">
        <v>382</v>
      </c>
      <c r="J90" s="308" t="s">
        <v>300</v>
      </c>
      <c r="L90" s="171">
        <v>30</v>
      </c>
      <c r="M90" s="171">
        <v>2021</v>
      </c>
      <c r="N90" s="277"/>
      <c r="O90" s="308">
        <v>15.7</v>
      </c>
      <c r="P90" s="297"/>
      <c r="V90" s="289" t="s">
        <v>300</v>
      </c>
      <c r="W90" s="289" t="s">
        <v>186</v>
      </c>
      <c r="X90" s="310">
        <v>10</v>
      </c>
      <c r="Y90" s="310">
        <v>50</v>
      </c>
      <c r="Z90" s="289" t="s">
        <v>327</v>
      </c>
    </row>
    <row r="91" ht="14.5" spans="2:26">
      <c r="B91" s="302">
        <v>2030</v>
      </c>
      <c r="C91" s="306" t="s">
        <v>383</v>
      </c>
      <c r="F91" s="305">
        <v>3</v>
      </c>
      <c r="G91" s="307" t="s">
        <v>383</v>
      </c>
      <c r="J91" s="308" t="s">
        <v>302</v>
      </c>
      <c r="L91" s="171">
        <v>30</v>
      </c>
      <c r="M91" s="171">
        <v>2021</v>
      </c>
      <c r="N91" s="277"/>
      <c r="O91" s="308">
        <v>15.7</v>
      </c>
      <c r="P91" s="297"/>
      <c r="V91" s="289" t="s">
        <v>302</v>
      </c>
      <c r="W91" s="289" t="s">
        <v>187</v>
      </c>
      <c r="X91" s="310">
        <v>18</v>
      </c>
      <c r="Y91" s="310">
        <v>80</v>
      </c>
      <c r="Z91" s="289" t="s">
        <v>327</v>
      </c>
    </row>
    <row r="92" ht="14.5" spans="2:26">
      <c r="B92" s="302">
        <v>2030</v>
      </c>
      <c r="C92" s="306" t="s">
        <v>384</v>
      </c>
      <c r="F92" s="305">
        <v>3</v>
      </c>
      <c r="G92" s="307" t="s">
        <v>384</v>
      </c>
      <c r="J92" s="308" t="s">
        <v>305</v>
      </c>
      <c r="L92" s="171">
        <v>30</v>
      </c>
      <c r="M92" s="171">
        <v>2021</v>
      </c>
      <c r="N92" s="277"/>
      <c r="O92" s="308">
        <v>15.7</v>
      </c>
      <c r="P92" s="297"/>
      <c r="V92" s="289" t="s">
        <v>305</v>
      </c>
      <c r="W92" s="289" t="s">
        <v>188</v>
      </c>
      <c r="X92" s="310">
        <v>1.2</v>
      </c>
      <c r="Y92" s="310">
        <v>8</v>
      </c>
      <c r="Z92" s="289" t="s">
        <v>327</v>
      </c>
    </row>
    <row r="93" ht="14.5" spans="2:26">
      <c r="B93" s="302">
        <v>2030</v>
      </c>
      <c r="C93" s="306" t="s">
        <v>385</v>
      </c>
      <c r="F93" s="305">
        <v>3</v>
      </c>
      <c r="G93" s="307" t="s">
        <v>385</v>
      </c>
      <c r="J93" s="308" t="s">
        <v>307</v>
      </c>
      <c r="L93" s="171">
        <v>30</v>
      </c>
      <c r="M93" s="171">
        <v>2021</v>
      </c>
      <c r="N93" s="277"/>
      <c r="O93" s="308">
        <v>15.7</v>
      </c>
      <c r="P93" s="297" t="s">
        <v>386</v>
      </c>
      <c r="V93" s="289" t="s">
        <v>307</v>
      </c>
      <c r="W93" s="289" t="s">
        <v>189</v>
      </c>
      <c r="X93" s="310">
        <v>1.5</v>
      </c>
      <c r="Y93" s="310">
        <v>10</v>
      </c>
      <c r="Z93" s="289" t="s">
        <v>327</v>
      </c>
    </row>
    <row r="94" ht="14.5" spans="2:26">
      <c r="B94" s="302">
        <v>2030</v>
      </c>
      <c r="C94" s="306" t="s">
        <v>387</v>
      </c>
      <c r="F94" s="305">
        <v>3</v>
      </c>
      <c r="G94" s="307" t="s">
        <v>387</v>
      </c>
      <c r="J94" s="308" t="s">
        <v>309</v>
      </c>
      <c r="L94" s="171">
        <v>30</v>
      </c>
      <c r="M94" s="171">
        <v>2021</v>
      </c>
      <c r="N94" s="277"/>
      <c r="O94" s="308">
        <v>15.7</v>
      </c>
      <c r="P94" s="297"/>
      <c r="V94" s="289" t="s">
        <v>309</v>
      </c>
      <c r="W94" s="289" t="s">
        <v>190</v>
      </c>
      <c r="X94" s="310">
        <v>2.5</v>
      </c>
      <c r="Y94" s="310">
        <v>12</v>
      </c>
      <c r="Z94" s="289" t="s">
        <v>327</v>
      </c>
    </row>
    <row r="95" ht="14.5" spans="2:26">
      <c r="B95" s="302">
        <v>2030</v>
      </c>
      <c r="C95" s="306" t="s">
        <v>388</v>
      </c>
      <c r="F95" s="305">
        <v>3</v>
      </c>
      <c r="G95" s="307" t="s">
        <v>388</v>
      </c>
      <c r="J95" s="308" t="s">
        <v>311</v>
      </c>
      <c r="L95" s="171">
        <v>30</v>
      </c>
      <c r="M95" s="171">
        <v>2021</v>
      </c>
      <c r="N95" s="277"/>
      <c r="O95" s="308">
        <v>15.7</v>
      </c>
      <c r="P95" s="297"/>
      <c r="V95" s="289" t="s">
        <v>311</v>
      </c>
      <c r="W95" s="289" t="s">
        <v>191</v>
      </c>
      <c r="X95" s="310">
        <v>0.8</v>
      </c>
      <c r="Y95" s="310">
        <v>18</v>
      </c>
      <c r="Z95" s="289" t="s">
        <v>327</v>
      </c>
    </row>
    <row r="96" ht="14.5" spans="2:26">
      <c r="B96" s="302">
        <v>2030</v>
      </c>
      <c r="C96" s="306" t="s">
        <v>389</v>
      </c>
      <c r="D96" s="192"/>
      <c r="E96" s="192"/>
      <c r="F96" s="305">
        <v>3</v>
      </c>
      <c r="G96" s="307" t="s">
        <v>389</v>
      </c>
      <c r="H96" s="192"/>
      <c r="I96" s="192"/>
      <c r="J96" s="192"/>
    </row>
    <row r="97" ht="14.5" spans="2:24">
      <c r="B97" s="302">
        <v>2030</v>
      </c>
      <c r="C97" s="306" t="s">
        <v>390</v>
      </c>
      <c r="D97" s="192"/>
      <c r="E97" s="192"/>
      <c r="F97" s="305">
        <v>3</v>
      </c>
      <c r="G97" s="307" t="s">
        <v>390</v>
      </c>
      <c r="H97" s="192"/>
      <c r="I97" s="192"/>
      <c r="J97" s="192"/>
    </row>
    <row r="98" ht="14.5" spans="2:24">
      <c r="B98" s="302">
        <v>2030</v>
      </c>
      <c r="C98" s="306" t="s">
        <v>391</v>
      </c>
      <c r="D98" s="192"/>
      <c r="E98" s="192"/>
      <c r="F98" s="305">
        <v>3</v>
      </c>
      <c r="G98" s="307" t="s">
        <v>391</v>
      </c>
      <c r="H98" s="192"/>
      <c r="I98" s="192"/>
      <c r="J98" s="192"/>
    </row>
    <row r="99" ht="14.5" spans="2:24">
      <c r="B99" s="302">
        <v>2030</v>
      </c>
      <c r="C99" s="306" t="s">
        <v>392</v>
      </c>
      <c r="D99" s="192"/>
      <c r="E99" s="192"/>
      <c r="F99" s="305">
        <v>3</v>
      </c>
      <c r="G99" s="307" t="s">
        <v>392</v>
      </c>
    </row>
    <row r="100" ht="14.5" spans="2:24">
      <c r="B100" s="302">
        <v>2030</v>
      </c>
      <c r="C100" s="306" t="s">
        <v>393</v>
      </c>
      <c r="D100" s="192"/>
      <c r="E100" s="192"/>
      <c r="F100" s="305">
        <v>3</v>
      </c>
      <c r="G100" s="307" t="s">
        <v>393</v>
      </c>
    </row>
    <row r="101" ht="14.5" spans="2:24">
      <c r="B101" s="302">
        <v>2030</v>
      </c>
      <c r="C101" s="306" t="s">
        <v>394</v>
      </c>
      <c r="D101" s="192"/>
      <c r="E101" s="192"/>
      <c r="F101" s="305">
        <v>3</v>
      </c>
      <c r="G101" s="307" t="s">
        <v>394</v>
      </c>
    </row>
    <row r="102" ht="14.5" spans="2:24">
      <c r="B102" s="302">
        <v>2030</v>
      </c>
      <c r="C102" s="306" t="s">
        <v>395</v>
      </c>
      <c r="D102" s="192"/>
      <c r="E102" s="192"/>
      <c r="F102" s="305">
        <v>3</v>
      </c>
      <c r="G102" s="307" t="s">
        <v>395</v>
      </c>
      <c r="V102" s="311"/>
      <c r="W102" s="312"/>
      <c r="X102" s="312"/>
    </row>
    <row r="103" ht="14.5" spans="2:24">
      <c r="B103" s="302">
        <v>2030</v>
      </c>
      <c r="C103" s="306" t="s">
        <v>396</v>
      </c>
      <c r="D103" s="192"/>
      <c r="E103" s="192"/>
      <c r="F103" s="305">
        <v>3</v>
      </c>
      <c r="G103" s="307" t="s">
        <v>396</v>
      </c>
      <c r="V103" s="313"/>
    </row>
    <row r="104" ht="14.5" spans="2:24">
      <c r="B104" s="302">
        <v>2030</v>
      </c>
      <c r="C104" s="306" t="s">
        <v>397</v>
      </c>
      <c r="D104" s="192"/>
      <c r="E104" s="192"/>
      <c r="F104" s="305">
        <v>3</v>
      </c>
      <c r="G104" s="307" t="s">
        <v>397</v>
      </c>
      <c r="V104" s="313"/>
    </row>
    <row r="105" ht="14.5" spans="2:24">
      <c r="B105" s="302">
        <v>2030</v>
      </c>
      <c r="C105" s="306" t="s">
        <v>398</v>
      </c>
      <c r="F105" s="305">
        <v>3</v>
      </c>
      <c r="G105" s="307" t="s">
        <v>398</v>
      </c>
      <c r="V105" s="313"/>
    </row>
    <row r="106" ht="14.5" spans="2:24">
      <c r="B106" s="302">
        <v>2030</v>
      </c>
      <c r="C106" s="306" t="s">
        <v>399</v>
      </c>
      <c r="F106" s="305">
        <v>3</v>
      </c>
      <c r="G106" s="307" t="s">
        <v>399</v>
      </c>
      <c r="V106" s="313"/>
    </row>
    <row r="107" ht="14.5" spans="2:24">
      <c r="B107" s="302">
        <v>2030</v>
      </c>
      <c r="C107" s="306" t="s">
        <v>400</v>
      </c>
      <c r="F107" s="305">
        <v>3</v>
      </c>
      <c r="G107" s="307" t="s">
        <v>400</v>
      </c>
      <c r="V107" s="313"/>
    </row>
    <row r="108" ht="14.5" spans="2:24">
      <c r="B108" s="302">
        <v>2030</v>
      </c>
      <c r="C108" s="306" t="s">
        <v>401</v>
      </c>
      <c r="D108" s="192"/>
      <c r="E108" s="192"/>
      <c r="F108" s="305">
        <v>3</v>
      </c>
      <c r="G108" s="307" t="s">
        <v>401</v>
      </c>
      <c r="V108" s="313"/>
    </row>
    <row r="109" ht="14.5" spans="2:24">
      <c r="B109" s="302">
        <v>2030</v>
      </c>
      <c r="C109" s="314" t="s">
        <v>402</v>
      </c>
      <c r="F109" s="305">
        <v>3</v>
      </c>
      <c r="G109" s="315" t="s">
        <v>402</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403</v>
      </c>
      <c r="AB124" s="216"/>
      <c r="AC124" s="216"/>
      <c r="AD124" s="216"/>
      <c r="AE124" s="216"/>
      <c r="AF124" s="216"/>
    </row>
    <row r="125" ht="14.5" spans="1:46">
      <c r="B125"/>
      <c r="C125"/>
      <c r="D12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45" t="s">
        <v>406</v>
      </c>
      <c r="AR127" s="316"/>
      <c r="AS127" s="316"/>
      <c r="AT127" s="316"/>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45" t="s">
        <v>257</v>
      </c>
      <c r="AR128" s="245">
        <v>2023</v>
      </c>
      <c r="AS128" s="316">
        <v>2050</v>
      </c>
      <c r="AT128" s="316">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316" t="s">
        <v>208</v>
      </c>
      <c r="AR129" s="316">
        <v>30</v>
      </c>
      <c r="AS129" s="316">
        <f>AR129*64%</f>
        <v>19.2</v>
      </c>
      <c r="AT129" s="316">
        <v>3</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366</v>
      </c>
      <c r="AB130" s="219"/>
      <c r="AC130" s="219"/>
      <c r="AD130" s="219"/>
      <c r="AE130" s="219"/>
      <c r="AF130" s="219"/>
      <c r="AI130" s="219" t="s">
        <v>366</v>
      </c>
      <c r="AJ130" s="219"/>
      <c r="AK130" s="219"/>
      <c r="AL130" s="219"/>
      <c r="AM130" s="219"/>
      <c r="AN130" s="219"/>
      <c r="AQ130" s="316" t="s">
        <v>212</v>
      </c>
      <c r="AR130" s="316">
        <v>30</v>
      </c>
      <c r="AS130" s="316">
        <f t="shared" ref="AS130:AS135" si="15">AR130*64%</f>
        <v>19.2</v>
      </c>
      <c r="AT130" s="316">
        <v>3</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427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426</v>
      </c>
      <c r="AD131" s="219">
        <f>D131*0.313</f>
        <v>25.1599342966667</v>
      </c>
      <c r="AE131" s="219">
        <f>E131*0.313</f>
        <v>17.36734649</v>
      </c>
      <c r="AF131" s="219">
        <f>F131*0.313</f>
        <v>33.43624065</v>
      </c>
      <c r="AI131" s="219" t="s">
        <v>195</v>
      </c>
      <c r="AJ131" s="219">
        <v>0</v>
      </c>
      <c r="AK131" s="219" t="s">
        <v>426</v>
      </c>
      <c r="AL131" s="219">
        <v>5</v>
      </c>
      <c r="AM131" s="219">
        <v>5</v>
      </c>
      <c r="AN131" s="219">
        <v>5</v>
      </c>
      <c r="AQ131" s="316" t="s">
        <v>214</v>
      </c>
      <c r="AR131" s="316">
        <v>30</v>
      </c>
      <c r="AS131" s="316">
        <f t="shared" si="15"/>
        <v>19.2</v>
      </c>
      <c r="AT131" s="316">
        <v>3</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429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428</v>
      </c>
      <c r="AD132" s="219">
        <f t="shared" ref="AD132:AD144" si="18">D132*0.313</f>
        <v>29.8628918</v>
      </c>
      <c r="AE132" s="219">
        <f t="shared" ref="AE132:AE144" si="19">E132*0.313</f>
        <v>20.75992845</v>
      </c>
      <c r="AF132" s="219">
        <f t="shared" ref="AF132:AF144" si="20">F132*0.313</f>
        <v>39.52049115</v>
      </c>
      <c r="AI132" s="219" t="s">
        <v>195</v>
      </c>
      <c r="AJ132" s="219">
        <v>0</v>
      </c>
      <c r="AK132" s="219" t="s">
        <v>428</v>
      </c>
      <c r="AL132" s="219">
        <v>5</v>
      </c>
      <c r="AM132" s="219">
        <v>5</v>
      </c>
      <c r="AN132" s="219">
        <v>5</v>
      </c>
      <c r="AQ132" s="316" t="s">
        <v>215</v>
      </c>
      <c r="AR132" s="316">
        <v>30</v>
      </c>
      <c r="AS132" s="316">
        <f t="shared" si="15"/>
        <v>19.2</v>
      </c>
      <c r="AT132" s="316">
        <v>3</v>
      </c>
    </row>
    <row r="133" ht="13" spans="1:46">
      <c r="B133" s="219" t="s">
        <v>195</v>
      </c>
      <c r="C133" s="222" t="s">
        <v>430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430</v>
      </c>
      <c r="AD133" s="219">
        <f t="shared" si="18"/>
        <v>26.7138290566667</v>
      </c>
      <c r="AE133" s="219">
        <f t="shared" si="19"/>
        <v>17.55976011</v>
      </c>
      <c r="AF133" s="219">
        <f t="shared" si="20"/>
        <v>36.41065148</v>
      </c>
      <c r="AI133" s="219" t="s">
        <v>195</v>
      </c>
      <c r="AJ133" s="219">
        <v>0</v>
      </c>
      <c r="AK133" s="219" t="s">
        <v>430</v>
      </c>
      <c r="AL133" s="219">
        <v>5</v>
      </c>
      <c r="AM133" s="219">
        <v>5</v>
      </c>
      <c r="AN133" s="219">
        <v>5</v>
      </c>
      <c r="AQ133" s="316" t="s">
        <v>216</v>
      </c>
      <c r="AR133" s="316">
        <v>30</v>
      </c>
      <c r="AS133" s="316">
        <f t="shared" si="15"/>
        <v>19.2</v>
      </c>
      <c r="AT133" s="316">
        <v>3</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431</v>
      </c>
      <c r="AD134" s="219">
        <f t="shared" si="18"/>
        <v>26.76825141</v>
      </c>
      <c r="AE134" s="219">
        <f t="shared" si="19"/>
        <v>17.39012663</v>
      </c>
      <c r="AF134" s="219">
        <f t="shared" si="20"/>
        <v>36.71624903</v>
      </c>
      <c r="AI134" s="219" t="s">
        <v>195</v>
      </c>
      <c r="AJ134" s="219">
        <v>0</v>
      </c>
      <c r="AK134" s="219" t="s">
        <v>431</v>
      </c>
      <c r="AL134" s="219">
        <v>5</v>
      </c>
      <c r="AM134" s="219">
        <v>5</v>
      </c>
      <c r="AN134" s="219">
        <v>5</v>
      </c>
      <c r="AQ134" s="316" t="s">
        <v>217</v>
      </c>
      <c r="AR134" s="316">
        <v>30</v>
      </c>
      <c r="AS134" s="316">
        <f t="shared" si="15"/>
        <v>19.2</v>
      </c>
      <c r="AT134" s="316">
        <v>3</v>
      </c>
    </row>
    <row r="135" ht="13" spans="1:46">
      <c r="B135" s="219" t="s">
        <v>195</v>
      </c>
      <c r="C135" s="222" t="s">
        <v>432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432</v>
      </c>
      <c r="AD135" s="219">
        <f t="shared" si="18"/>
        <v>28.1990829166667</v>
      </c>
      <c r="AE135" s="219">
        <f t="shared" si="19"/>
        <v>18.5820901</v>
      </c>
      <c r="AF135" s="219">
        <f t="shared" si="20"/>
        <v>38.39541265</v>
      </c>
      <c r="AI135" s="219" t="s">
        <v>195</v>
      </c>
      <c r="AJ135" s="219">
        <v>0</v>
      </c>
      <c r="AK135" s="219" t="s">
        <v>432</v>
      </c>
      <c r="AL135" s="219">
        <v>5</v>
      </c>
      <c r="AM135" s="219">
        <v>5</v>
      </c>
      <c r="AN135" s="219">
        <v>5</v>
      </c>
      <c r="AQ135" s="316" t="s">
        <v>218</v>
      </c>
      <c r="AR135" s="316">
        <v>30</v>
      </c>
      <c r="AS135" s="316">
        <f t="shared" si="15"/>
        <v>19.2</v>
      </c>
      <c r="AT135" s="316">
        <v>3</v>
      </c>
    </row>
    <row r="136" ht="25" spans="1:46">
      <c r="A136" s="239"/>
      <c r="B136" s="219" t="s">
        <v>195</v>
      </c>
      <c r="C136" s="222" t="s">
        <v>433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433</v>
      </c>
      <c r="AD136" s="219">
        <f t="shared" si="18"/>
        <v>27.2066538166667</v>
      </c>
      <c r="AE136" s="219">
        <f t="shared" si="19"/>
        <v>17.94665315</v>
      </c>
      <c r="AF136" s="219">
        <f t="shared" si="20"/>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434</v>
      </c>
      <c r="AD137" s="219">
        <f t="shared" si="18"/>
        <v>28.0299846666667</v>
      </c>
      <c r="AE137" s="219">
        <f t="shared" si="19"/>
        <v>18.77670724</v>
      </c>
      <c r="AF137" s="219">
        <f t="shared" si="20"/>
        <v>37.83372476</v>
      </c>
      <c r="AI137" s="219" t="s">
        <v>195</v>
      </c>
      <c r="AJ137" s="219">
        <v>0</v>
      </c>
      <c r="AK137" s="219" t="s">
        <v>434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426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428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432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433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434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437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439</v>
      </c>
      <c r="AA158" s="317" t="s">
        <v>380</v>
      </c>
      <c r="AB158" s="317" t="s">
        <v>440</v>
      </c>
      <c r="AC158" s="317" t="s">
        <v>441</v>
      </c>
      <c r="AD158" s="317" t="s">
        <v>442</v>
      </c>
      <c r="AE158" s="317" t="s">
        <v>251</v>
      </c>
      <c r="AF158" s="317"/>
      <c r="AG158" s="317"/>
      <c r="AI158" s="245" t="s">
        <v>252</v>
      </c>
      <c r="AJ158" s="245" t="s">
        <v>370</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382</v>
      </c>
      <c r="AB159" s="317" t="s">
        <v>440</v>
      </c>
      <c r="AC159" s="317" t="s">
        <v>441</v>
      </c>
      <c r="AD159" s="317" t="s">
        <v>442</v>
      </c>
      <c r="AE159" s="317" t="s">
        <v>251</v>
      </c>
      <c r="AF159" s="316"/>
      <c r="AG159" s="316"/>
      <c r="AI159" s="245"/>
      <c r="AJ159" s="245" t="s">
        <v>371</v>
      </c>
      <c r="AK159" s="245"/>
      <c r="AL159" s="245"/>
      <c r="AM159" s="245"/>
      <c r="AN159" s="245" t="s">
        <v>253</v>
      </c>
      <c r="AO159" s="245"/>
      <c r="AP159" s="245"/>
      <c r="AQ159" s="245" t="s">
        <v>313</v>
      </c>
    </row>
    <row r="160" customFormat="1" ht="14.5" spans="2:43">
      <c r="B160" s="245" t="s">
        <v>369</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383</v>
      </c>
      <c r="AB160" s="317" t="s">
        <v>440</v>
      </c>
      <c r="AC160" s="317" t="s">
        <v>441</v>
      </c>
      <c r="AD160" s="317" t="s">
        <v>442</v>
      </c>
      <c r="AE160" s="317" t="s">
        <v>251</v>
      </c>
      <c r="AF160" s="316"/>
      <c r="AG160" s="316"/>
      <c r="AI160" s="245"/>
      <c r="AJ160" s="245" t="s">
        <v>372</v>
      </c>
      <c r="AK160" s="245"/>
      <c r="AL160" s="245"/>
      <c r="AM160" s="245"/>
      <c r="AN160" s="245" t="s">
        <v>253</v>
      </c>
      <c r="AO160" s="245"/>
      <c r="AP160" s="245"/>
      <c r="AQ160" s="245" t="s">
        <v>313</v>
      </c>
    </row>
    <row r="161" customFormat="1" ht="14.5" spans="2:60">
      <c r="B161" s="245" t="s">
        <v>257</v>
      </c>
      <c r="C161" s="245" t="s">
        <v>443</v>
      </c>
      <c r="D161" s="245" t="s">
        <v>444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384</v>
      </c>
      <c r="AB161" s="317" t="s">
        <v>440</v>
      </c>
      <c r="AC161" s="317" t="s">
        <v>441</v>
      </c>
      <c r="AD161" s="317" t="s">
        <v>442</v>
      </c>
      <c r="AE161" s="317" t="s">
        <v>251</v>
      </c>
      <c r="AF161" s="316"/>
      <c r="AG161" s="316"/>
      <c r="AI161" s="245"/>
      <c r="AJ161" s="245" t="s">
        <v>373</v>
      </c>
      <c r="AK161" s="245"/>
      <c r="AL161" s="245"/>
      <c r="AM161" s="245"/>
      <c r="AN161" s="245" t="s">
        <v>253</v>
      </c>
      <c r="AO161" s="245"/>
      <c r="AP161" s="245"/>
      <c r="AQ161" s="245" t="s">
        <v>313</v>
      </c>
    </row>
    <row r="162" customFormat="1" ht="14.5" spans="2:60">
      <c r="B162" s="245" t="s">
        <v>321</v>
      </c>
      <c r="C162" s="245" t="s">
        <v>445</v>
      </c>
      <c r="D162" s="245">
        <v>1</v>
      </c>
      <c r="E162" s="171"/>
      <c r="F162" s="171"/>
      <c r="G162" s="171"/>
      <c r="H162" s="171"/>
      <c r="I162" s="171"/>
      <c r="U162" s="171"/>
      <c r="V162" s="171"/>
      <c r="W162" s="171"/>
      <c r="Y162" s="171"/>
      <c r="Z162" s="316"/>
      <c r="AA162" s="317" t="s">
        <v>385</v>
      </c>
      <c r="AB162" s="317" t="s">
        <v>440</v>
      </c>
      <c r="AC162" s="317" t="s">
        <v>441</v>
      </c>
      <c r="AD162" s="317" t="s">
        <v>442</v>
      </c>
      <c r="AE162" s="317" t="s">
        <v>251</v>
      </c>
      <c r="AF162" s="316"/>
      <c r="AG162" s="316"/>
      <c r="AH162" s="192"/>
      <c r="AI162" s="245"/>
      <c r="AJ162" s="245" t="s">
        <v>374</v>
      </c>
      <c r="AK162" s="245"/>
      <c r="AL162" s="245"/>
      <c r="AM162" s="245"/>
      <c r="AN162" s="245" t="s">
        <v>253</v>
      </c>
      <c r="AO162" s="245"/>
      <c r="AP162" s="245"/>
      <c r="AQ162" s="245" t="s">
        <v>313</v>
      </c>
    </row>
    <row r="163" customFormat="1" ht="14.5" spans="2:60">
      <c r="B163" s="245" t="s">
        <v>326</v>
      </c>
      <c r="C163" s="245" t="s">
        <v>446</v>
      </c>
      <c r="D163" s="245">
        <v>1</v>
      </c>
      <c r="E163" s="171"/>
      <c r="F163" s="171"/>
      <c r="G163" s="171"/>
      <c r="H163" s="171"/>
      <c r="I163" s="171"/>
      <c r="U163" s="171"/>
      <c r="V163" s="171"/>
      <c r="W163" s="171"/>
      <c r="Y163" s="171"/>
      <c r="Z163" s="316"/>
      <c r="AA163" s="317" t="s">
        <v>387</v>
      </c>
      <c r="AB163" s="317" t="s">
        <v>440</v>
      </c>
      <c r="AC163" s="317" t="s">
        <v>441</v>
      </c>
      <c r="AD163" s="317" t="s">
        <v>442</v>
      </c>
      <c r="AE163" s="317" t="s">
        <v>251</v>
      </c>
      <c r="AF163" s="316"/>
      <c r="AG163" s="316"/>
      <c r="AH163" s="192"/>
      <c r="AI163" s="245"/>
      <c r="AJ163" s="245" t="s">
        <v>375</v>
      </c>
      <c r="AK163" s="245"/>
      <c r="AL163" s="245"/>
      <c r="AM163" s="245"/>
      <c r="AN163" s="245" t="s">
        <v>253</v>
      </c>
      <c r="AO163" s="245"/>
      <c r="AP163" s="245"/>
      <c r="AQ163" s="245" t="s">
        <v>313</v>
      </c>
    </row>
    <row r="164" customFormat="1" ht="14.5" spans="2:60">
      <c r="B164" s="245" t="s">
        <v>329</v>
      </c>
      <c r="C164" s="245" t="s">
        <v>447</v>
      </c>
      <c r="D164" s="245">
        <v>1</v>
      </c>
      <c r="E164" s="171"/>
      <c r="F164" s="171"/>
      <c r="G164" s="171"/>
      <c r="H164" s="171"/>
      <c r="I164" s="171"/>
      <c r="U164" s="171"/>
      <c r="V164" s="171"/>
      <c r="W164" s="171"/>
      <c r="Y164" s="171"/>
      <c r="Z164" s="316"/>
      <c r="AA164" s="317" t="s">
        <v>388</v>
      </c>
      <c r="AB164" s="317" t="s">
        <v>440</v>
      </c>
      <c r="AC164" s="317" t="s">
        <v>441</v>
      </c>
      <c r="AD164" s="317" t="s">
        <v>442</v>
      </c>
      <c r="AE164" s="317" t="s">
        <v>251</v>
      </c>
      <c r="AF164" s="316"/>
      <c r="AG164" s="316"/>
      <c r="AH164" s="192"/>
      <c r="AI164" s="245"/>
      <c r="AJ164" s="245" t="s">
        <v>376</v>
      </c>
      <c r="AK164" s="245"/>
      <c r="AL164" s="245"/>
      <c r="AM164" s="245"/>
      <c r="AN164" s="245" t="s">
        <v>253</v>
      </c>
      <c r="AO164" s="245"/>
      <c r="AP164" s="245"/>
      <c r="AQ164" s="245" t="s">
        <v>313</v>
      </c>
    </row>
    <row r="165" customFormat="1" ht="14.5" spans="2:60">
      <c r="B165" s="245" t="s">
        <v>331</v>
      </c>
      <c r="C165" s="245" t="s">
        <v>448</v>
      </c>
      <c r="D165" s="245">
        <v>1</v>
      </c>
      <c r="E165" s="171"/>
      <c r="F165" s="171"/>
      <c r="G165" s="171"/>
      <c r="H165" s="171"/>
      <c r="I165" s="171"/>
      <c r="U165" s="171"/>
      <c r="V165" s="171"/>
      <c r="W165" s="171"/>
      <c r="Y165" s="171"/>
      <c r="Z165" s="316"/>
      <c r="AA165" s="316" t="s">
        <v>389</v>
      </c>
      <c r="AB165" s="316" t="s">
        <v>449</v>
      </c>
      <c r="AC165" s="317" t="s">
        <v>441</v>
      </c>
      <c r="AD165" s="317" t="s">
        <v>442</v>
      </c>
      <c r="AE165" s="316" t="str">
        <f>AE164</f>
        <v>DAYNITE</v>
      </c>
      <c r="AF165" s="316"/>
      <c r="AG165" s="316"/>
      <c r="AI165" s="245"/>
      <c r="AJ165" s="245" t="s">
        <v>445</v>
      </c>
      <c r="AK165" s="245"/>
      <c r="AL165" s="245"/>
      <c r="AM165" s="245"/>
      <c r="AN165" s="245" t="s">
        <v>253</v>
      </c>
      <c r="AO165" s="245"/>
      <c r="AP165" s="245"/>
      <c r="AQ165" s="245" t="s">
        <v>313</v>
      </c>
    </row>
    <row r="166" customFormat="1" ht="14.5" spans="2:60">
      <c r="B166" s="245" t="s">
        <v>333</v>
      </c>
      <c r="C166" s="245" t="s">
        <v>450</v>
      </c>
      <c r="D166" s="245">
        <v>1</v>
      </c>
      <c r="E166" s="171"/>
      <c r="F166" s="171"/>
      <c r="G166" s="171"/>
      <c r="H166" s="171"/>
      <c r="I166" s="171"/>
      <c r="U166" s="171"/>
      <c r="V166" s="171"/>
      <c r="W166" s="171"/>
      <c r="Y166" s="171"/>
      <c r="Z166" s="316"/>
      <c r="AA166" s="316" t="s">
        <v>390</v>
      </c>
      <c r="AB166" s="316" t="s">
        <v>449</v>
      </c>
      <c r="AC166" s="317" t="s">
        <v>441</v>
      </c>
      <c r="AD166" s="317" t="s">
        <v>442</v>
      </c>
      <c r="AE166" s="316" t="str">
        <f t="shared" ref="AE166:AE172" si="34">AE165</f>
        <v>DAYNITE</v>
      </c>
      <c r="AF166" s="316"/>
      <c r="AG166" s="316"/>
      <c r="AI166" s="245"/>
      <c r="AJ166" s="245" t="s">
        <v>446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334</v>
      </c>
      <c r="C167" s="245" t="s">
        <v>451</v>
      </c>
      <c r="D167" s="245">
        <v>1</v>
      </c>
      <c r="E167" s="171"/>
      <c r="F167" s="171"/>
      <c r="G167" s="171"/>
      <c r="H167" s="171"/>
      <c r="I167" s="171"/>
      <c r="U167" s="171"/>
      <c r="V167" s="171"/>
      <c r="W167" s="171"/>
      <c r="Y167" s="171"/>
      <c r="Z167" s="316"/>
      <c r="AA167" s="316" t="s">
        <v>391</v>
      </c>
      <c r="AB167" s="316" t="s">
        <v>449</v>
      </c>
      <c r="AC167" s="317" t="s">
        <v>441</v>
      </c>
      <c r="AD167" s="317" t="s">
        <v>442</v>
      </c>
      <c r="AE167" s="316" t="str">
        <f t="shared" si="34"/>
        <v>DAYNITE</v>
      </c>
      <c r="AF167" s="316"/>
      <c r="AG167" s="316"/>
      <c r="AI167" s="245"/>
      <c r="AJ167" s="245" t="s">
        <v>447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335</v>
      </c>
      <c r="C168" s="245" t="s">
        <v>452</v>
      </c>
      <c r="D168" s="245">
        <v>1</v>
      </c>
      <c r="E168" s="171"/>
      <c r="F168" s="171"/>
      <c r="G168" s="171"/>
      <c r="H168" s="171"/>
      <c r="I168" s="171"/>
      <c r="U168" s="171"/>
      <c r="V168" s="171"/>
      <c r="W168" s="171"/>
      <c r="Y168" s="171"/>
      <c r="Z168" s="316"/>
      <c r="AA168" s="316" t="s">
        <v>392</v>
      </c>
      <c r="AB168" s="316" t="s">
        <v>449</v>
      </c>
      <c r="AC168" s="317" t="s">
        <v>441</v>
      </c>
      <c r="AD168" s="317" t="s">
        <v>442</v>
      </c>
      <c r="AE168" s="316" t="str">
        <f t="shared" si="34"/>
        <v>DAYNITE</v>
      </c>
      <c r="AF168" s="316"/>
      <c r="AG168" s="316"/>
      <c r="AH168" s="171"/>
      <c r="AI168" s="245"/>
      <c r="AJ168" s="245" t="s">
        <v>448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393</v>
      </c>
      <c r="AB169" s="316" t="s">
        <v>449</v>
      </c>
      <c r="AC169" s="317" t="s">
        <v>441</v>
      </c>
      <c r="AD169" s="317" t="s">
        <v>442</v>
      </c>
      <c r="AE169" s="316" t="str">
        <f t="shared" si="34"/>
        <v>DAYNITE</v>
      </c>
      <c r="AF169" s="316"/>
      <c r="AG169" s="316"/>
      <c r="AH169" s="171"/>
      <c r="AI169" s="245"/>
      <c r="AJ169" s="245" t="s">
        <v>450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6"/>
      <c r="AA170" s="316" t="s">
        <v>394</v>
      </c>
      <c r="AB170" s="316" t="s">
        <v>449</v>
      </c>
      <c r="AC170" s="317" t="s">
        <v>441</v>
      </c>
      <c r="AD170" s="317" t="s">
        <v>442</v>
      </c>
      <c r="AE170" s="316" t="str">
        <f t="shared" si="34"/>
        <v>DAYNITE</v>
      </c>
      <c r="AF170" s="316"/>
      <c r="AG170" s="316"/>
      <c r="AH170" s="171"/>
      <c r="AI170" s="245"/>
      <c r="AJ170" s="245" t="s">
        <v>451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6"/>
      <c r="AA171" s="316" t="s">
        <v>395</v>
      </c>
      <c r="AB171" s="316" t="s">
        <v>449</v>
      </c>
      <c r="AC171" s="317" t="s">
        <v>441</v>
      </c>
      <c r="AD171" s="317" t="s">
        <v>442</v>
      </c>
      <c r="AE171" s="316" t="str">
        <f t="shared" si="34"/>
        <v>DAYNITE</v>
      </c>
      <c r="AF171" s="316"/>
      <c r="AG171" s="316"/>
      <c r="AH171" s="171"/>
      <c r="AI171" s="245"/>
      <c r="AJ171" s="245" t="s">
        <v>452</v>
      </c>
      <c r="AK171" s="245"/>
      <c r="AL171" s="245"/>
      <c r="AM171" s="245"/>
      <c r="AN171" s="245" t="s">
        <v>253</v>
      </c>
      <c r="AO171" s="245"/>
      <c r="AP171" s="245"/>
      <c r="AQ171" s="245" t="s">
        <v>313</v>
      </c>
    </row>
    <row r="172" ht="14.5" spans="2:60">
      <c r="B172" s="304"/>
      <c r="C172" s="304" t="s">
        <v>199</v>
      </c>
      <c r="D172" s="304"/>
      <c r="E172" s="245"/>
      <c r="Y172"/>
      <c r="Z172" s="316"/>
      <c r="AA172" s="316" t="s">
        <v>396</v>
      </c>
      <c r="AB172" s="316" t="s">
        <v>453</v>
      </c>
      <c r="AC172" s="317" t="s">
        <v>441</v>
      </c>
      <c r="AD172" s="317" t="s">
        <v>442</v>
      </c>
      <c r="AE172" s="316" t="str">
        <f t="shared" si="34"/>
        <v>DAYNITE</v>
      </c>
      <c r="AF172" s="316"/>
      <c r="AG172" s="316"/>
      <c r="AH172" s="192"/>
      <c r="AI172" s="245"/>
      <c r="AJ172" s="245" t="s">
        <v>445</v>
      </c>
      <c r="AK172" s="245"/>
      <c r="AL172" s="245"/>
      <c r="AM172" s="245"/>
      <c r="AN172" s="245" t="s">
        <v>253</v>
      </c>
      <c r="AO172" s="245"/>
      <c r="AP172" s="245"/>
      <c r="AQ172" s="245" t="s">
        <v>313</v>
      </c>
    </row>
    <row r="173" ht="16" spans="2:60">
      <c r="B173" s="304" t="s">
        <v>257</v>
      </c>
      <c r="C173" s="304" t="s">
        <v>194</v>
      </c>
      <c r="D173" s="304" t="s">
        <v>76</v>
      </c>
      <c r="E173" s="245" t="s">
        <v>73</v>
      </c>
      <c r="F173" s="178" t="s">
        <v>454</v>
      </c>
      <c r="G173" s="171" t="s">
        <v>200</v>
      </c>
      <c r="I173" s="319" t="s">
        <v>455</v>
      </c>
      <c r="Y173"/>
      <c r="Z173" s="316"/>
      <c r="AA173" s="316" t="s">
        <v>397</v>
      </c>
      <c r="AB173" s="316" t="s">
        <v>453</v>
      </c>
      <c r="AC173" s="317" t="s">
        <v>441</v>
      </c>
      <c r="AD173" s="317" t="s">
        <v>442</v>
      </c>
      <c r="AE173" s="316" t="str">
        <f t="shared" ref="AE173:AE178" si="35">AE172</f>
        <v>DAYNITE</v>
      </c>
      <c r="AF173" s="316"/>
      <c r="AG173" s="316"/>
      <c r="AH173" s="192"/>
      <c r="AI173" s="245"/>
      <c r="AJ173" s="245" t="s">
        <v>446</v>
      </c>
      <c r="AK173" s="245"/>
      <c r="AL173" s="245"/>
      <c r="AM173" s="245"/>
      <c r="AN173" s="245" t="s">
        <v>253</v>
      </c>
      <c r="AO173" s="245"/>
      <c r="AP173" s="245"/>
      <c r="AQ173" s="245" t="s">
        <v>313</v>
      </c>
    </row>
    <row r="174" ht="14.5" spans="2:60">
      <c r="B174" s="304" t="s">
        <v>456</v>
      </c>
      <c r="C174" s="304" t="s">
        <v>445</v>
      </c>
      <c r="D174" s="304" t="s">
        <v>370</v>
      </c>
      <c r="E174" s="245">
        <v>1</v>
      </c>
      <c r="F174" s="171">
        <v>2</v>
      </c>
      <c r="G174" s="171">
        <v>1</v>
      </c>
      <c r="Y174"/>
      <c r="Z174" s="316"/>
      <c r="AA174" s="316" t="s">
        <v>398</v>
      </c>
      <c r="AB174" s="316" t="s">
        <v>453</v>
      </c>
      <c r="AC174" s="317" t="s">
        <v>441</v>
      </c>
      <c r="AD174" s="317" t="s">
        <v>442</v>
      </c>
      <c r="AE174" s="316" t="str">
        <f t="shared" si="35"/>
        <v>DAYNITE</v>
      </c>
      <c r="AF174" s="316"/>
      <c r="AG174" s="316"/>
      <c r="AH174" s="192"/>
      <c r="AI174" s="245"/>
      <c r="AJ174" s="245" t="s">
        <v>447</v>
      </c>
      <c r="AK174" s="245"/>
      <c r="AL174" s="245"/>
      <c r="AM174" s="245"/>
      <c r="AN174" s="245" t="s">
        <v>253</v>
      </c>
      <c r="AO174" s="245"/>
      <c r="AP174" s="245"/>
      <c r="AQ174" s="245" t="s">
        <v>313</v>
      </c>
    </row>
    <row r="175" ht="14.5" spans="2:60">
      <c r="B175" s="304" t="s">
        <v>457</v>
      </c>
      <c r="C175" s="304" t="s">
        <v>446</v>
      </c>
      <c r="D175" s="304" t="s">
        <v>371</v>
      </c>
      <c r="E175" s="245">
        <v>1</v>
      </c>
      <c r="F175" s="171">
        <v>2</v>
      </c>
      <c r="G175" s="171">
        <v>1</v>
      </c>
      <c r="Y175"/>
      <c r="Z175" s="316"/>
      <c r="AA175" s="316" t="s">
        <v>399</v>
      </c>
      <c r="AB175" s="316" t="s">
        <v>453</v>
      </c>
      <c r="AC175" s="317" t="s">
        <v>441</v>
      </c>
      <c r="AD175" s="317" t="s">
        <v>442</v>
      </c>
      <c r="AE175" s="316" t="str">
        <f t="shared" si="35"/>
        <v>DAYNITE</v>
      </c>
      <c r="AF175" s="316"/>
      <c r="AG175" s="316"/>
      <c r="AI175" s="245"/>
      <c r="AJ175" s="245" t="s">
        <v>448</v>
      </c>
      <c r="AK175" s="245"/>
      <c r="AL175" s="245"/>
      <c r="AM175" s="245"/>
      <c r="AN175" s="245" t="s">
        <v>253</v>
      </c>
      <c r="AO175" s="245"/>
      <c r="AP175" s="245"/>
      <c r="AQ175" s="245" t="s">
        <v>313</v>
      </c>
    </row>
    <row r="176" ht="14.5" spans="2:60">
      <c r="B176" s="304" t="s">
        <v>458</v>
      </c>
      <c r="C176" s="304" t="s">
        <v>447</v>
      </c>
      <c r="D176" s="304" t="s">
        <v>372</v>
      </c>
      <c r="E176" s="245">
        <v>1</v>
      </c>
      <c r="F176" s="171">
        <v>2</v>
      </c>
      <c r="G176" s="171">
        <v>1</v>
      </c>
      <c r="Y176"/>
      <c r="Z176" s="316"/>
      <c r="AA176" s="316" t="s">
        <v>400</v>
      </c>
      <c r="AB176" s="316" t="s">
        <v>453</v>
      </c>
      <c r="AC176" s="317" t="s">
        <v>441</v>
      </c>
      <c r="AD176" s="317" t="s">
        <v>442</v>
      </c>
      <c r="AE176" s="316" t="str">
        <f t="shared" si="35"/>
        <v>DAYNITE</v>
      </c>
      <c r="AF176" s="316"/>
      <c r="AG176" s="316"/>
      <c r="AI176" s="245"/>
      <c r="AJ176" s="245" t="s">
        <v>450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4" t="s">
        <v>459</v>
      </c>
      <c r="C177" s="304" t="s">
        <v>448</v>
      </c>
      <c r="D177" s="304" t="s">
        <v>373</v>
      </c>
      <c r="E177" s="245">
        <v>1</v>
      </c>
      <c r="F177" s="171">
        <v>2</v>
      </c>
      <c r="G177" s="171">
        <v>1</v>
      </c>
      <c r="Y177"/>
      <c r="Z177" s="316"/>
      <c r="AA177" s="316" t="s">
        <v>401</v>
      </c>
      <c r="AB177" s="316" t="s">
        <v>453</v>
      </c>
      <c r="AC177" s="317" t="s">
        <v>441</v>
      </c>
      <c r="AD177" s="317" t="s">
        <v>442</v>
      </c>
      <c r="AE177" s="316" t="str">
        <f t="shared" si="35"/>
        <v>DAYNITE</v>
      </c>
      <c r="AF177" s="316"/>
      <c r="AG177" s="316"/>
      <c r="AI177" s="245"/>
      <c r="AJ177" s="245" t="s">
        <v>451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4" t="s">
        <v>460</v>
      </c>
      <c r="C178" s="304" t="s">
        <v>450</v>
      </c>
      <c r="D178" s="304" t="s">
        <v>374</v>
      </c>
      <c r="E178" s="245">
        <v>1</v>
      </c>
      <c r="F178" s="171">
        <v>2</v>
      </c>
      <c r="G178" s="171">
        <v>1</v>
      </c>
      <c r="Y178"/>
      <c r="Z178" s="316"/>
      <c r="AA178" s="316" t="s">
        <v>402</v>
      </c>
      <c r="AB178" s="316" t="s">
        <v>453</v>
      </c>
      <c r="AC178" s="317" t="s">
        <v>441</v>
      </c>
      <c r="AD178" s="317" t="s">
        <v>442</v>
      </c>
      <c r="AE178" s="316" t="str">
        <f t="shared" si="35"/>
        <v>DAYNITE</v>
      </c>
      <c r="AF178" s="316"/>
      <c r="AG178" s="316"/>
      <c r="AI178" s="245"/>
      <c r="AJ178" s="245" t="s">
        <v>452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4" t="s">
        <v>461</v>
      </c>
      <c r="C179" s="304" t="s">
        <v>451</v>
      </c>
      <c r="D179" s="304" t="s">
        <v>375</v>
      </c>
      <c r="E179" s="245">
        <v>1</v>
      </c>
      <c r="F179" s="171">
        <v>2</v>
      </c>
      <c r="G179" s="171">
        <v>1</v>
      </c>
      <c r="Y179"/>
      <c r="Z179" s="316"/>
      <c r="AA179" s="316" t="s">
        <v>366</v>
      </c>
      <c r="AB179" s="316"/>
      <c r="AC179" s="316"/>
      <c r="AD179" s="316"/>
      <c r="AE179" s="316"/>
      <c r="AF179" s="316"/>
      <c r="AG179" s="316"/>
      <c r="AI179" s="245"/>
      <c r="AJ179" s="245" t="s">
        <v>359</v>
      </c>
      <c r="AK179" s="245"/>
      <c r="AL179" s="245"/>
      <c r="AM179" s="245"/>
      <c r="AN179" s="245" t="s">
        <v>253</v>
      </c>
      <c r="AO179" s="245"/>
      <c r="AP179" s="245"/>
      <c r="AQ179" s="245" t="s">
        <v>313</v>
      </c>
    </row>
    <row r="180" ht="14.5" spans="1:60">
      <c r="B180" s="304" t="s">
        <v>462</v>
      </c>
      <c r="C180" s="304" t="s">
        <v>452</v>
      </c>
      <c r="D180" s="304" t="s">
        <v>376</v>
      </c>
      <c r="E180" s="245">
        <v>1</v>
      </c>
      <c r="F180" s="171">
        <v>2</v>
      </c>
      <c r="G180" s="171">
        <v>1</v>
      </c>
      <c r="Y180"/>
      <c r="Z180" s="316"/>
      <c r="AA180" s="316" t="s">
        <v>456</v>
      </c>
      <c r="AB180" s="316"/>
      <c r="AC180" s="317" t="s">
        <v>441</v>
      </c>
      <c r="AD180" s="317" t="s">
        <v>442</v>
      </c>
      <c r="AE180" s="316" t="s">
        <v>251</v>
      </c>
      <c r="AF180" s="316"/>
      <c r="AG180" s="316"/>
      <c r="AI180" s="245"/>
      <c r="AJ180" s="245" t="s">
        <v>360</v>
      </c>
      <c r="AK180" s="245"/>
      <c r="AL180" s="245"/>
      <c r="AM180" s="245"/>
      <c r="AN180" s="245" t="s">
        <v>253</v>
      </c>
      <c r="AO180" s="245"/>
      <c r="AP180" s="245"/>
      <c r="AQ180" s="245" t="s">
        <v>313</v>
      </c>
    </row>
    <row r="181" ht="14.5" spans="1:60">
      <c r="B181" s="304" t="s">
        <v>463</v>
      </c>
      <c r="C181" s="304" t="s">
        <v>445</v>
      </c>
      <c r="D181" s="304" t="s">
        <v>359</v>
      </c>
      <c r="E181" s="245">
        <v>1</v>
      </c>
      <c r="F181" s="171">
        <v>0</v>
      </c>
      <c r="G181" s="171">
        <v>1</v>
      </c>
      <c r="Y181"/>
      <c r="Z181" s="316"/>
      <c r="AA181" s="316" t="s">
        <v>457</v>
      </c>
      <c r="AB181" s="316"/>
      <c r="AC181" s="317" t="s">
        <v>441</v>
      </c>
      <c r="AD181" s="317" t="s">
        <v>442</v>
      </c>
      <c r="AE181" s="316" t="s">
        <v>251</v>
      </c>
      <c r="AF181" s="316"/>
      <c r="AG181" s="316"/>
      <c r="AI181" s="245"/>
      <c r="AJ181" s="245" t="s">
        <v>361</v>
      </c>
      <c r="AK181" s="245"/>
      <c r="AL181" s="245"/>
      <c r="AM181" s="245"/>
      <c r="AN181" s="245" t="s">
        <v>253</v>
      </c>
      <c r="AO181" s="245"/>
      <c r="AP181" s="245"/>
      <c r="AQ181" s="245" t="s">
        <v>313</v>
      </c>
    </row>
    <row r="182" ht="14.5" spans="1:60">
      <c r="B182" s="304" t="s">
        <v>464</v>
      </c>
      <c r="C182" s="304" t="s">
        <v>446</v>
      </c>
      <c r="D182" s="304" t="s">
        <v>360</v>
      </c>
      <c r="E182" s="245">
        <v>1</v>
      </c>
      <c r="F182" s="171">
        <v>0</v>
      </c>
      <c r="G182" s="171">
        <v>1</v>
      </c>
      <c r="Y182"/>
      <c r="Z182" s="316"/>
      <c r="AA182" s="316" t="s">
        <v>458</v>
      </c>
      <c r="AB182" s="316"/>
      <c r="AC182" s="317" t="s">
        <v>441</v>
      </c>
      <c r="AD182" s="317" t="s">
        <v>442</v>
      </c>
      <c r="AE182" s="316" t="s">
        <v>251</v>
      </c>
      <c r="AF182" s="316"/>
      <c r="AG182" s="316"/>
      <c r="AI182" s="245"/>
      <c r="AJ182" s="245" t="s">
        <v>362</v>
      </c>
      <c r="AK182" s="245"/>
      <c r="AL182" s="245"/>
      <c r="AM182" s="245"/>
      <c r="AN182" s="245" t="s">
        <v>253</v>
      </c>
      <c r="AO182" s="245"/>
      <c r="AP182" s="245"/>
      <c r="AQ182" s="245" t="s">
        <v>313</v>
      </c>
    </row>
    <row r="183" ht="14.5" spans="1:60">
      <c r="B183" s="304" t="s">
        <v>465</v>
      </c>
      <c r="C183" s="304" t="s">
        <v>447</v>
      </c>
      <c r="D183" s="304" t="s">
        <v>361</v>
      </c>
      <c r="E183" s="245">
        <v>1</v>
      </c>
      <c r="F183" s="171">
        <v>0</v>
      </c>
      <c r="G183" s="171">
        <v>1</v>
      </c>
      <c r="Y183"/>
      <c r="Z183" s="316"/>
      <c r="AA183" s="316" t="s">
        <v>459</v>
      </c>
      <c r="AB183" s="316"/>
      <c r="AC183" s="317" t="s">
        <v>441</v>
      </c>
      <c r="AD183" s="317" t="s">
        <v>442</v>
      </c>
      <c r="AE183" s="316" t="s">
        <v>251</v>
      </c>
      <c r="AF183" s="316"/>
      <c r="AG183" s="316"/>
      <c r="AI183" s="245"/>
      <c r="AJ183" s="245" t="s">
        <v>363</v>
      </c>
      <c r="AK183" s="245"/>
      <c r="AL183" s="245"/>
      <c r="AM183" s="245"/>
      <c r="AN183" s="245" t="s">
        <v>253</v>
      </c>
      <c r="AO183" s="245"/>
      <c r="AP183" s="245"/>
      <c r="AQ183" s="245" t="s">
        <v>313</v>
      </c>
    </row>
    <row r="184" ht="14.5" spans="1:60">
      <c r="B184" s="304" t="s">
        <v>466</v>
      </c>
      <c r="C184" s="304" t="s">
        <v>448</v>
      </c>
      <c r="D184" s="304" t="s">
        <v>362</v>
      </c>
      <c r="E184" s="245">
        <v>1</v>
      </c>
      <c r="F184" s="171">
        <v>0</v>
      </c>
      <c r="G184" s="171">
        <v>1</v>
      </c>
      <c r="Y184"/>
      <c r="Z184" s="316"/>
      <c r="AA184" s="316" t="s">
        <v>460</v>
      </c>
      <c r="AB184" s="316"/>
      <c r="AC184" s="317" t="s">
        <v>441</v>
      </c>
      <c r="AD184" s="317" t="s">
        <v>442</v>
      </c>
      <c r="AE184" s="316" t="s">
        <v>251</v>
      </c>
      <c r="AF184" s="316"/>
      <c r="AG184" s="316"/>
      <c r="AI184" s="245"/>
      <c r="AJ184" s="245" t="s">
        <v>364</v>
      </c>
      <c r="AK184" s="245"/>
      <c r="AL184" s="245"/>
      <c r="AM184" s="245"/>
      <c r="AN184" s="245" t="s">
        <v>253</v>
      </c>
      <c r="AO184" s="245"/>
      <c r="AP184" s="245"/>
      <c r="AQ184" s="245" t="s">
        <v>313</v>
      </c>
    </row>
    <row r="185" ht="14.5" spans="1:60">
      <c r="B185" s="304" t="s">
        <v>467</v>
      </c>
      <c r="C185" s="304" t="s">
        <v>450</v>
      </c>
      <c r="D185" s="304" t="s">
        <v>363</v>
      </c>
      <c r="E185" s="245">
        <v>1</v>
      </c>
      <c r="F185" s="171">
        <v>0</v>
      </c>
      <c r="G185" s="171">
        <v>1</v>
      </c>
      <c r="Y185"/>
      <c r="Z185" s="316"/>
      <c r="AA185" s="316" t="s">
        <v>461</v>
      </c>
      <c r="AB185" s="316"/>
      <c r="AC185" s="317" t="s">
        <v>441</v>
      </c>
      <c r="AD185" s="317" t="s">
        <v>442</v>
      </c>
      <c r="AE185" s="316" t="s">
        <v>251</v>
      </c>
      <c r="AF185" s="316"/>
      <c r="AG185" s="316"/>
      <c r="AI185" s="320"/>
      <c r="AJ185" s="320" t="s">
        <v>365</v>
      </c>
      <c r="AK185" s="245"/>
      <c r="AL185" s="245"/>
      <c r="AM185" s="245"/>
      <c r="AN185" s="245" t="s">
        <v>253</v>
      </c>
      <c r="AO185" s="245"/>
      <c r="AP185" s="245"/>
      <c r="AQ185" s="320" t="s">
        <v>313</v>
      </c>
    </row>
    <row r="186" ht="14.5" spans="1:60">
      <c r="B186" s="304" t="s">
        <v>468</v>
      </c>
      <c r="C186" s="304" t="s">
        <v>451</v>
      </c>
      <c r="D186" s="304" t="s">
        <v>364</v>
      </c>
      <c r="E186" s="245">
        <v>1</v>
      </c>
      <c r="F186" s="171">
        <v>0</v>
      </c>
      <c r="G186" s="171">
        <v>1</v>
      </c>
      <c r="Y186"/>
      <c r="Z186" s="316"/>
      <c r="AA186" s="316" t="s">
        <v>462</v>
      </c>
      <c r="AB186" s="316"/>
      <c r="AC186" s="317" t="s">
        <v>441</v>
      </c>
      <c r="AD186" s="317" t="s">
        <v>442</v>
      </c>
      <c r="AE186" s="316" t="s">
        <v>251</v>
      </c>
      <c r="AF186" s="316"/>
      <c r="AG186" s="316"/>
      <c r="AJ186"/>
      <c r="AK186"/>
      <c r="AL186"/>
      <c r="AM186"/>
      <c r="AN186"/>
      <c r="AO186"/>
      <c r="AP186"/>
      <c r="AQ186"/>
    </row>
    <row r="187" ht="14.5" spans="1:60">
      <c r="B187" s="304" t="s">
        <v>469</v>
      </c>
      <c r="C187" s="304" t="s">
        <v>452</v>
      </c>
      <c r="D187" s="304" t="s">
        <v>365</v>
      </c>
      <c r="E187" s="245">
        <v>1</v>
      </c>
      <c r="F187" s="171">
        <v>0</v>
      </c>
      <c r="G187" s="171">
        <v>1</v>
      </c>
      <c r="Y187"/>
      <c r="Z187" s="316"/>
      <c r="AA187" s="316" t="s">
        <v>463</v>
      </c>
      <c r="AB187" s="316"/>
      <c r="AC187" s="317" t="s">
        <v>441</v>
      </c>
      <c r="AD187" s="317" t="s">
        <v>442</v>
      </c>
      <c r="AE187" s="316" t="s">
        <v>251</v>
      </c>
      <c r="AF187" s="316"/>
      <c r="AG187" s="316"/>
      <c r="AJ187"/>
      <c r="AK187"/>
      <c r="AL187"/>
      <c r="AM187"/>
      <c r="AN187"/>
      <c r="AO187"/>
      <c r="AP187"/>
      <c r="AQ187"/>
    </row>
    <row r="188" ht="14.5" spans="1:60">
      <c r="Y188"/>
      <c r="Z188" s="316"/>
      <c r="AA188" s="316" t="s">
        <v>464</v>
      </c>
      <c r="AB188" s="316"/>
      <c r="AC188" s="317" t="s">
        <v>441</v>
      </c>
      <c r="AD188" s="317" t="s">
        <v>442</v>
      </c>
      <c r="AE188" s="316" t="s">
        <v>251</v>
      </c>
      <c r="AF188" s="316"/>
      <c r="AG188" s="316"/>
      <c r="AH188" s="192"/>
      <c r="AJ188"/>
      <c r="AK188"/>
      <c r="AL188"/>
      <c r="AM188"/>
      <c r="AN188"/>
      <c r="AO188"/>
      <c r="AP188"/>
      <c r="AQ188"/>
    </row>
    <row r="189" ht="14.5" spans="1:60">
      <c r="Y189"/>
      <c r="Z189" s="316"/>
      <c r="AA189" s="316" t="s">
        <v>465</v>
      </c>
      <c r="AB189" s="316"/>
      <c r="AC189" s="317" t="s">
        <v>441</v>
      </c>
      <c r="AD189" s="317" t="s">
        <v>442</v>
      </c>
      <c r="AE189" s="316" t="s">
        <v>251</v>
      </c>
      <c r="AF189" s="316"/>
      <c r="AG189" s="316"/>
      <c r="AJ189"/>
      <c r="AK189"/>
      <c r="AL189"/>
      <c r="AM189"/>
      <c r="AN189"/>
      <c r="AO189"/>
      <c r="AP189"/>
      <c r="AQ189"/>
    </row>
    <row r="190" ht="27.5" spans="1:60">
      <c r="A190" s="247"/>
      <c r="Y190"/>
      <c r="Z190" s="316"/>
      <c r="AA190" s="316" t="s">
        <v>466</v>
      </c>
      <c r="AB190" s="316"/>
      <c r="AC190" s="317" t="s">
        <v>441</v>
      </c>
      <c r="AD190" s="317" t="s">
        <v>442</v>
      </c>
      <c r="AE190" s="316" t="s">
        <v>251</v>
      </c>
      <c r="AF190" s="316"/>
      <c r="AG190" s="317"/>
      <c r="AJ190"/>
      <c r="AK190"/>
      <c r="AL190"/>
      <c r="AM190"/>
      <c r="AN190"/>
      <c r="AO190"/>
      <c r="AP190"/>
      <c r="AQ190"/>
    </row>
    <row r="191" ht="14.5" spans="1:60">
      <c r="Y191"/>
      <c r="Z191" s="316"/>
      <c r="AA191" s="316" t="s">
        <v>467</v>
      </c>
      <c r="AB191" s="316"/>
      <c r="AC191" s="317" t="s">
        <v>441</v>
      </c>
      <c r="AD191" s="317" t="s">
        <v>442</v>
      </c>
      <c r="AE191" s="316" t="s">
        <v>251</v>
      </c>
      <c r="AF191" s="316"/>
      <c r="AG191" s="316"/>
      <c r="AJ191"/>
      <c r="AK191"/>
      <c r="AL191"/>
      <c r="AM191"/>
      <c r="AN191"/>
      <c r="AO191"/>
      <c r="AP191"/>
      <c r="AQ191"/>
    </row>
    <row r="192" ht="14.5" spans="1:60">
      <c r="X192" s="192"/>
      <c r="Y192"/>
      <c r="Z192" s="316"/>
      <c r="AA192" s="316" t="s">
        <v>468</v>
      </c>
      <c r="AB192" s="316"/>
      <c r="AC192" s="317" t="s">
        <v>441</v>
      </c>
      <c r="AD192" s="317" t="s">
        <v>442</v>
      </c>
      <c r="AE192" s="316" t="s">
        <v>251</v>
      </c>
      <c r="AF192" s="316"/>
      <c r="AG192" s="316"/>
      <c r="AJ192"/>
      <c r="AK192"/>
      <c r="AL192"/>
      <c r="AM192"/>
      <c r="AN192"/>
      <c r="AO192"/>
      <c r="AP192"/>
      <c r="AQ192"/>
      <c r="AR192" s="192"/>
      <c r="BB192" s="192"/>
    </row>
    <row r="193" ht="14.5" spans="1:53">
      <c r="Z193" s="316"/>
      <c r="AA193" s="316" t="s">
        <v>469</v>
      </c>
      <c r="AB193" s="316"/>
      <c r="AC193" s="317" t="s">
        <v>441</v>
      </c>
      <c r="AD193" s="317" t="s">
        <v>442</v>
      </c>
      <c r="AE193" s="316" t="s">
        <v>251</v>
      </c>
      <c r="AF193" s="316"/>
      <c r="AG193" s="316"/>
    </row>
    <row r="194" ht="23" spans="1:53">
      <c r="A194" s="248"/>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5" t="s">
        <v>473</v>
      </c>
      <c r="AT212" s="321"/>
      <c r="AU212" s="321"/>
      <c r="AV212" s="245"/>
      <c r="AW212" s="245"/>
      <c r="AX212" s="245"/>
      <c r="AY212" s="245"/>
      <c r="AZ212" s="245"/>
      <c r="BA212" s="245"/>
      <c r="BB212" s="316"/>
      <c r="BC212" s="245" t="s">
        <v>473</v>
      </c>
      <c r="BD212" s="321"/>
      <c r="BE212" s="321"/>
      <c r="BF212" s="245"/>
      <c r="BG212" s="245"/>
      <c r="BH212" s="245"/>
      <c r="BI212" s="245"/>
      <c r="BJ212" s="245"/>
      <c r="BK212" s="245"/>
      <c r="BL212" s="245"/>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A213" s="245" t="s">
        <v>199</v>
      </c>
      <c r="AB213" s="245"/>
      <c r="AC213" s="245"/>
      <c r="AD213" s="322"/>
      <c r="AE213" s="262"/>
      <c r="AF213" s="262"/>
      <c r="AH213" s="220"/>
      <c r="AI213" s="220" t="s">
        <v>475</v>
      </c>
      <c r="AJ213" s="220" t="s">
        <v>476</v>
      </c>
      <c r="AK213" s="220" t="s">
        <v>477</v>
      </c>
      <c r="AL213" s="220" t="s">
        <v>478</v>
      </c>
      <c r="AM213" s="263" t="s">
        <v>479</v>
      </c>
      <c r="AN213" s="220" t="s">
        <v>480</v>
      </c>
      <c r="AO213" s="220" t="s">
        <v>349</v>
      </c>
      <c r="AP213" s="220" t="s">
        <v>481</v>
      </c>
      <c r="AQ213" s="251"/>
      <c r="AS213" s="245" t="s">
        <v>257</v>
      </c>
      <c r="AT213" s="245" t="s">
        <v>292</v>
      </c>
      <c r="AU213" s="245" t="s">
        <v>299</v>
      </c>
      <c r="AV213" s="245" t="s">
        <v>301</v>
      </c>
      <c r="AW213" s="245" t="s">
        <v>303</v>
      </c>
      <c r="AX213" s="245" t="s">
        <v>306</v>
      </c>
      <c r="AY213" s="245" t="s">
        <v>308</v>
      </c>
      <c r="AZ213" s="245" t="s">
        <v>310</v>
      </c>
      <c r="BA213" s="245" t="s">
        <v>418</v>
      </c>
      <c r="BB213" s="316"/>
      <c r="BC213" s="245" t="s">
        <v>257</v>
      </c>
      <c r="BD213" s="245" t="s">
        <v>292</v>
      </c>
      <c r="BE213" s="245" t="s">
        <v>299</v>
      </c>
      <c r="BF213" s="245" t="s">
        <v>301</v>
      </c>
      <c r="BG213" s="245" t="s">
        <v>303</v>
      </c>
      <c r="BH213" s="245" t="s">
        <v>306</v>
      </c>
      <c r="BI213" s="245" t="s">
        <v>308</v>
      </c>
      <c r="BJ213" s="245" t="s">
        <v>310</v>
      </c>
      <c r="BK213" s="245" t="s">
        <v>418</v>
      </c>
      <c r="BL213" s="245" t="s">
        <v>424</v>
      </c>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323" t="str">
        <f>B214</f>
        <v>process</v>
      </c>
      <c r="AB214" s="321" t="s">
        <v>194</v>
      </c>
      <c r="AC214" s="321" t="s">
        <v>76</v>
      </c>
      <c r="AD214" s="324" t="s">
        <v>73</v>
      </c>
      <c r="AE214" s="257"/>
      <c r="AF214" s="257"/>
      <c r="AH214" s="265" t="s">
        <v>485</v>
      </c>
      <c r="AI214" s="220">
        <v>0</v>
      </c>
      <c r="AJ214" s="220">
        <v>0.98</v>
      </c>
      <c r="AK214" s="220">
        <v>0.9</v>
      </c>
      <c r="AL214" s="220">
        <v>0</v>
      </c>
      <c r="AM214" s="220">
        <v>0</v>
      </c>
      <c r="AN214" s="220">
        <v>0.9</v>
      </c>
      <c r="AO214" s="220">
        <v>0</v>
      </c>
      <c r="AP214" s="220">
        <v>0.9</v>
      </c>
      <c r="AQ214" s="251"/>
      <c r="AS214" s="245" t="s">
        <v>380</v>
      </c>
      <c r="AT214" s="245">
        <f>D263/AD215</f>
        <v>0</v>
      </c>
      <c r="AU214" s="245">
        <f>E263/AD215</f>
        <v>0</v>
      </c>
      <c r="AV214" s="245">
        <f>F263/AD215</f>
        <v>0</v>
      </c>
      <c r="AW214" s="245">
        <f>G263/AD215</f>
        <v>0</v>
      </c>
      <c r="AX214" s="245">
        <f>H263/AD215</f>
        <v>0</v>
      </c>
      <c r="AY214" s="245">
        <f>I263/AD215</f>
        <v>1</v>
      </c>
      <c r="AZ214" s="245">
        <f>J263/AD215</f>
        <v>0</v>
      </c>
      <c r="BA214" s="245" t="s">
        <v>327</v>
      </c>
      <c r="BB214" s="316"/>
      <c r="BC214" s="245" t="s">
        <v>380</v>
      </c>
      <c r="BD214" s="245">
        <v>5</v>
      </c>
      <c r="BE214" s="245">
        <v>5</v>
      </c>
      <c r="BF214" s="245">
        <v>5</v>
      </c>
      <c r="BG214" s="245">
        <v>5</v>
      </c>
      <c r="BH214" s="245">
        <v>5</v>
      </c>
      <c r="BI214" s="245">
        <v>5</v>
      </c>
      <c r="BJ214" s="245">
        <v>5</v>
      </c>
      <c r="BK214" s="245" t="s">
        <v>327</v>
      </c>
      <c r="BL214" s="245">
        <v>0</v>
      </c>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4" t="str">
        <f>B216</f>
        <v>PyroRecy-LFP</v>
      </c>
      <c r="AB215" s="304" t="s">
        <v>370</v>
      </c>
      <c r="AC215" s="245" t="s">
        <v>486</v>
      </c>
      <c r="AD215" s="325">
        <f>SUM(D263:J263)</f>
        <v>0.8514</v>
      </c>
      <c r="AE215" s="269"/>
      <c r="AF215" s="269"/>
      <c r="AH215" s="220"/>
      <c r="AI215" s="220">
        <f t="shared" ref="AI215:AN215" si="36">AI214</f>
        <v>0</v>
      </c>
      <c r="AJ215" s="220">
        <f t="shared" si="36"/>
        <v>0.98</v>
      </c>
      <c r="AK215" s="220">
        <f t="shared" si="36"/>
        <v>0.9</v>
      </c>
      <c r="AL215" s="220">
        <f t="shared" si="36"/>
        <v>0</v>
      </c>
      <c r="AM215" s="220">
        <f t="shared" si="36"/>
        <v>0</v>
      </c>
      <c r="AN215" s="220">
        <f t="shared" si="36"/>
        <v>0.9</v>
      </c>
      <c r="AO215" s="220">
        <v>0</v>
      </c>
      <c r="AP215" s="220">
        <f t="shared" ref="AP215:AP220" si="37">AP214</f>
        <v>0.9</v>
      </c>
      <c r="AQ215" s="251"/>
      <c r="AS215" s="245" t="s">
        <v>382</v>
      </c>
      <c r="AT215" s="245">
        <f t="shared" ref="AT215:AT234" si="38">D264/AD216</f>
        <v>0</v>
      </c>
      <c r="AU215" s="245">
        <f t="shared" ref="AU215:AU234" si="39">E264/AD216</f>
        <v>0</v>
      </c>
      <c r="AV215" s="245">
        <f t="shared" ref="AV215:AV234" si="40">F264/AD216</f>
        <v>0</v>
      </c>
      <c r="AW215" s="245">
        <f t="shared" ref="AW215:AW234" si="41">G264/AD216</f>
        <v>0</v>
      </c>
      <c r="AX215" s="245">
        <f t="shared" ref="AX215:AX234" si="42">H264/AD216</f>
        <v>0</v>
      </c>
      <c r="AY215" s="245">
        <f t="shared" ref="AY215:AY234" si="43">I264/AD216</f>
        <v>1</v>
      </c>
      <c r="AZ215" s="245">
        <f t="shared" ref="AZ215:AZ234" si="44">J264/AD216</f>
        <v>0</v>
      </c>
      <c r="BA215" s="245" t="s">
        <v>327</v>
      </c>
      <c r="BB215" s="316"/>
      <c r="BC215" s="245" t="s">
        <v>382</v>
      </c>
      <c r="BD215" s="245">
        <v>5</v>
      </c>
      <c r="BE215" s="245">
        <v>5</v>
      </c>
      <c r="BF215" s="245">
        <v>5</v>
      </c>
      <c r="BG215" s="245">
        <v>5</v>
      </c>
      <c r="BH215" s="245">
        <v>5</v>
      </c>
      <c r="BI215" s="245">
        <v>5</v>
      </c>
      <c r="BJ215" s="245">
        <v>5</v>
      </c>
      <c r="BK215" s="245" t="s">
        <v>327</v>
      </c>
      <c r="BL215" s="245">
        <v>0</v>
      </c>
    </row>
    <row r="216" ht="20" spans="1:64">
      <c r="A216" s="266"/>
      <c r="B216" s="253" t="s">
        <v>380</v>
      </c>
      <c r="C216" s="253">
        <f>S216</f>
        <v>7.11384396954065</v>
      </c>
      <c r="D216" s="267">
        <f>P216</f>
        <v>5.40179852616065</v>
      </c>
      <c r="E216" s="267">
        <f>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5">AVERAGE(J216,M216,P216)</f>
        <v>7.11384396954065</v>
      </c>
      <c r="T216" s="236">
        <f t="shared" ref="T216:T222" si="46">AVERAGE(K216,N216,Q216)</f>
        <v>4.18384600835176</v>
      </c>
      <c r="U216" s="236">
        <f t="shared" ref="U216:U222" si="47">AVERAGE(L216,O216,R216)</f>
        <v>3.56556266273643</v>
      </c>
      <c r="W216" s="257"/>
      <c r="X216" s="269"/>
      <c r="Y216" s="269"/>
      <c r="Z216" s="269"/>
      <c r="AA216" s="304" t="str">
        <f t="shared" ref="AA216:AA235" si="48">B217</f>
        <v>PyroRecy-LMO</v>
      </c>
      <c r="AB216" s="304" t="s">
        <v>371</v>
      </c>
      <c r="AC216" s="245" t="s">
        <v>486</v>
      </c>
      <c r="AD216" s="325">
        <f t="shared" ref="AD216:AD235" si="49">SUM(D264:J264)</f>
        <v>0.7767</v>
      </c>
      <c r="AE216" s="269"/>
      <c r="AF216" s="269"/>
      <c r="AH216" s="220"/>
      <c r="AI216" s="220">
        <f t="shared" ref="AI216:AN216" si="50">AI215</f>
        <v>0</v>
      </c>
      <c r="AJ216" s="220">
        <f t="shared" si="50"/>
        <v>0.98</v>
      </c>
      <c r="AK216" s="220">
        <f t="shared" si="50"/>
        <v>0.9</v>
      </c>
      <c r="AL216" s="220">
        <f t="shared" si="50"/>
        <v>0</v>
      </c>
      <c r="AM216" s="220">
        <f t="shared" si="50"/>
        <v>0</v>
      </c>
      <c r="AN216" s="220">
        <f t="shared" si="50"/>
        <v>0.9</v>
      </c>
      <c r="AO216" s="220">
        <v>0</v>
      </c>
      <c r="AP216" s="220">
        <f t="shared" si="37"/>
        <v>0.9</v>
      </c>
      <c r="AQ216" s="251"/>
      <c r="AS216" s="245" t="s">
        <v>383</v>
      </c>
      <c r="AT216" s="245">
        <f t="shared" si="38"/>
        <v>0</v>
      </c>
      <c r="AU216" s="245">
        <f t="shared" si="39"/>
        <v>0.514315167986505</v>
      </c>
      <c r="AV216" s="245">
        <f t="shared" si="40"/>
        <v>0.0892647954641301</v>
      </c>
      <c r="AW216" s="245">
        <f t="shared" si="41"/>
        <v>0</v>
      </c>
      <c r="AX216" s="245">
        <f t="shared" si="42"/>
        <v>0</v>
      </c>
      <c r="AY216" s="245">
        <f t="shared" si="43"/>
        <v>0.396420036549365</v>
      </c>
      <c r="AZ216" s="245">
        <f t="shared" si="44"/>
        <v>0</v>
      </c>
      <c r="BA216" s="245" t="s">
        <v>327</v>
      </c>
      <c r="BB216" s="316"/>
      <c r="BC216" s="245" t="s">
        <v>383</v>
      </c>
      <c r="BD216" s="245">
        <v>5</v>
      </c>
      <c r="BE216" s="245">
        <v>5</v>
      </c>
      <c r="BF216" s="245">
        <v>5</v>
      </c>
      <c r="BG216" s="245">
        <v>5</v>
      </c>
      <c r="BH216" s="245">
        <v>5</v>
      </c>
      <c r="BI216" s="245">
        <v>5</v>
      </c>
      <c r="BJ216" s="245">
        <v>5</v>
      </c>
      <c r="BK216" s="245" t="s">
        <v>327</v>
      </c>
      <c r="BL216" s="245">
        <v>0</v>
      </c>
    </row>
    <row r="217" ht="20" spans="1:64">
      <c r="A217" s="270"/>
      <c r="B217" s="253" t="s">
        <v>382</v>
      </c>
      <c r="C217" s="253">
        <f t="shared" ref="C217:C222" si="51">S217</f>
        <v>7.11384396954065</v>
      </c>
      <c r="D217" s="267">
        <f t="shared" ref="D217:D222" si="52">P217</f>
        <v>5.40179852616065</v>
      </c>
      <c r="E217" s="267">
        <f t="shared" ref="E217:E222" si="53">J217</f>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5"/>
        <v>7.11384396954065</v>
      </c>
      <c r="T217" s="236">
        <f t="shared" si="46"/>
        <v>4.18384600835176</v>
      </c>
      <c r="U217" s="236">
        <f t="shared" si="47"/>
        <v>3.60087708179809</v>
      </c>
      <c r="W217" s="257"/>
      <c r="X217" s="269"/>
      <c r="Y217" s="269"/>
      <c r="Z217" s="269"/>
      <c r="AA217" s="304" t="str">
        <f t="shared" si="48"/>
        <v>PyroRecy-NCA</v>
      </c>
      <c r="AB217" s="304" t="s">
        <v>372</v>
      </c>
      <c r="AC217" s="245" t="s">
        <v>486</v>
      </c>
      <c r="AD217" s="325">
        <f t="shared" si="49"/>
        <v>1.28046</v>
      </c>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37"/>
        <v>0.9</v>
      </c>
      <c r="AQ217" s="251"/>
      <c r="AS217" s="245" t="s">
        <v>384</v>
      </c>
      <c r="AT217" s="245">
        <f t="shared" si="38"/>
        <v>0</v>
      </c>
      <c r="AU217" s="245">
        <f t="shared" si="39"/>
        <v>0.270833333333333</v>
      </c>
      <c r="AV217" s="245">
        <f t="shared" si="40"/>
        <v>0.249433106575964</v>
      </c>
      <c r="AW217" s="245">
        <f t="shared" si="41"/>
        <v>0</v>
      </c>
      <c r="AX217" s="245">
        <f t="shared" si="42"/>
        <v>0</v>
      </c>
      <c r="AY217" s="245">
        <f t="shared" si="43"/>
        <v>0.479733560090703</v>
      </c>
      <c r="AZ217" s="245">
        <f t="shared" si="44"/>
        <v>0</v>
      </c>
      <c r="BA217" s="245" t="s">
        <v>327</v>
      </c>
      <c r="BB217" s="316"/>
      <c r="BC217" s="245" t="s">
        <v>384</v>
      </c>
      <c r="BD217" s="245">
        <v>5</v>
      </c>
      <c r="BE217" s="245">
        <v>5</v>
      </c>
      <c r="BF217" s="245">
        <v>5</v>
      </c>
      <c r="BG217" s="245">
        <v>5</v>
      </c>
      <c r="BH217" s="245">
        <v>5</v>
      </c>
      <c r="BI217" s="245">
        <v>5</v>
      </c>
      <c r="BJ217" s="245">
        <v>5</v>
      </c>
      <c r="BK217" s="245" t="s">
        <v>327</v>
      </c>
      <c r="BL217" s="245">
        <v>0</v>
      </c>
    </row>
    <row r="218" ht="15.5" spans="1:64">
      <c r="B218" s="253" t="s">
        <v>383</v>
      </c>
      <c r="C218" s="253">
        <f t="shared" si="51"/>
        <v>7.62975445836404</v>
      </c>
      <c r="D218" s="267">
        <f t="shared" si="52"/>
        <v>5.79354797347089</v>
      </c>
      <c r="E218" s="267">
        <f t="shared" si="53"/>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5"/>
        <v>7.62975445836404</v>
      </c>
      <c r="T218" s="236">
        <f t="shared" si="46"/>
        <v>4.18384600835176</v>
      </c>
      <c r="U218" s="236">
        <f t="shared" si="47"/>
        <v>3.56556266273643</v>
      </c>
      <c r="W218" s="257"/>
      <c r="X218" s="269"/>
      <c r="Y218" s="269"/>
      <c r="Z218" s="269"/>
      <c r="AA218" s="304" t="str">
        <f t="shared" si="48"/>
        <v>PyroRecy-NMC111</v>
      </c>
      <c r="AB218" s="304" t="s">
        <v>373</v>
      </c>
      <c r="AC218" s="245" t="s">
        <v>486</v>
      </c>
      <c r="AD218" s="325">
        <f t="shared" si="49"/>
        <v>1.27008</v>
      </c>
      <c r="AE218" s="269"/>
      <c r="AF218" s="269"/>
      <c r="AH218" s="220"/>
      <c r="AI218" s="220">
        <f t="shared" ref="AI218:AN218" si="55">AI217</f>
        <v>0</v>
      </c>
      <c r="AJ218" s="220">
        <f t="shared" si="55"/>
        <v>0.98</v>
      </c>
      <c r="AK218" s="220">
        <f t="shared" si="55"/>
        <v>0.9</v>
      </c>
      <c r="AL218" s="220">
        <f t="shared" si="55"/>
        <v>0</v>
      </c>
      <c r="AM218" s="220">
        <f t="shared" si="55"/>
        <v>0</v>
      </c>
      <c r="AN218" s="220">
        <f t="shared" si="55"/>
        <v>0.9</v>
      </c>
      <c r="AO218" s="220">
        <v>0</v>
      </c>
      <c r="AP218" s="220">
        <f t="shared" si="37"/>
        <v>0.9</v>
      </c>
      <c r="AQ218" s="251"/>
      <c r="AS218" s="245" t="s">
        <v>385</v>
      </c>
      <c r="AT218" s="245">
        <f t="shared" si="38"/>
        <v>0</v>
      </c>
      <c r="AU218" s="245">
        <f t="shared" si="39"/>
        <v>0.390052807245718</v>
      </c>
      <c r="AV218" s="245">
        <f t="shared" si="40"/>
        <v>0.143848817713149</v>
      </c>
      <c r="AW218" s="245">
        <f t="shared" si="41"/>
        <v>0</v>
      </c>
      <c r="AX218" s="245">
        <f t="shared" si="42"/>
        <v>0</v>
      </c>
      <c r="AY218" s="245">
        <f t="shared" si="43"/>
        <v>0.466098375041133</v>
      </c>
      <c r="AZ218" s="245">
        <f t="shared" si="44"/>
        <v>0</v>
      </c>
      <c r="BA218" s="245" t="s">
        <v>327</v>
      </c>
      <c r="BB218" s="316"/>
      <c r="BC218" s="245" t="s">
        <v>385</v>
      </c>
      <c r="BD218" s="245">
        <v>5</v>
      </c>
      <c r="BE218" s="245">
        <v>5</v>
      </c>
      <c r="BF218" s="245">
        <v>5</v>
      </c>
      <c r="BG218" s="245">
        <v>5</v>
      </c>
      <c r="BH218" s="245">
        <v>5</v>
      </c>
      <c r="BI218" s="245">
        <v>5</v>
      </c>
      <c r="BJ218" s="245">
        <v>5</v>
      </c>
      <c r="BK218" s="245" t="s">
        <v>327</v>
      </c>
      <c r="BL218" s="245">
        <v>0</v>
      </c>
    </row>
    <row r="219" ht="15.5" spans="1:64">
      <c r="B219" s="253" t="s">
        <v>384</v>
      </c>
      <c r="C219" s="253">
        <f t="shared" si="51"/>
        <v>7.47097081798084</v>
      </c>
      <c r="D219" s="267">
        <f t="shared" si="52"/>
        <v>5.67297781871776</v>
      </c>
      <c r="E219" s="267">
        <f t="shared" si="53"/>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5"/>
        <v>7.47097081798084</v>
      </c>
      <c r="T219" s="236">
        <f t="shared" si="46"/>
        <v>4.18384600835176</v>
      </c>
      <c r="U219" s="236">
        <f t="shared" si="47"/>
        <v>3.56645369688037</v>
      </c>
      <c r="W219" s="257"/>
      <c r="X219" s="269"/>
      <c r="Y219" s="269"/>
      <c r="Z219" s="269"/>
      <c r="AA219" s="304" t="str">
        <f t="shared" si="48"/>
        <v>PyroRecy-NMC532</v>
      </c>
      <c r="AB219" s="304" t="s">
        <v>374</v>
      </c>
      <c r="AC219" s="245" t="s">
        <v>486</v>
      </c>
      <c r="AD219" s="325">
        <f t="shared" si="49"/>
        <v>1.27634</v>
      </c>
      <c r="AE219" s="269"/>
      <c r="AF219" s="269"/>
      <c r="AH219" s="220"/>
      <c r="AI219" s="220">
        <f t="shared" ref="AI219:AN219" si="56">AI218</f>
        <v>0</v>
      </c>
      <c r="AJ219" s="220">
        <f t="shared" si="56"/>
        <v>0.98</v>
      </c>
      <c r="AK219" s="220">
        <f t="shared" si="56"/>
        <v>0.9</v>
      </c>
      <c r="AL219" s="220">
        <f t="shared" si="56"/>
        <v>0</v>
      </c>
      <c r="AM219" s="220">
        <f t="shared" si="56"/>
        <v>0</v>
      </c>
      <c r="AN219" s="220">
        <f t="shared" si="56"/>
        <v>0.9</v>
      </c>
      <c r="AO219" s="220">
        <v>0</v>
      </c>
      <c r="AP219" s="220">
        <f t="shared" si="37"/>
        <v>0.9</v>
      </c>
      <c r="AQ219" s="251"/>
      <c r="AS219" s="245" t="s">
        <v>387</v>
      </c>
      <c r="AT219" s="245">
        <f t="shared" si="38"/>
        <v>0</v>
      </c>
      <c r="AU219" s="245">
        <f t="shared" si="39"/>
        <v>0.42477225977079</v>
      </c>
      <c r="AV219" s="245">
        <f t="shared" si="40"/>
        <v>0.130766970320306</v>
      </c>
      <c r="AW219" s="245">
        <f t="shared" si="41"/>
        <v>0</v>
      </c>
      <c r="AX219" s="245">
        <f t="shared" si="42"/>
        <v>0</v>
      </c>
      <c r="AY219" s="245">
        <f t="shared" si="43"/>
        <v>0.444460769908904</v>
      </c>
      <c r="AZ219" s="245">
        <f t="shared" si="44"/>
        <v>0</v>
      </c>
      <c r="BA219" s="245" t="s">
        <v>327</v>
      </c>
      <c r="BB219" s="316"/>
      <c r="BC219" s="245" t="s">
        <v>387</v>
      </c>
      <c r="BD219" s="245">
        <v>5</v>
      </c>
      <c r="BE219" s="245">
        <v>5</v>
      </c>
      <c r="BF219" s="245">
        <v>5</v>
      </c>
      <c r="BG219" s="245">
        <v>5</v>
      </c>
      <c r="BH219" s="245">
        <v>5</v>
      </c>
      <c r="BI219" s="245">
        <v>5</v>
      </c>
      <c r="BJ219" s="245">
        <v>5</v>
      </c>
      <c r="BK219" s="245" t="s">
        <v>327</v>
      </c>
      <c r="BL219" s="245">
        <v>0</v>
      </c>
    </row>
    <row r="220" ht="15.5" spans="1:64">
      <c r="B220" s="253" t="s">
        <v>385</v>
      </c>
      <c r="C220" s="253">
        <f t="shared" si="51"/>
        <v>7.51643520019651</v>
      </c>
      <c r="D220" s="267">
        <f t="shared" si="52"/>
        <v>5.70750058953574</v>
      </c>
      <c r="E220" s="267">
        <f t="shared" si="53"/>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5"/>
        <v>7.51643520019651</v>
      </c>
      <c r="T220" s="236">
        <f t="shared" si="46"/>
        <v>4.18384600835176</v>
      </c>
      <c r="U220" s="236">
        <f t="shared" si="47"/>
        <v>3.56585961680177</v>
      </c>
      <c r="W220" s="257"/>
      <c r="X220" s="269"/>
      <c r="Y220" s="269"/>
      <c r="Z220" s="269"/>
      <c r="AA220" s="304" t="str">
        <f t="shared" si="48"/>
        <v>PyroRecy-NMC622</v>
      </c>
      <c r="AB220" s="304" t="s">
        <v>375</v>
      </c>
      <c r="AC220" s="245" t="s">
        <v>486</v>
      </c>
      <c r="AD220" s="325">
        <f t="shared" si="49"/>
        <v>1.22508</v>
      </c>
      <c r="AE220" s="269"/>
      <c r="AF220" s="269"/>
      <c r="AH220" s="220"/>
      <c r="AI220" s="220">
        <f t="shared" ref="AI220:AN220" si="57">AI219</f>
        <v>0</v>
      </c>
      <c r="AJ220" s="220">
        <f t="shared" si="57"/>
        <v>0.98</v>
      </c>
      <c r="AK220" s="220">
        <f t="shared" si="57"/>
        <v>0.9</v>
      </c>
      <c r="AL220" s="220">
        <f t="shared" si="57"/>
        <v>0</v>
      </c>
      <c r="AM220" s="220">
        <f t="shared" si="57"/>
        <v>0</v>
      </c>
      <c r="AN220" s="220">
        <f t="shared" si="57"/>
        <v>0.9</v>
      </c>
      <c r="AO220" s="220">
        <v>0</v>
      </c>
      <c r="AP220" s="220">
        <f t="shared" si="37"/>
        <v>0.9</v>
      </c>
      <c r="AQ220" s="251"/>
      <c r="AS220" s="245" t="s">
        <v>388</v>
      </c>
      <c r="AT220" s="245">
        <f t="shared" si="38"/>
        <v>0</v>
      </c>
      <c r="AU220" s="245">
        <f t="shared" si="39"/>
        <v>0.511482254697286</v>
      </c>
      <c r="AV220" s="245">
        <f t="shared" si="40"/>
        <v>0.0587160751565762</v>
      </c>
      <c r="AW220" s="245">
        <f t="shared" si="41"/>
        <v>0</v>
      </c>
      <c r="AX220" s="245">
        <f t="shared" si="42"/>
        <v>0</v>
      </c>
      <c r="AY220" s="245">
        <f t="shared" si="43"/>
        <v>0.429801670146138</v>
      </c>
      <c r="AZ220" s="245">
        <f t="shared" si="44"/>
        <v>0</v>
      </c>
      <c r="BA220" s="245" t="s">
        <v>327</v>
      </c>
      <c r="BB220" s="316"/>
      <c r="BC220" s="245" t="s">
        <v>388</v>
      </c>
      <c r="BD220" s="245">
        <v>5</v>
      </c>
      <c r="BE220" s="245">
        <v>5</v>
      </c>
      <c r="BF220" s="245">
        <v>5</v>
      </c>
      <c r="BG220" s="245">
        <v>5</v>
      </c>
      <c r="BH220" s="245">
        <v>5</v>
      </c>
      <c r="BI220" s="245">
        <v>5</v>
      </c>
      <c r="BJ220" s="245">
        <v>5</v>
      </c>
      <c r="BK220" s="245" t="s">
        <v>327</v>
      </c>
      <c r="BL220" s="245">
        <v>0</v>
      </c>
    </row>
    <row r="221" ht="15.5" spans="1:64">
      <c r="B221" s="253" t="s">
        <v>387</v>
      </c>
      <c r="C221" s="253">
        <f t="shared" si="51"/>
        <v>7.55036263817244</v>
      </c>
      <c r="D221" s="267">
        <f t="shared" si="52"/>
        <v>5.73326293294031</v>
      </c>
      <c r="E221" s="267">
        <f t="shared" si="53"/>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5"/>
        <v>7.55036263817244</v>
      </c>
      <c r="T221" s="236">
        <f t="shared" si="46"/>
        <v>4.18384600835176</v>
      </c>
      <c r="U221" s="236">
        <f t="shared" si="47"/>
        <v>3.56556266273643</v>
      </c>
      <c r="W221" s="257"/>
      <c r="X221" s="269"/>
      <c r="Y221" s="269"/>
      <c r="Z221" s="269"/>
      <c r="AA221" s="304" t="str">
        <f t="shared" si="48"/>
        <v>PyroRecy-NMC811</v>
      </c>
      <c r="AB221" s="304" t="s">
        <v>376</v>
      </c>
      <c r="AC221" s="245" t="s">
        <v>486</v>
      </c>
      <c r="AD221" s="325">
        <f t="shared" si="49"/>
        <v>1.1496</v>
      </c>
      <c r="AE221" s="269"/>
      <c r="AF221" s="269"/>
      <c r="AH221" s="196"/>
      <c r="AI221" s="237"/>
      <c r="AQ221" s="251"/>
      <c r="AS221" s="245" t="s">
        <v>389</v>
      </c>
      <c r="AT221" s="245">
        <f t="shared" si="38"/>
        <v>0.0168022638839759</v>
      </c>
      <c r="AU221" s="245">
        <f t="shared" si="39"/>
        <v>0</v>
      </c>
      <c r="AV221" s="245">
        <f t="shared" si="40"/>
        <v>0</v>
      </c>
      <c r="AW221" s="245">
        <f t="shared" si="41"/>
        <v>0</v>
      </c>
      <c r="AX221" s="245">
        <f t="shared" si="42"/>
        <v>0.62398302087018</v>
      </c>
      <c r="AY221" s="245">
        <f t="shared" si="43"/>
        <v>0.167315175097276</v>
      </c>
      <c r="AZ221" s="245">
        <f t="shared" si="44"/>
        <v>0.191899540148567</v>
      </c>
      <c r="BA221" s="245" t="s">
        <v>327</v>
      </c>
      <c r="BB221" s="316"/>
      <c r="BC221" s="245" t="s">
        <v>389</v>
      </c>
      <c r="BD221" s="245">
        <v>5</v>
      </c>
      <c r="BE221" s="245">
        <v>5</v>
      </c>
      <c r="BF221" s="245">
        <v>5</v>
      </c>
      <c r="BG221" s="245">
        <v>5</v>
      </c>
      <c r="BH221" s="245">
        <v>5</v>
      </c>
      <c r="BI221" s="245">
        <v>5</v>
      </c>
      <c r="BJ221" s="245">
        <v>5</v>
      </c>
      <c r="BK221" s="245" t="s">
        <v>327</v>
      </c>
      <c r="BL221" s="245">
        <v>0</v>
      </c>
    </row>
    <row r="222" ht="15.5" spans="1:64">
      <c r="B222" s="253" t="s">
        <v>388</v>
      </c>
      <c r="C222" s="253">
        <f t="shared" si="51"/>
        <v>7.62975445836404</v>
      </c>
      <c r="D222" s="267">
        <f t="shared" si="52"/>
        <v>5.79354797347089</v>
      </c>
      <c r="E222" s="267">
        <f t="shared" si="53"/>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5"/>
        <v>7.62975445836404</v>
      </c>
      <c r="T222" s="236">
        <f t="shared" si="46"/>
        <v>4.18384600835176</v>
      </c>
      <c r="U222" s="236">
        <f t="shared" si="47"/>
        <v>3.56496890198968</v>
      </c>
      <c r="W222" s="257"/>
      <c r="X222" s="269"/>
      <c r="Y222" s="269"/>
      <c r="Z222" s="269"/>
      <c r="AA222" s="304" t="str">
        <f t="shared" si="48"/>
        <v>HydRecy-LFP</v>
      </c>
      <c r="AB222" s="304" t="s">
        <v>370</v>
      </c>
      <c r="AC222" s="245" t="s">
        <v>486</v>
      </c>
      <c r="AD222" s="325">
        <f t="shared" si="49"/>
        <v>5.0886</v>
      </c>
      <c r="AE222" s="269"/>
      <c r="AF222" s="269"/>
      <c r="AH222" s="251"/>
      <c r="AI222" s="251"/>
      <c r="AJ222" s="251"/>
      <c r="AK222" s="251"/>
      <c r="AL222" s="251"/>
      <c r="AM222" s="251"/>
      <c r="AN222" s="251"/>
      <c r="AO222" s="251"/>
      <c r="AP222" s="251"/>
      <c r="AQ222" s="251"/>
      <c r="AS222" s="245" t="s">
        <v>390</v>
      </c>
      <c r="AT222" s="245">
        <f t="shared" si="38"/>
        <v>0.0156594191241887</v>
      </c>
      <c r="AU222" s="245">
        <f t="shared" si="39"/>
        <v>0</v>
      </c>
      <c r="AV222" s="245">
        <f t="shared" si="40"/>
        <v>0</v>
      </c>
      <c r="AW222" s="245">
        <f t="shared" si="41"/>
        <v>0.224563292614466</v>
      </c>
      <c r="AX222" s="245">
        <f t="shared" si="42"/>
        <v>0.497703613484828</v>
      </c>
      <c r="AY222" s="245">
        <f t="shared" si="43"/>
        <v>0.127491308529952</v>
      </c>
      <c r="AZ222" s="245">
        <f t="shared" si="44"/>
        <v>0.134582366246565</v>
      </c>
      <c r="BA222" s="245" t="s">
        <v>327</v>
      </c>
      <c r="BB222" s="316"/>
      <c r="BC222" s="245" t="s">
        <v>390</v>
      </c>
      <c r="BD222" s="245">
        <v>5</v>
      </c>
      <c r="BE222" s="245">
        <v>5</v>
      </c>
      <c r="BF222" s="245">
        <v>5</v>
      </c>
      <c r="BG222" s="245">
        <v>5</v>
      </c>
      <c r="BH222" s="245">
        <v>5</v>
      </c>
      <c r="BI222" s="245">
        <v>5</v>
      </c>
      <c r="BJ222" s="245">
        <v>5</v>
      </c>
      <c r="BK222" s="245" t="s">
        <v>327</v>
      </c>
      <c r="BL222" s="245">
        <v>0</v>
      </c>
    </row>
    <row r="223" ht="21" spans="1:64">
      <c r="B223" s="253" t="s">
        <v>389</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4" t="str">
        <f t="shared" si="48"/>
        <v>HydRecy-LMO</v>
      </c>
      <c r="AB223" s="304" t="s">
        <v>371</v>
      </c>
      <c r="AC223" s="245" t="s">
        <v>486</v>
      </c>
      <c r="AD223" s="325">
        <f t="shared" si="49"/>
        <v>6.09218</v>
      </c>
      <c r="AE223" s="269"/>
      <c r="AH223" s="221" t="s">
        <v>489</v>
      </c>
      <c r="AI223" s="221"/>
      <c r="AJ223" s="221"/>
      <c r="AK223" s="221"/>
      <c r="AL223" s="221"/>
      <c r="AM223" s="221"/>
      <c r="AN223" s="221"/>
      <c r="AO223" s="251"/>
      <c r="AP223" s="251"/>
      <c r="AQ223" s="251"/>
      <c r="AS223" s="245" t="s">
        <v>391</v>
      </c>
      <c r="AT223" s="245">
        <f t="shared" si="38"/>
        <v>0.0187706262191706</v>
      </c>
      <c r="AU223" s="245">
        <f t="shared" si="39"/>
        <v>0.134657773452037</v>
      </c>
      <c r="AV223" s="245">
        <f t="shared" si="40"/>
        <v>0.0254487161137034</v>
      </c>
      <c r="AW223" s="245">
        <f t="shared" si="41"/>
        <v>0</v>
      </c>
      <c r="AX223" s="245">
        <f t="shared" si="42"/>
        <v>0.537355181960569</v>
      </c>
      <c r="AY223" s="245">
        <f t="shared" si="43"/>
        <v>0.103790521447178</v>
      </c>
      <c r="AZ223" s="245">
        <f t="shared" si="44"/>
        <v>0.179977180807341</v>
      </c>
      <c r="BA223" s="245" t="s">
        <v>327</v>
      </c>
      <c r="BB223" s="316"/>
      <c r="BC223" s="245" t="s">
        <v>391</v>
      </c>
      <c r="BD223" s="245">
        <v>5</v>
      </c>
      <c r="BE223" s="245">
        <v>5</v>
      </c>
      <c r="BF223" s="245">
        <v>5</v>
      </c>
      <c r="BG223" s="245">
        <v>5</v>
      </c>
      <c r="BH223" s="245">
        <v>5</v>
      </c>
      <c r="BI223" s="245">
        <v>5</v>
      </c>
      <c r="BJ223" s="245">
        <v>5</v>
      </c>
      <c r="BK223" s="245" t="s">
        <v>327</v>
      </c>
      <c r="BL223" s="245">
        <v>0</v>
      </c>
    </row>
    <row r="224" ht="13" spans="1:64">
      <c r="B224" s="253" t="s">
        <v>390</v>
      </c>
      <c r="C224" s="253">
        <f t="shared" ref="C224:C229" si="58">T217</f>
        <v>4.18384600835176</v>
      </c>
      <c r="D224" s="267">
        <f t="shared" ref="D224:D229" si="59">Q217</f>
        <v>3.17694532056006</v>
      </c>
      <c r="E224" s="267">
        <f t="shared" ref="E224:E229" si="60">K217</f>
        <v>5.20810707442889</v>
      </c>
      <c r="I224" s="209"/>
      <c r="J224" s="209"/>
      <c r="K224" s="209"/>
      <c r="L224" s="209"/>
      <c r="M224" s="209"/>
      <c r="N224" s="209"/>
      <c r="O224" s="209"/>
      <c r="P224" s="209"/>
      <c r="Q224" s="209"/>
      <c r="R224" s="209"/>
      <c r="S224" s="209"/>
      <c r="T224" s="209"/>
      <c r="U224" s="209"/>
      <c r="AA224" s="304" t="str">
        <f t="shared" si="48"/>
        <v>HydRecy-NCA</v>
      </c>
      <c r="AB224" s="304" t="s">
        <v>372</v>
      </c>
      <c r="AC224" s="245" t="s">
        <v>486</v>
      </c>
      <c r="AD224" s="325">
        <f t="shared" si="49"/>
        <v>4.89062</v>
      </c>
      <c r="AE224" s="269"/>
      <c r="AH224" s="251"/>
      <c r="AI224" s="271" t="s">
        <v>338</v>
      </c>
      <c r="AJ224" s="271" t="s">
        <v>340</v>
      </c>
      <c r="AK224" s="271" t="s">
        <v>342</v>
      </c>
      <c r="AL224" s="271" t="s">
        <v>351</v>
      </c>
      <c r="AM224" s="271" t="s">
        <v>353</v>
      </c>
      <c r="AN224" s="271" t="s">
        <v>356</v>
      </c>
      <c r="AO224" s="271" t="s">
        <v>490</v>
      </c>
      <c r="AP224" s="251"/>
      <c r="AQ224" s="251"/>
      <c r="AS224" s="245" t="s">
        <v>392</v>
      </c>
      <c r="AT224" s="245">
        <f t="shared" si="38"/>
        <v>0.0233883423212884</v>
      </c>
      <c r="AU224" s="245">
        <f t="shared" si="39"/>
        <v>0.0633973364198327</v>
      </c>
      <c r="AV224" s="245">
        <f t="shared" si="40"/>
        <v>0.063577955611912</v>
      </c>
      <c r="AW224" s="245">
        <f t="shared" si="41"/>
        <v>0.0592430950020089</v>
      </c>
      <c r="AX224" s="245">
        <f t="shared" si="42"/>
        <v>0.515870529214233</v>
      </c>
      <c r="AY224" s="245">
        <f t="shared" si="43"/>
        <v>0.112297218095831</v>
      </c>
      <c r="AZ224" s="245">
        <f t="shared" si="44"/>
        <v>0.162225523334894</v>
      </c>
      <c r="BA224" s="245" t="s">
        <v>327</v>
      </c>
      <c r="BB224" s="316"/>
      <c r="BC224" s="245" t="s">
        <v>392</v>
      </c>
      <c r="BD224" s="245">
        <v>5</v>
      </c>
      <c r="BE224" s="245">
        <v>5</v>
      </c>
      <c r="BF224" s="245">
        <v>5</v>
      </c>
      <c r="BG224" s="245">
        <v>5</v>
      </c>
      <c r="BH224" s="245">
        <v>5</v>
      </c>
      <c r="BI224" s="245">
        <v>5</v>
      </c>
      <c r="BJ224" s="245">
        <v>5</v>
      </c>
      <c r="BK224" s="245" t="s">
        <v>327</v>
      </c>
      <c r="BL224" s="245">
        <v>0</v>
      </c>
    </row>
    <row r="225" ht="13" spans="1:64">
      <c r="B225" s="253" t="s">
        <v>391</v>
      </c>
      <c r="C225" s="253">
        <f t="shared" si="58"/>
        <v>4.18384600835176</v>
      </c>
      <c r="D225" s="267">
        <f t="shared" si="59"/>
        <v>3.17694532056006</v>
      </c>
      <c r="E225" s="267">
        <f t="shared" si="60"/>
        <v>5.20810707442889</v>
      </c>
      <c r="I225" s="209"/>
      <c r="J225" s="209"/>
      <c r="K225" s="209"/>
      <c r="L225" s="209"/>
      <c r="M225" s="209"/>
      <c r="N225" s="209"/>
      <c r="O225" s="209"/>
      <c r="P225" s="209"/>
      <c r="Q225" s="209"/>
      <c r="R225" s="209"/>
      <c r="S225" s="209"/>
      <c r="T225" s="209"/>
      <c r="U225" s="209"/>
      <c r="AA225" s="304" t="str">
        <f t="shared" si="48"/>
        <v>HydRecy-NMC111</v>
      </c>
      <c r="AB225" s="304" t="s">
        <v>373</v>
      </c>
      <c r="AC225" s="245" t="s">
        <v>486</v>
      </c>
      <c r="AD225" s="325">
        <f t="shared" si="49"/>
        <v>5.42578</v>
      </c>
      <c r="AE225" s="269"/>
      <c r="AH225" s="251"/>
      <c r="AI225" s="271">
        <v>0.9</v>
      </c>
      <c r="AJ225" s="271">
        <v>0.98</v>
      </c>
      <c r="AK225" s="271">
        <v>0.98</v>
      </c>
      <c r="AL225" s="271">
        <v>0.98</v>
      </c>
      <c r="AM225" s="271">
        <v>0.9</v>
      </c>
      <c r="AN225" s="271">
        <v>0.9</v>
      </c>
      <c r="AO225" s="271">
        <v>0.9</v>
      </c>
      <c r="AP225" s="251"/>
      <c r="AQ225" s="251"/>
      <c r="AS225" s="245" t="s">
        <v>393</v>
      </c>
      <c r="AT225" s="245">
        <f t="shared" si="38"/>
        <v>0.0229202323482377</v>
      </c>
      <c r="AU225" s="245">
        <f t="shared" si="39"/>
        <v>0.0932239254268519</v>
      </c>
      <c r="AV225" s="245">
        <f t="shared" si="40"/>
        <v>0.0374363795021216</v>
      </c>
      <c r="AW225" s="245">
        <f t="shared" si="41"/>
        <v>0.0523008243044346</v>
      </c>
      <c r="AX225" s="245">
        <f t="shared" si="42"/>
        <v>0.517390539037425</v>
      </c>
      <c r="AY225" s="245">
        <f t="shared" si="43"/>
        <v>0.111399070457244</v>
      </c>
      <c r="AZ225" s="245">
        <f t="shared" si="44"/>
        <v>0.165329028923685</v>
      </c>
      <c r="BA225" s="245" t="s">
        <v>327</v>
      </c>
      <c r="BB225" s="316"/>
      <c r="BC225" s="245" t="s">
        <v>393</v>
      </c>
      <c r="BD225" s="245">
        <v>5</v>
      </c>
      <c r="BE225" s="245">
        <v>5</v>
      </c>
      <c r="BF225" s="245">
        <v>5</v>
      </c>
      <c r="BG225" s="245">
        <v>5</v>
      </c>
      <c r="BH225" s="245">
        <v>5</v>
      </c>
      <c r="BI225" s="245">
        <v>5</v>
      </c>
      <c r="BJ225" s="245">
        <v>5</v>
      </c>
      <c r="BK225" s="245" t="s">
        <v>327</v>
      </c>
      <c r="BL225" s="245">
        <v>0</v>
      </c>
    </row>
    <row r="226" ht="13" spans="1:64">
      <c r="B226" s="253" t="s">
        <v>392</v>
      </c>
      <c r="C226" s="253">
        <f t="shared" si="58"/>
        <v>4.18384600835176</v>
      </c>
      <c r="D226" s="267">
        <f t="shared" si="59"/>
        <v>3.17694532056006</v>
      </c>
      <c r="E226" s="267">
        <f t="shared" si="60"/>
        <v>5.20810707442889</v>
      </c>
      <c r="I226" s="209"/>
      <c r="J226" s="209"/>
      <c r="K226" s="209"/>
      <c r="L226" s="209"/>
      <c r="M226" s="209"/>
      <c r="N226" s="209"/>
      <c r="O226" s="209"/>
      <c r="P226" s="209"/>
      <c r="Q226" s="209"/>
      <c r="R226" s="209"/>
      <c r="S226" s="209"/>
      <c r="T226" s="209"/>
      <c r="U226" s="209"/>
      <c r="AA226" s="304" t="str">
        <f t="shared" si="48"/>
        <v>HydRecy-NMC532</v>
      </c>
      <c r="AB226" s="304" t="s">
        <v>374</v>
      </c>
      <c r="AC226" s="245" t="s">
        <v>486</v>
      </c>
      <c r="AD226" s="325">
        <f t="shared" si="49"/>
        <v>5.34026</v>
      </c>
      <c r="AE226" s="269"/>
      <c r="AH226" s="251"/>
      <c r="AI226" s="271">
        <f t="shared" ref="AI226:AO226" si="61">AI225</f>
        <v>0.9</v>
      </c>
      <c r="AJ226" s="271">
        <f t="shared" si="61"/>
        <v>0.98</v>
      </c>
      <c r="AK226" s="271">
        <f t="shared" si="61"/>
        <v>0.98</v>
      </c>
      <c r="AL226" s="271">
        <f t="shared" si="61"/>
        <v>0.98</v>
      </c>
      <c r="AM226" s="271">
        <f t="shared" si="61"/>
        <v>0.9</v>
      </c>
      <c r="AN226" s="271">
        <f t="shared" si="61"/>
        <v>0.9</v>
      </c>
      <c r="AO226" s="271">
        <f t="shared" si="61"/>
        <v>0.9</v>
      </c>
      <c r="AP226" s="251"/>
      <c r="AQ226" s="251"/>
      <c r="AS226" s="245" t="s">
        <v>394</v>
      </c>
      <c r="AT226" s="245">
        <f t="shared" si="38"/>
        <v>0.0208746928746929</v>
      </c>
      <c r="AU226" s="245">
        <f t="shared" si="39"/>
        <v>0.102285995085995</v>
      </c>
      <c r="AV226" s="245">
        <f t="shared" si="40"/>
        <v>0.0342879606879607</v>
      </c>
      <c r="AW226" s="245">
        <f t="shared" si="41"/>
        <v>0.0319764127764128</v>
      </c>
      <c r="AX226" s="245">
        <f t="shared" si="42"/>
        <v>0.533719901719902</v>
      </c>
      <c r="AY226" s="245">
        <f t="shared" si="43"/>
        <v>0.107027027027027</v>
      </c>
      <c r="AZ226" s="245">
        <f t="shared" si="44"/>
        <v>0.16982800982801</v>
      </c>
      <c r="BA226" s="245" t="s">
        <v>327</v>
      </c>
      <c r="BB226" s="316"/>
      <c r="BC226" s="245" t="s">
        <v>394</v>
      </c>
      <c r="BD226" s="245">
        <v>5</v>
      </c>
      <c r="BE226" s="245">
        <v>5</v>
      </c>
      <c r="BF226" s="245">
        <v>5</v>
      </c>
      <c r="BG226" s="245">
        <v>5</v>
      </c>
      <c r="BH226" s="245">
        <v>5</v>
      </c>
      <c r="BI226" s="245">
        <v>5</v>
      </c>
      <c r="BJ226" s="245">
        <v>5</v>
      </c>
      <c r="BK226" s="245" t="s">
        <v>327</v>
      </c>
      <c r="BL226" s="245">
        <v>0</v>
      </c>
    </row>
    <row r="227" ht="13" spans="1:64">
      <c r="B227" s="253" t="s">
        <v>393</v>
      </c>
      <c r="C227" s="253">
        <f t="shared" si="58"/>
        <v>4.18384600835176</v>
      </c>
      <c r="D227" s="267">
        <f t="shared" si="59"/>
        <v>3.17694532056006</v>
      </c>
      <c r="E227" s="267">
        <f t="shared" si="60"/>
        <v>5.20810707442889</v>
      </c>
      <c r="I227" s="209"/>
      <c r="J227" s="209"/>
      <c r="K227" s="209"/>
      <c r="L227" s="209"/>
      <c r="M227" s="209"/>
      <c r="N227" s="209"/>
      <c r="O227" s="209"/>
      <c r="P227" s="209"/>
      <c r="Q227" s="209"/>
      <c r="R227" s="209"/>
      <c r="S227" s="209"/>
      <c r="T227" s="209"/>
      <c r="U227" s="209"/>
      <c r="AA227" s="304" t="str">
        <f t="shared" si="48"/>
        <v>HydRecy-NMC622</v>
      </c>
      <c r="AB227" s="304" t="s">
        <v>375</v>
      </c>
      <c r="AC227" s="245" t="s">
        <v>486</v>
      </c>
      <c r="AD227" s="325">
        <f t="shared" si="49"/>
        <v>5.0875</v>
      </c>
      <c r="AE227" s="269"/>
      <c r="AH227" s="251"/>
      <c r="AI227" s="271">
        <f t="shared" ref="AI227:AO227" si="62">AI226</f>
        <v>0.9</v>
      </c>
      <c r="AJ227" s="271">
        <f t="shared" si="62"/>
        <v>0.98</v>
      </c>
      <c r="AK227" s="271">
        <f t="shared" si="62"/>
        <v>0.98</v>
      </c>
      <c r="AL227" s="271">
        <f t="shared" si="62"/>
        <v>0.98</v>
      </c>
      <c r="AM227" s="271">
        <f t="shared" si="62"/>
        <v>0.9</v>
      </c>
      <c r="AN227" s="271">
        <f t="shared" si="62"/>
        <v>0.9</v>
      </c>
      <c r="AO227" s="271">
        <f t="shared" si="62"/>
        <v>0.9</v>
      </c>
      <c r="AP227" s="251"/>
      <c r="AQ227" s="251"/>
      <c r="AS227" s="245" t="s">
        <v>395</v>
      </c>
      <c r="AT227" s="245">
        <f t="shared" si="38"/>
        <v>0.0187188019966722</v>
      </c>
      <c r="AU227" s="245">
        <f t="shared" si="39"/>
        <v>0.122296173044925</v>
      </c>
      <c r="AV227" s="245">
        <f t="shared" si="40"/>
        <v>0.0152870216306156</v>
      </c>
      <c r="AW227" s="245">
        <f t="shared" si="41"/>
        <v>0.0142678868552413</v>
      </c>
      <c r="AX227" s="245">
        <f t="shared" si="42"/>
        <v>0.546776206322795</v>
      </c>
      <c r="AY227" s="245">
        <f t="shared" si="43"/>
        <v>0.10276622296173</v>
      </c>
      <c r="AZ227" s="245">
        <f t="shared" si="44"/>
        <v>0.17988768718802</v>
      </c>
      <c r="BA227" s="245" t="s">
        <v>327</v>
      </c>
      <c r="BB227" s="316"/>
      <c r="BC227" s="245" t="s">
        <v>395</v>
      </c>
      <c r="BD227" s="245">
        <v>5</v>
      </c>
      <c r="BE227" s="245">
        <v>5</v>
      </c>
      <c r="BF227" s="245">
        <v>5</v>
      </c>
      <c r="BG227" s="245">
        <v>5</v>
      </c>
      <c r="BH227" s="245">
        <v>5</v>
      </c>
      <c r="BI227" s="245">
        <v>5</v>
      </c>
      <c r="BJ227" s="245">
        <v>5</v>
      </c>
      <c r="BK227" s="245" t="s">
        <v>327</v>
      </c>
      <c r="BL227" s="245">
        <v>0</v>
      </c>
    </row>
    <row r="228" ht="13" spans="1:64">
      <c r="B228" s="253" t="s">
        <v>394</v>
      </c>
      <c r="C228" s="253">
        <f t="shared" si="58"/>
        <v>4.18384600835176</v>
      </c>
      <c r="D228" s="267">
        <f t="shared" si="59"/>
        <v>3.17694532056006</v>
      </c>
      <c r="E228" s="267">
        <f t="shared" si="60"/>
        <v>5.20810707442889</v>
      </c>
      <c r="I228" s="209"/>
      <c r="J228" s="209"/>
      <c r="K228" s="209"/>
      <c r="L228" s="209"/>
      <c r="M228" s="209"/>
      <c r="N228" s="209"/>
      <c r="O228" s="209"/>
      <c r="P228" s="209"/>
      <c r="Q228" s="209"/>
      <c r="R228" s="209"/>
      <c r="S228" s="209"/>
      <c r="T228" s="209"/>
      <c r="U228" s="209"/>
      <c r="AA228" s="304" t="str">
        <f t="shared" si="48"/>
        <v>HydRecy-NMC811</v>
      </c>
      <c r="AB228" s="304" t="s">
        <v>376</v>
      </c>
      <c r="AC228" s="245" t="s">
        <v>486</v>
      </c>
      <c r="AD228" s="325">
        <f t="shared" si="49"/>
        <v>4.808</v>
      </c>
      <c r="AE228" s="269"/>
      <c r="AH228" s="251"/>
      <c r="AI228" s="271">
        <f t="shared" ref="AI228:AO228" si="63">AI227</f>
        <v>0.9</v>
      </c>
      <c r="AJ228" s="271">
        <f t="shared" si="63"/>
        <v>0.98</v>
      </c>
      <c r="AK228" s="271">
        <f t="shared" si="63"/>
        <v>0.98</v>
      </c>
      <c r="AL228" s="271">
        <f t="shared" si="63"/>
        <v>0.98</v>
      </c>
      <c r="AM228" s="271">
        <f t="shared" si="63"/>
        <v>0.9</v>
      </c>
      <c r="AN228" s="271">
        <f t="shared" si="63"/>
        <v>0.9</v>
      </c>
      <c r="AO228" s="271">
        <f t="shared" si="63"/>
        <v>0.9</v>
      </c>
      <c r="AP228" s="251"/>
      <c r="AQ228" s="251"/>
      <c r="AS228" s="245" t="s">
        <v>396</v>
      </c>
      <c r="AT228" s="245">
        <f t="shared" si="38"/>
        <v>0.0168022638839759</v>
      </c>
      <c r="AU228" s="245">
        <f t="shared" si="39"/>
        <v>0</v>
      </c>
      <c r="AV228" s="245">
        <f t="shared" si="40"/>
        <v>0</v>
      </c>
      <c r="AW228" s="245">
        <f t="shared" si="41"/>
        <v>0</v>
      </c>
      <c r="AX228" s="245">
        <f t="shared" si="42"/>
        <v>0.62398302087018</v>
      </c>
      <c r="AY228" s="245">
        <f t="shared" si="43"/>
        <v>0.167315175097276</v>
      </c>
      <c r="AZ228" s="245">
        <f t="shared" si="44"/>
        <v>0.191899540148567</v>
      </c>
      <c r="BA228" s="245" t="s">
        <v>327</v>
      </c>
      <c r="BB228" s="316"/>
      <c r="BC228" s="245" t="s">
        <v>396</v>
      </c>
      <c r="BD228" s="245">
        <v>5</v>
      </c>
      <c r="BE228" s="245">
        <v>5</v>
      </c>
      <c r="BF228" s="245">
        <v>5</v>
      </c>
      <c r="BG228" s="245">
        <v>5</v>
      </c>
      <c r="BH228" s="245">
        <v>5</v>
      </c>
      <c r="BI228" s="245">
        <v>5</v>
      </c>
      <c r="BJ228" s="245">
        <v>5</v>
      </c>
      <c r="BK228" s="245" t="s">
        <v>327</v>
      </c>
      <c r="BL228" s="245">
        <v>0</v>
      </c>
    </row>
    <row r="229" ht="13" spans="1:64">
      <c r="B229" s="253" t="s">
        <v>395</v>
      </c>
      <c r="C229" s="253">
        <f t="shared" si="58"/>
        <v>4.18384600835176</v>
      </c>
      <c r="D229" s="267">
        <f t="shared" si="59"/>
        <v>3.17694532056006</v>
      </c>
      <c r="E229" s="267">
        <f t="shared" si="60"/>
        <v>5.20810707442889</v>
      </c>
      <c r="I229" s="209"/>
      <c r="J229" s="209"/>
      <c r="K229" s="209"/>
      <c r="L229" s="209"/>
      <c r="M229" s="209"/>
      <c r="N229" s="209"/>
      <c r="O229" s="209"/>
      <c r="P229" s="209"/>
      <c r="Q229" s="209"/>
      <c r="R229" s="209"/>
      <c r="S229" s="209"/>
      <c r="T229" s="209"/>
      <c r="U229" s="209"/>
      <c r="AA229" s="304" t="str">
        <f t="shared" si="48"/>
        <v>DirRecy-LFP</v>
      </c>
      <c r="AB229" s="304" t="s">
        <v>370</v>
      </c>
      <c r="AC229" s="245" t="s">
        <v>486</v>
      </c>
      <c r="AD229" s="325">
        <f t="shared" si="49"/>
        <v>5.0886</v>
      </c>
      <c r="AE229" s="269"/>
      <c r="AH229" s="251"/>
      <c r="AI229" s="271">
        <f t="shared" ref="AI229:AO229" si="64">AI228</f>
        <v>0.9</v>
      </c>
      <c r="AJ229" s="271">
        <f t="shared" si="64"/>
        <v>0.98</v>
      </c>
      <c r="AK229" s="271">
        <f t="shared" si="64"/>
        <v>0.98</v>
      </c>
      <c r="AL229" s="271">
        <f t="shared" si="64"/>
        <v>0.98</v>
      </c>
      <c r="AM229" s="271">
        <f t="shared" si="64"/>
        <v>0.9</v>
      </c>
      <c r="AN229" s="271">
        <f t="shared" si="64"/>
        <v>0.9</v>
      </c>
      <c r="AO229" s="271">
        <f t="shared" si="64"/>
        <v>0.9</v>
      </c>
      <c r="AP229" s="251"/>
      <c r="AQ229" s="251"/>
      <c r="AS229" s="245" t="s">
        <v>397</v>
      </c>
      <c r="AT229" s="245">
        <f t="shared" si="38"/>
        <v>0.0159518434913469</v>
      </c>
      <c r="AU229" s="245">
        <f t="shared" si="39"/>
        <v>0</v>
      </c>
      <c r="AV229" s="245">
        <f t="shared" si="40"/>
        <v>0</v>
      </c>
      <c r="AW229" s="245">
        <f t="shared" si="41"/>
        <v>0.210082768999248</v>
      </c>
      <c r="AX229" s="245">
        <f t="shared" si="42"/>
        <v>0.506997742663657</v>
      </c>
      <c r="AY229" s="245">
        <f t="shared" si="43"/>
        <v>0.12987208427389</v>
      </c>
      <c r="AZ229" s="245">
        <f t="shared" si="44"/>
        <v>0.137095560571859</v>
      </c>
      <c r="BA229" s="245" t="s">
        <v>327</v>
      </c>
      <c r="BB229" s="316"/>
      <c r="BC229" s="245" t="s">
        <v>397</v>
      </c>
      <c r="BD229" s="245">
        <v>5</v>
      </c>
      <c r="BE229" s="245">
        <v>5</v>
      </c>
      <c r="BF229" s="245">
        <v>5</v>
      </c>
      <c r="BG229" s="245">
        <v>5</v>
      </c>
      <c r="BH229" s="245">
        <v>5</v>
      </c>
      <c r="BI229" s="245">
        <v>5</v>
      </c>
      <c r="BJ229" s="245">
        <v>5</v>
      </c>
      <c r="BK229" s="245" t="s">
        <v>327</v>
      </c>
      <c r="BL229" s="245">
        <v>0</v>
      </c>
    </row>
    <row r="230" ht="23" spans="1:64">
      <c r="A230" s="272"/>
      <c r="B230" s="253" t="s">
        <v>396</v>
      </c>
      <c r="C230" s="253">
        <f>U216</f>
        <v>3.56556266273643</v>
      </c>
      <c r="D230" s="267">
        <f>R216</f>
        <v>2.70746042741341</v>
      </c>
      <c r="E230" s="267">
        <f>L216</f>
        <v>4.4384597641857</v>
      </c>
      <c r="I230" s="273" t="s">
        <v>491</v>
      </c>
      <c r="J230" s="240" t="s">
        <v>492</v>
      </c>
      <c r="K230" s="240"/>
      <c r="L230" s="240"/>
      <c r="M230" s="240"/>
      <c r="N230" s="240"/>
      <c r="O230" s="240"/>
      <c r="P230" s="240"/>
      <c r="Q230" s="240"/>
      <c r="R230" s="240"/>
      <c r="S230" s="209"/>
      <c r="T230" s="209"/>
      <c r="U230" s="209"/>
      <c r="W230" s="274"/>
      <c r="X230" s="274"/>
      <c r="Y230" s="274"/>
      <c r="Z230" s="274"/>
      <c r="AA230" s="304" t="str">
        <f t="shared" si="48"/>
        <v>DirRecy-LMO</v>
      </c>
      <c r="AB230" s="304" t="s">
        <v>371</v>
      </c>
      <c r="AC230" s="245" t="s">
        <v>486</v>
      </c>
      <c r="AD230" s="325">
        <f t="shared" si="49"/>
        <v>5.9805</v>
      </c>
      <c r="AE230" s="269"/>
      <c r="AH230" s="251"/>
      <c r="AI230" s="271">
        <f t="shared" ref="AI230:AO230" si="65">AI229</f>
        <v>0.9</v>
      </c>
      <c r="AJ230" s="271">
        <f t="shared" si="65"/>
        <v>0.98</v>
      </c>
      <c r="AK230" s="271">
        <f t="shared" si="65"/>
        <v>0.98</v>
      </c>
      <c r="AL230" s="271">
        <f t="shared" si="65"/>
        <v>0.98</v>
      </c>
      <c r="AM230" s="271">
        <f t="shared" si="65"/>
        <v>0.9</v>
      </c>
      <c r="AN230" s="271">
        <f t="shared" si="65"/>
        <v>0.9</v>
      </c>
      <c r="AO230" s="271">
        <f t="shared" si="65"/>
        <v>0.9</v>
      </c>
      <c r="AP230" s="251"/>
      <c r="AQ230" s="251"/>
      <c r="AS230" s="304" t="s">
        <v>398</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5" t="s">
        <v>327</v>
      </c>
      <c r="BB230" s="326"/>
      <c r="BC230" s="304" t="s">
        <v>398</v>
      </c>
      <c r="BD230" s="245">
        <v>5</v>
      </c>
      <c r="BE230" s="245">
        <v>5</v>
      </c>
      <c r="BF230" s="245">
        <v>5</v>
      </c>
      <c r="BG230" s="245">
        <v>5</v>
      </c>
      <c r="BH230" s="245">
        <v>5</v>
      </c>
      <c r="BI230" s="245">
        <v>5</v>
      </c>
      <c r="BJ230" s="245">
        <v>5</v>
      </c>
      <c r="BK230" s="245" t="s">
        <v>327</v>
      </c>
      <c r="BL230" s="245">
        <v>0</v>
      </c>
    </row>
    <row r="231" ht="25" spans="1:64">
      <c r="A231" s="239"/>
      <c r="B231" s="253" t="s">
        <v>397</v>
      </c>
      <c r="C231" s="253">
        <f t="shared" ref="C231:C236" si="66">U217</f>
        <v>3.60087708179809</v>
      </c>
      <c r="D231" s="267">
        <f t="shared" ref="D231:D236" si="67">R217</f>
        <v>2.73427597641857</v>
      </c>
      <c r="E231" s="267">
        <f t="shared" ref="E231:E236" si="68">L217</f>
        <v>4.48241960206338</v>
      </c>
      <c r="I231" s="209" t="s">
        <v>493</v>
      </c>
      <c r="J231" s="209"/>
      <c r="K231" s="209"/>
      <c r="L231" s="209"/>
      <c r="M231" s="209"/>
      <c r="N231" s="209"/>
      <c r="O231" s="209"/>
      <c r="P231" s="209"/>
      <c r="Q231" s="209"/>
      <c r="R231" s="241" t="s">
        <v>436</v>
      </c>
      <c r="S231" s="209"/>
      <c r="T231" s="209"/>
      <c r="U231" s="209"/>
      <c r="AA231" s="304" t="str">
        <f t="shared" si="48"/>
        <v>DirRecy-NCA</v>
      </c>
      <c r="AB231" s="304" t="s">
        <v>372</v>
      </c>
      <c r="AC231" s="245" t="s">
        <v>486</v>
      </c>
      <c r="AD231" s="325">
        <f t="shared" si="49"/>
        <v>4.8267</v>
      </c>
      <c r="AE231" s="269"/>
      <c r="AH231" s="251"/>
      <c r="AI231" s="271">
        <f t="shared" ref="AI231:AO231" si="69">AI230</f>
        <v>0.9</v>
      </c>
      <c r="AJ231" s="271">
        <f t="shared" si="69"/>
        <v>0.98</v>
      </c>
      <c r="AK231" s="271">
        <f t="shared" si="69"/>
        <v>0.98</v>
      </c>
      <c r="AL231" s="271">
        <f t="shared" si="69"/>
        <v>0.98</v>
      </c>
      <c r="AM231" s="271">
        <f t="shared" si="69"/>
        <v>0.9</v>
      </c>
      <c r="AN231" s="271">
        <f t="shared" si="69"/>
        <v>0.9</v>
      </c>
      <c r="AO231" s="271">
        <f t="shared" si="69"/>
        <v>0.9</v>
      </c>
      <c r="AP231" s="251"/>
      <c r="AQ231" s="251"/>
      <c r="AS231" s="304" t="s">
        <v>399</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5" t="s">
        <v>327</v>
      </c>
      <c r="BB231" s="326"/>
      <c r="BC231" s="304" t="s">
        <v>399</v>
      </c>
      <c r="BD231" s="245">
        <v>5</v>
      </c>
      <c r="BE231" s="245">
        <v>5</v>
      </c>
      <c r="BF231" s="245">
        <v>5</v>
      </c>
      <c r="BG231" s="245">
        <v>5</v>
      </c>
      <c r="BH231" s="245">
        <v>5</v>
      </c>
      <c r="BI231" s="245">
        <v>5</v>
      </c>
      <c r="BJ231" s="245">
        <v>5</v>
      </c>
      <c r="BK231" s="245" t="s">
        <v>327</v>
      </c>
      <c r="BL231" s="245">
        <v>0</v>
      </c>
    </row>
    <row r="232" ht="13" spans="1:64">
      <c r="B232" s="253" t="s">
        <v>398</v>
      </c>
      <c r="C232" s="253">
        <f t="shared" si="66"/>
        <v>3.56556266273643</v>
      </c>
      <c r="D232" s="267">
        <f t="shared" si="67"/>
        <v>2.70746042741341</v>
      </c>
      <c r="E232" s="267">
        <f t="shared" si="68"/>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4" t="str">
        <f t="shared" si="48"/>
        <v>DirRecy-NMC111</v>
      </c>
      <c r="AB232" s="304" t="s">
        <v>373</v>
      </c>
      <c r="AC232" s="245" t="s">
        <v>486</v>
      </c>
      <c r="AD232" s="325">
        <f t="shared" si="49"/>
        <v>5.3433</v>
      </c>
      <c r="AE232" s="269"/>
      <c r="AH232" s="251"/>
      <c r="AI232" s="251"/>
      <c r="AJ232" s="251"/>
      <c r="AK232" s="251"/>
      <c r="AL232" s="251"/>
      <c r="AM232" s="251"/>
      <c r="AN232" s="251"/>
      <c r="AO232" s="251"/>
      <c r="AP232" s="251"/>
      <c r="AQ232" s="251"/>
      <c r="AS232" s="304" t="s">
        <v>400</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5" t="s">
        <v>327</v>
      </c>
      <c r="BB232" s="326"/>
      <c r="BC232" s="304" t="s">
        <v>400</v>
      </c>
      <c r="BD232" s="245">
        <v>5</v>
      </c>
      <c r="BE232" s="245">
        <v>5</v>
      </c>
      <c r="BF232" s="245">
        <v>5</v>
      </c>
      <c r="BG232" s="245">
        <v>5</v>
      </c>
      <c r="BH232" s="245">
        <v>5</v>
      </c>
      <c r="BI232" s="245">
        <v>5</v>
      </c>
      <c r="BJ232" s="245">
        <v>5</v>
      </c>
      <c r="BK232" s="245" t="s">
        <v>327</v>
      </c>
      <c r="BL232" s="245">
        <v>0</v>
      </c>
    </row>
    <row r="233" ht="13" spans="1:64">
      <c r="B233" s="253" t="s">
        <v>399</v>
      </c>
      <c r="C233" s="253">
        <f t="shared" si="66"/>
        <v>3.56645369688037</v>
      </c>
      <c r="D233" s="267">
        <f t="shared" si="67"/>
        <v>2.70813706705969</v>
      </c>
      <c r="E233" s="267">
        <f t="shared" si="68"/>
        <v>4.43956890198968</v>
      </c>
      <c r="I233" s="209" t="s">
        <v>426</v>
      </c>
      <c r="J233" s="209">
        <v>0.095</v>
      </c>
      <c r="K233" s="209">
        <v>0</v>
      </c>
      <c r="L233" s="209">
        <v>0</v>
      </c>
      <c r="M233" s="209">
        <v>0</v>
      </c>
      <c r="N233" s="209">
        <v>3.528</v>
      </c>
      <c r="O233" s="209">
        <v>0.946</v>
      </c>
      <c r="P233" s="209">
        <v>1.085</v>
      </c>
      <c r="Q233" s="209"/>
      <c r="R233" s="241">
        <f t="shared" ref="R233:R239" si="70">SUM(J233:P233)</f>
        <v>5.654</v>
      </c>
      <c r="S233" s="209"/>
      <c r="T233" s="209"/>
      <c r="U233" s="209"/>
      <c r="AA233" s="304" t="str">
        <f t="shared" si="48"/>
        <v>DirRecy-NMC532</v>
      </c>
      <c r="AB233" s="304" t="s">
        <v>374</v>
      </c>
      <c r="AC233" s="245" t="s">
        <v>486</v>
      </c>
      <c r="AD233" s="325">
        <f t="shared" si="49"/>
        <v>5.2605</v>
      </c>
      <c r="AE233" s="269"/>
      <c r="AH233" s="251"/>
      <c r="AI233" s="251"/>
      <c r="AJ233" s="251"/>
      <c r="AK233" s="251"/>
      <c r="AL233" s="251"/>
      <c r="AM233" s="251"/>
      <c r="AN233" s="251"/>
      <c r="AO233" s="251"/>
      <c r="AP233" s="251"/>
      <c r="AQ233" s="251"/>
      <c r="AS233" s="304" t="s">
        <v>401</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5" t="s">
        <v>327</v>
      </c>
      <c r="BB233" s="326"/>
      <c r="BC233" s="304" t="s">
        <v>401</v>
      </c>
      <c r="BD233" s="245">
        <v>5</v>
      </c>
      <c r="BE233" s="245">
        <v>5</v>
      </c>
      <c r="BF233" s="245">
        <v>5</v>
      </c>
      <c r="BG233" s="245">
        <v>5</v>
      </c>
      <c r="BH233" s="245">
        <v>5</v>
      </c>
      <c r="BI233" s="245">
        <v>5</v>
      </c>
      <c r="BJ233" s="245">
        <v>5</v>
      </c>
      <c r="BK233" s="245" t="s">
        <v>327</v>
      </c>
      <c r="BL233" s="245">
        <v>0</v>
      </c>
    </row>
    <row r="234" ht="21" spans="1:64">
      <c r="B234" s="253" t="s">
        <v>400</v>
      </c>
      <c r="C234" s="253">
        <f t="shared" si="66"/>
        <v>3.56585961680177</v>
      </c>
      <c r="D234" s="267">
        <f t="shared" si="67"/>
        <v>2.70768592483419</v>
      </c>
      <c r="E234" s="267">
        <f t="shared" si="68"/>
        <v>4.43882940309506</v>
      </c>
      <c r="I234" s="209" t="s">
        <v>428</v>
      </c>
      <c r="J234" s="209">
        <v>0.106</v>
      </c>
      <c r="K234" s="209">
        <v>0</v>
      </c>
      <c r="L234" s="209">
        <v>0</v>
      </c>
      <c r="M234" s="209">
        <v>1.396</v>
      </c>
      <c r="N234" s="209">
        <v>3.369</v>
      </c>
      <c r="O234" s="209">
        <v>0.863</v>
      </c>
      <c r="P234" s="209">
        <v>0.911</v>
      </c>
      <c r="Q234" s="209"/>
      <c r="R234" s="241">
        <f t="shared" si="70"/>
        <v>6.645</v>
      </c>
      <c r="S234" s="209"/>
      <c r="T234" s="209"/>
      <c r="U234" s="209"/>
      <c r="AA234" s="304" t="str">
        <f t="shared" si="48"/>
        <v>DirRecy-NMC622</v>
      </c>
      <c r="AB234" s="304" t="s">
        <v>375</v>
      </c>
      <c r="AC234" s="245" t="s">
        <v>486</v>
      </c>
      <c r="AD234" s="325">
        <f t="shared" si="49"/>
        <v>5.0175</v>
      </c>
      <c r="AE234" s="269"/>
      <c r="AH234" s="221" t="s">
        <v>494</v>
      </c>
      <c r="AI234" s="221"/>
      <c r="AJ234" s="221"/>
      <c r="AK234" s="221"/>
      <c r="AL234" s="221"/>
      <c r="AM234" s="221"/>
      <c r="AN234" s="221"/>
      <c r="AS234" s="304" t="s">
        <v>402</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5" t="s">
        <v>327</v>
      </c>
      <c r="BB234" s="326"/>
      <c r="BC234" s="304" t="s">
        <v>402</v>
      </c>
      <c r="BD234" s="245">
        <v>5</v>
      </c>
      <c r="BE234" s="245">
        <v>5</v>
      </c>
      <c r="BF234" s="245">
        <v>5</v>
      </c>
      <c r="BG234" s="245">
        <v>5</v>
      </c>
      <c r="BH234" s="245">
        <v>5</v>
      </c>
      <c r="BI234" s="245">
        <v>5</v>
      </c>
      <c r="BJ234" s="245">
        <v>5</v>
      </c>
      <c r="BK234" s="245" t="s">
        <v>327</v>
      </c>
      <c r="BL234" s="245">
        <v>0</v>
      </c>
    </row>
    <row r="235" ht="13" spans="1:64">
      <c r="B235" s="253" t="s">
        <v>401</v>
      </c>
      <c r="C235" s="253">
        <f t="shared" si="66"/>
        <v>3.56556266273643</v>
      </c>
      <c r="D235" s="267">
        <f t="shared" si="67"/>
        <v>2.70746042741341</v>
      </c>
      <c r="E235" s="267">
        <f t="shared" si="68"/>
        <v>4.4384597641857</v>
      </c>
      <c r="I235" s="209" t="s">
        <v>430</v>
      </c>
      <c r="J235" s="209">
        <v>0.102</v>
      </c>
      <c r="K235" s="209">
        <v>0.672</v>
      </c>
      <c r="L235" s="209">
        <v>0.127</v>
      </c>
      <c r="M235" s="209">
        <v>0</v>
      </c>
      <c r="N235" s="209">
        <v>2.92</v>
      </c>
      <c r="O235" s="209">
        <v>0.564</v>
      </c>
      <c r="P235" s="209">
        <v>0.978</v>
      </c>
      <c r="Q235" s="209"/>
      <c r="R235" s="241">
        <f t="shared" si="70"/>
        <v>5.363</v>
      </c>
      <c r="S235" s="209"/>
      <c r="T235" s="209"/>
      <c r="U235" s="209"/>
      <c r="AA235" s="327" t="str">
        <f t="shared" si="48"/>
        <v>DirRecy-NMC811</v>
      </c>
      <c r="AB235" s="327" t="s">
        <v>376</v>
      </c>
      <c r="AC235" s="320" t="s">
        <v>486</v>
      </c>
      <c r="AD235" s="328">
        <f t="shared" si="49"/>
        <v>4.7484</v>
      </c>
      <c r="AE235" s="269"/>
      <c r="AI235" s="271" t="s">
        <v>338</v>
      </c>
      <c r="AJ235" s="271" t="s">
        <v>340</v>
      </c>
      <c r="AK235" s="271" t="s">
        <v>342</v>
      </c>
      <c r="AL235" s="271" t="s">
        <v>351</v>
      </c>
      <c r="AM235" s="271" t="s">
        <v>353</v>
      </c>
      <c r="AN235" s="271" t="s">
        <v>356</v>
      </c>
      <c r="AO235" s="271" t="s">
        <v>490</v>
      </c>
    </row>
    <row r="236" ht="13" spans="1:64">
      <c r="B236" s="276" t="s">
        <v>402</v>
      </c>
      <c r="C236" s="253">
        <f t="shared" si="66"/>
        <v>3.56496890198968</v>
      </c>
      <c r="D236" s="267">
        <f t="shared" si="67"/>
        <v>2.70700957995578</v>
      </c>
      <c r="E236" s="267">
        <f t="shared" si="68"/>
        <v>4.43772063375092</v>
      </c>
      <c r="I236" s="209" t="s">
        <v>431</v>
      </c>
      <c r="J236" s="209">
        <v>0.141</v>
      </c>
      <c r="K236" s="209">
        <v>0.351</v>
      </c>
      <c r="L236" s="209">
        <v>0.352</v>
      </c>
      <c r="M236" s="209">
        <v>0.328</v>
      </c>
      <c r="N236" s="209">
        <v>3.11</v>
      </c>
      <c r="O236" s="209">
        <v>0.677</v>
      </c>
      <c r="P236" s="209">
        <v>0.978</v>
      </c>
      <c r="Q236" s="209"/>
      <c r="R236" s="241">
        <f t="shared" si="70"/>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0"/>
        <v>5.845</v>
      </c>
      <c r="S237" s="209"/>
      <c r="T237" s="209"/>
      <c r="U237" s="209"/>
      <c r="AA237" s="213"/>
      <c r="AB237" s="213"/>
      <c r="AE237" s="269"/>
      <c r="AI237" s="277">
        <f t="shared" ref="AI237:AO237" si="71">AI236</f>
        <v>0.9</v>
      </c>
      <c r="AJ237" s="271">
        <f t="shared" si="71"/>
        <v>0.9</v>
      </c>
      <c r="AK237" s="271">
        <f t="shared" si="71"/>
        <v>0.9</v>
      </c>
      <c r="AL237" s="271">
        <f t="shared" si="71"/>
        <v>0.9</v>
      </c>
      <c r="AM237" s="271">
        <f t="shared" si="71"/>
        <v>0.9</v>
      </c>
      <c r="AN237" s="271">
        <f t="shared" si="71"/>
        <v>0.9</v>
      </c>
      <c r="AO237" s="271">
        <f t="shared" si="71"/>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0"/>
        <v>5.575</v>
      </c>
      <c r="S238" s="209"/>
      <c r="T238" s="209"/>
      <c r="U238" s="209"/>
      <c r="AA238" s="213"/>
      <c r="AB238" s="213"/>
      <c r="AE238" s="279"/>
      <c r="AI238" s="277">
        <f t="shared" ref="AI238:AO238" si="72">AI237</f>
        <v>0.9</v>
      </c>
      <c r="AJ238" s="271">
        <f t="shared" si="72"/>
        <v>0.9</v>
      </c>
      <c r="AK238" s="271">
        <f t="shared" si="72"/>
        <v>0.9</v>
      </c>
      <c r="AL238" s="271">
        <f t="shared" si="72"/>
        <v>0.9</v>
      </c>
      <c r="AM238" s="271">
        <f t="shared" si="72"/>
        <v>0.9</v>
      </c>
      <c r="AN238" s="271">
        <f t="shared" si="72"/>
        <v>0.9</v>
      </c>
      <c r="AO238" s="271">
        <f t="shared" si="72"/>
        <v>0.9</v>
      </c>
    </row>
    <row r="239" ht="14.5" spans="1:64">
      <c r="B239" s="278"/>
      <c r="C239"/>
      <c r="D239"/>
      <c r="I239" s="209" t="s">
        <v>434</v>
      </c>
      <c r="J239" s="209">
        <v>0.1</v>
      </c>
      <c r="K239" s="209">
        <v>0.6</v>
      </c>
      <c r="L239" s="209">
        <v>0.075</v>
      </c>
      <c r="M239" s="209">
        <v>0.07</v>
      </c>
      <c r="N239" s="209">
        <v>2.921</v>
      </c>
      <c r="O239" s="209">
        <v>0.549</v>
      </c>
      <c r="P239" s="209">
        <v>0.961</v>
      </c>
      <c r="Q239" s="209"/>
      <c r="R239" s="241">
        <f t="shared" si="70"/>
        <v>5.276</v>
      </c>
      <c r="S239" s="209"/>
      <c r="T239" s="209"/>
      <c r="U239" s="209"/>
      <c r="AA239" s="213"/>
      <c r="AB239" s="213"/>
      <c r="AE239" s="279"/>
      <c r="AI239" s="277">
        <f t="shared" ref="AI239:AO239" si="73">AI238</f>
        <v>0.9</v>
      </c>
      <c r="AJ239" s="271">
        <f t="shared" si="73"/>
        <v>0.9</v>
      </c>
      <c r="AK239" s="271">
        <f t="shared" si="73"/>
        <v>0.9</v>
      </c>
      <c r="AL239" s="271">
        <f t="shared" si="73"/>
        <v>0.9</v>
      </c>
      <c r="AM239" s="271">
        <f t="shared" si="73"/>
        <v>0.9</v>
      </c>
      <c r="AN239" s="271">
        <f t="shared" si="73"/>
        <v>0.9</v>
      </c>
      <c r="AO239" s="271">
        <f t="shared" si="73"/>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4">AI239</f>
        <v>0.9</v>
      </c>
      <c r="AJ240" s="271">
        <f t="shared" si="74"/>
        <v>0.9</v>
      </c>
      <c r="AK240" s="271">
        <f t="shared" si="74"/>
        <v>0.9</v>
      </c>
      <c r="AL240" s="271">
        <f t="shared" si="74"/>
        <v>0.9</v>
      </c>
      <c r="AM240" s="271">
        <f t="shared" si="74"/>
        <v>0.9</v>
      </c>
      <c r="AN240" s="271">
        <f t="shared" si="74"/>
        <v>0.9</v>
      </c>
      <c r="AO240" s="271">
        <f t="shared" si="74"/>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5">AI240</f>
        <v>0.9</v>
      </c>
      <c r="AJ241" s="271">
        <f t="shared" si="75"/>
        <v>0.9</v>
      </c>
      <c r="AK241" s="271">
        <f t="shared" si="75"/>
        <v>0.9</v>
      </c>
      <c r="AL241" s="271">
        <f t="shared" si="75"/>
        <v>0.9</v>
      </c>
      <c r="AM241" s="271">
        <f t="shared" si="75"/>
        <v>0.9</v>
      </c>
      <c r="AN241" s="271">
        <f t="shared" si="75"/>
        <v>0.9</v>
      </c>
      <c r="AO241" s="271">
        <f t="shared" si="75"/>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6">AI241</f>
        <v>0.9</v>
      </c>
      <c r="AJ242" s="271">
        <f t="shared" si="76"/>
        <v>0.9</v>
      </c>
      <c r="AK242" s="271">
        <f t="shared" si="76"/>
        <v>0.9</v>
      </c>
      <c r="AL242" s="271">
        <f t="shared" si="76"/>
        <v>0.9</v>
      </c>
      <c r="AM242" s="271">
        <f t="shared" si="76"/>
        <v>0.9</v>
      </c>
      <c r="AN242" s="271">
        <f t="shared" si="76"/>
        <v>0.9</v>
      </c>
      <c r="AO242" s="271">
        <f t="shared" si="76"/>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329">
        <f>D7*AI214</f>
        <v>0</v>
      </c>
      <c r="E263" s="280">
        <v>0</v>
      </c>
      <c r="F263" s="280">
        <v>0</v>
      </c>
      <c r="G263" s="280">
        <v>0</v>
      </c>
      <c r="H263" s="280">
        <v>0</v>
      </c>
      <c r="I263" s="280">
        <v>0.8514</v>
      </c>
      <c r="J263" s="280">
        <v>0</v>
      </c>
      <c r="K263" s="209" t="s">
        <v>195</v>
      </c>
      <c r="L263" s="209"/>
      <c r="M263" s="280">
        <f t="shared" ref="M263:M268" si="77">AB238</f>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v>0</v>
      </c>
      <c r="E264" s="280">
        <v>0</v>
      </c>
      <c r="F264" s="280">
        <v>0</v>
      </c>
      <c r="G264" s="280">
        <v>0</v>
      </c>
      <c r="H264" s="280">
        <v>0</v>
      </c>
      <c r="I264" s="280">
        <v>0.7767</v>
      </c>
      <c r="J264" s="280">
        <v>0</v>
      </c>
      <c r="K264" s="209" t="s">
        <v>195</v>
      </c>
      <c r="L264" s="209"/>
      <c r="M264" s="280">
        <f t="shared" si="77"/>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v>0</v>
      </c>
      <c r="E265" s="280">
        <v>0.65856</v>
      </c>
      <c r="F265" s="280">
        <v>0.1143</v>
      </c>
      <c r="G265" s="280">
        <v>0</v>
      </c>
      <c r="H265" s="280">
        <v>0</v>
      </c>
      <c r="I265" s="280">
        <v>0.5076</v>
      </c>
      <c r="J265" s="280">
        <v>0</v>
      </c>
      <c r="K265" s="209" t="s">
        <v>195</v>
      </c>
      <c r="L265" s="209"/>
      <c r="M265" s="280">
        <f t="shared" si="77"/>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v>0</v>
      </c>
      <c r="E266" s="280">
        <v>0.34398</v>
      </c>
      <c r="F266" s="280">
        <v>0.3168</v>
      </c>
      <c r="G266" s="280">
        <v>0</v>
      </c>
      <c r="H266" s="280">
        <v>0</v>
      </c>
      <c r="I266" s="280">
        <v>0.6093</v>
      </c>
      <c r="J266" s="280">
        <v>0</v>
      </c>
      <c r="K266" s="209" t="s">
        <v>195</v>
      </c>
      <c r="L266" s="209"/>
      <c r="M266" s="280">
        <f t="shared" si="77"/>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v>0</v>
      </c>
      <c r="E267" s="280">
        <v>0.49784</v>
      </c>
      <c r="F267" s="280">
        <v>0.1836</v>
      </c>
      <c r="G267" s="280">
        <v>0</v>
      </c>
      <c r="H267" s="280">
        <v>0</v>
      </c>
      <c r="I267" s="280">
        <v>0.5949</v>
      </c>
      <c r="J267" s="280">
        <v>0</v>
      </c>
      <c r="K267" s="209" t="s">
        <v>195</v>
      </c>
      <c r="L267" s="209"/>
      <c r="M267" s="280">
        <f t="shared" si="77"/>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v>0</v>
      </c>
      <c r="E268" s="280">
        <v>0.52038</v>
      </c>
      <c r="F268" s="280">
        <v>0.1602</v>
      </c>
      <c r="G268" s="280">
        <v>0</v>
      </c>
      <c r="H268" s="280">
        <v>0</v>
      </c>
      <c r="I268" s="280">
        <v>0.5445</v>
      </c>
      <c r="J268" s="280">
        <v>0</v>
      </c>
      <c r="K268" s="209" t="s">
        <v>195</v>
      </c>
      <c r="L268" s="209"/>
      <c r="M268" s="280">
        <f t="shared" si="77"/>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510</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516</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523</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89" zoomScaleNormal="89" topLeftCell="A8" workbookViewId="0">
      <selection activeCell="B17" sqref="B17"/>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524</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2150</v>
      </c>
      <c r="B23" s="205" t="s">
        <v>213</v>
      </c>
      <c r="C23" s="203" t="s">
        <v>525</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ref="A23:A28" si="2">A23</f>
        <v>2150</v>
      </c>
      <c r="B24" s="205" t="s">
        <v>213</v>
      </c>
      <c r="C24" s="203" t="s">
        <v>526</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2150</v>
      </c>
      <c r="B25" s="205" t="s">
        <v>213</v>
      </c>
      <c r="C25" s="203" t="s">
        <v>527</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2150</v>
      </c>
      <c r="B26" s="205" t="s">
        <v>213</v>
      </c>
      <c r="C26" s="203" t="s">
        <v>528</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2150</v>
      </c>
      <c r="B27" s="205" t="s">
        <v>213</v>
      </c>
      <c r="C27" s="203" t="s">
        <v>529</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2150</v>
      </c>
      <c r="B28" s="205" t="s">
        <v>213</v>
      </c>
      <c r="C28" s="203" t="s">
        <v>530</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338</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340</v>
      </c>
      <c r="X35" s="209" t="s">
        <v>186</v>
      </c>
      <c r="Y35" s="209">
        <f t="shared" si="3"/>
        <v>0</v>
      </c>
    </row>
    <row r="36" ht="14.5" spans="2:34">
      <c r="B36" s="203" t="s">
        <v>524</v>
      </c>
      <c r="C36" t="s">
        <v>291</v>
      </c>
      <c r="D36"/>
      <c r="E36" s="203" t="s">
        <v>256</v>
      </c>
      <c r="K36" s="171">
        <v>1</v>
      </c>
      <c r="L36" s="171">
        <v>1</v>
      </c>
      <c r="N36" s="210"/>
      <c r="O36" s="210"/>
      <c r="V36" s="209" t="str">
        <f>"Tra_bat_recy_"&amp;N36</f>
        <v>Tra_bat_recy_</v>
      </c>
      <c r="W36" s="209" t="s">
        <v>342</v>
      </c>
      <c r="X36" s="209" t="s">
        <v>187</v>
      </c>
      <c r="Y36" s="209">
        <f t="shared" si="3"/>
        <v>0</v>
      </c>
    </row>
    <row r="37" ht="16" spans="2:34">
      <c r="B37" s="203" t="s">
        <v>525</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351</v>
      </c>
      <c r="X37" s="209" t="s">
        <v>188</v>
      </c>
      <c r="Y37" s="209">
        <f t="shared" si="3"/>
        <v>0</v>
      </c>
    </row>
    <row r="38" ht="16" spans="2:34">
      <c r="B38" s="203" t="s">
        <v>526</v>
      </c>
      <c r="C38" s="178" t="str">
        <f t="shared" si="4"/>
        <v>TRAELC</v>
      </c>
      <c r="E38" s="178" t="str">
        <f t="shared" si="5"/>
        <v>TRDELC</v>
      </c>
      <c r="K38" s="178">
        <f t="shared" si="6"/>
        <v>1</v>
      </c>
      <c r="L38" s="178">
        <f t="shared" si="7"/>
        <v>1</v>
      </c>
      <c r="N38" s="210"/>
      <c r="O38" s="210"/>
      <c r="V38" s="209" t="str">
        <f>"Tra_bat_recy_"&amp;N38</f>
        <v>Tra_bat_recy_</v>
      </c>
      <c r="W38" s="209" t="s">
        <v>353</v>
      </c>
      <c r="X38" s="209" t="s">
        <v>189</v>
      </c>
      <c r="Y38" s="209">
        <f t="shared" si="3"/>
        <v>0</v>
      </c>
    </row>
    <row r="39" ht="16" spans="2:34">
      <c r="B39" s="203" t="s">
        <v>527</v>
      </c>
      <c r="C39" s="178" t="str">
        <f t="shared" si="4"/>
        <v>TRAELC</v>
      </c>
      <c r="E39" s="178" t="str">
        <f t="shared" si="5"/>
        <v>TRDELC</v>
      </c>
      <c r="K39" s="178">
        <f t="shared" si="6"/>
        <v>1</v>
      </c>
      <c r="L39" s="178">
        <f t="shared" si="7"/>
        <v>1</v>
      </c>
      <c r="N39" s="210"/>
      <c r="O39" s="210"/>
      <c r="V39" s="209" t="str">
        <f>"Tra_bat_recy_"&amp;N39</f>
        <v>Tra_bat_recy_</v>
      </c>
      <c r="W39" s="209" t="s">
        <v>356</v>
      </c>
      <c r="X39" s="209" t="s">
        <v>190</v>
      </c>
      <c r="Y39" s="209">
        <f t="shared" si="3"/>
        <v>0</v>
      </c>
    </row>
    <row r="40" ht="16" spans="2:34">
      <c r="B40" s="203" t="s">
        <v>528</v>
      </c>
      <c r="C40" s="178" t="str">
        <f t="shared" si="4"/>
        <v>TRAELC</v>
      </c>
      <c r="E40" s="178" t="str">
        <f t="shared" si="5"/>
        <v>TRDELC</v>
      </c>
      <c r="K40" s="178">
        <f t="shared" si="6"/>
        <v>1</v>
      </c>
      <c r="L40" s="178">
        <f t="shared" si="7"/>
        <v>1</v>
      </c>
    </row>
    <row r="41" ht="16" spans="2:34">
      <c r="B41" s="203" t="s">
        <v>529</v>
      </c>
      <c r="C41" s="178" t="str">
        <f t="shared" si="4"/>
        <v>TRAELC</v>
      </c>
      <c r="E41" s="178" t="str">
        <f t="shared" si="5"/>
        <v>TRDELC</v>
      </c>
      <c r="K41" s="178">
        <f t="shared" si="6"/>
        <v>1</v>
      </c>
      <c r="L41" s="178">
        <f t="shared" si="7"/>
        <v>1</v>
      </c>
    </row>
    <row r="42" ht="16" spans="2:34">
      <c r="B42" s="203" t="s">
        <v>530</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333</v>
      </c>
      <c r="C47" s="171" t="str">
        <f t="shared" si="10"/>
        <v>TRAELC</v>
      </c>
      <c r="E47" s="171" t="str">
        <f t="shared" si="11"/>
        <v>TRDELC</v>
      </c>
      <c r="K47" s="178">
        <f t="shared" si="8"/>
        <v>1</v>
      </c>
      <c r="L47" s="178">
        <f t="shared" si="9"/>
        <v>1</v>
      </c>
    </row>
    <row r="48" ht="16" spans="2:34">
      <c r="B48" s="171" t="s">
        <v>334</v>
      </c>
      <c r="C48" s="171" t="str">
        <f t="shared" si="10"/>
        <v>TRAELC</v>
      </c>
      <c r="E48" s="171" t="str">
        <f t="shared" si="11"/>
        <v>TRDELC</v>
      </c>
      <c r="K48" s="178">
        <f t="shared" si="8"/>
        <v>1</v>
      </c>
      <c r="L48" s="178">
        <f t="shared" si="9"/>
        <v>1</v>
      </c>
    </row>
    <row r="49" ht="16" spans="2:28">
      <c r="B49" s="171" t="s">
        <v>335</v>
      </c>
      <c r="C49" s="171" t="str">
        <f t="shared" si="10"/>
        <v>TRAELC</v>
      </c>
      <c r="E49" s="171" t="str">
        <f t="shared" si="11"/>
        <v>TRDELC</v>
      </c>
      <c r="K49" s="178">
        <f t="shared" si="8"/>
        <v>1</v>
      </c>
      <c r="L49" s="178">
        <f t="shared" si="9"/>
        <v>1</v>
      </c>
    </row>
    <row r="50" spans="2:28">
      <c r="B50" s="171" t="s">
        <v>336</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406</v>
      </c>
      <c r="AR123" s="215"/>
      <c r="AS123" s="215"/>
      <c r="AT123" s="215"/>
    </row>
    <row r="124" spans="1:46">
      <c r="AA124" s="216" t="s">
        <v>403</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404</v>
      </c>
      <c r="D126" s="219"/>
      <c r="E126" s="219"/>
      <c r="F126" s="219"/>
      <c r="H126" s="209"/>
      <c r="I126" s="220"/>
      <c r="J126" s="221" t="s">
        <v>405</v>
      </c>
      <c r="K126" s="221"/>
      <c r="L126" s="221"/>
      <c r="M126" s="221"/>
      <c r="N126" s="221"/>
      <c r="O126" s="221"/>
      <c r="P126" s="221"/>
      <c r="Q126" s="221"/>
      <c r="R126" s="221"/>
      <c r="S126" s="209"/>
      <c r="T126" s="209"/>
      <c r="U126" s="209"/>
      <c r="AQ126" s="215"/>
      <c r="AR126" s="215"/>
      <c r="AS126" s="215"/>
      <c r="AT126" s="215"/>
    </row>
    <row r="127" ht="14.5" spans="1:46">
      <c r="B127" s="217"/>
      <c r="C127" s="222" t="s">
        <v>406</v>
      </c>
      <c r="D127" s="219"/>
      <c r="E127" s="219"/>
      <c r="F127" s="219"/>
      <c r="H127" s="223" t="s">
        <v>407</v>
      </c>
      <c r="I127" s="224" t="s">
        <v>408</v>
      </c>
      <c r="J127" s="224" t="s">
        <v>409</v>
      </c>
      <c r="K127" s="224" t="s">
        <v>410</v>
      </c>
      <c r="L127" s="224" t="s">
        <v>411</v>
      </c>
      <c r="M127" s="225" t="s">
        <v>409</v>
      </c>
      <c r="N127" s="225" t="s">
        <v>410</v>
      </c>
      <c r="O127" s="225" t="s">
        <v>411</v>
      </c>
      <c r="P127" s="224" t="s">
        <v>409</v>
      </c>
      <c r="Q127" s="224" t="s">
        <v>410</v>
      </c>
      <c r="R127" s="224" t="s">
        <v>411</v>
      </c>
      <c r="S127" s="209"/>
      <c r="T127" s="226" t="s">
        <v>412</v>
      </c>
      <c r="U127" s="209"/>
      <c r="AA127" s="219"/>
      <c r="AB127" s="219"/>
      <c r="AC127" s="219" t="s">
        <v>406</v>
      </c>
      <c r="AD127" s="219"/>
      <c r="AE127" s="219"/>
      <c r="AF127" s="219"/>
      <c r="AI127" s="219"/>
      <c r="AJ127" s="219"/>
      <c r="AK127" s="219" t="s">
        <v>406</v>
      </c>
      <c r="AL127" s="219"/>
      <c r="AM127" s="219"/>
      <c r="AN127" s="219"/>
      <c r="AQ127" s="215"/>
      <c r="AR127" s="215"/>
      <c r="AS127" s="215"/>
      <c r="AT127" s="215"/>
    </row>
    <row r="128" ht="20" spans="1:46">
      <c r="A128" s="227"/>
      <c r="B128" s="219"/>
      <c r="C128" s="219"/>
      <c r="D128" s="222"/>
      <c r="E128" s="222"/>
      <c r="F128" s="222"/>
      <c r="H128" s="209" t="s">
        <v>413</v>
      </c>
      <c r="I128" s="224" t="s">
        <v>414</v>
      </c>
      <c r="J128" s="228" t="s">
        <v>415</v>
      </c>
      <c r="K128" s="229"/>
      <c r="L128" s="230"/>
      <c r="M128" s="231" t="s">
        <v>416</v>
      </c>
      <c r="N128" s="232"/>
      <c r="O128" s="233"/>
      <c r="P128" s="228" t="s">
        <v>417</v>
      </c>
      <c r="Q128" s="229"/>
      <c r="R128" s="230"/>
      <c r="S128" s="209"/>
      <c r="T128" s="209" t="s">
        <v>416</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418</v>
      </c>
      <c r="C129" s="222" t="s">
        <v>257</v>
      </c>
      <c r="D129" s="222" t="s">
        <v>419</v>
      </c>
      <c r="E129" s="222" t="s">
        <v>420</v>
      </c>
      <c r="F129" s="222" t="s">
        <v>421</v>
      </c>
      <c r="H129" s="209"/>
      <c r="I129" s="224" t="s">
        <v>422</v>
      </c>
      <c r="J129" s="228" t="s">
        <v>423</v>
      </c>
      <c r="K129" s="229"/>
      <c r="L129" s="230"/>
      <c r="M129" s="231" t="s">
        <v>423</v>
      </c>
      <c r="N129" s="232"/>
      <c r="O129" s="233"/>
      <c r="P129" s="228" t="s">
        <v>423</v>
      </c>
      <c r="Q129" s="229"/>
      <c r="R129" s="230"/>
      <c r="S129" s="209"/>
      <c r="T129" s="209" t="s">
        <v>423</v>
      </c>
      <c r="U129" s="209"/>
      <c r="AA129" s="219" t="s">
        <v>418</v>
      </c>
      <c r="AB129" s="219" t="s">
        <v>424</v>
      </c>
      <c r="AC129" s="219" t="s">
        <v>257</v>
      </c>
      <c r="AD129" s="219" t="s">
        <v>419</v>
      </c>
      <c r="AE129" s="219" t="s">
        <v>420</v>
      </c>
      <c r="AF129" s="219" t="s">
        <v>421</v>
      </c>
      <c r="AI129" s="219" t="s">
        <v>418</v>
      </c>
      <c r="AJ129" s="219" t="s">
        <v>424</v>
      </c>
      <c r="AK129" s="219" t="s">
        <v>257</v>
      </c>
      <c r="AL129" s="219" t="s">
        <v>419</v>
      </c>
      <c r="AM129" s="219" t="s">
        <v>420</v>
      </c>
      <c r="AN129" s="219" t="s">
        <v>421</v>
      </c>
      <c r="AQ129" s="214" t="str">
        <f>C22</f>
        <v>Tra_EV_Batt-LFP_fromrecy</v>
      </c>
      <c r="AR129" s="215">
        <v>0.001</v>
      </c>
      <c r="AS129" s="215">
        <v>0.001</v>
      </c>
      <c r="AT129" s="215">
        <v>5</v>
      </c>
    </row>
    <row r="130" ht="13" spans="1:46">
      <c r="B130" s="219" t="s">
        <v>366</v>
      </c>
      <c r="C130" s="219"/>
      <c r="D130" s="219"/>
      <c r="E130" s="219"/>
      <c r="F130" s="219"/>
      <c r="H130" s="209">
        <v>0.2</v>
      </c>
      <c r="I130" s="224" t="s">
        <v>425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366</v>
      </c>
      <c r="AB130" s="219"/>
      <c r="AC130" s="219"/>
      <c r="AD130" s="219"/>
      <c r="AE130" s="219"/>
      <c r="AF130" s="219"/>
      <c r="AI130" s="219" t="s">
        <v>366</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426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427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426</v>
      </c>
      <c r="AD131" s="219">
        <f t="shared" ref="AD131:AF131" si="17">D131*0.313</f>
        <v>25.1599342966667</v>
      </c>
      <c r="AE131" s="219">
        <f t="shared" si="17"/>
        <v>17.36734649</v>
      </c>
      <c r="AF131" s="219">
        <f t="shared" si="17"/>
        <v>33.43624065</v>
      </c>
      <c r="AI131" s="219" t="s">
        <v>195</v>
      </c>
      <c r="AJ131" s="219">
        <v>0</v>
      </c>
      <c r="AK131" s="219" t="s">
        <v>426</v>
      </c>
      <c r="AL131" s="219">
        <v>5</v>
      </c>
      <c r="AM131" s="219">
        <v>5</v>
      </c>
      <c r="AN131" s="219">
        <v>5</v>
      </c>
      <c r="AQ131" s="214" t="str">
        <f t="shared" si="15"/>
        <v>Tra_EV_Batt-NCA_fromrecy</v>
      </c>
      <c r="AR131" s="215">
        <v>0.001</v>
      </c>
      <c r="AS131" s="215">
        <v>0.001</v>
      </c>
      <c r="AT131" s="215">
        <v>5</v>
      </c>
    </row>
    <row r="132" ht="13" spans="1:46">
      <c r="B132" s="219" t="s">
        <v>195</v>
      </c>
      <c r="C132" s="222" t="s">
        <v>428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429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428</v>
      </c>
      <c r="AD132" s="219">
        <f t="shared" ref="AD132:AF132" si="18">D132*0.313</f>
        <v>29.8628918</v>
      </c>
      <c r="AE132" s="219">
        <f t="shared" si="18"/>
        <v>20.75992845</v>
      </c>
      <c r="AF132" s="219">
        <f t="shared" si="18"/>
        <v>39.52049115</v>
      </c>
      <c r="AI132" s="219" t="s">
        <v>195</v>
      </c>
      <c r="AJ132" s="219">
        <v>0</v>
      </c>
      <c r="AK132" s="219" t="s">
        <v>428</v>
      </c>
      <c r="AL132" s="219">
        <v>5</v>
      </c>
      <c r="AM132" s="219">
        <v>5</v>
      </c>
      <c r="AN132" s="219">
        <v>5</v>
      </c>
      <c r="AQ132" s="214" t="str">
        <f t="shared" si="15"/>
        <v>Tra_EV_Batt-NMC111_fromrecy</v>
      </c>
      <c r="AR132" s="215">
        <v>0.001</v>
      </c>
      <c r="AS132" s="215">
        <v>0.001</v>
      </c>
      <c r="AT132" s="215">
        <v>5</v>
      </c>
    </row>
    <row r="133" ht="13" spans="1:46">
      <c r="B133" s="219" t="s">
        <v>195</v>
      </c>
      <c r="C133" s="222" t="s">
        <v>430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430</v>
      </c>
      <c r="AD133" s="219">
        <f t="shared" ref="AD133:AF133" si="19">D133*0.313</f>
        <v>26.7138290566668</v>
      </c>
      <c r="AE133" s="219">
        <f t="shared" si="19"/>
        <v>17.55976011</v>
      </c>
      <c r="AF133" s="219">
        <f t="shared" si="19"/>
        <v>36.41065148</v>
      </c>
      <c r="AI133" s="219" t="s">
        <v>195</v>
      </c>
      <c r="AJ133" s="219">
        <v>0</v>
      </c>
      <c r="AK133" s="219" t="s">
        <v>430</v>
      </c>
      <c r="AL133" s="219">
        <v>5</v>
      </c>
      <c r="AM133" s="219">
        <v>5</v>
      </c>
      <c r="AN133" s="219">
        <v>5</v>
      </c>
      <c r="AQ133" s="214" t="str">
        <f t="shared" si="15"/>
        <v>Tra_EV_Batt-NMC532_fromrecy</v>
      </c>
      <c r="AR133" s="215">
        <v>0.001</v>
      </c>
      <c r="AS133" s="215">
        <v>0.001</v>
      </c>
      <c r="AT133" s="215">
        <v>5</v>
      </c>
    </row>
    <row r="134" ht="30" spans="1:46">
      <c r="A134" s="238"/>
      <c r="B134" s="219" t="s">
        <v>195</v>
      </c>
      <c r="C134" s="222" t="s">
        <v>431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431</v>
      </c>
      <c r="AD134" s="219">
        <f t="shared" ref="AD134:AF134" si="20">D134*0.313</f>
        <v>26.76825141</v>
      </c>
      <c r="AE134" s="219">
        <f t="shared" si="20"/>
        <v>17.39012663</v>
      </c>
      <c r="AF134" s="219">
        <f t="shared" si="20"/>
        <v>36.71624903</v>
      </c>
      <c r="AI134" s="219" t="s">
        <v>195</v>
      </c>
      <c r="AJ134" s="219">
        <v>0</v>
      </c>
      <c r="AK134" s="219" t="s">
        <v>431</v>
      </c>
      <c r="AL134" s="219">
        <v>5</v>
      </c>
      <c r="AM134" s="219">
        <v>5</v>
      </c>
      <c r="AN134" s="219">
        <v>5</v>
      </c>
      <c r="AQ134" s="214" t="str">
        <f t="shared" si="15"/>
        <v>Tra_EV_Batt-NMC622_fromrecy</v>
      </c>
      <c r="AR134" s="215">
        <v>0.001</v>
      </c>
      <c r="AS134" s="215">
        <v>0.001</v>
      </c>
      <c r="AT134" s="215">
        <v>5</v>
      </c>
    </row>
    <row r="135" ht="13" spans="1:46">
      <c r="B135" s="219" t="s">
        <v>195</v>
      </c>
      <c r="C135" s="222" t="s">
        <v>432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432</v>
      </c>
      <c r="AD135" s="219">
        <f t="shared" ref="AD135:AF135" si="21">D135*0.313</f>
        <v>28.1990829166668</v>
      </c>
      <c r="AE135" s="219">
        <f t="shared" si="21"/>
        <v>18.5820901</v>
      </c>
      <c r="AF135" s="219">
        <f t="shared" si="21"/>
        <v>38.39541265</v>
      </c>
      <c r="AI135" s="219" t="s">
        <v>195</v>
      </c>
      <c r="AJ135" s="219">
        <v>0</v>
      </c>
      <c r="AK135" s="219" t="s">
        <v>432</v>
      </c>
      <c r="AL135" s="219">
        <v>5</v>
      </c>
      <c r="AM135" s="219">
        <v>5</v>
      </c>
      <c r="AN135" s="219">
        <v>5</v>
      </c>
      <c r="AQ135" s="214" t="str">
        <f t="shared" si="15"/>
        <v>Tra_EV_Batt-NMC811_fromrecy</v>
      </c>
      <c r="AR135" s="215">
        <v>0.001</v>
      </c>
      <c r="AS135" s="215">
        <v>0.001</v>
      </c>
      <c r="AT135" s="215">
        <v>5</v>
      </c>
    </row>
    <row r="136" ht="25" spans="1:46">
      <c r="A136" s="239"/>
      <c r="B136" s="219" t="s">
        <v>195</v>
      </c>
      <c r="C136" s="222" t="s">
        <v>433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433</v>
      </c>
      <c r="AD136" s="219">
        <f t="shared" ref="AD136:AF136" si="22">D136*0.313</f>
        <v>27.2066538166668</v>
      </c>
      <c r="AE136" s="219">
        <f t="shared" si="22"/>
        <v>17.94665315</v>
      </c>
      <c r="AF136" s="219">
        <f t="shared" si="22"/>
        <v>37.0192299</v>
      </c>
      <c r="AI136" s="219" t="s">
        <v>195</v>
      </c>
      <c r="AJ136" s="219">
        <v>0</v>
      </c>
      <c r="AK136" s="219" t="s">
        <v>433</v>
      </c>
      <c r="AL136" s="219">
        <v>5</v>
      </c>
      <c r="AM136" s="219">
        <v>5</v>
      </c>
      <c r="AN136" s="219">
        <v>5</v>
      </c>
    </row>
    <row r="137" ht="13" spans="1:46">
      <c r="B137" s="219" t="s">
        <v>195</v>
      </c>
      <c r="C137" s="222" t="s">
        <v>434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434</v>
      </c>
      <c r="AD137" s="219">
        <f t="shared" ref="AD137:AF137" si="23">D137*0.313</f>
        <v>28.0299846666668</v>
      </c>
      <c r="AE137" s="219">
        <f t="shared" si="23"/>
        <v>18.77670724</v>
      </c>
      <c r="AF137" s="219">
        <f t="shared" si="23"/>
        <v>37.83372476</v>
      </c>
      <c r="AI137" s="219" t="s">
        <v>195</v>
      </c>
      <c r="AJ137" s="219">
        <v>0</v>
      </c>
      <c r="AK137" s="219" t="s">
        <v>434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436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366</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426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428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437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438</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369</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443</v>
      </c>
      <c r="D161" s="245" t="s">
        <v>444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446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447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448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470</v>
      </c>
      <c r="C211" s="250"/>
      <c r="D211" s="249"/>
      <c r="E211" s="249"/>
      <c r="I211" s="209"/>
      <c r="J211" s="221" t="s">
        <v>471</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406</v>
      </c>
      <c r="C212" s="249"/>
      <c r="D212" s="249"/>
      <c r="E212" s="249"/>
      <c r="I212" s="236"/>
      <c r="J212" s="254" t="s">
        <v>409</v>
      </c>
      <c r="K212" s="255"/>
      <c r="L212" s="255"/>
      <c r="M212" s="254" t="s">
        <v>410</v>
      </c>
      <c r="N212" s="255"/>
      <c r="O212" s="255"/>
      <c r="P212" s="254" t="s">
        <v>411</v>
      </c>
      <c r="Q212" s="255"/>
      <c r="R212" s="255"/>
      <c r="S212" s="226" t="s">
        <v>412</v>
      </c>
      <c r="T212" s="209"/>
      <c r="U212" s="209"/>
      <c r="W212" s="256"/>
      <c r="X212" s="257"/>
      <c r="Y212" s="257"/>
      <c r="Z212" s="257"/>
      <c r="AA212" s="257"/>
      <c r="AB212" s="257"/>
      <c r="AC212" s="257"/>
      <c r="AD212" s="257"/>
      <c r="AE212" s="257"/>
      <c r="AF212" s="257"/>
      <c r="AH212" s="221" t="s">
        <v>472</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474</v>
      </c>
      <c r="K213" s="261"/>
      <c r="L213" s="255"/>
      <c r="M213" s="260" t="s">
        <v>474</v>
      </c>
      <c r="N213" s="261"/>
      <c r="O213" s="255"/>
      <c r="P213" s="260" t="s">
        <v>474</v>
      </c>
      <c r="Q213" s="261"/>
      <c r="R213" s="255"/>
      <c r="S213" s="260" t="s">
        <v>474</v>
      </c>
      <c r="T213" s="261"/>
      <c r="U213" s="255"/>
      <c r="W213" s="256"/>
      <c r="X213" s="262"/>
      <c r="Y213" s="262"/>
      <c r="Z213" s="262"/>
      <c r="AD213" s="262"/>
      <c r="AE213" s="262"/>
      <c r="AF213" s="262"/>
      <c r="AH213" s="220"/>
      <c r="AI213" s="220" t="s">
        <v>475</v>
      </c>
      <c r="AJ213" s="220" t="s">
        <v>476</v>
      </c>
      <c r="AK213" s="220" t="s">
        <v>477</v>
      </c>
      <c r="AL213" s="220" t="s">
        <v>478</v>
      </c>
      <c r="AM213" s="263" t="s">
        <v>479</v>
      </c>
      <c r="AN213" s="220" t="s">
        <v>480</v>
      </c>
      <c r="AO213" s="220" t="s">
        <v>349</v>
      </c>
      <c r="AP213" s="220" t="s">
        <v>481</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419</v>
      </c>
      <c r="D214" s="253" t="s">
        <v>420</v>
      </c>
      <c r="E214" s="253" t="s">
        <v>421</v>
      </c>
      <c r="I214" s="236"/>
      <c r="J214" s="260" t="s">
        <v>482</v>
      </c>
      <c r="K214" s="260" t="s">
        <v>483</v>
      </c>
      <c r="L214" s="260" t="s">
        <v>484</v>
      </c>
      <c r="M214" s="254" t="s">
        <v>482</v>
      </c>
      <c r="N214" s="264" t="s">
        <v>483</v>
      </c>
      <c r="O214" s="254" t="s">
        <v>484</v>
      </c>
      <c r="P214" s="254" t="s">
        <v>482</v>
      </c>
      <c r="Q214" s="254" t="s">
        <v>483</v>
      </c>
      <c r="R214" s="254" t="s">
        <v>484</v>
      </c>
      <c r="S214" s="254" t="s">
        <v>482</v>
      </c>
      <c r="T214" s="254" t="s">
        <v>483</v>
      </c>
      <c r="U214" s="254" t="s">
        <v>484</v>
      </c>
      <c r="W214" s="256"/>
      <c r="X214" s="262"/>
      <c r="Y214" s="262"/>
      <c r="Z214" s="262"/>
      <c r="AA214" s="257"/>
      <c r="AB214" s="192"/>
      <c r="AC214" s="192"/>
      <c r="AD214" s="257"/>
      <c r="AE214" s="257"/>
      <c r="AF214" s="257"/>
      <c r="AH214" s="265" t="s">
        <v>485</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366</v>
      </c>
      <c r="C215" s="253"/>
      <c r="D215" s="267"/>
      <c r="E215" s="267"/>
      <c r="I215" s="226" t="s">
        <v>425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380</v>
      </c>
      <c r="C216" s="253">
        <f t="shared" ref="C216:C222" si="48">S216</f>
        <v>7.11384396954065</v>
      </c>
      <c r="D216" s="267">
        <f t="shared" ref="D216:D222" si="49">P216</f>
        <v>5.40179852616065</v>
      </c>
      <c r="E216" s="267">
        <f t="shared" ref="E216:E222" si="50">J216</f>
        <v>8.85540744288872</v>
      </c>
      <c r="I216" s="226" t="s">
        <v>487</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382</v>
      </c>
      <c r="C217" s="253">
        <f t="shared" si="48"/>
        <v>7.11384396954065</v>
      </c>
      <c r="D217" s="267">
        <f t="shared" si="49"/>
        <v>5.40179852616065</v>
      </c>
      <c r="E217" s="267">
        <f t="shared" si="50"/>
        <v>8.85540744288872</v>
      </c>
      <c r="I217" s="226" t="s">
        <v>488</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383</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384</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385</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387</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388</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389</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489</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390</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338</v>
      </c>
      <c r="AJ224" s="271" t="s">
        <v>340</v>
      </c>
      <c r="AK224" s="271" t="s">
        <v>342</v>
      </c>
      <c r="AL224" s="271" t="s">
        <v>351</v>
      </c>
      <c r="AM224" s="271" t="s">
        <v>353</v>
      </c>
      <c r="AN224" s="271" t="s">
        <v>356</v>
      </c>
      <c r="AO224" s="271" t="s">
        <v>490</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391</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392</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393</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394</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395</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396</v>
      </c>
      <c r="C230" s="253">
        <f t="shared" ref="C230:C236" si="70">U216</f>
        <v>3.56556266273643</v>
      </c>
      <c r="D230" s="267">
        <f t="shared" ref="D230:D236" si="71">R216</f>
        <v>2.70746042741341</v>
      </c>
      <c r="E230" s="267">
        <f t="shared" ref="E230:E236" si="72">L216</f>
        <v>4.4384597641857</v>
      </c>
      <c r="I230" s="273" t="s">
        <v>491</v>
      </c>
      <c r="J230" s="240" t="s">
        <v>492</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397</v>
      </c>
      <c r="C231" s="253">
        <f t="shared" si="70"/>
        <v>3.60087708179809</v>
      </c>
      <c r="D231" s="267">
        <f t="shared" si="71"/>
        <v>2.73427597641857</v>
      </c>
      <c r="E231" s="267">
        <f t="shared" si="72"/>
        <v>4.48241960206338</v>
      </c>
      <c r="I231" s="209" t="s">
        <v>493</v>
      </c>
      <c r="J231" s="209"/>
      <c r="K231" s="209"/>
      <c r="L231" s="209"/>
      <c r="M231" s="209"/>
      <c r="N231" s="209"/>
      <c r="O231" s="209"/>
      <c r="P231" s="209"/>
      <c r="Q231" s="209"/>
      <c r="R231" s="241" t="s">
        <v>436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398</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399</v>
      </c>
      <c r="C233" s="253">
        <f t="shared" si="70"/>
        <v>3.56645369688037</v>
      </c>
      <c r="D233" s="267">
        <f t="shared" si="71"/>
        <v>2.70813706705969</v>
      </c>
      <c r="E233" s="267">
        <f t="shared" si="72"/>
        <v>4.43956890198968</v>
      </c>
      <c r="I233" s="209" t="s">
        <v>426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400</v>
      </c>
      <c r="C234" s="253">
        <f t="shared" si="70"/>
        <v>3.56585961680177</v>
      </c>
      <c r="D234" s="267">
        <f t="shared" si="71"/>
        <v>2.70768592483419</v>
      </c>
      <c r="E234" s="267">
        <f t="shared" si="72"/>
        <v>4.43882940309506</v>
      </c>
      <c r="I234" s="209" t="s">
        <v>428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494</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401</v>
      </c>
      <c r="C235" s="253">
        <f t="shared" si="70"/>
        <v>3.56556266273643</v>
      </c>
      <c r="D235" s="267">
        <f t="shared" si="71"/>
        <v>2.70746042741341</v>
      </c>
      <c r="E235" s="267">
        <f t="shared" si="72"/>
        <v>4.4384597641857</v>
      </c>
      <c r="I235" s="209" t="s">
        <v>430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338</v>
      </c>
      <c r="AJ235" s="271" t="s">
        <v>340</v>
      </c>
      <c r="AK235" s="271" t="s">
        <v>342</v>
      </c>
      <c r="AL235" s="271" t="s">
        <v>351</v>
      </c>
      <c r="AM235" s="271" t="s">
        <v>353</v>
      </c>
      <c r="AN235" s="271" t="s">
        <v>356</v>
      </c>
      <c r="AO235" s="271" t="s">
        <v>490</v>
      </c>
    </row>
    <row r="236" ht="13" spans="1:64">
      <c r="B236" s="276" t="s">
        <v>402</v>
      </c>
      <c r="C236" s="253">
        <f t="shared" si="70"/>
        <v>3.56496890198968</v>
      </c>
      <c r="D236" s="267">
        <f t="shared" si="71"/>
        <v>2.70700957995578</v>
      </c>
      <c r="E236" s="267">
        <f t="shared" si="72"/>
        <v>4.43772063375092</v>
      </c>
      <c r="I236" s="209" t="s">
        <v>431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369</v>
      </c>
      <c r="O258" s="209"/>
      <c r="P258" s="209"/>
      <c r="Q258" s="209"/>
      <c r="R258" s="209"/>
      <c r="S258" s="209"/>
      <c r="T258" s="209"/>
      <c r="U258" s="209"/>
      <c r="V258" s="209"/>
      <c r="W258" s="209"/>
    </row>
    <row r="259" spans="2:23">
      <c r="B259" s="209"/>
      <c r="C259" s="280" t="s">
        <v>495</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338</v>
      </c>
      <c r="P261" s="280" t="s">
        <v>340</v>
      </c>
      <c r="Q261" s="280" t="s">
        <v>342</v>
      </c>
      <c r="R261" s="280" t="s">
        <v>351</v>
      </c>
      <c r="S261" s="280" t="s">
        <v>353</v>
      </c>
      <c r="T261" s="280" t="s">
        <v>356</v>
      </c>
      <c r="U261" s="280" t="s">
        <v>490</v>
      </c>
      <c r="V261" s="280" t="s">
        <v>443</v>
      </c>
      <c r="W261" s="280" t="s">
        <v>444</v>
      </c>
    </row>
    <row r="262" spans="2:23">
      <c r="B262" s="280" t="s">
        <v>194</v>
      </c>
      <c r="C262" s="280" t="s">
        <v>257</v>
      </c>
      <c r="D262" s="280" t="s">
        <v>185</v>
      </c>
      <c r="E262" s="280" t="s">
        <v>186</v>
      </c>
      <c r="F262" s="280" t="s">
        <v>187</v>
      </c>
      <c r="G262" s="280" t="s">
        <v>188</v>
      </c>
      <c r="H262" s="280" t="s">
        <v>189</v>
      </c>
      <c r="I262" s="280" t="s">
        <v>190</v>
      </c>
      <c r="J262" s="280" t="s">
        <v>191</v>
      </c>
      <c r="K262" s="209" t="s">
        <v>418</v>
      </c>
      <c r="L262" s="209"/>
      <c r="M262" s="280">
        <f t="shared" ref="M262:M268" si="82">AB237</f>
        <v>0</v>
      </c>
      <c r="N262" s="281" t="s">
        <v>496</v>
      </c>
      <c r="O262" s="280">
        <v>0.0608</v>
      </c>
      <c r="P262" s="280">
        <v>0</v>
      </c>
      <c r="Q262" s="280">
        <v>0</v>
      </c>
      <c r="R262" s="280">
        <v>0</v>
      </c>
      <c r="S262" s="280">
        <v>2.25792</v>
      </c>
      <c r="T262" s="280">
        <v>0.60544</v>
      </c>
      <c r="U262" s="280">
        <v>0.6944</v>
      </c>
      <c r="V262" s="280" t="s">
        <v>312</v>
      </c>
      <c r="W262" s="280">
        <v>1</v>
      </c>
    </row>
    <row r="263" spans="2:23">
      <c r="B263" s="280" t="s">
        <v>497</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498</v>
      </c>
      <c r="O263" s="280">
        <v>0.06784</v>
      </c>
      <c r="P263" s="280">
        <v>0</v>
      </c>
      <c r="Q263" s="280">
        <v>0</v>
      </c>
      <c r="R263" s="280">
        <v>0.89344</v>
      </c>
      <c r="S263" s="280">
        <v>2.15616</v>
      </c>
      <c r="T263" s="280">
        <v>0.55232</v>
      </c>
      <c r="U263" s="280">
        <v>0.58304</v>
      </c>
      <c r="V263" s="280" t="s">
        <v>315</v>
      </c>
      <c r="W263" s="280">
        <v>1</v>
      </c>
    </row>
    <row r="264" spans="2:23">
      <c r="B264" s="280" t="s">
        <v>499</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500</v>
      </c>
      <c r="O264" s="280">
        <v>0.06528</v>
      </c>
      <c r="P264" s="280">
        <v>0.43008</v>
      </c>
      <c r="Q264" s="280">
        <v>0.08128</v>
      </c>
      <c r="R264" s="280">
        <v>0</v>
      </c>
      <c r="S264" s="280">
        <v>1.8688</v>
      </c>
      <c r="T264" s="280">
        <v>0.36096</v>
      </c>
      <c r="U264" s="280">
        <v>0.62592</v>
      </c>
      <c r="V264" s="280" t="s">
        <v>320</v>
      </c>
      <c r="W264" s="280">
        <v>1</v>
      </c>
    </row>
    <row r="265" spans="2:23">
      <c r="B265" s="280" t="s">
        <v>501</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502</v>
      </c>
      <c r="O265" s="280">
        <v>0.09024</v>
      </c>
      <c r="P265" s="280">
        <v>0.22464</v>
      </c>
      <c r="Q265" s="280">
        <v>0.22528</v>
      </c>
      <c r="R265" s="280">
        <v>0.20992</v>
      </c>
      <c r="S265" s="280">
        <v>1.9904</v>
      </c>
      <c r="T265" s="280">
        <v>0.43328</v>
      </c>
      <c r="U265" s="280">
        <v>0.62592</v>
      </c>
      <c r="V265" s="280" t="s">
        <v>325</v>
      </c>
      <c r="W265" s="280">
        <v>1</v>
      </c>
    </row>
    <row r="266" spans="2:23">
      <c r="B266" s="280" t="s">
        <v>503</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504</v>
      </c>
      <c r="O266" s="280">
        <v>0.08704</v>
      </c>
      <c r="P266" s="280">
        <v>0.32512</v>
      </c>
      <c r="Q266" s="280">
        <v>0.13056</v>
      </c>
      <c r="R266" s="280">
        <v>0.1824</v>
      </c>
      <c r="S266" s="280">
        <v>1.9648</v>
      </c>
      <c r="T266" s="280">
        <v>0.42304</v>
      </c>
      <c r="U266" s="280">
        <v>0.62784</v>
      </c>
      <c r="V266" s="280" t="s">
        <v>328</v>
      </c>
      <c r="W266" s="280">
        <v>1</v>
      </c>
    </row>
    <row r="267" spans="2:23">
      <c r="B267" s="280" t="s">
        <v>505</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506</v>
      </c>
      <c r="O267" s="280">
        <v>0.07552</v>
      </c>
      <c r="P267" s="280">
        <v>0.33984</v>
      </c>
      <c r="Q267" s="280">
        <v>0.11392</v>
      </c>
      <c r="R267" s="280">
        <v>0.10624</v>
      </c>
      <c r="S267" s="280">
        <v>1.93088</v>
      </c>
      <c r="T267" s="280">
        <v>0.3872</v>
      </c>
      <c r="U267" s="280">
        <v>0.6144</v>
      </c>
      <c r="V267" s="280" t="s">
        <v>330</v>
      </c>
      <c r="W267" s="280">
        <v>1</v>
      </c>
    </row>
    <row r="268" spans="2:23">
      <c r="B268" s="280" t="s">
        <v>507</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508</v>
      </c>
      <c r="O268" s="280">
        <v>0.064</v>
      </c>
      <c r="P268" s="280">
        <v>0.384</v>
      </c>
      <c r="Q268" s="280">
        <v>0.048</v>
      </c>
      <c r="R268" s="280">
        <v>0.0448</v>
      </c>
      <c r="S268" s="280">
        <v>1.86944</v>
      </c>
      <c r="T268" s="280">
        <v>0.35136</v>
      </c>
      <c r="U268" s="280">
        <v>0.61504</v>
      </c>
      <c r="V268" s="280" t="s">
        <v>332</v>
      </c>
      <c r="W268" s="280">
        <v>1</v>
      </c>
    </row>
    <row r="269" spans="2:23">
      <c r="B269" s="280" t="s">
        <v>509</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510</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511</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512</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513</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514</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515</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516</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517</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518</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519</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520</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521</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522</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523</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531</v>
      </c>
    </row>
    <row r="3" ht="14.55" customHeight="1" spans="1:55">
      <c r="D3" s="149" t="s">
        <v>532</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533</v>
      </c>
      <c r="M6" s="162">
        <f>T58</f>
        <v>0.0768666666666667</v>
      </c>
      <c r="N6" s="153"/>
      <c r="O6" s="153"/>
      <c r="P6" s="152" t="s">
        <v>195</v>
      </c>
      <c r="Q6" s="161" t="s">
        <v>182</v>
      </c>
      <c r="R6" s="142" t="s">
        <v>533</v>
      </c>
      <c r="S6" s="163">
        <f>U58</f>
        <v>0.0714333333333333</v>
      </c>
      <c r="T6" s="153"/>
      <c r="U6" s="153"/>
      <c r="V6" s="152" t="s">
        <v>195</v>
      </c>
      <c r="W6" s="161" t="s">
        <v>183</v>
      </c>
      <c r="X6" s="142" t="s">
        <v>533</v>
      </c>
      <c r="Y6" s="163">
        <f>V58</f>
        <v>0.0713333333333333</v>
      </c>
      <c r="Z6" s="153"/>
      <c r="AA6" s="153"/>
      <c r="AB6" s="152" t="s">
        <v>195</v>
      </c>
      <c r="AC6" s="161" t="s">
        <v>184</v>
      </c>
      <c r="AD6" s="142" t="s">
        <v>533</v>
      </c>
      <c r="AE6" s="163">
        <f>W58</f>
        <v>0.0725666666666666</v>
      </c>
      <c r="AF6" s="153"/>
      <c r="AG6" s="153"/>
      <c r="AH6" s="152" t="s">
        <v>195</v>
      </c>
      <c r="AI6" s="161" t="s">
        <v>180</v>
      </c>
      <c r="AJ6" s="142" t="s">
        <v>533</v>
      </c>
      <c r="AK6" s="163">
        <f>X58</f>
        <v>0.0771333333333333</v>
      </c>
      <c r="AL6" s="153"/>
      <c r="AM6" s="153"/>
      <c r="AN6" s="152" t="s">
        <v>195</v>
      </c>
      <c r="AO6" s="161" t="s">
        <v>179</v>
      </c>
      <c r="AP6" s="142" t="s">
        <v>533</v>
      </c>
      <c r="AQ6" s="163">
        <f>Y58</f>
        <v>0.0425333333333333</v>
      </c>
      <c r="AR6" s="154"/>
      <c r="AS6" s="154"/>
      <c r="AT6" s="152" t="s">
        <v>195</v>
      </c>
      <c r="AU6" s="161" t="s">
        <v>178</v>
      </c>
      <c r="AV6" s="142" t="s">
        <v>533</v>
      </c>
      <c r="AW6" s="163">
        <f>Z58</f>
        <v>0.0473</v>
      </c>
      <c r="AZ6" s="151" t="s">
        <v>195</v>
      </c>
      <c r="BA6" s="164" t="s">
        <v>197</v>
      </c>
      <c r="BB6" s="137" t="s">
        <v>533</v>
      </c>
      <c r="BC6" s="165">
        <v>0.0473</v>
      </c>
    </row>
    <row r="7" ht="16" spans="1:55">
      <c r="D7" s="150" t="s">
        <v>275</v>
      </c>
      <c r="E7" s="150">
        <v>5.937</v>
      </c>
      <c r="F7" s="155"/>
      <c r="G7" s="160"/>
      <c r="H7" s="50"/>
      <c r="I7" s="50"/>
      <c r="J7" s="152" t="s">
        <v>195</v>
      </c>
      <c r="K7" s="161" t="s">
        <v>181</v>
      </c>
      <c r="L7" s="142" t="s">
        <v>534</v>
      </c>
      <c r="M7" s="162">
        <f>T59</f>
        <v>0.218266666666667</v>
      </c>
      <c r="N7" s="153"/>
      <c r="O7" s="153"/>
      <c r="P7" s="152" t="s">
        <v>195</v>
      </c>
      <c r="Q7" s="161" t="s">
        <v>182</v>
      </c>
      <c r="R7" s="142" t="s">
        <v>534</v>
      </c>
      <c r="S7" s="163">
        <f>U59</f>
        <v>0.2069</v>
      </c>
      <c r="T7" s="153"/>
      <c r="U7" s="153"/>
      <c r="V7" s="152" t="s">
        <v>195</v>
      </c>
      <c r="W7" s="161" t="s">
        <v>183</v>
      </c>
      <c r="X7" s="142" t="s">
        <v>534</v>
      </c>
      <c r="Y7" s="163">
        <f>V59</f>
        <v>0.207166666666667</v>
      </c>
      <c r="Z7" s="153"/>
      <c r="AA7" s="153"/>
      <c r="AB7" s="152" t="s">
        <v>195</v>
      </c>
      <c r="AC7" s="161" t="s">
        <v>184</v>
      </c>
      <c r="AD7" s="142" t="s">
        <v>534</v>
      </c>
      <c r="AE7" s="163">
        <f>W59</f>
        <v>0.2015</v>
      </c>
      <c r="AF7" s="153"/>
      <c r="AG7" s="153"/>
      <c r="AH7" s="152" t="s">
        <v>195</v>
      </c>
      <c r="AI7" s="161" t="s">
        <v>180</v>
      </c>
      <c r="AJ7" s="142" t="s">
        <v>534</v>
      </c>
      <c r="AK7" s="163">
        <f>X59</f>
        <v>0.213833333333333</v>
      </c>
      <c r="AL7" s="153"/>
      <c r="AM7" s="153"/>
      <c r="AN7" s="152" t="s">
        <v>195</v>
      </c>
      <c r="AO7" s="161" t="s">
        <v>179</v>
      </c>
      <c r="AP7" s="142" t="s">
        <v>534</v>
      </c>
      <c r="AQ7" s="163">
        <f>Y59</f>
        <v>0.0924666666666667</v>
      </c>
      <c r="AR7" s="154"/>
      <c r="AS7" s="154"/>
      <c r="AT7" s="152" t="s">
        <v>195</v>
      </c>
      <c r="AU7" s="161" t="s">
        <v>178</v>
      </c>
      <c r="AV7" s="142" t="s">
        <v>534</v>
      </c>
      <c r="AW7" s="163">
        <f>Z59</f>
        <v>0.171166666666667</v>
      </c>
      <c r="AZ7" s="151" t="s">
        <v>195</v>
      </c>
      <c r="BA7" s="164" t="str">
        <f>BA6</f>
        <v>Tra_EV_Batt-Sodium_virgin</v>
      </c>
      <c r="BB7" s="137" t="s">
        <v>534</v>
      </c>
      <c r="BC7" s="165">
        <v>0.171166666666667</v>
      </c>
    </row>
    <row r="8" ht="14.55" customHeight="1" spans="1:55">
      <c r="D8" s="150" t="s">
        <v>280</v>
      </c>
      <c r="E8" s="150">
        <v>5.845</v>
      </c>
      <c r="F8" s="155"/>
      <c r="G8" s="160"/>
      <c r="H8" s="50"/>
      <c r="I8" s="50"/>
      <c r="J8" s="152" t="s">
        <v>195</v>
      </c>
      <c r="K8" s="161" t="s">
        <v>181</v>
      </c>
      <c r="L8" s="142" t="s">
        <v>535</v>
      </c>
      <c r="M8" s="162">
        <f>T60</f>
        <v>0.573166666666667</v>
      </c>
      <c r="N8" s="153"/>
      <c r="O8" s="153"/>
      <c r="P8" s="152" t="s">
        <v>195</v>
      </c>
      <c r="Q8" s="161" t="s">
        <v>182</v>
      </c>
      <c r="R8" s="142" t="s">
        <v>535</v>
      </c>
      <c r="S8" s="163">
        <f>U60</f>
        <v>0.545466666666667</v>
      </c>
      <c r="T8" s="153"/>
      <c r="U8" s="153"/>
      <c r="V8" s="152" t="s">
        <v>195</v>
      </c>
      <c r="W8" s="161" t="s">
        <v>183</v>
      </c>
      <c r="X8" s="142" t="s">
        <v>535</v>
      </c>
      <c r="Y8" s="163">
        <f>V60</f>
        <v>0.547266666666667</v>
      </c>
      <c r="Z8" s="153"/>
      <c r="AA8" s="153"/>
      <c r="AB8" s="152" t="s">
        <v>195</v>
      </c>
      <c r="AC8" s="161" t="s">
        <v>184</v>
      </c>
      <c r="AD8" s="142" t="s">
        <v>535</v>
      </c>
      <c r="AE8" s="163">
        <f>W60</f>
        <v>0.539833333333333</v>
      </c>
      <c r="AF8" s="153"/>
      <c r="AG8" s="153"/>
      <c r="AH8" s="152" t="s">
        <v>195</v>
      </c>
      <c r="AI8" s="161" t="s">
        <v>180</v>
      </c>
      <c r="AJ8" s="142" t="s">
        <v>535</v>
      </c>
      <c r="AK8" s="163">
        <f>X60</f>
        <v>0.583566666666667</v>
      </c>
      <c r="AL8" s="153"/>
      <c r="AM8" s="153"/>
      <c r="AN8" s="152" t="s">
        <v>195</v>
      </c>
      <c r="AO8" s="161" t="s">
        <v>179</v>
      </c>
      <c r="AP8" s="142" t="s">
        <v>535</v>
      </c>
      <c r="AQ8" s="163">
        <f>Y60</f>
        <v>0.399233333333333</v>
      </c>
      <c r="AR8" s="154"/>
      <c r="AS8" s="154"/>
      <c r="AT8" s="152" t="s">
        <v>195</v>
      </c>
      <c r="AU8" s="161" t="s">
        <v>178</v>
      </c>
      <c r="AV8" s="142" t="s">
        <v>535</v>
      </c>
      <c r="AW8" s="163">
        <f>Z60</f>
        <v>0.466366666666667</v>
      </c>
      <c r="AZ8" s="151" t="s">
        <v>195</v>
      </c>
      <c r="BA8" s="164" t="str">
        <f>BA7</f>
        <v>Tra_EV_Batt-Sodium_virgin</v>
      </c>
      <c r="BB8" s="137" t="s">
        <v>535</v>
      </c>
      <c r="BC8" s="165">
        <v>0.466366666666667</v>
      </c>
    </row>
    <row r="9" ht="16" spans="1:55">
      <c r="D9" s="150" t="s">
        <v>287</v>
      </c>
      <c r="E9" s="150">
        <v>5.575</v>
      </c>
      <c r="F9" s="155"/>
      <c r="G9" s="160"/>
      <c r="H9" s="50"/>
      <c r="I9" s="50"/>
      <c r="J9" s="152" t="s">
        <v>195</v>
      </c>
      <c r="K9" s="161" t="s">
        <v>181</v>
      </c>
      <c r="L9" s="142" t="s">
        <v>536</v>
      </c>
      <c r="M9" s="162">
        <f>T61</f>
        <v>0.1279</v>
      </c>
      <c r="N9" s="153"/>
      <c r="O9" s="153"/>
      <c r="P9" s="152" t="s">
        <v>195</v>
      </c>
      <c r="Q9" s="161" t="s">
        <v>182</v>
      </c>
      <c r="R9" s="142" t="s">
        <v>536</v>
      </c>
      <c r="S9" s="163">
        <f>U61</f>
        <v>0.134133333333333</v>
      </c>
      <c r="T9" s="153"/>
      <c r="U9" s="153"/>
      <c r="V9" s="152" t="s">
        <v>195</v>
      </c>
      <c r="W9" s="161" t="s">
        <v>183</v>
      </c>
      <c r="X9" s="142" t="s">
        <v>536</v>
      </c>
      <c r="Y9" s="163">
        <f>V61</f>
        <v>0.140733333333333</v>
      </c>
      <c r="Z9" s="153"/>
      <c r="AA9" s="153"/>
      <c r="AB9" s="152" t="s">
        <v>195</v>
      </c>
      <c r="AC9" s="161" t="s">
        <v>184</v>
      </c>
      <c r="AD9" s="142" t="s">
        <v>536</v>
      </c>
      <c r="AE9" s="163">
        <f>W61</f>
        <v>0.150333333333333</v>
      </c>
      <c r="AF9" s="153"/>
      <c r="AG9" s="153"/>
      <c r="AH9" s="152" t="s">
        <v>195</v>
      </c>
      <c r="AI9" s="161" t="s">
        <v>180</v>
      </c>
      <c r="AJ9" s="142" t="s">
        <v>536</v>
      </c>
      <c r="AK9" s="163">
        <f>X61</f>
        <v>0.161266666666667</v>
      </c>
      <c r="AL9" s="153"/>
      <c r="AM9" s="153"/>
      <c r="AN9" s="152" t="s">
        <v>195</v>
      </c>
      <c r="AO9" s="161" t="s">
        <v>179</v>
      </c>
      <c r="AP9" s="142" t="s">
        <v>536</v>
      </c>
      <c r="AQ9" s="163">
        <f>Y61</f>
        <v>0.0574</v>
      </c>
      <c r="AR9" s="154"/>
      <c r="AS9" s="154"/>
      <c r="AT9" s="152" t="s">
        <v>195</v>
      </c>
      <c r="AU9" s="161" t="s">
        <v>178</v>
      </c>
      <c r="AV9" s="142" t="s">
        <v>536</v>
      </c>
      <c r="AW9" s="163">
        <f>Z61</f>
        <v>0.0956666666666667</v>
      </c>
      <c r="AZ9" s="151" t="s">
        <v>195</v>
      </c>
      <c r="BA9" s="164" t="str">
        <f>BA8</f>
        <v>Tra_EV_Batt-Sodium_virgin</v>
      </c>
      <c r="BB9" s="137" t="s">
        <v>536</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537</v>
      </c>
      <c r="AD21" t="s">
        <v>537</v>
      </c>
    </row>
    <row r="22" ht="15.5" spans="4:39">
      <c r="D22" s="122" t="s">
        <v>538</v>
      </c>
      <c r="E22" s="122" t="s">
        <v>539</v>
      </c>
      <c r="F22" s="122"/>
      <c r="G22" s="122"/>
      <c r="H22" s="122" t="s">
        <v>540</v>
      </c>
      <c r="I22" s="122"/>
      <c r="Q22" s="173" t="s">
        <v>541</v>
      </c>
      <c r="R22" s="173" t="s">
        <v>542</v>
      </c>
      <c r="S22" s="174" t="s">
        <v>543</v>
      </c>
      <c r="T22" s="174"/>
      <c r="U22" s="174"/>
      <c r="V22" s="174"/>
      <c r="W22" s="174"/>
      <c r="X22" s="174"/>
      <c r="Y22" s="174"/>
      <c r="Z22" s="174"/>
      <c r="AD22" s="173" t="s">
        <v>541</v>
      </c>
      <c r="AE22" s="173" t="s">
        <v>544</v>
      </c>
      <c r="AF22" s="174" t="s">
        <v>543</v>
      </c>
      <c r="AG22" s="174"/>
      <c r="AH22" s="174"/>
      <c r="AI22" s="174"/>
      <c r="AJ22" s="174"/>
      <c r="AK22" s="174"/>
      <c r="AL22" s="174"/>
      <c r="AM22" s="174"/>
    </row>
    <row r="23" ht="15.5" spans="4:39">
      <c r="D23" s="122"/>
      <c r="E23" s="122"/>
      <c r="F23" s="122"/>
      <c r="G23" s="122"/>
      <c r="H23" s="122"/>
      <c r="I23" s="122"/>
      <c r="L23" t="s">
        <v>300</v>
      </c>
      <c r="Q23" s="173"/>
      <c r="R23" s="173"/>
      <c r="S23" s="174" t="s">
        <v>545</v>
      </c>
      <c r="T23" s="174" t="s">
        <v>275</v>
      </c>
      <c r="U23" s="174" t="s">
        <v>280</v>
      </c>
      <c r="V23" s="174" t="s">
        <v>287</v>
      </c>
      <c r="W23" s="174" t="s">
        <v>293</v>
      </c>
      <c r="X23" s="174" t="s">
        <v>269</v>
      </c>
      <c r="Y23" s="174" t="s">
        <v>546</v>
      </c>
      <c r="Z23" s="174" t="s">
        <v>547</v>
      </c>
      <c r="AD23" s="173"/>
      <c r="AE23" s="173"/>
      <c r="AF23" s="174" t="s">
        <v>545</v>
      </c>
      <c r="AG23" s="174" t="s">
        <v>275</v>
      </c>
      <c r="AH23" s="174" t="s">
        <v>280</v>
      </c>
      <c r="AI23" s="174" t="s">
        <v>287</v>
      </c>
      <c r="AJ23" s="174" t="s">
        <v>293</v>
      </c>
      <c r="AK23" s="174" t="s">
        <v>269</v>
      </c>
      <c r="AL23" s="174" t="s">
        <v>546</v>
      </c>
      <c r="AM23" s="174" t="s">
        <v>547</v>
      </c>
    </row>
    <row r="24" ht="15.5" spans="4:39">
      <c r="D24" s="122"/>
      <c r="E24" s="122"/>
      <c r="F24" s="122"/>
      <c r="G24" s="122"/>
      <c r="H24" s="122"/>
      <c r="I24" s="122"/>
      <c r="L24" t="s">
        <v>302</v>
      </c>
      <c r="Q24" s="173" t="s">
        <v>548</v>
      </c>
      <c r="R24" s="175" t="s">
        <v>549</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548</v>
      </c>
      <c r="AE24" s="175" t="s">
        <v>549</v>
      </c>
      <c r="AF24" s="176">
        <v>1211.3</v>
      </c>
      <c r="AG24" s="176">
        <v>990.7</v>
      </c>
      <c r="AH24" s="176">
        <v>952.4</v>
      </c>
      <c r="AI24" s="176">
        <v>961</v>
      </c>
      <c r="AJ24" s="176">
        <v>958.7</v>
      </c>
      <c r="AK24" s="176">
        <v>1030.2</v>
      </c>
      <c r="AL24" s="176">
        <v>586.1</v>
      </c>
      <c r="AM24" s="176">
        <v>775</v>
      </c>
    </row>
    <row r="25" ht="15.5" spans="4:39">
      <c r="D25" s="122" t="s">
        <v>550</v>
      </c>
      <c r="E25" s="177">
        <v>0.849885259424328</v>
      </c>
      <c r="F25" s="122"/>
      <c r="G25" s="122"/>
      <c r="H25" s="122"/>
      <c r="I25" s="177"/>
      <c r="L25" t="s">
        <v>305</v>
      </c>
      <c r="Q25" s="173"/>
      <c r="R25" s="175" t="s">
        <v>551</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551</v>
      </c>
      <c r="AF25" s="176">
        <v>1103.7</v>
      </c>
      <c r="AG25" s="176">
        <v>913.9</v>
      </c>
      <c r="AH25" s="176">
        <v>881.1</v>
      </c>
      <c r="AI25" s="176">
        <v>889.8</v>
      </c>
      <c r="AJ25" s="176">
        <v>886.2</v>
      </c>
      <c r="AK25" s="176">
        <v>953.2</v>
      </c>
      <c r="AL25" s="176">
        <v>543.7</v>
      </c>
      <c r="AM25" s="176">
        <v>727.8</v>
      </c>
    </row>
    <row r="26" ht="16" spans="4:39">
      <c r="D26" s="178" t="s">
        <v>552</v>
      </c>
      <c r="E26" s="177">
        <v>0.3112562174477</v>
      </c>
      <c r="F26" s="122"/>
      <c r="G26" s="122"/>
      <c r="H26" s="178" t="s">
        <v>550</v>
      </c>
      <c r="I26" s="177">
        <v>0.0771418690026146</v>
      </c>
      <c r="L26" t="s">
        <v>307</v>
      </c>
      <c r="Q26" s="173"/>
      <c r="R26" s="175" t="s">
        <v>553</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553</v>
      </c>
      <c r="AF26" s="176">
        <v>267.3</v>
      </c>
      <c r="AG26" s="176">
        <v>202.6</v>
      </c>
      <c r="AH26" s="176">
        <v>191.3</v>
      </c>
      <c r="AI26" s="176">
        <v>191.5</v>
      </c>
      <c r="AJ26" s="176">
        <v>185.9</v>
      </c>
      <c r="AK26" s="176">
        <v>198.2</v>
      </c>
      <c r="AL26" s="176">
        <v>76.8</v>
      </c>
      <c r="AM26" s="176">
        <v>155.5</v>
      </c>
    </row>
    <row r="27" ht="15.5" spans="4:39">
      <c r="D27" s="122" t="s">
        <v>554</v>
      </c>
      <c r="E27" s="177">
        <v>0.350548191468732</v>
      </c>
      <c r="F27" s="122"/>
      <c r="G27" s="122"/>
      <c r="H27" s="122" t="s">
        <v>552</v>
      </c>
      <c r="I27" s="177">
        <v>0.173447629484096</v>
      </c>
      <c r="Q27" s="173"/>
      <c r="R27" s="175" t="s">
        <v>555</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555</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554</v>
      </c>
      <c r="I28" s="177">
        <v>0.164771576734476</v>
      </c>
      <c r="Q28" s="173"/>
      <c r="R28" s="175" t="s">
        <v>556</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556</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410</v>
      </c>
      <c r="R29" s="175" t="s">
        <v>549</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410</v>
      </c>
      <c r="AE29" s="175" t="s">
        <v>549</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551</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551</v>
      </c>
      <c r="AF30" s="176">
        <v>1109.8</v>
      </c>
      <c r="AG30" s="176">
        <v>920</v>
      </c>
      <c r="AH30" s="176">
        <v>887.2</v>
      </c>
      <c r="AI30" s="176">
        <v>895.9</v>
      </c>
      <c r="AJ30" s="176">
        <v>892.3</v>
      </c>
      <c r="AK30" s="176">
        <v>959.3</v>
      </c>
      <c r="AL30" s="176">
        <v>549.8</v>
      </c>
      <c r="AM30" s="176">
        <v>733.9</v>
      </c>
    </row>
    <row r="31" ht="15.5" spans="4:39">
      <c r="D31" s="122" t="s">
        <v>557</v>
      </c>
      <c r="E31" s="122"/>
      <c r="F31" s="122"/>
      <c r="G31" s="122"/>
      <c r="H31" s="122" t="s">
        <v>558</v>
      </c>
      <c r="I31" s="122"/>
      <c r="Q31" s="173"/>
      <c r="R31" s="175" t="s">
        <v>553</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553</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555</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555</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556</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556</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420</v>
      </c>
      <c r="R34" s="175" t="s">
        <v>549</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420</v>
      </c>
      <c r="AE34" s="175" t="s">
        <v>549</v>
      </c>
      <c r="AF34" s="176">
        <v>1222.2</v>
      </c>
      <c r="AG34" s="176">
        <v>1001.5</v>
      </c>
      <c r="AH34" s="176">
        <v>963.3</v>
      </c>
      <c r="AI34" s="176">
        <v>971.9</v>
      </c>
      <c r="AJ34" s="176">
        <v>969.5</v>
      </c>
      <c r="AK34" s="176">
        <v>1041.1</v>
      </c>
      <c r="AL34" s="176">
        <v>597</v>
      </c>
      <c r="AM34" s="176">
        <v>785.8</v>
      </c>
    </row>
    <row r="35" ht="15.5" spans="4:39">
      <c r="D35" s="122" t="s">
        <v>550</v>
      </c>
      <c r="E35" s="177">
        <v>0.0855073856427328</v>
      </c>
      <c r="F35" s="122"/>
      <c r="G35" s="122"/>
      <c r="H35" s="122" t="s">
        <v>550</v>
      </c>
      <c r="I35" s="177">
        <v>0.00754366993411565</v>
      </c>
      <c r="Q35" s="173"/>
      <c r="R35" s="175" t="s">
        <v>551</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551</v>
      </c>
      <c r="AF35" s="176">
        <v>1113.9</v>
      </c>
      <c r="AG35" s="176">
        <v>924.1</v>
      </c>
      <c r="AH35" s="176">
        <v>891.3</v>
      </c>
      <c r="AI35" s="176">
        <v>900</v>
      </c>
      <c r="AJ35" s="176">
        <v>896.4</v>
      </c>
      <c r="AK35" s="176">
        <v>963.4</v>
      </c>
      <c r="AL35" s="176">
        <v>553.9</v>
      </c>
      <c r="AM35" s="176">
        <v>738</v>
      </c>
    </row>
    <row r="36" ht="16" spans="4:39">
      <c r="D36" s="178" t="s">
        <v>552</v>
      </c>
      <c r="E36" s="177">
        <v>0.243549068348169</v>
      </c>
      <c r="F36" s="122"/>
      <c r="G36" s="122"/>
      <c r="H36" s="178" t="s">
        <v>552</v>
      </c>
      <c r="I36" s="177">
        <v>0.00964402202282824</v>
      </c>
      <c r="Q36" s="173"/>
      <c r="R36" s="175" t="s">
        <v>553</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553</v>
      </c>
      <c r="AF36" s="176">
        <v>301.2</v>
      </c>
      <c r="AG36" s="176">
        <v>236.6</v>
      </c>
      <c r="AH36" s="176">
        <v>225.2</v>
      </c>
      <c r="AI36" s="176">
        <v>225.5</v>
      </c>
      <c r="AJ36" s="176">
        <v>219.8</v>
      </c>
      <c r="AK36" s="176">
        <v>232.2</v>
      </c>
      <c r="AL36" s="176">
        <v>110.8</v>
      </c>
      <c r="AM36" s="176">
        <v>189.5</v>
      </c>
    </row>
    <row r="37" ht="15.5" spans="4:39">
      <c r="D37" s="122" t="s">
        <v>554</v>
      </c>
      <c r="E37" s="177">
        <v>0.0737387019806453</v>
      </c>
      <c r="F37" s="122"/>
      <c r="G37" s="122"/>
      <c r="H37" s="122" t="s">
        <v>554</v>
      </c>
      <c r="I37" s="177">
        <v>0.0033822506091063</v>
      </c>
      <c r="Q37" s="173"/>
      <c r="R37" s="175" t="s">
        <v>555</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555</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556</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556</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559</v>
      </c>
      <c r="R40" s="174"/>
      <c r="S40" s="174"/>
      <c r="T40" s="174"/>
      <c r="U40" s="174"/>
      <c r="V40" s="174"/>
      <c r="W40" s="174"/>
      <c r="X40" s="174"/>
      <c r="Y40" s="174"/>
      <c r="Z40" s="174"/>
      <c r="AD40" s="174" t="s">
        <v>559</v>
      </c>
      <c r="AE40" s="174"/>
      <c r="AF40" s="174"/>
      <c r="AG40" s="174"/>
      <c r="AH40" s="174"/>
      <c r="AI40" s="174"/>
      <c r="AJ40" s="174"/>
      <c r="AK40" s="174"/>
      <c r="AL40" s="174"/>
      <c r="AM40" s="174"/>
    </row>
    <row r="41" ht="15.5" spans="4:39">
      <c r="D41" s="122" t="s">
        <v>560</v>
      </c>
      <c r="E41" s="122"/>
      <c r="F41" s="122"/>
      <c r="G41" s="122"/>
      <c r="H41" s="122" t="s">
        <v>561</v>
      </c>
      <c r="I41" s="122"/>
    </row>
    <row r="42" ht="15.5" spans="4:39">
      <c r="D42" s="122"/>
      <c r="E42" s="122"/>
      <c r="F42" s="122"/>
      <c r="G42" s="122"/>
      <c r="H42" s="122"/>
      <c r="I42" s="122"/>
    </row>
    <row r="43" ht="15.5" spans="4:39">
      <c r="D43" s="122"/>
      <c r="E43" s="122"/>
      <c r="F43" s="122"/>
      <c r="G43" s="122"/>
      <c r="H43" s="122"/>
      <c r="I43" s="122"/>
      <c r="S43" s="174" t="s">
        <v>545</v>
      </c>
      <c r="T43" s="174" t="s">
        <v>275</v>
      </c>
      <c r="U43" s="174" t="s">
        <v>280</v>
      </c>
      <c r="V43" s="174" t="s">
        <v>287</v>
      </c>
      <c r="W43" s="174" t="s">
        <v>293</v>
      </c>
      <c r="X43" s="174" t="s">
        <v>269</v>
      </c>
      <c r="Y43" s="174" t="s">
        <v>546</v>
      </c>
      <c r="Z43" s="174" t="s">
        <v>547</v>
      </c>
      <c r="AD43" s="179" t="s">
        <v>562</v>
      </c>
      <c r="AE43" s="179" t="s">
        <v>544</v>
      </c>
      <c r="AF43" s="179" t="s">
        <v>563</v>
      </c>
      <c r="AG43" s="179"/>
      <c r="AH43" s="179"/>
      <c r="AI43" s="179"/>
      <c r="AJ43" s="179"/>
      <c r="AK43" s="179"/>
      <c r="AL43" s="179"/>
      <c r="AM43" s="179"/>
    </row>
    <row r="44" ht="15.5" spans="4:39">
      <c r="D44" s="122"/>
      <c r="E44" s="122"/>
      <c r="F44" s="122"/>
      <c r="G44" s="122"/>
      <c r="H44" s="122"/>
      <c r="I44" s="122"/>
      <c r="Q44" s="97" t="s">
        <v>548</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564</v>
      </c>
      <c r="AG44" s="181" t="s">
        <v>275</v>
      </c>
      <c r="AH44" s="181" t="s">
        <v>280</v>
      </c>
      <c r="AI44" s="181" t="s">
        <v>287</v>
      </c>
      <c r="AJ44" s="181" t="s">
        <v>293</v>
      </c>
      <c r="AK44" s="181" t="s">
        <v>269</v>
      </c>
      <c r="AL44" s="181" t="s">
        <v>429</v>
      </c>
      <c r="AM44" s="181" t="s">
        <v>427</v>
      </c>
    </row>
    <row r="45" ht="15.5" spans="4:39">
      <c r="D45" s="122" t="s">
        <v>550</v>
      </c>
      <c r="E45" s="177">
        <v>0.000928132911392405</v>
      </c>
      <c r="F45" s="122"/>
      <c r="G45" s="122"/>
      <c r="H45" s="122" t="s">
        <v>550</v>
      </c>
      <c r="I45" s="177">
        <v>0.0163858049041521</v>
      </c>
      <c r="Q45" s="97"/>
      <c r="R45" s="182" t="s">
        <v>553</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548</v>
      </c>
      <c r="AE45" s="183" t="s">
        <v>565</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552</v>
      </c>
      <c r="E46" s="177">
        <v>0.00161588607594937</v>
      </c>
      <c r="F46" s="122"/>
      <c r="G46" s="122"/>
      <c r="H46" s="178" t="s">
        <v>552</v>
      </c>
      <c r="I46" s="177">
        <v>0.0223155838561589</v>
      </c>
      <c r="Q46" s="97"/>
      <c r="R46" s="182" t="s">
        <v>555</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566</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554</v>
      </c>
      <c r="E47" s="177">
        <v>0.00227025316455696</v>
      </c>
      <c r="F47" s="122"/>
      <c r="G47" s="122"/>
      <c r="H47" s="122" t="s">
        <v>554</v>
      </c>
      <c r="I47" s="177">
        <v>0.00895182580411215</v>
      </c>
      <c r="Q47" s="97"/>
      <c r="R47" s="182" t="s">
        <v>556</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567</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410</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568</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553</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410</v>
      </c>
      <c r="AE49" s="183" t="s">
        <v>565</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555</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566</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569</v>
      </c>
      <c r="E51" s="122"/>
      <c r="F51" s="122"/>
      <c r="G51" s="122"/>
      <c r="H51" s="122"/>
      <c r="I51" s="122"/>
      <c r="Q51" s="97"/>
      <c r="R51" s="182" t="s">
        <v>556</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567</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568</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553</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420</v>
      </c>
      <c r="AE53" s="183" t="s">
        <v>565</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555</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566</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550</v>
      </c>
      <c r="E55" s="177">
        <v>0.012897375</v>
      </c>
      <c r="F55" s="122"/>
      <c r="G55" s="122"/>
      <c r="H55" s="122"/>
      <c r="I55" s="122"/>
      <c r="Q55" s="97"/>
      <c r="R55" s="182" t="s">
        <v>556</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567</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552</v>
      </c>
      <c r="E56" s="177">
        <v>0.040563695</v>
      </c>
      <c r="F56" s="122"/>
      <c r="G56" s="122"/>
      <c r="H56" s="122"/>
      <c r="I56" s="122"/>
      <c r="AD56" s="179"/>
      <c r="AE56" s="183" t="s">
        <v>568</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554</v>
      </c>
      <c r="E57" s="177">
        <v>0.03346882</v>
      </c>
      <c r="F57" s="122"/>
      <c r="G57" s="122"/>
      <c r="H57" s="122"/>
      <c r="I57" s="122"/>
      <c r="AD57" s="185" t="s">
        <v>570</v>
      </c>
      <c r="AE57" s="183" t="s">
        <v>565</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571</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566</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553</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567</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555</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568</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556</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572</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384</v>
      </c>
      <c r="E69" s="190" t="s">
        <v>552</v>
      </c>
      <c r="F69" s="189">
        <v>0.00359735099337748</v>
      </c>
      <c r="G69" s="189"/>
      <c r="H69" s="189" t="s">
        <v>385</v>
      </c>
      <c r="I69" s="190" t="s">
        <v>552</v>
      </c>
      <c r="J69" s="189">
        <v>0.00370884353741497</v>
      </c>
      <c r="K69" s="189"/>
      <c r="L69" s="189" t="s">
        <v>387</v>
      </c>
      <c r="M69" s="190" t="s">
        <v>552</v>
      </c>
      <c r="N69" s="189">
        <v>0.00392167832167832</v>
      </c>
      <c r="O69" s="189"/>
      <c r="P69" s="189" t="s">
        <v>388</v>
      </c>
      <c r="Q69" s="190" t="s">
        <v>552</v>
      </c>
      <c r="R69" s="189">
        <v>0.00403971631205674</v>
      </c>
      <c r="S69" s="189"/>
      <c r="T69" s="189" t="s">
        <v>383</v>
      </c>
      <c r="U69" s="190" t="s">
        <v>552</v>
      </c>
      <c r="V69" s="189">
        <v>0.00413900709219858</v>
      </c>
      <c r="W69" s="189"/>
      <c r="X69" s="189" t="s">
        <v>382</v>
      </c>
      <c r="Y69" s="190" t="s">
        <v>552</v>
      </c>
      <c r="Z69" s="189">
        <v>0.00373591549295775</v>
      </c>
      <c r="AA69" s="189"/>
      <c r="AB69" s="189" t="s">
        <v>380</v>
      </c>
      <c r="AC69" s="190" t="s">
        <v>552</v>
      </c>
      <c r="AD69" s="189">
        <v>0.00525925925925926</v>
      </c>
    </row>
    <row r="70" s="148" customFormat="1" ht="15.5" spans="1:30">
      <c r="D70" s="189"/>
      <c r="E70" s="190" t="s">
        <v>554</v>
      </c>
      <c r="F70" s="189">
        <v>0.00158940397350993</v>
      </c>
      <c r="G70" s="189"/>
      <c r="H70" s="189"/>
      <c r="I70" s="190" t="s">
        <v>554</v>
      </c>
      <c r="J70" s="189">
        <v>0.00163265306122449</v>
      </c>
      <c r="K70" s="189"/>
      <c r="L70" s="189"/>
      <c r="M70" s="190" t="s">
        <v>554</v>
      </c>
      <c r="N70" s="189">
        <v>0.00167832167832168</v>
      </c>
      <c r="O70" s="189"/>
      <c r="P70" s="189"/>
      <c r="Q70" s="190" t="s">
        <v>554</v>
      </c>
      <c r="R70" s="189">
        <v>0.00170212765957447</v>
      </c>
      <c r="S70" s="189"/>
      <c r="T70" s="189"/>
      <c r="U70" s="190" t="s">
        <v>554</v>
      </c>
      <c r="V70" s="189">
        <v>0.00170212765957447</v>
      </c>
      <c r="W70" s="189"/>
      <c r="X70" s="189"/>
      <c r="Y70" s="190" t="s">
        <v>554</v>
      </c>
      <c r="Z70" s="189">
        <v>0.00211267605633803</v>
      </c>
      <c r="AA70" s="189"/>
      <c r="AB70" s="189"/>
      <c r="AC70" s="190" t="s">
        <v>554</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392</v>
      </c>
      <c r="E75" s="190" t="s">
        <v>552</v>
      </c>
      <c r="F75" s="189">
        <v>0.0208158940397351</v>
      </c>
      <c r="G75" s="189"/>
      <c r="H75" s="189" t="s">
        <v>393</v>
      </c>
      <c r="I75" s="190" t="s">
        <v>552</v>
      </c>
      <c r="J75" s="189">
        <v>0.0208068027210884</v>
      </c>
      <c r="K75" s="189"/>
      <c r="L75" s="189" t="s">
        <v>394</v>
      </c>
      <c r="M75" s="190" t="s">
        <v>552</v>
      </c>
      <c r="N75" s="189">
        <v>0.021165034965035</v>
      </c>
      <c r="O75" s="189"/>
      <c r="P75" s="189" t="s">
        <v>395</v>
      </c>
      <c r="Q75" s="190" t="s">
        <v>552</v>
      </c>
      <c r="R75" s="189">
        <v>0.0206425531914894</v>
      </c>
      <c r="S75" s="189"/>
      <c r="T75" s="189" t="s">
        <v>391</v>
      </c>
      <c r="U75" s="190" t="s">
        <v>552</v>
      </c>
      <c r="V75" s="189">
        <v>0.0205148936170213</v>
      </c>
      <c r="W75" s="189"/>
      <c r="X75" s="189" t="s">
        <v>390</v>
      </c>
      <c r="Y75" s="190" t="s">
        <v>552</v>
      </c>
      <c r="Z75" s="189">
        <v>0.0303802816901408</v>
      </c>
      <c r="AA75" s="189"/>
      <c r="AB75" s="189" t="s">
        <v>389</v>
      </c>
      <c r="AC75" s="190" t="s">
        <v>552</v>
      </c>
      <c r="AD75" s="189">
        <v>0.0100148148148148</v>
      </c>
    </row>
    <row r="76" s="148" customFormat="1" ht="15.5" spans="1:30">
      <c r="D76" s="189"/>
      <c r="E76" s="190" t="s">
        <v>554</v>
      </c>
      <c r="F76" s="189">
        <v>0.00158940397350993</v>
      </c>
      <c r="G76" s="189"/>
      <c r="H76" s="189"/>
      <c r="I76" s="190" t="s">
        <v>554</v>
      </c>
      <c r="J76" s="189">
        <v>0.00163265306122449</v>
      </c>
      <c r="K76" s="189"/>
      <c r="L76" s="189"/>
      <c r="M76" s="190" t="s">
        <v>554</v>
      </c>
      <c r="N76" s="189">
        <v>0.00167832167832168</v>
      </c>
      <c r="O76" s="189"/>
      <c r="P76" s="189"/>
      <c r="Q76" s="190" t="s">
        <v>554</v>
      </c>
      <c r="R76" s="189">
        <v>0.00170212765957447</v>
      </c>
      <c r="S76" s="189"/>
      <c r="T76" s="189"/>
      <c r="U76" s="190" t="s">
        <v>554</v>
      </c>
      <c r="V76" s="189">
        <v>0.00170212765957447</v>
      </c>
      <c r="W76" s="189"/>
      <c r="X76" s="189"/>
      <c r="Y76" s="190" t="s">
        <v>554</v>
      </c>
      <c r="Z76" s="189">
        <v>0.00211267605633803</v>
      </c>
      <c r="AA76" s="189"/>
      <c r="AB76" s="189"/>
      <c r="AC76" s="190" t="s">
        <v>554</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399</v>
      </c>
      <c r="E81" s="190" t="s">
        <v>552</v>
      </c>
      <c r="F81" s="189">
        <v>0.00482119205298013</v>
      </c>
      <c r="G81" s="189"/>
      <c r="H81" s="189" t="s">
        <v>400</v>
      </c>
      <c r="I81" s="190" t="s">
        <v>552</v>
      </c>
      <c r="J81" s="189">
        <v>0.00489795918367347</v>
      </c>
      <c r="K81" s="189"/>
      <c r="L81" s="189" t="s">
        <v>401</v>
      </c>
      <c r="M81" s="190" t="s">
        <v>552</v>
      </c>
      <c r="N81" s="189">
        <v>0.00502097902097902</v>
      </c>
      <c r="O81" s="189"/>
      <c r="P81" s="189" t="s">
        <v>402</v>
      </c>
      <c r="Q81" s="190" t="s">
        <v>552</v>
      </c>
      <c r="R81" s="189">
        <v>0.00502127659574468</v>
      </c>
      <c r="S81" s="189"/>
      <c r="T81" s="189" t="s">
        <v>398</v>
      </c>
      <c r="U81" s="190" t="s">
        <v>552</v>
      </c>
      <c r="V81" s="189">
        <v>0.00504964539007092</v>
      </c>
      <c r="W81" s="189"/>
      <c r="X81" s="189" t="s">
        <v>397</v>
      </c>
      <c r="Y81" s="190" t="s">
        <v>552</v>
      </c>
      <c r="Z81" s="189">
        <v>0.00667253521126761</v>
      </c>
      <c r="AA81" s="189"/>
      <c r="AB81" s="189" t="s">
        <v>396</v>
      </c>
      <c r="AC81" s="190" t="s">
        <v>552</v>
      </c>
      <c r="AD81" s="189">
        <v>0.00906172839506173</v>
      </c>
    </row>
    <row r="82" s="148" customFormat="1" ht="15.5" spans="4:55">
      <c r="D82" s="189"/>
      <c r="E82" s="190" t="s">
        <v>554</v>
      </c>
      <c r="F82" s="189">
        <v>0.00158940397350993</v>
      </c>
      <c r="G82" s="189"/>
      <c r="H82" s="189"/>
      <c r="I82" s="190" t="s">
        <v>554</v>
      </c>
      <c r="J82" s="189">
        <v>0.00163265306122449</v>
      </c>
      <c r="K82" s="189"/>
      <c r="L82" s="189"/>
      <c r="M82" s="190" t="s">
        <v>554</v>
      </c>
      <c r="N82" s="189">
        <v>0.00167832167832168</v>
      </c>
      <c r="O82" s="189"/>
      <c r="P82" s="189"/>
      <c r="Q82" s="190" t="s">
        <v>554</v>
      </c>
      <c r="R82" s="189">
        <v>0.00170212765957447</v>
      </c>
      <c r="S82" s="189"/>
      <c r="T82" s="189"/>
      <c r="U82" s="190" t="s">
        <v>554</v>
      </c>
      <c r="V82" s="189">
        <v>0.00170212765957447</v>
      </c>
      <c r="W82" s="189"/>
      <c r="X82" s="189"/>
      <c r="Y82" s="190" t="s">
        <v>554</v>
      </c>
      <c r="Z82" s="189">
        <v>0.00211267605633803</v>
      </c>
      <c r="AA82" s="189"/>
      <c r="AB82" s="189"/>
      <c r="AC82" s="190" t="s">
        <v>554</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532</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533</v>
      </c>
      <c r="M95">
        <f>SUM(M6:M9)</f>
        <v>0.996200000000001</v>
      </c>
      <c r="P95" t="s">
        <v>195</v>
      </c>
      <c r="Q95" t="s">
        <v>182</v>
      </c>
      <c r="R95" t="s">
        <v>533</v>
      </c>
      <c r="S95">
        <f>SUM(S6:S9)</f>
        <v>0.957933333333333</v>
      </c>
      <c r="V95" t="s">
        <v>195</v>
      </c>
      <c r="W95" t="s">
        <v>183</v>
      </c>
      <c r="X95" t="s">
        <v>533</v>
      </c>
      <c r="Y95">
        <f>SUM(Y6:Y9)</f>
        <v>0.9665</v>
      </c>
      <c r="AB95" t="s">
        <v>195</v>
      </c>
      <c r="AC95" t="s">
        <v>184</v>
      </c>
      <c r="AD95" t="s">
        <v>533</v>
      </c>
      <c r="AE95">
        <f>SUM(AE6:AE9)</f>
        <v>0.964233333333333</v>
      </c>
      <c r="AH95" t="s">
        <v>195</v>
      </c>
      <c r="AI95" t="s">
        <v>180</v>
      </c>
      <c r="AJ95" t="s">
        <v>533</v>
      </c>
      <c r="AK95">
        <f>SUM(AK6:AK9)</f>
        <v>1.0358</v>
      </c>
      <c r="AN95" t="s">
        <v>195</v>
      </c>
      <c r="AO95" t="s">
        <v>179</v>
      </c>
      <c r="AP95" t="s">
        <v>533</v>
      </c>
      <c r="AQ95">
        <f>SUM(AQ6:AQ9)</f>
        <v>0.591633333333333</v>
      </c>
      <c r="AT95" t="s">
        <v>195</v>
      </c>
      <c r="AU95" t="s">
        <v>178</v>
      </c>
      <c r="AV95" t="s">
        <v>533</v>
      </c>
      <c r="AW95">
        <f>SUM(AW6:AW9)</f>
        <v>0.780500000000001</v>
      </c>
      <c r="AZ95" t="s">
        <v>195</v>
      </c>
      <c r="BA95" t="s">
        <v>197</v>
      </c>
      <c r="BB95" t="s">
        <v>533</v>
      </c>
      <c r="BC95">
        <f>SUM(BC6:BC9)</f>
        <v>0.780500000000001</v>
      </c>
    </row>
    <row r="96" spans="4:55">
      <c r="D96" t="s">
        <v>275</v>
      </c>
      <c r="E96">
        <v>5.937</v>
      </c>
      <c r="J96" t="s">
        <v>195</v>
      </c>
      <c r="K96" t="s">
        <v>181</v>
      </c>
      <c r="L96" t="s">
        <v>534</v>
      </c>
      <c r="M96">
        <v>0</v>
      </c>
      <c r="P96" t="s">
        <v>195</v>
      </c>
      <c r="Q96" t="s">
        <v>182</v>
      </c>
      <c r="R96" t="s">
        <v>534</v>
      </c>
      <c r="S96">
        <v>0</v>
      </c>
      <c r="V96" t="s">
        <v>195</v>
      </c>
      <c r="W96" t="s">
        <v>183</v>
      </c>
      <c r="X96" t="s">
        <v>534</v>
      </c>
      <c r="Y96">
        <v>0</v>
      </c>
      <c r="AB96" t="s">
        <v>195</v>
      </c>
      <c r="AC96" t="s">
        <v>184</v>
      </c>
      <c r="AD96" t="s">
        <v>534</v>
      </c>
      <c r="AE96">
        <v>0</v>
      </c>
      <c r="AH96" t="s">
        <v>195</v>
      </c>
      <c r="AI96" t="s">
        <v>180</v>
      </c>
      <c r="AJ96" t="s">
        <v>534</v>
      </c>
      <c r="AK96">
        <v>0</v>
      </c>
      <c r="AN96" t="s">
        <v>195</v>
      </c>
      <c r="AO96" t="s">
        <v>179</v>
      </c>
      <c r="AP96" t="s">
        <v>534</v>
      </c>
      <c r="AQ96">
        <v>0</v>
      </c>
      <c r="AT96" t="s">
        <v>195</v>
      </c>
      <c r="AU96" t="s">
        <v>178</v>
      </c>
      <c r="AV96" t="s">
        <v>534</v>
      </c>
      <c r="AW96">
        <v>0</v>
      </c>
      <c r="AZ96" t="s">
        <v>195</v>
      </c>
      <c r="BA96" t="s">
        <v>197</v>
      </c>
      <c r="BB96" t="s">
        <v>534</v>
      </c>
      <c r="BC96">
        <v>0</v>
      </c>
    </row>
    <row r="97" spans="4:56">
      <c r="D97" t="s">
        <v>280</v>
      </c>
      <c r="E97">
        <v>5.845</v>
      </c>
      <c r="J97" t="s">
        <v>195</v>
      </c>
      <c r="K97" t="s">
        <v>181</v>
      </c>
      <c r="L97" t="s">
        <v>535</v>
      </c>
      <c r="M97">
        <v>0</v>
      </c>
      <c r="P97" t="s">
        <v>195</v>
      </c>
      <c r="Q97" t="s">
        <v>182</v>
      </c>
      <c r="R97" t="s">
        <v>535</v>
      </c>
      <c r="S97">
        <v>0</v>
      </c>
      <c r="V97" t="s">
        <v>195</v>
      </c>
      <c r="W97" t="s">
        <v>183</v>
      </c>
      <c r="X97" t="s">
        <v>535</v>
      </c>
      <c r="Y97">
        <v>0</v>
      </c>
      <c r="AB97" t="s">
        <v>195</v>
      </c>
      <c r="AC97" t="s">
        <v>184</v>
      </c>
      <c r="AD97" t="s">
        <v>535</v>
      </c>
      <c r="AE97">
        <v>0</v>
      </c>
      <c r="AH97" t="s">
        <v>195</v>
      </c>
      <c r="AI97" t="s">
        <v>180</v>
      </c>
      <c r="AJ97" t="s">
        <v>535</v>
      </c>
      <c r="AK97">
        <v>0</v>
      </c>
      <c r="AN97" t="s">
        <v>195</v>
      </c>
      <c r="AO97" t="s">
        <v>179</v>
      </c>
      <c r="AP97" t="s">
        <v>535</v>
      </c>
      <c r="AQ97">
        <v>0</v>
      </c>
      <c r="AT97" t="s">
        <v>195</v>
      </c>
      <c r="AU97" t="s">
        <v>178</v>
      </c>
      <c r="AV97" t="s">
        <v>535</v>
      </c>
      <c r="AW97">
        <v>0</v>
      </c>
      <c r="AZ97" t="s">
        <v>195</v>
      </c>
      <c r="BA97" t="s">
        <v>197</v>
      </c>
      <c r="BB97" t="s">
        <v>535</v>
      </c>
      <c r="BC97">
        <v>0</v>
      </c>
    </row>
    <row r="98" spans="4:56">
      <c r="D98" t="s">
        <v>287</v>
      </c>
      <c r="E98">
        <v>5.575</v>
      </c>
      <c r="J98" t="s">
        <v>195</v>
      </c>
      <c r="K98" t="s">
        <v>181</v>
      </c>
      <c r="L98" t="s">
        <v>536</v>
      </c>
      <c r="M98">
        <v>0</v>
      </c>
      <c r="P98" t="s">
        <v>195</v>
      </c>
      <c r="Q98" t="s">
        <v>182</v>
      </c>
      <c r="R98" t="s">
        <v>536</v>
      </c>
      <c r="S98">
        <v>0</v>
      </c>
      <c r="V98" t="s">
        <v>195</v>
      </c>
      <c r="W98" t="s">
        <v>183</v>
      </c>
      <c r="X98" t="s">
        <v>536</v>
      </c>
      <c r="Y98">
        <v>0</v>
      </c>
      <c r="AB98" t="s">
        <v>195</v>
      </c>
      <c r="AC98" t="s">
        <v>184</v>
      </c>
      <c r="AD98" t="s">
        <v>536</v>
      </c>
      <c r="AE98">
        <v>0</v>
      </c>
      <c r="AH98" t="s">
        <v>195</v>
      </c>
      <c r="AI98" t="s">
        <v>180</v>
      </c>
      <c r="AJ98" t="s">
        <v>536</v>
      </c>
      <c r="AK98">
        <v>0</v>
      </c>
      <c r="AN98" t="s">
        <v>195</v>
      </c>
      <c r="AO98" t="s">
        <v>179</v>
      </c>
      <c r="AP98" t="s">
        <v>536</v>
      </c>
      <c r="AQ98">
        <v>0</v>
      </c>
      <c r="AT98" t="s">
        <v>195</v>
      </c>
      <c r="AU98" t="s">
        <v>178</v>
      </c>
      <c r="AV98" t="s">
        <v>536</v>
      </c>
      <c r="AW98">
        <v>0</v>
      </c>
      <c r="AZ98" t="s">
        <v>195</v>
      </c>
      <c r="BA98" t="s">
        <v>197</v>
      </c>
      <c r="BB98" t="s">
        <v>536</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533</v>
      </c>
      <c r="M112">
        <v>0.996200000000001</v>
      </c>
      <c r="P112" t="s">
        <v>195</v>
      </c>
      <c r="Q112" t="s">
        <v>182</v>
      </c>
      <c r="R112" t="s">
        <v>533</v>
      </c>
      <c r="S112">
        <v>0.957933333333333</v>
      </c>
      <c r="V112" t="s">
        <v>195</v>
      </c>
      <c r="W112" t="s">
        <v>183</v>
      </c>
      <c r="X112" t="s">
        <v>533</v>
      </c>
      <c r="Y112">
        <v>0.9665</v>
      </c>
      <c r="AB112" t="s">
        <v>195</v>
      </c>
      <c r="AC112" t="s">
        <v>184</v>
      </c>
      <c r="AD112" t="s">
        <v>533</v>
      </c>
      <c r="AE112">
        <v>0.964233333333333</v>
      </c>
      <c r="AH112" t="s">
        <v>195</v>
      </c>
      <c r="AI112" t="s">
        <v>180</v>
      </c>
      <c r="AJ112" t="s">
        <v>533</v>
      </c>
      <c r="AK112">
        <v>1.0358</v>
      </c>
      <c r="AN112" t="s">
        <v>195</v>
      </c>
      <c r="AO112" t="s">
        <v>179</v>
      </c>
      <c r="AP112" t="s">
        <v>533</v>
      </c>
      <c r="AQ112">
        <v>0.591633333333333</v>
      </c>
      <c r="AT112" t="s">
        <v>195</v>
      </c>
      <c r="AU112" t="s">
        <v>178</v>
      </c>
      <c r="AV112" t="s">
        <v>533</v>
      </c>
      <c r="AW112">
        <v>0.780500000000001</v>
      </c>
      <c r="AZ112" t="s">
        <v>195</v>
      </c>
      <c r="BA112" t="s">
        <v>197</v>
      </c>
      <c r="BB112" t="s">
        <v>533</v>
      </c>
      <c r="BC112">
        <v>0.780500000000001</v>
      </c>
    </row>
    <row r="113" spans="10:55">
      <c r="J113" t="s">
        <v>195</v>
      </c>
      <c r="K113" t="s">
        <v>181</v>
      </c>
      <c r="L113" t="s">
        <v>534</v>
      </c>
      <c r="M113">
        <v>0</v>
      </c>
      <c r="P113" t="s">
        <v>195</v>
      </c>
      <c r="Q113" t="s">
        <v>182</v>
      </c>
      <c r="R113" t="s">
        <v>534</v>
      </c>
      <c r="S113">
        <v>0</v>
      </c>
      <c r="V113" t="s">
        <v>195</v>
      </c>
      <c r="W113" t="s">
        <v>183</v>
      </c>
      <c r="X113" t="s">
        <v>534</v>
      </c>
      <c r="Y113">
        <v>0</v>
      </c>
      <c r="AB113" t="s">
        <v>195</v>
      </c>
      <c r="AC113" t="s">
        <v>184</v>
      </c>
      <c r="AD113" t="s">
        <v>534</v>
      </c>
      <c r="AE113">
        <v>0</v>
      </c>
      <c r="AH113" t="s">
        <v>195</v>
      </c>
      <c r="AI113" t="s">
        <v>180</v>
      </c>
      <c r="AJ113" t="s">
        <v>534</v>
      </c>
      <c r="AK113">
        <v>0</v>
      </c>
      <c r="AN113" t="s">
        <v>195</v>
      </c>
      <c r="AO113" t="s">
        <v>179</v>
      </c>
      <c r="AP113" t="s">
        <v>534</v>
      </c>
      <c r="AQ113">
        <v>0</v>
      </c>
      <c r="AT113" t="s">
        <v>195</v>
      </c>
      <c r="AU113" t="s">
        <v>178</v>
      </c>
      <c r="AV113" t="s">
        <v>534</v>
      </c>
      <c r="AW113">
        <v>0</v>
      </c>
      <c r="AZ113" t="s">
        <v>195</v>
      </c>
      <c r="BA113" t="s">
        <v>197</v>
      </c>
      <c r="BB113" t="s">
        <v>534</v>
      </c>
      <c r="BC113">
        <v>0</v>
      </c>
    </row>
    <row r="114" spans="10:55">
      <c r="J114" t="s">
        <v>195</v>
      </c>
      <c r="K114" t="s">
        <v>181</v>
      </c>
      <c r="L114" t="s">
        <v>535</v>
      </c>
      <c r="M114">
        <v>0</v>
      </c>
      <c r="P114" t="s">
        <v>195</v>
      </c>
      <c r="Q114" t="s">
        <v>182</v>
      </c>
      <c r="R114" t="s">
        <v>535</v>
      </c>
      <c r="S114">
        <v>0</v>
      </c>
      <c r="V114" t="s">
        <v>195</v>
      </c>
      <c r="W114" t="s">
        <v>183</v>
      </c>
      <c r="X114" t="s">
        <v>535</v>
      </c>
      <c r="Y114">
        <v>0</v>
      </c>
      <c r="AB114" t="s">
        <v>195</v>
      </c>
      <c r="AC114" t="s">
        <v>184</v>
      </c>
      <c r="AD114" t="s">
        <v>535</v>
      </c>
      <c r="AE114">
        <v>0</v>
      </c>
      <c r="AH114" t="s">
        <v>195</v>
      </c>
      <c r="AI114" t="s">
        <v>180</v>
      </c>
      <c r="AJ114" t="s">
        <v>535</v>
      </c>
      <c r="AK114">
        <v>0</v>
      </c>
      <c r="AN114" t="s">
        <v>195</v>
      </c>
      <c r="AO114" t="s">
        <v>179</v>
      </c>
      <c r="AP114" t="s">
        <v>535</v>
      </c>
      <c r="AQ114">
        <v>0</v>
      </c>
      <c r="AT114" t="s">
        <v>195</v>
      </c>
      <c r="AU114" t="s">
        <v>178</v>
      </c>
      <c r="AV114" t="s">
        <v>535</v>
      </c>
      <c r="AW114">
        <v>0</v>
      </c>
      <c r="AZ114" t="s">
        <v>195</v>
      </c>
      <c r="BA114" t="s">
        <v>197</v>
      </c>
      <c r="BB114" t="s">
        <v>535</v>
      </c>
      <c r="BC114">
        <v>0</v>
      </c>
    </row>
    <row r="115" spans="10:55">
      <c r="J115" t="s">
        <v>195</v>
      </c>
      <c r="K115" t="s">
        <v>181</v>
      </c>
      <c r="L115" t="s">
        <v>536</v>
      </c>
      <c r="M115">
        <v>0</v>
      </c>
      <c r="P115" t="s">
        <v>195</v>
      </c>
      <c r="Q115" t="s">
        <v>182</v>
      </c>
      <c r="R115" t="s">
        <v>536</v>
      </c>
      <c r="S115">
        <v>0</v>
      </c>
      <c r="V115" t="s">
        <v>195</v>
      </c>
      <c r="W115" t="s">
        <v>183</v>
      </c>
      <c r="X115" t="s">
        <v>536</v>
      </c>
      <c r="Y115">
        <v>0</v>
      </c>
      <c r="AB115" t="s">
        <v>195</v>
      </c>
      <c r="AC115" t="s">
        <v>184</v>
      </c>
      <c r="AD115" t="s">
        <v>536</v>
      </c>
      <c r="AE115">
        <v>0</v>
      </c>
      <c r="AH115" t="s">
        <v>195</v>
      </c>
      <c r="AI115" t="s">
        <v>180</v>
      </c>
      <c r="AJ115" t="s">
        <v>536</v>
      </c>
      <c r="AK115">
        <v>0</v>
      </c>
      <c r="AN115" t="s">
        <v>195</v>
      </c>
      <c r="AO115" t="s">
        <v>179</v>
      </c>
      <c r="AP115" t="s">
        <v>536</v>
      </c>
      <c r="AQ115">
        <v>0</v>
      </c>
      <c r="AT115" t="s">
        <v>195</v>
      </c>
      <c r="AU115" t="s">
        <v>178</v>
      </c>
      <c r="AV115" t="s">
        <v>536</v>
      </c>
      <c r="AW115">
        <v>0</v>
      </c>
      <c r="AZ115" t="s">
        <v>195</v>
      </c>
      <c r="BA115" t="s">
        <v>197</v>
      </c>
      <c r="BB115" t="s">
        <v>536</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c r="AZ1" s="121" t="s">
        <v>573</v>
      </c>
      <c r="BA1" s="121"/>
      <c r="BB1" s="121"/>
      <c r="BC1" s="121"/>
      <c r="BD1" s="121"/>
      <c r="BE1" s="121"/>
      <c r="BF1" s="121"/>
      <c r="BG1" s="121"/>
      <c r="BH1" s="121"/>
      <c r="BI1" s="121"/>
      <c r="BJ1" s="122"/>
      <c r="BK1" s="122"/>
      <c r="BL1" s="122"/>
      <c r="BM1" s="122"/>
      <c r="BN1" s="122"/>
      <c r="BO1" s="122"/>
      <c r="BP1" s="122"/>
      <c r="BQ1" s="122"/>
      <c r="BR1" s="122"/>
    </row>
    <row r="2" ht="30" customHeight="1" spans="1:70">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541</v>
      </c>
      <c r="BA2" s="121" t="s">
        <v>579</v>
      </c>
      <c r="BB2" s="121" t="s">
        <v>543</v>
      </c>
      <c r="BC2" s="121"/>
      <c r="BD2" s="121"/>
      <c r="BE2" s="121"/>
      <c r="BF2" s="121"/>
      <c r="BG2" s="121"/>
      <c r="BH2" s="121"/>
      <c r="BI2" s="121"/>
      <c r="BJ2" s="122"/>
      <c r="BK2" s="122"/>
      <c r="BL2" s="122"/>
      <c r="BM2" s="122"/>
      <c r="BN2" s="122"/>
      <c r="BO2" s="122"/>
      <c r="BP2" s="122"/>
      <c r="BQ2" s="122"/>
      <c r="BR2" s="122"/>
    </row>
    <row r="3" ht="30" spans="1:70">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c r="AZ3" s="121"/>
      <c r="BA3" s="121"/>
      <c r="BB3" s="125" t="s">
        <v>545</v>
      </c>
      <c r="BC3" s="122" t="s">
        <v>275</v>
      </c>
      <c r="BD3" s="122" t="s">
        <v>280</v>
      </c>
      <c r="BE3" s="126" t="s">
        <v>287</v>
      </c>
      <c r="BF3" s="122" t="s">
        <v>293</v>
      </c>
      <c r="BG3" s="122" t="s">
        <v>269</v>
      </c>
      <c r="BH3" s="122" t="s">
        <v>546</v>
      </c>
      <c r="BI3" s="122" t="s">
        <v>547</v>
      </c>
      <c r="BJ3" s="122"/>
      <c r="BK3" s="127"/>
      <c r="BL3" s="122"/>
      <c r="BM3" s="122"/>
      <c r="BN3" s="122"/>
      <c r="BO3" s="122"/>
      <c r="BP3" s="122"/>
      <c r="BQ3" s="122"/>
      <c r="BR3" s="122"/>
    </row>
    <row r="4" ht="15.5" customHeight="1" spans="1:70">
      <c r="A4" s="121" t="s">
        <v>548</v>
      </c>
      <c r="B4" s="129" t="s">
        <v>549</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548</v>
      </c>
      <c r="V4" s="129" t="s">
        <v>549</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548</v>
      </c>
      <c r="BA4" s="129" t="s">
        <v>549</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551</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551</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551</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553</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553</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553</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555</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555</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555</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556</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556</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556</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410</v>
      </c>
      <c r="B9" s="129" t="s">
        <v>549</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410</v>
      </c>
      <c r="V9" s="129" t="s">
        <v>549</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410</v>
      </c>
      <c r="BA9" s="129" t="s">
        <v>549</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551</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551</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551</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553</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553</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553</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555</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555</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555</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556</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556</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556</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420</v>
      </c>
      <c r="B14" s="129" t="s">
        <v>549</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420</v>
      </c>
      <c r="V14" s="129" t="s">
        <v>549</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420</v>
      </c>
      <c r="BA14" s="129" t="s">
        <v>549</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551</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551</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551</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553</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553</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553</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555</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555</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555</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556</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556</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556</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581</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541</v>
      </c>
      <c r="BA22" s="121" t="s">
        <v>582</v>
      </c>
      <c r="BB22" s="121" t="s">
        <v>543</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c r="AZ23" s="121"/>
      <c r="BA23" s="121"/>
      <c r="BB23" s="125" t="s">
        <v>545</v>
      </c>
      <c r="BC23" s="122" t="s">
        <v>275</v>
      </c>
      <c r="BD23" s="122" t="s">
        <v>280</v>
      </c>
      <c r="BE23" s="126" t="s">
        <v>287</v>
      </c>
      <c r="BF23" s="122" t="s">
        <v>293</v>
      </c>
      <c r="BG23" s="122" t="s">
        <v>269</v>
      </c>
      <c r="BH23" s="122" t="s">
        <v>546</v>
      </c>
      <c r="BI23" s="122" t="s">
        <v>547</v>
      </c>
      <c r="BJ23" s="122"/>
      <c r="BK23" s="122"/>
      <c r="BL23" s="122"/>
      <c r="BM23" s="122"/>
      <c r="BN23" s="122"/>
      <c r="BO23" s="122"/>
      <c r="BP23" s="122"/>
      <c r="BQ23" s="122"/>
      <c r="BR23" s="122"/>
    </row>
    <row r="24" ht="15.5" customHeight="1" spans="1:70">
      <c r="A24" s="121" t="s">
        <v>548</v>
      </c>
      <c r="B24" s="129" t="s">
        <v>549</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548</v>
      </c>
      <c r="V24" s="129" t="s">
        <v>549</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548</v>
      </c>
      <c r="BA24" s="129" t="s">
        <v>549</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551</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551</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551</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553</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553</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553</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555</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555</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555</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556</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556</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556</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410</v>
      </c>
      <c r="B29" s="129" t="s">
        <v>549</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410</v>
      </c>
      <c r="V29" s="129" t="s">
        <v>549</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410</v>
      </c>
      <c r="BA29" s="129" t="s">
        <v>549</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551</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551</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551</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553</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553</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553</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555</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555</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555</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556</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556</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420</v>
      </c>
      <c r="B34" s="129" t="s">
        <v>549</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420</v>
      </c>
      <c r="V34" s="129" t="s">
        <v>549</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420</v>
      </c>
      <c r="BA34" s="129" t="s">
        <v>549</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551</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551</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551</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553</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553</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553</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555</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555</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555</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556</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556</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556</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583</v>
      </c>
      <c r="B41" s="121"/>
      <c r="C41" s="121"/>
      <c r="D41" s="121"/>
      <c r="E41" s="121"/>
      <c r="F41" s="121"/>
      <c r="G41" s="121"/>
      <c r="H41" s="121"/>
      <c r="I41" s="121"/>
      <c r="J41" s="121"/>
      <c r="K41" s="122"/>
      <c r="L41" s="122"/>
      <c r="M41" s="122"/>
      <c r="N41" s="122"/>
      <c r="O41" s="122"/>
      <c r="P41" s="122"/>
      <c r="Q41" s="122"/>
      <c r="R41" s="122"/>
      <c r="S41" s="122"/>
      <c r="T41" s="122"/>
      <c r="AZ41" s="121" t="s">
        <v>583</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541</v>
      </c>
      <c r="B42" s="121" t="s">
        <v>582</v>
      </c>
      <c r="C42" s="121" t="s">
        <v>543</v>
      </c>
      <c r="D42" s="121"/>
      <c r="E42" s="121"/>
      <c r="F42" s="121"/>
      <c r="G42" s="121"/>
      <c r="H42" s="121"/>
      <c r="I42" s="121"/>
      <c r="J42" s="121"/>
      <c r="K42" s="122"/>
      <c r="L42" s="122"/>
      <c r="M42" s="122"/>
      <c r="N42" s="122"/>
      <c r="O42" s="122"/>
      <c r="P42" s="122"/>
      <c r="Q42" s="122"/>
      <c r="R42" s="122"/>
      <c r="S42" s="122"/>
      <c r="T42" s="122"/>
      <c r="AZ42" s="121" t="s">
        <v>541</v>
      </c>
      <c r="BA42" s="121" t="s">
        <v>582</v>
      </c>
      <c r="BB42" s="121" t="s">
        <v>543</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c r="AZ43" s="121"/>
      <c r="BA43" s="121"/>
      <c r="BB43" s="125" t="s">
        <v>545</v>
      </c>
      <c r="BC43" s="122" t="s">
        <v>275</v>
      </c>
      <c r="BD43" s="122" t="s">
        <v>280</v>
      </c>
      <c r="BE43" s="126" t="s">
        <v>287</v>
      </c>
      <c r="BF43" s="122" t="s">
        <v>293</v>
      </c>
      <c r="BG43" s="122" t="s">
        <v>269</v>
      </c>
      <c r="BH43" s="122" t="s">
        <v>546</v>
      </c>
      <c r="BI43" s="122" t="s">
        <v>547</v>
      </c>
      <c r="BJ43" s="122"/>
      <c r="BK43" s="122"/>
      <c r="BL43" s="122"/>
      <c r="BM43" s="122"/>
      <c r="BN43" s="122"/>
      <c r="BO43" s="122"/>
      <c r="BP43" s="122"/>
      <c r="BQ43" s="122"/>
      <c r="BR43" s="122"/>
    </row>
    <row r="44" ht="15.5" customHeight="1" spans="1:70">
      <c r="A44" s="121" t="s">
        <v>548</v>
      </c>
      <c r="B44" s="129" t="s">
        <v>549</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548</v>
      </c>
      <c r="V44" s="129" t="s">
        <v>549</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548</v>
      </c>
      <c r="BA44" s="129" t="s">
        <v>549</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551</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551</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551</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553</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553</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553</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555</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555</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555</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556</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556</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556</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410</v>
      </c>
      <c r="B49" s="129" t="s">
        <v>549</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410</v>
      </c>
      <c r="V49" s="129" t="s">
        <v>549</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410</v>
      </c>
      <c r="BA49" s="129" t="s">
        <v>549</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551</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551</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551</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553</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553</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553</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555</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555</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555</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556</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556</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556</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420</v>
      </c>
      <c r="B54" s="129" t="s">
        <v>549</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420</v>
      </c>
      <c r="V54" s="129" t="s">
        <v>549</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420</v>
      </c>
      <c r="BA54" s="129" t="s">
        <v>549</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551</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551</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551</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553</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553</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553</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555</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555</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555</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556</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556</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556</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559</v>
      </c>
      <c r="B60" s="122"/>
      <c r="C60" s="125"/>
      <c r="D60" s="122"/>
      <c r="E60" s="122"/>
      <c r="F60" s="122"/>
      <c r="G60" s="122"/>
      <c r="H60" s="122"/>
      <c r="I60" s="122"/>
      <c r="J60" s="122"/>
      <c r="K60" s="122"/>
      <c r="L60" s="122"/>
      <c r="M60" s="122"/>
      <c r="N60" s="122"/>
      <c r="O60" s="122"/>
      <c r="P60" s="122"/>
      <c r="Q60" s="122"/>
      <c r="R60" s="122"/>
      <c r="S60" s="122"/>
      <c r="T60" s="122"/>
      <c r="AZ60" s="122" t="s">
        <v>559</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584</v>
      </c>
      <c r="B61" s="122"/>
      <c r="C61" s="125"/>
      <c r="D61" s="122"/>
      <c r="E61" s="122"/>
      <c r="F61" s="122"/>
      <c r="G61" s="122"/>
      <c r="H61" s="122"/>
      <c r="I61" s="122"/>
      <c r="J61" s="122"/>
      <c r="K61" s="122"/>
      <c r="L61" s="122"/>
      <c r="M61" s="122"/>
      <c r="N61" s="122"/>
      <c r="O61" s="122"/>
      <c r="P61" s="122"/>
      <c r="Q61" s="122"/>
      <c r="R61" s="122"/>
      <c r="S61" s="122"/>
      <c r="T61" s="122"/>
      <c r="AZ61" s="122" t="s">
        <v>584</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585</v>
      </c>
      <c r="B62" s="122"/>
      <c r="C62" s="125"/>
      <c r="D62" s="122"/>
      <c r="E62" s="122"/>
      <c r="F62" s="122"/>
      <c r="G62" s="122"/>
      <c r="H62" s="122"/>
      <c r="I62" s="122"/>
      <c r="J62" s="122"/>
      <c r="K62" s="122"/>
      <c r="L62" s="122"/>
      <c r="M62" s="122"/>
      <c r="N62" s="122"/>
      <c r="O62" s="122"/>
      <c r="P62" s="122"/>
      <c r="Q62" s="122"/>
      <c r="R62" s="122"/>
      <c r="S62" s="122"/>
      <c r="T62" s="122"/>
      <c r="AZ62" s="122" t="s">
        <v>585</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550</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554</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410</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550</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554</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586</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550</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552</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554</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587</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550</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552</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554</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550</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554</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410</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550</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554</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586</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550</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552</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554</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587</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550</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552</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554</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550</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554</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410</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550</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554</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586</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550</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552</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554</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587</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550</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552</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554</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384</v>
      </c>
      <c r="V162" s="142" t="s">
        <v>533</v>
      </c>
      <c r="W162" s="139">
        <f>W85</f>
        <v>0.0105665038459379</v>
      </c>
      <c r="X162" s="139"/>
      <c r="Y162" s="139" t="s">
        <v>385</v>
      </c>
      <c r="Z162" s="142" t="s">
        <v>533</v>
      </c>
      <c r="AA162" s="139">
        <f>X85</f>
        <v>0.010151126318791</v>
      </c>
      <c r="AB162" s="139"/>
      <c r="AC162" s="139" t="s">
        <v>387</v>
      </c>
      <c r="AD162" s="142" t="s">
        <v>533</v>
      </c>
      <c r="AE162" s="139">
        <f>Y85</f>
        <v>0.0104454409566517</v>
      </c>
      <c r="AF162" s="139"/>
      <c r="AG162" s="139" t="s">
        <v>388</v>
      </c>
      <c r="AH162" s="142" t="s">
        <v>533</v>
      </c>
      <c r="AI162" s="139">
        <f>Z85</f>
        <v>0.0114922921405105</v>
      </c>
      <c r="AJ162" s="139"/>
      <c r="AK162" s="139" t="s">
        <v>383</v>
      </c>
      <c r="AL162" s="142" t="s">
        <v>533</v>
      </c>
      <c r="AM162" s="139">
        <f>AA85</f>
        <v>0.0116539250419541</v>
      </c>
      <c r="AN162" s="139"/>
      <c r="AO162" s="139" t="s">
        <v>382</v>
      </c>
      <c r="AP162" s="142" t="s">
        <v>533</v>
      </c>
      <c r="AQ162" s="139">
        <f>AB85</f>
        <v>0.00876348131427138</v>
      </c>
      <c r="AR162" s="139"/>
      <c r="AS162" s="139" t="s">
        <v>380</v>
      </c>
      <c r="AT162" s="142" t="s">
        <v>533</v>
      </c>
      <c r="AU162" s="139">
        <f>AC85</f>
        <v>0.0102994929843179</v>
      </c>
    </row>
    <row r="163" ht="15.5" spans="21:47">
      <c r="U163" s="139"/>
      <c r="V163" s="142" t="s">
        <v>534</v>
      </c>
      <c r="W163" s="139">
        <f>W86</f>
        <v>0.0361911178485206</v>
      </c>
      <c r="X163" s="139"/>
      <c r="Y163" s="139"/>
      <c r="Z163" s="142" t="s">
        <v>534</v>
      </c>
      <c r="AA163" s="139">
        <f>X86</f>
        <v>0.0345822640433419</v>
      </c>
      <c r="AB163" s="139"/>
      <c r="AC163" s="139"/>
      <c r="AD163" s="142" t="s">
        <v>534</v>
      </c>
      <c r="AE163" s="139">
        <f>Y86</f>
        <v>0.0356053811659193</v>
      </c>
      <c r="AF163" s="139"/>
      <c r="AG163" s="139"/>
      <c r="AH163" s="142" t="s">
        <v>534</v>
      </c>
      <c r="AI163" s="139">
        <f>Z86</f>
        <v>0.0365744250694971</v>
      </c>
      <c r="AJ163" s="139"/>
      <c r="AK163" s="139"/>
      <c r="AL163" s="142" t="s">
        <v>534</v>
      </c>
      <c r="AM163" s="139">
        <f>AA86</f>
        <v>0.0374914537883026</v>
      </c>
      <c r="AN163" s="139"/>
      <c r="AO163" s="139"/>
      <c r="AP163" s="142" t="s">
        <v>534</v>
      </c>
      <c r="AQ163" s="139">
        <f>AB86</f>
        <v>0.0298720842738901</v>
      </c>
      <c r="AR163" s="139"/>
      <c r="AS163" s="139"/>
      <c r="AT163" s="142" t="s">
        <v>534</v>
      </c>
      <c r="AU163" s="139">
        <f>AC86</f>
        <v>0.0351078882207287</v>
      </c>
    </row>
    <row r="164" ht="15.5" spans="21:47">
      <c r="U164" s="139"/>
      <c r="V164" s="142" t="s">
        <v>535</v>
      </c>
      <c r="W164" s="139">
        <f>W87</f>
        <v>0.0787154005951378</v>
      </c>
      <c r="X164" s="139"/>
      <c r="Y164" s="139"/>
      <c r="Z164" s="142" t="s">
        <v>535</v>
      </c>
      <c r="AA164" s="139">
        <f>X87</f>
        <v>0.0766238950670089</v>
      </c>
      <c r="AB164" s="139"/>
      <c r="AC164" s="139"/>
      <c r="AD164" s="142" t="s">
        <v>535</v>
      </c>
      <c r="AE164" s="139">
        <f>Y87</f>
        <v>0.0794379671150972</v>
      </c>
      <c r="AF164" s="139"/>
      <c r="AG164" s="139"/>
      <c r="AH164" s="142" t="s">
        <v>535</v>
      </c>
      <c r="AI164" s="139">
        <f>Z87</f>
        <v>0.0831501137225171</v>
      </c>
      <c r="AJ164" s="139"/>
      <c r="AK164" s="139"/>
      <c r="AL164" s="142" t="s">
        <v>535</v>
      </c>
      <c r="AM164" s="139">
        <f>AA87</f>
        <v>0.0871278513269936</v>
      </c>
      <c r="AN164" s="139"/>
      <c r="AO164" s="139"/>
      <c r="AP164" s="142" t="s">
        <v>535</v>
      </c>
      <c r="AQ164" s="139">
        <f>AB87</f>
        <v>0.0666466014547279</v>
      </c>
      <c r="AR164" s="139"/>
      <c r="AS164" s="139"/>
      <c r="AT164" s="142" t="s">
        <v>535</v>
      </c>
      <c r="AU164" s="139">
        <f>AC87</f>
        <v>0.0783280273552647</v>
      </c>
    </row>
    <row r="165" ht="15.5" spans="21:47">
      <c r="U165" s="143"/>
      <c r="V165" s="142" t="s">
        <v>536</v>
      </c>
      <c r="W165" s="139">
        <f>W88</f>
        <v>0.0132277805850317</v>
      </c>
      <c r="X165" s="143"/>
      <c r="Y165" s="143"/>
      <c r="Z165" s="142" t="s">
        <v>536</v>
      </c>
      <c r="AA165" s="139">
        <f>X88</f>
        <v>0.0129398346164813</v>
      </c>
      <c r="AB165" s="143"/>
      <c r="AC165" s="143"/>
      <c r="AD165" s="142" t="s">
        <v>536</v>
      </c>
      <c r="AE165" s="139">
        <f>Y88</f>
        <v>0.0134050822122571</v>
      </c>
      <c r="AF165" s="143"/>
      <c r="AG165" s="143"/>
      <c r="AH165" s="142" t="s">
        <v>536</v>
      </c>
      <c r="AI165" s="139">
        <f>Z88</f>
        <v>0.0146449330300733</v>
      </c>
      <c r="AJ165" s="143"/>
      <c r="AK165" s="143"/>
      <c r="AL165" s="142" t="s">
        <v>536</v>
      </c>
      <c r="AM165" s="139">
        <f>AA88</f>
        <v>0.0149356703337684</v>
      </c>
      <c r="AN165" s="143"/>
      <c r="AO165" s="143"/>
      <c r="AP165" s="142" t="s">
        <v>536</v>
      </c>
      <c r="AQ165" s="139">
        <f>AB88</f>
        <v>0.011246551291698</v>
      </c>
      <c r="AR165" s="143"/>
      <c r="AS165" s="143"/>
      <c r="AT165" s="142" t="s">
        <v>536</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392</v>
      </c>
      <c r="V174" s="142" t="s">
        <v>533</v>
      </c>
      <c r="W174" s="139">
        <f>W105</f>
        <v>0.0115995732974005</v>
      </c>
      <c r="X174" s="139"/>
      <c r="Y174" s="139" t="s">
        <v>393</v>
      </c>
      <c r="Z174" s="142" t="s">
        <v>533</v>
      </c>
      <c r="AA174" s="139">
        <f>X105</f>
        <v>0.0111320216709438</v>
      </c>
      <c r="AB174" s="139"/>
      <c r="AC174" s="139" t="s">
        <v>394</v>
      </c>
      <c r="AD174" s="142" t="s">
        <v>533</v>
      </c>
      <c r="AE174" s="139">
        <f>Y105</f>
        <v>0.0115156950672646</v>
      </c>
      <c r="AF174" s="139"/>
      <c r="AG174" s="139" t="s">
        <v>395</v>
      </c>
      <c r="AH174" s="142" t="s">
        <v>533</v>
      </c>
      <c r="AI174" s="139">
        <f>Z105</f>
        <v>0.0118145059388425</v>
      </c>
      <c r="AJ174" s="139"/>
      <c r="AK174" s="139" t="s">
        <v>391</v>
      </c>
      <c r="AL174" s="142" t="s">
        <v>533</v>
      </c>
      <c r="AM174" s="139">
        <f>AA105</f>
        <v>0.0120206352166076</v>
      </c>
      <c r="AN174" s="139"/>
      <c r="AO174" s="139" t="s">
        <v>390</v>
      </c>
      <c r="AP174" s="142" t="s">
        <v>533</v>
      </c>
      <c r="AQ174" s="139">
        <f>AB105</f>
        <v>0.00966139954853273</v>
      </c>
      <c r="AR174" s="139"/>
      <c r="AS174" s="139" t="s">
        <v>389</v>
      </c>
      <c r="AT174" s="142" t="s">
        <v>533</v>
      </c>
      <c r="AU174" s="139">
        <f>AC105</f>
        <v>0.0113547930668553</v>
      </c>
    </row>
    <row r="175" ht="15.5" spans="21:47">
      <c r="U175" s="139"/>
      <c r="V175" s="142" t="s">
        <v>534</v>
      </c>
      <c r="W175" s="139">
        <f>W106</f>
        <v>0.0322272752793218</v>
      </c>
      <c r="X175" s="139"/>
      <c r="Y175" s="139"/>
      <c r="Z175" s="142" t="s">
        <v>534</v>
      </c>
      <c r="AA175" s="139">
        <f>X106</f>
        <v>0.0310350727117194</v>
      </c>
      <c r="AB175" s="139"/>
      <c r="AC175" s="139"/>
      <c r="AD175" s="142" t="s">
        <v>534</v>
      </c>
      <c r="AE175" s="139">
        <f>Y106</f>
        <v>0.0321195814648729</v>
      </c>
      <c r="AF175" s="139"/>
      <c r="AG175" s="139"/>
      <c r="AH175" s="142" t="s">
        <v>534</v>
      </c>
      <c r="AI175" s="139">
        <f>Z106</f>
        <v>0.0332512004043467</v>
      </c>
      <c r="AJ175" s="139"/>
      <c r="AK175" s="139"/>
      <c r="AL175" s="142" t="s">
        <v>534</v>
      </c>
      <c r="AM175" s="139">
        <f>AA106</f>
        <v>0.033880290881969</v>
      </c>
      <c r="AN175" s="139"/>
      <c r="AO175" s="139"/>
      <c r="AP175" s="142" t="s">
        <v>534</v>
      </c>
      <c r="AQ175" s="139">
        <f>AB106</f>
        <v>0.0269475796338099</v>
      </c>
      <c r="AR175" s="139"/>
      <c r="AS175" s="139"/>
      <c r="AT175" s="142" t="s">
        <v>534</v>
      </c>
      <c r="AU175" s="139">
        <f>AC106</f>
        <v>0.0316707935384978</v>
      </c>
    </row>
    <row r="176" ht="15.5" spans="21:47">
      <c r="U176" s="139"/>
      <c r="V176" s="142" t="s">
        <v>535</v>
      </c>
      <c r="W176" s="139">
        <f>W107</f>
        <v>0.0930380102184044</v>
      </c>
      <c r="X176" s="139"/>
      <c r="Y176" s="139"/>
      <c r="Z176" s="142" t="s">
        <v>535</v>
      </c>
      <c r="AA176" s="139">
        <f>X107</f>
        <v>0.0901682349586541</v>
      </c>
      <c r="AB176" s="139"/>
      <c r="AC176" s="139"/>
      <c r="AD176" s="142" t="s">
        <v>535</v>
      </c>
      <c r="AE176" s="139">
        <f>Y107</f>
        <v>0.0934708520179372</v>
      </c>
      <c r="AF176" s="139"/>
      <c r="AG176" s="139"/>
      <c r="AH176" s="142" t="s">
        <v>535</v>
      </c>
      <c r="AI176" s="139">
        <f>Z107</f>
        <v>0.0946044983573414</v>
      </c>
      <c r="AJ176" s="139"/>
      <c r="AK176" s="139"/>
      <c r="AL176" s="142" t="s">
        <v>535</v>
      </c>
      <c r="AM176" s="139">
        <f>AA107</f>
        <v>0.0987631300888806</v>
      </c>
      <c r="AN176" s="139"/>
      <c r="AO176" s="139"/>
      <c r="AP176" s="142" t="s">
        <v>535</v>
      </c>
      <c r="AQ176" s="139">
        <f>AB107</f>
        <v>0.0784198645598194</v>
      </c>
      <c r="AR176" s="139"/>
      <c r="AS176" s="139"/>
      <c r="AT176" s="142" t="s">
        <v>535</v>
      </c>
      <c r="AU176" s="139">
        <f>AC107</f>
        <v>0.0921648390519986</v>
      </c>
    </row>
    <row r="177" ht="15.5" spans="21:47">
      <c r="U177" s="143"/>
      <c r="V177" s="142" t="s">
        <v>536</v>
      </c>
      <c r="W177" s="139">
        <f>W108</f>
        <v>0.0134355173769019</v>
      </c>
      <c r="X177" s="143"/>
      <c r="Y177" s="143"/>
      <c r="Z177" s="142" t="s">
        <v>536</v>
      </c>
      <c r="AA177" s="139">
        <f>X108</f>
        <v>0.0132534930139721</v>
      </c>
      <c r="AB177" s="143"/>
      <c r="AC177" s="143"/>
      <c r="AD177" s="142" t="s">
        <v>536</v>
      </c>
      <c r="AE177" s="139">
        <f>Y108</f>
        <v>0.0138116591928251</v>
      </c>
      <c r="AF177" s="143"/>
      <c r="AG177" s="143"/>
      <c r="AH177" s="142" t="s">
        <v>536</v>
      </c>
      <c r="AI177" s="139">
        <f>Z108</f>
        <v>0.0141837250442254</v>
      </c>
      <c r="AJ177" s="143"/>
      <c r="AK177" s="143"/>
      <c r="AL177" s="142" t="s">
        <v>536</v>
      </c>
      <c r="AM177" s="139">
        <f>AA108</f>
        <v>0.0143824973584437</v>
      </c>
      <c r="AN177" s="143"/>
      <c r="AO177" s="143"/>
      <c r="AP177" s="142" t="s">
        <v>536</v>
      </c>
      <c r="AQ177" s="139">
        <f>AB108</f>
        <v>0.0115876598946576</v>
      </c>
      <c r="AR177" s="143"/>
      <c r="AS177" s="143"/>
      <c r="AT177" s="142" t="s">
        <v>536</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399</v>
      </c>
      <c r="V185" s="142" t="s">
        <v>533</v>
      </c>
      <c r="W185" s="139">
        <f>W125</f>
        <v>0.00791645612262086</v>
      </c>
      <c r="X185" s="139"/>
      <c r="Y185" s="139" t="s">
        <v>400</v>
      </c>
      <c r="Z185" s="142" t="s">
        <v>533</v>
      </c>
      <c r="AA185" s="139">
        <f>X125</f>
        <v>0.00768748217850014</v>
      </c>
      <c r="AB185" s="139"/>
      <c r="AC185" s="139" t="s">
        <v>401</v>
      </c>
      <c r="AD185" s="142" t="s">
        <v>533</v>
      </c>
      <c r="AE185" s="139">
        <f>Y125</f>
        <v>0.00798206278026906</v>
      </c>
      <c r="AF185" s="139"/>
      <c r="AG185" s="139" t="s">
        <v>402</v>
      </c>
      <c r="AH185" s="142" t="s">
        <v>533</v>
      </c>
      <c r="AI185" s="139">
        <f>Z125</f>
        <v>0.00797321202931515</v>
      </c>
      <c r="AJ185" s="139"/>
      <c r="AK185" s="139" t="s">
        <v>398</v>
      </c>
      <c r="AL185" s="142" t="s">
        <v>533</v>
      </c>
      <c r="AM185" s="139">
        <f>AA125</f>
        <v>0.00805519298899869</v>
      </c>
      <c r="AN185" s="139"/>
      <c r="AO185" s="139" t="s">
        <v>397</v>
      </c>
      <c r="AP185" s="142" t="s">
        <v>533</v>
      </c>
      <c r="AQ185" s="139">
        <f>AB125</f>
        <v>0.00669676448457487</v>
      </c>
      <c r="AR185" s="139"/>
      <c r="AS185" s="139" t="s">
        <v>396</v>
      </c>
      <c r="AT185" s="142" t="s">
        <v>533</v>
      </c>
      <c r="AU185" s="139">
        <f>AC125</f>
        <v>0.00787053413512557</v>
      </c>
    </row>
    <row r="186" ht="15.5" spans="21:47">
      <c r="U186" s="139"/>
      <c r="V186" s="142" t="s">
        <v>534</v>
      </c>
      <c r="W186" s="139">
        <f>W126</f>
        <v>0.0255740834315872</v>
      </c>
      <c r="X186" s="139"/>
      <c r="Y186" s="139"/>
      <c r="Z186" s="142" t="s">
        <v>534</v>
      </c>
      <c r="AA186" s="139">
        <f>X126</f>
        <v>0.0248303393213573</v>
      </c>
      <c r="AB186" s="139"/>
      <c r="AC186" s="139"/>
      <c r="AD186" s="142" t="s">
        <v>534</v>
      </c>
      <c r="AE186" s="139">
        <f>Y126</f>
        <v>0.0257518684603886</v>
      </c>
      <c r="AF186" s="139"/>
      <c r="AG186" s="139"/>
      <c r="AH186" s="142" t="s">
        <v>534</v>
      </c>
      <c r="AI186" s="139">
        <f>Z126</f>
        <v>0.0256633813495072</v>
      </c>
      <c r="AJ186" s="139"/>
      <c r="AK186" s="139"/>
      <c r="AL186" s="142" t="s">
        <v>534</v>
      </c>
      <c r="AM186" s="139">
        <f>AA126</f>
        <v>0.0260053452669526</v>
      </c>
      <c r="AN186" s="139"/>
      <c r="AO186" s="139"/>
      <c r="AP186" s="142" t="s">
        <v>534</v>
      </c>
      <c r="AQ186" s="139">
        <f>AB126</f>
        <v>0.0216052169551041</v>
      </c>
      <c r="AR186" s="139"/>
      <c r="AS186" s="139"/>
      <c r="AT186" s="142" t="s">
        <v>534</v>
      </c>
      <c r="AU186" s="139">
        <f>AC126</f>
        <v>0.0253920528239594</v>
      </c>
    </row>
    <row r="187" ht="15.5" spans="21:47">
      <c r="U187" s="139"/>
      <c r="V187" s="142" t="s">
        <v>535</v>
      </c>
      <c r="W187" s="139">
        <f>W127</f>
        <v>0.0604008758632306</v>
      </c>
      <c r="X187" s="139"/>
      <c r="Y187" s="139"/>
      <c r="Z187" s="142" t="s">
        <v>535</v>
      </c>
      <c r="AA187" s="139">
        <f>X127</f>
        <v>0.0597262617621899</v>
      </c>
      <c r="AB187" s="139"/>
      <c r="AC187" s="139"/>
      <c r="AD187" s="142" t="s">
        <v>535</v>
      </c>
      <c r="AE187" s="139">
        <f>Y127</f>
        <v>0.0622242152466368</v>
      </c>
      <c r="AF187" s="139"/>
      <c r="AG187" s="139"/>
      <c r="AH187" s="142" t="s">
        <v>535</v>
      </c>
      <c r="AI187" s="139">
        <f>Z127</f>
        <v>0.0635392974475613</v>
      </c>
      <c r="AJ187" s="139"/>
      <c r="AK187" s="139"/>
      <c r="AL187" s="142" t="s">
        <v>535</v>
      </c>
      <c r="AM187" s="139">
        <f>AA127</f>
        <v>0.0635589533221456</v>
      </c>
      <c r="AN187" s="139"/>
      <c r="AO187" s="139"/>
      <c r="AP187" s="142" t="s">
        <v>535</v>
      </c>
      <c r="AQ187" s="139">
        <f>AB127</f>
        <v>0.0522046651617758</v>
      </c>
      <c r="AR187" s="139"/>
      <c r="AS187" s="139"/>
      <c r="AT187" s="142" t="s">
        <v>535</v>
      </c>
      <c r="AU187" s="139">
        <f>AC127</f>
        <v>0.0613547930668553</v>
      </c>
    </row>
    <row r="188" ht="15.5" spans="21:47">
      <c r="U188" s="143"/>
      <c r="V188" s="142" t="s">
        <v>536</v>
      </c>
      <c r="W188" s="139">
        <f>W128</f>
        <v>0.013115490427264</v>
      </c>
      <c r="X188" s="143"/>
      <c r="Y188" s="143"/>
      <c r="Z188" s="142" t="s">
        <v>536</v>
      </c>
      <c r="AA188" s="139">
        <f>X128</f>
        <v>0.0129683490162532</v>
      </c>
      <c r="AB188" s="143"/>
      <c r="AC188" s="143"/>
      <c r="AD188" s="142" t="s">
        <v>536</v>
      </c>
      <c r="AE188" s="139">
        <f>Y128</f>
        <v>0.0135067264573991</v>
      </c>
      <c r="AF188" s="143"/>
      <c r="AG188" s="143"/>
      <c r="AH188" s="142" t="s">
        <v>536</v>
      </c>
      <c r="AI188" s="139">
        <f>Z128</f>
        <v>0.013747788728835</v>
      </c>
      <c r="AJ188" s="143"/>
      <c r="AK188" s="143"/>
      <c r="AL188" s="142" t="s">
        <v>536</v>
      </c>
      <c r="AM188" s="139">
        <f>AA128</f>
        <v>0.0137858163962956</v>
      </c>
      <c r="AN188" s="143"/>
      <c r="AO188" s="143"/>
      <c r="AP188" s="142" t="s">
        <v>536</v>
      </c>
      <c r="AQ188" s="139">
        <f>AB128</f>
        <v>0.0113318284424379</v>
      </c>
      <c r="AR188" s="143"/>
      <c r="AS188" s="143"/>
      <c r="AT188" s="142" t="s">
        <v>536</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384</v>
      </c>
      <c r="V201" t="s">
        <v>533</v>
      </c>
      <c r="W201">
        <f>SUM(W162:W165)</f>
        <v>0.138700802874628</v>
      </c>
      <c r="Y201" t="s">
        <v>385</v>
      </c>
      <c r="Z201" t="s">
        <v>533</v>
      </c>
      <c r="AA201">
        <f>SUM(AA162:AA165)</f>
        <v>0.134297120045623</v>
      </c>
      <c r="AC201" t="s">
        <v>387</v>
      </c>
      <c r="AD201" t="s">
        <v>533</v>
      </c>
      <c r="AE201">
        <f>SUM(AE162:AE165)</f>
        <v>0.138893871449925</v>
      </c>
      <c r="AG201" t="s">
        <v>388</v>
      </c>
      <c r="AH201" t="s">
        <v>533</v>
      </c>
      <c r="AI201">
        <f>SUM(AI162:AI165)</f>
        <v>0.145861763962598</v>
      </c>
      <c r="AK201" t="s">
        <v>383</v>
      </c>
      <c r="AL201" t="s">
        <v>533</v>
      </c>
      <c r="AM201">
        <f>SUM(AM162:AM165)</f>
        <v>0.151208900491019</v>
      </c>
      <c r="AO201" t="s">
        <v>382</v>
      </c>
      <c r="AP201" t="s">
        <v>533</v>
      </c>
      <c r="AQ201">
        <f>SUM(AQ162:AQ165)</f>
        <v>0.116528718334587</v>
      </c>
      <c r="AS201" t="s">
        <v>380</v>
      </c>
      <c r="AT201" t="s">
        <v>533</v>
      </c>
      <c r="AU201">
        <f>SUM(AU162:AU165)</f>
        <v>0.136953189482372</v>
      </c>
    </row>
    <row r="202" spans="21:47">
      <c r="V202" t="s">
        <v>534</v>
      </c>
      <c r="W202">
        <v>0</v>
      </c>
      <c r="Z202" t="s">
        <v>534</v>
      </c>
      <c r="AA202">
        <v>0</v>
      </c>
      <c r="AD202" t="s">
        <v>534</v>
      </c>
      <c r="AE202">
        <v>0</v>
      </c>
      <c r="AH202" t="s">
        <v>534</v>
      </c>
      <c r="AI202">
        <v>0</v>
      </c>
      <c r="AL202" t="s">
        <v>534</v>
      </c>
      <c r="AM202">
        <v>0</v>
      </c>
      <c r="AP202" t="s">
        <v>534</v>
      </c>
      <c r="AQ202">
        <v>0</v>
      </c>
      <c r="AT202" t="s">
        <v>534</v>
      </c>
      <c r="AU202">
        <v>0</v>
      </c>
    </row>
    <row r="203" spans="21:47">
      <c r="V203" t="s">
        <v>535</v>
      </c>
      <c r="W203">
        <v>0</v>
      </c>
      <c r="Z203" t="s">
        <v>535</v>
      </c>
      <c r="AA203">
        <v>0</v>
      </c>
      <c r="AD203" t="s">
        <v>535</v>
      </c>
      <c r="AE203">
        <v>0</v>
      </c>
      <c r="AH203" t="s">
        <v>535</v>
      </c>
      <c r="AI203">
        <v>0</v>
      </c>
      <c r="AL203" t="s">
        <v>535</v>
      </c>
      <c r="AM203">
        <v>0</v>
      </c>
      <c r="AP203" t="s">
        <v>535</v>
      </c>
      <c r="AQ203">
        <v>0</v>
      </c>
      <c r="AT203" t="s">
        <v>535</v>
      </c>
      <c r="AU203">
        <v>0</v>
      </c>
    </row>
    <row r="204" spans="21:47">
      <c r="V204" t="s">
        <v>536</v>
      </c>
      <c r="W204">
        <v>0</v>
      </c>
      <c r="Z204" t="s">
        <v>536</v>
      </c>
      <c r="AA204">
        <v>0</v>
      </c>
      <c r="AD204" t="s">
        <v>536</v>
      </c>
      <c r="AE204">
        <v>0</v>
      </c>
      <c r="AH204" t="s">
        <v>536</v>
      </c>
      <c r="AI204">
        <v>0</v>
      </c>
      <c r="AL204" t="s">
        <v>536</v>
      </c>
      <c r="AM204">
        <v>0</v>
      </c>
      <c r="AP204" t="s">
        <v>536</v>
      </c>
      <c r="AQ204">
        <v>0</v>
      </c>
      <c r="AT204" t="s">
        <v>536</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392</v>
      </c>
      <c r="V213" t="s">
        <v>533</v>
      </c>
      <c r="W213">
        <f>SUM(W174:W177)</f>
        <v>0.150300376172029</v>
      </c>
      <c r="Y213" t="s">
        <v>393</v>
      </c>
      <c r="Z213" t="s">
        <v>533</v>
      </c>
      <c r="AA213">
        <f>SUM(AA174:AA177)</f>
        <v>0.145588822355289</v>
      </c>
      <c r="AC213" t="s">
        <v>394</v>
      </c>
      <c r="AD213" t="s">
        <v>533</v>
      </c>
      <c r="AE213">
        <f>SUM(AE174:AE177)</f>
        <v>0.1509177877429</v>
      </c>
      <c r="AG213" t="s">
        <v>395</v>
      </c>
      <c r="AH213" t="s">
        <v>533</v>
      </c>
      <c r="AI213">
        <f>SUM(AI174:AI177)</f>
        <v>0.153853929744756</v>
      </c>
      <c r="AK213" t="s">
        <v>391</v>
      </c>
      <c r="AL213" t="s">
        <v>533</v>
      </c>
      <c r="AM213">
        <f>SUM(AM174:AM177)</f>
        <v>0.159046553545901</v>
      </c>
      <c r="AO213" t="s">
        <v>390</v>
      </c>
      <c r="AP213" t="s">
        <v>533</v>
      </c>
      <c r="AQ213">
        <f>SUM(AQ174:AQ177)</f>
        <v>0.12661650363682</v>
      </c>
      <c r="AS213" t="s">
        <v>389</v>
      </c>
      <c r="AT213" t="s">
        <v>533</v>
      </c>
      <c r="AU213">
        <f>SUM(AU174:AU177)</f>
        <v>0.148809102700153</v>
      </c>
    </row>
    <row r="214" spans="21:47">
      <c r="V214" t="s">
        <v>534</v>
      </c>
      <c r="W214">
        <v>0</v>
      </c>
      <c r="Z214" t="s">
        <v>534</v>
      </c>
      <c r="AA214">
        <v>0</v>
      </c>
      <c r="AD214" t="s">
        <v>534</v>
      </c>
      <c r="AE214">
        <v>0</v>
      </c>
      <c r="AH214" t="s">
        <v>534</v>
      </c>
      <c r="AI214">
        <v>0</v>
      </c>
      <c r="AL214" t="s">
        <v>534</v>
      </c>
      <c r="AM214">
        <v>0</v>
      </c>
      <c r="AP214" t="s">
        <v>534</v>
      </c>
      <c r="AQ214">
        <v>0</v>
      </c>
      <c r="AT214" t="s">
        <v>534</v>
      </c>
      <c r="AU214">
        <v>0</v>
      </c>
    </row>
    <row r="215" spans="21:47">
      <c r="V215" t="s">
        <v>535</v>
      </c>
      <c r="W215">
        <v>0</v>
      </c>
      <c r="Z215" t="s">
        <v>535</v>
      </c>
      <c r="AA215">
        <v>0</v>
      </c>
      <c r="AD215" t="s">
        <v>535</v>
      </c>
      <c r="AE215">
        <v>0</v>
      </c>
      <c r="AH215" t="s">
        <v>535</v>
      </c>
      <c r="AI215">
        <v>0</v>
      </c>
      <c r="AL215" t="s">
        <v>535</v>
      </c>
      <c r="AM215">
        <v>0</v>
      </c>
      <c r="AP215" t="s">
        <v>535</v>
      </c>
      <c r="AQ215">
        <v>0</v>
      </c>
      <c r="AT215" t="s">
        <v>535</v>
      </c>
      <c r="AU215">
        <v>0</v>
      </c>
    </row>
    <row r="216" spans="21:47">
      <c r="V216" t="s">
        <v>536</v>
      </c>
      <c r="W216">
        <v>0</v>
      </c>
      <c r="Z216" t="s">
        <v>536</v>
      </c>
      <c r="AA216">
        <v>0</v>
      </c>
      <c r="AD216" t="s">
        <v>536</v>
      </c>
      <c r="AE216">
        <v>0</v>
      </c>
      <c r="AH216" t="s">
        <v>536</v>
      </c>
      <c r="AI216">
        <v>0</v>
      </c>
      <c r="AL216" t="s">
        <v>536</v>
      </c>
      <c r="AM216">
        <v>0</v>
      </c>
      <c r="AP216" t="s">
        <v>536</v>
      </c>
      <c r="AQ216">
        <v>0</v>
      </c>
      <c r="AT216" t="s">
        <v>536</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399</v>
      </c>
      <c r="V224" t="s">
        <v>533</v>
      </c>
      <c r="W224">
        <f>SUM(W185:W188)</f>
        <v>0.107006905844703</v>
      </c>
      <c r="Y224" t="s">
        <v>400</v>
      </c>
      <c r="Z224" t="s">
        <v>533</v>
      </c>
      <c r="AA224">
        <f>SUM(AA185:AA188)</f>
        <v>0.105212432278301</v>
      </c>
      <c r="AC224" t="s">
        <v>401</v>
      </c>
      <c r="AD224" t="s">
        <v>533</v>
      </c>
      <c r="AE224">
        <f>SUM(AE185:AE188)</f>
        <v>0.109464872944694</v>
      </c>
      <c r="AG224" t="s">
        <v>402</v>
      </c>
      <c r="AH224" t="s">
        <v>533</v>
      </c>
      <c r="AI224">
        <f>SUM(AI185:AI188)</f>
        <v>0.110923679555219</v>
      </c>
      <c r="AK224" t="s">
        <v>398</v>
      </c>
      <c r="AL224" t="s">
        <v>533</v>
      </c>
      <c r="AM224">
        <f>SUM(AM185:AM188)</f>
        <v>0.111405307974392</v>
      </c>
      <c r="AO224" t="s">
        <v>397</v>
      </c>
      <c r="AP224" t="s">
        <v>533</v>
      </c>
      <c r="AQ224">
        <f>SUM(AQ185:AQ188)</f>
        <v>0.0918384750438927</v>
      </c>
      <c r="AS224" t="s">
        <v>396</v>
      </c>
      <c r="AT224" t="s">
        <v>533</v>
      </c>
      <c r="AU224">
        <f>SUM(AU185:AU188)</f>
        <v>0.107935384978186</v>
      </c>
    </row>
    <row r="225" spans="22:47">
      <c r="V225" t="s">
        <v>534</v>
      </c>
      <c r="W225">
        <v>0</v>
      </c>
      <c r="Z225" t="s">
        <v>534</v>
      </c>
      <c r="AA225">
        <v>0</v>
      </c>
      <c r="AD225" t="s">
        <v>534</v>
      </c>
      <c r="AE225">
        <v>0</v>
      </c>
      <c r="AH225" t="s">
        <v>534</v>
      </c>
      <c r="AI225">
        <v>0</v>
      </c>
      <c r="AL225" t="s">
        <v>534</v>
      </c>
      <c r="AM225">
        <v>0</v>
      </c>
      <c r="AP225" t="s">
        <v>534</v>
      </c>
      <c r="AQ225">
        <v>0</v>
      </c>
      <c r="AT225" t="s">
        <v>534</v>
      </c>
      <c r="AU225">
        <v>0</v>
      </c>
    </row>
    <row r="226" spans="22:47">
      <c r="V226" t="s">
        <v>535</v>
      </c>
      <c r="W226">
        <v>0</v>
      </c>
      <c r="Z226" t="s">
        <v>535</v>
      </c>
      <c r="AA226">
        <v>0</v>
      </c>
      <c r="AD226" t="s">
        <v>535</v>
      </c>
      <c r="AE226">
        <v>0</v>
      </c>
      <c r="AH226" t="s">
        <v>535</v>
      </c>
      <c r="AI226">
        <v>0</v>
      </c>
      <c r="AL226" t="s">
        <v>535</v>
      </c>
      <c r="AM226">
        <v>0</v>
      </c>
      <c r="AP226" t="s">
        <v>535</v>
      </c>
      <c r="AQ226">
        <v>0</v>
      </c>
      <c r="AT226" t="s">
        <v>535</v>
      </c>
      <c r="AU226">
        <v>0</v>
      </c>
    </row>
    <row r="227" spans="22:47">
      <c r="V227" t="s">
        <v>536</v>
      </c>
      <c r="W227">
        <v>0</v>
      </c>
      <c r="Z227" t="s">
        <v>536</v>
      </c>
      <c r="AA227">
        <v>0</v>
      </c>
      <c r="AD227" t="s">
        <v>536</v>
      </c>
      <c r="AE227">
        <v>0</v>
      </c>
      <c r="AH227" t="s">
        <v>536</v>
      </c>
      <c r="AI227">
        <v>0</v>
      </c>
      <c r="AL227" t="s">
        <v>536</v>
      </c>
      <c r="AM227">
        <v>0</v>
      </c>
      <c r="AP227" t="s">
        <v>536</v>
      </c>
      <c r="AQ227">
        <v>0</v>
      </c>
      <c r="AT227" t="s">
        <v>536</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384</v>
      </c>
      <c r="V245" t="s">
        <v>533</v>
      </c>
      <c r="W245">
        <v>0.138700802874628</v>
      </c>
      <c r="Y245" t="s">
        <v>385</v>
      </c>
      <c r="Z245" t="s">
        <v>533</v>
      </c>
      <c r="AA245">
        <v>0.134297120045623</v>
      </c>
      <c r="AC245" t="s">
        <v>387</v>
      </c>
      <c r="AD245" t="s">
        <v>533</v>
      </c>
      <c r="AE245">
        <v>0.138893871449925</v>
      </c>
      <c r="AG245" t="s">
        <v>388</v>
      </c>
      <c r="AH245" t="s">
        <v>533</v>
      </c>
      <c r="AI245">
        <v>0.145861763962598</v>
      </c>
      <c r="AK245" t="s">
        <v>383</v>
      </c>
      <c r="AL245" t="s">
        <v>533</v>
      </c>
      <c r="AM245">
        <v>0.151208900491019</v>
      </c>
      <c r="AO245" t="s">
        <v>382</v>
      </c>
      <c r="AP245" t="s">
        <v>533</v>
      </c>
      <c r="AQ245">
        <v>0.116528718334587</v>
      </c>
      <c r="AS245" t="s">
        <v>380</v>
      </c>
      <c r="AT245" t="s">
        <v>533</v>
      </c>
      <c r="AU245">
        <v>0.136953189482372</v>
      </c>
    </row>
    <row r="246" spans="21:47">
      <c r="V246" t="s">
        <v>534</v>
      </c>
      <c r="W246">
        <v>0</v>
      </c>
      <c r="Z246" t="s">
        <v>534</v>
      </c>
      <c r="AA246">
        <v>0</v>
      </c>
      <c r="AD246" t="s">
        <v>534</v>
      </c>
      <c r="AE246">
        <v>0</v>
      </c>
      <c r="AH246" t="s">
        <v>534</v>
      </c>
      <c r="AI246">
        <v>0</v>
      </c>
      <c r="AL246" t="s">
        <v>534</v>
      </c>
      <c r="AM246">
        <v>0</v>
      </c>
      <c r="AP246" t="s">
        <v>534</v>
      </c>
      <c r="AQ246">
        <v>0</v>
      </c>
      <c r="AT246" t="s">
        <v>534</v>
      </c>
      <c r="AU246">
        <v>0</v>
      </c>
    </row>
    <row r="247" spans="21:47">
      <c r="V247" t="s">
        <v>535</v>
      </c>
      <c r="W247">
        <v>0</v>
      </c>
      <c r="Z247" t="s">
        <v>535</v>
      </c>
      <c r="AA247">
        <v>0</v>
      </c>
      <c r="AD247" t="s">
        <v>535</v>
      </c>
      <c r="AE247">
        <v>0</v>
      </c>
      <c r="AH247" t="s">
        <v>535</v>
      </c>
      <c r="AI247">
        <v>0</v>
      </c>
      <c r="AL247" t="s">
        <v>535</v>
      </c>
      <c r="AM247">
        <v>0</v>
      </c>
      <c r="AP247" t="s">
        <v>535</v>
      </c>
      <c r="AQ247">
        <v>0</v>
      </c>
      <c r="AT247" t="s">
        <v>535</v>
      </c>
      <c r="AU247">
        <v>0</v>
      </c>
    </row>
    <row r="248" spans="21:47">
      <c r="V248" t="s">
        <v>536</v>
      </c>
      <c r="W248">
        <v>0</v>
      </c>
      <c r="Z248" t="s">
        <v>536</v>
      </c>
      <c r="AA248">
        <v>0</v>
      </c>
      <c r="AD248" t="s">
        <v>536</v>
      </c>
      <c r="AE248">
        <v>0</v>
      </c>
      <c r="AH248" t="s">
        <v>536</v>
      </c>
      <c r="AI248">
        <v>0</v>
      </c>
      <c r="AL248" t="s">
        <v>536</v>
      </c>
      <c r="AM248">
        <v>0</v>
      </c>
      <c r="AP248" t="s">
        <v>536</v>
      </c>
      <c r="AQ248">
        <v>0</v>
      </c>
      <c r="AT248" t="s">
        <v>536</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392</v>
      </c>
      <c r="V257" t="s">
        <v>533</v>
      </c>
      <c r="W257">
        <v>0.150300376172029</v>
      </c>
      <c r="Y257" t="s">
        <v>393</v>
      </c>
      <c r="Z257" t="s">
        <v>533</v>
      </c>
      <c r="AA257">
        <v>0.145588822355289</v>
      </c>
      <c r="AC257" t="s">
        <v>394</v>
      </c>
      <c r="AD257" t="s">
        <v>533</v>
      </c>
      <c r="AE257">
        <v>0.1509177877429</v>
      </c>
      <c r="AG257" t="s">
        <v>395</v>
      </c>
      <c r="AH257" t="s">
        <v>533</v>
      </c>
      <c r="AI257">
        <v>0.153853929744756</v>
      </c>
      <c r="AK257" t="s">
        <v>391</v>
      </c>
      <c r="AL257" t="s">
        <v>533</v>
      </c>
      <c r="AM257">
        <v>0.159046553545901</v>
      </c>
      <c r="AO257" t="s">
        <v>390</v>
      </c>
      <c r="AP257" t="s">
        <v>533</v>
      </c>
      <c r="AQ257">
        <v>0.12661650363682</v>
      </c>
      <c r="AS257" t="s">
        <v>389</v>
      </c>
      <c r="AT257" t="s">
        <v>533</v>
      </c>
      <c r="AU257">
        <v>0.148809102700153</v>
      </c>
    </row>
    <row r="258" spans="21:47">
      <c r="V258" t="s">
        <v>534</v>
      </c>
      <c r="W258">
        <v>0</v>
      </c>
      <c r="Z258" t="s">
        <v>534</v>
      </c>
      <c r="AA258">
        <v>0</v>
      </c>
      <c r="AD258" t="s">
        <v>534</v>
      </c>
      <c r="AE258">
        <v>0</v>
      </c>
      <c r="AH258" t="s">
        <v>534</v>
      </c>
      <c r="AI258">
        <v>0</v>
      </c>
      <c r="AL258" t="s">
        <v>534</v>
      </c>
      <c r="AM258">
        <v>0</v>
      </c>
      <c r="AP258" t="s">
        <v>534</v>
      </c>
      <c r="AQ258">
        <v>0</v>
      </c>
      <c r="AT258" t="s">
        <v>534</v>
      </c>
      <c r="AU258">
        <v>0</v>
      </c>
    </row>
    <row r="259" spans="21:47">
      <c r="V259" t="s">
        <v>535</v>
      </c>
      <c r="W259">
        <v>0</v>
      </c>
      <c r="Z259" t="s">
        <v>535</v>
      </c>
      <c r="AA259">
        <v>0</v>
      </c>
      <c r="AD259" t="s">
        <v>535</v>
      </c>
      <c r="AE259">
        <v>0</v>
      </c>
      <c r="AH259" t="s">
        <v>535</v>
      </c>
      <c r="AI259">
        <v>0</v>
      </c>
      <c r="AL259" t="s">
        <v>535</v>
      </c>
      <c r="AM259">
        <v>0</v>
      </c>
      <c r="AP259" t="s">
        <v>535</v>
      </c>
      <c r="AQ259">
        <v>0</v>
      </c>
      <c r="AT259" t="s">
        <v>535</v>
      </c>
      <c r="AU259">
        <v>0</v>
      </c>
    </row>
    <row r="260" spans="21:47">
      <c r="V260" t="s">
        <v>536</v>
      </c>
      <c r="W260">
        <v>0</v>
      </c>
      <c r="Z260" t="s">
        <v>536</v>
      </c>
      <c r="AA260">
        <v>0</v>
      </c>
      <c r="AD260" t="s">
        <v>536</v>
      </c>
      <c r="AE260">
        <v>0</v>
      </c>
      <c r="AH260" t="s">
        <v>536</v>
      </c>
      <c r="AI260">
        <v>0</v>
      </c>
      <c r="AL260" t="s">
        <v>536</v>
      </c>
      <c r="AM260">
        <v>0</v>
      </c>
      <c r="AP260" t="s">
        <v>536</v>
      </c>
      <c r="AQ260">
        <v>0</v>
      </c>
      <c r="AT260" t="s">
        <v>536</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399</v>
      </c>
      <c r="V268" t="s">
        <v>533</v>
      </c>
      <c r="W268">
        <v>0.107006905844703</v>
      </c>
      <c r="Y268" t="s">
        <v>400</v>
      </c>
      <c r="Z268" t="s">
        <v>533</v>
      </c>
      <c r="AA268">
        <v>0.105212432278301</v>
      </c>
      <c r="AC268" t="s">
        <v>401</v>
      </c>
      <c r="AD268" t="s">
        <v>533</v>
      </c>
      <c r="AE268">
        <v>0.109464872944694</v>
      </c>
      <c r="AG268" t="s">
        <v>402</v>
      </c>
      <c r="AH268" t="s">
        <v>533</v>
      </c>
      <c r="AI268">
        <v>0.110923679555219</v>
      </c>
      <c r="AK268" t="s">
        <v>398</v>
      </c>
      <c r="AL268" t="s">
        <v>533</v>
      </c>
      <c r="AM268">
        <v>0.111405307974392</v>
      </c>
      <c r="AO268" t="s">
        <v>397</v>
      </c>
      <c r="AP268" t="s">
        <v>533</v>
      </c>
      <c r="AQ268">
        <v>0.0918384750438927</v>
      </c>
      <c r="AS268" t="s">
        <v>396</v>
      </c>
      <c r="AT268" t="s">
        <v>533</v>
      </c>
      <c r="AU268">
        <v>0.107935384978186</v>
      </c>
    </row>
    <row r="269" spans="21:47">
      <c r="V269" t="s">
        <v>534</v>
      </c>
      <c r="W269">
        <v>0</v>
      </c>
      <c r="Z269" t="s">
        <v>534</v>
      </c>
      <c r="AA269">
        <v>0</v>
      </c>
      <c r="AD269" t="s">
        <v>534</v>
      </c>
      <c r="AE269">
        <v>0</v>
      </c>
      <c r="AH269" t="s">
        <v>534</v>
      </c>
      <c r="AI269">
        <v>0</v>
      </c>
      <c r="AL269" t="s">
        <v>534</v>
      </c>
      <c r="AM269">
        <v>0</v>
      </c>
      <c r="AP269" t="s">
        <v>534</v>
      </c>
      <c r="AQ269">
        <v>0</v>
      </c>
      <c r="AT269" t="s">
        <v>534</v>
      </c>
      <c r="AU269">
        <v>0</v>
      </c>
    </row>
    <row r="270" spans="21:47">
      <c r="V270" t="s">
        <v>535</v>
      </c>
      <c r="W270">
        <v>0</v>
      </c>
      <c r="Z270" t="s">
        <v>535</v>
      </c>
      <c r="AA270">
        <v>0</v>
      </c>
      <c r="AD270" t="s">
        <v>535</v>
      </c>
      <c r="AE270">
        <v>0</v>
      </c>
      <c r="AH270" t="s">
        <v>535</v>
      </c>
      <c r="AI270">
        <v>0</v>
      </c>
      <c r="AL270" t="s">
        <v>535</v>
      </c>
      <c r="AM270">
        <v>0</v>
      </c>
      <c r="AP270" t="s">
        <v>535</v>
      </c>
      <c r="AQ270">
        <v>0</v>
      </c>
      <c r="AT270" t="s">
        <v>535</v>
      </c>
      <c r="AU270">
        <v>0</v>
      </c>
    </row>
    <row r="271" spans="21:47">
      <c r="V271" t="s">
        <v>536</v>
      </c>
      <c r="W271">
        <v>0</v>
      </c>
      <c r="Z271" t="s">
        <v>536</v>
      </c>
      <c r="AA271">
        <v>0</v>
      </c>
      <c r="AD271" t="s">
        <v>536</v>
      </c>
      <c r="AE271">
        <v>0</v>
      </c>
      <c r="AH271" t="s">
        <v>536</v>
      </c>
      <c r="AI271">
        <v>0</v>
      </c>
      <c r="AL271" t="s">
        <v>536</v>
      </c>
      <c r="AM271">
        <v>0</v>
      </c>
      <c r="AP271" t="s">
        <v>536</v>
      </c>
      <c r="AQ271">
        <v>0</v>
      </c>
      <c r="AT271" t="s">
        <v>536</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544</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AF85</f>
        <v>0.0105665038459379</v>
      </c>
      <c r="X162" s="139"/>
      <c r="Y162" s="139" t="s">
        <v>385</v>
      </c>
      <c r="Z162" s="142" t="s">
        <v>533</v>
      </c>
      <c r="AA162" s="139">
        <f>AG85</f>
        <v>0.010151126318791</v>
      </c>
      <c r="AB162" s="139"/>
      <c r="AC162" s="139" t="s">
        <v>387</v>
      </c>
      <c r="AD162" s="142" t="s">
        <v>533</v>
      </c>
      <c r="AE162" s="139">
        <f>AH85</f>
        <v>0.0104454409566517</v>
      </c>
      <c r="AF162" s="139"/>
      <c r="AG162" s="139" t="s">
        <v>388</v>
      </c>
      <c r="AH162" s="142" t="s">
        <v>533</v>
      </c>
      <c r="AI162" s="139">
        <f>AI85</f>
        <v>0.0114922921405105</v>
      </c>
      <c r="AJ162" s="139"/>
      <c r="AK162" s="139" t="s">
        <v>383</v>
      </c>
      <c r="AL162" s="142" t="s">
        <v>533</v>
      </c>
      <c r="AM162" s="139">
        <f>AJ85</f>
        <v>0.0116539250419541</v>
      </c>
      <c r="AN162" s="139"/>
      <c r="AO162" s="141" t="s">
        <v>382</v>
      </c>
      <c r="AP162" s="142" t="s">
        <v>533</v>
      </c>
      <c r="AQ162" s="141">
        <f>AK85</f>
        <v>0.0100780035114121</v>
      </c>
      <c r="AR162" s="141"/>
      <c r="AS162" s="141" t="s">
        <v>380</v>
      </c>
      <c r="AT162" s="142" t="s">
        <v>533</v>
      </c>
      <c r="AU162" s="141">
        <f>AL85</f>
        <v>0.0118444169319656</v>
      </c>
    </row>
    <row r="163" ht="15.5" spans="21:47">
      <c r="U163" s="139"/>
      <c r="V163" s="142" t="s">
        <v>534</v>
      </c>
      <c r="W163" s="139">
        <f>AF86</f>
        <v>0.0361911178485206</v>
      </c>
      <c r="X163" s="139"/>
      <c r="Y163" s="139"/>
      <c r="Z163" s="142" t="s">
        <v>534</v>
      </c>
      <c r="AA163" s="139">
        <f>AG86</f>
        <v>0.0345822640433419</v>
      </c>
      <c r="AB163" s="139"/>
      <c r="AC163" s="139"/>
      <c r="AD163" s="142" t="s">
        <v>534</v>
      </c>
      <c r="AE163" s="139">
        <f>AH86</f>
        <v>0.0356053811659193</v>
      </c>
      <c r="AF163" s="139"/>
      <c r="AG163" s="139"/>
      <c r="AH163" s="142" t="s">
        <v>534</v>
      </c>
      <c r="AI163" s="139">
        <f>AI86</f>
        <v>0.0365744250694971</v>
      </c>
      <c r="AJ163" s="139"/>
      <c r="AK163" s="139"/>
      <c r="AL163" s="142" t="s">
        <v>534</v>
      </c>
      <c r="AM163" s="139">
        <f t="shared" ref="AM163:AM165" si="291">AA86</f>
        <v>0.0374914537883026</v>
      </c>
      <c r="AN163" s="139"/>
      <c r="AO163" s="141"/>
      <c r="AP163" s="142" t="s">
        <v>534</v>
      </c>
      <c r="AQ163" s="141">
        <f>AK86</f>
        <v>0.0343528969149737</v>
      </c>
      <c r="AR163" s="141"/>
      <c r="AS163" s="141"/>
      <c r="AT163" s="142" t="s">
        <v>534</v>
      </c>
      <c r="AU163" s="141">
        <f>AL86</f>
        <v>0.040374071453838</v>
      </c>
    </row>
    <row r="164" ht="15.5" spans="21:47">
      <c r="U164" s="139"/>
      <c r="V164" s="142" t="s">
        <v>535</v>
      </c>
      <c r="W164" s="139">
        <f>AF87</f>
        <v>0.0787154005951378</v>
      </c>
      <c r="X164" s="139"/>
      <c r="Y164" s="139"/>
      <c r="Z164" s="142" t="s">
        <v>535</v>
      </c>
      <c r="AA164" s="139">
        <f>AG87</f>
        <v>0.0766238950670089</v>
      </c>
      <c r="AB164" s="139"/>
      <c r="AC164" s="139"/>
      <c r="AD164" s="142" t="s">
        <v>535</v>
      </c>
      <c r="AE164" s="139">
        <f>AH87</f>
        <v>0.0794379671150972</v>
      </c>
      <c r="AF164" s="139"/>
      <c r="AG164" s="139"/>
      <c r="AH164" s="142" t="s">
        <v>535</v>
      </c>
      <c r="AI164" s="139">
        <f>AI87</f>
        <v>0.0831501137225171</v>
      </c>
      <c r="AJ164" s="139"/>
      <c r="AK164" s="139"/>
      <c r="AL164" s="142" t="s">
        <v>535</v>
      </c>
      <c r="AM164" s="139">
        <f t="shared" si="291"/>
        <v>0.0871278513269936</v>
      </c>
      <c r="AN164" s="139"/>
      <c r="AO164" s="141"/>
      <c r="AP164" s="142" t="s">
        <v>535</v>
      </c>
      <c r="AQ164" s="141">
        <f>AK87</f>
        <v>0.0766435916729371</v>
      </c>
      <c r="AR164" s="141"/>
      <c r="AS164" s="141"/>
      <c r="AT164" s="142" t="s">
        <v>535</v>
      </c>
      <c r="AU164" s="141">
        <f>AL87</f>
        <v>0.0900772314585544</v>
      </c>
    </row>
    <row r="165" ht="15.5" spans="21:47">
      <c r="U165" s="143"/>
      <c r="V165" s="142" t="s">
        <v>536</v>
      </c>
      <c r="W165" s="139">
        <f>AF88</f>
        <v>0.0132277805850317</v>
      </c>
      <c r="X165" s="143"/>
      <c r="Y165" s="143"/>
      <c r="Z165" s="142" t="s">
        <v>536</v>
      </c>
      <c r="AA165" s="139">
        <f>AG88</f>
        <v>0.0129398346164813</v>
      </c>
      <c r="AB165" s="143"/>
      <c r="AC165" s="143"/>
      <c r="AD165" s="142" t="s">
        <v>536</v>
      </c>
      <c r="AE165" s="139">
        <f>AH88</f>
        <v>0.0134050822122571</v>
      </c>
      <c r="AF165" s="143"/>
      <c r="AG165" s="143"/>
      <c r="AH165" s="142" t="s">
        <v>536</v>
      </c>
      <c r="AI165" s="139">
        <f>AI88</f>
        <v>0.0146449330300733</v>
      </c>
      <c r="AJ165" s="143"/>
      <c r="AK165" s="143"/>
      <c r="AL165" s="142" t="s">
        <v>536</v>
      </c>
      <c r="AM165" s="139">
        <f t="shared" si="291"/>
        <v>0.0149356703337684</v>
      </c>
      <c r="AN165" s="143"/>
      <c r="AO165" s="144"/>
      <c r="AP165" s="142" t="s">
        <v>536</v>
      </c>
      <c r="AQ165" s="141">
        <f>AK88</f>
        <v>0.0129335339854527</v>
      </c>
      <c r="AR165" s="144"/>
      <c r="AS165" s="144"/>
      <c r="AT165" s="142" t="s">
        <v>536</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2">W105</f>
        <v>0.0115995732974005</v>
      </c>
      <c r="X174" s="139"/>
      <c r="Y174" s="139" t="s">
        <v>393</v>
      </c>
      <c r="Z174" s="142" t="s">
        <v>533</v>
      </c>
      <c r="AA174" s="139">
        <f t="shared" ref="AA174:AA177" si="293">X105</f>
        <v>0.0111320216709438</v>
      </c>
      <c r="AB174" s="139"/>
      <c r="AC174" s="139" t="s">
        <v>394</v>
      </c>
      <c r="AD174" s="142" t="s">
        <v>533</v>
      </c>
      <c r="AE174" s="139">
        <f t="shared" ref="AE174:AE177" si="294">Y105</f>
        <v>0.0115156950672646</v>
      </c>
      <c r="AF174" s="139"/>
      <c r="AG174" s="139" t="s">
        <v>395</v>
      </c>
      <c r="AH174" s="142" t="s">
        <v>533</v>
      </c>
      <c r="AI174" s="139">
        <f t="shared" ref="AI174:AI177" si="295">Z105</f>
        <v>0.0118145059388425</v>
      </c>
      <c r="AJ174" s="139"/>
      <c r="AK174" s="139" t="s">
        <v>391</v>
      </c>
      <c r="AL174" s="142" t="s">
        <v>533</v>
      </c>
      <c r="AM174" s="139">
        <f t="shared" ref="AM174:AM177" si="296">AA105</f>
        <v>0.0120206352166076</v>
      </c>
      <c r="AN174" s="139"/>
      <c r="AO174" s="141" t="s">
        <v>390</v>
      </c>
      <c r="AP174" s="142" t="s">
        <v>533</v>
      </c>
      <c r="AQ174" s="141">
        <f>AK105</f>
        <v>0.0111106094808126</v>
      </c>
      <c r="AR174" s="141"/>
      <c r="AS174" s="141" t="s">
        <v>389</v>
      </c>
      <c r="AT174" s="142" t="s">
        <v>533</v>
      </c>
      <c r="AU174" s="141">
        <f>AL105</f>
        <v>0.0130580120268836</v>
      </c>
    </row>
    <row r="175" ht="15.5" spans="21:47">
      <c r="U175" s="139"/>
      <c r="V175" s="142" t="s">
        <v>534</v>
      </c>
      <c r="W175" s="139">
        <f t="shared" si="292"/>
        <v>0.0322272752793218</v>
      </c>
      <c r="X175" s="139"/>
      <c r="Y175" s="139"/>
      <c r="Z175" s="142" t="s">
        <v>534</v>
      </c>
      <c r="AA175" s="139">
        <f t="shared" si="293"/>
        <v>0.0310350727117194</v>
      </c>
      <c r="AB175" s="139"/>
      <c r="AC175" s="139"/>
      <c r="AD175" s="142" t="s">
        <v>534</v>
      </c>
      <c r="AE175" s="139">
        <f t="shared" si="294"/>
        <v>0.0321195814648729</v>
      </c>
      <c r="AF175" s="139"/>
      <c r="AG175" s="139"/>
      <c r="AH175" s="142" t="s">
        <v>534</v>
      </c>
      <c r="AI175" s="139">
        <f t="shared" si="295"/>
        <v>0.0332512004043467</v>
      </c>
      <c r="AJ175" s="139"/>
      <c r="AK175" s="139"/>
      <c r="AL175" s="142" t="s">
        <v>534</v>
      </c>
      <c r="AM175" s="139">
        <f t="shared" si="296"/>
        <v>0.033880290881969</v>
      </c>
      <c r="AN175" s="139"/>
      <c r="AO175" s="141"/>
      <c r="AP175" s="142" t="s">
        <v>534</v>
      </c>
      <c r="AQ175" s="141">
        <f>AK106</f>
        <v>0.0309897165788814</v>
      </c>
      <c r="AR175" s="141"/>
      <c r="AS175" s="141"/>
      <c r="AT175" s="142" t="s">
        <v>534</v>
      </c>
      <c r="AU175" s="141">
        <f>AL106</f>
        <v>0.0364214125692725</v>
      </c>
    </row>
    <row r="176" ht="15.5" spans="21:47">
      <c r="U176" s="139"/>
      <c r="V176" s="142" t="s">
        <v>535</v>
      </c>
      <c r="W176" s="139">
        <f t="shared" si="292"/>
        <v>0.0930380102184044</v>
      </c>
      <c r="X176" s="139"/>
      <c r="Y176" s="139"/>
      <c r="Z176" s="142" t="s">
        <v>535</v>
      </c>
      <c r="AA176" s="139">
        <f t="shared" si="293"/>
        <v>0.0901682349586541</v>
      </c>
      <c r="AB176" s="139"/>
      <c r="AC176" s="139"/>
      <c r="AD176" s="142" t="s">
        <v>535</v>
      </c>
      <c r="AE176" s="139">
        <f t="shared" si="294"/>
        <v>0.0934708520179372</v>
      </c>
      <c r="AF176" s="139"/>
      <c r="AG176" s="139"/>
      <c r="AH176" s="142" t="s">
        <v>535</v>
      </c>
      <c r="AI176" s="139">
        <f t="shared" si="295"/>
        <v>0.0946044983573414</v>
      </c>
      <c r="AJ176" s="139"/>
      <c r="AK176" s="139"/>
      <c r="AL176" s="142" t="s">
        <v>535</v>
      </c>
      <c r="AM176" s="139">
        <f t="shared" si="296"/>
        <v>0.0987631300888806</v>
      </c>
      <c r="AN176" s="139"/>
      <c r="AO176" s="141"/>
      <c r="AP176" s="142" t="s">
        <v>535</v>
      </c>
      <c r="AQ176" s="141">
        <f>AK107</f>
        <v>0.0901828442437923</v>
      </c>
      <c r="AR176" s="141"/>
      <c r="AS176" s="141"/>
      <c r="AT176" s="142" t="s">
        <v>535</v>
      </c>
      <c r="AU176" s="141">
        <f>AL107</f>
        <v>0.105989564909798</v>
      </c>
    </row>
    <row r="177" ht="15.5" spans="21:47">
      <c r="U177" s="143"/>
      <c r="V177" s="142" t="s">
        <v>536</v>
      </c>
      <c r="W177" s="139">
        <f t="shared" si="292"/>
        <v>0.0134355173769019</v>
      </c>
      <c r="X177" s="143"/>
      <c r="Y177" s="143"/>
      <c r="Z177" s="142" t="s">
        <v>536</v>
      </c>
      <c r="AA177" s="139">
        <f t="shared" si="293"/>
        <v>0.0132534930139721</v>
      </c>
      <c r="AB177" s="143"/>
      <c r="AC177" s="143"/>
      <c r="AD177" s="142" t="s">
        <v>536</v>
      </c>
      <c r="AE177" s="139">
        <f t="shared" si="294"/>
        <v>0.0138116591928251</v>
      </c>
      <c r="AF177" s="143"/>
      <c r="AG177" s="143"/>
      <c r="AH177" s="142" t="s">
        <v>536</v>
      </c>
      <c r="AI177" s="139">
        <f t="shared" si="295"/>
        <v>0.0141837250442254</v>
      </c>
      <c r="AJ177" s="143"/>
      <c r="AK177" s="143"/>
      <c r="AL177" s="142" t="s">
        <v>536</v>
      </c>
      <c r="AM177" s="139">
        <f t="shared" si="296"/>
        <v>0.0143824973584437</v>
      </c>
      <c r="AN177" s="143"/>
      <c r="AO177" s="144"/>
      <c r="AP177" s="142" t="s">
        <v>536</v>
      </c>
      <c r="AQ177" s="141">
        <f>AK108</f>
        <v>0.0133258088788563</v>
      </c>
      <c r="AR177" s="144"/>
      <c r="AS177" s="144"/>
      <c r="AT177" s="142" t="s">
        <v>536</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297">W125</f>
        <v>0.00791645612262086</v>
      </c>
      <c r="X185" s="139"/>
      <c r="Y185" s="139" t="s">
        <v>400</v>
      </c>
      <c r="Z185" s="142" t="s">
        <v>533</v>
      </c>
      <c r="AA185" s="139">
        <f t="shared" ref="AA185:AA188" si="298">X125</f>
        <v>0.00768748217850014</v>
      </c>
      <c r="AB185" s="139"/>
      <c r="AC185" s="139" t="s">
        <v>401</v>
      </c>
      <c r="AD185" s="142" t="s">
        <v>533</v>
      </c>
      <c r="AE185" s="139">
        <f t="shared" ref="AE185:AE188" si="299">Y125</f>
        <v>0.00798206278026906</v>
      </c>
      <c r="AF185" s="139"/>
      <c r="AG185" s="139" t="s">
        <v>402</v>
      </c>
      <c r="AH185" s="142" t="s">
        <v>533</v>
      </c>
      <c r="AI185" s="139">
        <f t="shared" ref="AI185:AI188" si="300">Z125</f>
        <v>0.00797321202931515</v>
      </c>
      <c r="AJ185" s="139"/>
      <c r="AK185" s="139" t="s">
        <v>398</v>
      </c>
      <c r="AL185" s="142" t="s">
        <v>533</v>
      </c>
      <c r="AM185" s="139">
        <f t="shared" ref="AM185:AM188" si="301">AA125</f>
        <v>0.00805519298899869</v>
      </c>
      <c r="AN185" s="139"/>
      <c r="AO185" s="141" t="s">
        <v>397</v>
      </c>
      <c r="AP185" s="142" t="s">
        <v>533</v>
      </c>
      <c r="AQ185" s="141">
        <f>AK125</f>
        <v>0.0077012791572611</v>
      </c>
      <c r="AR185" s="141"/>
      <c r="AS185" s="141" t="s">
        <v>396</v>
      </c>
      <c r="AT185" s="142" t="s">
        <v>533</v>
      </c>
      <c r="AU185" s="141">
        <f>AL125</f>
        <v>0.00905111425539441</v>
      </c>
    </row>
    <row r="186" ht="15.5" spans="21:47">
      <c r="U186" s="139"/>
      <c r="V186" s="142" t="s">
        <v>534</v>
      </c>
      <c r="W186" s="139">
        <f t="shared" si="297"/>
        <v>0.0255740834315872</v>
      </c>
      <c r="X186" s="139"/>
      <c r="Y186" s="139"/>
      <c r="Z186" s="142" t="s">
        <v>534</v>
      </c>
      <c r="AA186" s="139">
        <f t="shared" si="298"/>
        <v>0.0248303393213573</v>
      </c>
      <c r="AB186" s="139"/>
      <c r="AC186" s="139"/>
      <c r="AD186" s="142" t="s">
        <v>534</v>
      </c>
      <c r="AE186" s="139">
        <f t="shared" si="299"/>
        <v>0.0257518684603886</v>
      </c>
      <c r="AF186" s="139"/>
      <c r="AG186" s="139"/>
      <c r="AH186" s="142" t="s">
        <v>534</v>
      </c>
      <c r="AI186" s="139">
        <f t="shared" si="300"/>
        <v>0.0256633813495072</v>
      </c>
      <c r="AJ186" s="139"/>
      <c r="AK186" s="139"/>
      <c r="AL186" s="142" t="s">
        <v>534</v>
      </c>
      <c r="AM186" s="139">
        <f t="shared" si="301"/>
        <v>0.0260053452669526</v>
      </c>
      <c r="AN186" s="139"/>
      <c r="AO186" s="141"/>
      <c r="AP186" s="142" t="s">
        <v>534</v>
      </c>
      <c r="AQ186" s="141">
        <f>AK126</f>
        <v>0.0248459994983697</v>
      </c>
      <c r="AR186" s="141"/>
      <c r="AS186" s="141"/>
      <c r="AT186" s="142" t="s">
        <v>534</v>
      </c>
      <c r="AU186" s="141">
        <f>AL126</f>
        <v>0.0292008607475534</v>
      </c>
    </row>
    <row r="187" ht="15.5" spans="21:47">
      <c r="U187" s="139"/>
      <c r="V187" s="142" t="s">
        <v>535</v>
      </c>
      <c r="W187" s="139">
        <f t="shared" si="297"/>
        <v>0.0604008758632306</v>
      </c>
      <c r="X187" s="139"/>
      <c r="Y187" s="139"/>
      <c r="Z187" s="142" t="s">
        <v>535</v>
      </c>
      <c r="AA187" s="139">
        <f t="shared" si="298"/>
        <v>0.0597262617621899</v>
      </c>
      <c r="AB187" s="139"/>
      <c r="AC187" s="139"/>
      <c r="AD187" s="142" t="s">
        <v>535</v>
      </c>
      <c r="AE187" s="139">
        <f t="shared" si="299"/>
        <v>0.0622242152466368</v>
      </c>
      <c r="AF187" s="139"/>
      <c r="AG187" s="139"/>
      <c r="AH187" s="142" t="s">
        <v>535</v>
      </c>
      <c r="AI187" s="139">
        <f t="shared" si="300"/>
        <v>0.0635392974475613</v>
      </c>
      <c r="AJ187" s="139"/>
      <c r="AK187" s="139"/>
      <c r="AL187" s="142" t="s">
        <v>535</v>
      </c>
      <c r="AM187" s="139">
        <f t="shared" si="301"/>
        <v>0.0635589533221456</v>
      </c>
      <c r="AN187" s="139"/>
      <c r="AO187" s="141"/>
      <c r="AP187" s="142" t="s">
        <v>535</v>
      </c>
      <c r="AQ187" s="141">
        <f>AK127</f>
        <v>0.0600353649360421</v>
      </c>
      <c r="AR187" s="141"/>
      <c r="AS187" s="141"/>
      <c r="AT187" s="142" t="s">
        <v>535</v>
      </c>
      <c r="AU187" s="141">
        <f>AL127</f>
        <v>0.0705580120268836</v>
      </c>
    </row>
    <row r="188" ht="15.5" spans="21:47">
      <c r="U188" s="143"/>
      <c r="V188" s="142" t="s">
        <v>536</v>
      </c>
      <c r="W188" s="139">
        <f t="shared" si="297"/>
        <v>0.013115490427264</v>
      </c>
      <c r="X188" s="143"/>
      <c r="Y188" s="143"/>
      <c r="Z188" s="142" t="s">
        <v>536</v>
      </c>
      <c r="AA188" s="139">
        <f t="shared" si="298"/>
        <v>0.0129683490162532</v>
      </c>
      <c r="AB188" s="143"/>
      <c r="AC188" s="143"/>
      <c r="AD188" s="142" t="s">
        <v>536</v>
      </c>
      <c r="AE188" s="139">
        <f t="shared" si="299"/>
        <v>0.0135067264573991</v>
      </c>
      <c r="AF188" s="143"/>
      <c r="AG188" s="143"/>
      <c r="AH188" s="142" t="s">
        <v>536</v>
      </c>
      <c r="AI188" s="139">
        <f t="shared" si="300"/>
        <v>0.013747788728835</v>
      </c>
      <c r="AJ188" s="143"/>
      <c r="AK188" s="143"/>
      <c r="AL188" s="142" t="s">
        <v>536</v>
      </c>
      <c r="AM188" s="139">
        <f t="shared" si="301"/>
        <v>0.0137858163962956</v>
      </c>
      <c r="AN188" s="143"/>
      <c r="AO188" s="144"/>
      <c r="AP188" s="142" t="s">
        <v>536</v>
      </c>
      <c r="AQ188" s="141">
        <f>AK128</f>
        <v>0.0130316027088036</v>
      </c>
      <c r="AR188" s="144"/>
      <c r="AS188" s="144"/>
      <c r="AT188" s="142" t="s">
        <v>536</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573</v>
      </c>
      <c r="B1" s="121"/>
      <c r="C1" s="121"/>
      <c r="D1" s="121"/>
      <c r="E1" s="121"/>
      <c r="F1" s="121"/>
      <c r="G1" s="121"/>
      <c r="H1" s="121"/>
      <c r="I1" s="121"/>
      <c r="J1" s="121"/>
      <c r="K1" s="122"/>
      <c r="L1" s="122" t="s">
        <v>304</v>
      </c>
      <c r="M1" s="122"/>
      <c r="N1" s="122"/>
      <c r="O1" s="122"/>
      <c r="P1" s="122"/>
      <c r="Q1" s="122"/>
      <c r="R1" s="122"/>
      <c r="S1" s="122"/>
      <c r="T1" s="122"/>
      <c r="U1" s="122"/>
      <c r="V1" s="122"/>
      <c r="W1" s="122" t="s">
        <v>574</v>
      </c>
      <c r="X1" s="122"/>
      <c r="Y1" s="122"/>
      <c r="Z1" s="122"/>
      <c r="AA1" s="122"/>
      <c r="AB1" s="123" t="s">
        <v>575</v>
      </c>
      <c r="AC1" s="123"/>
      <c r="AD1" s="122"/>
      <c r="AE1" s="122"/>
      <c r="AF1" s="122" t="s">
        <v>576</v>
      </c>
      <c r="AG1" s="122"/>
      <c r="AH1" s="122"/>
      <c r="AI1" s="122"/>
      <c r="AJ1" s="122"/>
      <c r="AK1" s="122"/>
      <c r="AL1" s="122"/>
      <c r="AM1" s="122"/>
      <c r="AN1" s="122"/>
      <c r="AO1" s="122" t="s">
        <v>577</v>
      </c>
      <c r="AP1" s="122"/>
      <c r="AQ1" s="122"/>
      <c r="AR1" s="122"/>
      <c r="AS1" s="122"/>
      <c r="AT1" s="122"/>
      <c r="AU1" s="122"/>
    </row>
    <row r="2" ht="30" customHeight="1" spans="1:47">
      <c r="A2" s="121" t="s">
        <v>541</v>
      </c>
      <c r="B2" s="121" t="s">
        <v>544</v>
      </c>
      <c r="C2" s="121" t="s">
        <v>543</v>
      </c>
      <c r="D2" s="121"/>
      <c r="E2" s="121"/>
      <c r="F2" s="121"/>
      <c r="G2" s="121"/>
      <c r="H2" s="121"/>
      <c r="I2" s="121"/>
      <c r="J2" s="121"/>
      <c r="K2" s="122"/>
      <c r="L2" s="122"/>
      <c r="M2" s="122"/>
      <c r="N2" s="122"/>
      <c r="O2" s="122"/>
      <c r="P2" s="122"/>
      <c r="Q2" s="122"/>
      <c r="R2" s="122"/>
      <c r="S2" s="122"/>
      <c r="T2" s="122"/>
      <c r="U2" s="122"/>
      <c r="V2" s="124" t="s">
        <v>578</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545</v>
      </c>
      <c r="D3" s="122" t="s">
        <v>275</v>
      </c>
      <c r="E3" s="122" t="s">
        <v>280</v>
      </c>
      <c r="F3" s="126" t="s">
        <v>287</v>
      </c>
      <c r="G3" s="122" t="s">
        <v>293</v>
      </c>
      <c r="H3" s="122" t="s">
        <v>269</v>
      </c>
      <c r="I3" s="122" t="s">
        <v>546</v>
      </c>
      <c r="J3" s="122" t="s">
        <v>547</v>
      </c>
      <c r="K3" s="122"/>
      <c r="L3" s="127" t="s">
        <v>545</v>
      </c>
      <c r="M3" s="122" t="s">
        <v>275</v>
      </c>
      <c r="N3" s="122" t="s">
        <v>280</v>
      </c>
      <c r="O3" s="122" t="s">
        <v>287</v>
      </c>
      <c r="P3" s="122" t="s">
        <v>293</v>
      </c>
      <c r="Q3" s="122" t="s">
        <v>269</v>
      </c>
      <c r="R3" s="122" t="s">
        <v>546</v>
      </c>
      <c r="S3" s="122" t="s">
        <v>547</v>
      </c>
      <c r="T3" s="122"/>
      <c r="U3" s="122"/>
      <c r="V3" s="124" t="s">
        <v>580</v>
      </c>
      <c r="W3" s="122" t="s">
        <v>275</v>
      </c>
      <c r="X3" s="122" t="s">
        <v>280</v>
      </c>
      <c r="Y3" s="126" t="s">
        <v>287</v>
      </c>
      <c r="Z3" s="122" t="s">
        <v>293</v>
      </c>
      <c r="AA3" s="122" t="s">
        <v>269</v>
      </c>
      <c r="AB3" s="128" t="s">
        <v>546</v>
      </c>
      <c r="AC3" s="128" t="s">
        <v>547</v>
      </c>
      <c r="AD3" s="122"/>
      <c r="AE3" s="122"/>
      <c r="AF3" s="122" t="s">
        <v>275</v>
      </c>
      <c r="AG3" s="122" t="s">
        <v>280</v>
      </c>
      <c r="AH3" s="126" t="s">
        <v>287</v>
      </c>
      <c r="AI3" s="122" t="s">
        <v>293</v>
      </c>
      <c r="AJ3" s="122" t="s">
        <v>269</v>
      </c>
      <c r="AK3" s="128" t="s">
        <v>546</v>
      </c>
      <c r="AL3" s="128" t="s">
        <v>547</v>
      </c>
      <c r="AM3" s="122"/>
      <c r="AN3" s="122"/>
      <c r="AO3" s="122" t="s">
        <v>275</v>
      </c>
      <c r="AP3" s="122" t="s">
        <v>280</v>
      </c>
      <c r="AQ3" s="126" t="s">
        <v>287</v>
      </c>
      <c r="AR3" s="122" t="s">
        <v>293</v>
      </c>
      <c r="AS3" s="122" t="s">
        <v>269</v>
      </c>
      <c r="AT3" s="128" t="s">
        <v>546</v>
      </c>
      <c r="AU3" s="128" t="s">
        <v>547</v>
      </c>
    </row>
    <row r="4" ht="15.5" customHeight="1" spans="1:47">
      <c r="A4" s="121" t="s">
        <v>548</v>
      </c>
      <c r="B4" s="129" t="s">
        <v>549</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548</v>
      </c>
      <c r="V4" s="129" t="s">
        <v>549</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551</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551</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553</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553</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555</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555</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556</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556</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410</v>
      </c>
      <c r="B9" s="129" t="s">
        <v>549</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410</v>
      </c>
      <c r="V9" s="129" t="s">
        <v>549</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551</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551</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553</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553</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555</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555</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556</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556</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420</v>
      </c>
      <c r="B14" s="129" t="s">
        <v>549</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420</v>
      </c>
      <c r="V14" s="129" t="s">
        <v>549</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551</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551</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553</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553</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555</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555</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556</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556</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581</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541</v>
      </c>
      <c r="B22" s="121" t="s">
        <v>582</v>
      </c>
      <c r="C22" s="121" t="s">
        <v>543</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545</v>
      </c>
      <c r="D23" s="122" t="s">
        <v>275</v>
      </c>
      <c r="E23" s="122" t="s">
        <v>280</v>
      </c>
      <c r="F23" s="126" t="s">
        <v>287</v>
      </c>
      <c r="G23" s="122" t="s">
        <v>293</v>
      </c>
      <c r="H23" s="122" t="s">
        <v>269</v>
      </c>
      <c r="I23" s="122" t="s">
        <v>546</v>
      </c>
      <c r="J23" s="122" t="s">
        <v>547</v>
      </c>
      <c r="K23" s="122"/>
      <c r="L23" s="122"/>
      <c r="M23" s="122" t="s">
        <v>275</v>
      </c>
      <c r="N23" s="122" t="s">
        <v>280</v>
      </c>
      <c r="O23" s="122" t="s">
        <v>287</v>
      </c>
      <c r="P23" s="122" t="s">
        <v>293</v>
      </c>
      <c r="Q23" s="122" t="s">
        <v>269</v>
      </c>
      <c r="R23" s="122" t="s">
        <v>546</v>
      </c>
      <c r="S23" s="122" t="s">
        <v>547</v>
      </c>
      <c r="T23" s="122"/>
      <c r="U23" s="122"/>
      <c r="V23" s="124" t="s">
        <v>580</v>
      </c>
      <c r="W23" s="122" t="s">
        <v>275</v>
      </c>
      <c r="X23" s="122" t="s">
        <v>280</v>
      </c>
      <c r="Y23" s="126" t="s">
        <v>287</v>
      </c>
      <c r="Z23" s="122" t="s">
        <v>293</v>
      </c>
      <c r="AA23" s="122" t="s">
        <v>269</v>
      </c>
      <c r="AB23" s="128" t="s">
        <v>546</v>
      </c>
      <c r="AC23" s="128" t="s">
        <v>547</v>
      </c>
      <c r="AD23" s="122"/>
      <c r="AE23" s="122"/>
      <c r="AF23" s="122" t="s">
        <v>275</v>
      </c>
      <c r="AG23" s="122" t="s">
        <v>280</v>
      </c>
      <c r="AH23" s="126" t="s">
        <v>287</v>
      </c>
      <c r="AI23" s="122" t="s">
        <v>293</v>
      </c>
      <c r="AJ23" s="122" t="s">
        <v>269</v>
      </c>
      <c r="AK23" s="128" t="s">
        <v>546</v>
      </c>
      <c r="AL23" s="128" t="s">
        <v>547</v>
      </c>
      <c r="AM23" s="122"/>
      <c r="AN23" s="122"/>
      <c r="AO23" s="122" t="s">
        <v>275</v>
      </c>
      <c r="AP23" s="122" t="s">
        <v>280</v>
      </c>
      <c r="AQ23" s="126" t="s">
        <v>287</v>
      </c>
      <c r="AR23" s="122" t="s">
        <v>293</v>
      </c>
      <c r="AS23" s="122" t="s">
        <v>269</v>
      </c>
      <c r="AT23" s="128" t="s">
        <v>546</v>
      </c>
      <c r="AU23" s="128" t="s">
        <v>547</v>
      </c>
    </row>
    <row r="24" ht="15.5" customHeight="1" spans="1:47">
      <c r="A24" s="121" t="s">
        <v>548</v>
      </c>
      <c r="B24" s="129" t="s">
        <v>549</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548</v>
      </c>
      <c r="V24" s="129" t="s">
        <v>549</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551</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551</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553</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553</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555</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555</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556</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556</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410</v>
      </c>
      <c r="B29" s="129" t="s">
        <v>549</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410</v>
      </c>
      <c r="V29" s="129" t="s">
        <v>549</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551</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551</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553</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553</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555</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555</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556</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556</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420</v>
      </c>
      <c r="B34" s="129" t="s">
        <v>549</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420</v>
      </c>
      <c r="V34" s="129" t="s">
        <v>549</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551</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551</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553</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553</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555</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555</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556</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556</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583</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541</v>
      </c>
      <c r="B42" s="121" t="s">
        <v>582</v>
      </c>
      <c r="C42" s="121" t="s">
        <v>543</v>
      </c>
      <c r="D42" s="121"/>
      <c r="E42" s="121"/>
      <c r="F42" s="121"/>
      <c r="G42" s="121"/>
      <c r="H42" s="121"/>
      <c r="I42" s="121"/>
      <c r="J42" s="121"/>
      <c r="K42" s="122"/>
      <c r="L42" s="122"/>
      <c r="M42" s="122"/>
      <c r="N42" s="122"/>
      <c r="O42" s="122"/>
      <c r="P42" s="122"/>
      <c r="Q42" s="122"/>
      <c r="R42" s="122"/>
      <c r="S42" s="122"/>
      <c r="T42" s="122"/>
    </row>
    <row r="43" ht="30" spans="1:47">
      <c r="A43" s="121"/>
      <c r="B43" s="121"/>
      <c r="C43" s="125" t="s">
        <v>545</v>
      </c>
      <c r="D43" s="122" t="s">
        <v>275</v>
      </c>
      <c r="E43" s="122" t="s">
        <v>280</v>
      </c>
      <c r="F43" s="126" t="s">
        <v>287</v>
      </c>
      <c r="G43" s="122" t="s">
        <v>293</v>
      </c>
      <c r="H43" s="122" t="s">
        <v>269</v>
      </c>
      <c r="I43" s="122" t="s">
        <v>546</v>
      </c>
      <c r="J43" s="122" t="s">
        <v>547</v>
      </c>
      <c r="K43" s="122"/>
      <c r="L43" s="122"/>
      <c r="M43" s="122" t="s">
        <v>275</v>
      </c>
      <c r="N43" s="122" t="s">
        <v>280</v>
      </c>
      <c r="O43" s="122" t="s">
        <v>287</v>
      </c>
      <c r="P43" s="122" t="s">
        <v>293</v>
      </c>
      <c r="Q43" s="122" t="s">
        <v>269</v>
      </c>
      <c r="R43" s="122" t="s">
        <v>546</v>
      </c>
      <c r="S43" s="122" t="s">
        <v>547</v>
      </c>
      <c r="T43" s="122"/>
      <c r="U43" s="122"/>
      <c r="V43" s="124" t="s">
        <v>580</v>
      </c>
      <c r="W43" s="122" t="s">
        <v>275</v>
      </c>
      <c r="X43" s="122" t="s">
        <v>280</v>
      </c>
      <c r="Y43" s="126" t="s">
        <v>287</v>
      </c>
      <c r="Z43" s="122" t="s">
        <v>293</v>
      </c>
      <c r="AA43" s="122" t="s">
        <v>269</v>
      </c>
      <c r="AB43" s="128" t="s">
        <v>546</v>
      </c>
      <c r="AC43" s="128" t="s">
        <v>547</v>
      </c>
      <c r="AD43" s="122"/>
      <c r="AE43" s="122"/>
      <c r="AF43" s="122" t="s">
        <v>275</v>
      </c>
      <c r="AG43" s="122" t="s">
        <v>280</v>
      </c>
      <c r="AH43" s="126" t="s">
        <v>287</v>
      </c>
      <c r="AI43" s="122" t="s">
        <v>293</v>
      </c>
      <c r="AJ43" s="122" t="s">
        <v>269</v>
      </c>
      <c r="AK43" s="128" t="s">
        <v>546</v>
      </c>
      <c r="AL43" s="128" t="s">
        <v>547</v>
      </c>
      <c r="AO43" s="122" t="s">
        <v>275</v>
      </c>
      <c r="AP43" s="122" t="s">
        <v>280</v>
      </c>
      <c r="AQ43" s="126" t="s">
        <v>287</v>
      </c>
      <c r="AR43" s="122" t="s">
        <v>293</v>
      </c>
      <c r="AS43" s="122" t="s">
        <v>269</v>
      </c>
      <c r="AT43" s="128" t="s">
        <v>546</v>
      </c>
      <c r="AU43" s="128" t="s">
        <v>547</v>
      </c>
    </row>
    <row r="44" ht="15.5" customHeight="1" spans="1:47">
      <c r="A44" s="121" t="s">
        <v>548</v>
      </c>
      <c r="B44" s="129" t="s">
        <v>549</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548</v>
      </c>
      <c r="V44" s="129" t="s">
        <v>549</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551</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551</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553</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553</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555</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555</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556</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556</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410</v>
      </c>
      <c r="B49" s="129" t="s">
        <v>549</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410</v>
      </c>
      <c r="V49" s="129" t="s">
        <v>549</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551</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551</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553</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553</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555</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555</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556</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556</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420</v>
      </c>
      <c r="B54" s="129" t="s">
        <v>549</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420</v>
      </c>
      <c r="V54" s="129" t="s">
        <v>549</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551</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551</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553</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553</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555</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555</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556</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556</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559</v>
      </c>
      <c r="B60" s="122"/>
      <c r="C60" s="125"/>
      <c r="D60" s="122"/>
      <c r="E60" s="122"/>
      <c r="F60" s="122"/>
      <c r="G60" s="122"/>
      <c r="H60" s="122"/>
      <c r="I60" s="122"/>
      <c r="J60" s="122"/>
      <c r="K60" s="122"/>
      <c r="L60" s="122"/>
      <c r="M60" s="122"/>
      <c r="N60" s="122"/>
      <c r="O60" s="122"/>
      <c r="P60" s="122"/>
      <c r="Q60" s="122"/>
      <c r="R60" s="122"/>
      <c r="S60" s="122"/>
      <c r="T60" s="122"/>
    </row>
    <row r="61" ht="15.5" spans="1:47">
      <c r="A61" s="122" t="s">
        <v>584</v>
      </c>
      <c r="B61" s="122"/>
      <c r="C61" s="125"/>
      <c r="D61" s="122"/>
      <c r="E61" s="122"/>
      <c r="F61" s="122"/>
      <c r="G61" s="122"/>
      <c r="H61" s="122"/>
      <c r="I61" s="122"/>
      <c r="J61" s="122"/>
      <c r="K61" s="122"/>
      <c r="L61" s="122"/>
      <c r="M61" s="122"/>
      <c r="N61" s="122"/>
      <c r="O61" s="122"/>
      <c r="P61" s="122"/>
      <c r="Q61" s="122"/>
      <c r="R61" s="122"/>
      <c r="S61" s="122"/>
      <c r="T61" s="122"/>
    </row>
    <row r="62" ht="15.5" spans="1:47">
      <c r="A62" s="122" t="s">
        <v>585</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546</v>
      </c>
      <c r="AC72" s="128" t="s">
        <v>547</v>
      </c>
      <c r="AD72" s="122"/>
      <c r="AE72" s="122"/>
      <c r="AF72" s="122" t="s">
        <v>275</v>
      </c>
      <c r="AG72" s="122" t="s">
        <v>280</v>
      </c>
      <c r="AH72" s="126" t="s">
        <v>287</v>
      </c>
      <c r="AI72" s="122" t="s">
        <v>293</v>
      </c>
      <c r="AJ72" s="122" t="s">
        <v>269</v>
      </c>
      <c r="AK72" s="128" t="s">
        <v>546</v>
      </c>
      <c r="AL72" s="128" t="s">
        <v>547</v>
      </c>
      <c r="AM72" s="122"/>
      <c r="AN72" s="122"/>
      <c r="AO72" s="122" t="s">
        <v>275</v>
      </c>
      <c r="AP72" s="122" t="s">
        <v>280</v>
      </c>
      <c r="AQ72" s="126" t="s">
        <v>287</v>
      </c>
      <c r="AR72" s="122" t="s">
        <v>293</v>
      </c>
      <c r="AS72" s="122" t="s">
        <v>269</v>
      </c>
      <c r="AT72" s="128" t="s">
        <v>546</v>
      </c>
      <c r="AU72" s="128" t="s">
        <v>547</v>
      </c>
    </row>
    <row r="73" spans="21:47">
      <c r="U73" s="121" t="s">
        <v>548</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550</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554</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410</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550</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554</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586</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550</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552</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554</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587</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550</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552</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554</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546</v>
      </c>
      <c r="AC92" s="128" t="s">
        <v>547</v>
      </c>
      <c r="AD92" s="122"/>
      <c r="AE92" s="122"/>
      <c r="AF92" s="122" t="s">
        <v>275</v>
      </c>
      <c r="AG92" s="122" t="s">
        <v>280</v>
      </c>
      <c r="AH92" s="126" t="s">
        <v>287</v>
      </c>
      <c r="AI92" s="122" t="s">
        <v>293</v>
      </c>
      <c r="AJ92" s="122" t="s">
        <v>269</v>
      </c>
      <c r="AK92" s="128" t="s">
        <v>546</v>
      </c>
      <c r="AL92" s="128" t="s">
        <v>547</v>
      </c>
      <c r="AM92" s="122"/>
      <c r="AN92" s="122"/>
      <c r="AO92" s="122" t="s">
        <v>275</v>
      </c>
      <c r="AP92" s="122" t="s">
        <v>280</v>
      </c>
      <c r="AQ92" s="126" t="s">
        <v>287</v>
      </c>
      <c r="AR92" s="122" t="s">
        <v>293</v>
      </c>
      <c r="AS92" s="122" t="s">
        <v>269</v>
      </c>
      <c r="AT92" s="128" t="s">
        <v>546</v>
      </c>
      <c r="AU92" s="128" t="s">
        <v>547</v>
      </c>
    </row>
    <row r="93" spans="21:47">
      <c r="U93" s="121" t="s">
        <v>548</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550</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554</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410</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550</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554</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586</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550</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552</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554</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587</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550</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552</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554</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546</v>
      </c>
      <c r="AC112" s="128" t="s">
        <v>547</v>
      </c>
      <c r="AD112" s="122"/>
      <c r="AE112" s="122"/>
      <c r="AF112" s="122" t="s">
        <v>275</v>
      </c>
      <c r="AG112" s="122" t="s">
        <v>280</v>
      </c>
      <c r="AH112" s="126" t="s">
        <v>287</v>
      </c>
      <c r="AI112" s="122" t="s">
        <v>293</v>
      </c>
      <c r="AJ112" s="122" t="s">
        <v>269</v>
      </c>
      <c r="AK112" s="128" t="s">
        <v>546</v>
      </c>
      <c r="AL112" s="128" t="s">
        <v>547</v>
      </c>
      <c r="AM112" s="122"/>
      <c r="AN112" s="122"/>
      <c r="AO112" s="122" t="s">
        <v>275</v>
      </c>
      <c r="AP112" s="122" t="s">
        <v>280</v>
      </c>
      <c r="AQ112" s="126" t="s">
        <v>287</v>
      </c>
      <c r="AR112" s="122" t="s">
        <v>293</v>
      </c>
      <c r="AS112" s="122" t="s">
        <v>269</v>
      </c>
      <c r="AT112" s="128" t="s">
        <v>546</v>
      </c>
      <c r="AU112" s="128" t="s">
        <v>547</v>
      </c>
    </row>
    <row r="113" spans="21:47">
      <c r="U113" s="121" t="s">
        <v>548</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550</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554</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410</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550</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554</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586</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550</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552</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554</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587</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550</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552</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554</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384</v>
      </c>
      <c r="V162" s="142" t="s">
        <v>533</v>
      </c>
      <c r="W162" s="139">
        <f t="shared" ref="W162:W165" si="291">AF85</f>
        <v>0.0105665038459379</v>
      </c>
      <c r="X162" s="139"/>
      <c r="Y162" s="139" t="s">
        <v>385</v>
      </c>
      <c r="Z162" s="142" t="s">
        <v>533</v>
      </c>
      <c r="AA162" s="139">
        <f t="shared" ref="AA162:AA165" si="292">AG85</f>
        <v>0.010151126318791</v>
      </c>
      <c r="AB162" s="139"/>
      <c r="AC162" s="139" t="s">
        <v>387</v>
      </c>
      <c r="AD162" s="142" t="s">
        <v>533</v>
      </c>
      <c r="AE162" s="139">
        <f t="shared" ref="AE162:AE165" si="293">AH85</f>
        <v>0.0104454409566517</v>
      </c>
      <c r="AF162" s="139"/>
      <c r="AG162" s="139" t="s">
        <v>388</v>
      </c>
      <c r="AH162" s="142" t="s">
        <v>533</v>
      </c>
      <c r="AI162" s="139">
        <f t="shared" ref="AI162:AI165" si="294">AI85</f>
        <v>0.0114922921405105</v>
      </c>
      <c r="AJ162" s="139"/>
      <c r="AK162" s="139" t="s">
        <v>383</v>
      </c>
      <c r="AL162" s="142" t="s">
        <v>533</v>
      </c>
      <c r="AM162" s="139">
        <f>AJ85</f>
        <v>0.0116539250419541</v>
      </c>
      <c r="AN162" s="139"/>
      <c r="AO162" s="141" t="s">
        <v>382</v>
      </c>
      <c r="AP162" s="142" t="s">
        <v>533</v>
      </c>
      <c r="AQ162" s="141">
        <f>AT85</f>
        <v>0.00744895911713068</v>
      </c>
      <c r="AR162" s="141"/>
      <c r="AS162" s="141" t="s">
        <v>380</v>
      </c>
      <c r="AT162" s="142" t="s">
        <v>533</v>
      </c>
      <c r="AU162" s="141">
        <f>AU85</f>
        <v>0.00875456903667019</v>
      </c>
    </row>
    <row r="163" ht="15.5" spans="21:47">
      <c r="U163" s="139"/>
      <c r="V163" s="142" t="s">
        <v>534</v>
      </c>
      <c r="W163" s="139">
        <f t="shared" si="291"/>
        <v>0.0361911178485206</v>
      </c>
      <c r="X163" s="139"/>
      <c r="Y163" s="139"/>
      <c r="Z163" s="142" t="s">
        <v>534</v>
      </c>
      <c r="AA163" s="139">
        <f t="shared" si="292"/>
        <v>0.0345822640433419</v>
      </c>
      <c r="AB163" s="139"/>
      <c r="AC163" s="139"/>
      <c r="AD163" s="142" t="s">
        <v>534</v>
      </c>
      <c r="AE163" s="139">
        <f t="shared" si="293"/>
        <v>0.0356053811659193</v>
      </c>
      <c r="AF163" s="139"/>
      <c r="AG163" s="139"/>
      <c r="AH163" s="142" t="s">
        <v>534</v>
      </c>
      <c r="AI163" s="139">
        <f t="shared" si="294"/>
        <v>0.0365744250694971</v>
      </c>
      <c r="AJ163" s="139"/>
      <c r="AK163" s="139"/>
      <c r="AL163" s="142" t="s">
        <v>534</v>
      </c>
      <c r="AM163" s="139">
        <f t="shared" ref="AM163:AM165" si="295">AA86</f>
        <v>0.0374914537883026</v>
      </c>
      <c r="AN163" s="139"/>
      <c r="AO163" s="141"/>
      <c r="AP163" s="142" t="s">
        <v>534</v>
      </c>
      <c r="AQ163" s="141">
        <f>AT86</f>
        <v>0.0253912716328066</v>
      </c>
      <c r="AR163" s="141"/>
      <c r="AS163" s="141"/>
      <c r="AT163" s="142" t="s">
        <v>534</v>
      </c>
      <c r="AU163" s="141">
        <f>AU86</f>
        <v>0.0298417049876194</v>
      </c>
    </row>
    <row r="164" ht="15.5" spans="21:47">
      <c r="U164" s="139"/>
      <c r="V164" s="142" t="s">
        <v>535</v>
      </c>
      <c r="W164" s="139">
        <f t="shared" si="291"/>
        <v>0.0787154005951378</v>
      </c>
      <c r="X164" s="139"/>
      <c r="Y164" s="139"/>
      <c r="Z164" s="142" t="s">
        <v>535</v>
      </c>
      <c r="AA164" s="139">
        <f t="shared" si="292"/>
        <v>0.0766238950670089</v>
      </c>
      <c r="AB164" s="139"/>
      <c r="AC164" s="139"/>
      <c r="AD164" s="142" t="s">
        <v>535</v>
      </c>
      <c r="AE164" s="139">
        <f t="shared" si="293"/>
        <v>0.0794379671150972</v>
      </c>
      <c r="AF164" s="139"/>
      <c r="AG164" s="139"/>
      <c r="AH164" s="142" t="s">
        <v>535</v>
      </c>
      <c r="AI164" s="139">
        <f t="shared" si="294"/>
        <v>0.0831501137225171</v>
      </c>
      <c r="AJ164" s="139"/>
      <c r="AK164" s="139"/>
      <c r="AL164" s="142" t="s">
        <v>535</v>
      </c>
      <c r="AM164" s="139">
        <f t="shared" si="295"/>
        <v>0.0871278513269936</v>
      </c>
      <c r="AN164" s="139"/>
      <c r="AO164" s="141"/>
      <c r="AP164" s="142" t="s">
        <v>535</v>
      </c>
      <c r="AQ164" s="141">
        <f>AT87</f>
        <v>0.0566496112365187</v>
      </c>
      <c r="AR164" s="141"/>
      <c r="AS164" s="141"/>
      <c r="AT164" s="142" t="s">
        <v>535</v>
      </c>
      <c r="AU164" s="141">
        <f>AU87</f>
        <v>0.066578823251975</v>
      </c>
    </row>
    <row r="165" ht="15.5" spans="21:47">
      <c r="U165" s="143"/>
      <c r="V165" s="142" t="s">
        <v>536</v>
      </c>
      <c r="W165" s="139">
        <f t="shared" si="291"/>
        <v>0.0132277805850317</v>
      </c>
      <c r="X165" s="143"/>
      <c r="Y165" s="143"/>
      <c r="Z165" s="142" t="s">
        <v>536</v>
      </c>
      <c r="AA165" s="139">
        <f t="shared" si="292"/>
        <v>0.0129398346164813</v>
      </c>
      <c r="AB165" s="143"/>
      <c r="AC165" s="143"/>
      <c r="AD165" s="142" t="s">
        <v>536</v>
      </c>
      <c r="AE165" s="139">
        <f t="shared" si="293"/>
        <v>0.0134050822122571</v>
      </c>
      <c r="AF165" s="143"/>
      <c r="AG165" s="143"/>
      <c r="AH165" s="142" t="s">
        <v>536</v>
      </c>
      <c r="AI165" s="139">
        <f t="shared" si="294"/>
        <v>0.0146449330300733</v>
      </c>
      <c r="AJ165" s="143"/>
      <c r="AK165" s="143"/>
      <c r="AL165" s="142" t="s">
        <v>536</v>
      </c>
      <c r="AM165" s="139">
        <f t="shared" si="295"/>
        <v>0.0149356703337684</v>
      </c>
      <c r="AN165" s="143"/>
      <c r="AO165" s="144"/>
      <c r="AP165" s="142" t="s">
        <v>536</v>
      </c>
      <c r="AQ165" s="141">
        <f>AT88</f>
        <v>0.00955956859794332</v>
      </c>
      <c r="AR165" s="144"/>
      <c r="AS165" s="144"/>
      <c r="AT165" s="142" t="s">
        <v>536</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392</v>
      </c>
      <c r="V174" s="142" t="s">
        <v>533</v>
      </c>
      <c r="W174" s="139">
        <f t="shared" ref="W174:W177" si="296">W105</f>
        <v>0.0115995732974005</v>
      </c>
      <c r="X174" s="139"/>
      <c r="Y174" s="139" t="s">
        <v>393</v>
      </c>
      <c r="Z174" s="142" t="s">
        <v>533</v>
      </c>
      <c r="AA174" s="139">
        <f t="shared" ref="AA174:AA177" si="297">X105</f>
        <v>0.0111320216709438</v>
      </c>
      <c r="AB174" s="139"/>
      <c r="AC174" s="139" t="s">
        <v>394</v>
      </c>
      <c r="AD174" s="142" t="s">
        <v>533</v>
      </c>
      <c r="AE174" s="139">
        <f t="shared" ref="AE174:AE177" si="298">Y105</f>
        <v>0.0115156950672646</v>
      </c>
      <c r="AF174" s="139"/>
      <c r="AG174" s="139" t="s">
        <v>395</v>
      </c>
      <c r="AH174" s="142" t="s">
        <v>533</v>
      </c>
      <c r="AI174" s="139">
        <f t="shared" ref="AI174:AI177" si="299">Z105</f>
        <v>0.0118145059388425</v>
      </c>
      <c r="AJ174" s="139"/>
      <c r="AK174" s="139" t="s">
        <v>391</v>
      </c>
      <c r="AL174" s="142" t="s">
        <v>533</v>
      </c>
      <c r="AM174" s="139">
        <f t="shared" ref="AM174:AM177" si="300">AA105</f>
        <v>0.0120206352166076</v>
      </c>
      <c r="AN174" s="139"/>
      <c r="AO174" s="141" t="s">
        <v>390</v>
      </c>
      <c r="AP174" s="142" t="s">
        <v>533</v>
      </c>
      <c r="AQ174" s="141">
        <f>AT105</f>
        <v>0.00821218961625282</v>
      </c>
      <c r="AR174" s="141"/>
      <c r="AS174" s="141" t="s">
        <v>389</v>
      </c>
      <c r="AT174" s="142" t="s">
        <v>533</v>
      </c>
      <c r="AU174" s="141">
        <f>AU105</f>
        <v>0.00965157410682702</v>
      </c>
    </row>
    <row r="175" ht="15.5" spans="21:47">
      <c r="U175" s="139"/>
      <c r="V175" s="142" t="s">
        <v>534</v>
      </c>
      <c r="W175" s="139">
        <f t="shared" si="296"/>
        <v>0.0322272752793218</v>
      </c>
      <c r="X175" s="139"/>
      <c r="Y175" s="139"/>
      <c r="Z175" s="142" t="s">
        <v>534</v>
      </c>
      <c r="AA175" s="139">
        <f t="shared" si="297"/>
        <v>0.0310350727117194</v>
      </c>
      <c r="AB175" s="139"/>
      <c r="AC175" s="139"/>
      <c r="AD175" s="142" t="s">
        <v>534</v>
      </c>
      <c r="AE175" s="139">
        <f t="shared" si="298"/>
        <v>0.0321195814648729</v>
      </c>
      <c r="AF175" s="139"/>
      <c r="AG175" s="139"/>
      <c r="AH175" s="142" t="s">
        <v>534</v>
      </c>
      <c r="AI175" s="139">
        <f t="shared" si="299"/>
        <v>0.0332512004043467</v>
      </c>
      <c r="AJ175" s="139"/>
      <c r="AK175" s="139"/>
      <c r="AL175" s="142" t="s">
        <v>534</v>
      </c>
      <c r="AM175" s="139">
        <f t="shared" si="300"/>
        <v>0.033880290881969</v>
      </c>
      <c r="AN175" s="139"/>
      <c r="AO175" s="141"/>
      <c r="AP175" s="142" t="s">
        <v>534</v>
      </c>
      <c r="AQ175" s="141">
        <f>AT106</f>
        <v>0.0229054426887384</v>
      </c>
      <c r="AR175" s="141"/>
      <c r="AS175" s="141"/>
      <c r="AT175" s="142" t="s">
        <v>534</v>
      </c>
      <c r="AU175" s="141">
        <f>AU106</f>
        <v>0.0269201745077231</v>
      </c>
    </row>
    <row r="176" ht="15.5" spans="21:47">
      <c r="U176" s="139"/>
      <c r="V176" s="142" t="s">
        <v>535</v>
      </c>
      <c r="W176" s="139">
        <f t="shared" si="296"/>
        <v>0.0930380102184044</v>
      </c>
      <c r="X176" s="139"/>
      <c r="Y176" s="139"/>
      <c r="Z176" s="142" t="s">
        <v>535</v>
      </c>
      <c r="AA176" s="139">
        <f t="shared" si="297"/>
        <v>0.0901682349586541</v>
      </c>
      <c r="AB176" s="139"/>
      <c r="AC176" s="139"/>
      <c r="AD176" s="142" t="s">
        <v>535</v>
      </c>
      <c r="AE176" s="139">
        <f t="shared" si="298"/>
        <v>0.0934708520179372</v>
      </c>
      <c r="AF176" s="139"/>
      <c r="AG176" s="139"/>
      <c r="AH176" s="142" t="s">
        <v>535</v>
      </c>
      <c r="AI176" s="139">
        <f t="shared" si="299"/>
        <v>0.0946044983573414</v>
      </c>
      <c r="AJ176" s="139"/>
      <c r="AK176" s="139"/>
      <c r="AL176" s="142" t="s">
        <v>535</v>
      </c>
      <c r="AM176" s="139">
        <f t="shared" si="300"/>
        <v>0.0987631300888806</v>
      </c>
      <c r="AN176" s="139"/>
      <c r="AO176" s="141"/>
      <c r="AP176" s="142" t="s">
        <v>535</v>
      </c>
      <c r="AQ176" s="141">
        <f>AT107</f>
        <v>0.0666568848758465</v>
      </c>
      <c r="AR176" s="141"/>
      <c r="AS176" s="141"/>
      <c r="AT176" s="142" t="s">
        <v>535</v>
      </c>
      <c r="AU176" s="141">
        <f>AU107</f>
        <v>0.0783401131941988</v>
      </c>
    </row>
    <row r="177" ht="15.5" spans="21:47">
      <c r="U177" s="143"/>
      <c r="V177" s="142" t="s">
        <v>536</v>
      </c>
      <c r="W177" s="139">
        <f t="shared" si="296"/>
        <v>0.0134355173769019</v>
      </c>
      <c r="X177" s="143"/>
      <c r="Y177" s="143"/>
      <c r="Z177" s="142" t="s">
        <v>536</v>
      </c>
      <c r="AA177" s="139">
        <f t="shared" si="297"/>
        <v>0.0132534930139721</v>
      </c>
      <c r="AB177" s="143"/>
      <c r="AC177" s="143"/>
      <c r="AD177" s="142" t="s">
        <v>536</v>
      </c>
      <c r="AE177" s="139">
        <f t="shared" si="298"/>
        <v>0.0138116591928251</v>
      </c>
      <c r="AF177" s="143"/>
      <c r="AG177" s="143"/>
      <c r="AH177" s="142" t="s">
        <v>536</v>
      </c>
      <c r="AI177" s="139">
        <f t="shared" si="299"/>
        <v>0.0141837250442254</v>
      </c>
      <c r="AJ177" s="143"/>
      <c r="AK177" s="143"/>
      <c r="AL177" s="142" t="s">
        <v>536</v>
      </c>
      <c r="AM177" s="139">
        <f t="shared" si="300"/>
        <v>0.0143824973584437</v>
      </c>
      <c r="AN177" s="143"/>
      <c r="AO177" s="144"/>
      <c r="AP177" s="142" t="s">
        <v>536</v>
      </c>
      <c r="AQ177" s="141">
        <f>AT108</f>
        <v>0.00984951091045899</v>
      </c>
      <c r="AR177" s="144"/>
      <c r="AS177" s="144"/>
      <c r="AT177" s="142" t="s">
        <v>536</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399</v>
      </c>
      <c r="V185" s="142" t="s">
        <v>533</v>
      </c>
      <c r="W185" s="139">
        <f t="shared" ref="W185:W188" si="301">W125</f>
        <v>0.00791645612262086</v>
      </c>
      <c r="X185" s="139"/>
      <c r="Y185" s="139" t="s">
        <v>400</v>
      </c>
      <c r="Z185" s="142" t="s">
        <v>533</v>
      </c>
      <c r="AA185" s="139">
        <f t="shared" ref="AA185:AA188" si="302">X125</f>
        <v>0.00768748217850014</v>
      </c>
      <c r="AB185" s="139"/>
      <c r="AC185" s="139" t="s">
        <v>401</v>
      </c>
      <c r="AD185" s="142" t="s">
        <v>533</v>
      </c>
      <c r="AE185" s="139">
        <f t="shared" ref="AE185:AE188" si="303">Y125</f>
        <v>0.00798206278026906</v>
      </c>
      <c r="AF185" s="139"/>
      <c r="AG185" s="139" t="s">
        <v>402</v>
      </c>
      <c r="AH185" s="142" t="s">
        <v>533</v>
      </c>
      <c r="AI185" s="139">
        <f t="shared" ref="AI185:AI188" si="304">Z125</f>
        <v>0.00797321202931515</v>
      </c>
      <c r="AJ185" s="139"/>
      <c r="AK185" s="139" t="s">
        <v>398</v>
      </c>
      <c r="AL185" s="142" t="s">
        <v>533</v>
      </c>
      <c r="AM185" s="139">
        <f t="shared" ref="AM185:AM188" si="305">AA125</f>
        <v>0.00805519298899869</v>
      </c>
      <c r="AN185" s="139"/>
      <c r="AO185" s="141" t="s">
        <v>397</v>
      </c>
      <c r="AP185" s="142" t="s">
        <v>533</v>
      </c>
      <c r="AQ185" s="141">
        <f>AT125</f>
        <v>0.00569224981188864</v>
      </c>
      <c r="AR185" s="141"/>
      <c r="AS185" s="141" t="s">
        <v>396</v>
      </c>
      <c r="AT185" s="142" t="s">
        <v>533</v>
      </c>
      <c r="AU185" s="141">
        <f>AU125</f>
        <v>0.00668995401485673</v>
      </c>
    </row>
    <row r="186" ht="15.5" spans="21:47">
      <c r="U186" s="139"/>
      <c r="V186" s="142" t="s">
        <v>534</v>
      </c>
      <c r="W186" s="139">
        <f t="shared" si="301"/>
        <v>0.0255740834315872</v>
      </c>
      <c r="X186" s="139"/>
      <c r="Y186" s="139"/>
      <c r="Z186" s="142" t="s">
        <v>534</v>
      </c>
      <c r="AA186" s="139">
        <f t="shared" si="302"/>
        <v>0.0248303393213573</v>
      </c>
      <c r="AB186" s="139"/>
      <c r="AC186" s="139"/>
      <c r="AD186" s="142" t="s">
        <v>534</v>
      </c>
      <c r="AE186" s="139">
        <f t="shared" si="303"/>
        <v>0.0257518684603886</v>
      </c>
      <c r="AF186" s="139"/>
      <c r="AG186" s="139"/>
      <c r="AH186" s="142" t="s">
        <v>534</v>
      </c>
      <c r="AI186" s="139">
        <f t="shared" si="304"/>
        <v>0.0256633813495072</v>
      </c>
      <c r="AJ186" s="139"/>
      <c r="AK186" s="139"/>
      <c r="AL186" s="142" t="s">
        <v>534</v>
      </c>
      <c r="AM186" s="139">
        <f t="shared" si="305"/>
        <v>0.0260053452669526</v>
      </c>
      <c r="AN186" s="139"/>
      <c r="AO186" s="141"/>
      <c r="AP186" s="142" t="s">
        <v>534</v>
      </c>
      <c r="AQ186" s="141">
        <f>AT126</f>
        <v>0.0183644344118385</v>
      </c>
      <c r="AR186" s="141"/>
      <c r="AS186" s="141"/>
      <c r="AT186" s="142" t="s">
        <v>534</v>
      </c>
      <c r="AU186" s="141">
        <f>AU126</f>
        <v>0.0215832449003655</v>
      </c>
    </row>
    <row r="187" ht="15.5" spans="21:47">
      <c r="U187" s="139"/>
      <c r="V187" s="142" t="s">
        <v>535</v>
      </c>
      <c r="W187" s="139">
        <f t="shared" si="301"/>
        <v>0.0604008758632306</v>
      </c>
      <c r="X187" s="139"/>
      <c r="Y187" s="139"/>
      <c r="Z187" s="142" t="s">
        <v>535</v>
      </c>
      <c r="AA187" s="139">
        <f t="shared" si="302"/>
        <v>0.0597262617621899</v>
      </c>
      <c r="AB187" s="139"/>
      <c r="AC187" s="139"/>
      <c r="AD187" s="142" t="s">
        <v>535</v>
      </c>
      <c r="AE187" s="139">
        <f t="shared" si="303"/>
        <v>0.0622242152466368</v>
      </c>
      <c r="AF187" s="139"/>
      <c r="AG187" s="139"/>
      <c r="AH187" s="142" t="s">
        <v>535</v>
      </c>
      <c r="AI187" s="139">
        <f t="shared" si="304"/>
        <v>0.0635392974475613</v>
      </c>
      <c r="AJ187" s="139"/>
      <c r="AK187" s="139"/>
      <c r="AL187" s="142" t="s">
        <v>535</v>
      </c>
      <c r="AM187" s="139">
        <f t="shared" si="305"/>
        <v>0.0635589533221456</v>
      </c>
      <c r="AN187" s="139"/>
      <c r="AO187" s="141"/>
      <c r="AP187" s="142" t="s">
        <v>535</v>
      </c>
      <c r="AQ187" s="141">
        <f>AT127</f>
        <v>0.0443739653875094</v>
      </c>
      <c r="AR187" s="141"/>
      <c r="AS187" s="141"/>
      <c r="AT187" s="142" t="s">
        <v>535</v>
      </c>
      <c r="AU187" s="141">
        <f>AU127</f>
        <v>0.052151574106827</v>
      </c>
    </row>
    <row r="188" ht="15.5" spans="21:47">
      <c r="U188" s="143"/>
      <c r="V188" s="142" t="s">
        <v>536</v>
      </c>
      <c r="W188" s="139">
        <f t="shared" si="301"/>
        <v>0.013115490427264</v>
      </c>
      <c r="X188" s="143"/>
      <c r="Y188" s="143"/>
      <c r="Z188" s="142" t="s">
        <v>536</v>
      </c>
      <c r="AA188" s="139">
        <f t="shared" si="302"/>
        <v>0.0129683490162532</v>
      </c>
      <c r="AB188" s="143"/>
      <c r="AC188" s="143"/>
      <c r="AD188" s="142" t="s">
        <v>536</v>
      </c>
      <c r="AE188" s="139">
        <f t="shared" si="303"/>
        <v>0.0135067264573991</v>
      </c>
      <c r="AF188" s="143"/>
      <c r="AG188" s="143"/>
      <c r="AH188" s="142" t="s">
        <v>536</v>
      </c>
      <c r="AI188" s="139">
        <f t="shared" si="304"/>
        <v>0.013747788728835</v>
      </c>
      <c r="AJ188" s="143"/>
      <c r="AK188" s="143"/>
      <c r="AL188" s="142" t="s">
        <v>536</v>
      </c>
      <c r="AM188" s="139">
        <f t="shared" si="305"/>
        <v>0.0137858163962956</v>
      </c>
      <c r="AN188" s="143"/>
      <c r="AO188" s="144"/>
      <c r="AP188" s="142" t="s">
        <v>536</v>
      </c>
      <c r="AQ188" s="141">
        <f>AT128</f>
        <v>0.00963205417607224</v>
      </c>
      <c r="AR188" s="144"/>
      <c r="AS188" s="144"/>
      <c r="AT188" s="142" t="s">
        <v>536</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588</v>
      </c>
      <c r="K3" s="100" t="s">
        <v>589</v>
      </c>
    </row>
    <row r="4" ht="21" customHeight="1" spans="2:11">
      <c r="B4" s="101"/>
      <c r="C4" s="102" t="s">
        <v>260</v>
      </c>
      <c r="D4" s="102" t="s">
        <v>265</v>
      </c>
      <c r="E4" s="102" t="s">
        <v>269</v>
      </c>
      <c r="F4" s="102" t="s">
        <v>590</v>
      </c>
      <c r="G4" s="102" t="s">
        <v>280</v>
      </c>
      <c r="H4" s="102" t="s">
        <v>591</v>
      </c>
      <c r="I4" s="102" t="s">
        <v>592</v>
      </c>
      <c r="K4" s="103" t="s">
        <v>593</v>
      </c>
    </row>
    <row r="5" ht="15.5" spans="2:11">
      <c r="B5" s="104" t="s">
        <v>337</v>
      </c>
      <c r="C5" s="104">
        <v>0.095</v>
      </c>
      <c r="D5" s="104">
        <v>0.106</v>
      </c>
      <c r="E5" s="104">
        <v>0.102</v>
      </c>
      <c r="F5" s="104">
        <v>0.141</v>
      </c>
      <c r="G5" s="104">
        <v>0.136</v>
      </c>
      <c r="H5" s="104">
        <v>0.118</v>
      </c>
      <c r="I5" s="104">
        <v>0.1</v>
      </c>
      <c r="K5" s="100"/>
    </row>
    <row r="6" ht="15.5" spans="2:11">
      <c r="B6" s="104" t="s">
        <v>339</v>
      </c>
      <c r="C6" s="104">
        <v>0</v>
      </c>
      <c r="D6" s="104">
        <v>0</v>
      </c>
      <c r="E6" s="104">
        <v>0.672</v>
      </c>
      <c r="F6" s="104">
        <v>0.351</v>
      </c>
      <c r="G6" s="104">
        <v>0.508</v>
      </c>
      <c r="H6" s="104">
        <v>0.531</v>
      </c>
      <c r="I6" s="104">
        <v>0.6</v>
      </c>
      <c r="K6" s="100"/>
    </row>
    <row r="7" ht="15.5" spans="2:11">
      <c r="B7" s="104" t="s">
        <v>341</v>
      </c>
      <c r="C7" s="104">
        <v>0</v>
      </c>
      <c r="D7" s="104">
        <v>0</v>
      </c>
      <c r="E7" s="104">
        <v>0.127</v>
      </c>
      <c r="F7" s="104">
        <v>0.352</v>
      </c>
      <c r="G7" s="104">
        <v>0.204</v>
      </c>
      <c r="H7" s="104">
        <v>0.178</v>
      </c>
      <c r="I7" s="104">
        <v>0.075</v>
      </c>
      <c r="K7" s="100"/>
    </row>
    <row r="8" ht="15.5" spans="2:11">
      <c r="B8" s="104" t="s">
        <v>350</v>
      </c>
      <c r="C8" s="104">
        <v>0</v>
      </c>
      <c r="D8" s="104">
        <v>1.396</v>
      </c>
      <c r="E8" s="104">
        <v>0</v>
      </c>
      <c r="F8" s="104">
        <v>0.328</v>
      </c>
      <c r="G8" s="104">
        <v>0.285</v>
      </c>
      <c r="H8" s="104">
        <v>0.166</v>
      </c>
      <c r="I8" s="104">
        <v>0.07</v>
      </c>
      <c r="K8" s="100"/>
    </row>
    <row r="9" ht="15.5" spans="2:11">
      <c r="B9" s="104" t="s">
        <v>352</v>
      </c>
      <c r="C9" s="104">
        <v>3.528</v>
      </c>
      <c r="D9" s="104">
        <v>3.369</v>
      </c>
      <c r="E9" s="104">
        <v>2.92</v>
      </c>
      <c r="F9" s="104">
        <v>3.11</v>
      </c>
      <c r="G9" s="104">
        <v>3.07</v>
      </c>
      <c r="H9" s="104">
        <v>3.017</v>
      </c>
      <c r="I9" s="104">
        <v>2.921</v>
      </c>
      <c r="K9" s="100"/>
    </row>
    <row r="10" ht="15.5" spans="2:11">
      <c r="B10" s="104" t="s">
        <v>355</v>
      </c>
      <c r="C10" s="104">
        <v>0.946</v>
      </c>
      <c r="D10" s="104">
        <v>0.863</v>
      </c>
      <c r="E10" s="104">
        <v>0.564</v>
      </c>
      <c r="F10" s="104">
        <v>0.677</v>
      </c>
      <c r="G10" s="104">
        <v>0.661</v>
      </c>
      <c r="H10" s="104">
        <v>0.605</v>
      </c>
      <c r="I10" s="104">
        <v>0.549</v>
      </c>
      <c r="K10" s="100"/>
    </row>
    <row r="11" ht="15.5" spans="2:11">
      <c r="B11" s="104" t="s">
        <v>594</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595</v>
      </c>
      <c r="K15" s="100" t="s">
        <v>589</v>
      </c>
    </row>
    <row r="16" ht="15.5" spans="2:11">
      <c r="B16" s="101"/>
      <c r="C16" s="102" t="s">
        <v>260</v>
      </c>
      <c r="D16" s="102" t="s">
        <v>265</v>
      </c>
      <c r="E16" s="102" t="s">
        <v>269</v>
      </c>
      <c r="F16" s="102" t="s">
        <v>590</v>
      </c>
      <c r="G16" s="102" t="s">
        <v>280</v>
      </c>
      <c r="H16" s="102" t="s">
        <v>591</v>
      </c>
      <c r="I16" s="102" t="s">
        <v>592</v>
      </c>
      <c r="K16" s="100" t="s">
        <v>596</v>
      </c>
    </row>
    <row r="17" spans="2:11">
      <c r="B17" s="105" t="s">
        <v>597</v>
      </c>
      <c r="C17" s="105" t="s">
        <v>598</v>
      </c>
      <c r="D17" s="105" t="s">
        <v>599</v>
      </c>
      <c r="E17" s="105" t="s">
        <v>600</v>
      </c>
      <c r="F17" s="101" t="s">
        <v>600</v>
      </c>
      <c r="G17" s="101"/>
      <c r="H17" s="101"/>
      <c r="I17" s="101"/>
    </row>
    <row r="18" spans="2:11">
      <c r="B18" s="105" t="s">
        <v>601</v>
      </c>
      <c r="C18" s="105" t="s">
        <v>602</v>
      </c>
      <c r="D18" s="105" t="s">
        <v>603</v>
      </c>
      <c r="E18" s="105" t="s">
        <v>604</v>
      </c>
      <c r="F18" s="106" t="s">
        <v>604</v>
      </c>
      <c r="G18" s="107"/>
      <c r="H18" s="107"/>
      <c r="I18" s="108"/>
    </row>
    <row r="24" ht="15.5" spans="2:11">
      <c r="B24" s="99" t="s">
        <v>605</v>
      </c>
    </row>
    <row r="25" ht="15.5" spans="2:11">
      <c r="B25" s="101"/>
      <c r="C25" s="102" t="s">
        <v>260</v>
      </c>
      <c r="D25" s="102" t="s">
        <v>265</v>
      </c>
      <c r="E25" s="102" t="s">
        <v>269</v>
      </c>
      <c r="F25" s="102" t="s">
        <v>590</v>
      </c>
      <c r="G25" s="102" t="s">
        <v>280</v>
      </c>
      <c r="H25" s="102" t="s">
        <v>591</v>
      </c>
      <c r="I25" s="102" t="s">
        <v>592</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606</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607</v>
      </c>
    </row>
    <row r="35" ht="72" customHeight="1" spans="2:13">
      <c r="B35" s="113" t="s">
        <v>608</v>
      </c>
      <c r="C35" s="113"/>
      <c r="D35" s="113"/>
      <c r="E35" s="113"/>
      <c r="F35" s="113"/>
      <c r="G35" s="113"/>
      <c r="H35" s="113"/>
      <c r="I35" s="113"/>
      <c r="J35" s="113"/>
      <c r="K35" s="113"/>
      <c r="M35" s="114"/>
    </row>
    <row r="40" ht="15.5" spans="2:13">
      <c r="B40" s="99" t="s">
        <v>609</v>
      </c>
      <c r="K40" s="100" t="s">
        <v>589</v>
      </c>
    </row>
    <row r="41" ht="84" spans="2:13">
      <c r="B41" s="115"/>
      <c r="C41" s="116"/>
      <c r="D41" s="116"/>
      <c r="E41" s="116"/>
      <c r="F41" s="116"/>
      <c r="G41" s="116"/>
      <c r="H41" s="116"/>
      <c r="I41" s="116"/>
      <c r="K41" s="103" t="s">
        <v>593</v>
      </c>
    </row>
    <row r="42" ht="15.5" spans="2:13">
      <c r="B42" s="117" t="s">
        <v>337</v>
      </c>
      <c r="C42" s="118">
        <v>0.6</v>
      </c>
      <c r="D42" s="119"/>
      <c r="E42" s="119"/>
      <c r="F42" s="119"/>
      <c r="G42" s="119"/>
      <c r="H42" s="119"/>
      <c r="I42" s="119"/>
    </row>
    <row r="43" ht="15.5" spans="2:13">
      <c r="B43" s="117" t="s">
        <v>339</v>
      </c>
      <c r="C43" s="120">
        <v>0.56</v>
      </c>
    </row>
    <row r="44" ht="15.5" spans="2:13">
      <c r="B44" s="117" t="s">
        <v>341</v>
      </c>
      <c r="C44" s="120">
        <v>0.65</v>
      </c>
    </row>
    <row r="45" ht="15.5" spans="2:13">
      <c r="B45" s="117" t="s">
        <v>350</v>
      </c>
      <c r="C45" s="120">
        <v>0.61</v>
      </c>
    </row>
    <row r="46" ht="15.5" spans="2:13">
      <c r="B46" s="117" t="s">
        <v>352</v>
      </c>
      <c r="C46" s="120">
        <v>0.52</v>
      </c>
    </row>
    <row r="47" ht="15.5" spans="2:13">
      <c r="B47" s="117" t="s">
        <v>355</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610</v>
      </c>
      <c r="C3" s="38"/>
      <c r="D3" s="38"/>
      <c r="E3" s="38"/>
      <c r="F3" s="39"/>
    </row>
    <row r="5" ht="15" customHeight="1" spans="2:6">
      <c r="B5" s="44" t="s">
        <v>611</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613</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614</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615</v>
      </c>
      <c r="C45" s="49" t="s">
        <v>616</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617</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618</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619</v>
      </c>
      <c r="C80" s="47" t="s">
        <v>26</v>
      </c>
      <c r="D80" s="74">
        <v>0.56</v>
      </c>
    </row>
    <row r="82" ht="15" customHeight="1" spans="2:6">
      <c r="B82" s="49" t="s">
        <v>27</v>
      </c>
      <c r="C82" s="49" t="s">
        <v>620</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621</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622</v>
      </c>
      <c r="C3" s="38"/>
      <c r="D3" s="38"/>
      <c r="E3" s="38"/>
      <c r="F3" s="39"/>
    </row>
    <row r="4" spans="2:20">
      <c r="K4" s="43" t="s">
        <v>623</v>
      </c>
      <c r="L4" s="43"/>
      <c r="M4" s="43"/>
      <c r="N4" s="43"/>
      <c r="O4" s="43"/>
      <c r="P4" s="43"/>
      <c r="Q4" s="43"/>
      <c r="R4" s="43"/>
      <c r="S4" s="43"/>
      <c r="T4" s="43"/>
    </row>
    <row r="5" spans="2:20">
      <c r="B5" s="44" t="s">
        <v>624</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625</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626</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627</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628</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629</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630</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632</v>
      </c>
      <c r="C80" s="47" t="s">
        <v>26</v>
      </c>
      <c r="D80" s="74">
        <v>1.3</v>
      </c>
    </row>
    <row r="82" spans="2:6">
      <c r="B82" s="49" t="s">
        <v>27</v>
      </c>
      <c r="C82" s="49" t="s">
        <v>633</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635</v>
      </c>
      <c r="C112" s="38"/>
      <c r="D112" s="38"/>
      <c r="E112" s="38"/>
      <c r="F112" s="39"/>
    </row>
    <row r="114" spans="2:6">
      <c r="B114" s="44" t="s">
        <v>636</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637</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638</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639</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640</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641</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642</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643</v>
      </c>
      <c r="C186" s="47" t="s">
        <v>26</v>
      </c>
      <c r="D186" s="74">
        <v>1.65</v>
      </c>
    </row>
    <row r="188" spans="2:6">
      <c r="B188" s="49" t="s">
        <v>27</v>
      </c>
      <c r="C188" s="49" t="s">
        <v>644</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645</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646</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647</v>
      </c>
    </row>
    <row r="227" spans="2:5">
      <c r="B227" t="s">
        <v>648</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649</v>
      </c>
      <c r="K5" s="43" t="s">
        <v>650</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651</v>
      </c>
      <c r="D7" s="68">
        <v>3736.18882346745</v>
      </c>
      <c r="K7" s="43"/>
      <c r="L7" s="43"/>
      <c r="M7" s="43"/>
      <c r="N7" s="43"/>
      <c r="O7" s="43"/>
      <c r="P7" s="43"/>
      <c r="Q7" s="43"/>
      <c r="R7" s="43"/>
      <c r="S7" s="43"/>
      <c r="T7" s="43"/>
    </row>
    <row r="8" spans="2:20">
      <c r="B8" s="46" t="s">
        <v>14</v>
      </c>
      <c r="C8" s="47" t="s">
        <v>652</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654</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651</v>
      </c>
      <c r="D40" s="68">
        <v>2146.17368873603</v>
      </c>
    </row>
    <row r="41" ht="15" customHeight="1"/>
    <row r="42" spans="2:5">
      <c r="B42" s="49" t="s">
        <v>655</v>
      </c>
      <c r="C42" s="56" t="s">
        <v>656</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657</v>
      </c>
      <c r="C53" s="56" t="s">
        <v>658</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659</v>
      </c>
    </row>
    <row r="6" ht="15" customHeight="1" spans="2:12">
      <c r="B6" s="45">
        <v>2015</v>
      </c>
      <c r="C6" s="45"/>
      <c r="D6" s="45"/>
    </row>
    <row r="7" spans="2:12">
      <c r="B7" s="46" t="s">
        <v>12</v>
      </c>
      <c r="C7" s="47" t="s">
        <v>660</v>
      </c>
      <c r="D7" s="68">
        <v>11.1115917749527</v>
      </c>
      <c r="J7" s="75"/>
    </row>
    <row r="8" spans="2:12">
      <c r="B8" s="46" t="s">
        <v>14</v>
      </c>
      <c r="C8" s="47" t="s">
        <v>652</v>
      </c>
      <c r="D8" s="68">
        <v>8.51985777210084</v>
      </c>
      <c r="J8" s="75"/>
    </row>
    <row r="10" spans="2:12">
      <c r="B10" s="49" t="s">
        <v>140</v>
      </c>
      <c r="C10" s="49" t="s">
        <v>661</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662</v>
      </c>
    </row>
    <row r="26" spans="2:12">
      <c r="B26" s="45">
        <v>2015</v>
      </c>
      <c r="C26" s="45"/>
      <c r="D26" s="45"/>
    </row>
    <row r="27" spans="2:12">
      <c r="B27" s="46" t="s">
        <v>12</v>
      </c>
      <c r="C27" s="47" t="s">
        <v>660</v>
      </c>
      <c r="D27" s="68">
        <v>6.93017681650736</v>
      </c>
      <c r="J27" s="75"/>
    </row>
    <row r="28" spans="2:12">
      <c r="B28" s="46" t="s">
        <v>14</v>
      </c>
      <c r="C28" s="47" t="s">
        <v>652</v>
      </c>
      <c r="D28" s="68">
        <v>11.6296058589177</v>
      </c>
      <c r="J28" s="75"/>
    </row>
    <row r="29" ht="15" customHeight="1"/>
    <row r="30" spans="2:12">
      <c r="B30" s="49" t="s">
        <v>140</v>
      </c>
      <c r="C30" s="49" t="s">
        <v>663</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664</v>
      </c>
    </row>
    <row r="46" spans="2:12">
      <c r="B46" s="45">
        <v>2015</v>
      </c>
      <c r="C46" s="45"/>
      <c r="D46" s="45"/>
    </row>
    <row r="47" spans="2:12">
      <c r="B47" s="46" t="s">
        <v>12</v>
      </c>
      <c r="C47" s="47" t="s">
        <v>660</v>
      </c>
      <c r="D47" s="68">
        <v>2.00511882895014</v>
      </c>
      <c r="J47" s="75"/>
    </row>
    <row r="48" spans="2:12">
      <c r="B48" s="46" t="s">
        <v>14</v>
      </c>
      <c r="C48" s="47" t="s">
        <v>652</v>
      </c>
      <c r="D48" s="68">
        <v>27.1827732017803</v>
      </c>
      <c r="J48" s="75"/>
    </row>
    <row r="49" ht="15" customHeight="1"/>
    <row r="50" spans="2:12">
      <c r="B50" s="49" t="s">
        <v>140</v>
      </c>
      <c r="C50" s="49" t="s">
        <v>665</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666</v>
      </c>
    </row>
    <row r="66" spans="2:12">
      <c r="B66" s="45">
        <v>2015</v>
      </c>
      <c r="C66" s="45"/>
      <c r="D66" s="45"/>
    </row>
    <row r="67" spans="2:12">
      <c r="B67" s="46" t="s">
        <v>12</v>
      </c>
      <c r="C67" s="47" t="s">
        <v>667</v>
      </c>
      <c r="D67" s="68">
        <v>21.7610759732877</v>
      </c>
      <c r="J67" s="75"/>
    </row>
    <row r="68" ht="15" customHeight="1" spans="2:12">
      <c r="B68" s="46" t="s">
        <v>14</v>
      </c>
      <c r="C68" s="47" t="s">
        <v>652</v>
      </c>
      <c r="D68" s="68">
        <v>8.8007828121539</v>
      </c>
      <c r="J68" s="75"/>
    </row>
    <row r="70" spans="2:12">
      <c r="B70" s="49" t="s">
        <v>140</v>
      </c>
      <c r="C70" s="49" t="s">
        <v>668</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669</v>
      </c>
    </row>
    <row r="86" spans="2:12">
      <c r="B86" s="45">
        <v>2015</v>
      </c>
      <c r="C86" s="45"/>
      <c r="D86" s="45"/>
    </row>
    <row r="87" spans="2:12">
      <c r="B87" s="46" t="s">
        <v>12</v>
      </c>
      <c r="C87" s="47" t="s">
        <v>667</v>
      </c>
      <c r="D87" s="68">
        <v>6.89988772048606</v>
      </c>
      <c r="J87" s="75"/>
    </row>
    <row r="88" spans="2:12">
      <c r="B88" s="46" t="s">
        <v>14</v>
      </c>
      <c r="C88" s="47" t="s">
        <v>652</v>
      </c>
      <c r="D88" s="68">
        <v>11.5840303764976</v>
      </c>
      <c r="J88" s="75"/>
    </row>
    <row r="90" spans="2:12">
      <c r="B90" s="49" t="s">
        <v>140</v>
      </c>
      <c r="C90" s="49" t="s">
        <v>670</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671</v>
      </c>
    </row>
    <row r="105" spans="2:12">
      <c r="B105" s="49" t="s">
        <v>672</v>
      </c>
      <c r="C105" s="49" t="s">
        <v>673</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674</v>
      </c>
    </row>
    <row r="120" spans="2:6">
      <c r="B120" s="49" t="s">
        <v>675</v>
      </c>
      <c r="C120" s="49" t="s">
        <v>676</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677</v>
      </c>
      <c r="C3" s="38"/>
      <c r="D3" s="38"/>
      <c r="E3" s="38"/>
      <c r="F3" s="39"/>
    </row>
    <row r="4" ht="15" customHeight="1"/>
    <row r="5" ht="15" customHeight="1" spans="2:6">
      <c r="B5" s="44" t="s">
        <v>678</v>
      </c>
    </row>
    <row r="6" spans="2:6">
      <c r="B6" s="45">
        <v>2015</v>
      </c>
      <c r="C6" s="45"/>
      <c r="D6" s="45"/>
    </row>
    <row r="7" spans="2:6">
      <c r="B7" s="46" t="s">
        <v>12</v>
      </c>
      <c r="C7" s="47" t="s">
        <v>660</v>
      </c>
      <c r="D7" s="68">
        <v>29.6118330510177</v>
      </c>
    </row>
    <row r="8" spans="2:6">
      <c r="B8" s="46" t="s">
        <v>14</v>
      </c>
      <c r="C8" s="47" t="s">
        <v>679</v>
      </c>
      <c r="D8" s="48">
        <v>6.45525065406382</v>
      </c>
    </row>
    <row r="10" spans="2:6">
      <c r="B10" s="49" t="s">
        <v>140</v>
      </c>
      <c r="C10" s="49" t="s">
        <v>680</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681</v>
      </c>
    </row>
    <row r="25" spans="2:6">
      <c r="B25" s="45">
        <v>2015</v>
      </c>
      <c r="C25" s="45"/>
      <c r="D25" s="45"/>
    </row>
    <row r="26" spans="2:6">
      <c r="B26" s="46" t="s">
        <v>12</v>
      </c>
      <c r="C26" s="47" t="s">
        <v>660</v>
      </c>
      <c r="D26" s="68">
        <v>31.0823526515104</v>
      </c>
    </row>
    <row r="27" spans="2:6">
      <c r="B27" s="46" t="s">
        <v>14</v>
      </c>
      <c r="C27" s="47" t="s">
        <v>679</v>
      </c>
      <c r="D27" s="48">
        <v>7.51561465406382</v>
      </c>
    </row>
    <row r="29" spans="2:6">
      <c r="B29" s="49" t="s">
        <v>140</v>
      </c>
      <c r="C29" s="49" t="s">
        <v>682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683</v>
      </c>
      <c r="C44" s="47" t="s">
        <v>660</v>
      </c>
      <c r="D44" s="48">
        <v>11.0548632360586</v>
      </c>
    </row>
    <row r="46" spans="2:6">
      <c r="B46" s="49" t="s">
        <v>27</v>
      </c>
      <c r="C46" s="56" t="s">
        <v>684</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675</v>
      </c>
      <c r="C56" s="56" t="s">
        <v>685</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686</v>
      </c>
      <c r="C69" s="38"/>
      <c r="D69" s="38"/>
      <c r="E69" s="38"/>
      <c r="F69" s="39"/>
    </row>
    <row r="71" spans="2:6">
      <c r="B71" s="44" t="s">
        <v>687</v>
      </c>
    </row>
    <row r="72" spans="2:6">
      <c r="B72" s="45">
        <v>2015</v>
      </c>
      <c r="C72" s="45"/>
      <c r="D72" s="45"/>
    </row>
    <row r="73" spans="2:6">
      <c r="B73" s="46" t="s">
        <v>12</v>
      </c>
      <c r="C73" s="47" t="s">
        <v>667</v>
      </c>
      <c r="D73" s="48">
        <v>10.6749229595463</v>
      </c>
    </row>
    <row r="74" spans="2:6">
      <c r="B74" s="46" t="s">
        <v>14</v>
      </c>
      <c r="C74" s="47" t="s">
        <v>679</v>
      </c>
      <c r="D74" s="68">
        <v>7.015484</v>
      </c>
    </row>
    <row r="76" ht="15" customHeight="1" spans="2:6">
      <c r="B76" s="71" t="s">
        <v>140</v>
      </c>
      <c r="C76" s="56" t="s">
        <v>688</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689</v>
      </c>
    </row>
    <row r="91" spans="2:6">
      <c r="B91" s="45">
        <v>2015</v>
      </c>
      <c r="C91" s="45"/>
      <c r="D91" s="45"/>
    </row>
    <row r="92" spans="2:6">
      <c r="B92" s="46" t="s">
        <v>12</v>
      </c>
      <c r="C92" s="47" t="s">
        <v>667</v>
      </c>
      <c r="D92" s="48">
        <v>11.2050381813469</v>
      </c>
    </row>
    <row r="93" spans="2:6">
      <c r="B93" s="46" t="s">
        <v>14</v>
      </c>
      <c r="C93" s="47" t="s">
        <v>679</v>
      </c>
      <c r="D93" s="68">
        <v>10.553001</v>
      </c>
    </row>
    <row r="94" ht="15" customHeight="1"/>
    <row r="95" spans="2:6">
      <c r="B95" s="71" t="s">
        <v>140</v>
      </c>
      <c r="C95" s="56" t="s">
        <v>690</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691</v>
      </c>
      <c r="C110" s="47" t="s">
        <v>667</v>
      </c>
      <c r="D110" s="74">
        <v>3.63868357239443</v>
      </c>
    </row>
    <row r="112" spans="2:6">
      <c r="B112" s="49" t="s">
        <v>27</v>
      </c>
      <c r="C112" s="56" t="s">
        <v>692</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672</v>
      </c>
      <c r="C122" s="56" t="s">
        <v>693</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694</v>
      </c>
      <c r="C3" s="38"/>
      <c r="D3" s="38"/>
      <c r="E3" s="38"/>
      <c r="F3" s="39"/>
    </row>
    <row r="4" spans="2:20">
      <c r="B4" s="40" t="s">
        <v>695</v>
      </c>
      <c r="C4" s="41"/>
      <c r="D4" s="41"/>
      <c r="E4" s="41"/>
      <c r="F4" s="42"/>
      <c r="K4" s="43" t="s">
        <v>696</v>
      </c>
      <c r="L4" s="43"/>
      <c r="M4" s="43"/>
      <c r="N4" s="43"/>
      <c r="O4" s="43"/>
      <c r="P4" s="43"/>
      <c r="Q4" s="43"/>
      <c r="R4" s="43"/>
      <c r="S4" s="43"/>
      <c r="T4" s="43"/>
    </row>
    <row r="5" spans="2:20">
      <c r="B5" s="44" t="s">
        <v>697</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667</v>
      </c>
      <c r="D7" s="48">
        <v>8.98575339925204</v>
      </c>
      <c r="K7" s="43"/>
      <c r="L7" s="43"/>
      <c r="M7" s="43"/>
      <c r="N7" s="43"/>
      <c r="O7" s="43"/>
      <c r="P7" s="43"/>
      <c r="Q7" s="43"/>
      <c r="R7" s="43"/>
      <c r="S7" s="43"/>
      <c r="T7" s="43"/>
    </row>
    <row r="8" spans="2:20">
      <c r="B8" s="46" t="s">
        <v>14</v>
      </c>
      <c r="C8" s="47" t="s">
        <v>679</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699</v>
      </c>
    </row>
    <row r="25" spans="2:6">
      <c r="B25" s="45">
        <v>2015</v>
      </c>
      <c r="C25" s="45"/>
      <c r="D25" s="45"/>
    </row>
    <row r="26" spans="2:6">
      <c r="B26" s="46" t="s">
        <v>12</v>
      </c>
      <c r="C26" s="47" t="s">
        <v>667</v>
      </c>
      <c r="D26" s="48">
        <v>9.4319846905074</v>
      </c>
    </row>
    <row r="27" spans="2:6">
      <c r="B27" s="46" t="s">
        <v>14</v>
      </c>
      <c r="C27" s="47" t="s">
        <v>679</v>
      </c>
      <c r="D27" s="48">
        <v>24.00125</v>
      </c>
    </row>
    <row r="29" ht="15" customHeight="1" spans="2:6">
      <c r="B29" s="49" t="s">
        <v>700</v>
      </c>
      <c r="C29" s="49" t="s">
        <v>701</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702</v>
      </c>
      <c r="E43" s="55"/>
      <c r="F43" s="55"/>
    </row>
    <row r="44" spans="2:6">
      <c r="B44" s="45">
        <v>2030</v>
      </c>
      <c r="C44" s="45"/>
      <c r="D44" s="45"/>
    </row>
    <row r="45" spans="2:6">
      <c r="B45" s="46" t="s">
        <v>12</v>
      </c>
      <c r="C45" s="47" t="s">
        <v>667</v>
      </c>
      <c r="D45" s="48">
        <v>5.4752275318979</v>
      </c>
    </row>
    <row r="47" ht="15" customHeight="1" spans="2:6">
      <c r="B47" s="49" t="s">
        <v>703</v>
      </c>
      <c r="C47" s="56" t="s">
        <v>704</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705</v>
      </c>
    </row>
    <row r="62" spans="2:10">
      <c r="B62" s="45">
        <v>2030</v>
      </c>
      <c r="C62" s="45"/>
      <c r="D62" s="45"/>
    </row>
    <row r="63" spans="2:10">
      <c r="B63" s="46" t="s">
        <v>12</v>
      </c>
      <c r="C63" s="47" t="s">
        <v>667</v>
      </c>
      <c r="D63" s="48">
        <v>3.06290859459612</v>
      </c>
    </row>
    <row r="65" spans="2:6">
      <c r="B65" s="49" t="s">
        <v>27</v>
      </c>
      <c r="C65" s="56" t="s">
        <v>706</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707</v>
      </c>
      <c r="C75" s="41"/>
      <c r="D75" s="41"/>
      <c r="E75" s="41"/>
      <c r="F75" s="42"/>
    </row>
    <row r="76" spans="2:6">
      <c r="B76" s="44" t="s">
        <v>708</v>
      </c>
    </row>
    <row r="77" spans="2:6">
      <c r="B77" s="45">
        <v>2015</v>
      </c>
      <c r="C77" s="45"/>
      <c r="D77" s="45"/>
    </row>
    <row r="78" spans="2:6">
      <c r="B78" s="46" t="s">
        <v>12</v>
      </c>
      <c r="C78" s="47" t="s">
        <v>667</v>
      </c>
      <c r="D78" s="48">
        <v>4.05687418177868</v>
      </c>
    </row>
    <row r="79" spans="2:6">
      <c r="B79" s="46" t="s">
        <v>14</v>
      </c>
      <c r="C79" s="47" t="s">
        <v>679</v>
      </c>
      <c r="D79" s="48">
        <v>25.175</v>
      </c>
    </row>
    <row r="81" spans="2:6">
      <c r="B81" s="49" t="s">
        <v>140</v>
      </c>
      <c r="C81" s="49" t="s">
        <v>709</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710</v>
      </c>
    </row>
    <row r="96" spans="2:6">
      <c r="B96" s="45">
        <v>2015</v>
      </c>
      <c r="C96" s="45"/>
      <c r="D96" s="45"/>
    </row>
    <row r="97" spans="2:6">
      <c r="B97" s="46" t="s">
        <v>12</v>
      </c>
      <c r="C97" s="47" t="s">
        <v>667</v>
      </c>
      <c r="D97" s="48">
        <v>4.25833800169013</v>
      </c>
    </row>
    <row r="98" spans="2:6">
      <c r="B98" s="46" t="s">
        <v>14</v>
      </c>
      <c r="C98" s="47" t="s">
        <v>679</v>
      </c>
      <c r="D98" s="48">
        <v>32.05</v>
      </c>
    </row>
    <row r="100" spans="2:6">
      <c r="B100" s="49" t="s">
        <v>700</v>
      </c>
      <c r="C100" s="49" t="s">
        <v>711</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712</v>
      </c>
      <c r="E114" s="55"/>
      <c r="F114" s="55"/>
    </row>
    <row r="115" spans="2:6">
      <c r="B115" s="45">
        <v>2030</v>
      </c>
      <c r="C115" s="45"/>
      <c r="D115" s="45"/>
    </row>
    <row r="116" spans="2:6">
      <c r="B116" s="46" t="s">
        <v>12</v>
      </c>
      <c r="C116" s="47" t="s">
        <v>667</v>
      </c>
      <c r="D116" s="48">
        <v>2.51994631751468</v>
      </c>
    </row>
    <row r="117" ht="15" customHeight="1"/>
    <row r="118" spans="2:6">
      <c r="B118" s="49" t="s">
        <v>703</v>
      </c>
      <c r="C118" s="56" t="s">
        <v>713</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714</v>
      </c>
    </row>
    <row r="133" spans="2:5">
      <c r="B133" s="45">
        <v>2030</v>
      </c>
      <c r="C133" s="45"/>
      <c r="D133" s="45"/>
    </row>
    <row r="134" spans="2:5">
      <c r="B134" s="46" t="s">
        <v>12</v>
      </c>
      <c r="C134" s="47" t="s">
        <v>667</v>
      </c>
      <c r="D134" s="48">
        <v>1.38283728102302</v>
      </c>
    </row>
    <row r="136" spans="2:5">
      <c r="B136" s="49" t="s">
        <v>27</v>
      </c>
      <c r="C136" s="56" t="s">
        <v>715</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716</v>
      </c>
      <c r="C146" s="41"/>
      <c r="D146" s="41"/>
      <c r="E146" s="41"/>
      <c r="F146" s="42"/>
    </row>
    <row r="147" spans="2:6">
      <c r="B147" s="44" t="s">
        <v>717</v>
      </c>
    </row>
    <row r="148" spans="2:6">
      <c r="B148" s="45">
        <v>2015</v>
      </c>
      <c r="C148" s="45"/>
      <c r="D148" s="45"/>
    </row>
    <row r="149" spans="2:6">
      <c r="B149" s="46" t="s">
        <v>12</v>
      </c>
      <c r="C149" s="47" t="s">
        <v>667</v>
      </c>
      <c r="D149" s="48">
        <v>3.86183190615419</v>
      </c>
    </row>
    <row r="150" spans="2:6">
      <c r="B150" s="46" t="s">
        <v>14</v>
      </c>
      <c r="C150" s="47" t="s">
        <v>679</v>
      </c>
      <c r="D150" s="48">
        <v>17.0208333333333</v>
      </c>
    </row>
    <row r="152" spans="2:6">
      <c r="B152" s="49" t="s">
        <v>140</v>
      </c>
      <c r="C152" s="49" t="s">
        <v>718</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719</v>
      </c>
    </row>
    <row r="167" spans="2:6">
      <c r="B167" s="45">
        <v>2015</v>
      </c>
      <c r="C167" s="45"/>
      <c r="D167" s="45"/>
    </row>
    <row r="168" spans="2:6">
      <c r="B168" s="46" t="s">
        <v>12</v>
      </c>
      <c r="C168" s="47" t="s">
        <v>667</v>
      </c>
      <c r="D168" s="48">
        <v>4.05360995319449</v>
      </c>
    </row>
    <row r="169" spans="2:6">
      <c r="B169" s="46" t="s">
        <v>14</v>
      </c>
      <c r="C169" s="47" t="s">
        <v>679</v>
      </c>
      <c r="D169" s="48">
        <v>20.9958333333333</v>
      </c>
    </row>
    <row r="171" spans="2:6">
      <c r="B171" s="49" t="s">
        <v>700</v>
      </c>
      <c r="C171" s="49" t="s">
        <v>720</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721</v>
      </c>
    </row>
    <row r="186" spans="2:6">
      <c r="B186" s="45">
        <v>2030</v>
      </c>
      <c r="C186" s="45"/>
      <c r="D186" s="45"/>
    </row>
    <row r="187" spans="2:6">
      <c r="B187" s="46" t="s">
        <v>12</v>
      </c>
      <c r="C187" s="47" t="s">
        <v>667</v>
      </c>
      <c r="D187" s="48">
        <v>2.2845665699218</v>
      </c>
    </row>
    <row r="189" spans="2:6">
      <c r="B189" s="49" t="s">
        <v>703</v>
      </c>
      <c r="C189" s="56" t="s">
        <v>722</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723</v>
      </c>
    </row>
    <row r="204" spans="2:5">
      <c r="B204" s="45">
        <v>2030</v>
      </c>
      <c r="C204" s="45"/>
      <c r="D204" s="45"/>
    </row>
    <row r="205" spans="2:5">
      <c r="B205" s="46" t="s">
        <v>12</v>
      </c>
      <c r="C205" s="47" t="s">
        <v>667</v>
      </c>
      <c r="D205" s="48">
        <v>1.31635463501922</v>
      </c>
    </row>
    <row r="207" spans="2:5">
      <c r="B207" s="49" t="s">
        <v>27</v>
      </c>
      <c r="C207" s="56" t="s">
        <v>724</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725</v>
      </c>
      <c r="C217" s="41"/>
      <c r="D217" s="41"/>
      <c r="E217" s="41"/>
      <c r="F217" s="42"/>
    </row>
    <row r="218" spans="2:6">
      <c r="B218" s="44" t="s">
        <v>726</v>
      </c>
    </row>
    <row r="219" spans="2:6">
      <c r="B219" s="45">
        <v>2015</v>
      </c>
      <c r="C219" s="45"/>
      <c r="D219" s="45"/>
    </row>
    <row r="220" spans="2:6">
      <c r="B220" s="46" t="s">
        <v>12</v>
      </c>
      <c r="C220" s="47" t="s">
        <v>667</v>
      </c>
      <c r="D220" s="48">
        <v>6.49602034731251</v>
      </c>
    </row>
    <row r="221" spans="2:6">
      <c r="B221" s="46" t="s">
        <v>14</v>
      </c>
      <c r="C221" s="47" t="s">
        <v>679</v>
      </c>
      <c r="D221" s="48">
        <v>29.9166666666667</v>
      </c>
    </row>
    <row r="223" spans="2:6">
      <c r="B223" s="49" t="s">
        <v>140</v>
      </c>
      <c r="C223" s="49" t="s">
        <v>727</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728</v>
      </c>
    </row>
    <row r="238" spans="2:6">
      <c r="B238" s="45">
        <v>2015</v>
      </c>
      <c r="C238" s="45"/>
      <c r="D238" s="45"/>
    </row>
    <row r="239" spans="2:6">
      <c r="B239" s="46" t="s">
        <v>12</v>
      </c>
      <c r="C239" s="47" t="s">
        <v>667</v>
      </c>
      <c r="D239" s="48">
        <v>6.81861183394774</v>
      </c>
    </row>
    <row r="240" spans="2:6">
      <c r="B240" s="46" t="s">
        <v>14</v>
      </c>
      <c r="C240" s="47" t="s">
        <v>679</v>
      </c>
      <c r="D240" s="48">
        <v>36.1041666666667</v>
      </c>
    </row>
    <row r="242" spans="2:6">
      <c r="B242" s="49" t="s">
        <v>700</v>
      </c>
      <c r="C242" s="49" t="s">
        <v>729</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730</v>
      </c>
    </row>
    <row r="257" spans="2:5">
      <c r="B257" s="45">
        <v>2030</v>
      </c>
      <c r="C257" s="45"/>
      <c r="D257" s="45"/>
    </row>
    <row r="258" spans="2:5">
      <c r="B258" s="46" t="s">
        <v>12</v>
      </c>
      <c r="C258" s="47" t="s">
        <v>667</v>
      </c>
      <c r="D258" s="48">
        <v>3.84288888891101</v>
      </c>
    </row>
    <row r="260" spans="2:5">
      <c r="B260" s="49" t="s">
        <v>703</v>
      </c>
      <c r="C260" s="56" t="s">
        <v>731</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732</v>
      </c>
    </row>
    <row r="275" spans="2:5">
      <c r="B275" s="45">
        <v>2030</v>
      </c>
      <c r="C275" s="45"/>
      <c r="D275" s="45"/>
    </row>
    <row r="276" spans="2:5">
      <c r="B276" s="46" t="s">
        <v>12</v>
      </c>
      <c r="C276" s="47" t="s">
        <v>667</v>
      </c>
      <c r="D276" s="48">
        <v>2.21425134525847</v>
      </c>
    </row>
    <row r="278" spans="2:5">
      <c r="B278" s="49" t="s">
        <v>27</v>
      </c>
      <c r="C278" s="56" t="s">
        <v>733</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734</v>
      </c>
      <c r="C3" s="8" t="s">
        <v>735</v>
      </c>
      <c r="D3" s="8">
        <v>0</v>
      </c>
      <c r="E3" s="8">
        <v>0</v>
      </c>
      <c r="F3" s="8" t="s">
        <v>736</v>
      </c>
      <c r="G3" s="8">
        <v>0</v>
      </c>
      <c r="H3" s="8">
        <v>0</v>
      </c>
    </row>
    <row r="4" spans="2:23">
      <c r="B4" s="9"/>
      <c r="C4" s="10">
        <v>2015</v>
      </c>
      <c r="D4" s="10">
        <v>2030</v>
      </c>
      <c r="E4" s="10" t="s">
        <v>737</v>
      </c>
      <c r="F4" s="10">
        <v>2015</v>
      </c>
      <c r="G4" s="10">
        <v>2030</v>
      </c>
      <c r="H4" s="10" t="s">
        <v>737</v>
      </c>
    </row>
    <row r="5" ht="15.75" customHeight="1" spans="2:23">
      <c r="B5" s="11" t="s">
        <v>738</v>
      </c>
      <c r="C5" s="12">
        <v>114</v>
      </c>
      <c r="D5" s="12">
        <v>102</v>
      </c>
      <c r="E5" s="12">
        <v>91</v>
      </c>
      <c r="F5" s="12">
        <v>0.4</v>
      </c>
      <c r="G5" s="12">
        <v>0.4</v>
      </c>
      <c r="H5" s="12">
        <v>0.4</v>
      </c>
    </row>
    <row r="6" ht="15.75" customHeight="1" spans="2:23">
      <c r="B6" s="13" t="s">
        <v>739</v>
      </c>
      <c r="C6" s="14">
        <v>761</v>
      </c>
      <c r="D6" s="14">
        <v>635</v>
      </c>
      <c r="E6" s="14">
        <v>457</v>
      </c>
      <c r="F6" s="14">
        <v>23</v>
      </c>
      <c r="G6" s="14">
        <v>23</v>
      </c>
      <c r="H6" s="14">
        <v>23</v>
      </c>
    </row>
    <row r="7" ht="15.75" customHeight="1" spans="2:23">
      <c r="B7" s="11" t="s">
        <v>740</v>
      </c>
      <c r="C7" s="12">
        <v>855</v>
      </c>
      <c r="D7" s="12">
        <v>759</v>
      </c>
      <c r="E7" s="12">
        <v>568</v>
      </c>
      <c r="F7" s="12">
        <v>1.6</v>
      </c>
      <c r="G7" s="12">
        <v>1.4</v>
      </c>
      <c r="H7" s="12">
        <v>1.1</v>
      </c>
    </row>
    <row r="8" ht="15.75" customHeight="1" spans="2:23">
      <c r="B8" s="13" t="s">
        <v>741</v>
      </c>
      <c r="C8" s="15">
        <v>2652.5198938992</v>
      </c>
      <c r="D8" s="15">
        <v>2279.22175224045</v>
      </c>
      <c r="E8" s="15">
        <v>2111.76336052451</v>
      </c>
      <c r="F8" s="15">
        <v>106.100795755968</v>
      </c>
      <c r="G8" s="15">
        <v>91.1688700896178</v>
      </c>
      <c r="H8" s="15">
        <v>84.4705344209804</v>
      </c>
    </row>
    <row r="9" ht="15.75" customHeight="1" spans="2:23">
      <c r="B9" s="16" t="s">
        <v>742</v>
      </c>
      <c r="C9" s="17">
        <v>1666.66666666667</v>
      </c>
      <c r="D9" s="17">
        <v>1266.91266912669</v>
      </c>
      <c r="E9" s="17">
        <v>1190.49815498155</v>
      </c>
      <c r="F9" s="17">
        <v>66.6666666666667</v>
      </c>
      <c r="G9" s="17">
        <v>50.6765067650676</v>
      </c>
      <c r="H9" s="17">
        <v>47.619926199262</v>
      </c>
    </row>
    <row r="10" ht="15.75" customHeight="1" spans="2:23">
      <c r="B10" s="18" t="s">
        <v>743</v>
      </c>
      <c r="C10" s="19">
        <v>1055.55555555556</v>
      </c>
      <c r="D10" s="19">
        <v>802.222222222222</v>
      </c>
      <c r="E10" s="19">
        <v>688.222222222222</v>
      </c>
      <c r="F10" s="19">
        <v>42.2222222222222</v>
      </c>
      <c r="G10" s="19">
        <v>32.0888888888889</v>
      </c>
      <c r="H10" s="19">
        <v>27.5288888888889</v>
      </c>
    </row>
    <row r="11" spans="2:23">
      <c r="B11" s="20" t="s">
        <v>744</v>
      </c>
      <c r="C11" s="21">
        <v>285.454545454545</v>
      </c>
      <c r="D11" s="21">
        <v>226.069396266082</v>
      </c>
      <c r="E11" s="21">
        <v>200.125375263235</v>
      </c>
      <c r="F11" s="22">
        <v>4.56727272727273</v>
      </c>
      <c r="G11" s="22">
        <v>3.61711034025732</v>
      </c>
      <c r="H11" s="22">
        <v>3.20200600421175</v>
      </c>
    </row>
    <row r="12" spans="2:23">
      <c r="B12" s="23" t="s">
        <v>745</v>
      </c>
      <c r="C12" s="24">
        <v>900</v>
      </c>
      <c r="D12" s="24">
        <v>680.375387446444</v>
      </c>
      <c r="E12" s="24">
        <v>588.444975252103</v>
      </c>
      <c r="F12" s="25">
        <v>10.8</v>
      </c>
      <c r="G12" s="25">
        <v>8.16450464935733</v>
      </c>
      <c r="H12" s="25">
        <v>7.06133970302523</v>
      </c>
    </row>
    <row r="13" spans="2:23">
      <c r="B13" s="23" t="s">
        <v>746</v>
      </c>
      <c r="C13" s="24">
        <v>600</v>
      </c>
      <c r="D13" s="24">
        <v>425.044594838561</v>
      </c>
      <c r="E13" s="24">
        <v>354.091974213288</v>
      </c>
      <c r="F13" s="25">
        <v>7.2</v>
      </c>
      <c r="G13" s="25">
        <v>5.10053513806273</v>
      </c>
      <c r="H13" s="25">
        <v>4.24910369055946</v>
      </c>
    </row>
    <row r="14" spans="2:23">
      <c r="B14" s="26" t="s">
        <v>747</v>
      </c>
      <c r="C14" s="27">
        <v>657.142857142857</v>
      </c>
      <c r="D14" s="27">
        <v>470.961031831262</v>
      </c>
      <c r="E14" s="27">
        <v>395.092100510703</v>
      </c>
      <c r="F14" s="28">
        <v>7.88571428571429</v>
      </c>
      <c r="G14" s="28">
        <v>5.65153238197515</v>
      </c>
      <c r="H14" s="28">
        <v>4.74110520612843</v>
      </c>
    </row>
    <row r="15" spans="2:23">
      <c r="B15" s="29" t="s">
        <v>748</v>
      </c>
      <c r="C15" s="30">
        <v>89</v>
      </c>
      <c r="D15" s="30">
        <v>89</v>
      </c>
      <c r="E15" s="30">
        <v>89</v>
      </c>
      <c r="F15" s="31">
        <v>3.56</v>
      </c>
      <c r="G15" s="31">
        <v>3.56</v>
      </c>
      <c r="H15" s="31">
        <v>3.56</v>
      </c>
    </row>
    <row r="16" spans="2:23">
      <c r="B16" s="32" t="s">
        <v>749</v>
      </c>
      <c r="C16" s="33">
        <v>197</v>
      </c>
      <c r="D16" s="33">
        <v>197</v>
      </c>
      <c r="E16" s="33">
        <v>197</v>
      </c>
      <c r="F16" s="34">
        <v>7.88</v>
      </c>
      <c r="G16" s="34">
        <v>7.88</v>
      </c>
      <c r="H16" s="34">
        <v>7.88</v>
      </c>
    </row>
    <row r="17" spans="2:8">
      <c r="B17" s="29" t="s">
        <v>750</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1:AI33"/>
  <sheetViews>
    <sheetView zoomScale="45" zoomScaleNormal="45" workbookViewId="0">
      <selection activeCell="D43" sqref="D43"/>
    </sheetView>
  </sheetViews>
  <sheetFormatPr defaultColWidth="8.72727272727273" defaultRowHeight="14.5"/>
  <cols>
    <col min="1" max="1" width="59.7272727272727" customWidth="1"/>
    <col min="2" max="2" width="12.8181818181818"/>
    <col min="4" max="5" width="12.8181818181818"/>
    <col min="6" max="6" width="11.7272727272727"/>
    <col min="7" max="18" width="12.8181818181818"/>
    <col min="19" max="19" width="11.7272727272727"/>
    <col min="20" max="27" width="12.8181818181818"/>
    <col min="29" max="31" width="12.8181818181818"/>
  </cols>
  <sheetData>
    <row r="11" spans="1:35">
      <c r="A11" t="s">
        <v>751</v>
      </c>
    </row>
    <row r="12" spans="1:35">
      <c r="A12" t="s">
        <v>257</v>
      </c>
      <c r="B12" t="s">
        <v>752</v>
      </c>
      <c r="C12" t="s">
        <v>753</v>
      </c>
      <c r="D12" t="s">
        <v>754</v>
      </c>
      <c r="E12" t="s">
        <v>755</v>
      </c>
      <c r="F12" t="s">
        <v>756</v>
      </c>
      <c r="G12" t="s">
        <v>757</v>
      </c>
      <c r="H12" t="s">
        <v>758</v>
      </c>
      <c r="I12" t="s">
        <v>420</v>
      </c>
      <c r="J12" t="s">
        <v>759</v>
      </c>
      <c r="K12" t="s">
        <v>760</v>
      </c>
      <c r="L12" t="s">
        <v>761</v>
      </c>
      <c r="M12" t="s">
        <v>762</v>
      </c>
      <c r="N12" t="s">
        <v>763</v>
      </c>
      <c r="O12" t="s">
        <v>764</v>
      </c>
      <c r="P12" t="s">
        <v>765</v>
      </c>
      <c r="Q12" t="s">
        <v>766</v>
      </c>
      <c r="R12" t="s">
        <v>767</v>
      </c>
      <c r="S12" t="s">
        <v>768</v>
      </c>
      <c r="T12" t="s">
        <v>769</v>
      </c>
      <c r="U12" t="s">
        <v>770</v>
      </c>
      <c r="V12" t="s">
        <v>771</v>
      </c>
      <c r="W12" t="s">
        <v>421</v>
      </c>
      <c r="X12" t="s">
        <v>772</v>
      </c>
      <c r="Y12" t="s">
        <v>773</v>
      </c>
      <c r="Z12" t="s">
        <v>774</v>
      </c>
      <c r="AA12" t="s">
        <v>775</v>
      </c>
      <c r="AB12" t="s">
        <v>776</v>
      </c>
      <c r="AC12" t="s">
        <v>777</v>
      </c>
      <c r="AD12" t="s">
        <v>778</v>
      </c>
      <c r="AE12" t="s">
        <v>779</v>
      </c>
      <c r="AF12" t="s">
        <v>780</v>
      </c>
      <c r="AG12" t="s">
        <v>781</v>
      </c>
      <c r="AH12" t="s">
        <v>782</v>
      </c>
      <c r="AI12" t="s">
        <v>783</v>
      </c>
    </row>
    <row r="13" spans="1:35">
      <c r="A13" t="s">
        <v>297</v>
      </c>
      <c r="B13">
        <v>0</v>
      </c>
      <c r="C13">
        <v>24.7</v>
      </c>
      <c r="D13">
        <v>88</v>
      </c>
      <c r="E13">
        <v>0</v>
      </c>
      <c r="F13">
        <v>0</v>
      </c>
      <c r="G13">
        <v>0</v>
      </c>
      <c r="H13">
        <v>10</v>
      </c>
      <c r="I13">
        <v>41</v>
      </c>
      <c r="J13">
        <v>0</v>
      </c>
      <c r="K13">
        <v>0</v>
      </c>
      <c r="L13">
        <v>0</v>
      </c>
      <c r="M13">
        <v>0</v>
      </c>
      <c r="N13">
        <v>0</v>
      </c>
      <c r="O13">
        <v>0</v>
      </c>
      <c r="P13">
        <v>0</v>
      </c>
      <c r="Q13">
        <v>0</v>
      </c>
      <c r="R13">
        <v>0</v>
      </c>
      <c r="S13">
        <v>0</v>
      </c>
      <c r="T13">
        <v>0</v>
      </c>
      <c r="U13">
        <v>67</v>
      </c>
      <c r="V13">
        <v>0</v>
      </c>
      <c r="W13">
        <v>4.3</v>
      </c>
      <c r="X13">
        <v>0</v>
      </c>
      <c r="Y13">
        <v>0</v>
      </c>
      <c r="Z13">
        <v>4.6</v>
      </c>
      <c r="AA13">
        <v>0</v>
      </c>
      <c r="AB13">
        <v>0</v>
      </c>
      <c r="AC13">
        <v>0</v>
      </c>
      <c r="AD13">
        <v>0.4</v>
      </c>
      <c r="AE13">
        <v>0</v>
      </c>
      <c r="AF13">
        <v>0</v>
      </c>
      <c r="AG13">
        <v>0</v>
      </c>
      <c r="AH13">
        <v>0</v>
      </c>
      <c r="AI13">
        <v>0</v>
      </c>
    </row>
    <row r="14" spans="1:35">
      <c r="A14" t="s">
        <v>300</v>
      </c>
      <c r="B14">
        <v>0</v>
      </c>
      <c r="C14">
        <v>0</v>
      </c>
      <c r="D14">
        <v>110</v>
      </c>
      <c r="E14">
        <v>0</v>
      </c>
      <c r="F14">
        <v>0</v>
      </c>
      <c r="G14">
        <v>0</v>
      </c>
      <c r="H14">
        <v>77</v>
      </c>
      <c r="I14">
        <v>120</v>
      </c>
      <c r="J14">
        <v>0</v>
      </c>
      <c r="K14">
        <v>0</v>
      </c>
      <c r="L14">
        <v>0</v>
      </c>
      <c r="M14">
        <v>0</v>
      </c>
      <c r="N14">
        <v>0</v>
      </c>
      <c r="O14">
        <v>0</v>
      </c>
      <c r="P14">
        <v>0</v>
      </c>
      <c r="Q14">
        <v>0</v>
      </c>
      <c r="R14">
        <v>0</v>
      </c>
      <c r="S14">
        <v>0</v>
      </c>
      <c r="T14">
        <v>0</v>
      </c>
      <c r="U14">
        <v>0</v>
      </c>
      <c r="V14">
        <v>0</v>
      </c>
      <c r="W14">
        <v>198</v>
      </c>
      <c r="X14">
        <v>0</v>
      </c>
      <c r="Y14">
        <v>0</v>
      </c>
      <c r="Z14">
        <v>2985</v>
      </c>
      <c r="AA14">
        <v>210</v>
      </c>
      <c r="AB14">
        <v>0</v>
      </c>
      <c r="AC14">
        <v>0</v>
      </c>
      <c r="AD14">
        <v>0</v>
      </c>
      <c r="AE14">
        <v>0</v>
      </c>
      <c r="AF14">
        <v>0</v>
      </c>
      <c r="AG14">
        <v>0</v>
      </c>
      <c r="AH14">
        <v>0</v>
      </c>
      <c r="AI14">
        <v>0</v>
      </c>
    </row>
    <row r="15" spans="1:35">
      <c r="A15" t="s">
        <v>302</v>
      </c>
      <c r="B15">
        <v>0</v>
      </c>
      <c r="C15">
        <v>222.6</v>
      </c>
      <c r="D15">
        <v>3.6</v>
      </c>
      <c r="E15">
        <v>0</v>
      </c>
      <c r="F15">
        <v>0</v>
      </c>
      <c r="G15">
        <v>0</v>
      </c>
      <c r="H15">
        <v>0</v>
      </c>
      <c r="I15">
        <v>0</v>
      </c>
      <c r="J15">
        <v>0</v>
      </c>
      <c r="K15">
        <v>0</v>
      </c>
      <c r="L15">
        <v>0</v>
      </c>
      <c r="M15">
        <v>0</v>
      </c>
      <c r="N15">
        <v>0</v>
      </c>
      <c r="O15">
        <v>0</v>
      </c>
      <c r="P15">
        <v>0</v>
      </c>
      <c r="Q15">
        <v>0</v>
      </c>
      <c r="R15">
        <v>0</v>
      </c>
      <c r="S15">
        <v>0</v>
      </c>
      <c r="T15">
        <v>0</v>
      </c>
      <c r="U15">
        <v>3.5</v>
      </c>
      <c r="V15">
        <v>0</v>
      </c>
      <c r="W15">
        <v>4.8</v>
      </c>
      <c r="X15">
        <v>0</v>
      </c>
      <c r="Y15">
        <v>0</v>
      </c>
      <c r="Z15">
        <v>43.8</v>
      </c>
      <c r="AA15">
        <v>8.7</v>
      </c>
      <c r="AB15">
        <v>0</v>
      </c>
      <c r="AC15">
        <v>0</v>
      </c>
      <c r="AD15">
        <v>0</v>
      </c>
      <c r="AE15">
        <v>0</v>
      </c>
      <c r="AF15">
        <v>0</v>
      </c>
      <c r="AG15">
        <v>2.7</v>
      </c>
      <c r="AH15">
        <v>0</v>
      </c>
      <c r="AI15">
        <v>0</v>
      </c>
    </row>
    <row r="16" spans="1:35">
      <c r="A16" t="s">
        <v>305</v>
      </c>
      <c r="B16">
        <v>0</v>
      </c>
      <c r="C16">
        <v>5780</v>
      </c>
      <c r="D16">
        <v>2800</v>
      </c>
      <c r="E16">
        <v>0</v>
      </c>
      <c r="F16">
        <v>0</v>
      </c>
      <c r="G16">
        <v>0</v>
      </c>
      <c r="H16">
        <v>590</v>
      </c>
      <c r="I16">
        <v>770</v>
      </c>
      <c r="J16">
        <v>0</v>
      </c>
      <c r="K16">
        <v>0</v>
      </c>
      <c r="L16">
        <v>0</v>
      </c>
      <c r="M16">
        <v>0</v>
      </c>
      <c r="N16">
        <v>0</v>
      </c>
      <c r="O16">
        <v>0</v>
      </c>
      <c r="P16">
        <v>0</v>
      </c>
      <c r="Q16">
        <v>800</v>
      </c>
      <c r="R16">
        <v>0</v>
      </c>
      <c r="S16">
        <v>0</v>
      </c>
      <c r="T16">
        <v>0</v>
      </c>
      <c r="U16">
        <v>0</v>
      </c>
      <c r="V16">
        <v>0</v>
      </c>
      <c r="W16">
        <v>0</v>
      </c>
      <c r="X16">
        <v>0</v>
      </c>
      <c r="Y16">
        <v>0</v>
      </c>
      <c r="Z16">
        <v>2060</v>
      </c>
      <c r="AA16">
        <v>0</v>
      </c>
      <c r="AB16">
        <v>0</v>
      </c>
      <c r="AC16">
        <v>7400</v>
      </c>
      <c r="AD16">
        <v>0</v>
      </c>
      <c r="AE16">
        <v>0</v>
      </c>
      <c r="AF16">
        <v>0</v>
      </c>
      <c r="AG16">
        <v>0</v>
      </c>
      <c r="AH16">
        <v>0</v>
      </c>
      <c r="AI16">
        <v>0</v>
      </c>
    </row>
    <row r="17" spans="1:35">
      <c r="A17" t="s">
        <v>307</v>
      </c>
      <c r="B17">
        <v>0</v>
      </c>
      <c r="C17">
        <v>159</v>
      </c>
      <c r="D17">
        <v>9522</v>
      </c>
      <c r="E17">
        <v>0</v>
      </c>
      <c r="F17">
        <v>0</v>
      </c>
      <c r="G17">
        <v>0</v>
      </c>
      <c r="H17">
        <v>5819</v>
      </c>
      <c r="I17">
        <v>44436</v>
      </c>
      <c r="J17">
        <v>0</v>
      </c>
      <c r="K17">
        <v>0</v>
      </c>
      <c r="L17">
        <v>0</v>
      </c>
      <c r="M17">
        <v>508</v>
      </c>
      <c r="N17">
        <v>455</v>
      </c>
      <c r="O17">
        <v>0</v>
      </c>
      <c r="P17">
        <v>0</v>
      </c>
      <c r="Q17">
        <v>4020</v>
      </c>
      <c r="R17">
        <v>846</v>
      </c>
      <c r="S17">
        <v>0</v>
      </c>
      <c r="T17">
        <v>0</v>
      </c>
      <c r="U17">
        <v>0</v>
      </c>
      <c r="V17">
        <v>1270</v>
      </c>
      <c r="W17">
        <v>1175</v>
      </c>
      <c r="X17">
        <v>0</v>
      </c>
      <c r="Y17">
        <v>0</v>
      </c>
      <c r="Z17">
        <v>3015</v>
      </c>
      <c r="AA17">
        <v>1534</v>
      </c>
      <c r="AB17">
        <v>952</v>
      </c>
      <c r="AC17">
        <v>0</v>
      </c>
      <c r="AD17">
        <v>434</v>
      </c>
      <c r="AE17">
        <v>0</v>
      </c>
      <c r="AF17">
        <v>0</v>
      </c>
      <c r="AG17">
        <v>169</v>
      </c>
      <c r="AH17">
        <v>0</v>
      </c>
      <c r="AI17">
        <v>0</v>
      </c>
    </row>
    <row r="18" spans="1:35">
      <c r="A18" t="s">
        <v>309</v>
      </c>
      <c r="B18">
        <v>0</v>
      </c>
      <c r="C18">
        <v>3980</v>
      </c>
      <c r="D18">
        <v>800</v>
      </c>
      <c r="E18">
        <v>0</v>
      </c>
      <c r="F18">
        <v>0</v>
      </c>
      <c r="G18">
        <v>0</v>
      </c>
      <c r="H18">
        <v>0</v>
      </c>
      <c r="I18">
        <v>1800</v>
      </c>
      <c r="J18">
        <v>0</v>
      </c>
      <c r="K18">
        <v>0</v>
      </c>
      <c r="L18">
        <v>0</v>
      </c>
      <c r="M18">
        <v>0</v>
      </c>
      <c r="N18">
        <v>0</v>
      </c>
      <c r="O18">
        <v>0</v>
      </c>
      <c r="P18">
        <v>0</v>
      </c>
      <c r="Q18">
        <v>30</v>
      </c>
      <c r="R18">
        <v>0</v>
      </c>
      <c r="S18">
        <v>0</v>
      </c>
      <c r="T18">
        <v>0</v>
      </c>
      <c r="U18">
        <v>7900</v>
      </c>
      <c r="V18">
        <v>0</v>
      </c>
      <c r="W18">
        <v>2250</v>
      </c>
      <c r="X18">
        <v>0</v>
      </c>
      <c r="Y18">
        <v>410</v>
      </c>
      <c r="Z18">
        <v>4700</v>
      </c>
      <c r="AA18">
        <v>930</v>
      </c>
      <c r="AB18">
        <v>0</v>
      </c>
      <c r="AC18">
        <v>0</v>
      </c>
      <c r="AD18">
        <v>0</v>
      </c>
      <c r="AE18">
        <v>0</v>
      </c>
      <c r="AF18">
        <v>0</v>
      </c>
      <c r="AG18">
        <v>0</v>
      </c>
      <c r="AH18">
        <v>0</v>
      </c>
      <c r="AI18">
        <v>0</v>
      </c>
    </row>
    <row r="19" spans="1:35">
      <c r="A19" t="s">
        <v>311</v>
      </c>
      <c r="B19">
        <v>0</v>
      </c>
      <c r="C19">
        <v>189</v>
      </c>
      <c r="D19">
        <v>0</v>
      </c>
      <c r="E19">
        <v>0.5</v>
      </c>
      <c r="F19">
        <v>0</v>
      </c>
      <c r="G19">
        <v>0</v>
      </c>
      <c r="H19">
        <v>68</v>
      </c>
      <c r="I19">
        <v>1270</v>
      </c>
      <c r="J19">
        <v>0</v>
      </c>
      <c r="K19">
        <v>0</v>
      </c>
      <c r="L19">
        <v>0</v>
      </c>
      <c r="M19">
        <v>0.2</v>
      </c>
      <c r="N19">
        <v>0</v>
      </c>
      <c r="O19">
        <v>0</v>
      </c>
      <c r="P19">
        <v>0</v>
      </c>
      <c r="Q19">
        <v>28</v>
      </c>
      <c r="R19">
        <v>0</v>
      </c>
      <c r="S19">
        <v>0</v>
      </c>
      <c r="T19">
        <v>0</v>
      </c>
      <c r="U19">
        <v>0</v>
      </c>
      <c r="V19">
        <v>0</v>
      </c>
      <c r="W19">
        <v>20.9</v>
      </c>
      <c r="X19">
        <v>7</v>
      </c>
      <c r="Y19">
        <v>0</v>
      </c>
      <c r="Z19">
        <v>22.9</v>
      </c>
      <c r="AA19">
        <v>20</v>
      </c>
      <c r="AB19">
        <v>0</v>
      </c>
      <c r="AC19">
        <v>0</v>
      </c>
      <c r="AD19">
        <v>0</v>
      </c>
      <c r="AE19">
        <v>0</v>
      </c>
      <c r="AF19">
        <v>0</v>
      </c>
      <c r="AG19">
        <v>3</v>
      </c>
      <c r="AH19">
        <v>0</v>
      </c>
      <c r="AI19">
        <v>1.2</v>
      </c>
    </row>
    <row r="20" spans="1:35">
      <c r="A20" t="s">
        <v>178</v>
      </c>
      <c r="B20">
        <v>2.70047156845812</v>
      </c>
      <c r="C20">
        <v>0</v>
      </c>
      <c r="D20">
        <v>3.03412561201197</v>
      </c>
      <c r="E20">
        <v>0.476962737941833</v>
      </c>
      <c r="F20">
        <v>0.00409064974235645</v>
      </c>
      <c r="G20">
        <v>4.6301135077302</v>
      </c>
      <c r="H20">
        <v>1.90663375437732</v>
      </c>
      <c r="I20">
        <v>167.552498082159</v>
      </c>
      <c r="J20">
        <v>0.579445415374862</v>
      </c>
      <c r="K20">
        <v>2.64382085354907</v>
      </c>
      <c r="L20">
        <v>11.2538795555429</v>
      </c>
      <c r="M20">
        <v>6.6423572524105</v>
      </c>
      <c r="N20">
        <v>0.224780310033883</v>
      </c>
      <c r="O20">
        <v>3.0175573987723</v>
      </c>
      <c r="P20">
        <v>0.0840570283394965</v>
      </c>
      <c r="Q20">
        <v>22.6664174429379</v>
      </c>
      <c r="R20">
        <v>0.024654019511857</v>
      </c>
      <c r="S20">
        <v>7.09546051638262</v>
      </c>
      <c r="T20">
        <v>22.1794832455743</v>
      </c>
      <c r="U20">
        <v>1.8551035254334</v>
      </c>
      <c r="V20">
        <v>0.147291672799524</v>
      </c>
      <c r="W20">
        <v>10.7367486821926</v>
      </c>
      <c r="X20">
        <v>2.32906895797145</v>
      </c>
      <c r="Y20">
        <v>4.03549622432517</v>
      </c>
      <c r="Z20">
        <v>16.6333708524932</v>
      </c>
      <c r="AA20">
        <v>66.0476618761158</v>
      </c>
      <c r="AB20">
        <v>0</v>
      </c>
      <c r="AC20">
        <v>3.17356159859707</v>
      </c>
      <c r="AD20">
        <v>7.830330737292</v>
      </c>
      <c r="AE20">
        <v>5.264142175387</v>
      </c>
      <c r="AF20">
        <v>0</v>
      </c>
      <c r="AG20">
        <v>0</v>
      </c>
      <c r="AH20">
        <v>0</v>
      </c>
      <c r="AI20">
        <v>0</v>
      </c>
    </row>
    <row r="21" spans="1:35">
      <c r="A21" t="s">
        <v>183</v>
      </c>
      <c r="B21">
        <v>1.62028294107487</v>
      </c>
      <c r="C21">
        <v>0</v>
      </c>
      <c r="D21">
        <v>1.82047536720718</v>
      </c>
      <c r="E21">
        <v>0.286177642765099</v>
      </c>
      <c r="F21">
        <v>0.00245438984541387</v>
      </c>
      <c r="G21">
        <v>2.77806810463812</v>
      </c>
      <c r="H21">
        <v>1.14398025262639</v>
      </c>
      <c r="I21">
        <v>100.531498849296</v>
      </c>
      <c r="J21">
        <v>0.347667249224917</v>
      </c>
      <c r="K21">
        <v>1.58629251212944</v>
      </c>
      <c r="L21">
        <v>6.75232773332572</v>
      </c>
      <c r="M21">
        <v>3.9854143514463</v>
      </c>
      <c r="N21">
        <v>0.13486818602033</v>
      </c>
      <c r="O21">
        <v>1.81053443926338</v>
      </c>
      <c r="P21">
        <v>0.0504342170036979</v>
      </c>
      <c r="Q21">
        <v>13.5998504657627</v>
      </c>
      <c r="R21">
        <v>0.0147924117071142</v>
      </c>
      <c r="S21">
        <v>4.25727630982957</v>
      </c>
      <c r="T21">
        <v>13.3076899473446</v>
      </c>
      <c r="U21">
        <v>1.11306211526004</v>
      </c>
      <c r="V21">
        <v>0.0883750036797145</v>
      </c>
      <c r="W21">
        <v>6.44204920931559</v>
      </c>
      <c r="X21">
        <v>1.39744137478287</v>
      </c>
      <c r="Y21">
        <v>2.4212977345951</v>
      </c>
      <c r="Z21">
        <v>9.98002251149592</v>
      </c>
      <c r="AA21">
        <v>39.6285971256695</v>
      </c>
      <c r="AB21">
        <v>0</v>
      </c>
      <c r="AC21">
        <v>1.90413695915824</v>
      </c>
      <c r="AD21">
        <v>4.6981984423752</v>
      </c>
      <c r="AE21">
        <v>3.1584853052322</v>
      </c>
      <c r="AF21">
        <v>0</v>
      </c>
      <c r="AG21">
        <v>0</v>
      </c>
      <c r="AH21">
        <v>0</v>
      </c>
      <c r="AI21">
        <v>0</v>
      </c>
    </row>
    <row r="22" spans="1:35">
      <c r="A22" t="s">
        <v>184</v>
      </c>
      <c r="B22">
        <v>1.62028294107487</v>
      </c>
      <c r="C22">
        <v>0</v>
      </c>
      <c r="D22">
        <v>1.82047536720718</v>
      </c>
      <c r="E22">
        <v>0.286177642765099</v>
      </c>
      <c r="F22">
        <v>0.00245438984541387</v>
      </c>
      <c r="G22">
        <v>2.77806810463812</v>
      </c>
      <c r="H22">
        <v>1.14398025262639</v>
      </c>
      <c r="I22">
        <v>100.531498849296</v>
      </c>
      <c r="J22">
        <v>0.347667249224917</v>
      </c>
      <c r="K22">
        <v>1.58629251212944</v>
      </c>
      <c r="L22">
        <v>6.75232773332572</v>
      </c>
      <c r="M22">
        <v>3.9854143514463</v>
      </c>
      <c r="N22">
        <v>0.13486818602033</v>
      </c>
      <c r="O22">
        <v>1.81053443926338</v>
      </c>
      <c r="P22">
        <v>0.0504342170036979</v>
      </c>
      <c r="Q22">
        <v>13.5998504657627</v>
      </c>
      <c r="R22">
        <v>0.0147924117071142</v>
      </c>
      <c r="S22">
        <v>4.25727630982957</v>
      </c>
      <c r="T22">
        <v>13.3076899473446</v>
      </c>
      <c r="U22">
        <v>1.11306211526004</v>
      </c>
      <c r="V22">
        <v>0.0883750036797145</v>
      </c>
      <c r="W22">
        <v>6.44204920931559</v>
      </c>
      <c r="X22">
        <v>1.39744137478287</v>
      </c>
      <c r="Y22">
        <v>2.4212977345951</v>
      </c>
      <c r="Z22">
        <v>9.98002251149592</v>
      </c>
      <c r="AA22">
        <v>39.6285971256695</v>
      </c>
      <c r="AB22">
        <v>0</v>
      </c>
      <c r="AC22">
        <v>1.90413695915824</v>
      </c>
      <c r="AD22">
        <v>4.6981984423752</v>
      </c>
      <c r="AE22">
        <v>3.1584853052322</v>
      </c>
      <c r="AF22">
        <v>0</v>
      </c>
      <c r="AG22">
        <v>0</v>
      </c>
      <c r="AH22">
        <v>0</v>
      </c>
      <c r="AI22">
        <v>0</v>
      </c>
    </row>
    <row r="23" spans="1:35">
      <c r="A23" t="s">
        <v>182</v>
      </c>
      <c r="B23">
        <v>1.62028294107487</v>
      </c>
      <c r="C23">
        <v>0</v>
      </c>
      <c r="D23">
        <v>1.82047536720718</v>
      </c>
      <c r="E23">
        <v>0.286177642765099</v>
      </c>
      <c r="F23">
        <v>0.00245438984541387</v>
      </c>
      <c r="G23">
        <v>2.77806810463812</v>
      </c>
      <c r="H23">
        <v>1.14398025262639</v>
      </c>
      <c r="I23">
        <v>100.531498849296</v>
      </c>
      <c r="J23">
        <v>0.347667249224917</v>
      </c>
      <c r="K23">
        <v>1.58629251212944</v>
      </c>
      <c r="L23">
        <v>6.75232773332572</v>
      </c>
      <c r="M23">
        <v>3.9854143514463</v>
      </c>
      <c r="N23">
        <v>0.13486818602033</v>
      </c>
      <c r="O23">
        <v>1.81053443926338</v>
      </c>
      <c r="P23">
        <v>0.0504342170036979</v>
      </c>
      <c r="Q23">
        <v>13.5998504657627</v>
      </c>
      <c r="R23">
        <v>0.0147924117071142</v>
      </c>
      <c r="S23">
        <v>4.25727630982957</v>
      </c>
      <c r="T23">
        <v>13.3076899473446</v>
      </c>
      <c r="U23">
        <v>1.11306211526004</v>
      </c>
      <c r="V23">
        <v>0.0883750036797145</v>
      </c>
      <c r="W23">
        <v>6.44204920931559</v>
      </c>
      <c r="X23">
        <v>1.39744137478287</v>
      </c>
      <c r="Y23">
        <v>2.4212977345951</v>
      </c>
      <c r="Z23">
        <v>9.98002251149592</v>
      </c>
      <c r="AA23">
        <v>39.6285971256695</v>
      </c>
      <c r="AB23">
        <v>0</v>
      </c>
      <c r="AC23">
        <v>1.90413695915824</v>
      </c>
      <c r="AD23">
        <v>4.6981984423752</v>
      </c>
      <c r="AE23">
        <v>3.1584853052322</v>
      </c>
      <c r="AF23">
        <v>0</v>
      </c>
      <c r="AG23">
        <v>0</v>
      </c>
      <c r="AH23">
        <v>0</v>
      </c>
      <c r="AI23">
        <v>0</v>
      </c>
    </row>
    <row r="24" spans="1:35">
      <c r="A24" t="s">
        <v>180</v>
      </c>
      <c r="B24">
        <v>1.62028294107487</v>
      </c>
      <c r="C24">
        <v>0</v>
      </c>
      <c r="D24">
        <v>1.82047536720718</v>
      </c>
      <c r="E24">
        <v>0.286177642765099</v>
      </c>
      <c r="F24">
        <v>0.00245438984541387</v>
      </c>
      <c r="G24">
        <v>2.77806810463812</v>
      </c>
      <c r="H24">
        <v>1.14398025262639</v>
      </c>
      <c r="I24">
        <v>100.531498849296</v>
      </c>
      <c r="J24">
        <v>0.347667249224917</v>
      </c>
      <c r="K24">
        <v>1.58629251212944</v>
      </c>
      <c r="L24">
        <v>6.75232773332572</v>
      </c>
      <c r="M24">
        <v>3.9854143514463</v>
      </c>
      <c r="N24">
        <v>0.13486818602033</v>
      </c>
      <c r="O24">
        <v>1.81053443926338</v>
      </c>
      <c r="P24">
        <v>0.0504342170036979</v>
      </c>
      <c r="Q24">
        <v>13.5998504657627</v>
      </c>
      <c r="R24">
        <v>0.0147924117071142</v>
      </c>
      <c r="S24">
        <v>4.25727630982957</v>
      </c>
      <c r="T24">
        <v>13.3076899473446</v>
      </c>
      <c r="U24">
        <v>1.11306211526004</v>
      </c>
      <c r="V24">
        <v>0.0883750036797145</v>
      </c>
      <c r="W24">
        <v>6.44204920931559</v>
      </c>
      <c r="X24">
        <v>1.39744137478287</v>
      </c>
      <c r="Y24">
        <v>2.4212977345951</v>
      </c>
      <c r="Z24">
        <v>9.98002251149592</v>
      </c>
      <c r="AA24">
        <v>39.6285971256695</v>
      </c>
      <c r="AB24">
        <v>0</v>
      </c>
      <c r="AC24">
        <v>1.90413695915824</v>
      </c>
      <c r="AD24">
        <v>4.6981984423752</v>
      </c>
      <c r="AE24">
        <v>3.1584853052322</v>
      </c>
      <c r="AF24">
        <v>0</v>
      </c>
      <c r="AG24">
        <v>0</v>
      </c>
      <c r="AH24">
        <v>0</v>
      </c>
      <c r="AI24">
        <v>0</v>
      </c>
    </row>
    <row r="25" spans="1:35">
      <c r="A25" t="s">
        <v>179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row>
    <row r="26" spans="1:35">
      <c r="A26" t="s">
        <v>181</v>
      </c>
      <c r="B26">
        <v>1.62028294107487</v>
      </c>
      <c r="C26">
        <v>0</v>
      </c>
      <c r="D26">
        <v>1.82047536720718</v>
      </c>
      <c r="E26">
        <v>0.286177642765099</v>
      </c>
      <c r="F26">
        <v>0.00245438984541387</v>
      </c>
      <c r="G26">
        <v>2.77806810463812</v>
      </c>
      <c r="H26">
        <v>1.14398025262639</v>
      </c>
      <c r="I26">
        <v>100.531498849296</v>
      </c>
      <c r="J26">
        <v>0.347667249224917</v>
      </c>
      <c r="K26">
        <v>1.58629251212944</v>
      </c>
      <c r="L26">
        <v>6.75232773332572</v>
      </c>
      <c r="M26">
        <v>3.9854143514463</v>
      </c>
      <c r="N26">
        <v>0.13486818602033</v>
      </c>
      <c r="O26">
        <v>1.81053443926338</v>
      </c>
      <c r="P26">
        <v>0.0504342170036979</v>
      </c>
      <c r="Q26">
        <v>13.5998504657627</v>
      </c>
      <c r="R26">
        <v>0.0147924117071142</v>
      </c>
      <c r="S26">
        <v>4.25727630982957</v>
      </c>
      <c r="T26">
        <v>13.3076899473446</v>
      </c>
      <c r="U26">
        <v>1.11306211526004</v>
      </c>
      <c r="V26">
        <v>0.0883750036797145</v>
      </c>
      <c r="W26">
        <v>6.44204920931559</v>
      </c>
      <c r="X26">
        <v>1.39744137478287</v>
      </c>
      <c r="Y26">
        <v>2.4212977345951</v>
      </c>
      <c r="Z26">
        <v>9.98002251149592</v>
      </c>
      <c r="AA26">
        <v>39.6285971256695</v>
      </c>
      <c r="AB26">
        <v>0</v>
      </c>
      <c r="AC26">
        <v>1.90413695915824</v>
      </c>
      <c r="AD26">
        <v>4.6981984423752</v>
      </c>
      <c r="AE26">
        <v>3.1584853052322</v>
      </c>
      <c r="AF26">
        <v>0</v>
      </c>
      <c r="AG26">
        <v>0</v>
      </c>
      <c r="AH26">
        <v>0</v>
      </c>
      <c r="AI26">
        <v>0</v>
      </c>
    </row>
    <row r="27" spans="1:35">
      <c r="A27" t="s">
        <v>321</v>
      </c>
      <c r="B27">
        <v>2.70047156845812</v>
      </c>
      <c r="C27">
        <v>0</v>
      </c>
      <c r="D27">
        <v>3.03412561201197</v>
      </c>
      <c r="E27">
        <v>0.476962737941833</v>
      </c>
      <c r="F27">
        <v>0.00409064974235645</v>
      </c>
      <c r="G27">
        <v>4.6301135077302</v>
      </c>
      <c r="H27">
        <v>1.90663375437732</v>
      </c>
      <c r="I27">
        <v>167.552498082159</v>
      </c>
      <c r="J27">
        <v>0.579445415374862</v>
      </c>
      <c r="K27">
        <v>2.64382085354907</v>
      </c>
      <c r="L27">
        <v>11.2538795555429</v>
      </c>
      <c r="M27">
        <v>6.6423572524105</v>
      </c>
      <c r="N27">
        <v>0.224780310033883</v>
      </c>
      <c r="O27">
        <v>3.0175573987723</v>
      </c>
      <c r="P27">
        <v>0.0840570283394965</v>
      </c>
      <c r="Q27">
        <v>22.6664174429379</v>
      </c>
      <c r="R27">
        <v>0.024654019511857</v>
      </c>
      <c r="S27">
        <v>7.09546051638262</v>
      </c>
      <c r="T27">
        <v>22.1794832455743</v>
      </c>
      <c r="U27">
        <v>1.8551035254334</v>
      </c>
      <c r="V27">
        <v>0.147291672799524</v>
      </c>
      <c r="W27">
        <v>10.7367486821926</v>
      </c>
      <c r="X27">
        <v>2.32906895797145</v>
      </c>
      <c r="Y27">
        <v>4.03549622432517</v>
      </c>
      <c r="Z27">
        <v>16.6333708524932</v>
      </c>
      <c r="AA27">
        <v>66.0476618761158</v>
      </c>
      <c r="AB27">
        <v>0</v>
      </c>
      <c r="AC27">
        <v>3.17356159859707</v>
      </c>
      <c r="AD27">
        <v>7.830330737292</v>
      </c>
      <c r="AE27">
        <v>5.264142175387</v>
      </c>
      <c r="AF27">
        <v>0</v>
      </c>
      <c r="AG27">
        <v>0</v>
      </c>
      <c r="AH27">
        <v>0</v>
      </c>
      <c r="AI27">
        <v>0</v>
      </c>
    </row>
    <row r="28" spans="1:35">
      <c r="A28" t="s">
        <v>334</v>
      </c>
      <c r="B28">
        <v>1.62028294107487</v>
      </c>
      <c r="C28">
        <v>0</v>
      </c>
      <c r="D28">
        <v>1.82047536720718</v>
      </c>
      <c r="E28">
        <v>0.286177642765099</v>
      </c>
      <c r="F28">
        <v>0.00245438984541387</v>
      </c>
      <c r="G28">
        <v>2.77806810463812</v>
      </c>
      <c r="H28">
        <v>1.14398025262639</v>
      </c>
      <c r="I28">
        <v>100.531498849296</v>
      </c>
      <c r="J28">
        <v>0.347667249224917</v>
      </c>
      <c r="K28">
        <v>1.58629251212944</v>
      </c>
      <c r="L28">
        <v>6.75232773332572</v>
      </c>
      <c r="M28">
        <v>3.9854143514463</v>
      </c>
      <c r="N28">
        <v>0.13486818602033</v>
      </c>
      <c r="O28">
        <v>1.81053443926338</v>
      </c>
      <c r="P28">
        <v>0.0504342170036979</v>
      </c>
      <c r="Q28">
        <v>13.5998504657627</v>
      </c>
      <c r="R28">
        <v>0.0147924117071142</v>
      </c>
      <c r="S28">
        <v>4.25727630982957</v>
      </c>
      <c r="T28">
        <v>13.3076899473446</v>
      </c>
      <c r="U28">
        <v>1.11306211526004</v>
      </c>
      <c r="V28">
        <v>0.0883750036797145</v>
      </c>
      <c r="W28">
        <v>6.44204920931559</v>
      </c>
      <c r="X28">
        <v>1.39744137478287</v>
      </c>
      <c r="Y28">
        <v>2.4212977345951</v>
      </c>
      <c r="Z28">
        <v>9.98002251149592</v>
      </c>
      <c r="AA28">
        <v>39.6285971256695</v>
      </c>
      <c r="AB28">
        <v>0</v>
      </c>
      <c r="AC28">
        <v>1.90413695915824</v>
      </c>
      <c r="AD28">
        <v>4.6981984423752</v>
      </c>
      <c r="AE28">
        <v>3.1584853052322</v>
      </c>
      <c r="AF28">
        <v>0</v>
      </c>
      <c r="AG28">
        <v>0</v>
      </c>
      <c r="AH28">
        <v>0</v>
      </c>
      <c r="AI28">
        <v>0</v>
      </c>
    </row>
    <row r="29" spans="1:35">
      <c r="A29" t="s">
        <v>335</v>
      </c>
      <c r="B29">
        <v>1.62028294107487</v>
      </c>
      <c r="C29">
        <v>0</v>
      </c>
      <c r="D29">
        <v>1.82047536720718</v>
      </c>
      <c r="E29">
        <v>0.286177642765099</v>
      </c>
      <c r="F29">
        <v>0.00245438984541387</v>
      </c>
      <c r="G29">
        <v>2.77806810463812</v>
      </c>
      <c r="H29">
        <v>1.14398025262639</v>
      </c>
      <c r="I29">
        <v>100.531498849296</v>
      </c>
      <c r="J29">
        <v>0.347667249224917</v>
      </c>
      <c r="K29">
        <v>1.58629251212944</v>
      </c>
      <c r="L29">
        <v>6.75232773332572</v>
      </c>
      <c r="M29">
        <v>3.9854143514463</v>
      </c>
      <c r="N29">
        <v>0.13486818602033</v>
      </c>
      <c r="O29">
        <v>1.81053443926338</v>
      </c>
      <c r="P29">
        <v>0.0504342170036979</v>
      </c>
      <c r="Q29">
        <v>13.5998504657627</v>
      </c>
      <c r="R29">
        <v>0.0147924117071142</v>
      </c>
      <c r="S29">
        <v>4.25727630982957</v>
      </c>
      <c r="T29">
        <v>13.3076899473446</v>
      </c>
      <c r="U29">
        <v>1.11306211526004</v>
      </c>
      <c r="V29">
        <v>0.0883750036797145</v>
      </c>
      <c r="W29">
        <v>6.44204920931559</v>
      </c>
      <c r="X29">
        <v>1.39744137478287</v>
      </c>
      <c r="Y29">
        <v>2.4212977345951</v>
      </c>
      <c r="Z29">
        <v>9.98002251149592</v>
      </c>
      <c r="AA29">
        <v>39.6285971256695</v>
      </c>
      <c r="AB29">
        <v>0</v>
      </c>
      <c r="AC29">
        <v>1.90413695915824</v>
      </c>
      <c r="AD29">
        <v>4.6981984423752</v>
      </c>
      <c r="AE29">
        <v>3.1584853052322</v>
      </c>
      <c r="AF29">
        <v>0</v>
      </c>
      <c r="AG29">
        <v>0</v>
      </c>
      <c r="AH29">
        <v>0</v>
      </c>
      <c r="AI29">
        <v>0</v>
      </c>
    </row>
    <row r="30" spans="1:35">
      <c r="A30" t="s">
        <v>784</v>
      </c>
      <c r="B30">
        <v>1.62028294107487</v>
      </c>
      <c r="C30">
        <v>0</v>
      </c>
      <c r="D30">
        <v>1.82047536720718</v>
      </c>
      <c r="E30">
        <v>0.286177642765099</v>
      </c>
      <c r="F30">
        <v>0.00245438984541387</v>
      </c>
      <c r="G30">
        <v>2.77806810463812</v>
      </c>
      <c r="H30">
        <v>1.14398025262639</v>
      </c>
      <c r="I30">
        <v>100.531498849296</v>
      </c>
      <c r="J30">
        <v>0.347667249224917</v>
      </c>
      <c r="K30">
        <v>1.58629251212944</v>
      </c>
      <c r="L30">
        <v>6.75232773332572</v>
      </c>
      <c r="M30">
        <v>3.9854143514463</v>
      </c>
      <c r="N30">
        <v>0.13486818602033</v>
      </c>
      <c r="O30">
        <v>1.81053443926338</v>
      </c>
      <c r="P30">
        <v>0.0504342170036979</v>
      </c>
      <c r="Q30">
        <v>13.5998504657627</v>
      </c>
      <c r="R30">
        <v>0.0147924117071142</v>
      </c>
      <c r="S30">
        <v>4.25727630982957</v>
      </c>
      <c r="T30">
        <v>13.3076899473446</v>
      </c>
      <c r="U30">
        <v>1.11306211526004</v>
      </c>
      <c r="V30">
        <v>0.0883750036797145</v>
      </c>
      <c r="W30">
        <v>6.44204920931559</v>
      </c>
      <c r="X30">
        <v>1.39744137478287</v>
      </c>
      <c r="Y30">
        <v>2.4212977345951</v>
      </c>
      <c r="Z30">
        <v>9.98002251149592</v>
      </c>
      <c r="AA30">
        <v>39.6285971256695</v>
      </c>
      <c r="AB30">
        <v>0</v>
      </c>
      <c r="AC30">
        <v>1.90413695915824</v>
      </c>
      <c r="AD30">
        <v>4.6981984423752</v>
      </c>
      <c r="AE30">
        <v>3.1584853052322</v>
      </c>
      <c r="AF30">
        <v>0</v>
      </c>
      <c r="AG30">
        <v>0</v>
      </c>
      <c r="AH30">
        <v>0</v>
      </c>
      <c r="AI30">
        <v>0</v>
      </c>
    </row>
    <row r="31" spans="1:35">
      <c r="A31" t="s">
        <v>329</v>
      </c>
      <c r="B31">
        <v>1.62028294107487</v>
      </c>
      <c r="C31">
        <v>0</v>
      </c>
      <c r="D31">
        <v>1.82047536720718</v>
      </c>
      <c r="E31">
        <v>0.286177642765099</v>
      </c>
      <c r="F31">
        <v>0.00245438984541387</v>
      </c>
      <c r="G31">
        <v>2.77806810463812</v>
      </c>
      <c r="H31">
        <v>1.14398025262639</v>
      </c>
      <c r="I31">
        <v>100.531498849296</v>
      </c>
      <c r="J31">
        <v>0.347667249224917</v>
      </c>
      <c r="K31">
        <v>1.58629251212944</v>
      </c>
      <c r="L31">
        <v>6.75232773332572</v>
      </c>
      <c r="M31">
        <v>3.9854143514463</v>
      </c>
      <c r="N31">
        <v>0.13486818602033</v>
      </c>
      <c r="O31">
        <v>1.81053443926338</v>
      </c>
      <c r="P31">
        <v>0.0504342170036979</v>
      </c>
      <c r="Q31">
        <v>13.5998504657627</v>
      </c>
      <c r="R31">
        <v>0.0147924117071142</v>
      </c>
      <c r="S31">
        <v>4.25727630982957</v>
      </c>
      <c r="T31">
        <v>13.3076899473446</v>
      </c>
      <c r="U31">
        <v>1.11306211526004</v>
      </c>
      <c r="V31">
        <v>0.0883750036797145</v>
      </c>
      <c r="W31">
        <v>6.44204920931559</v>
      </c>
      <c r="X31">
        <v>1.39744137478287</v>
      </c>
      <c r="Y31">
        <v>2.4212977345951</v>
      </c>
      <c r="Z31">
        <v>9.98002251149592</v>
      </c>
      <c r="AA31">
        <v>39.6285971256695</v>
      </c>
      <c r="AB31">
        <v>0</v>
      </c>
      <c r="AC31">
        <v>1.90413695915824</v>
      </c>
      <c r="AD31">
        <v>4.6981984423752</v>
      </c>
      <c r="AE31">
        <v>3.1584853052322</v>
      </c>
      <c r="AF31">
        <v>0</v>
      </c>
      <c r="AG31">
        <v>0</v>
      </c>
      <c r="AH31">
        <v>0</v>
      </c>
      <c r="AI31">
        <v>0</v>
      </c>
    </row>
    <row r="32" spans="1:35">
      <c r="A32" t="s">
        <v>785</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row>
    <row r="33" spans="1:35">
      <c r="A33" t="s">
        <v>331</v>
      </c>
      <c r="B33">
        <v>1.62028294107487</v>
      </c>
      <c r="C33">
        <v>0</v>
      </c>
      <c r="D33">
        <v>1.82047536720718</v>
      </c>
      <c r="E33">
        <v>0.286177642765099</v>
      </c>
      <c r="F33">
        <v>0.00245438984541387</v>
      </c>
      <c r="G33">
        <v>2.77806810463812</v>
      </c>
      <c r="H33">
        <v>1.14398025262639</v>
      </c>
      <c r="I33">
        <v>100.531498849296</v>
      </c>
      <c r="J33">
        <v>0.347667249224917</v>
      </c>
      <c r="K33">
        <v>1.58629251212944</v>
      </c>
      <c r="L33">
        <v>6.75232773332572</v>
      </c>
      <c r="M33">
        <v>3.9854143514463</v>
      </c>
      <c r="N33">
        <v>0.13486818602033</v>
      </c>
      <c r="O33">
        <v>1.81053443926338</v>
      </c>
      <c r="P33">
        <v>0.0504342170036979</v>
      </c>
      <c r="Q33">
        <v>13.5998504657627</v>
      </c>
      <c r="R33">
        <v>0.0147924117071142</v>
      </c>
      <c r="S33">
        <v>4.25727630982957</v>
      </c>
      <c r="T33">
        <v>13.3076899473446</v>
      </c>
      <c r="U33">
        <v>1.11306211526004</v>
      </c>
      <c r="V33">
        <v>0.0883750036797145</v>
      </c>
      <c r="W33">
        <v>6.44204920931559</v>
      </c>
      <c r="X33">
        <v>1.39744137478287</v>
      </c>
      <c r="Y33">
        <v>2.4212977345951</v>
      </c>
      <c r="Z33">
        <v>9.98002251149592</v>
      </c>
      <c r="AA33">
        <v>39.6285971256695</v>
      </c>
      <c r="AB33">
        <v>0</v>
      </c>
      <c r="AC33">
        <v>1.90413695915824</v>
      </c>
      <c r="AD33">
        <v>4.6981984423752</v>
      </c>
      <c r="AE33">
        <v>3.1584853052322</v>
      </c>
      <c r="AF33">
        <v>0</v>
      </c>
      <c r="AG33">
        <v>0</v>
      </c>
      <c r="AH33">
        <v>0</v>
      </c>
      <c r="AI33">
        <v>0</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2026-08-04T19:08:13Z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