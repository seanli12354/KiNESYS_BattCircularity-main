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7" activeTab="2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<sst xmlns="http://schemas.openxmlformats.org/spreadsheetml/2006/main" count="7809" uniqueCount="786">
  <si>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</si>
  <si>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</si>
  <si>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</si>
  <si>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</si>
  <si>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</si>
  <si>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</si>
  <si>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</si>
  <si>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</si>
  <si>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</si>
  <si>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</si>
  <si>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</si>
  <si>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</si>
  <si>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</si>
  <si>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</si>
  <si>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</si>
  <si>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</si>
  <si>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</si>
  <si>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</si>
  <si>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</si>
  <si>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</si>
  <si>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</si>
  <si>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</si>
  <si>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</si>
  <si>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</si>
  <si>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</si>
  <si>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</si>
  <si>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</si>
  <si>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</si>
  <si>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</si>
  <si>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</si>
  <si>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</si>
  <si>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</si>
  <si>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</si>
  <si>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</si>
  <si>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</si>
  <si>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</si>
  <si>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</si>
  <si>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</si>
  <si>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</si>
  <si>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</si>
  <si>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</si>
  <si>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</si>
  <si>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</si>
  <si>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</si>
  <si>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</si>
  <si>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</si>
  <si>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</si>
  <si>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</si>
  <si>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</si>
  <si>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</si>
  <si>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</si>
  <si>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</si>
  <si>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</si>
  <si>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</si>
  <si>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</si>
  <si>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</si>
  <si>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</si>
  <si>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</si>
  <si>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</si>
  <si>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</si>
  <si>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</si>
  <si>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</si>
  <si>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</si>
  <si>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</si>
  <si>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</si>
  <si>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</si>
  <si>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</si>
  <si>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</si>
  <si>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</si>
  <si>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</si>
  <si>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</si>
  <si>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</si>
  <si>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</si>
  <si>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</si>
  <si>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</si>
  <si>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</si>
  <si>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</si>
  <si>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</si>
  <si>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</si>
  <si>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</si>
  <si>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</si>
  <si>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</si>
  <si>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</si>
  <si>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</si>
  <si>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</si>
  <si>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</si>
  <si>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</si>
  <si>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</si>
  <si>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</si>
  <si>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</si>
  <si>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</si>
  <si>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</si>
  <si>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</si>
  <si>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</si>
  <si>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</si>
  <si>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</si>
  <si>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</si>
  <si>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</si>
  <si>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</si>
  <si>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</si>
  <si>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</si>
  <si>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</si>
  <si>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</si>
  <si>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</si>
  <si>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</si>
  <si>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</si>
  <si>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</si>
  <si>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</si>
  <si>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</si>
  <si>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</si>
  <si>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</si>
  <si>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</si>
  <si>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</si>
  <si>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</si>
  <si>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</si>
  <si>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</si>
  <si>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</si>
  <si>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</si>
  <si>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</si>
  <si>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</si>
  <si>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</si>
  <si>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</si>
  <si>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</si>
  <si>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</si>
  <si>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</si>
  <si>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</si>
  <si>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</si>
  <si>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</si>
  <si>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</si>
  <si>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</si>
  <si>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</si>
  <si>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</si>
  <si>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</si>
  <si>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</si>
  <si>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</si>
  <si>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</si>
  <si>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</si>
  <si>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</si>
  <si>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</si>
  <si>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</si>
  <si>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</si>
  <si>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</si>
  <si>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</si>
  <si>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</si>
  <si>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</si>
  <si>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</si>
  <si>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</si>
  <si>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</si>
  <si>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</si>
  <si>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</si>
  <si>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</si>
  <si>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</si>
  <si>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</si>
  <si>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</si>
  <si>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</si>
  <si>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</si>
  <si>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</si>
  <si>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</si>
  <si>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</si>
  <si>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</si>
  <si>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</si>
  <si>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</si>
  <si>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</si>
  <si>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</si>
  <si>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</si>
  <si>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</si>
  <si>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</si>
  <si>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</si>
  <si>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</si>
  <si>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</si>
  <si>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</si>
  <si>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</si>
  <si>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</si>
  <si>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</si>
  <si>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</si>
  <si>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</si>
  <si>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</si>
  <si>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</si>
  <si>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</si>
  <si>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</si>
  <si>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</si>
  <si>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</si>
  <si>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</si>
  <si>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</si>
  <si>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</si>
  <si>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</si>
  <si>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</si>
  <si>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</si>
  <si>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</si>
  <si>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</si>
  <si>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</si>
  <si>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</si>
  <si>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</si>
  <si>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</si>
  <si>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</si>
  <si>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</si>
  <si>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</si>
  <si>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</si>
  <si>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</si>
  <si>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</si>
  <si>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</si>
  <si>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</si>
  <si>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</si>
  <si>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</si>
  <si>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</si>
  <si>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</si>
  <si>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</si>
  <si>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</si>
  <si>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</si>
  <si>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</si>
  <si>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</si>
  <si>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</si>
  <si>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</si>
  <si>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</si>
  <si>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</si>
  <si>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</si>
  <si>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</si>
  <si>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</si>
  <si>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</si>
  <si>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</si>
  <si>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</si>
  <si>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</si>
  <si>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</si>
  <si>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</si>
  <si>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</si>
  <si>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</si>
  <si>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</si>
  <si>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</si>
  <si>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</si>
  <si>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</si>
  <si>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</si>
  <si>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</si>
  <si>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</si>
  <si>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</si>
  <si>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</si>
  <si>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</si>
  <si>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</si>
  <si>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</si>
  <si>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</si>
  <si>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</si>
  <si>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</si>
  <si>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</si>
  <si>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</si>
  <si>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</si>
  <si>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</si>
  <si>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</si>
  <si>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</si>
  <si>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</si>
  <si>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</si>
  <si>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</si>
  <si>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</si>
  <si>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</si>
  <si>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</si>
  <si>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</si>
  <si>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</si>
  <si>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</si>
  <si>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</si>
  <si>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</si>
  <si>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</si>
  <si>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</si>
  <si>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</si>
  <si>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</si>
  <si>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</si>
  <si>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</si>
  <si>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</si>
  <si>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</si>
  <si>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</si>
  <si>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</si>
  <si>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</si>
  <si>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</si>
  <si>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</si>
  <si>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</si>
  <si>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</si>
  <si>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</si>
  <si>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</si>
  <si>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</si>
  <si>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</si>
  <si>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</si>
  <si>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</si>
  <si>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</si>
  <si>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</si>
  <si>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</si>
  <si>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</si>
  <si>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</si>
  <si>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</si>
  <si>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</si>
  <si>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</si>
  <si>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</si>
  <si>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</si>
  <si>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</si>
  <si>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</si>
  <si>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</si>
  <si>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</si>
  <si>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</si>
  <si>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</si>
  <si>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</si>
  <si>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</si>
  <si>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</si>
  <si>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</si>
  <si>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</si>
  <si>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</si>
  <si>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</si>
  <si>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</si>
  <si>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</si>
  <si>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</si>
  <si>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</si>
  <si>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</si>
  <si>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</si>
  <si>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</si>
  <si>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</si>
  <si>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</si>
  <si>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</si>
  <si>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</si>
  <si>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</si>
  <si>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</si>
  <si>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</si>
  <si>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</si>
  <si>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</si>
  <si>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</si>
  <si>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</si>
  <si>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</si>
  <si>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</si>
  <si>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</si>
  <si>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</si>
  <si>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</si>
  <si>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</si>
  <si>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</si>
  <si>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</si>
  <si>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</si>
  <si>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</si>
  <si>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</si>
  <si>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</si>
  <si>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</si>
  <si>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</si>
  <si>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</si>
  <si>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</si>
  <si>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</si>
  <si>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</si>
  <si>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</si>
  <si>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</si>
  <si>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</si>
  <si>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</si>
  <si>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</si>
  <si>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</si>
  <si>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</si>
  <si>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</si>
  <si>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</si>
  <si>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</si>
  <si>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</si>
  <si>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</si>
  <si>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</si>
  <si>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</si>
  <si>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</si>
  <si>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</si>
  <si>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</si>
  <si>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</si>
  <si>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</si>
  <si>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</si>
  <si>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</si>
  <si>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</si>
  <si>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</si>
  <si>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</si>
  <si>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</si>
  <si>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</si>
  <si>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</si>
  <si>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</si>
  <si>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</si>
  <si>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</si>
  <si>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</si>
  <si>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</si>
  <si>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</si>
  <si>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</si>
  <si>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</si>
  <si>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</si>
  <si>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</si>
  <si>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</si>
  <si>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</si>
  <si>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</si>
  <si>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</si>
  <si>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</si>
  <si>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</si>
  <si>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</si>
  <si>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</si>
  <si>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</si>
  <si>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</si>
  <si>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</si>
  <si>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</si>
  <si>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</si>
  <si>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</si>
  <si>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</si>
  <si>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</si>
  <si>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</si>
  <si>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</si>
  <si>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</si>
  <si>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</si>
  <si>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</si>
  <si>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</si>
  <si>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</si>
  <si>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</si>
  <si>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</si>
  <si>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</si>
  <si>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</si>
  <si>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</si>
  <si>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</si>
  <si>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</si>
  <si>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</si>
  <si>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</si>
  <si>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</si>
  <si>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</si>
  <si>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</si>
  <si>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</si>
  <si>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</si>
  <si>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</si>
  <si>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</si>
  <si>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</si>
  <si>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</si>
  <si>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</si>
  <si>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</si>
  <si>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</si>
  <si>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</si>
  <si>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</si>
  <si>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</si>
  <si>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</si>
  <si>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</si>
  <si>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</si>
  <si>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</si>
  <si>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</si>
  <si>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</si>
  <si>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</si>
  <si>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</si>
  <si>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</si>
  <si>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</si>
  <si>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</si>
  <si>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</si>
  <si>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</si>
  <si>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</si>
  <si>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</si>
  <si>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</si>
  <si>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</si>
  <si>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</si>
  <si>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</si>
  <si>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</si>
  <si>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</si>
  <si>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</si>
  <si>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</si>
  <si>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</si>
  <si>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</si>
  <si>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</si>
  <si>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</si>
  <si>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</si>
  <si>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</si>
  <si>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</si>
  <si>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</si>
  <si>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</si>
  <si>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</si>
  <si>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</si>
  <si>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</si>
  <si>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</si>
  <si>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</si>
  <si>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</si>
  <si>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</si>
  <si>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</si>
  <si>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</si>
  <si>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</si>
  <si>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</si>
  <si>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</si>
  <si>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</si>
  <si>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</si>
  <si>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</si>
  <si>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</si>
  <si>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</si>
  <si>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</si>
  <si>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</si>
  <si>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</si>
  <si>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</si>
  <si>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</si>
  <si>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</si>
  <si>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</si>
  <si>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</si>
  <si>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</si>
  <si>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</si>
  <si>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</si>
  <si>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</si>
  <si>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</si>
  <si>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</si>
  <si>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</si>
  <si>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</si>
  <si>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</si>
  <si>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</si>
  <si>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</si>
  <si>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</si>
  <si>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</si>
  <si>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</si>
  <si>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</si>
  <si>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</si>
  <si>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</si>
  <si>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</si>
  <si>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</si>
  <si>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</si>
  <si>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</si>
  <si>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</si>
  <si>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</si>
  <si>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</si>
  <si>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</si>
  <si>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</si>
  <si>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</si>
  <si>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</si>
  <si>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</si>
  <si>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</si>
  <si>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</si>
  <si>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</si>
  <si>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</si>
  <si>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</si>
  <si>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</si>
  <si>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</si>
  <si>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</si>
  <si>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</si>
  <si>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</si>
  <si>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</si>
  <si>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</si>
  <si>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</si>
  <si>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</si>
  <si>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</si>
  <si>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</si>
  <si>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</si>
  <si>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</si>
  <si>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</si>
  <si>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</si>
  <si>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</si>
  <si>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</si>
  <si>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</si>
  <si>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</si>
  <si>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</si>
  <si>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</si>
  <si>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</si>
  <si>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</si>
  <si>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</si>
  <si>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</si>
  <si>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</si>
  <si>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</si>
  <si>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</si>
  <si>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</si>
  <si>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</si>
  <si>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</si>
  <si>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</si>
  <si>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</si>
  <si>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</si>
  <si>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</si>
  <si>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</si>
  <si>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</si>
  <si>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</si>
  <si>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</si>
  <si>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</si>
  <si>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</si>
  <si>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</si>
  <si>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</si>
  <si>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</si>
  <si>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</si>
  <si>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</si>
  <si>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</si>
  <si>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</si>
  <si>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</si>
  <si>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</si>
  <si>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</si>
  <si>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</si>
  <si>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</si>
  <si>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</si>
  <si>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</si>
  <si>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</si>
  <si>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</si>
  <si>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</si>
  <si>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</si>
  <si>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</si>
  <si>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</si>
  <si>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</si>
  <si>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</si>
  <si>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</si>
  <si>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</si>
  <si>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</si>
  <si>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</si>
  <si>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</si>
  <si>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</si>
  <si>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</si>
  <si>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</si>
  <si>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</si>
  <si>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</si>
  <si>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</si>
  <si>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</si>
  <si>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</si>
  <si>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</si>
  <si>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</si>
  <si>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</si>
  <si>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</si>
  <si>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</si>
  <si>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</si>
  <si>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</si>
  <si>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</si>
  <si>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</si>
  <si>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</si>
  <si>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</si>
  <si>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</si>
  <si>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</si>
  <si>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</si>
  <si>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</si>
  <si>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</si>
  <si>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</si>
  <si>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</si>
  <si>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</si>
  <si>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</si>
  <si>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</si>
  <si>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</si>
  <si>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</si>
  <si>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</si>
  <si>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</si>
  <si>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</si>
  <si>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</si>
  <si>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</si>
  <si>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</si>
  <si>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</si>
  <si>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</si>
  <si>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</si>
  <si>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</si>
  <si>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</si>
  <si>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</si>
  <si>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</si>
  <si>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</si>
  <si>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</si>
  <si>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</si>
  <si>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</si>
  <si>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</si>
  <si>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</si>
  <si>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</si>
  <si>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</si>
  <si>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</si>
  <si>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</si>
  <si>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</si>
  <si>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</si>
  <si>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</si>
  <si>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</si>
  <si>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</si>
  <si>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</si>
  <si>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</si>
  <si>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</si>
  <si>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</si>
  <si>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</si>
  <si>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</si>
  <si>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</si>
  <si>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</si>
  <si>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</si>
  <si>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</si>
  <si>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</si>
  <si>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</si>
  <si>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</si>
  <si>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</si>
  <si>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</si>
  <si>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</si>
  <si>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</si>
  <si>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</si>
  <si>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</si>
  <si>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</si>
  <si>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</si>
  <si>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</si>
  <si>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</si>
  <si>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</si>
  <si>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</si>
  <si>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</si>
  <si>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</si>
  <si>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</si>
  <si>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</si>
  <si>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</si>
  <si>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</si>
  <si>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</si>
  <si>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</si>
  <si>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</si>
  <si>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</si>
  <si>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</si>
  <si>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</si>
  <si>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</si>
  <si>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</si>
  <si>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</si>
  <si>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</si>
  <si>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</si>
  <si>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</si>
  <si>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</si>
  <si>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</si>
  <si>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</si>
  <si>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</si>
  <si>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</si>
  <si>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</si>
  <si>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</si>
  <si>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</si>
  <si>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</si>
  <si>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</si>
  <si>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</si>
  <si>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</si>
  <si>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</si>
  <si>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</si>
  <si>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</si>
  <si>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</si>
  <si>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</si>
  <si>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</si>
  <si>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</si>
  <si>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</si>
  <si>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</si>
  <si>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</si>
  <si>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</si>
  <si>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</si>
  <si>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</si>
  <si>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</si>
  <si>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</si>
  <si>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</si>
  <si>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</si>
  <si>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</si>
  <si>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</si>
  <si>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</si>
  <si>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</si>
  <si>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</si>
  <si>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</si>
  <si>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</si>
  <si>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</si>
  <si>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</si>
  <si>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</si>
  <si>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</si>
  <si>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</si>
  <si>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</si>
  <si>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</si>
  <si>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</si>
  <si>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</si>
  <si>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</si>
  <si>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</si>
  <si>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</si>
  <si>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</si>
  <si>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</si>
  <si>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</si>
  <si>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</si>
  <si>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</si>
  <si>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</si>
  <si>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</si>
  <si>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</si>
  <si>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</si>
  <si>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</si>
  <si>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</si>
  <si>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</si>
  <si>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</si>
  <si>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</si>
  <si>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</si>
  <si>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</si>
  <si>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</si>
  <si>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</si>
  <si>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</si>
  <si>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</si>
  <si>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</si>
  <si>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Africa_North</t>
  </si>
  <si>
    <t>Africa_Other</t>
  </si>
  <si>
    <t>Australia</t>
  </si>
  <si>
    <t>Austria</t>
  </si>
  <si>
    <t>Baltics</t>
  </si>
  <si>
    <t>BeNeLux</t>
  </si>
  <si>
    <t>Brazil</t>
  </si>
  <si>
    <t>CroSloven</t>
  </si>
  <si>
    <t>CzechSlovak</t>
  </si>
  <si>
    <t>France</t>
  </si>
  <si>
    <t>Germany</t>
  </si>
  <si>
    <t>GreeceCyp</t>
  </si>
  <si>
    <t>HunRomBul</t>
  </si>
  <si>
    <t>Iceland</t>
  </si>
  <si>
    <t>India</t>
  </si>
  <si>
    <t>Ireland</t>
  </si>
  <si>
    <t>ItalyMal</t>
  </si>
  <si>
    <t>Japan</t>
  </si>
  <si>
    <t>LatAm</t>
  </si>
  <si>
    <t>MidEast</t>
  </si>
  <si>
    <t>Norway</t>
  </si>
  <si>
    <t>Poland</t>
  </si>
  <si>
    <t>ROW</t>
  </si>
  <si>
    <t>Russia</t>
  </si>
  <si>
    <t>SaudiArabia</t>
  </si>
  <si>
    <t>SouthAfrica</t>
  </si>
  <si>
    <t>SpainPor</t>
  </si>
  <si>
    <t>SweFinDen</t>
  </si>
  <si>
    <t>Switzerland</t>
  </si>
  <si>
    <t>Turkey</t>
  </si>
  <si>
    <t>UK</t>
  </si>
  <si>
    <t>Ukraine</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</si>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</sst>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0"/>
    </font>
    <font>
      <sz val="9"/>
      <name val="Tahoma"/>
      <charset val="1"/>
    </font>
    <font>
      <b/>
      <sz val="9"/>
      <name val="Tahoma"/>
      <charset val="134"/>
    </font>
    <font>
      <sz val="9"/>
      <name val="Tahoma"/>
      <charset val="134"/>
    </font>
    <font>
      <b/>
      <sz val="9"/>
      <name val="Times New Roman"/>
      <charset val="134"/>
    </font>
    <font>
      <b/>
      <sz val="9"/>
      <name val="Tahoma"/>
      <charset val="1"/>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R49"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1" zoomScaleNormal="41" topLeftCell="A143" workbookViewId="0">
      <selection activeCell="B160" sqref="B16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19"/>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AA22" s="202"/>
      <c r="AE22" s="171" t="s">
        <v>324</v>
      </c>
      <c r="AI22" s="171" t="s">
        <v>253</v>
      </c>
      <c r="AL22" s="171" t="s">
        <v>313</v>
      </c>
    </row>
    <row r="23" ht="14.5" spans="1:38">
      <c r="A23" s="294" t="s">
        <v>213</v>
      </c>
      <c r="B23" s="164" t="s">
        <v>325</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326</v>
      </c>
      <c r="AB23" s="159"/>
      <c r="AE23" s="171" t="s">
        <v>327</v>
      </c>
      <c r="AI23" s="171" t="s">
        <v>253</v>
      </c>
      <c r="AL23" s="171" t="s">
        <v>313</v>
      </c>
    </row>
    <row r="24" ht="14.5" spans="1:38">
      <c r="A24" s="294"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326</v>
      </c>
      <c r="AB24" s="159"/>
      <c r="AE24" s="171" t="s">
        <v>329</v>
      </c>
      <c r="AI24" s="171" t="s">
        <v>253</v>
      </c>
      <c r="AL24" s="171" t="s">
        <v>313</v>
      </c>
    </row>
    <row r="25" ht="14.5" spans="1:38">
      <c r="A25" s="294"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326</v>
      </c>
      <c r="AB25" s="159"/>
      <c r="AE25" s="171" t="s">
        <v>331</v>
      </c>
      <c r="AI25" s="171" t="s">
        <v>253</v>
      </c>
      <c r="AL25" s="171" t="s">
        <v>313</v>
      </c>
    </row>
    <row r="26" ht="14.5" spans="1:38">
      <c r="A26" s="294"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326</v>
      </c>
      <c r="AB26" s="207"/>
      <c r="AE26" s="171" t="s">
        <v>171</v>
      </c>
      <c r="AL26" s="171" t="s">
        <v>313</v>
      </c>
    </row>
    <row r="27" ht="14.5" spans="1:38">
      <c r="A27" s="294"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326</v>
      </c>
      <c r="AB27" s="207"/>
      <c r="AE27" s="171" t="s">
        <v>172</v>
      </c>
      <c r="AL27" s="171" t="s">
        <v>313</v>
      </c>
    </row>
    <row r="28" ht="14.5" spans="1:38">
      <c r="A28" s="294"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326</v>
      </c>
      <c r="AB28" s="159"/>
      <c r="AE28" s="171" t="s">
        <v>173</v>
      </c>
      <c r="AL28" s="171" t="s">
        <v>313</v>
      </c>
    </row>
    <row r="29" s="164" customFormat="1" ht="14.5" spans="1:38">
      <c r="A29" s="295" t="s">
        <v>213</v>
      </c>
      <c r="B29" s="208" t="s">
        <v>335</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2021</v>
      </c>
      <c r="U29" s="297"/>
      <c r="V29" s="206" t="str">
        <f t="shared" si="3"/>
        <v>MINBatMaterials_GR</v>
      </c>
      <c r="W29" s="206" t="str">
        <f t="shared" si="2"/>
        <v>m_graphite</v>
      </c>
      <c r="X29" s="206">
        <v>1</v>
      </c>
      <c r="Y29" s="206"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336</v>
      </c>
      <c r="O34" s="210">
        <v>0.6</v>
      </c>
      <c r="V34" s="209" t="str">
        <f t="shared" ref="V34:V39" si="4">"Tra_bat_recy_"&amp;N34</f>
        <v>Tra_bat_recy_lithium</v>
      </c>
      <c r="W34" s="209" t="s">
        <v>337</v>
      </c>
      <c r="X34" s="209" t="s">
        <v>185</v>
      </c>
      <c r="Y34" s="209">
        <f t="shared" ref="Y34:Y39" si="5">O34</f>
        <v>0.6</v>
      </c>
    </row>
    <row r="35" spans="3:38">
      <c r="N35" s="210" t="s">
        <v>338</v>
      </c>
      <c r="O35" s="210">
        <v>0.56</v>
      </c>
      <c r="V35" s="209" t="str">
        <f t="shared" si="4"/>
        <v>Tra_bat_recy_nickel</v>
      </c>
      <c r="W35" s="209" t="s">
        <v>339</v>
      </c>
      <c r="X35" s="209" t="s">
        <v>186</v>
      </c>
      <c r="Y35" s="209">
        <f t="shared" si="5"/>
        <v>0.56</v>
      </c>
    </row>
    <row r="36" spans="3:38">
      <c r="N36" s="210" t="s">
        <v>340</v>
      </c>
      <c r="O36" s="210">
        <v>0.65</v>
      </c>
      <c r="V36" s="209" t="str">
        <f t="shared" si="4"/>
        <v>Tra_bat_recy_cobalt</v>
      </c>
      <c r="W36" s="209" t="s">
        <v>341</v>
      </c>
      <c r="X36" s="209" t="s">
        <v>187</v>
      </c>
      <c r="Y36" s="209">
        <f t="shared" si="5"/>
        <v>0.65</v>
      </c>
    </row>
    <row r="37" ht="14.5" spans="3:38">
      <c r="D37" s="299">
        <v>1</v>
      </c>
      <c r="G37" s="171" t="s">
        <v>342</v>
      </c>
      <c r="H37" s="171" t="s">
        <v>343</v>
      </c>
      <c r="I37" s="171" t="s">
        <v>344</v>
      </c>
      <c r="J37" s="171" t="s">
        <v>345</v>
      </c>
      <c r="K37" s="171" t="s">
        <v>346</v>
      </c>
      <c r="L37" s="171" t="s">
        <v>347</v>
      </c>
      <c r="M37" s="171" t="s">
        <v>348</v>
      </c>
      <c r="N37" s="210" t="s">
        <v>349</v>
      </c>
      <c r="O37" s="210">
        <v>0.61</v>
      </c>
      <c r="V37" s="209" t="str">
        <f t="shared" si="4"/>
        <v>Tra_bat_recy_manganese</v>
      </c>
      <c r="W37" s="209" t="s">
        <v>350</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351</v>
      </c>
      <c r="O38" s="210">
        <v>0.52</v>
      </c>
      <c r="V38" s="209" t="str">
        <f t="shared" si="4"/>
        <v>Tra_bat_recy_aluminum</v>
      </c>
      <c r="W38" s="209" t="s">
        <v>352</v>
      </c>
      <c r="X38" s="209" t="s">
        <v>189</v>
      </c>
      <c r="Y38" s="209">
        <f t="shared" si="5"/>
        <v>0.52</v>
      </c>
      <c r="AD38" s="171" t="s">
        <v>353</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354</v>
      </c>
      <c r="O39" s="210">
        <v>0.55</v>
      </c>
      <c r="V39" s="209" t="str">
        <f t="shared" si="4"/>
        <v>Tra_bat_recy_copper</v>
      </c>
      <c r="W39" s="209" t="s">
        <v>355</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9"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376</v>
      </c>
      <c r="G88" s="305" t="s">
        <v>257</v>
      </c>
      <c r="J88" s="305" t="s">
        <v>257</v>
      </c>
      <c r="K88" s="305" t="s">
        <v>376</v>
      </c>
      <c r="L88" s="171" t="s">
        <v>377</v>
      </c>
      <c r="M88" s="171" t="s">
        <v>201</v>
      </c>
      <c r="N88" s="277"/>
      <c r="P88" s="202"/>
      <c r="V88" s="277" t="s">
        <v>257</v>
      </c>
      <c r="W88" s="277" t="s">
        <v>322</v>
      </c>
      <c r="X88" s="277" t="s">
        <v>378</v>
      </c>
      <c r="Y88" s="277" t="s">
        <v>379</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326</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326</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326</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326</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326</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326</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326</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365</v>
      </c>
      <c r="AB130" s="219"/>
      <c r="AC130" s="219"/>
      <c r="AD130" s="219"/>
      <c r="AE130" s="219"/>
      <c r="AF130" s="219"/>
      <c r="AI130" s="219" t="s">
        <v>365</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369</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370</v>
      </c>
      <c r="AK159" s="245"/>
      <c r="AL159" s="245"/>
      <c r="AM159" s="245"/>
      <c r="AN159" s="245" t="s">
        <v>253</v>
      </c>
      <c r="AO159" s="245"/>
      <c r="AP159" s="245"/>
      <c r="AQ159" s="245" t="s">
        <v>313</v>
      </c>
    </row>
    <row r="160" customFormat="1" ht="14.5" spans="2:43">
      <c r="B160" s="245" t="s">
        <v>368</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371</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372</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373</v>
      </c>
      <c r="AK162" s="245"/>
      <c r="AL162" s="245"/>
      <c r="AM162" s="245"/>
      <c r="AN162" s="245" t="s">
        <v>253</v>
      </c>
      <c r="AO162" s="245"/>
      <c r="AP162" s="245"/>
      <c r="AQ162" s="245" t="s">
        <v>313</v>
      </c>
    </row>
    <row r="163" customFormat="1" ht="14.5" spans="2:60">
      <c r="B163" s="245" t="s">
        <v>325</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374</v>
      </c>
      <c r="AK163" s="245"/>
      <c r="AL163" s="245"/>
      <c r="AM163" s="245"/>
      <c r="AN163" s="245" t="s">
        <v>253</v>
      </c>
      <c r="AO163" s="245"/>
      <c r="AP163" s="245"/>
      <c r="AQ163" s="245" t="s">
        <v>313</v>
      </c>
    </row>
    <row r="164" customFormat="1" ht="14.5" spans="2:60">
      <c r="B164" s="245" t="s">
        <v>328</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375</v>
      </c>
      <c r="AK164" s="245"/>
      <c r="AL164" s="245"/>
      <c r="AM164" s="245"/>
      <c r="AN164" s="245" t="s">
        <v>253</v>
      </c>
      <c r="AO164" s="245"/>
      <c r="AP164" s="245"/>
      <c r="AQ164" s="245" t="s">
        <v>313</v>
      </c>
    </row>
    <row r="165" customFormat="1" ht="14.5" spans="2:60">
      <c r="B165" s="245" t="s">
        <v>330</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332</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333</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334</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369</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370</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371</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372</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373</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374</v>
      </c>
      <c r="E179" s="245">
        <v>1</v>
      </c>
      <c r="F179" s="171">
        <v>2</v>
      </c>
      <c r="G179" s="171">
        <v>1</v>
      </c>
      <c r="Y179"/>
      <c r="Z179" s="316"/>
      <c r="AA179" s="316" t="s">
        <v>365</v>
      </c>
      <c r="AB179" s="316"/>
      <c r="AC179" s="316"/>
      <c r="AD179" s="316"/>
      <c r="AE179" s="316"/>
      <c r="AF179" s="316"/>
      <c r="AG179" s="316"/>
      <c r="AI179" s="245"/>
      <c r="AJ179" s="245" t="s">
        <v>358</v>
      </c>
      <c r="AK179" s="245"/>
      <c r="AL179" s="245"/>
      <c r="AM179" s="245"/>
      <c r="AN179" s="245" t="s">
        <v>253</v>
      </c>
      <c r="AO179" s="245"/>
      <c r="AP179" s="245"/>
      <c r="AQ179" s="245" t="s">
        <v>313</v>
      </c>
    </row>
    <row r="180" ht="14.5" spans="1:60">
      <c r="B180" s="304" t="s">
        <v>462</v>
      </c>
      <c r="C180" s="304" t="s">
        <v>452</v>
      </c>
      <c r="D180" s="304" t="s">
        <v>375</v>
      </c>
      <c r="E180" s="245">
        <v>1</v>
      </c>
      <c r="F180" s="171">
        <v>2</v>
      </c>
      <c r="G180" s="171">
        <v>1</v>
      </c>
      <c r="Y180"/>
      <c r="Z180" s="316"/>
      <c r="AA180" s="316" t="s">
        <v>456</v>
      </c>
      <c r="AB180" s="316"/>
      <c r="AC180" s="317" t="s">
        <v>441</v>
      </c>
      <c r="AD180" s="317" t="s">
        <v>442</v>
      </c>
      <c r="AE180" s="316" t="s">
        <v>251</v>
      </c>
      <c r="AF180" s="316"/>
      <c r="AG180" s="316"/>
      <c r="AI180" s="245"/>
      <c r="AJ180" s="245" t="s">
        <v>359</v>
      </c>
      <c r="AK180" s="245"/>
      <c r="AL180" s="245"/>
      <c r="AM180" s="245"/>
      <c r="AN180" s="245" t="s">
        <v>253</v>
      </c>
      <c r="AO180" s="245"/>
      <c r="AP180" s="245"/>
      <c r="AQ180" s="245" t="s">
        <v>313</v>
      </c>
    </row>
    <row r="181" ht="14.5" spans="1:60">
      <c r="B181" s="304" t="s">
        <v>463</v>
      </c>
      <c r="C181" s="304" t="s">
        <v>445</v>
      </c>
      <c r="D181" s="304" t="s">
        <v>358</v>
      </c>
      <c r="E181" s="245">
        <v>1</v>
      </c>
      <c r="F181" s="171">
        <v>0</v>
      </c>
      <c r="G181" s="171">
        <v>1</v>
      </c>
      <c r="Y181"/>
      <c r="Z181" s="316"/>
      <c r="AA181" s="316" t="s">
        <v>457</v>
      </c>
      <c r="AB181" s="316"/>
      <c r="AC181" s="317" t="s">
        <v>441</v>
      </c>
      <c r="AD181" s="317" t="s">
        <v>442</v>
      </c>
      <c r="AE181" s="316" t="s">
        <v>251</v>
      </c>
      <c r="AF181" s="316"/>
      <c r="AG181" s="316"/>
      <c r="AI181" s="245"/>
      <c r="AJ181" s="245" t="s">
        <v>360</v>
      </c>
      <c r="AK181" s="245"/>
      <c r="AL181" s="245"/>
      <c r="AM181" s="245"/>
      <c r="AN181" s="245" t="s">
        <v>253</v>
      </c>
      <c r="AO181" s="245"/>
      <c r="AP181" s="245"/>
      <c r="AQ181" s="245" t="s">
        <v>313</v>
      </c>
    </row>
    <row r="182" ht="14.5" spans="1:60">
      <c r="B182" s="304" t="s">
        <v>464</v>
      </c>
      <c r="C182" s="304" t="s">
        <v>446</v>
      </c>
      <c r="D182" s="304" t="s">
        <v>359</v>
      </c>
      <c r="E182" s="245">
        <v>1</v>
      </c>
      <c r="F182" s="171">
        <v>0</v>
      </c>
      <c r="G182" s="171">
        <v>1</v>
      </c>
      <c r="Y182"/>
      <c r="Z182" s="316"/>
      <c r="AA182" s="316" t="s">
        <v>458</v>
      </c>
      <c r="AB182" s="316"/>
      <c r="AC182" s="317" t="s">
        <v>441</v>
      </c>
      <c r="AD182" s="317" t="s">
        <v>442</v>
      </c>
      <c r="AE182" s="316" t="s">
        <v>251</v>
      </c>
      <c r="AF182" s="316"/>
      <c r="AG182" s="316"/>
      <c r="AI182" s="245"/>
      <c r="AJ182" s="245" t="s">
        <v>361</v>
      </c>
      <c r="AK182" s="245"/>
      <c r="AL182" s="245"/>
      <c r="AM182" s="245"/>
      <c r="AN182" s="245" t="s">
        <v>253</v>
      </c>
      <c r="AO182" s="245"/>
      <c r="AP182" s="245"/>
      <c r="AQ182" s="245" t="s">
        <v>313</v>
      </c>
    </row>
    <row r="183" ht="14.5" spans="1:60">
      <c r="B183" s="304" t="s">
        <v>465</v>
      </c>
      <c r="C183" s="304" t="s">
        <v>447</v>
      </c>
      <c r="D183" s="304" t="s">
        <v>360</v>
      </c>
      <c r="E183" s="245">
        <v>1</v>
      </c>
      <c r="F183" s="171">
        <v>0</v>
      </c>
      <c r="G183" s="171">
        <v>1</v>
      </c>
      <c r="Y183"/>
      <c r="Z183" s="316"/>
      <c r="AA183" s="316" t="s">
        <v>459</v>
      </c>
      <c r="AB183" s="316"/>
      <c r="AC183" s="317" t="s">
        <v>441</v>
      </c>
      <c r="AD183" s="317" t="s">
        <v>442</v>
      </c>
      <c r="AE183" s="316" t="s">
        <v>251</v>
      </c>
      <c r="AF183" s="316"/>
      <c r="AG183" s="316"/>
      <c r="AI183" s="245"/>
      <c r="AJ183" s="245" t="s">
        <v>362</v>
      </c>
      <c r="AK183" s="245"/>
      <c r="AL183" s="245"/>
      <c r="AM183" s="245"/>
      <c r="AN183" s="245" t="s">
        <v>253</v>
      </c>
      <c r="AO183" s="245"/>
      <c r="AP183" s="245"/>
      <c r="AQ183" s="245" t="s">
        <v>313</v>
      </c>
    </row>
    <row r="184" ht="14.5" spans="1:60">
      <c r="B184" s="304" t="s">
        <v>466</v>
      </c>
      <c r="C184" s="304" t="s">
        <v>448</v>
      </c>
      <c r="D184" s="304" t="s">
        <v>361</v>
      </c>
      <c r="E184" s="245">
        <v>1</v>
      </c>
      <c r="F184" s="171">
        <v>0</v>
      </c>
      <c r="G184" s="171">
        <v>1</v>
      </c>
      <c r="Y184"/>
      <c r="Z184" s="316"/>
      <c r="AA184" s="316" t="s">
        <v>460</v>
      </c>
      <c r="AB184" s="316"/>
      <c r="AC184" s="317" t="s">
        <v>441</v>
      </c>
      <c r="AD184" s="317" t="s">
        <v>442</v>
      </c>
      <c r="AE184" s="316" t="s">
        <v>251</v>
      </c>
      <c r="AF184" s="316"/>
      <c r="AG184" s="316"/>
      <c r="AI184" s="245"/>
      <c r="AJ184" s="245" t="s">
        <v>363</v>
      </c>
      <c r="AK184" s="245"/>
      <c r="AL184" s="245"/>
      <c r="AM184" s="245"/>
      <c r="AN184" s="245" t="s">
        <v>253</v>
      </c>
      <c r="AO184" s="245"/>
      <c r="AP184" s="245"/>
      <c r="AQ184" s="245" t="s">
        <v>313</v>
      </c>
    </row>
    <row r="185" ht="14.5" spans="1:60">
      <c r="B185" s="304" t="s">
        <v>467</v>
      </c>
      <c r="C185" s="304" t="s">
        <v>450</v>
      </c>
      <c r="D185" s="304" t="s">
        <v>362</v>
      </c>
      <c r="E185" s="245">
        <v>1</v>
      </c>
      <c r="F185" s="171">
        <v>0</v>
      </c>
      <c r="G185" s="171">
        <v>1</v>
      </c>
      <c r="Y185"/>
      <c r="Z185" s="316"/>
      <c r="AA185" s="316" t="s">
        <v>461</v>
      </c>
      <c r="AB185" s="316"/>
      <c r="AC185" s="317" t="s">
        <v>441</v>
      </c>
      <c r="AD185" s="317" t="s">
        <v>442</v>
      </c>
      <c r="AE185" s="316" t="s">
        <v>251</v>
      </c>
      <c r="AF185" s="316"/>
      <c r="AG185" s="316"/>
      <c r="AI185" s="320"/>
      <c r="AJ185" s="320" t="s">
        <v>364</v>
      </c>
      <c r="AK185" s="245"/>
      <c r="AL185" s="245"/>
      <c r="AM185" s="245"/>
      <c r="AN185" s="245" t="s">
        <v>253</v>
      </c>
      <c r="AO185" s="245"/>
      <c r="AP185" s="245"/>
      <c r="AQ185" s="320" t="s">
        <v>313</v>
      </c>
    </row>
    <row r="186" ht="14.5" spans="1:60">
      <c r="B186" s="304" t="s">
        <v>468</v>
      </c>
      <c r="C186" s="304" t="s">
        <v>451</v>
      </c>
      <c r="D186" s="304" t="s">
        <v>363</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364</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348</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326</v>
      </c>
      <c r="BB214" s="316"/>
      <c r="BC214" s="245" t="s">
        <v>380</v>
      </c>
      <c r="BD214" s="245">
        <v>5</v>
      </c>
      <c r="BE214" s="245">
        <v>5</v>
      </c>
      <c r="BF214" s="245">
        <v>5</v>
      </c>
      <c r="BG214" s="245">
        <v>5</v>
      </c>
      <c r="BH214" s="245">
        <v>5</v>
      </c>
      <c r="BI214" s="245">
        <v>5</v>
      </c>
      <c r="BJ214" s="245">
        <v>5</v>
      </c>
      <c r="BK214" s="245" t="s">
        <v>326</v>
      </c>
      <c r="BL214" s="245">
        <v>0</v>
      </c>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369</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326</v>
      </c>
      <c r="BB215" s="316"/>
      <c r="BC215" s="245" t="s">
        <v>382</v>
      </c>
      <c r="BD215" s="245">
        <v>5</v>
      </c>
      <c r="BE215" s="245">
        <v>5</v>
      </c>
      <c r="BF215" s="245">
        <v>5</v>
      </c>
      <c r="BG215" s="245">
        <v>5</v>
      </c>
      <c r="BH215" s="245">
        <v>5</v>
      </c>
      <c r="BI215" s="245">
        <v>5</v>
      </c>
      <c r="BJ215" s="245">
        <v>5</v>
      </c>
      <c r="BK215" s="245" t="s">
        <v>326</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370</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326</v>
      </c>
      <c r="BB216" s="316"/>
      <c r="BC216" s="245" t="s">
        <v>383</v>
      </c>
      <c r="BD216" s="245">
        <v>5</v>
      </c>
      <c r="BE216" s="245">
        <v>5</v>
      </c>
      <c r="BF216" s="245">
        <v>5</v>
      </c>
      <c r="BG216" s="245">
        <v>5</v>
      </c>
      <c r="BH216" s="245">
        <v>5</v>
      </c>
      <c r="BI216" s="245">
        <v>5</v>
      </c>
      <c r="BJ216" s="245">
        <v>5</v>
      </c>
      <c r="BK216" s="245" t="s">
        <v>326</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371</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326</v>
      </c>
      <c r="BB217" s="316"/>
      <c r="BC217" s="245" t="s">
        <v>384</v>
      </c>
      <c r="BD217" s="245">
        <v>5</v>
      </c>
      <c r="BE217" s="245">
        <v>5</v>
      </c>
      <c r="BF217" s="245">
        <v>5</v>
      </c>
      <c r="BG217" s="245">
        <v>5</v>
      </c>
      <c r="BH217" s="245">
        <v>5</v>
      </c>
      <c r="BI217" s="245">
        <v>5</v>
      </c>
      <c r="BJ217" s="245">
        <v>5</v>
      </c>
      <c r="BK217" s="245" t="s">
        <v>326</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372</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326</v>
      </c>
      <c r="BB218" s="316"/>
      <c r="BC218" s="245" t="s">
        <v>385</v>
      </c>
      <c r="BD218" s="245">
        <v>5</v>
      </c>
      <c r="BE218" s="245">
        <v>5</v>
      </c>
      <c r="BF218" s="245">
        <v>5</v>
      </c>
      <c r="BG218" s="245">
        <v>5</v>
      </c>
      <c r="BH218" s="245">
        <v>5</v>
      </c>
      <c r="BI218" s="245">
        <v>5</v>
      </c>
      <c r="BJ218" s="245">
        <v>5</v>
      </c>
      <c r="BK218" s="245" t="s">
        <v>326</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373</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326</v>
      </c>
      <c r="BB219" s="316"/>
      <c r="BC219" s="245" t="s">
        <v>387</v>
      </c>
      <c r="BD219" s="245">
        <v>5</v>
      </c>
      <c r="BE219" s="245">
        <v>5</v>
      </c>
      <c r="BF219" s="245">
        <v>5</v>
      </c>
      <c r="BG219" s="245">
        <v>5</v>
      </c>
      <c r="BH219" s="245">
        <v>5</v>
      </c>
      <c r="BI219" s="245">
        <v>5</v>
      </c>
      <c r="BJ219" s="245">
        <v>5</v>
      </c>
      <c r="BK219" s="245" t="s">
        <v>326</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374</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326</v>
      </c>
      <c r="BB220" s="316"/>
      <c r="BC220" s="245" t="s">
        <v>388</v>
      </c>
      <c r="BD220" s="245">
        <v>5</v>
      </c>
      <c r="BE220" s="245">
        <v>5</v>
      </c>
      <c r="BF220" s="245">
        <v>5</v>
      </c>
      <c r="BG220" s="245">
        <v>5</v>
      </c>
      <c r="BH220" s="245">
        <v>5</v>
      </c>
      <c r="BI220" s="245">
        <v>5</v>
      </c>
      <c r="BJ220" s="245">
        <v>5</v>
      </c>
      <c r="BK220" s="245" t="s">
        <v>326</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375</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326</v>
      </c>
      <c r="BB221" s="316"/>
      <c r="BC221" s="245" t="s">
        <v>389</v>
      </c>
      <c r="BD221" s="245">
        <v>5</v>
      </c>
      <c r="BE221" s="245">
        <v>5</v>
      </c>
      <c r="BF221" s="245">
        <v>5</v>
      </c>
      <c r="BG221" s="245">
        <v>5</v>
      </c>
      <c r="BH221" s="245">
        <v>5</v>
      </c>
      <c r="BI221" s="245">
        <v>5</v>
      </c>
      <c r="BJ221" s="245">
        <v>5</v>
      </c>
      <c r="BK221" s="245" t="s">
        <v>326</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369</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326</v>
      </c>
      <c r="BB222" s="316"/>
      <c r="BC222" s="245" t="s">
        <v>390</v>
      </c>
      <c r="BD222" s="245">
        <v>5</v>
      </c>
      <c r="BE222" s="245">
        <v>5</v>
      </c>
      <c r="BF222" s="245">
        <v>5</v>
      </c>
      <c r="BG222" s="245">
        <v>5</v>
      </c>
      <c r="BH222" s="245">
        <v>5</v>
      </c>
      <c r="BI222" s="245">
        <v>5</v>
      </c>
      <c r="BJ222" s="245">
        <v>5</v>
      </c>
      <c r="BK222" s="245" t="s">
        <v>326</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370</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326</v>
      </c>
      <c r="BB223" s="316"/>
      <c r="BC223" s="245" t="s">
        <v>391</v>
      </c>
      <c r="BD223" s="245">
        <v>5</v>
      </c>
      <c r="BE223" s="245">
        <v>5</v>
      </c>
      <c r="BF223" s="245">
        <v>5</v>
      </c>
      <c r="BG223" s="245">
        <v>5</v>
      </c>
      <c r="BH223" s="245">
        <v>5</v>
      </c>
      <c r="BI223" s="245">
        <v>5</v>
      </c>
      <c r="BJ223" s="245">
        <v>5</v>
      </c>
      <c r="BK223" s="245" t="s">
        <v>326</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371</v>
      </c>
      <c r="AC224" s="245" t="s">
        <v>486</v>
      </c>
      <c r="AD224" s="325">
        <f t="shared" si="49"/>
        <v>4.89062</v>
      </c>
      <c r="AE224" s="269"/>
      <c r="AH224" s="251"/>
      <c r="AI224" s="271" t="s">
        <v>337</v>
      </c>
      <c r="AJ224" s="271" t="s">
        <v>339</v>
      </c>
      <c r="AK224" s="271" t="s">
        <v>341</v>
      </c>
      <c r="AL224" s="271" t="s">
        <v>350</v>
      </c>
      <c r="AM224" s="271" t="s">
        <v>352</v>
      </c>
      <c r="AN224" s="271" t="s">
        <v>355</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326</v>
      </c>
      <c r="BB224" s="316"/>
      <c r="BC224" s="245" t="s">
        <v>392</v>
      </c>
      <c r="BD224" s="245">
        <v>5</v>
      </c>
      <c r="BE224" s="245">
        <v>5</v>
      </c>
      <c r="BF224" s="245">
        <v>5</v>
      </c>
      <c r="BG224" s="245">
        <v>5</v>
      </c>
      <c r="BH224" s="245">
        <v>5</v>
      </c>
      <c r="BI224" s="245">
        <v>5</v>
      </c>
      <c r="BJ224" s="245">
        <v>5</v>
      </c>
      <c r="BK224" s="245" t="s">
        <v>326</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372</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326</v>
      </c>
      <c r="BB225" s="316"/>
      <c r="BC225" s="245" t="s">
        <v>393</v>
      </c>
      <c r="BD225" s="245">
        <v>5</v>
      </c>
      <c r="BE225" s="245">
        <v>5</v>
      </c>
      <c r="BF225" s="245">
        <v>5</v>
      </c>
      <c r="BG225" s="245">
        <v>5</v>
      </c>
      <c r="BH225" s="245">
        <v>5</v>
      </c>
      <c r="BI225" s="245">
        <v>5</v>
      </c>
      <c r="BJ225" s="245">
        <v>5</v>
      </c>
      <c r="BK225" s="245" t="s">
        <v>326</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373</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326</v>
      </c>
      <c r="BB226" s="316"/>
      <c r="BC226" s="245" t="s">
        <v>394</v>
      </c>
      <c r="BD226" s="245">
        <v>5</v>
      </c>
      <c r="BE226" s="245">
        <v>5</v>
      </c>
      <c r="BF226" s="245">
        <v>5</v>
      </c>
      <c r="BG226" s="245">
        <v>5</v>
      </c>
      <c r="BH226" s="245">
        <v>5</v>
      </c>
      <c r="BI226" s="245">
        <v>5</v>
      </c>
      <c r="BJ226" s="245">
        <v>5</v>
      </c>
      <c r="BK226" s="245" t="s">
        <v>326</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374</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326</v>
      </c>
      <c r="BB227" s="316"/>
      <c r="BC227" s="245" t="s">
        <v>395</v>
      </c>
      <c r="BD227" s="245">
        <v>5</v>
      </c>
      <c r="BE227" s="245">
        <v>5</v>
      </c>
      <c r="BF227" s="245">
        <v>5</v>
      </c>
      <c r="BG227" s="245">
        <v>5</v>
      </c>
      <c r="BH227" s="245">
        <v>5</v>
      </c>
      <c r="BI227" s="245">
        <v>5</v>
      </c>
      <c r="BJ227" s="245">
        <v>5</v>
      </c>
      <c r="BK227" s="245" t="s">
        <v>326</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375</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326</v>
      </c>
      <c r="BB228" s="316"/>
      <c r="BC228" s="245" t="s">
        <v>396</v>
      </c>
      <c r="BD228" s="245">
        <v>5</v>
      </c>
      <c r="BE228" s="245">
        <v>5</v>
      </c>
      <c r="BF228" s="245">
        <v>5</v>
      </c>
      <c r="BG228" s="245">
        <v>5</v>
      </c>
      <c r="BH228" s="245">
        <v>5</v>
      </c>
      <c r="BI228" s="245">
        <v>5</v>
      </c>
      <c r="BJ228" s="245">
        <v>5</v>
      </c>
      <c r="BK228" s="245" t="s">
        <v>326</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369</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326</v>
      </c>
      <c r="BB229" s="316"/>
      <c r="BC229" s="245" t="s">
        <v>397</v>
      </c>
      <c r="BD229" s="245">
        <v>5</v>
      </c>
      <c r="BE229" s="245">
        <v>5</v>
      </c>
      <c r="BF229" s="245">
        <v>5</v>
      </c>
      <c r="BG229" s="245">
        <v>5</v>
      </c>
      <c r="BH229" s="245">
        <v>5</v>
      </c>
      <c r="BI229" s="245">
        <v>5</v>
      </c>
      <c r="BJ229" s="245">
        <v>5</v>
      </c>
      <c r="BK229" s="245" t="s">
        <v>326</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370</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326</v>
      </c>
      <c r="BB230" s="326"/>
      <c r="BC230" s="304" t="s">
        <v>398</v>
      </c>
      <c r="BD230" s="245">
        <v>5</v>
      </c>
      <c r="BE230" s="245">
        <v>5</v>
      </c>
      <c r="BF230" s="245">
        <v>5</v>
      </c>
      <c r="BG230" s="245">
        <v>5</v>
      </c>
      <c r="BH230" s="245">
        <v>5</v>
      </c>
      <c r="BI230" s="245">
        <v>5</v>
      </c>
      <c r="BJ230" s="245">
        <v>5</v>
      </c>
      <c r="BK230" s="245" t="s">
        <v>326</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371</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326</v>
      </c>
      <c r="BB231" s="326"/>
      <c r="BC231" s="304" t="s">
        <v>399</v>
      </c>
      <c r="BD231" s="245">
        <v>5</v>
      </c>
      <c r="BE231" s="245">
        <v>5</v>
      </c>
      <c r="BF231" s="245">
        <v>5</v>
      </c>
      <c r="BG231" s="245">
        <v>5</v>
      </c>
      <c r="BH231" s="245">
        <v>5</v>
      </c>
      <c r="BI231" s="245">
        <v>5</v>
      </c>
      <c r="BJ231" s="245">
        <v>5</v>
      </c>
      <c r="BK231" s="245" t="s">
        <v>326</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372</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326</v>
      </c>
      <c r="BB232" s="326"/>
      <c r="BC232" s="304" t="s">
        <v>400</v>
      </c>
      <c r="BD232" s="245">
        <v>5</v>
      </c>
      <c r="BE232" s="245">
        <v>5</v>
      </c>
      <c r="BF232" s="245">
        <v>5</v>
      </c>
      <c r="BG232" s="245">
        <v>5</v>
      </c>
      <c r="BH232" s="245">
        <v>5</v>
      </c>
      <c r="BI232" s="245">
        <v>5</v>
      </c>
      <c r="BJ232" s="245">
        <v>5</v>
      </c>
      <c r="BK232" s="245" t="s">
        <v>326</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373</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326</v>
      </c>
      <c r="BB233" s="326"/>
      <c r="BC233" s="304" t="s">
        <v>401</v>
      </c>
      <c r="BD233" s="245">
        <v>5</v>
      </c>
      <c r="BE233" s="245">
        <v>5</v>
      </c>
      <c r="BF233" s="245">
        <v>5</v>
      </c>
      <c r="BG233" s="245">
        <v>5</v>
      </c>
      <c r="BH233" s="245">
        <v>5</v>
      </c>
      <c r="BI233" s="245">
        <v>5</v>
      </c>
      <c r="BJ233" s="245">
        <v>5</v>
      </c>
      <c r="BK233" s="245" t="s">
        <v>326</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374</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326</v>
      </c>
      <c r="BB234" s="326"/>
      <c r="BC234" s="304" t="s">
        <v>402</v>
      </c>
      <c r="BD234" s="245">
        <v>5</v>
      </c>
      <c r="BE234" s="245">
        <v>5</v>
      </c>
      <c r="BF234" s="245">
        <v>5</v>
      </c>
      <c r="BG234" s="245">
        <v>5</v>
      </c>
      <c r="BH234" s="245">
        <v>5</v>
      </c>
      <c r="BI234" s="245">
        <v>5</v>
      </c>
      <c r="BJ234" s="245">
        <v>5</v>
      </c>
      <c r="BK234" s="245" t="s">
        <v>326</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375</v>
      </c>
      <c r="AC235" s="320" t="s">
        <v>486</v>
      </c>
      <c r="AD235" s="328">
        <f t="shared" si="49"/>
        <v>4.7484</v>
      </c>
      <c r="AE235" s="269"/>
      <c r="AI235" s="271" t="s">
        <v>337</v>
      </c>
      <c r="AJ235" s="271" t="s">
        <v>339</v>
      </c>
      <c r="AK235" s="271" t="s">
        <v>341</v>
      </c>
      <c r="AL235" s="271" t="s">
        <v>350</v>
      </c>
      <c r="AM235" s="271" t="s">
        <v>352</v>
      </c>
      <c r="AN235" s="271" t="s">
        <v>355</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337</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339</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341</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350</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352</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355</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365</v>
      </c>
      <c r="AB130" s="219"/>
      <c r="AC130" s="219"/>
      <c r="AD130" s="219"/>
      <c r="AE130" s="219"/>
      <c r="AF130" s="219"/>
      <c r="AI130" s="219" t="s">
        <v>365</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368</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348</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337</v>
      </c>
      <c r="AJ224" s="271" t="s">
        <v>339</v>
      </c>
      <c r="AK224" s="271" t="s">
        <v>341</v>
      </c>
      <c r="AL224" s="271" t="s">
        <v>350</v>
      </c>
      <c r="AM224" s="271" t="s">
        <v>352</v>
      </c>
      <c r="AN224" s="271" t="s">
        <v>355</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337</v>
      </c>
      <c r="AJ235" s="271" t="s">
        <v>339</v>
      </c>
      <c r="AK235" s="271" t="s">
        <v>341</v>
      </c>
      <c r="AL235" s="271" t="s">
        <v>350</v>
      </c>
      <c r="AM235" s="271" t="s">
        <v>352</v>
      </c>
      <c r="AN235" s="271" t="s">
        <v>355</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1:AI33"/>
  <sheetViews>
    <sheetView tabSelected="1" zoomScale="45" zoomScaleNormal="45" workbookViewId="0">
      <selection activeCell="D43" sqref="D43"/>
    </sheetView>
  </sheetViews>
  <sheetFormatPr defaultColWidth="8.72727272727273" defaultRowHeight="14.5"/>
  <cols>
    <col min="1" max="1" width="59.7272727272727" customWidth="1"/>
    <col min="2" max="2" width="12.8181818181818"/>
    <col min="4" max="5" width="12.8181818181818"/>
    <col min="6" max="6" width="11.7272727272727"/>
    <col min="7" max="18" width="12.8181818181818"/>
    <col min="19" max="19" width="11.7272727272727"/>
    <col min="20" max="27" width="12.8181818181818"/>
    <col min="29" max="31" width="12.8181818181818"/>
  </cols>
  <sheetData>
    <row r="11" spans="1:35">
      <c r="A11" t="s">
        <v>751</v>
      </c>
    </row>
    <row r="12" spans="1:35">
      <c r="A12" t="s">
        <v>257</v>
      </c>
      <c r="B12" t="s">
        <v>752</v>
      </c>
      <c r="C12" t="s">
        <v>753</v>
      </c>
      <c r="D12" t="s">
        <v>754</v>
      </c>
      <c r="E12" t="s">
        <v>755</v>
      </c>
      <c r="F12" t="s">
        <v>756</v>
      </c>
      <c r="G12" t="s">
        <v>757</v>
      </c>
      <c r="H12" t="s">
        <v>758</v>
      </c>
      <c r="I12" t="s">
        <v>420</v>
      </c>
      <c r="J12" t="s">
        <v>759</v>
      </c>
      <c r="K12" t="s">
        <v>760</v>
      </c>
      <c r="L12" t="s">
        <v>761</v>
      </c>
      <c r="M12" t="s">
        <v>762</v>
      </c>
      <c r="N12" t="s">
        <v>763</v>
      </c>
      <c r="O12" t="s">
        <v>764</v>
      </c>
      <c r="P12" t="s">
        <v>765</v>
      </c>
      <c r="Q12" t="s">
        <v>766</v>
      </c>
      <c r="R12" t="s">
        <v>767</v>
      </c>
      <c r="S12" t="s">
        <v>768</v>
      </c>
      <c r="T12" t="s">
        <v>769</v>
      </c>
      <c r="U12" t="s">
        <v>770</v>
      </c>
      <c r="V12" t="s">
        <v>771</v>
      </c>
      <c r="W12" t="s">
        <v>421</v>
      </c>
      <c r="X12" t="s">
        <v>772</v>
      </c>
      <c r="Y12" t="s">
        <v>773</v>
      </c>
      <c r="Z12" t="s">
        <v>774</v>
      </c>
      <c r="AA12" t="s">
        <v>775</v>
      </c>
      <c r="AB12" t="s">
        <v>776</v>
      </c>
      <c r="AC12" t="s">
        <v>777</v>
      </c>
      <c r="AD12" t="s">
        <v>778</v>
      </c>
      <c r="AE12" t="s">
        <v>779</v>
      </c>
      <c r="AF12" t="s">
        <v>780</v>
      </c>
      <c r="AG12" t="s">
        <v>781</v>
      </c>
      <c r="AH12" t="s">
        <v>782</v>
      </c>
      <c r="AI12" t="s">
        <v>783</v>
      </c>
    </row>
    <row r="13" spans="1:35">
      <c r="A13" t="s">
        <v>297</v>
      </c>
      <c r="B13">
        <v>0</v>
      </c>
      <c r="C13">
        <v>24.7</v>
      </c>
      <c r="D13">
        <v>88</v>
      </c>
      <c r="E13">
        <v>0</v>
      </c>
      <c r="F13">
        <v>0</v>
      </c>
      <c r="G13">
        <v>0</v>
      </c>
      <c r="H13">
        <v>10</v>
      </c>
      <c r="I13">
        <v>41</v>
      </c>
      <c r="J13">
        <v>0</v>
      </c>
      <c r="K13">
        <v>0</v>
      </c>
      <c r="L13">
        <v>0</v>
      </c>
      <c r="M13">
        <v>0</v>
      </c>
      <c r="N13">
        <v>0</v>
      </c>
      <c r="O13">
        <v>0</v>
      </c>
      <c r="P13">
        <v>0</v>
      </c>
      <c r="Q13">
        <v>0</v>
      </c>
      <c r="R13">
        <v>0</v>
      </c>
      <c r="S13">
        <v>0</v>
      </c>
      <c r="T13">
        <v>0</v>
      </c>
      <c r="U13">
        <v>67</v>
      </c>
      <c r="V13">
        <v>0</v>
      </c>
      <c r="W13">
        <v>4.3</v>
      </c>
      <c r="X13">
        <v>0</v>
      </c>
      <c r="Y13">
        <v>0</v>
      </c>
      <c r="Z13">
        <v>4.6</v>
      </c>
      <c r="AA13">
        <v>0</v>
      </c>
      <c r="AB13">
        <v>0</v>
      </c>
      <c r="AC13">
        <v>0</v>
      </c>
      <c r="AD13">
        <v>0.4</v>
      </c>
      <c r="AE13">
        <v>0</v>
      </c>
      <c r="AF13">
        <v>0</v>
      </c>
      <c r="AG13">
        <v>0</v>
      </c>
      <c r="AH13">
        <v>0</v>
      </c>
      <c r="AI13">
        <v>0</v>
      </c>
    </row>
    <row r="14" spans="1:35">
      <c r="A14" t="s">
        <v>300</v>
      </c>
      <c r="B14">
        <v>0</v>
      </c>
      <c r="C14">
        <v>0</v>
      </c>
      <c r="D14">
        <v>110</v>
      </c>
      <c r="E14">
        <v>0</v>
      </c>
      <c r="F14">
        <v>0</v>
      </c>
      <c r="G14">
        <v>0</v>
      </c>
      <c r="H14">
        <v>77</v>
      </c>
      <c r="I14">
        <v>120</v>
      </c>
      <c r="J14">
        <v>0</v>
      </c>
      <c r="K14">
        <v>0</v>
      </c>
      <c r="L14">
        <v>0</v>
      </c>
      <c r="M14">
        <v>0</v>
      </c>
      <c r="N14">
        <v>0</v>
      </c>
      <c r="O14">
        <v>0</v>
      </c>
      <c r="P14">
        <v>0</v>
      </c>
      <c r="Q14">
        <v>0</v>
      </c>
      <c r="R14">
        <v>0</v>
      </c>
      <c r="S14">
        <v>0</v>
      </c>
      <c r="T14">
        <v>0</v>
      </c>
      <c r="U14">
        <v>0</v>
      </c>
      <c r="V14">
        <v>0</v>
      </c>
      <c r="W14">
        <v>198</v>
      </c>
      <c r="X14">
        <v>0</v>
      </c>
      <c r="Y14">
        <v>0</v>
      </c>
      <c r="Z14">
        <v>2985</v>
      </c>
      <c r="AA14">
        <v>210</v>
      </c>
      <c r="AB14">
        <v>0</v>
      </c>
      <c r="AC14">
        <v>0</v>
      </c>
      <c r="AD14">
        <v>0</v>
      </c>
      <c r="AE14">
        <v>0</v>
      </c>
      <c r="AF14">
        <v>0</v>
      </c>
      <c r="AG14">
        <v>0</v>
      </c>
      <c r="AH14">
        <v>0</v>
      </c>
      <c r="AI14">
        <v>0</v>
      </c>
    </row>
    <row r="15" spans="1:35">
      <c r="A15" t="s">
        <v>302</v>
      </c>
      <c r="B15">
        <v>0</v>
      </c>
      <c r="C15">
        <v>222.6</v>
      </c>
      <c r="D15">
        <v>3.6</v>
      </c>
      <c r="E15">
        <v>0</v>
      </c>
      <c r="F15">
        <v>0</v>
      </c>
      <c r="G15">
        <v>0</v>
      </c>
      <c r="H15">
        <v>0</v>
      </c>
      <c r="I15">
        <v>0</v>
      </c>
      <c r="J15">
        <v>0</v>
      </c>
      <c r="K15">
        <v>0</v>
      </c>
      <c r="L15">
        <v>0</v>
      </c>
      <c r="M15">
        <v>0</v>
      </c>
      <c r="N15">
        <v>0</v>
      </c>
      <c r="O15">
        <v>0</v>
      </c>
      <c r="P15">
        <v>0</v>
      </c>
      <c r="Q15">
        <v>0</v>
      </c>
      <c r="R15">
        <v>0</v>
      </c>
      <c r="S15">
        <v>0</v>
      </c>
      <c r="T15">
        <v>0</v>
      </c>
      <c r="U15">
        <v>3.5</v>
      </c>
      <c r="V15">
        <v>0</v>
      </c>
      <c r="W15">
        <v>4.8</v>
      </c>
      <c r="X15">
        <v>0</v>
      </c>
      <c r="Y15">
        <v>0</v>
      </c>
      <c r="Z15">
        <v>43.8</v>
      </c>
      <c r="AA15">
        <v>8.7</v>
      </c>
      <c r="AB15">
        <v>0</v>
      </c>
      <c r="AC15">
        <v>0</v>
      </c>
      <c r="AD15">
        <v>0</v>
      </c>
      <c r="AE15">
        <v>0</v>
      </c>
      <c r="AF15">
        <v>0</v>
      </c>
      <c r="AG15">
        <v>2.7</v>
      </c>
      <c r="AH15">
        <v>0</v>
      </c>
      <c r="AI15">
        <v>0</v>
      </c>
    </row>
    <row r="16" spans="1:35">
      <c r="A16" t="s">
        <v>305</v>
      </c>
      <c r="B16">
        <v>0</v>
      </c>
      <c r="C16">
        <v>5780</v>
      </c>
      <c r="D16">
        <v>2800</v>
      </c>
      <c r="E16">
        <v>0</v>
      </c>
      <c r="F16">
        <v>0</v>
      </c>
      <c r="G16">
        <v>0</v>
      </c>
      <c r="H16">
        <v>590</v>
      </c>
      <c r="I16">
        <v>770</v>
      </c>
      <c r="J16">
        <v>0</v>
      </c>
      <c r="K16">
        <v>0</v>
      </c>
      <c r="L16">
        <v>0</v>
      </c>
      <c r="M16">
        <v>0</v>
      </c>
      <c r="N16">
        <v>0</v>
      </c>
      <c r="O16">
        <v>0</v>
      </c>
      <c r="P16">
        <v>0</v>
      </c>
      <c r="Q16">
        <v>800</v>
      </c>
      <c r="R16">
        <v>0</v>
      </c>
      <c r="S16">
        <v>0</v>
      </c>
      <c r="T16">
        <v>0</v>
      </c>
      <c r="U16">
        <v>0</v>
      </c>
      <c r="V16">
        <v>0</v>
      </c>
      <c r="W16">
        <v>0</v>
      </c>
      <c r="X16">
        <v>0</v>
      </c>
      <c r="Y16">
        <v>0</v>
      </c>
      <c r="Z16">
        <v>2060</v>
      </c>
      <c r="AA16">
        <v>0</v>
      </c>
      <c r="AB16">
        <v>0</v>
      </c>
      <c r="AC16">
        <v>7400</v>
      </c>
      <c r="AD16">
        <v>0</v>
      </c>
      <c r="AE16">
        <v>0</v>
      </c>
      <c r="AF16">
        <v>0</v>
      </c>
      <c r="AG16">
        <v>0</v>
      </c>
      <c r="AH16">
        <v>0</v>
      </c>
      <c r="AI16">
        <v>0</v>
      </c>
    </row>
    <row r="17" spans="1:35">
      <c r="A17" t="s">
        <v>307</v>
      </c>
      <c r="B17">
        <v>0</v>
      </c>
      <c r="C17">
        <v>159</v>
      </c>
      <c r="D17">
        <v>9522</v>
      </c>
      <c r="E17">
        <v>0</v>
      </c>
      <c r="F17">
        <v>0</v>
      </c>
      <c r="G17">
        <v>0</v>
      </c>
      <c r="H17">
        <v>5819</v>
      </c>
      <c r="I17">
        <v>44436</v>
      </c>
      <c r="J17">
        <v>0</v>
      </c>
      <c r="K17">
        <v>0</v>
      </c>
      <c r="L17">
        <v>0</v>
      </c>
      <c r="M17">
        <v>508</v>
      </c>
      <c r="N17">
        <v>455</v>
      </c>
      <c r="O17">
        <v>0</v>
      </c>
      <c r="P17">
        <v>0</v>
      </c>
      <c r="Q17">
        <v>4020</v>
      </c>
      <c r="R17">
        <v>846</v>
      </c>
      <c r="S17">
        <v>0</v>
      </c>
      <c r="T17">
        <v>0</v>
      </c>
      <c r="U17">
        <v>0</v>
      </c>
      <c r="V17">
        <v>1270</v>
      </c>
      <c r="W17">
        <v>1175</v>
      </c>
      <c r="X17">
        <v>0</v>
      </c>
      <c r="Y17">
        <v>0</v>
      </c>
      <c r="Z17">
        <v>3015</v>
      </c>
      <c r="AA17">
        <v>1534</v>
      </c>
      <c r="AB17">
        <v>952</v>
      </c>
      <c r="AC17">
        <v>0</v>
      </c>
      <c r="AD17">
        <v>434</v>
      </c>
      <c r="AE17">
        <v>0</v>
      </c>
      <c r="AF17">
        <v>0</v>
      </c>
      <c r="AG17">
        <v>169</v>
      </c>
      <c r="AH17">
        <v>0</v>
      </c>
      <c r="AI17">
        <v>0</v>
      </c>
    </row>
    <row r="18" spans="1:35">
      <c r="A18" t="s">
        <v>309</v>
      </c>
      <c r="B18">
        <v>0</v>
      </c>
      <c r="C18">
        <v>3980</v>
      </c>
      <c r="D18">
        <v>800</v>
      </c>
      <c r="E18">
        <v>0</v>
      </c>
      <c r="F18">
        <v>0</v>
      </c>
      <c r="G18">
        <v>0</v>
      </c>
      <c r="H18">
        <v>0</v>
      </c>
      <c r="I18">
        <v>1800</v>
      </c>
      <c r="J18">
        <v>0</v>
      </c>
      <c r="K18">
        <v>0</v>
      </c>
      <c r="L18">
        <v>0</v>
      </c>
      <c r="M18">
        <v>0</v>
      </c>
      <c r="N18">
        <v>0</v>
      </c>
      <c r="O18">
        <v>0</v>
      </c>
      <c r="P18">
        <v>0</v>
      </c>
      <c r="Q18">
        <v>30</v>
      </c>
      <c r="R18">
        <v>0</v>
      </c>
      <c r="S18">
        <v>0</v>
      </c>
      <c r="T18">
        <v>0</v>
      </c>
      <c r="U18">
        <v>7900</v>
      </c>
      <c r="V18">
        <v>0</v>
      </c>
      <c r="W18">
        <v>2250</v>
      </c>
      <c r="X18">
        <v>0</v>
      </c>
      <c r="Y18">
        <v>410</v>
      </c>
      <c r="Z18">
        <v>4700</v>
      </c>
      <c r="AA18">
        <v>930</v>
      </c>
      <c r="AB18">
        <v>0</v>
      </c>
      <c r="AC18">
        <v>0</v>
      </c>
      <c r="AD18">
        <v>0</v>
      </c>
      <c r="AE18">
        <v>0</v>
      </c>
      <c r="AF18">
        <v>0</v>
      </c>
      <c r="AG18">
        <v>0</v>
      </c>
      <c r="AH18">
        <v>0</v>
      </c>
      <c r="AI18">
        <v>0</v>
      </c>
    </row>
    <row r="19" spans="1:35">
      <c r="A19" t="s">
        <v>311</v>
      </c>
      <c r="B19">
        <v>0</v>
      </c>
      <c r="C19">
        <v>189</v>
      </c>
      <c r="D19">
        <v>0</v>
      </c>
      <c r="E19">
        <v>0.5</v>
      </c>
      <c r="F19">
        <v>0</v>
      </c>
      <c r="G19">
        <v>0</v>
      </c>
      <c r="H19">
        <v>68</v>
      </c>
      <c r="I19">
        <v>1270</v>
      </c>
      <c r="J19">
        <v>0</v>
      </c>
      <c r="K19">
        <v>0</v>
      </c>
      <c r="L19">
        <v>0</v>
      </c>
      <c r="M19">
        <v>0.2</v>
      </c>
      <c r="N19">
        <v>0</v>
      </c>
      <c r="O19">
        <v>0</v>
      </c>
      <c r="P19">
        <v>0</v>
      </c>
      <c r="Q19">
        <v>28</v>
      </c>
      <c r="R19">
        <v>0</v>
      </c>
      <c r="S19">
        <v>0</v>
      </c>
      <c r="T19">
        <v>0</v>
      </c>
      <c r="U19">
        <v>0</v>
      </c>
      <c r="V19">
        <v>0</v>
      </c>
      <c r="W19">
        <v>20.9</v>
      </c>
      <c r="X19">
        <v>7</v>
      </c>
      <c r="Y19">
        <v>0</v>
      </c>
      <c r="Z19">
        <v>22.9</v>
      </c>
      <c r="AA19">
        <v>20</v>
      </c>
      <c r="AB19">
        <v>0</v>
      </c>
      <c r="AC19">
        <v>0</v>
      </c>
      <c r="AD19">
        <v>0</v>
      </c>
      <c r="AE19">
        <v>0</v>
      </c>
      <c r="AF19">
        <v>0</v>
      </c>
      <c r="AG19">
        <v>3</v>
      </c>
      <c r="AH19">
        <v>0</v>
      </c>
      <c r="AI19">
        <v>1.2</v>
      </c>
    </row>
    <row r="20" spans="1:35">
      <c r="A20" t="s">
        <v>178</v>
      </c>
      <c r="B20">
        <v>2.70047156845812</v>
      </c>
      <c r="C20">
        <v>0</v>
      </c>
      <c r="D20">
        <v>3.03412561201197</v>
      </c>
      <c r="E20">
        <v>0.476962737941833</v>
      </c>
      <c r="F20">
        <v>0.00409064974235645</v>
      </c>
      <c r="G20">
        <v>4.6301135077302</v>
      </c>
      <c r="H20">
        <v>1.90663375437732</v>
      </c>
      <c r="I20">
        <v>167.552498082159</v>
      </c>
      <c r="J20">
        <v>0.579445415374862</v>
      </c>
      <c r="K20">
        <v>2.64382085354907</v>
      </c>
      <c r="L20">
        <v>11.2538795555429</v>
      </c>
      <c r="M20">
        <v>6.6423572524105</v>
      </c>
      <c r="N20">
        <v>0.224780310033883</v>
      </c>
      <c r="O20">
        <v>3.0175573987723</v>
      </c>
      <c r="P20">
        <v>0.0840570283394965</v>
      </c>
      <c r="Q20">
        <v>22.6664174429379</v>
      </c>
      <c r="R20">
        <v>0.024654019511857</v>
      </c>
      <c r="S20">
        <v>7.09546051638262</v>
      </c>
      <c r="T20">
        <v>22.1794832455743</v>
      </c>
      <c r="U20">
        <v>1.8551035254334</v>
      </c>
      <c r="V20">
        <v>0.147291672799524</v>
      </c>
      <c r="W20">
        <v>10.7367486821926</v>
      </c>
      <c r="X20">
        <v>2.32906895797145</v>
      </c>
      <c r="Y20">
        <v>4.03549622432517</v>
      </c>
      <c r="Z20">
        <v>16.6333708524932</v>
      </c>
      <c r="AA20">
        <v>66.0476618761158</v>
      </c>
      <c r="AB20">
        <v>0</v>
      </c>
      <c r="AC20">
        <v>3.17356159859707</v>
      </c>
      <c r="AD20">
        <v>7.830330737292</v>
      </c>
      <c r="AE20">
        <v>5.264142175387</v>
      </c>
      <c r="AF20">
        <v>0</v>
      </c>
      <c r="AG20">
        <v>0</v>
      </c>
      <c r="AH20">
        <v>0</v>
      </c>
      <c r="AI20">
        <v>0</v>
      </c>
    </row>
    <row r="21" spans="1:35">
      <c r="A21" t="s">
        <v>183</v>
      </c>
      <c r="B21">
        <v>1.62028294107487</v>
      </c>
      <c r="C21">
        <v>0</v>
      </c>
      <c r="D21">
        <v>1.82047536720718</v>
      </c>
      <c r="E21">
        <v>0.286177642765099</v>
      </c>
      <c r="F21">
        <v>0.00245438984541387</v>
      </c>
      <c r="G21">
        <v>2.77806810463812</v>
      </c>
      <c r="H21">
        <v>1.14398025262639</v>
      </c>
      <c r="I21">
        <v>100.531498849296</v>
      </c>
      <c r="J21">
        <v>0.347667249224917</v>
      </c>
      <c r="K21">
        <v>1.58629251212944</v>
      </c>
      <c r="L21">
        <v>6.75232773332572</v>
      </c>
      <c r="M21">
        <v>3.9854143514463</v>
      </c>
      <c r="N21">
        <v>0.13486818602033</v>
      </c>
      <c r="O21">
        <v>1.81053443926338</v>
      </c>
      <c r="P21">
        <v>0.0504342170036979</v>
      </c>
      <c r="Q21">
        <v>13.5998504657627</v>
      </c>
      <c r="R21">
        <v>0.0147924117071142</v>
      </c>
      <c r="S21">
        <v>4.25727630982957</v>
      </c>
      <c r="T21">
        <v>13.3076899473446</v>
      </c>
      <c r="U21">
        <v>1.11306211526004</v>
      </c>
      <c r="V21">
        <v>0.0883750036797145</v>
      </c>
      <c r="W21">
        <v>6.44204920931559</v>
      </c>
      <c r="X21">
        <v>1.39744137478287</v>
      </c>
      <c r="Y21">
        <v>2.4212977345951</v>
      </c>
      <c r="Z21">
        <v>9.98002251149592</v>
      </c>
      <c r="AA21">
        <v>39.6285971256695</v>
      </c>
      <c r="AB21">
        <v>0</v>
      </c>
      <c r="AC21">
        <v>1.90413695915824</v>
      </c>
      <c r="AD21">
        <v>4.6981984423752</v>
      </c>
      <c r="AE21">
        <v>3.1584853052322</v>
      </c>
      <c r="AF21">
        <v>0</v>
      </c>
      <c r="AG21">
        <v>0</v>
      </c>
      <c r="AH21">
        <v>0</v>
      </c>
      <c r="AI21">
        <v>0</v>
      </c>
    </row>
    <row r="22" spans="1:35">
      <c r="A22" t="s">
        <v>184</v>
      </c>
      <c r="B22">
        <v>1.62028294107487</v>
      </c>
      <c r="C22">
        <v>0</v>
      </c>
      <c r="D22">
        <v>1.82047536720718</v>
      </c>
      <c r="E22">
        <v>0.286177642765099</v>
      </c>
      <c r="F22">
        <v>0.00245438984541387</v>
      </c>
      <c r="G22">
        <v>2.77806810463812</v>
      </c>
      <c r="H22">
        <v>1.14398025262639</v>
      </c>
      <c r="I22">
        <v>100.531498849296</v>
      </c>
      <c r="J22">
        <v>0.347667249224917</v>
      </c>
      <c r="K22">
        <v>1.58629251212944</v>
      </c>
      <c r="L22">
        <v>6.75232773332572</v>
      </c>
      <c r="M22">
        <v>3.9854143514463</v>
      </c>
      <c r="N22">
        <v>0.13486818602033</v>
      </c>
      <c r="O22">
        <v>1.81053443926338</v>
      </c>
      <c r="P22">
        <v>0.0504342170036979</v>
      </c>
      <c r="Q22">
        <v>13.5998504657627</v>
      </c>
      <c r="R22">
        <v>0.0147924117071142</v>
      </c>
      <c r="S22">
        <v>4.25727630982957</v>
      </c>
      <c r="T22">
        <v>13.3076899473446</v>
      </c>
      <c r="U22">
        <v>1.11306211526004</v>
      </c>
      <c r="V22">
        <v>0.0883750036797145</v>
      </c>
      <c r="W22">
        <v>6.44204920931559</v>
      </c>
      <c r="X22">
        <v>1.39744137478287</v>
      </c>
      <c r="Y22">
        <v>2.4212977345951</v>
      </c>
      <c r="Z22">
        <v>9.98002251149592</v>
      </c>
      <c r="AA22">
        <v>39.6285971256695</v>
      </c>
      <c r="AB22">
        <v>0</v>
      </c>
      <c r="AC22">
        <v>1.90413695915824</v>
      </c>
      <c r="AD22">
        <v>4.6981984423752</v>
      </c>
      <c r="AE22">
        <v>3.1584853052322</v>
      </c>
      <c r="AF22">
        <v>0</v>
      </c>
      <c r="AG22">
        <v>0</v>
      </c>
      <c r="AH22">
        <v>0</v>
      </c>
      <c r="AI22">
        <v>0</v>
      </c>
    </row>
    <row r="23" spans="1:35">
      <c r="A23" t="s">
        <v>182</v>
      </c>
      <c r="B23">
        <v>1.62028294107487</v>
      </c>
      <c r="C23">
        <v>0</v>
      </c>
      <c r="D23">
        <v>1.82047536720718</v>
      </c>
      <c r="E23">
        <v>0.286177642765099</v>
      </c>
      <c r="F23">
        <v>0.00245438984541387</v>
      </c>
      <c r="G23">
        <v>2.77806810463812</v>
      </c>
      <c r="H23">
        <v>1.14398025262639</v>
      </c>
      <c r="I23">
        <v>100.531498849296</v>
      </c>
      <c r="J23">
        <v>0.347667249224917</v>
      </c>
      <c r="K23">
        <v>1.58629251212944</v>
      </c>
      <c r="L23">
        <v>6.75232773332572</v>
      </c>
      <c r="M23">
        <v>3.9854143514463</v>
      </c>
      <c r="N23">
        <v>0.13486818602033</v>
      </c>
      <c r="O23">
        <v>1.81053443926338</v>
      </c>
      <c r="P23">
        <v>0.0504342170036979</v>
      </c>
      <c r="Q23">
        <v>13.5998504657627</v>
      </c>
      <c r="R23">
        <v>0.0147924117071142</v>
      </c>
      <c r="S23">
        <v>4.25727630982957</v>
      </c>
      <c r="T23">
        <v>13.3076899473446</v>
      </c>
      <c r="U23">
        <v>1.11306211526004</v>
      </c>
      <c r="V23">
        <v>0.0883750036797145</v>
      </c>
      <c r="W23">
        <v>6.44204920931559</v>
      </c>
      <c r="X23">
        <v>1.39744137478287</v>
      </c>
      <c r="Y23">
        <v>2.4212977345951</v>
      </c>
      <c r="Z23">
        <v>9.98002251149592</v>
      </c>
      <c r="AA23">
        <v>39.6285971256695</v>
      </c>
      <c r="AB23">
        <v>0</v>
      </c>
      <c r="AC23">
        <v>1.90413695915824</v>
      </c>
      <c r="AD23">
        <v>4.6981984423752</v>
      </c>
      <c r="AE23">
        <v>3.1584853052322</v>
      </c>
      <c r="AF23">
        <v>0</v>
      </c>
      <c r="AG23">
        <v>0</v>
      </c>
      <c r="AH23">
        <v>0</v>
      </c>
      <c r="AI23">
        <v>0</v>
      </c>
    </row>
    <row r="24" spans="1:35">
      <c r="A24" t="s">
        <v>180</v>
      </c>
      <c r="B24">
        <v>1.62028294107487</v>
      </c>
      <c r="C24">
        <v>0</v>
      </c>
      <c r="D24">
        <v>1.82047536720718</v>
      </c>
      <c r="E24">
        <v>0.286177642765099</v>
      </c>
      <c r="F24">
        <v>0.00245438984541387</v>
      </c>
      <c r="G24">
        <v>2.77806810463812</v>
      </c>
      <c r="H24">
        <v>1.14398025262639</v>
      </c>
      <c r="I24">
        <v>100.531498849296</v>
      </c>
      <c r="J24">
        <v>0.347667249224917</v>
      </c>
      <c r="K24">
        <v>1.58629251212944</v>
      </c>
      <c r="L24">
        <v>6.75232773332572</v>
      </c>
      <c r="M24">
        <v>3.9854143514463</v>
      </c>
      <c r="N24">
        <v>0.13486818602033</v>
      </c>
      <c r="O24">
        <v>1.81053443926338</v>
      </c>
      <c r="P24">
        <v>0.0504342170036979</v>
      </c>
      <c r="Q24">
        <v>13.5998504657627</v>
      </c>
      <c r="R24">
        <v>0.0147924117071142</v>
      </c>
      <c r="S24">
        <v>4.25727630982957</v>
      </c>
      <c r="T24">
        <v>13.3076899473446</v>
      </c>
      <c r="U24">
        <v>1.11306211526004</v>
      </c>
      <c r="V24">
        <v>0.0883750036797145</v>
      </c>
      <c r="W24">
        <v>6.44204920931559</v>
      </c>
      <c r="X24">
        <v>1.39744137478287</v>
      </c>
      <c r="Y24">
        <v>2.4212977345951</v>
      </c>
      <c r="Z24">
        <v>9.98002251149592</v>
      </c>
      <c r="AA24">
        <v>39.6285971256695</v>
      </c>
      <c r="AB24">
        <v>0</v>
      </c>
      <c r="AC24">
        <v>1.90413695915824</v>
      </c>
      <c r="AD24">
        <v>4.6981984423752</v>
      </c>
      <c r="AE24">
        <v>3.1584853052322</v>
      </c>
      <c r="AF24">
        <v>0</v>
      </c>
      <c r="AG24">
        <v>0</v>
      </c>
      <c r="AH24">
        <v>0</v>
      </c>
      <c r="AI24">
        <v>0</v>
      </c>
    </row>
    <row r="25" spans="1:35">
      <c r="A25" t="s">
        <v>179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row>
    <row r="26" spans="1:35">
      <c r="A26" t="s">
        <v>181</v>
      </c>
      <c r="B26">
        <v>1.62028294107487</v>
      </c>
      <c r="C26">
        <v>0</v>
      </c>
      <c r="D26">
        <v>1.82047536720718</v>
      </c>
      <c r="E26">
        <v>0.286177642765099</v>
      </c>
      <c r="F26">
        <v>0.00245438984541387</v>
      </c>
      <c r="G26">
        <v>2.77806810463812</v>
      </c>
      <c r="H26">
        <v>1.14398025262639</v>
      </c>
      <c r="I26">
        <v>100.531498849296</v>
      </c>
      <c r="J26">
        <v>0.347667249224917</v>
      </c>
      <c r="K26">
        <v>1.58629251212944</v>
      </c>
      <c r="L26">
        <v>6.75232773332572</v>
      </c>
      <c r="M26">
        <v>3.9854143514463</v>
      </c>
      <c r="N26">
        <v>0.13486818602033</v>
      </c>
      <c r="O26">
        <v>1.81053443926338</v>
      </c>
      <c r="P26">
        <v>0.0504342170036979</v>
      </c>
      <c r="Q26">
        <v>13.5998504657627</v>
      </c>
      <c r="R26">
        <v>0.0147924117071142</v>
      </c>
      <c r="S26">
        <v>4.25727630982957</v>
      </c>
      <c r="T26">
        <v>13.3076899473446</v>
      </c>
      <c r="U26">
        <v>1.11306211526004</v>
      </c>
      <c r="V26">
        <v>0.0883750036797145</v>
      </c>
      <c r="W26">
        <v>6.44204920931559</v>
      </c>
      <c r="X26">
        <v>1.39744137478287</v>
      </c>
      <c r="Y26">
        <v>2.4212977345951</v>
      </c>
      <c r="Z26">
        <v>9.98002251149592</v>
      </c>
      <c r="AA26">
        <v>39.6285971256695</v>
      </c>
      <c r="AB26">
        <v>0</v>
      </c>
      <c r="AC26">
        <v>1.90413695915824</v>
      </c>
      <c r="AD26">
        <v>4.6981984423752</v>
      </c>
      <c r="AE26">
        <v>3.1584853052322</v>
      </c>
      <c r="AF26">
        <v>0</v>
      </c>
      <c r="AG26">
        <v>0</v>
      </c>
      <c r="AH26">
        <v>0</v>
      </c>
      <c r="AI26">
        <v>0</v>
      </c>
    </row>
    <row r="27" spans="1:35">
      <c r="A27" t="s">
        <v>321</v>
      </c>
      <c r="B27">
        <v>2.70047156845812</v>
      </c>
      <c r="C27">
        <v>0</v>
      </c>
      <c r="D27">
        <v>3.03412561201197</v>
      </c>
      <c r="E27">
        <v>0.476962737941833</v>
      </c>
      <c r="F27">
        <v>0.00409064974235645</v>
      </c>
      <c r="G27">
        <v>4.6301135077302</v>
      </c>
      <c r="H27">
        <v>1.90663375437732</v>
      </c>
      <c r="I27">
        <v>167.552498082159</v>
      </c>
      <c r="J27">
        <v>0.579445415374862</v>
      </c>
      <c r="K27">
        <v>2.64382085354907</v>
      </c>
      <c r="L27">
        <v>11.2538795555429</v>
      </c>
      <c r="M27">
        <v>6.6423572524105</v>
      </c>
      <c r="N27">
        <v>0.224780310033883</v>
      </c>
      <c r="O27">
        <v>3.0175573987723</v>
      </c>
      <c r="P27">
        <v>0.0840570283394965</v>
      </c>
      <c r="Q27">
        <v>22.6664174429379</v>
      </c>
      <c r="R27">
        <v>0.024654019511857</v>
      </c>
      <c r="S27">
        <v>7.09546051638262</v>
      </c>
      <c r="T27">
        <v>22.1794832455743</v>
      </c>
      <c r="U27">
        <v>1.8551035254334</v>
      </c>
      <c r="V27">
        <v>0.147291672799524</v>
      </c>
      <c r="W27">
        <v>10.7367486821926</v>
      </c>
      <c r="X27">
        <v>2.32906895797145</v>
      </c>
      <c r="Y27">
        <v>4.03549622432517</v>
      </c>
      <c r="Z27">
        <v>16.6333708524932</v>
      </c>
      <c r="AA27">
        <v>66.0476618761158</v>
      </c>
      <c r="AB27">
        <v>0</v>
      </c>
      <c r="AC27">
        <v>3.17356159859707</v>
      </c>
      <c r="AD27">
        <v>7.830330737292</v>
      </c>
      <c r="AE27">
        <v>5.264142175387</v>
      </c>
      <c r="AF27">
        <v>0</v>
      </c>
      <c r="AG27">
        <v>0</v>
      </c>
      <c r="AH27">
        <v>0</v>
      </c>
      <c r="AI27">
        <v>0</v>
      </c>
    </row>
    <row r="28" spans="1:35">
      <c r="A28" t="s">
        <v>333</v>
      </c>
      <c r="B28">
        <v>1.62028294107487</v>
      </c>
      <c r="C28">
        <v>0</v>
      </c>
      <c r="D28">
        <v>1.82047536720718</v>
      </c>
      <c r="E28">
        <v>0.286177642765099</v>
      </c>
      <c r="F28">
        <v>0.00245438984541387</v>
      </c>
      <c r="G28">
        <v>2.77806810463812</v>
      </c>
      <c r="H28">
        <v>1.14398025262639</v>
      </c>
      <c r="I28">
        <v>100.531498849296</v>
      </c>
      <c r="J28">
        <v>0.347667249224917</v>
      </c>
      <c r="K28">
        <v>1.58629251212944</v>
      </c>
      <c r="L28">
        <v>6.75232773332572</v>
      </c>
      <c r="M28">
        <v>3.9854143514463</v>
      </c>
      <c r="N28">
        <v>0.13486818602033</v>
      </c>
      <c r="O28">
        <v>1.81053443926338</v>
      </c>
      <c r="P28">
        <v>0.0504342170036979</v>
      </c>
      <c r="Q28">
        <v>13.5998504657627</v>
      </c>
      <c r="R28">
        <v>0.0147924117071142</v>
      </c>
      <c r="S28">
        <v>4.25727630982957</v>
      </c>
      <c r="T28">
        <v>13.3076899473446</v>
      </c>
      <c r="U28">
        <v>1.11306211526004</v>
      </c>
      <c r="V28">
        <v>0.0883750036797145</v>
      </c>
      <c r="W28">
        <v>6.44204920931559</v>
      </c>
      <c r="X28">
        <v>1.39744137478287</v>
      </c>
      <c r="Y28">
        <v>2.4212977345951</v>
      </c>
      <c r="Z28">
        <v>9.98002251149592</v>
      </c>
      <c r="AA28">
        <v>39.6285971256695</v>
      </c>
      <c r="AB28">
        <v>0</v>
      </c>
      <c r="AC28">
        <v>1.90413695915824</v>
      </c>
      <c r="AD28">
        <v>4.6981984423752</v>
      </c>
      <c r="AE28">
        <v>3.1584853052322</v>
      </c>
      <c r="AF28">
        <v>0</v>
      </c>
      <c r="AG28">
        <v>0</v>
      </c>
      <c r="AH28">
        <v>0</v>
      </c>
      <c r="AI28">
        <v>0</v>
      </c>
    </row>
    <row r="29" spans="1:35">
      <c r="A29" t="s">
        <v>334</v>
      </c>
      <c r="B29">
        <v>1.62028294107487</v>
      </c>
      <c r="C29">
        <v>0</v>
      </c>
      <c r="D29">
        <v>1.82047536720718</v>
      </c>
      <c r="E29">
        <v>0.286177642765099</v>
      </c>
      <c r="F29">
        <v>0.00245438984541387</v>
      </c>
      <c r="G29">
        <v>2.77806810463812</v>
      </c>
      <c r="H29">
        <v>1.14398025262639</v>
      </c>
      <c r="I29">
        <v>100.531498849296</v>
      </c>
      <c r="J29">
        <v>0.347667249224917</v>
      </c>
      <c r="K29">
        <v>1.58629251212944</v>
      </c>
      <c r="L29">
        <v>6.75232773332572</v>
      </c>
      <c r="M29">
        <v>3.9854143514463</v>
      </c>
      <c r="N29">
        <v>0.13486818602033</v>
      </c>
      <c r="O29">
        <v>1.81053443926338</v>
      </c>
      <c r="P29">
        <v>0.0504342170036979</v>
      </c>
      <c r="Q29">
        <v>13.5998504657627</v>
      </c>
      <c r="R29">
        <v>0.0147924117071142</v>
      </c>
      <c r="S29">
        <v>4.25727630982957</v>
      </c>
      <c r="T29">
        <v>13.3076899473446</v>
      </c>
      <c r="U29">
        <v>1.11306211526004</v>
      </c>
      <c r="V29">
        <v>0.0883750036797145</v>
      </c>
      <c r="W29">
        <v>6.44204920931559</v>
      </c>
      <c r="X29">
        <v>1.39744137478287</v>
      </c>
      <c r="Y29">
        <v>2.4212977345951</v>
      </c>
      <c r="Z29">
        <v>9.98002251149592</v>
      </c>
      <c r="AA29">
        <v>39.6285971256695</v>
      </c>
      <c r="AB29">
        <v>0</v>
      </c>
      <c r="AC29">
        <v>1.90413695915824</v>
      </c>
      <c r="AD29">
        <v>4.6981984423752</v>
      </c>
      <c r="AE29">
        <v>3.1584853052322</v>
      </c>
      <c r="AF29">
        <v>0</v>
      </c>
      <c r="AG29">
        <v>0</v>
      </c>
      <c r="AH29">
        <v>0</v>
      </c>
      <c r="AI29">
        <v>0</v>
      </c>
    </row>
    <row r="30" spans="1:35">
      <c r="A30" t="s">
        <v>784</v>
      </c>
      <c r="B30">
        <v>1.62028294107487</v>
      </c>
      <c r="C30">
        <v>0</v>
      </c>
      <c r="D30">
        <v>1.82047536720718</v>
      </c>
      <c r="E30">
        <v>0.286177642765099</v>
      </c>
      <c r="F30">
        <v>0.00245438984541387</v>
      </c>
      <c r="G30">
        <v>2.77806810463812</v>
      </c>
      <c r="H30">
        <v>1.14398025262639</v>
      </c>
      <c r="I30">
        <v>100.531498849296</v>
      </c>
      <c r="J30">
        <v>0.347667249224917</v>
      </c>
      <c r="K30">
        <v>1.58629251212944</v>
      </c>
      <c r="L30">
        <v>6.75232773332572</v>
      </c>
      <c r="M30">
        <v>3.9854143514463</v>
      </c>
      <c r="N30">
        <v>0.13486818602033</v>
      </c>
      <c r="O30">
        <v>1.81053443926338</v>
      </c>
      <c r="P30">
        <v>0.0504342170036979</v>
      </c>
      <c r="Q30">
        <v>13.5998504657627</v>
      </c>
      <c r="R30">
        <v>0.0147924117071142</v>
      </c>
      <c r="S30">
        <v>4.25727630982957</v>
      </c>
      <c r="T30">
        <v>13.3076899473446</v>
      </c>
      <c r="U30">
        <v>1.11306211526004</v>
      </c>
      <c r="V30">
        <v>0.0883750036797145</v>
      </c>
      <c r="W30">
        <v>6.44204920931559</v>
      </c>
      <c r="X30">
        <v>1.39744137478287</v>
      </c>
      <c r="Y30">
        <v>2.4212977345951</v>
      </c>
      <c r="Z30">
        <v>9.98002251149592</v>
      </c>
      <c r="AA30">
        <v>39.6285971256695</v>
      </c>
      <c r="AB30">
        <v>0</v>
      </c>
      <c r="AC30">
        <v>1.90413695915824</v>
      </c>
      <c r="AD30">
        <v>4.6981984423752</v>
      </c>
      <c r="AE30">
        <v>3.1584853052322</v>
      </c>
      <c r="AF30">
        <v>0</v>
      </c>
      <c r="AG30">
        <v>0</v>
      </c>
      <c r="AH30">
        <v>0</v>
      </c>
      <c r="AI30">
        <v>0</v>
      </c>
    </row>
    <row r="31" spans="1:35">
      <c r="A31" t="s">
        <v>328</v>
      </c>
      <c r="B31">
        <v>1.62028294107487</v>
      </c>
      <c r="C31">
        <v>0</v>
      </c>
      <c r="D31">
        <v>1.82047536720718</v>
      </c>
      <c r="E31">
        <v>0.286177642765099</v>
      </c>
      <c r="F31">
        <v>0.00245438984541387</v>
      </c>
      <c r="G31">
        <v>2.77806810463812</v>
      </c>
      <c r="H31">
        <v>1.14398025262639</v>
      </c>
      <c r="I31">
        <v>100.531498849296</v>
      </c>
      <c r="J31">
        <v>0.347667249224917</v>
      </c>
      <c r="K31">
        <v>1.58629251212944</v>
      </c>
      <c r="L31">
        <v>6.75232773332572</v>
      </c>
      <c r="M31">
        <v>3.9854143514463</v>
      </c>
      <c r="N31">
        <v>0.13486818602033</v>
      </c>
      <c r="O31">
        <v>1.81053443926338</v>
      </c>
      <c r="P31">
        <v>0.0504342170036979</v>
      </c>
      <c r="Q31">
        <v>13.5998504657627</v>
      </c>
      <c r="R31">
        <v>0.0147924117071142</v>
      </c>
      <c r="S31">
        <v>4.25727630982957</v>
      </c>
      <c r="T31">
        <v>13.3076899473446</v>
      </c>
      <c r="U31">
        <v>1.11306211526004</v>
      </c>
      <c r="V31">
        <v>0.0883750036797145</v>
      </c>
      <c r="W31">
        <v>6.44204920931559</v>
      </c>
      <c r="X31">
        <v>1.39744137478287</v>
      </c>
      <c r="Y31">
        <v>2.4212977345951</v>
      </c>
      <c r="Z31">
        <v>9.98002251149592</v>
      </c>
      <c r="AA31">
        <v>39.6285971256695</v>
      </c>
      <c r="AB31">
        <v>0</v>
      </c>
      <c r="AC31">
        <v>1.90413695915824</v>
      </c>
      <c r="AD31">
        <v>4.6981984423752</v>
      </c>
      <c r="AE31">
        <v>3.1584853052322</v>
      </c>
      <c r="AF31">
        <v>0</v>
      </c>
      <c r="AG31">
        <v>0</v>
      </c>
      <c r="AH31">
        <v>0</v>
      </c>
      <c r="AI31">
        <v>0</v>
      </c>
    </row>
    <row r="32" spans="1:35">
      <c r="A32" t="s">
        <v>785</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row>
    <row r="33" spans="1:35">
      <c r="A33" t="s">
        <v>330</v>
      </c>
      <c r="B33">
        <v>1.62028294107487</v>
      </c>
      <c r="C33">
        <v>0</v>
      </c>
      <c r="D33">
        <v>1.82047536720718</v>
      </c>
      <c r="E33">
        <v>0.286177642765099</v>
      </c>
      <c r="F33">
        <v>0.00245438984541387</v>
      </c>
      <c r="G33">
        <v>2.77806810463812</v>
      </c>
      <c r="H33">
        <v>1.14398025262639</v>
      </c>
      <c r="I33">
        <v>100.531498849296</v>
      </c>
      <c r="J33">
        <v>0.347667249224917</v>
      </c>
      <c r="K33">
        <v>1.58629251212944</v>
      </c>
      <c r="L33">
        <v>6.75232773332572</v>
      </c>
      <c r="M33">
        <v>3.9854143514463</v>
      </c>
      <c r="N33">
        <v>0.13486818602033</v>
      </c>
      <c r="O33">
        <v>1.81053443926338</v>
      </c>
      <c r="P33">
        <v>0.0504342170036979</v>
      </c>
      <c r="Q33">
        <v>13.5998504657627</v>
      </c>
      <c r="R33">
        <v>0.0147924117071142</v>
      </c>
      <c r="S33">
        <v>4.25727630982957</v>
      </c>
      <c r="T33">
        <v>13.3076899473446</v>
      </c>
      <c r="U33">
        <v>1.11306211526004</v>
      </c>
      <c r="V33">
        <v>0.0883750036797145</v>
      </c>
      <c r="W33">
        <v>6.44204920931559</v>
      </c>
      <c r="X33">
        <v>1.39744137478287</v>
      </c>
      <c r="Y33">
        <v>2.4212977345951</v>
      </c>
      <c r="Z33">
        <v>9.98002251149592</v>
      </c>
      <c r="AA33">
        <v>39.6285971256695</v>
      </c>
      <c r="AB33">
        <v>0</v>
      </c>
      <c r="AC33">
        <v>1.90413695915824</v>
      </c>
      <c r="AD33">
        <v>4.6981984423752</v>
      </c>
      <c r="AE33">
        <v>3.1584853052322</v>
      </c>
      <c r="AF33">
        <v>0</v>
      </c>
      <c r="AG33">
        <v>0</v>
      </c>
      <c r="AH33">
        <v>0</v>
      </c>
      <c r="AI3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2026-08-03T23:49:37Z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