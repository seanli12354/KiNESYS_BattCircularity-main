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3.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drawings/drawing4.xml" ContentType="application/vnd.openxmlformats-officedocument.drawing+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drawings/drawing5.xml" ContentType="application/vnd.openxmlformats-officedocument.drawing+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drawings/drawing6.xml" ContentType="application/vnd.openxmlformats-officedocument.drawing+xml"/>
  <Override PartName="/xl/comments1.xml" ContentType="application/vnd.openxmlformats-officedocument.spreadsheetml.comments+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drawings/drawing7.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8.xml" ContentType="application/vnd.openxmlformats-officedocument.drawing+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drawings/drawing9.xml" ContentType="application/vnd.openxmlformats-officedocument.drawing+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drawings/drawing10.xml" ContentType="application/vnd.openxmlformats-officedocument.drawing+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drawings/drawing11.xml" ContentType="application/vnd.openxmlformats-officedocument.drawing+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drawings/drawing12.xml" ContentType="application/vnd.openxmlformats-officedocument.drawing+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827"/>
  <workbookPr defaultThemeVersion="124226"/>
  <mc:AlternateContent xmlns:mc="http://schemas.openxmlformats.org/markup-compatibility/2006">
    <mc:Choice Requires="x15">
      <x15ac:absPath xmlns:x15ac="http://schemas.microsoft.com/office/spreadsheetml/2010/11/ac" url="C:\Veda\Veda\Veda_models\KiNESYS_BattCircularity-main\SubRes_Tmpl\"/>
    </mc:Choice>
  </mc:AlternateContent>
  <xr:revisionPtr revIDLastSave="0" documentId="13_ncr:1_{749D2D52-ADC0-4BDA-8D7A-F78310A00FFE}" xr6:coauthVersionLast="47" xr6:coauthVersionMax="47" xr10:uidLastSave="{00000000-0000-0000-0000-000000000000}"/>
  <bookViews>
    <workbookView xWindow="-98" yWindow="-98" windowWidth="28996" windowHeight="17475" tabRatio="864" activeTab="9" xr2:uid="{00000000-000D-0000-FFFF-FFFF00000000}"/>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19"/>
    <externalReference r:id="rId20"/>
    <externalReference r:id="rId21"/>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83" i="19" l="1"/>
  <c r="I283" i="19"/>
  <c r="H283" i="19"/>
  <c r="G283" i="19"/>
  <c r="F283" i="19"/>
  <c r="E283" i="19"/>
  <c r="D283" i="19"/>
  <c r="C283" i="19"/>
  <c r="J282" i="19"/>
  <c r="I282" i="19"/>
  <c r="H282" i="19"/>
  <c r="G282" i="19"/>
  <c r="F282" i="19"/>
  <c r="E282" i="19"/>
  <c r="D282" i="19"/>
  <c r="C282" i="19"/>
  <c r="J281" i="19"/>
  <c r="I281" i="19"/>
  <c r="H281" i="19"/>
  <c r="G281" i="19"/>
  <c r="F281" i="19"/>
  <c r="E281" i="19"/>
  <c r="D281" i="19"/>
  <c r="C281" i="19"/>
  <c r="J280" i="19"/>
  <c r="I280" i="19"/>
  <c r="H280" i="19"/>
  <c r="G280" i="19"/>
  <c r="F280" i="19"/>
  <c r="E280" i="19"/>
  <c r="D280" i="19"/>
  <c r="C280" i="19"/>
  <c r="J279" i="19"/>
  <c r="I279" i="19"/>
  <c r="H279" i="19"/>
  <c r="G279" i="19"/>
  <c r="F279" i="19"/>
  <c r="E279" i="19"/>
  <c r="D279" i="19"/>
  <c r="C279" i="19"/>
  <c r="J278" i="19"/>
  <c r="I278" i="19"/>
  <c r="H278" i="19"/>
  <c r="G278" i="19"/>
  <c r="F278" i="19"/>
  <c r="E278" i="19"/>
  <c r="D278" i="19"/>
  <c r="C278" i="19"/>
  <c r="J277" i="19"/>
  <c r="I277" i="19"/>
  <c r="H277" i="19"/>
  <c r="G277" i="19"/>
  <c r="F277" i="19"/>
  <c r="E277" i="19"/>
  <c r="D277" i="19"/>
  <c r="C277" i="19"/>
  <c r="J276" i="19"/>
  <c r="I276" i="19"/>
  <c r="H276" i="19"/>
  <c r="G276" i="19"/>
  <c r="F276" i="19"/>
  <c r="E276" i="19"/>
  <c r="D276" i="19"/>
  <c r="C276" i="19"/>
  <c r="J275" i="19"/>
  <c r="I275" i="19"/>
  <c r="H275" i="19"/>
  <c r="G275" i="19"/>
  <c r="F275" i="19"/>
  <c r="E275" i="19"/>
  <c r="D275" i="19"/>
  <c r="C275" i="19"/>
  <c r="J274" i="19"/>
  <c r="I274" i="19"/>
  <c r="H274" i="19"/>
  <c r="G274" i="19"/>
  <c r="F274" i="19"/>
  <c r="E274" i="19"/>
  <c r="D274" i="19"/>
  <c r="C274" i="19"/>
  <c r="J273" i="19"/>
  <c r="I273" i="19"/>
  <c r="H273" i="19"/>
  <c r="G273" i="19"/>
  <c r="F273" i="19"/>
  <c r="E273" i="19"/>
  <c r="D273" i="19"/>
  <c r="C273" i="19"/>
  <c r="J272" i="19"/>
  <c r="I272" i="19"/>
  <c r="H272" i="19"/>
  <c r="G272" i="19"/>
  <c r="F272" i="19"/>
  <c r="E272" i="19"/>
  <c r="D272" i="19"/>
  <c r="C272" i="19"/>
  <c r="J271" i="19"/>
  <c r="I271" i="19"/>
  <c r="H271" i="19"/>
  <c r="G271" i="19"/>
  <c r="F271" i="19"/>
  <c r="E271" i="19"/>
  <c r="D271" i="19"/>
  <c r="C271" i="19"/>
  <c r="J270" i="19"/>
  <c r="I270" i="19"/>
  <c r="H270" i="19"/>
  <c r="G270" i="19"/>
  <c r="F270" i="19"/>
  <c r="E270" i="19"/>
  <c r="D270" i="19"/>
  <c r="C270" i="19"/>
  <c r="J269" i="19"/>
  <c r="I269" i="19"/>
  <c r="H269" i="19"/>
  <c r="G269" i="19"/>
  <c r="F269" i="19"/>
  <c r="E269" i="19"/>
  <c r="D269" i="19"/>
  <c r="C269" i="19"/>
  <c r="M268" i="19"/>
  <c r="J268" i="19"/>
  <c r="I268" i="19"/>
  <c r="H268" i="19"/>
  <c r="G268" i="19"/>
  <c r="F268" i="19"/>
  <c r="E268" i="19"/>
  <c r="D268" i="19"/>
  <c r="C268" i="19"/>
  <c r="M267" i="19"/>
  <c r="J267" i="19"/>
  <c r="I267" i="19"/>
  <c r="H267" i="19"/>
  <c r="G267" i="19"/>
  <c r="F267" i="19"/>
  <c r="E267" i="19"/>
  <c r="D267" i="19"/>
  <c r="C267" i="19"/>
  <c r="M266" i="19"/>
  <c r="J266" i="19"/>
  <c r="I266" i="19"/>
  <c r="H266" i="19"/>
  <c r="G266" i="19"/>
  <c r="F266" i="19"/>
  <c r="E266" i="19"/>
  <c r="D266" i="19"/>
  <c r="C266" i="19"/>
  <c r="M265" i="19"/>
  <c r="J265" i="19"/>
  <c r="I265" i="19"/>
  <c r="H265" i="19"/>
  <c r="G265" i="19"/>
  <c r="F265" i="19"/>
  <c r="E265" i="19"/>
  <c r="D265" i="19"/>
  <c r="C265" i="19"/>
  <c r="M264" i="19"/>
  <c r="J264" i="19"/>
  <c r="I264" i="19"/>
  <c r="H264" i="19"/>
  <c r="G264" i="19"/>
  <c r="F264" i="19"/>
  <c r="E264" i="19"/>
  <c r="D264" i="19"/>
  <c r="C264" i="19"/>
  <c r="M263" i="19"/>
  <c r="J263" i="19"/>
  <c r="I263" i="19"/>
  <c r="H263" i="19"/>
  <c r="G263" i="19"/>
  <c r="F263" i="19"/>
  <c r="E263" i="19"/>
  <c r="D263" i="19"/>
  <c r="C263" i="19"/>
  <c r="M262" i="19"/>
  <c r="AZ245" i="19"/>
  <c r="AY245" i="19"/>
  <c r="AX245" i="19"/>
  <c r="AW245" i="19"/>
  <c r="AV245" i="19"/>
  <c r="AU245" i="19"/>
  <c r="AT245" i="19"/>
  <c r="AZ244" i="19"/>
  <c r="AY244" i="19"/>
  <c r="AX244" i="19"/>
  <c r="AW244" i="19"/>
  <c r="AV244" i="19"/>
  <c r="AU244" i="19"/>
  <c r="AT244" i="19"/>
  <c r="AZ243" i="19"/>
  <c r="AY243" i="19"/>
  <c r="AX243" i="19"/>
  <c r="AW243" i="19"/>
  <c r="AV243" i="19"/>
  <c r="AU243" i="19"/>
  <c r="AT243" i="19"/>
  <c r="AD243" i="19"/>
  <c r="AZ242" i="19"/>
  <c r="AY242" i="19"/>
  <c r="AX242" i="19"/>
  <c r="AW242" i="19"/>
  <c r="AV242" i="19"/>
  <c r="AU242" i="19"/>
  <c r="AT242" i="19"/>
  <c r="AO242" i="19"/>
  <c r="AN242" i="19"/>
  <c r="AM242" i="19"/>
  <c r="AL242" i="19"/>
  <c r="AK242" i="19"/>
  <c r="AJ242" i="19"/>
  <c r="AI242" i="19"/>
  <c r="AD242" i="19"/>
  <c r="AZ241" i="19"/>
  <c r="AY241" i="19"/>
  <c r="AX241" i="19"/>
  <c r="AW241" i="19"/>
  <c r="AV241" i="19"/>
  <c r="AU241" i="19"/>
  <c r="AT241" i="19"/>
  <c r="AO241" i="19"/>
  <c r="AN241" i="19"/>
  <c r="AM241" i="19"/>
  <c r="AL241" i="19"/>
  <c r="AK241" i="19"/>
  <c r="AJ241" i="19"/>
  <c r="AI241" i="19"/>
  <c r="AD241" i="19"/>
  <c r="AZ240" i="19"/>
  <c r="AY240" i="19"/>
  <c r="AX240" i="19"/>
  <c r="AW240" i="19"/>
  <c r="AV240" i="19"/>
  <c r="AU240" i="19"/>
  <c r="AT240" i="19"/>
  <c r="AO240" i="19"/>
  <c r="AN240" i="19"/>
  <c r="AM240" i="19"/>
  <c r="AL240" i="19"/>
  <c r="AK240" i="19"/>
  <c r="AJ240" i="19"/>
  <c r="AI240" i="19"/>
  <c r="AD240" i="19"/>
  <c r="AZ239" i="19"/>
  <c r="AY239" i="19"/>
  <c r="AX239" i="19"/>
  <c r="AW239" i="19"/>
  <c r="AV239" i="19"/>
  <c r="AU239" i="19"/>
  <c r="AT239" i="19"/>
  <c r="AO239" i="19"/>
  <c r="AN239" i="19"/>
  <c r="AM239" i="19"/>
  <c r="AL239" i="19"/>
  <c r="AK239" i="19"/>
  <c r="AJ239" i="19"/>
  <c r="AI239" i="19"/>
  <c r="AD239" i="19"/>
  <c r="R239" i="19"/>
  <c r="AO238" i="19"/>
  <c r="AN238" i="19"/>
  <c r="AM238" i="19"/>
  <c r="AL238" i="19"/>
  <c r="AK238" i="19"/>
  <c r="AJ238" i="19"/>
  <c r="AI238" i="19"/>
  <c r="AD238" i="19"/>
  <c r="R238" i="19"/>
  <c r="AO237" i="19"/>
  <c r="AN237" i="19"/>
  <c r="AM237" i="19"/>
  <c r="AL237" i="19"/>
  <c r="AK237" i="19"/>
  <c r="AJ237" i="19"/>
  <c r="AI237" i="19"/>
  <c r="AD237" i="19"/>
  <c r="R237" i="19"/>
  <c r="R236" i="19"/>
  <c r="E236" i="19"/>
  <c r="D236" i="19"/>
  <c r="C236" i="19"/>
  <c r="AD235" i="19"/>
  <c r="AA235" i="19"/>
  <c r="R235" i="19"/>
  <c r="E235" i="19"/>
  <c r="D235" i="19"/>
  <c r="C235" i="19"/>
  <c r="AZ234" i="19"/>
  <c r="AY234" i="19"/>
  <c r="AX234" i="19"/>
  <c r="AW234" i="19"/>
  <c r="AV234" i="19"/>
  <c r="AU234" i="19"/>
  <c r="AT234" i="19"/>
  <c r="AD234" i="19"/>
  <c r="AA234" i="19"/>
  <c r="R234" i="19"/>
  <c r="E234" i="19"/>
  <c r="D234" i="19"/>
  <c r="C234" i="19"/>
  <c r="AZ233" i="19"/>
  <c r="AY233" i="19"/>
  <c r="AX233" i="19"/>
  <c r="AW233" i="19"/>
  <c r="AV233" i="19"/>
  <c r="AU233" i="19"/>
  <c r="AT233" i="19"/>
  <c r="AD233" i="19"/>
  <c r="AA233" i="19"/>
  <c r="R233" i="19"/>
  <c r="E233" i="19"/>
  <c r="D233" i="19"/>
  <c r="C233" i="19"/>
  <c r="AZ232" i="19"/>
  <c r="AY232" i="19"/>
  <c r="AX232" i="19"/>
  <c r="AW232" i="19"/>
  <c r="AV232" i="19"/>
  <c r="AU232" i="19"/>
  <c r="AT232" i="19"/>
  <c r="AD232" i="19"/>
  <c r="AA232" i="19"/>
  <c r="E232" i="19"/>
  <c r="D232" i="19"/>
  <c r="C232" i="19"/>
  <c r="AZ231" i="19"/>
  <c r="AY231" i="19"/>
  <c r="AX231" i="19"/>
  <c r="AW231" i="19"/>
  <c r="AV231" i="19"/>
  <c r="AU231" i="19"/>
  <c r="AT231" i="19"/>
  <c r="AO231" i="19"/>
  <c r="AN231" i="19"/>
  <c r="AM231" i="19"/>
  <c r="AL231" i="19"/>
  <c r="AK231" i="19"/>
  <c r="AJ231" i="19"/>
  <c r="AI231" i="19"/>
  <c r="AD231" i="19"/>
  <c r="AA231" i="19"/>
  <c r="E231" i="19"/>
  <c r="D231" i="19"/>
  <c r="C231" i="19"/>
  <c r="AZ230" i="19"/>
  <c r="AY230" i="19"/>
  <c r="AX230" i="19"/>
  <c r="AW230" i="19"/>
  <c r="AV230" i="19"/>
  <c r="AU230" i="19"/>
  <c r="AT230" i="19"/>
  <c r="AO230" i="19"/>
  <c r="AN230" i="19"/>
  <c r="AM230" i="19"/>
  <c r="AL230" i="19"/>
  <c r="AK230" i="19"/>
  <c r="AJ230" i="19"/>
  <c r="AI230" i="19"/>
  <c r="AD230" i="19"/>
  <c r="AA230" i="19"/>
  <c r="E230" i="19"/>
  <c r="D230" i="19"/>
  <c r="C230" i="19"/>
  <c r="AZ229" i="19"/>
  <c r="AY229" i="19"/>
  <c r="AX229" i="19"/>
  <c r="AW229" i="19"/>
  <c r="AV229" i="19"/>
  <c r="AU229" i="19"/>
  <c r="AT229" i="19"/>
  <c r="AO229" i="19"/>
  <c r="AN229" i="19"/>
  <c r="AM229" i="19"/>
  <c r="AL229" i="19"/>
  <c r="AK229" i="19"/>
  <c r="AJ229" i="19"/>
  <c r="AI229" i="19"/>
  <c r="AD229" i="19"/>
  <c r="AA229" i="19"/>
  <c r="E229" i="19"/>
  <c r="D229" i="19"/>
  <c r="C229" i="19"/>
  <c r="AZ228" i="19"/>
  <c r="AY228" i="19"/>
  <c r="AX228" i="19"/>
  <c r="AW228" i="19"/>
  <c r="AV228" i="19"/>
  <c r="AU228" i="19"/>
  <c r="AT228" i="19"/>
  <c r="AO228" i="19"/>
  <c r="AN228" i="19"/>
  <c r="AM228" i="19"/>
  <c r="AL228" i="19"/>
  <c r="AK228" i="19"/>
  <c r="AJ228" i="19"/>
  <c r="AI228" i="19"/>
  <c r="AD228" i="19"/>
  <c r="AA228" i="19"/>
  <c r="E228" i="19"/>
  <c r="D228" i="19"/>
  <c r="C228" i="19"/>
  <c r="AZ227" i="19"/>
  <c r="AY227" i="19"/>
  <c r="AX227" i="19"/>
  <c r="AW227" i="19"/>
  <c r="AV227" i="19"/>
  <c r="AU227" i="19"/>
  <c r="AT227" i="19"/>
  <c r="AO227" i="19"/>
  <c r="AN227" i="19"/>
  <c r="AM227" i="19"/>
  <c r="AL227" i="19"/>
  <c r="AK227" i="19"/>
  <c r="AJ227" i="19"/>
  <c r="AI227" i="19"/>
  <c r="AD227" i="19"/>
  <c r="AA227" i="19"/>
  <c r="E227" i="19"/>
  <c r="D227" i="19"/>
  <c r="C227" i="19"/>
  <c r="AZ226" i="19"/>
  <c r="AY226" i="19"/>
  <c r="AX226" i="19"/>
  <c r="AW226" i="19"/>
  <c r="AV226" i="19"/>
  <c r="AU226" i="19"/>
  <c r="AT226" i="19"/>
  <c r="AO226" i="19"/>
  <c r="AN226" i="19"/>
  <c r="AM226" i="19"/>
  <c r="AL226" i="19"/>
  <c r="AK226" i="19"/>
  <c r="AJ226" i="19"/>
  <c r="AI226" i="19"/>
  <c r="AD226" i="19"/>
  <c r="AA226" i="19"/>
  <c r="E226" i="19"/>
  <c r="D226" i="19"/>
  <c r="C226" i="19"/>
  <c r="AZ225" i="19"/>
  <c r="AY225" i="19"/>
  <c r="AX225" i="19"/>
  <c r="AW225" i="19"/>
  <c r="AV225" i="19"/>
  <c r="AU225" i="19"/>
  <c r="AT225" i="19"/>
  <c r="AD225" i="19"/>
  <c r="AA225" i="19"/>
  <c r="E225" i="19"/>
  <c r="D225" i="19"/>
  <c r="C225" i="19"/>
  <c r="AZ224" i="19"/>
  <c r="AY224" i="19"/>
  <c r="AX224" i="19"/>
  <c r="AW224" i="19"/>
  <c r="AV224" i="19"/>
  <c r="AU224" i="19"/>
  <c r="AT224" i="19"/>
  <c r="AD224" i="19"/>
  <c r="AA224" i="19"/>
  <c r="E224" i="19"/>
  <c r="D224" i="19"/>
  <c r="C224" i="19"/>
  <c r="AZ223" i="19"/>
  <c r="AY223" i="19"/>
  <c r="AX223" i="19"/>
  <c r="AW223" i="19"/>
  <c r="AV223" i="19"/>
  <c r="AU223" i="19"/>
  <c r="AT223" i="19"/>
  <c r="AD223" i="19"/>
  <c r="AA223" i="19"/>
  <c r="E223" i="19"/>
  <c r="D223" i="19"/>
  <c r="C223" i="19"/>
  <c r="AZ222" i="19"/>
  <c r="AY222" i="19"/>
  <c r="AX222" i="19"/>
  <c r="AW222" i="19"/>
  <c r="AV222" i="19"/>
  <c r="AU222" i="19"/>
  <c r="AT222" i="19"/>
  <c r="AD222" i="19"/>
  <c r="AA222" i="19"/>
  <c r="U222" i="19"/>
  <c r="T222" i="19"/>
  <c r="S222" i="19"/>
  <c r="E222" i="19"/>
  <c r="D222" i="19"/>
  <c r="C222" i="19"/>
  <c r="AZ221" i="19"/>
  <c r="AY221" i="19"/>
  <c r="AX221" i="19"/>
  <c r="AW221" i="19"/>
  <c r="AV221" i="19"/>
  <c r="AU221" i="19"/>
  <c r="AT221" i="19"/>
  <c r="AD221" i="19"/>
  <c r="AA221" i="19"/>
  <c r="U221" i="19"/>
  <c r="T221" i="19"/>
  <c r="S221" i="19"/>
  <c r="E221" i="19"/>
  <c r="D221" i="19"/>
  <c r="C221" i="19"/>
  <c r="AZ220" i="19"/>
  <c r="AY220" i="19"/>
  <c r="AX220" i="19"/>
  <c r="AW220" i="19"/>
  <c r="AV220" i="19"/>
  <c r="AU220" i="19"/>
  <c r="AT220" i="19"/>
  <c r="AP220" i="19"/>
  <c r="AN220" i="19"/>
  <c r="AM220" i="19"/>
  <c r="AL220" i="19"/>
  <c r="AK220" i="19"/>
  <c r="AJ220" i="19"/>
  <c r="AI220" i="19"/>
  <c r="AD220" i="19"/>
  <c r="AA220" i="19"/>
  <c r="U220" i="19"/>
  <c r="T220" i="19"/>
  <c r="S220" i="19"/>
  <c r="E220" i="19"/>
  <c r="D220" i="19"/>
  <c r="C220" i="19"/>
  <c r="AZ219" i="19"/>
  <c r="AY219" i="19"/>
  <c r="AX219" i="19"/>
  <c r="AW219" i="19"/>
  <c r="AV219" i="19"/>
  <c r="AU219" i="19"/>
  <c r="AT219" i="19"/>
  <c r="AP219" i="19"/>
  <c r="AN219" i="19"/>
  <c r="AM219" i="19"/>
  <c r="AL219" i="19"/>
  <c r="AK219" i="19"/>
  <c r="AJ219" i="19"/>
  <c r="AI219" i="19"/>
  <c r="AD219" i="19"/>
  <c r="AA219" i="19"/>
  <c r="U219" i="19"/>
  <c r="T219" i="19"/>
  <c r="S219" i="19"/>
  <c r="E219" i="19"/>
  <c r="D219" i="19"/>
  <c r="C219" i="19"/>
  <c r="AZ218" i="19"/>
  <c r="AY218" i="19"/>
  <c r="AX218" i="19"/>
  <c r="AW218" i="19"/>
  <c r="AV218" i="19"/>
  <c r="AU218" i="19"/>
  <c r="AT218" i="19"/>
  <c r="AP218" i="19"/>
  <c r="AN218" i="19"/>
  <c r="AM218" i="19"/>
  <c r="AL218" i="19"/>
  <c r="AK218" i="19"/>
  <c r="AJ218" i="19"/>
  <c r="AI218" i="19"/>
  <c r="AD218" i="19"/>
  <c r="AA218" i="19"/>
  <c r="U218" i="19"/>
  <c r="T218" i="19"/>
  <c r="S218" i="19"/>
  <c r="E218" i="19"/>
  <c r="D218" i="19"/>
  <c r="C218" i="19"/>
  <c r="AZ217" i="19"/>
  <c r="AY217" i="19"/>
  <c r="AX217" i="19"/>
  <c r="AW217" i="19"/>
  <c r="AV217" i="19"/>
  <c r="AU217" i="19"/>
  <c r="AT217" i="19"/>
  <c r="AP217" i="19"/>
  <c r="AN217" i="19"/>
  <c r="AM217" i="19"/>
  <c r="AL217" i="19"/>
  <c r="AK217" i="19"/>
  <c r="AJ217" i="19"/>
  <c r="AI217" i="19"/>
  <c r="AD217" i="19"/>
  <c r="AA217" i="19"/>
  <c r="U217" i="19"/>
  <c r="T217" i="19"/>
  <c r="S217" i="19"/>
  <c r="E217" i="19"/>
  <c r="D217" i="19"/>
  <c r="C217" i="19"/>
  <c r="AZ216" i="19"/>
  <c r="AY216" i="19"/>
  <c r="AX216" i="19"/>
  <c r="AW216" i="19"/>
  <c r="AV216" i="19"/>
  <c r="AU216" i="19"/>
  <c r="AT216" i="19"/>
  <c r="AP216" i="19"/>
  <c r="AN216" i="19"/>
  <c r="AM216" i="19"/>
  <c r="AL216" i="19"/>
  <c r="AK216" i="19"/>
  <c r="AJ216" i="19"/>
  <c r="AI216" i="19"/>
  <c r="AD216" i="19"/>
  <c r="AA216" i="19"/>
  <c r="U216" i="19"/>
  <c r="T216" i="19"/>
  <c r="S216" i="19"/>
  <c r="E216" i="19"/>
  <c r="D216" i="19"/>
  <c r="C216" i="19"/>
  <c r="AZ215" i="19"/>
  <c r="AY215" i="19"/>
  <c r="AX215" i="19"/>
  <c r="AW215" i="19"/>
  <c r="AV215" i="19"/>
  <c r="AU215" i="19"/>
  <c r="AT215" i="19"/>
  <c r="AP215" i="19"/>
  <c r="AN215" i="19"/>
  <c r="AM215" i="19"/>
  <c r="AL215" i="19"/>
  <c r="AK215" i="19"/>
  <c r="AJ215" i="19"/>
  <c r="AI215" i="19"/>
  <c r="AD215" i="19"/>
  <c r="AA215" i="19"/>
  <c r="U215" i="19"/>
  <c r="T215" i="19"/>
  <c r="S215" i="19"/>
  <c r="AZ214" i="19"/>
  <c r="AY214" i="19"/>
  <c r="AX214" i="19"/>
  <c r="AW214" i="19"/>
  <c r="AV214" i="19"/>
  <c r="AU214" i="19"/>
  <c r="AT214" i="19"/>
  <c r="AA214" i="19"/>
  <c r="AE178" i="19"/>
  <c r="AE177" i="19"/>
  <c r="AE176" i="19"/>
  <c r="AE175" i="19"/>
  <c r="AE174" i="19"/>
  <c r="AE173" i="19"/>
  <c r="AE172" i="19"/>
  <c r="AE171" i="19"/>
  <c r="AE170" i="19"/>
  <c r="AE169" i="19"/>
  <c r="AE168" i="19"/>
  <c r="AE167" i="19"/>
  <c r="AE166" i="19"/>
  <c r="AE165" i="19"/>
  <c r="P161" i="19"/>
  <c r="O161" i="19"/>
  <c r="N161" i="19"/>
  <c r="M161" i="19"/>
  <c r="L161" i="19"/>
  <c r="K161" i="19"/>
  <c r="J161" i="19"/>
  <c r="P160" i="19"/>
  <c r="O160" i="19"/>
  <c r="N160" i="19"/>
  <c r="M160" i="19"/>
  <c r="L160" i="19"/>
  <c r="K160" i="19"/>
  <c r="J160" i="19"/>
  <c r="P159" i="19"/>
  <c r="O159" i="19"/>
  <c r="N159" i="19"/>
  <c r="M159" i="19"/>
  <c r="L159" i="19"/>
  <c r="K159" i="19"/>
  <c r="J159" i="19"/>
  <c r="P158" i="19"/>
  <c r="O158" i="19"/>
  <c r="N158" i="19"/>
  <c r="M158" i="19"/>
  <c r="L158" i="19"/>
  <c r="K158" i="19"/>
  <c r="J158" i="19"/>
  <c r="P157" i="19"/>
  <c r="O157" i="19"/>
  <c r="N157" i="19"/>
  <c r="M157" i="19"/>
  <c r="L157" i="19"/>
  <c r="K157" i="19"/>
  <c r="J157" i="19"/>
  <c r="P156" i="19"/>
  <c r="O156" i="19"/>
  <c r="N156" i="19"/>
  <c r="M156" i="19"/>
  <c r="L156" i="19"/>
  <c r="K156" i="19"/>
  <c r="J156" i="19"/>
  <c r="F153" i="19"/>
  <c r="E153" i="19"/>
  <c r="D153" i="19"/>
  <c r="F152" i="19"/>
  <c r="E152" i="19"/>
  <c r="D152" i="19"/>
  <c r="F151" i="19"/>
  <c r="E151" i="19"/>
  <c r="D151" i="19"/>
  <c r="F150" i="19"/>
  <c r="E150" i="19"/>
  <c r="D150" i="19"/>
  <c r="R149" i="19"/>
  <c r="F149" i="19"/>
  <c r="E149" i="19"/>
  <c r="D149" i="19"/>
  <c r="R148" i="19"/>
  <c r="F148" i="19"/>
  <c r="E148" i="19"/>
  <c r="D148" i="19"/>
  <c r="R147" i="19"/>
  <c r="F147" i="19"/>
  <c r="E147" i="19"/>
  <c r="D147" i="19"/>
  <c r="R146" i="19"/>
  <c r="R145" i="19"/>
  <c r="AF144" i="19"/>
  <c r="AE144" i="19"/>
  <c r="AD144" i="19"/>
  <c r="R144" i="19"/>
  <c r="F144" i="19"/>
  <c r="E144" i="19"/>
  <c r="D144" i="19"/>
  <c r="AF143" i="19"/>
  <c r="AE143" i="19"/>
  <c r="AD143" i="19"/>
  <c r="R143" i="19"/>
  <c r="F143" i="19"/>
  <c r="E143" i="19"/>
  <c r="D143" i="19"/>
  <c r="AF142" i="19"/>
  <c r="AE142" i="19"/>
  <c r="AD142" i="19"/>
  <c r="F142" i="19"/>
  <c r="E142" i="19"/>
  <c r="D142" i="19"/>
  <c r="AF141" i="19"/>
  <c r="AE141" i="19"/>
  <c r="AD141" i="19"/>
  <c r="F141" i="19"/>
  <c r="E141" i="19"/>
  <c r="D141" i="19"/>
  <c r="AF140" i="19"/>
  <c r="AE140" i="19"/>
  <c r="AD140" i="19"/>
  <c r="F140" i="19"/>
  <c r="E140" i="19"/>
  <c r="D140" i="19"/>
  <c r="AF139" i="19"/>
  <c r="AE139" i="19"/>
  <c r="AD139" i="19"/>
  <c r="F139" i="19"/>
  <c r="E139" i="19"/>
  <c r="D139" i="19"/>
  <c r="AF138" i="19"/>
  <c r="AE138" i="19"/>
  <c r="AD138" i="19"/>
  <c r="F138" i="19"/>
  <c r="E138" i="19"/>
  <c r="D138" i="19"/>
  <c r="AF137" i="19"/>
  <c r="AE137" i="19"/>
  <c r="AD137" i="19"/>
  <c r="T137" i="19"/>
  <c r="H137" i="19"/>
  <c r="F137" i="19" a="1"/>
  <c r="F137" i="19"/>
  <c r="E137" i="19" a="1"/>
  <c r="E137" i="19"/>
  <c r="D137" i="19" a="1"/>
  <c r="D137" i="19"/>
  <c r="AF136" i="19"/>
  <c r="AE136" i="19"/>
  <c r="AD136" i="19"/>
  <c r="T136" i="19"/>
  <c r="H136" i="19"/>
  <c r="F136" i="19" a="1"/>
  <c r="F136" i="19"/>
  <c r="E136" i="19" a="1"/>
  <c r="E136" i="19"/>
  <c r="D136" i="19" a="1"/>
  <c r="D136" i="19"/>
  <c r="AF135" i="19"/>
  <c r="AE135" i="19"/>
  <c r="AD135" i="19"/>
  <c r="T135" i="19"/>
  <c r="H135" i="19"/>
  <c r="F135" i="19" a="1"/>
  <c r="F135" i="19"/>
  <c r="E135" i="19" a="1"/>
  <c r="E135" i="19"/>
  <c r="D135" i="19" a="1"/>
  <c r="D135" i="19"/>
  <c r="AF134" i="19"/>
  <c r="AE134" i="19"/>
  <c r="AD134" i="19"/>
  <c r="T134" i="19"/>
  <c r="H134" i="19"/>
  <c r="F134" i="19" a="1"/>
  <c r="F134" i="19"/>
  <c r="E134" i="19" a="1"/>
  <c r="E134" i="19"/>
  <c r="D134" i="19" a="1"/>
  <c r="D134" i="19"/>
  <c r="AF133" i="19"/>
  <c r="AE133" i="19"/>
  <c r="AD133" i="19"/>
  <c r="T133" i="19"/>
  <c r="H133" i="19"/>
  <c r="F133" i="19" a="1"/>
  <c r="F133" i="19"/>
  <c r="E133" i="19" a="1"/>
  <c r="E133" i="19"/>
  <c r="D133" i="19" a="1"/>
  <c r="D133" i="19"/>
  <c r="AF132" i="19"/>
  <c r="AE132" i="19"/>
  <c r="AD132" i="19"/>
  <c r="T132" i="19"/>
  <c r="H132" i="19"/>
  <c r="F132" i="19" a="1"/>
  <c r="F132" i="19"/>
  <c r="E132" i="19" a="1"/>
  <c r="E132" i="19"/>
  <c r="D132" i="19" a="1"/>
  <c r="D132" i="19"/>
  <c r="AF131" i="19"/>
  <c r="AE131" i="19"/>
  <c r="AD131" i="19"/>
  <c r="T131" i="19"/>
  <c r="H131" i="19"/>
  <c r="F131" i="19" a="1"/>
  <c r="F131" i="19"/>
  <c r="E131" i="19" a="1"/>
  <c r="E131" i="19"/>
  <c r="D131" i="19" a="1"/>
  <c r="D131" i="19"/>
  <c r="T130" i="19"/>
  <c r="D90" i="19"/>
  <c r="C90" i="19"/>
  <c r="D89" i="19"/>
  <c r="C89" i="19"/>
  <c r="D88" i="19"/>
  <c r="C88" i="19"/>
  <c r="D87" i="19"/>
  <c r="C87" i="19"/>
  <c r="D86" i="19"/>
  <c r="C86" i="19"/>
  <c r="D85" i="19"/>
  <c r="C85" i="19"/>
  <c r="D84" i="19"/>
  <c r="C84" i="19"/>
  <c r="C83" i="19"/>
  <c r="J79" i="19"/>
  <c r="I79" i="19"/>
  <c r="H79" i="19"/>
  <c r="G79" i="19"/>
  <c r="F79" i="19"/>
  <c r="E79" i="19"/>
  <c r="D79" i="19"/>
  <c r="C79" i="19"/>
  <c r="J78" i="19"/>
  <c r="I78" i="19"/>
  <c r="H78" i="19"/>
  <c r="G78" i="19"/>
  <c r="F78" i="19"/>
  <c r="E78" i="19"/>
  <c r="D78" i="19"/>
  <c r="C78" i="19"/>
  <c r="J77" i="19"/>
  <c r="I77" i="19"/>
  <c r="H77" i="19"/>
  <c r="G77" i="19"/>
  <c r="F77" i="19"/>
  <c r="E77" i="19"/>
  <c r="D77" i="19"/>
  <c r="C77" i="19"/>
  <c r="J76" i="19"/>
  <c r="I76" i="19"/>
  <c r="H76" i="19"/>
  <c r="G76" i="19"/>
  <c r="F76" i="19"/>
  <c r="E76" i="19"/>
  <c r="D76" i="19"/>
  <c r="C76" i="19"/>
  <c r="J75" i="19"/>
  <c r="I75" i="19"/>
  <c r="H75" i="19"/>
  <c r="G75" i="19"/>
  <c r="F75" i="19"/>
  <c r="E75" i="19"/>
  <c r="D75" i="19"/>
  <c r="C75" i="19"/>
  <c r="J74" i="19"/>
  <c r="I74" i="19"/>
  <c r="H74" i="19"/>
  <c r="G74" i="19"/>
  <c r="F74" i="19"/>
  <c r="E74" i="19"/>
  <c r="D74" i="19"/>
  <c r="C74" i="19"/>
  <c r="J73" i="19"/>
  <c r="I73" i="19"/>
  <c r="H73" i="19"/>
  <c r="G73" i="19"/>
  <c r="F73" i="19"/>
  <c r="E73" i="19"/>
  <c r="D73" i="19"/>
  <c r="C73" i="19"/>
  <c r="Y67" i="19"/>
  <c r="X67" i="19"/>
  <c r="U67" i="19"/>
  <c r="P67" i="19"/>
  <c r="J67" i="19"/>
  <c r="I67" i="19"/>
  <c r="H67" i="19"/>
  <c r="G67" i="19"/>
  <c r="F67" i="19"/>
  <c r="E67" i="19"/>
  <c r="D67" i="19"/>
  <c r="Y66" i="19"/>
  <c r="X66" i="19"/>
  <c r="U66" i="19"/>
  <c r="P66" i="19"/>
  <c r="J66" i="19"/>
  <c r="I66" i="19"/>
  <c r="H66" i="19"/>
  <c r="G66" i="19"/>
  <c r="F66" i="19"/>
  <c r="E66" i="19"/>
  <c r="D66" i="19"/>
  <c r="Y65" i="19"/>
  <c r="X65" i="19"/>
  <c r="U65" i="19"/>
  <c r="P65" i="19"/>
  <c r="J65" i="19"/>
  <c r="I65" i="19"/>
  <c r="H65" i="19"/>
  <c r="G65" i="19"/>
  <c r="F65" i="19"/>
  <c r="E65" i="19"/>
  <c r="D65" i="19"/>
  <c r="Y64" i="19"/>
  <c r="X64" i="19"/>
  <c r="U64" i="19"/>
  <c r="P64" i="19"/>
  <c r="J64" i="19"/>
  <c r="I64" i="19"/>
  <c r="H64" i="19"/>
  <c r="G64" i="19"/>
  <c r="F64" i="19"/>
  <c r="E64" i="19"/>
  <c r="D64" i="19"/>
  <c r="Y63" i="19"/>
  <c r="X63" i="19"/>
  <c r="U63" i="19"/>
  <c r="P63" i="19"/>
  <c r="J63" i="19"/>
  <c r="I63" i="19"/>
  <c r="H63" i="19"/>
  <c r="G63" i="19"/>
  <c r="F63" i="19"/>
  <c r="E63" i="19"/>
  <c r="D63" i="19"/>
  <c r="Y62" i="19"/>
  <c r="X62" i="19"/>
  <c r="U62" i="19"/>
  <c r="P62" i="19"/>
  <c r="J62" i="19"/>
  <c r="I62" i="19"/>
  <c r="H62" i="19"/>
  <c r="G62" i="19"/>
  <c r="F62" i="19"/>
  <c r="E62" i="19"/>
  <c r="D62" i="19"/>
  <c r="Y61" i="19"/>
  <c r="X61" i="19"/>
  <c r="U61" i="19"/>
  <c r="P61" i="19"/>
  <c r="J61" i="19"/>
  <c r="I61" i="19"/>
  <c r="H61" i="19"/>
  <c r="G61" i="19"/>
  <c r="F61" i="19"/>
  <c r="E61" i="19"/>
  <c r="D61" i="19"/>
  <c r="J60" i="19"/>
  <c r="I60" i="19"/>
  <c r="H60" i="19"/>
  <c r="G60" i="19"/>
  <c r="F60" i="19"/>
  <c r="E60" i="19"/>
  <c r="D60" i="19"/>
  <c r="AE39" i="19"/>
  <c r="Y39" i="19"/>
  <c r="V39" i="19"/>
  <c r="AE38" i="19"/>
  <c r="Y38" i="19"/>
  <c r="V38" i="19"/>
  <c r="AE37" i="19"/>
  <c r="Y37" i="19"/>
  <c r="V37" i="19"/>
  <c r="AE36" i="19"/>
  <c r="Y36" i="19"/>
  <c r="V36" i="19"/>
  <c r="AE35" i="19"/>
  <c r="Y35" i="19"/>
  <c r="V35" i="19"/>
  <c r="AE34" i="19"/>
  <c r="Y34" i="19"/>
  <c r="V34" i="19"/>
  <c r="W29" i="19"/>
  <c r="W28" i="19"/>
  <c r="P28" i="19"/>
  <c r="W27" i="19"/>
  <c r="P27" i="19"/>
  <c r="W26" i="19"/>
  <c r="P26" i="19"/>
  <c r="AE25" i="19"/>
  <c r="W25" i="19"/>
  <c r="P25" i="19"/>
  <c r="AE24" i="19"/>
  <c r="W24" i="19"/>
  <c r="P24" i="19"/>
  <c r="AE23" i="19"/>
  <c r="W23" i="19"/>
  <c r="V23" i="19"/>
  <c r="P23" i="19"/>
  <c r="AE22" i="19"/>
  <c r="P22" i="19"/>
  <c r="AE21" i="19"/>
  <c r="AE20" i="19"/>
  <c r="AE19" i="19"/>
  <c r="W12" i="19"/>
  <c r="V12" i="19"/>
  <c r="W11" i="19"/>
  <c r="V11" i="19"/>
  <c r="W10" i="19"/>
  <c r="V10" i="19"/>
  <c r="W9" i="19"/>
  <c r="V9" i="19"/>
  <c r="W8" i="19"/>
  <c r="V8" i="19"/>
  <c r="W7" i="19"/>
  <c r="V7" i="19"/>
  <c r="W6" i="19"/>
  <c r="V6" i="19"/>
  <c r="M5" i="19"/>
  <c r="K5" i="19"/>
  <c r="C5" i="19"/>
  <c r="U219" i="4"/>
  <c r="T219" i="4"/>
  <c r="P219" i="4"/>
  <c r="O219" i="4"/>
  <c r="N219" i="4"/>
  <c r="M219" i="4"/>
  <c r="L219" i="4"/>
  <c r="K219" i="4"/>
  <c r="J219" i="4"/>
  <c r="U218" i="4"/>
  <c r="T218" i="4"/>
  <c r="P218" i="4"/>
  <c r="O218" i="4"/>
  <c r="N218" i="4"/>
  <c r="M218" i="4"/>
  <c r="L218" i="4"/>
  <c r="K218" i="4"/>
  <c r="J218" i="4"/>
  <c r="U217" i="4"/>
  <c r="T217" i="4"/>
  <c r="P217" i="4"/>
  <c r="O217" i="4"/>
  <c r="N217" i="4"/>
  <c r="M217" i="4"/>
  <c r="L217" i="4"/>
  <c r="K217" i="4"/>
  <c r="J217" i="4"/>
  <c r="U216" i="4"/>
  <c r="T216" i="4"/>
  <c r="P216" i="4"/>
  <c r="O216" i="4"/>
  <c r="N216" i="4"/>
  <c r="M216" i="4"/>
  <c r="L216" i="4"/>
  <c r="K216" i="4"/>
  <c r="J216" i="4"/>
  <c r="U215" i="4"/>
  <c r="T215" i="4"/>
  <c r="P215" i="4"/>
  <c r="O215" i="4"/>
  <c r="N215" i="4"/>
  <c r="M215" i="4"/>
  <c r="L215" i="4"/>
  <c r="K215" i="4"/>
  <c r="J215" i="4"/>
  <c r="U214" i="4"/>
  <c r="T214" i="4"/>
  <c r="P214" i="4"/>
  <c r="O214" i="4"/>
  <c r="N214" i="4"/>
  <c r="M214" i="4"/>
  <c r="L214" i="4"/>
  <c r="K214" i="4"/>
  <c r="J214" i="4"/>
  <c r="U213" i="4"/>
  <c r="T213" i="4"/>
  <c r="P213" i="4"/>
  <c r="O213" i="4"/>
  <c r="N213" i="4"/>
  <c r="M213" i="4"/>
  <c r="L213" i="4"/>
  <c r="K213" i="4"/>
  <c r="J213" i="4"/>
  <c r="U212" i="4"/>
  <c r="T212" i="4"/>
  <c r="P212" i="4"/>
  <c r="O212" i="4"/>
  <c r="N212" i="4"/>
  <c r="M212" i="4"/>
  <c r="L212" i="4"/>
  <c r="K212" i="4"/>
  <c r="J212" i="4"/>
  <c r="U211" i="4"/>
  <c r="T211" i="4"/>
  <c r="P211" i="4"/>
  <c r="O211" i="4"/>
  <c r="N211" i="4"/>
  <c r="M211" i="4"/>
  <c r="L211" i="4"/>
  <c r="K211" i="4"/>
  <c r="J211" i="4"/>
  <c r="U210" i="4"/>
  <c r="T210" i="4"/>
  <c r="P210" i="4"/>
  <c r="O210" i="4"/>
  <c r="N210" i="4"/>
  <c r="M210" i="4"/>
  <c r="L210" i="4"/>
  <c r="K210" i="4"/>
  <c r="J210" i="4"/>
  <c r="U209" i="4"/>
  <c r="T209" i="4"/>
  <c r="P209" i="4"/>
  <c r="O209" i="4"/>
  <c r="N209" i="4"/>
  <c r="M209" i="4"/>
  <c r="L209" i="4"/>
  <c r="K209" i="4"/>
  <c r="J209" i="4"/>
  <c r="U208" i="4"/>
  <c r="T208" i="4"/>
  <c r="P208" i="4"/>
  <c r="O208" i="4"/>
  <c r="N208" i="4"/>
  <c r="M208" i="4"/>
  <c r="L208" i="4"/>
  <c r="K208" i="4"/>
  <c r="J208" i="4"/>
  <c r="U207" i="4"/>
  <c r="T207" i="4"/>
  <c r="P207" i="4"/>
  <c r="O207" i="4"/>
  <c r="N207" i="4"/>
  <c r="M207" i="4"/>
  <c r="L207" i="4"/>
  <c r="K207" i="4"/>
  <c r="J207" i="4"/>
  <c r="U206" i="4"/>
  <c r="T206" i="4"/>
  <c r="P206" i="4"/>
  <c r="O206" i="4"/>
  <c r="N206" i="4"/>
  <c r="M206" i="4"/>
  <c r="L206" i="4"/>
  <c r="K206" i="4"/>
  <c r="J206" i="4"/>
  <c r="U205" i="4"/>
  <c r="T205" i="4"/>
  <c r="P205" i="4"/>
  <c r="O205" i="4"/>
  <c r="N205" i="4"/>
  <c r="M205" i="4"/>
  <c r="L205" i="4"/>
  <c r="K205" i="4"/>
  <c r="J205" i="4"/>
  <c r="U204" i="4"/>
  <c r="T204" i="4"/>
  <c r="P204" i="4"/>
  <c r="O204" i="4"/>
  <c r="N204" i="4"/>
  <c r="M204" i="4"/>
  <c r="L204" i="4"/>
  <c r="K204" i="4"/>
  <c r="J204" i="4"/>
  <c r="U203" i="4"/>
  <c r="T203" i="4"/>
  <c r="P203" i="4"/>
  <c r="O203" i="4"/>
  <c r="N203" i="4"/>
  <c r="M203" i="4"/>
  <c r="L203" i="4"/>
  <c r="K203" i="4"/>
  <c r="J203" i="4"/>
  <c r="U202" i="4"/>
  <c r="T202" i="4"/>
  <c r="P202" i="4"/>
  <c r="O202" i="4"/>
  <c r="N202" i="4"/>
  <c r="M202" i="4"/>
  <c r="L202" i="4"/>
  <c r="K202" i="4"/>
  <c r="J202" i="4"/>
  <c r="U201" i="4"/>
  <c r="T201" i="4"/>
  <c r="P201" i="4"/>
  <c r="O201" i="4"/>
  <c r="N201" i="4"/>
  <c r="M201" i="4"/>
  <c r="L201" i="4"/>
  <c r="K201" i="4"/>
  <c r="J201" i="4"/>
  <c r="U200" i="4"/>
  <c r="T200" i="4"/>
  <c r="P200" i="4"/>
  <c r="O200" i="4"/>
  <c r="N200" i="4"/>
  <c r="M200" i="4"/>
  <c r="L200" i="4"/>
  <c r="K200" i="4"/>
  <c r="J200" i="4"/>
  <c r="U199" i="4"/>
  <c r="T199" i="4"/>
  <c r="P199" i="4"/>
  <c r="O199" i="4"/>
  <c r="N199" i="4"/>
  <c r="M199" i="4"/>
  <c r="L199" i="4"/>
  <c r="K199" i="4"/>
  <c r="J199" i="4"/>
  <c r="U198" i="4"/>
  <c r="T198" i="4"/>
  <c r="P198" i="4"/>
  <c r="O198" i="4"/>
  <c r="N198" i="4"/>
  <c r="M198" i="4"/>
  <c r="L198" i="4"/>
  <c r="K198" i="4"/>
  <c r="J198" i="4"/>
  <c r="U197" i="4"/>
  <c r="T197" i="4"/>
  <c r="P197" i="4"/>
  <c r="O197" i="4"/>
  <c r="N197" i="4"/>
  <c r="M197" i="4"/>
  <c r="L197" i="4"/>
  <c r="K197" i="4"/>
  <c r="J197" i="4"/>
  <c r="U196" i="4"/>
  <c r="T196" i="4"/>
  <c r="P196" i="4"/>
  <c r="O196" i="4"/>
  <c r="N196" i="4"/>
  <c r="M196" i="4"/>
  <c r="L196" i="4"/>
  <c r="K196" i="4"/>
  <c r="J196" i="4"/>
  <c r="U195" i="4"/>
  <c r="T195" i="4"/>
  <c r="P195" i="4"/>
  <c r="O195" i="4"/>
  <c r="N195" i="4"/>
  <c r="M195" i="4"/>
  <c r="L195" i="4"/>
  <c r="K195" i="4"/>
  <c r="J195" i="4"/>
  <c r="U194" i="4"/>
  <c r="T194" i="4"/>
  <c r="P194" i="4"/>
  <c r="O194" i="4"/>
  <c r="N194" i="4"/>
  <c r="M194" i="4"/>
  <c r="L194" i="4"/>
  <c r="K194" i="4"/>
  <c r="J194" i="4"/>
  <c r="U193" i="4"/>
  <c r="T193" i="4"/>
  <c r="P193" i="4"/>
  <c r="O193" i="4"/>
  <c r="N193" i="4"/>
  <c r="M193" i="4"/>
  <c r="L193" i="4"/>
  <c r="K193" i="4"/>
  <c r="J193" i="4"/>
  <c r="U192" i="4"/>
  <c r="T192" i="4"/>
  <c r="P192" i="4"/>
  <c r="O192" i="4"/>
  <c r="N192" i="4"/>
  <c r="M192" i="4"/>
  <c r="L192" i="4"/>
  <c r="K192" i="4"/>
  <c r="J192" i="4"/>
  <c r="U191" i="4"/>
  <c r="T191" i="4"/>
  <c r="P191" i="4"/>
  <c r="O191" i="4"/>
  <c r="N191" i="4"/>
  <c r="M191" i="4"/>
  <c r="L191" i="4"/>
  <c r="K191" i="4"/>
  <c r="J191" i="4"/>
  <c r="U190" i="4"/>
  <c r="T190" i="4"/>
  <c r="P190" i="4"/>
  <c r="O190" i="4"/>
  <c r="N190" i="4"/>
  <c r="M190" i="4"/>
  <c r="L190" i="4"/>
  <c r="K190" i="4"/>
  <c r="J190" i="4"/>
  <c r="U189" i="4"/>
  <c r="T189" i="4"/>
  <c r="P189" i="4"/>
  <c r="O189" i="4"/>
  <c r="N189" i="4"/>
  <c r="M189" i="4"/>
  <c r="L189" i="4"/>
  <c r="K189" i="4"/>
  <c r="J189" i="4"/>
  <c r="U188" i="4"/>
  <c r="T188" i="4"/>
  <c r="P188" i="4"/>
  <c r="O188" i="4"/>
  <c r="N188" i="4"/>
  <c r="M188" i="4"/>
  <c r="L188" i="4"/>
  <c r="K188" i="4"/>
  <c r="J188" i="4"/>
  <c r="U187" i="4"/>
  <c r="T187" i="4"/>
  <c r="P187" i="4"/>
  <c r="O187" i="4"/>
  <c r="N187" i="4"/>
  <c r="M187" i="4"/>
  <c r="L187" i="4"/>
  <c r="K187" i="4"/>
  <c r="J187" i="4"/>
  <c r="U186" i="4"/>
  <c r="T186" i="4"/>
  <c r="P186" i="4"/>
  <c r="O186" i="4"/>
  <c r="N186" i="4"/>
  <c r="M186" i="4"/>
  <c r="L186" i="4"/>
  <c r="K186" i="4"/>
  <c r="J186" i="4"/>
  <c r="U185" i="4"/>
  <c r="T185" i="4"/>
  <c r="P185" i="4"/>
  <c r="O185" i="4"/>
  <c r="N185" i="4"/>
  <c r="M185" i="4"/>
  <c r="L185" i="4"/>
  <c r="K185" i="4"/>
  <c r="J185" i="4"/>
  <c r="U184" i="4"/>
  <c r="T184" i="4"/>
  <c r="P184" i="4"/>
  <c r="O184" i="4"/>
  <c r="N184" i="4"/>
  <c r="M184" i="4"/>
  <c r="L184" i="4"/>
  <c r="K184" i="4"/>
  <c r="J184" i="4"/>
  <c r="U183" i="4"/>
  <c r="T183" i="4"/>
  <c r="P183" i="4"/>
  <c r="O183" i="4"/>
  <c r="N183" i="4"/>
  <c r="M183" i="4"/>
  <c r="L183" i="4"/>
  <c r="K183" i="4"/>
  <c r="J183" i="4"/>
  <c r="U182" i="4"/>
  <c r="T182" i="4"/>
  <c r="P182" i="4"/>
  <c r="O182" i="4"/>
  <c r="N182" i="4"/>
  <c r="M182" i="4"/>
  <c r="L182" i="4"/>
  <c r="K182" i="4"/>
  <c r="J182" i="4"/>
  <c r="U181" i="4"/>
  <c r="T181" i="4"/>
  <c r="P181" i="4"/>
  <c r="O181" i="4"/>
  <c r="N181" i="4"/>
  <c r="M181" i="4"/>
  <c r="L181" i="4"/>
  <c r="K181" i="4"/>
  <c r="J181" i="4"/>
  <c r="U180" i="4"/>
  <c r="T180" i="4"/>
  <c r="P180" i="4"/>
  <c r="O180" i="4"/>
  <c r="N180" i="4"/>
  <c r="M180" i="4"/>
  <c r="L180" i="4"/>
  <c r="K180" i="4"/>
  <c r="J180" i="4"/>
  <c r="U179" i="4"/>
  <c r="T179" i="4"/>
  <c r="P179" i="4"/>
  <c r="O179" i="4"/>
  <c r="N179" i="4"/>
  <c r="M179" i="4"/>
  <c r="L179" i="4"/>
  <c r="K179" i="4"/>
  <c r="J179" i="4"/>
  <c r="U178" i="4"/>
  <c r="T178" i="4"/>
  <c r="P178" i="4"/>
  <c r="O178" i="4"/>
  <c r="N178" i="4"/>
  <c r="M178" i="4"/>
  <c r="L178" i="4"/>
  <c r="K178" i="4"/>
  <c r="J178" i="4"/>
  <c r="U177" i="4"/>
  <c r="T177" i="4"/>
  <c r="P177" i="4"/>
  <c r="O177" i="4"/>
  <c r="N177" i="4"/>
  <c r="M177" i="4"/>
  <c r="L177" i="4"/>
  <c r="K177" i="4"/>
  <c r="J177" i="4"/>
  <c r="U176" i="4"/>
  <c r="T176" i="4"/>
  <c r="P176" i="4"/>
  <c r="O176" i="4"/>
  <c r="N176" i="4"/>
  <c r="M176" i="4"/>
  <c r="L176" i="4"/>
  <c r="K176" i="4"/>
  <c r="J176" i="4"/>
  <c r="U175" i="4"/>
  <c r="T175" i="4"/>
  <c r="P175" i="4"/>
  <c r="O175" i="4"/>
  <c r="N175" i="4"/>
  <c r="M175" i="4"/>
  <c r="L175" i="4"/>
  <c r="K175" i="4"/>
  <c r="J175" i="4"/>
  <c r="U174" i="4"/>
  <c r="T174" i="4"/>
  <c r="P174" i="4"/>
  <c r="O174" i="4"/>
  <c r="N174" i="4"/>
  <c r="M174" i="4"/>
  <c r="L174" i="4"/>
  <c r="K174" i="4"/>
  <c r="J174" i="4"/>
  <c r="U173" i="4"/>
  <c r="T173" i="4"/>
  <c r="P173" i="4"/>
  <c r="O173" i="4"/>
  <c r="N173" i="4"/>
  <c r="M173" i="4"/>
  <c r="L173" i="4"/>
  <c r="K173" i="4"/>
  <c r="J173" i="4"/>
  <c r="U172" i="4"/>
  <c r="T172" i="4"/>
  <c r="P172" i="4"/>
  <c r="O172" i="4"/>
  <c r="N172" i="4"/>
  <c r="M172" i="4"/>
  <c r="L172" i="4"/>
  <c r="K172" i="4"/>
  <c r="J172" i="4"/>
  <c r="U171" i="4"/>
  <c r="T171" i="4"/>
  <c r="P171" i="4"/>
  <c r="O171" i="4"/>
  <c r="N171" i="4"/>
  <c r="M171" i="4"/>
  <c r="L171" i="4"/>
  <c r="K171" i="4"/>
  <c r="J171" i="4"/>
  <c r="U170" i="4"/>
  <c r="T170" i="4"/>
  <c r="P170" i="4"/>
  <c r="O170" i="4"/>
  <c r="N170" i="4"/>
  <c r="M170" i="4"/>
  <c r="L170" i="4"/>
  <c r="K170" i="4"/>
  <c r="J170" i="4"/>
  <c r="U169" i="4"/>
  <c r="T169" i="4"/>
  <c r="P169" i="4"/>
  <c r="O169" i="4"/>
  <c r="N169" i="4"/>
  <c r="M169" i="4"/>
  <c r="L169" i="4"/>
  <c r="K169" i="4"/>
  <c r="J169" i="4"/>
  <c r="U168" i="4"/>
  <c r="T168" i="4"/>
  <c r="P168" i="4"/>
  <c r="O168" i="4"/>
  <c r="N168" i="4"/>
  <c r="M168" i="4"/>
  <c r="L168" i="4"/>
  <c r="K168" i="4"/>
  <c r="J168" i="4"/>
  <c r="U167" i="4"/>
  <c r="T167" i="4"/>
  <c r="P167" i="4"/>
  <c r="O167" i="4"/>
  <c r="N167" i="4"/>
  <c r="M167" i="4"/>
  <c r="L167" i="4"/>
  <c r="K167" i="4"/>
  <c r="J167" i="4"/>
  <c r="U166" i="4"/>
  <c r="T166" i="4"/>
  <c r="P166" i="4"/>
  <c r="O166" i="4"/>
  <c r="N166" i="4"/>
  <c r="M166" i="4"/>
  <c r="L166" i="4"/>
  <c r="K166" i="4"/>
  <c r="J166" i="4"/>
  <c r="U165" i="4"/>
  <c r="T165" i="4"/>
  <c r="P165" i="4"/>
  <c r="O165" i="4"/>
  <c r="N165" i="4"/>
  <c r="M165" i="4"/>
  <c r="L165" i="4"/>
  <c r="K165" i="4"/>
  <c r="J165" i="4"/>
  <c r="U164" i="4"/>
  <c r="T164" i="4"/>
  <c r="P164" i="4"/>
  <c r="O164" i="4"/>
  <c r="N164" i="4"/>
  <c r="M164" i="4"/>
  <c r="L164" i="4"/>
  <c r="K164" i="4"/>
  <c r="J164" i="4"/>
  <c r="U163" i="4"/>
  <c r="T163" i="4"/>
  <c r="P163" i="4"/>
  <c r="O163" i="4"/>
  <c r="N163" i="4"/>
  <c r="M163" i="4"/>
  <c r="L163" i="4"/>
  <c r="K163" i="4"/>
  <c r="J163" i="4"/>
  <c r="U162" i="4"/>
  <c r="T162" i="4"/>
  <c r="P162" i="4"/>
  <c r="O162" i="4"/>
  <c r="N162" i="4"/>
  <c r="M162" i="4"/>
  <c r="L162" i="4"/>
  <c r="K162" i="4"/>
  <c r="J162" i="4"/>
  <c r="U161" i="4"/>
  <c r="T161" i="4"/>
  <c r="P161" i="4"/>
  <c r="O161" i="4"/>
  <c r="N161" i="4"/>
  <c r="M161" i="4"/>
  <c r="L161" i="4"/>
  <c r="K161" i="4"/>
  <c r="J161" i="4"/>
  <c r="U160" i="4"/>
  <c r="T160" i="4"/>
  <c r="P160" i="4"/>
  <c r="O160" i="4"/>
  <c r="N160" i="4"/>
  <c r="M160" i="4"/>
  <c r="L160" i="4"/>
  <c r="K160" i="4"/>
  <c r="J160" i="4"/>
  <c r="U159" i="4"/>
  <c r="T159" i="4"/>
  <c r="P159" i="4"/>
  <c r="O159" i="4"/>
  <c r="N159" i="4"/>
  <c r="M159" i="4"/>
  <c r="L159" i="4"/>
  <c r="K159" i="4"/>
  <c r="J159" i="4"/>
  <c r="U158" i="4"/>
  <c r="T158" i="4"/>
  <c r="P158" i="4"/>
  <c r="O158" i="4"/>
  <c r="N158" i="4"/>
  <c r="M158" i="4"/>
  <c r="L158" i="4"/>
  <c r="K158" i="4"/>
  <c r="J158" i="4"/>
  <c r="U157" i="4"/>
  <c r="T157" i="4"/>
  <c r="P157" i="4"/>
  <c r="O157" i="4"/>
  <c r="N157" i="4"/>
  <c r="M157" i="4"/>
  <c r="L157" i="4"/>
  <c r="K157" i="4"/>
  <c r="J157" i="4"/>
  <c r="U156" i="4"/>
  <c r="T156" i="4"/>
  <c r="P156" i="4"/>
  <c r="O156" i="4"/>
  <c r="N156" i="4"/>
  <c r="M156" i="4"/>
  <c r="L156" i="4"/>
  <c r="K156" i="4"/>
  <c r="J156" i="4"/>
  <c r="U155" i="4"/>
  <c r="T155" i="4"/>
  <c r="P155" i="4"/>
  <c r="O155" i="4"/>
  <c r="N155" i="4"/>
  <c r="M155" i="4"/>
  <c r="L155" i="4"/>
  <c r="K155" i="4"/>
  <c r="J155" i="4"/>
  <c r="U154" i="4"/>
  <c r="T154" i="4"/>
  <c r="P154" i="4"/>
  <c r="O154" i="4"/>
  <c r="N154" i="4"/>
  <c r="M154" i="4"/>
  <c r="L154" i="4"/>
  <c r="K154" i="4"/>
  <c r="J154" i="4"/>
  <c r="U153" i="4"/>
  <c r="T153" i="4"/>
  <c r="P153" i="4"/>
  <c r="O153" i="4"/>
  <c r="N153" i="4"/>
  <c r="M153" i="4"/>
  <c r="L153" i="4"/>
  <c r="K153" i="4"/>
  <c r="J153" i="4"/>
  <c r="U152" i="4"/>
  <c r="T152" i="4"/>
  <c r="P152" i="4"/>
  <c r="O152" i="4"/>
  <c r="N152" i="4"/>
  <c r="M152" i="4"/>
  <c r="L152" i="4"/>
  <c r="K152" i="4"/>
  <c r="J152" i="4"/>
  <c r="U151" i="4"/>
  <c r="T151" i="4"/>
  <c r="P151" i="4"/>
  <c r="O151" i="4"/>
  <c r="N151" i="4"/>
  <c r="M151" i="4"/>
  <c r="L151" i="4"/>
  <c r="K151" i="4"/>
  <c r="J151" i="4"/>
  <c r="U150" i="4"/>
  <c r="T150" i="4"/>
  <c r="P150" i="4"/>
  <c r="O150" i="4"/>
  <c r="N150" i="4"/>
  <c r="M150" i="4"/>
  <c r="L150" i="4"/>
  <c r="K150" i="4"/>
  <c r="J150" i="4"/>
  <c r="U149" i="4"/>
  <c r="T149" i="4"/>
  <c r="P149" i="4"/>
  <c r="O149" i="4"/>
  <c r="N149" i="4"/>
  <c r="M149" i="4"/>
  <c r="L149" i="4"/>
  <c r="K149" i="4"/>
  <c r="J149" i="4"/>
  <c r="U148" i="4"/>
  <c r="T148" i="4"/>
  <c r="P148" i="4"/>
  <c r="O148" i="4"/>
  <c r="N148" i="4"/>
  <c r="M148" i="4"/>
  <c r="L148" i="4"/>
  <c r="K148" i="4"/>
  <c r="J148" i="4"/>
  <c r="U147" i="4"/>
  <c r="T147" i="4"/>
  <c r="P147" i="4"/>
  <c r="O147" i="4"/>
  <c r="N147" i="4"/>
  <c r="M147" i="4"/>
  <c r="L147" i="4"/>
  <c r="K147" i="4"/>
  <c r="J147" i="4"/>
  <c r="U146" i="4"/>
  <c r="T146" i="4"/>
  <c r="P146" i="4"/>
  <c r="O146" i="4"/>
  <c r="N146" i="4"/>
  <c r="M146" i="4"/>
  <c r="L146" i="4"/>
  <c r="K146" i="4"/>
  <c r="J146" i="4"/>
  <c r="U145" i="4"/>
  <c r="T145" i="4"/>
  <c r="P145" i="4"/>
  <c r="O145" i="4"/>
  <c r="N145" i="4"/>
  <c r="M145" i="4"/>
  <c r="L145" i="4"/>
  <c r="K145" i="4"/>
  <c r="J145" i="4"/>
  <c r="U144" i="4"/>
  <c r="T144" i="4"/>
  <c r="P144" i="4"/>
  <c r="O144" i="4"/>
  <c r="N144" i="4"/>
  <c r="M144" i="4"/>
  <c r="L144" i="4"/>
  <c r="K144" i="4"/>
  <c r="J144" i="4"/>
  <c r="U143" i="4"/>
  <c r="T143" i="4"/>
  <c r="P143" i="4"/>
  <c r="O143" i="4"/>
  <c r="N143" i="4"/>
  <c r="M143" i="4"/>
  <c r="L143" i="4"/>
  <c r="K143" i="4"/>
  <c r="J143" i="4"/>
  <c r="U142" i="4"/>
  <c r="T142" i="4"/>
  <c r="P142" i="4"/>
  <c r="O142" i="4"/>
  <c r="N142" i="4"/>
  <c r="M142" i="4"/>
  <c r="L142" i="4"/>
  <c r="K142" i="4"/>
  <c r="J142" i="4"/>
  <c r="U141" i="4"/>
  <c r="T141" i="4"/>
  <c r="P141" i="4"/>
  <c r="O141" i="4"/>
  <c r="N141" i="4"/>
  <c r="M141" i="4"/>
  <c r="L141" i="4"/>
  <c r="K141" i="4"/>
  <c r="J141" i="4"/>
  <c r="U140" i="4"/>
  <c r="T140" i="4"/>
  <c r="P140" i="4"/>
  <c r="O140" i="4"/>
  <c r="N140" i="4"/>
  <c r="M140" i="4"/>
  <c r="L140" i="4"/>
  <c r="K140" i="4"/>
  <c r="J140" i="4"/>
  <c r="U139" i="4"/>
  <c r="T139" i="4"/>
  <c r="P139" i="4"/>
  <c r="O139" i="4"/>
  <c r="N139" i="4"/>
  <c r="M139" i="4"/>
  <c r="L139" i="4"/>
  <c r="K139" i="4"/>
  <c r="J139" i="4"/>
  <c r="U138" i="4"/>
  <c r="T138" i="4"/>
  <c r="P138" i="4"/>
  <c r="O138" i="4"/>
  <c r="N138" i="4"/>
  <c r="M138" i="4"/>
  <c r="L138" i="4"/>
  <c r="K138" i="4"/>
  <c r="J138" i="4"/>
  <c r="U137" i="4"/>
  <c r="T137" i="4"/>
  <c r="P137" i="4"/>
  <c r="O137" i="4"/>
  <c r="N137" i="4"/>
  <c r="M137" i="4"/>
  <c r="L137" i="4"/>
  <c r="K137" i="4"/>
  <c r="J137" i="4"/>
  <c r="U136" i="4"/>
  <c r="T136" i="4"/>
  <c r="P136" i="4"/>
  <c r="O136" i="4"/>
  <c r="N136" i="4"/>
  <c r="M136" i="4"/>
  <c r="L136" i="4"/>
  <c r="K136" i="4"/>
  <c r="J136" i="4"/>
  <c r="U135" i="4"/>
  <c r="T135" i="4"/>
  <c r="P135" i="4"/>
  <c r="O135" i="4"/>
  <c r="N135" i="4"/>
  <c r="M135" i="4"/>
  <c r="L135" i="4"/>
  <c r="K135" i="4"/>
  <c r="J135" i="4"/>
  <c r="U134" i="4"/>
  <c r="T134" i="4"/>
  <c r="P134" i="4"/>
  <c r="O134" i="4"/>
  <c r="N134" i="4"/>
  <c r="M134" i="4"/>
  <c r="L134" i="4"/>
  <c r="K134" i="4"/>
  <c r="J134" i="4"/>
  <c r="U133" i="4"/>
  <c r="T133" i="4"/>
  <c r="P133" i="4"/>
  <c r="O133" i="4"/>
  <c r="N133" i="4"/>
  <c r="M133" i="4"/>
  <c r="L133" i="4"/>
  <c r="K133" i="4"/>
  <c r="J133" i="4"/>
  <c r="U132" i="4"/>
  <c r="T132" i="4"/>
  <c r="P132" i="4"/>
  <c r="O132" i="4"/>
  <c r="N132" i="4"/>
  <c r="M132" i="4"/>
  <c r="L132" i="4"/>
  <c r="K132" i="4"/>
  <c r="J132" i="4"/>
  <c r="U131" i="4"/>
  <c r="T131" i="4"/>
  <c r="P131" i="4"/>
  <c r="O131" i="4"/>
  <c r="N131" i="4"/>
  <c r="M131" i="4"/>
  <c r="L131" i="4"/>
  <c r="K131" i="4"/>
  <c r="J131" i="4"/>
  <c r="U130" i="4"/>
  <c r="T130" i="4"/>
  <c r="P130" i="4"/>
  <c r="O130" i="4"/>
  <c r="N130" i="4"/>
  <c r="M130" i="4"/>
  <c r="L130" i="4"/>
  <c r="K130" i="4"/>
  <c r="J130" i="4"/>
  <c r="U129" i="4"/>
  <c r="T129" i="4"/>
  <c r="P129" i="4"/>
  <c r="O129" i="4"/>
  <c r="N129" i="4"/>
  <c r="M129" i="4"/>
  <c r="L129" i="4"/>
  <c r="K129" i="4"/>
  <c r="J129" i="4"/>
  <c r="U128" i="4"/>
  <c r="T128" i="4"/>
  <c r="P128" i="4"/>
  <c r="O128" i="4"/>
  <c r="N128" i="4"/>
  <c r="M128" i="4"/>
  <c r="L128" i="4"/>
  <c r="K128" i="4"/>
  <c r="J128" i="4"/>
  <c r="U127" i="4"/>
  <c r="T127" i="4"/>
  <c r="P127" i="4"/>
  <c r="O127" i="4"/>
  <c r="N127" i="4"/>
  <c r="M127" i="4"/>
  <c r="L127" i="4"/>
  <c r="K127" i="4"/>
  <c r="J127" i="4"/>
  <c r="U126" i="4"/>
  <c r="T126" i="4"/>
  <c r="P126" i="4"/>
  <c r="O126" i="4"/>
  <c r="N126" i="4"/>
  <c r="M126" i="4"/>
  <c r="L126" i="4"/>
  <c r="K126" i="4"/>
  <c r="J126" i="4"/>
  <c r="U125" i="4"/>
  <c r="T125" i="4"/>
  <c r="P125" i="4"/>
  <c r="O125" i="4"/>
  <c r="N125" i="4"/>
  <c r="M125" i="4"/>
  <c r="L125" i="4"/>
  <c r="K125" i="4"/>
  <c r="J125" i="4"/>
  <c r="U124" i="4"/>
  <c r="T124" i="4"/>
  <c r="P124" i="4"/>
  <c r="O124" i="4"/>
  <c r="N124" i="4"/>
  <c r="M124" i="4"/>
  <c r="L124" i="4"/>
  <c r="K124" i="4"/>
  <c r="J124" i="4"/>
  <c r="U123" i="4"/>
  <c r="T123" i="4"/>
  <c r="P123" i="4"/>
  <c r="O123" i="4"/>
  <c r="N123" i="4"/>
  <c r="M123" i="4"/>
  <c r="L123" i="4"/>
  <c r="K123" i="4"/>
  <c r="J123" i="4"/>
  <c r="U122" i="4"/>
  <c r="T122" i="4"/>
  <c r="P122" i="4"/>
  <c r="O122" i="4"/>
  <c r="N122" i="4"/>
  <c r="M122" i="4"/>
  <c r="L122" i="4"/>
  <c r="K122" i="4"/>
  <c r="J122" i="4"/>
  <c r="U121" i="4"/>
  <c r="T121" i="4"/>
  <c r="P121" i="4"/>
  <c r="O121" i="4"/>
  <c r="N121" i="4"/>
  <c r="M121" i="4"/>
  <c r="L121" i="4"/>
  <c r="K121" i="4"/>
  <c r="J121" i="4"/>
  <c r="U120" i="4"/>
  <c r="T120" i="4"/>
  <c r="P120" i="4"/>
  <c r="O120" i="4"/>
  <c r="N120" i="4"/>
  <c r="M120" i="4"/>
  <c r="L120" i="4"/>
  <c r="K120" i="4"/>
  <c r="J120" i="4"/>
  <c r="U119" i="4"/>
  <c r="T119" i="4"/>
  <c r="P119" i="4"/>
  <c r="O119" i="4"/>
  <c r="N119" i="4"/>
  <c r="M119" i="4"/>
  <c r="L119" i="4"/>
  <c r="K119" i="4"/>
  <c r="J119" i="4"/>
  <c r="U118" i="4"/>
  <c r="T118" i="4"/>
  <c r="P118" i="4"/>
  <c r="O118" i="4"/>
  <c r="N118" i="4"/>
  <c r="M118" i="4"/>
  <c r="L118" i="4"/>
  <c r="K118" i="4"/>
  <c r="J118" i="4"/>
  <c r="U117" i="4"/>
  <c r="T117" i="4"/>
  <c r="P117" i="4"/>
  <c r="O117" i="4"/>
  <c r="N117" i="4"/>
  <c r="M117" i="4"/>
  <c r="L117" i="4"/>
  <c r="K117" i="4"/>
  <c r="J117" i="4"/>
  <c r="U116" i="4"/>
  <c r="T116" i="4"/>
  <c r="P116" i="4"/>
  <c r="O116" i="4"/>
  <c r="N116" i="4"/>
  <c r="M116" i="4"/>
  <c r="L116" i="4"/>
  <c r="K116" i="4"/>
  <c r="J116" i="4"/>
  <c r="U115" i="4"/>
  <c r="T115" i="4"/>
  <c r="P115" i="4"/>
  <c r="O115" i="4"/>
  <c r="N115" i="4"/>
  <c r="M115" i="4"/>
  <c r="L115" i="4"/>
  <c r="K115" i="4"/>
  <c r="J115" i="4"/>
  <c r="U114" i="4"/>
  <c r="T114" i="4"/>
  <c r="P114" i="4"/>
  <c r="O114" i="4"/>
  <c r="N114" i="4"/>
  <c r="M114" i="4"/>
  <c r="L114" i="4"/>
  <c r="K114" i="4"/>
  <c r="J114" i="4"/>
  <c r="U113" i="4"/>
  <c r="T113" i="4"/>
  <c r="P113" i="4"/>
  <c r="O113" i="4"/>
  <c r="N113" i="4"/>
  <c r="M113" i="4"/>
  <c r="L113" i="4"/>
  <c r="K113" i="4"/>
  <c r="J113" i="4"/>
  <c r="U112" i="4"/>
  <c r="T112" i="4"/>
  <c r="P112" i="4"/>
  <c r="O112" i="4"/>
  <c r="N112" i="4"/>
  <c r="M112" i="4"/>
  <c r="L112" i="4"/>
  <c r="K112" i="4"/>
  <c r="J112" i="4"/>
  <c r="U111" i="4"/>
  <c r="T111" i="4"/>
  <c r="P111" i="4"/>
  <c r="O111" i="4"/>
  <c r="N111" i="4"/>
  <c r="M111" i="4"/>
  <c r="L111" i="4"/>
  <c r="K111" i="4"/>
  <c r="J111" i="4"/>
  <c r="I111" i="4"/>
  <c r="G111" i="4"/>
  <c r="U110" i="4"/>
  <c r="T110" i="4"/>
  <c r="P110" i="4"/>
  <c r="O110" i="4"/>
  <c r="N110" i="4"/>
  <c r="M110" i="4"/>
  <c r="L110" i="4"/>
  <c r="K110" i="4"/>
  <c r="J110" i="4"/>
  <c r="I110" i="4"/>
  <c r="G110" i="4"/>
  <c r="U109" i="4"/>
  <c r="T109" i="4"/>
  <c r="P109" i="4"/>
  <c r="O109" i="4"/>
  <c r="N109" i="4"/>
  <c r="M109" i="4"/>
  <c r="L109" i="4"/>
  <c r="K109" i="4"/>
  <c r="J109" i="4"/>
  <c r="I109" i="4"/>
  <c r="G109" i="4"/>
  <c r="U108" i="4"/>
  <c r="T108" i="4"/>
  <c r="P108" i="4"/>
  <c r="O108" i="4"/>
  <c r="N108" i="4"/>
  <c r="M108" i="4"/>
  <c r="L108" i="4"/>
  <c r="K108" i="4"/>
  <c r="J108" i="4"/>
  <c r="I108" i="4"/>
  <c r="G108" i="4"/>
  <c r="U107" i="4"/>
  <c r="T107" i="4"/>
  <c r="P107" i="4"/>
  <c r="O107" i="4"/>
  <c r="N107" i="4"/>
  <c r="M107" i="4"/>
  <c r="L107" i="4"/>
  <c r="K107" i="4"/>
  <c r="J107" i="4"/>
  <c r="I107" i="4"/>
  <c r="G107" i="4"/>
  <c r="U106" i="4"/>
  <c r="T106" i="4"/>
  <c r="P106" i="4"/>
  <c r="O106" i="4"/>
  <c r="N106" i="4"/>
  <c r="M106" i="4"/>
  <c r="L106" i="4"/>
  <c r="K106" i="4"/>
  <c r="J106" i="4"/>
  <c r="I106" i="4"/>
  <c r="G106" i="4"/>
  <c r="U105" i="4"/>
  <c r="T105" i="4"/>
  <c r="P105" i="4"/>
  <c r="O105" i="4"/>
  <c r="N105" i="4"/>
  <c r="M105" i="4"/>
  <c r="L105" i="4"/>
  <c r="K105" i="4"/>
  <c r="J105" i="4"/>
  <c r="I105" i="4"/>
  <c r="G105" i="4"/>
  <c r="U104" i="4"/>
  <c r="T104" i="4"/>
  <c r="P104" i="4"/>
  <c r="O104" i="4"/>
  <c r="N104" i="4"/>
  <c r="M104" i="4"/>
  <c r="L104" i="4"/>
  <c r="K104" i="4"/>
  <c r="J104" i="4"/>
  <c r="I104" i="4"/>
  <c r="G104" i="4"/>
  <c r="U103" i="4"/>
  <c r="T103" i="4"/>
  <c r="P103" i="4"/>
  <c r="O103" i="4"/>
  <c r="N103" i="4"/>
  <c r="M103" i="4"/>
  <c r="L103" i="4"/>
  <c r="K103" i="4"/>
  <c r="J103" i="4"/>
  <c r="U102" i="4"/>
  <c r="T102" i="4"/>
  <c r="P102" i="4"/>
  <c r="O102" i="4"/>
  <c r="N102" i="4"/>
  <c r="M102" i="4"/>
  <c r="L102" i="4"/>
  <c r="K102" i="4"/>
  <c r="J102" i="4"/>
  <c r="U101" i="4"/>
  <c r="T101" i="4"/>
  <c r="P101" i="4"/>
  <c r="O101" i="4"/>
  <c r="N101" i="4"/>
  <c r="M101" i="4"/>
  <c r="L101" i="4"/>
  <c r="K101" i="4"/>
  <c r="J101" i="4"/>
  <c r="U100" i="4"/>
  <c r="T100" i="4"/>
  <c r="P100" i="4"/>
  <c r="O100" i="4"/>
  <c r="N100" i="4"/>
  <c r="M100" i="4"/>
  <c r="L100" i="4"/>
  <c r="K100" i="4"/>
  <c r="J100" i="4"/>
  <c r="U99" i="4"/>
  <c r="T99" i="4"/>
  <c r="P99" i="4"/>
  <c r="O99" i="4"/>
  <c r="N99" i="4"/>
  <c r="M99" i="4"/>
  <c r="L99" i="4"/>
  <c r="K99" i="4"/>
  <c r="J99" i="4"/>
  <c r="U98" i="4"/>
  <c r="T98" i="4"/>
  <c r="P98" i="4"/>
  <c r="O98" i="4"/>
  <c r="N98" i="4"/>
  <c r="M98" i="4"/>
  <c r="L98" i="4"/>
  <c r="K98" i="4"/>
  <c r="J98" i="4"/>
  <c r="U97" i="4"/>
  <c r="T97" i="4"/>
  <c r="P97" i="4"/>
  <c r="O97" i="4"/>
  <c r="N97" i="4"/>
  <c r="M97" i="4"/>
  <c r="L97" i="4"/>
  <c r="K97" i="4"/>
  <c r="J97" i="4"/>
  <c r="U96" i="4"/>
  <c r="T96" i="4"/>
  <c r="P96" i="4"/>
  <c r="O96" i="4"/>
  <c r="N96" i="4"/>
  <c r="M96" i="4"/>
  <c r="L96" i="4"/>
  <c r="K96" i="4"/>
  <c r="J96" i="4"/>
  <c r="I96" i="4"/>
  <c r="U95" i="4"/>
  <c r="T95" i="4"/>
  <c r="P95" i="4"/>
  <c r="O95" i="4"/>
  <c r="N95" i="4"/>
  <c r="M95" i="4"/>
  <c r="L95" i="4"/>
  <c r="K95" i="4"/>
  <c r="J95" i="4"/>
  <c r="I95" i="4"/>
  <c r="U94" i="4"/>
  <c r="T94" i="4"/>
  <c r="P94" i="4"/>
  <c r="O94" i="4"/>
  <c r="N94" i="4"/>
  <c r="M94" i="4"/>
  <c r="L94" i="4"/>
  <c r="K94" i="4"/>
  <c r="J94" i="4"/>
  <c r="I94" i="4"/>
  <c r="U93" i="4"/>
  <c r="T93" i="4"/>
  <c r="P93" i="4"/>
  <c r="O93" i="4"/>
  <c r="N93" i="4"/>
  <c r="M93" i="4"/>
  <c r="L93" i="4"/>
  <c r="K93" i="4"/>
  <c r="J93" i="4"/>
  <c r="I93" i="4"/>
  <c r="U92" i="4"/>
  <c r="T92" i="4"/>
  <c r="P92" i="4"/>
  <c r="O92" i="4"/>
  <c r="N92" i="4"/>
  <c r="M92" i="4"/>
  <c r="L92" i="4"/>
  <c r="K92" i="4"/>
  <c r="J92" i="4"/>
  <c r="I92" i="4"/>
  <c r="U91" i="4"/>
  <c r="T91" i="4"/>
  <c r="P91" i="4"/>
  <c r="O91" i="4"/>
  <c r="N91" i="4"/>
  <c r="M91" i="4"/>
  <c r="L91" i="4"/>
  <c r="K91" i="4"/>
  <c r="J91" i="4"/>
  <c r="I91" i="4"/>
  <c r="U90" i="4"/>
  <c r="T90" i="4"/>
  <c r="P90" i="4"/>
  <c r="O90" i="4"/>
  <c r="N90" i="4"/>
  <c r="M90" i="4"/>
  <c r="L90" i="4"/>
  <c r="K90" i="4"/>
  <c r="J90" i="4"/>
  <c r="I90" i="4"/>
  <c r="U89" i="4"/>
  <c r="T89" i="4"/>
  <c r="P89" i="4"/>
  <c r="O89" i="4"/>
  <c r="N89" i="4"/>
  <c r="M89" i="4"/>
  <c r="L89" i="4"/>
  <c r="K89" i="4"/>
  <c r="J89" i="4"/>
  <c r="I89" i="4"/>
  <c r="U88" i="4"/>
  <c r="T88" i="4"/>
  <c r="P88" i="4"/>
  <c r="O88" i="4"/>
  <c r="N88" i="4"/>
  <c r="M88" i="4"/>
  <c r="L88" i="4"/>
  <c r="K88" i="4"/>
  <c r="J88" i="4"/>
  <c r="U87" i="4"/>
  <c r="T87" i="4"/>
  <c r="P87" i="4"/>
  <c r="O87" i="4"/>
  <c r="N87" i="4"/>
  <c r="M87" i="4"/>
  <c r="L87" i="4"/>
  <c r="K87" i="4"/>
  <c r="J87" i="4"/>
  <c r="U86" i="4"/>
  <c r="T86" i="4"/>
  <c r="P86" i="4"/>
  <c r="O86" i="4"/>
  <c r="N86" i="4"/>
  <c r="M86" i="4"/>
  <c r="L86" i="4"/>
  <c r="K86" i="4"/>
  <c r="J86" i="4"/>
  <c r="U85" i="4"/>
  <c r="T85" i="4"/>
  <c r="P85" i="4"/>
  <c r="O85" i="4"/>
  <c r="N85" i="4"/>
  <c r="M85" i="4"/>
  <c r="L85" i="4"/>
  <c r="K85" i="4"/>
  <c r="J85" i="4"/>
  <c r="U84" i="4"/>
  <c r="T84" i="4"/>
  <c r="P84" i="4"/>
  <c r="O84" i="4"/>
  <c r="N84" i="4"/>
  <c r="M84" i="4"/>
  <c r="L84" i="4"/>
  <c r="K84" i="4"/>
  <c r="J84" i="4"/>
  <c r="U83" i="4"/>
  <c r="T83" i="4"/>
  <c r="P83" i="4"/>
  <c r="O83" i="4"/>
  <c r="N83" i="4"/>
  <c r="M83" i="4"/>
  <c r="L83" i="4"/>
  <c r="K83" i="4"/>
  <c r="J83" i="4"/>
  <c r="I83" i="4"/>
  <c r="G83" i="4"/>
  <c r="U82" i="4"/>
  <c r="T82" i="4"/>
  <c r="P82" i="4"/>
  <c r="O82" i="4"/>
  <c r="N82" i="4"/>
  <c r="M82" i="4"/>
  <c r="L82" i="4"/>
  <c r="K82" i="4"/>
  <c r="J82" i="4"/>
  <c r="U81" i="4"/>
  <c r="T81" i="4"/>
  <c r="P81" i="4"/>
  <c r="O81" i="4"/>
  <c r="N81" i="4"/>
  <c r="M81" i="4"/>
  <c r="L81" i="4"/>
  <c r="K81" i="4"/>
  <c r="J81" i="4"/>
  <c r="U80" i="4"/>
  <c r="T80" i="4"/>
  <c r="P80" i="4"/>
  <c r="O80" i="4"/>
  <c r="N80" i="4"/>
  <c r="M80" i="4"/>
  <c r="L80" i="4"/>
  <c r="K80" i="4"/>
  <c r="J80" i="4"/>
  <c r="U79" i="4"/>
  <c r="T79" i="4"/>
  <c r="P79" i="4"/>
  <c r="O79" i="4"/>
  <c r="N79" i="4"/>
  <c r="M79" i="4"/>
  <c r="L79" i="4"/>
  <c r="K79" i="4"/>
  <c r="J79" i="4"/>
  <c r="U78" i="4"/>
  <c r="T78" i="4"/>
  <c r="P78" i="4"/>
  <c r="O78" i="4"/>
  <c r="N78" i="4"/>
  <c r="M78" i="4"/>
  <c r="L78" i="4"/>
  <c r="K78" i="4"/>
  <c r="J78" i="4"/>
  <c r="U77" i="4"/>
  <c r="T77" i="4"/>
  <c r="P77" i="4"/>
  <c r="O77" i="4"/>
  <c r="N77" i="4"/>
  <c r="M77" i="4"/>
  <c r="L77" i="4"/>
  <c r="K77" i="4"/>
  <c r="J77" i="4"/>
  <c r="U76" i="4"/>
  <c r="T76" i="4"/>
  <c r="P76" i="4"/>
  <c r="O76" i="4"/>
  <c r="N76" i="4"/>
  <c r="M76" i="4"/>
  <c r="L76" i="4"/>
  <c r="K76" i="4"/>
  <c r="J76" i="4"/>
  <c r="U75" i="4"/>
  <c r="T75" i="4"/>
  <c r="P75" i="4"/>
  <c r="O75" i="4"/>
  <c r="N75" i="4"/>
  <c r="M75" i="4"/>
  <c r="L75" i="4"/>
  <c r="K75" i="4"/>
  <c r="J75" i="4"/>
  <c r="U74" i="4"/>
  <c r="T74" i="4"/>
  <c r="P74" i="4"/>
  <c r="O74" i="4"/>
  <c r="N74" i="4"/>
  <c r="M74" i="4"/>
  <c r="L74" i="4"/>
  <c r="K74" i="4"/>
  <c r="J74" i="4"/>
  <c r="U73" i="4"/>
  <c r="T73" i="4"/>
  <c r="P73" i="4"/>
  <c r="O73" i="4"/>
  <c r="N73" i="4"/>
  <c r="M73" i="4"/>
  <c r="L73" i="4"/>
  <c r="K73" i="4"/>
  <c r="J73" i="4"/>
  <c r="U72" i="4"/>
  <c r="T72" i="4"/>
  <c r="P72" i="4"/>
  <c r="O72" i="4"/>
  <c r="N72" i="4"/>
  <c r="M72" i="4"/>
  <c r="L72" i="4"/>
  <c r="K72" i="4"/>
  <c r="J72" i="4"/>
  <c r="U71" i="4"/>
  <c r="T71" i="4"/>
  <c r="P71" i="4"/>
  <c r="O71" i="4"/>
  <c r="N71" i="4"/>
  <c r="M71" i="4"/>
  <c r="L71" i="4"/>
  <c r="K71" i="4"/>
  <c r="J71" i="4"/>
  <c r="U70" i="4"/>
  <c r="T70" i="4"/>
  <c r="P70" i="4"/>
  <c r="O70" i="4"/>
  <c r="N70" i="4"/>
  <c r="M70" i="4"/>
  <c r="L70" i="4"/>
  <c r="K70" i="4"/>
  <c r="J70" i="4"/>
  <c r="U69" i="4"/>
  <c r="T69" i="4"/>
  <c r="P69" i="4"/>
  <c r="O69" i="4"/>
  <c r="N69" i="4"/>
  <c r="M69" i="4"/>
  <c r="L69" i="4"/>
  <c r="K69" i="4"/>
  <c r="J69" i="4"/>
  <c r="U68" i="4"/>
  <c r="T68" i="4"/>
  <c r="P68" i="4"/>
  <c r="O68" i="4"/>
  <c r="N68" i="4"/>
  <c r="M68" i="4"/>
  <c r="L68" i="4"/>
  <c r="K68" i="4"/>
  <c r="J68" i="4"/>
  <c r="U67" i="4"/>
  <c r="T67" i="4"/>
  <c r="P67" i="4"/>
  <c r="O67" i="4"/>
  <c r="N67" i="4"/>
  <c r="M67" i="4"/>
  <c r="L67" i="4"/>
  <c r="K67" i="4"/>
  <c r="J67" i="4"/>
  <c r="U66" i="4"/>
  <c r="T66" i="4"/>
  <c r="P66" i="4"/>
  <c r="O66" i="4"/>
  <c r="N66" i="4"/>
  <c r="M66" i="4"/>
  <c r="L66" i="4"/>
  <c r="K66" i="4"/>
  <c r="J66" i="4"/>
  <c r="U65" i="4"/>
  <c r="T65" i="4"/>
  <c r="P65" i="4"/>
  <c r="O65" i="4"/>
  <c r="N65" i="4"/>
  <c r="M65" i="4"/>
  <c r="L65" i="4"/>
  <c r="K65" i="4"/>
  <c r="J65" i="4"/>
  <c r="U64" i="4"/>
  <c r="T64" i="4"/>
  <c r="P64" i="4"/>
  <c r="O64" i="4"/>
  <c r="N64" i="4"/>
  <c r="M64" i="4"/>
  <c r="L64" i="4"/>
  <c r="K64" i="4"/>
  <c r="J64" i="4"/>
  <c r="U63" i="4"/>
  <c r="T63" i="4"/>
  <c r="P63" i="4"/>
  <c r="O63" i="4"/>
  <c r="N63" i="4"/>
  <c r="M63" i="4"/>
  <c r="L63" i="4"/>
  <c r="K63" i="4"/>
  <c r="J63" i="4"/>
  <c r="U62" i="4"/>
  <c r="T62" i="4"/>
  <c r="P62" i="4"/>
  <c r="O62" i="4"/>
  <c r="N62" i="4"/>
  <c r="M62" i="4"/>
  <c r="L62" i="4"/>
  <c r="K62" i="4"/>
  <c r="J62" i="4"/>
  <c r="U61" i="4"/>
  <c r="T61" i="4"/>
  <c r="P61" i="4"/>
  <c r="O61" i="4"/>
  <c r="N61" i="4"/>
  <c r="M61" i="4"/>
  <c r="L61" i="4"/>
  <c r="K61" i="4"/>
  <c r="J61" i="4"/>
  <c r="U60" i="4"/>
  <c r="T60" i="4"/>
  <c r="P60" i="4"/>
  <c r="O60" i="4"/>
  <c r="N60" i="4"/>
  <c r="M60" i="4"/>
  <c r="L60" i="4"/>
  <c r="K60" i="4"/>
  <c r="J60" i="4"/>
  <c r="U59" i="4"/>
  <c r="T59" i="4"/>
  <c r="P59" i="4"/>
  <c r="O59" i="4"/>
  <c r="N59" i="4"/>
  <c r="M59" i="4"/>
  <c r="L59" i="4"/>
  <c r="K59" i="4"/>
  <c r="J59" i="4"/>
  <c r="U58" i="4"/>
  <c r="T58" i="4"/>
  <c r="P58" i="4"/>
  <c r="O58" i="4"/>
  <c r="N58" i="4"/>
  <c r="M58" i="4"/>
  <c r="L58" i="4"/>
  <c r="K58" i="4"/>
  <c r="J58" i="4"/>
  <c r="I58" i="4"/>
  <c r="U57" i="4"/>
  <c r="T57" i="4"/>
  <c r="P57" i="4"/>
  <c r="O57" i="4"/>
  <c r="N57" i="4"/>
  <c r="M57" i="4"/>
  <c r="L57" i="4"/>
  <c r="K57" i="4"/>
  <c r="J57" i="4"/>
  <c r="I57" i="4"/>
  <c r="U56" i="4"/>
  <c r="T56" i="4"/>
  <c r="P56" i="4"/>
  <c r="O56" i="4"/>
  <c r="N56" i="4"/>
  <c r="M56" i="4"/>
  <c r="L56" i="4"/>
  <c r="K56" i="4"/>
  <c r="J56" i="4"/>
  <c r="I56" i="4"/>
  <c r="U55" i="4"/>
  <c r="T55" i="4"/>
  <c r="P55" i="4"/>
  <c r="O55" i="4"/>
  <c r="N55" i="4"/>
  <c r="M55" i="4"/>
  <c r="L55" i="4"/>
  <c r="K55" i="4"/>
  <c r="J55" i="4"/>
  <c r="I55" i="4"/>
  <c r="U54" i="4"/>
  <c r="T54" i="4"/>
  <c r="P54" i="4"/>
  <c r="O54" i="4"/>
  <c r="N54" i="4"/>
  <c r="M54" i="4"/>
  <c r="L54" i="4"/>
  <c r="K54" i="4"/>
  <c r="J54" i="4"/>
  <c r="I54" i="4"/>
  <c r="U53" i="4"/>
  <c r="T53" i="4"/>
  <c r="P53" i="4"/>
  <c r="O53" i="4"/>
  <c r="N53" i="4"/>
  <c r="M53" i="4"/>
  <c r="L53" i="4"/>
  <c r="K53" i="4"/>
  <c r="J53" i="4"/>
  <c r="I53" i="4"/>
  <c r="U52" i="4"/>
  <c r="T52" i="4"/>
  <c r="P52" i="4"/>
  <c r="O52" i="4"/>
  <c r="N52" i="4"/>
  <c r="M52" i="4"/>
  <c r="L52" i="4"/>
  <c r="K52" i="4"/>
  <c r="J52" i="4"/>
  <c r="I52" i="4"/>
  <c r="U51" i="4"/>
  <c r="T51" i="4"/>
  <c r="P51" i="4"/>
  <c r="O51" i="4"/>
  <c r="N51" i="4"/>
  <c r="M51" i="4"/>
  <c r="L51" i="4"/>
  <c r="K51" i="4"/>
  <c r="J51" i="4"/>
  <c r="U50" i="4"/>
  <c r="T50" i="4"/>
  <c r="P50" i="4"/>
  <c r="O50" i="4"/>
  <c r="N50" i="4"/>
  <c r="M50" i="4"/>
  <c r="L50" i="4"/>
  <c r="K50" i="4"/>
  <c r="J50" i="4"/>
  <c r="U49" i="4"/>
  <c r="T49" i="4"/>
  <c r="P49" i="4"/>
  <c r="O49" i="4"/>
  <c r="N49" i="4"/>
  <c r="M49" i="4"/>
  <c r="L49" i="4"/>
  <c r="K49" i="4"/>
  <c r="J49" i="4"/>
  <c r="U48" i="4"/>
  <c r="T48" i="4"/>
  <c r="P48" i="4"/>
  <c r="O48" i="4"/>
  <c r="N48" i="4"/>
  <c r="M48" i="4"/>
  <c r="L48" i="4"/>
  <c r="K48" i="4"/>
  <c r="J48" i="4"/>
  <c r="U47" i="4"/>
  <c r="T47" i="4"/>
  <c r="P47" i="4"/>
  <c r="O47" i="4"/>
  <c r="N47" i="4"/>
  <c r="M47" i="4"/>
  <c r="L47" i="4"/>
  <c r="K47" i="4"/>
  <c r="J47" i="4"/>
  <c r="U46" i="4"/>
  <c r="T46" i="4"/>
  <c r="P46" i="4"/>
  <c r="O46" i="4"/>
  <c r="N46" i="4"/>
  <c r="M46" i="4"/>
  <c r="L46" i="4"/>
  <c r="K46" i="4"/>
  <c r="J46" i="4"/>
  <c r="U45" i="4"/>
  <c r="T45" i="4"/>
  <c r="P45" i="4"/>
  <c r="O45" i="4"/>
  <c r="N45" i="4"/>
  <c r="M45" i="4"/>
  <c r="L45" i="4"/>
  <c r="K45" i="4"/>
  <c r="J45" i="4"/>
  <c r="I45" i="4"/>
  <c r="G45" i="4"/>
  <c r="U44" i="4"/>
  <c r="T44" i="4"/>
  <c r="P44" i="4"/>
  <c r="O44" i="4"/>
  <c r="N44" i="4"/>
  <c r="M44" i="4"/>
  <c r="L44" i="4"/>
  <c r="K44" i="4"/>
  <c r="J44" i="4"/>
  <c r="U43" i="4"/>
  <c r="T43" i="4"/>
  <c r="P43" i="4"/>
  <c r="O43" i="4"/>
  <c r="N43" i="4"/>
  <c r="M43" i="4"/>
  <c r="L43" i="4"/>
  <c r="K43" i="4"/>
  <c r="J43" i="4"/>
  <c r="U42" i="4"/>
  <c r="T42" i="4"/>
  <c r="P42" i="4"/>
  <c r="O42" i="4"/>
  <c r="N42" i="4"/>
  <c r="M42" i="4"/>
  <c r="L42" i="4"/>
  <c r="K42" i="4"/>
  <c r="J42" i="4"/>
  <c r="U41" i="4"/>
  <c r="T41" i="4"/>
  <c r="P41" i="4"/>
  <c r="O41" i="4"/>
  <c r="N41" i="4"/>
  <c r="M41" i="4"/>
  <c r="L41" i="4"/>
  <c r="K41" i="4"/>
  <c r="J41" i="4"/>
  <c r="U40" i="4"/>
  <c r="T40" i="4"/>
  <c r="P40" i="4"/>
  <c r="O40" i="4"/>
  <c r="N40" i="4"/>
  <c r="M40" i="4"/>
  <c r="L40" i="4"/>
  <c r="K40" i="4"/>
  <c r="J40" i="4"/>
  <c r="U39" i="4"/>
  <c r="T39" i="4"/>
  <c r="P39" i="4"/>
  <c r="O39" i="4"/>
  <c r="N39" i="4"/>
  <c r="M39" i="4"/>
  <c r="L39" i="4"/>
  <c r="K39" i="4"/>
  <c r="J39" i="4"/>
  <c r="U38" i="4"/>
  <c r="T38" i="4"/>
  <c r="P38" i="4"/>
  <c r="O38" i="4"/>
  <c r="N38" i="4"/>
  <c r="M38" i="4"/>
  <c r="L38" i="4"/>
  <c r="K38" i="4"/>
  <c r="J38" i="4"/>
  <c r="I38" i="4"/>
  <c r="U37" i="4"/>
  <c r="T37" i="4"/>
  <c r="P37" i="4"/>
  <c r="O37" i="4"/>
  <c r="N37" i="4"/>
  <c r="M37" i="4"/>
  <c r="L37" i="4"/>
  <c r="K37" i="4"/>
  <c r="J37" i="4"/>
  <c r="I37" i="4"/>
  <c r="U36" i="4"/>
  <c r="T36" i="4"/>
  <c r="P36" i="4"/>
  <c r="O36" i="4"/>
  <c r="N36" i="4"/>
  <c r="M36" i="4"/>
  <c r="L36" i="4"/>
  <c r="K36" i="4"/>
  <c r="J36" i="4"/>
  <c r="I36" i="4"/>
  <c r="U35" i="4"/>
  <c r="T35" i="4"/>
  <c r="P35" i="4"/>
  <c r="O35" i="4"/>
  <c r="N35" i="4"/>
  <c r="M35" i="4"/>
  <c r="L35" i="4"/>
  <c r="K35" i="4"/>
  <c r="J35" i="4"/>
  <c r="I35" i="4"/>
  <c r="U34" i="4"/>
  <c r="T34" i="4"/>
  <c r="P34" i="4"/>
  <c r="O34" i="4"/>
  <c r="N34" i="4"/>
  <c r="M34" i="4"/>
  <c r="L34" i="4"/>
  <c r="K34" i="4"/>
  <c r="J34" i="4"/>
  <c r="I34" i="4"/>
  <c r="U33" i="4"/>
  <c r="T33" i="4"/>
  <c r="P33" i="4"/>
  <c r="O33" i="4"/>
  <c r="N33" i="4"/>
  <c r="M33" i="4"/>
  <c r="L33" i="4"/>
  <c r="K33" i="4"/>
  <c r="J33" i="4"/>
  <c r="I33" i="4"/>
  <c r="U32" i="4"/>
  <c r="T32" i="4"/>
  <c r="P32" i="4"/>
  <c r="O32" i="4"/>
  <c r="N32" i="4"/>
  <c r="M32" i="4"/>
  <c r="L32" i="4"/>
  <c r="K32" i="4"/>
  <c r="J32" i="4"/>
  <c r="I32" i="4"/>
  <c r="U31" i="4"/>
  <c r="T31" i="4"/>
  <c r="P31" i="4"/>
  <c r="O31" i="4"/>
  <c r="N31" i="4"/>
  <c r="M31" i="4"/>
  <c r="L31" i="4"/>
  <c r="K31" i="4"/>
  <c r="J31" i="4"/>
  <c r="I31" i="4"/>
  <c r="U30" i="4"/>
  <c r="T30" i="4"/>
  <c r="P30" i="4"/>
  <c r="O30" i="4"/>
  <c r="N30" i="4"/>
  <c r="M30" i="4"/>
  <c r="L30" i="4"/>
  <c r="K30" i="4"/>
  <c r="J30" i="4"/>
  <c r="U29" i="4"/>
  <c r="T29" i="4"/>
  <c r="P29" i="4"/>
  <c r="O29" i="4"/>
  <c r="N29" i="4"/>
  <c r="M29" i="4"/>
  <c r="L29" i="4"/>
  <c r="K29" i="4"/>
  <c r="J29" i="4"/>
  <c r="U28" i="4"/>
  <c r="T28" i="4"/>
  <c r="P28" i="4"/>
  <c r="O28" i="4"/>
  <c r="N28" i="4"/>
  <c r="M28" i="4"/>
  <c r="L28" i="4"/>
  <c r="K28" i="4"/>
  <c r="J28" i="4"/>
  <c r="U27" i="4"/>
  <c r="T27" i="4"/>
  <c r="P27" i="4"/>
  <c r="O27" i="4"/>
  <c r="N27" i="4"/>
  <c r="M27" i="4"/>
  <c r="L27" i="4"/>
  <c r="K27" i="4"/>
  <c r="J27" i="4"/>
  <c r="U26" i="4"/>
  <c r="T26" i="4"/>
  <c r="P26" i="4"/>
  <c r="O26" i="4"/>
  <c r="N26" i="4"/>
  <c r="M26" i="4"/>
  <c r="L26" i="4"/>
  <c r="K26" i="4"/>
  <c r="J26" i="4"/>
  <c r="U25" i="4"/>
  <c r="T25" i="4"/>
  <c r="P25" i="4"/>
  <c r="O25" i="4"/>
  <c r="N25" i="4"/>
  <c r="M25" i="4"/>
  <c r="L25" i="4"/>
  <c r="K25" i="4"/>
  <c r="J25" i="4"/>
  <c r="U24" i="4"/>
  <c r="T24" i="4"/>
  <c r="P24" i="4"/>
  <c r="O24" i="4"/>
  <c r="N24" i="4"/>
  <c r="M24" i="4"/>
  <c r="L24" i="4"/>
  <c r="K24" i="4"/>
  <c r="J24" i="4"/>
  <c r="U23" i="4"/>
  <c r="T23" i="4"/>
  <c r="P23" i="4"/>
  <c r="O23" i="4"/>
  <c r="N23" i="4"/>
  <c r="M23" i="4"/>
  <c r="L23" i="4"/>
  <c r="K23" i="4"/>
  <c r="J23" i="4"/>
  <c r="I23" i="4"/>
  <c r="U22" i="4"/>
  <c r="T22" i="4"/>
  <c r="P22" i="4"/>
  <c r="O22" i="4"/>
  <c r="N22" i="4"/>
  <c r="M22" i="4"/>
  <c r="L22" i="4"/>
  <c r="K22" i="4"/>
  <c r="J22" i="4"/>
  <c r="I22" i="4"/>
  <c r="U21" i="4"/>
  <c r="T21" i="4"/>
  <c r="P21" i="4"/>
  <c r="O21" i="4"/>
  <c r="N21" i="4"/>
  <c r="M21" i="4"/>
  <c r="L21" i="4"/>
  <c r="K21" i="4"/>
  <c r="J21" i="4"/>
  <c r="I21" i="4"/>
  <c r="U20" i="4"/>
  <c r="T20" i="4"/>
  <c r="P20" i="4"/>
  <c r="O20" i="4"/>
  <c r="N20" i="4"/>
  <c r="M20" i="4"/>
  <c r="L20" i="4"/>
  <c r="K20" i="4"/>
  <c r="J20" i="4"/>
  <c r="I20" i="4"/>
  <c r="U19" i="4"/>
  <c r="T19" i="4"/>
  <c r="P19" i="4"/>
  <c r="O19" i="4"/>
  <c r="N19" i="4"/>
  <c r="M19" i="4"/>
  <c r="L19" i="4"/>
  <c r="K19" i="4"/>
  <c r="J19" i="4"/>
  <c r="I19" i="4"/>
  <c r="U18" i="4"/>
  <c r="T18" i="4"/>
  <c r="P18" i="4"/>
  <c r="O18" i="4"/>
  <c r="N18" i="4"/>
  <c r="M18" i="4"/>
  <c r="L18" i="4"/>
  <c r="K18" i="4"/>
  <c r="J18" i="4"/>
  <c r="I18" i="4"/>
  <c r="U17" i="4"/>
  <c r="T17" i="4"/>
  <c r="P17" i="4"/>
  <c r="O17" i="4"/>
  <c r="N17" i="4"/>
  <c r="M17" i="4"/>
  <c r="L17" i="4"/>
  <c r="K17" i="4"/>
  <c r="J17" i="4"/>
  <c r="I17" i="4"/>
  <c r="U16" i="4"/>
  <c r="T16" i="4"/>
  <c r="P16" i="4"/>
  <c r="O16" i="4"/>
  <c r="N16" i="4"/>
  <c r="M16" i="4"/>
  <c r="L16" i="4"/>
  <c r="K16" i="4"/>
  <c r="J16" i="4"/>
  <c r="U15" i="4"/>
  <c r="T15" i="4"/>
  <c r="P15" i="4"/>
  <c r="O15" i="4"/>
  <c r="N15" i="4"/>
  <c r="M15" i="4"/>
  <c r="L15" i="4"/>
  <c r="K15" i="4"/>
  <c r="J15" i="4"/>
  <c r="U14" i="4"/>
  <c r="T14" i="4"/>
  <c r="P14" i="4"/>
  <c r="O14" i="4"/>
  <c r="N14" i="4"/>
  <c r="M14" i="4"/>
  <c r="L14" i="4"/>
  <c r="K14" i="4"/>
  <c r="J14" i="4"/>
  <c r="U13" i="4"/>
  <c r="T13" i="4"/>
  <c r="P13" i="4"/>
  <c r="O13" i="4"/>
  <c r="N13" i="4"/>
  <c r="M13" i="4"/>
  <c r="L13" i="4"/>
  <c r="K13" i="4"/>
  <c r="J13" i="4"/>
  <c r="P12" i="4"/>
  <c r="O12" i="4"/>
  <c r="N12" i="4"/>
  <c r="M12" i="4"/>
  <c r="S9" i="4"/>
  <c r="S8" i="4"/>
  <c r="S7" i="4"/>
  <c r="I7" i="4"/>
  <c r="G7" i="4"/>
  <c r="S6" i="4"/>
  <c r="S5" i="4"/>
  <c r="I5" i="4"/>
  <c r="S4" i="4"/>
  <c r="S3" i="4"/>
  <c r="S2" i="4"/>
  <c r="S1" i="4"/>
  <c r="U155" i="5"/>
  <c r="T155" i="5"/>
  <c r="P155" i="5"/>
  <c r="O155" i="5"/>
  <c r="N155" i="5"/>
  <c r="M155" i="5"/>
  <c r="L155" i="5"/>
  <c r="K155" i="5"/>
  <c r="J155" i="5"/>
  <c r="I155" i="5"/>
  <c r="U154" i="5"/>
  <c r="T154" i="5"/>
  <c r="P154" i="5"/>
  <c r="O154" i="5"/>
  <c r="N154" i="5"/>
  <c r="M154" i="5"/>
  <c r="L154" i="5"/>
  <c r="K154" i="5"/>
  <c r="J154" i="5"/>
  <c r="I154" i="5"/>
  <c r="U153" i="5"/>
  <c r="T153" i="5"/>
  <c r="P153" i="5"/>
  <c r="O153" i="5"/>
  <c r="N153" i="5"/>
  <c r="M153" i="5"/>
  <c r="L153" i="5"/>
  <c r="K153" i="5"/>
  <c r="J153" i="5"/>
  <c r="I153" i="5"/>
  <c r="U152" i="5"/>
  <c r="T152" i="5"/>
  <c r="P152" i="5"/>
  <c r="O152" i="5"/>
  <c r="N152" i="5"/>
  <c r="M152" i="5"/>
  <c r="L152" i="5"/>
  <c r="K152" i="5"/>
  <c r="J152" i="5"/>
  <c r="I152" i="5"/>
  <c r="U151" i="5"/>
  <c r="T151" i="5"/>
  <c r="P151" i="5"/>
  <c r="O151" i="5"/>
  <c r="N151" i="5"/>
  <c r="M151" i="5"/>
  <c r="L151" i="5"/>
  <c r="K151" i="5"/>
  <c r="J151" i="5"/>
  <c r="I151" i="5"/>
  <c r="U150" i="5"/>
  <c r="T150" i="5"/>
  <c r="P150" i="5"/>
  <c r="O150" i="5"/>
  <c r="N150" i="5"/>
  <c r="M150" i="5"/>
  <c r="L150" i="5"/>
  <c r="K150" i="5"/>
  <c r="J150" i="5"/>
  <c r="I150" i="5"/>
  <c r="U149" i="5"/>
  <c r="T149" i="5"/>
  <c r="P149" i="5"/>
  <c r="O149" i="5"/>
  <c r="N149" i="5"/>
  <c r="M149" i="5"/>
  <c r="L149" i="5"/>
  <c r="K149" i="5"/>
  <c r="J149" i="5"/>
  <c r="I149" i="5"/>
  <c r="U148" i="5"/>
  <c r="T148" i="5"/>
  <c r="P148" i="5"/>
  <c r="O148" i="5"/>
  <c r="N148" i="5"/>
  <c r="M148" i="5"/>
  <c r="L148" i="5"/>
  <c r="K148" i="5"/>
  <c r="J148" i="5"/>
  <c r="I148" i="5"/>
  <c r="U147" i="5"/>
  <c r="T147" i="5"/>
  <c r="P147" i="5"/>
  <c r="O147" i="5"/>
  <c r="N147" i="5"/>
  <c r="M147" i="5"/>
  <c r="L147" i="5"/>
  <c r="K147" i="5"/>
  <c r="J147" i="5"/>
  <c r="U146" i="5"/>
  <c r="T146" i="5"/>
  <c r="P146" i="5"/>
  <c r="O146" i="5"/>
  <c r="N146" i="5"/>
  <c r="M146" i="5"/>
  <c r="L146" i="5"/>
  <c r="K146" i="5"/>
  <c r="J146" i="5"/>
  <c r="U145" i="5"/>
  <c r="T145" i="5"/>
  <c r="P145" i="5"/>
  <c r="O145" i="5"/>
  <c r="N145" i="5"/>
  <c r="M145" i="5"/>
  <c r="L145" i="5"/>
  <c r="K145" i="5"/>
  <c r="J145" i="5"/>
  <c r="U144" i="5"/>
  <c r="T144" i="5"/>
  <c r="P144" i="5"/>
  <c r="O144" i="5"/>
  <c r="N144" i="5"/>
  <c r="M144" i="5"/>
  <c r="L144" i="5"/>
  <c r="K144" i="5"/>
  <c r="J144" i="5"/>
  <c r="U143" i="5"/>
  <c r="T143" i="5"/>
  <c r="P143" i="5"/>
  <c r="O143" i="5"/>
  <c r="N143" i="5"/>
  <c r="M143" i="5"/>
  <c r="L143" i="5"/>
  <c r="K143" i="5"/>
  <c r="J143" i="5"/>
  <c r="U142" i="5"/>
  <c r="T142" i="5"/>
  <c r="P142" i="5"/>
  <c r="O142" i="5"/>
  <c r="N142" i="5"/>
  <c r="M142" i="5"/>
  <c r="L142" i="5"/>
  <c r="K142" i="5"/>
  <c r="J142" i="5"/>
  <c r="I142" i="5"/>
  <c r="G142" i="5"/>
  <c r="U141" i="5"/>
  <c r="T141" i="5"/>
  <c r="P141" i="5"/>
  <c r="O141" i="5"/>
  <c r="N141" i="5"/>
  <c r="M141" i="5"/>
  <c r="L141" i="5"/>
  <c r="K141" i="5"/>
  <c r="J141" i="5"/>
  <c r="U140" i="5"/>
  <c r="T140" i="5"/>
  <c r="P140" i="5"/>
  <c r="O140" i="5"/>
  <c r="N140" i="5"/>
  <c r="M140" i="5"/>
  <c r="L140" i="5"/>
  <c r="K140" i="5"/>
  <c r="J140" i="5"/>
  <c r="U139" i="5"/>
  <c r="T139" i="5"/>
  <c r="P139" i="5"/>
  <c r="O139" i="5"/>
  <c r="N139" i="5"/>
  <c r="M139" i="5"/>
  <c r="L139" i="5"/>
  <c r="K139" i="5"/>
  <c r="J139" i="5"/>
  <c r="U138" i="5"/>
  <c r="T138" i="5"/>
  <c r="P138" i="5"/>
  <c r="O138" i="5"/>
  <c r="N138" i="5"/>
  <c r="M138" i="5"/>
  <c r="L138" i="5"/>
  <c r="K138" i="5"/>
  <c r="J138" i="5"/>
  <c r="U137" i="5"/>
  <c r="T137" i="5"/>
  <c r="P137" i="5"/>
  <c r="O137" i="5"/>
  <c r="N137" i="5"/>
  <c r="M137" i="5"/>
  <c r="L137" i="5"/>
  <c r="K137" i="5"/>
  <c r="J137" i="5"/>
  <c r="I137" i="5"/>
  <c r="U136" i="5"/>
  <c r="T136" i="5"/>
  <c r="P136" i="5"/>
  <c r="O136" i="5"/>
  <c r="N136" i="5"/>
  <c r="M136" i="5"/>
  <c r="L136" i="5"/>
  <c r="K136" i="5"/>
  <c r="J136" i="5"/>
  <c r="I136" i="5"/>
  <c r="U135" i="5"/>
  <c r="T135" i="5"/>
  <c r="P135" i="5"/>
  <c r="O135" i="5"/>
  <c r="N135" i="5"/>
  <c r="M135" i="5"/>
  <c r="L135" i="5"/>
  <c r="K135" i="5"/>
  <c r="J135" i="5"/>
  <c r="I135" i="5"/>
  <c r="U134" i="5"/>
  <c r="T134" i="5"/>
  <c r="P134" i="5"/>
  <c r="O134" i="5"/>
  <c r="N134" i="5"/>
  <c r="M134" i="5"/>
  <c r="L134" i="5"/>
  <c r="K134" i="5"/>
  <c r="J134" i="5"/>
  <c r="I134" i="5"/>
  <c r="U133" i="5"/>
  <c r="T133" i="5"/>
  <c r="P133" i="5"/>
  <c r="O133" i="5"/>
  <c r="N133" i="5"/>
  <c r="M133" i="5"/>
  <c r="L133" i="5"/>
  <c r="K133" i="5"/>
  <c r="J133" i="5"/>
  <c r="I133" i="5"/>
  <c r="U132" i="5"/>
  <c r="T132" i="5"/>
  <c r="P132" i="5"/>
  <c r="O132" i="5"/>
  <c r="N132" i="5"/>
  <c r="M132" i="5"/>
  <c r="L132" i="5"/>
  <c r="K132" i="5"/>
  <c r="J132" i="5"/>
  <c r="I132" i="5"/>
  <c r="U131" i="5"/>
  <c r="T131" i="5"/>
  <c r="P131" i="5"/>
  <c r="O131" i="5"/>
  <c r="N131" i="5"/>
  <c r="M131" i="5"/>
  <c r="L131" i="5"/>
  <c r="K131" i="5"/>
  <c r="J131" i="5"/>
  <c r="I131" i="5"/>
  <c r="U130" i="5"/>
  <c r="T130" i="5"/>
  <c r="P130" i="5"/>
  <c r="O130" i="5"/>
  <c r="N130" i="5"/>
  <c r="M130" i="5"/>
  <c r="L130" i="5"/>
  <c r="K130" i="5"/>
  <c r="J130" i="5"/>
  <c r="I130" i="5"/>
  <c r="U129" i="5"/>
  <c r="T129" i="5"/>
  <c r="P129" i="5"/>
  <c r="O129" i="5"/>
  <c r="N129" i="5"/>
  <c r="M129" i="5"/>
  <c r="L129" i="5"/>
  <c r="K129" i="5"/>
  <c r="J129" i="5"/>
  <c r="U128" i="5"/>
  <c r="T128" i="5"/>
  <c r="P128" i="5"/>
  <c r="O128" i="5"/>
  <c r="N128" i="5"/>
  <c r="M128" i="5"/>
  <c r="L128" i="5"/>
  <c r="K128" i="5"/>
  <c r="J128" i="5"/>
  <c r="U127" i="5"/>
  <c r="T127" i="5"/>
  <c r="P127" i="5"/>
  <c r="O127" i="5"/>
  <c r="N127" i="5"/>
  <c r="M127" i="5"/>
  <c r="L127" i="5"/>
  <c r="K127" i="5"/>
  <c r="J127" i="5"/>
  <c r="U126" i="5"/>
  <c r="T126" i="5"/>
  <c r="P126" i="5"/>
  <c r="O126" i="5"/>
  <c r="N126" i="5"/>
  <c r="M126" i="5"/>
  <c r="L126" i="5"/>
  <c r="K126" i="5"/>
  <c r="J126" i="5"/>
  <c r="U125" i="5"/>
  <c r="T125" i="5"/>
  <c r="P125" i="5"/>
  <c r="O125" i="5"/>
  <c r="N125" i="5"/>
  <c r="M125" i="5"/>
  <c r="L125" i="5"/>
  <c r="K125" i="5"/>
  <c r="J125" i="5"/>
  <c r="U124" i="5"/>
  <c r="T124" i="5"/>
  <c r="P124" i="5"/>
  <c r="O124" i="5"/>
  <c r="N124" i="5"/>
  <c r="M124" i="5"/>
  <c r="L124" i="5"/>
  <c r="K124" i="5"/>
  <c r="J124" i="5"/>
  <c r="I124" i="5"/>
  <c r="G124" i="5"/>
  <c r="U123" i="5"/>
  <c r="T123" i="5"/>
  <c r="P123" i="5"/>
  <c r="O123" i="5"/>
  <c r="N123" i="5"/>
  <c r="M123" i="5"/>
  <c r="L123" i="5"/>
  <c r="K123" i="5"/>
  <c r="J123" i="5"/>
  <c r="U122" i="5"/>
  <c r="T122" i="5"/>
  <c r="P122" i="5"/>
  <c r="O122" i="5"/>
  <c r="N122" i="5"/>
  <c r="M122" i="5"/>
  <c r="L122" i="5"/>
  <c r="K122" i="5"/>
  <c r="J122" i="5"/>
  <c r="U121" i="5"/>
  <c r="T121" i="5"/>
  <c r="P121" i="5"/>
  <c r="O121" i="5"/>
  <c r="N121" i="5"/>
  <c r="M121" i="5"/>
  <c r="L121" i="5"/>
  <c r="K121" i="5"/>
  <c r="J121" i="5"/>
  <c r="U120" i="5"/>
  <c r="T120" i="5"/>
  <c r="P120" i="5"/>
  <c r="O120" i="5"/>
  <c r="N120" i="5"/>
  <c r="M120" i="5"/>
  <c r="L120" i="5"/>
  <c r="K120" i="5"/>
  <c r="J120" i="5"/>
  <c r="U119" i="5"/>
  <c r="T119" i="5"/>
  <c r="P119" i="5"/>
  <c r="O119" i="5"/>
  <c r="N119" i="5"/>
  <c r="M119" i="5"/>
  <c r="L119" i="5"/>
  <c r="K119" i="5"/>
  <c r="J119" i="5"/>
  <c r="I119" i="5"/>
  <c r="U118" i="5"/>
  <c r="T118" i="5"/>
  <c r="P118" i="5"/>
  <c r="O118" i="5"/>
  <c r="N118" i="5"/>
  <c r="M118" i="5"/>
  <c r="L118" i="5"/>
  <c r="K118" i="5"/>
  <c r="J118" i="5"/>
  <c r="I118" i="5"/>
  <c r="U117" i="5"/>
  <c r="T117" i="5"/>
  <c r="P117" i="5"/>
  <c r="O117" i="5"/>
  <c r="N117" i="5"/>
  <c r="M117" i="5"/>
  <c r="L117" i="5"/>
  <c r="K117" i="5"/>
  <c r="J117" i="5"/>
  <c r="I117" i="5"/>
  <c r="U116" i="5"/>
  <c r="T116" i="5"/>
  <c r="P116" i="5"/>
  <c r="O116" i="5"/>
  <c r="N116" i="5"/>
  <c r="M116" i="5"/>
  <c r="L116" i="5"/>
  <c r="K116" i="5"/>
  <c r="J116" i="5"/>
  <c r="I116" i="5"/>
  <c r="U115" i="5"/>
  <c r="T115" i="5"/>
  <c r="P115" i="5"/>
  <c r="O115" i="5"/>
  <c r="N115" i="5"/>
  <c r="M115" i="5"/>
  <c r="L115" i="5"/>
  <c r="K115" i="5"/>
  <c r="J115" i="5"/>
  <c r="I115" i="5"/>
  <c r="U114" i="5"/>
  <c r="T114" i="5"/>
  <c r="P114" i="5"/>
  <c r="O114" i="5"/>
  <c r="N114" i="5"/>
  <c r="M114" i="5"/>
  <c r="L114" i="5"/>
  <c r="K114" i="5"/>
  <c r="J114" i="5"/>
  <c r="I114" i="5"/>
  <c r="U113" i="5"/>
  <c r="T113" i="5"/>
  <c r="P113" i="5"/>
  <c r="O113" i="5"/>
  <c r="N113" i="5"/>
  <c r="M113" i="5"/>
  <c r="L113" i="5"/>
  <c r="K113" i="5"/>
  <c r="J113" i="5"/>
  <c r="I113" i="5"/>
  <c r="U112" i="5"/>
  <c r="T112" i="5"/>
  <c r="P112" i="5"/>
  <c r="O112" i="5"/>
  <c r="N112" i="5"/>
  <c r="M112" i="5"/>
  <c r="L112" i="5"/>
  <c r="K112" i="5"/>
  <c r="J112" i="5"/>
  <c r="I112" i="5"/>
  <c r="U111" i="5"/>
  <c r="T111" i="5"/>
  <c r="P111" i="5"/>
  <c r="O111" i="5"/>
  <c r="N111" i="5"/>
  <c r="M111" i="5"/>
  <c r="L111" i="5"/>
  <c r="K111" i="5"/>
  <c r="J111" i="5"/>
  <c r="U110" i="5"/>
  <c r="T110" i="5"/>
  <c r="P110" i="5"/>
  <c r="O110" i="5"/>
  <c r="N110" i="5"/>
  <c r="M110" i="5"/>
  <c r="L110" i="5"/>
  <c r="K110" i="5"/>
  <c r="J110" i="5"/>
  <c r="U109" i="5"/>
  <c r="T109" i="5"/>
  <c r="P109" i="5"/>
  <c r="O109" i="5"/>
  <c r="N109" i="5"/>
  <c r="M109" i="5"/>
  <c r="L109" i="5"/>
  <c r="K109" i="5"/>
  <c r="J109" i="5"/>
  <c r="U108" i="5"/>
  <c r="T108" i="5"/>
  <c r="P108" i="5"/>
  <c r="O108" i="5"/>
  <c r="N108" i="5"/>
  <c r="M108" i="5"/>
  <c r="L108" i="5"/>
  <c r="K108" i="5"/>
  <c r="J108" i="5"/>
  <c r="U107" i="5"/>
  <c r="T107" i="5"/>
  <c r="P107" i="5"/>
  <c r="O107" i="5"/>
  <c r="N107" i="5"/>
  <c r="M107" i="5"/>
  <c r="L107" i="5"/>
  <c r="K107" i="5"/>
  <c r="J107" i="5"/>
  <c r="U106" i="5"/>
  <c r="T106" i="5"/>
  <c r="P106" i="5"/>
  <c r="O106" i="5"/>
  <c r="N106" i="5"/>
  <c r="M106" i="5"/>
  <c r="L106" i="5"/>
  <c r="K106" i="5"/>
  <c r="J106" i="5"/>
  <c r="I106" i="5"/>
  <c r="G106" i="5"/>
  <c r="U105" i="5"/>
  <c r="T105" i="5"/>
  <c r="P105" i="5"/>
  <c r="O105" i="5"/>
  <c r="N105" i="5"/>
  <c r="M105" i="5"/>
  <c r="L105" i="5"/>
  <c r="K105" i="5"/>
  <c r="J105" i="5"/>
  <c r="U104" i="5"/>
  <c r="T104" i="5"/>
  <c r="P104" i="5"/>
  <c r="O104" i="5"/>
  <c r="N104" i="5"/>
  <c r="M104" i="5"/>
  <c r="L104" i="5"/>
  <c r="K104" i="5"/>
  <c r="J104" i="5"/>
  <c r="U103" i="5"/>
  <c r="T103" i="5"/>
  <c r="P103" i="5"/>
  <c r="O103" i="5"/>
  <c r="N103" i="5"/>
  <c r="M103" i="5"/>
  <c r="L103" i="5"/>
  <c r="K103" i="5"/>
  <c r="J103" i="5"/>
  <c r="U102" i="5"/>
  <c r="T102" i="5"/>
  <c r="P102" i="5"/>
  <c r="O102" i="5"/>
  <c r="N102" i="5"/>
  <c r="M102" i="5"/>
  <c r="L102" i="5"/>
  <c r="K102" i="5"/>
  <c r="J102" i="5"/>
  <c r="U101" i="5"/>
  <c r="T101" i="5"/>
  <c r="P101" i="5"/>
  <c r="O101" i="5"/>
  <c r="N101" i="5"/>
  <c r="M101" i="5"/>
  <c r="L101" i="5"/>
  <c r="K101" i="5"/>
  <c r="J101" i="5"/>
  <c r="I101" i="5"/>
  <c r="U100" i="5"/>
  <c r="T100" i="5"/>
  <c r="P100" i="5"/>
  <c r="O100" i="5"/>
  <c r="N100" i="5"/>
  <c r="M100" i="5"/>
  <c r="L100" i="5"/>
  <c r="K100" i="5"/>
  <c r="J100" i="5"/>
  <c r="I100" i="5"/>
  <c r="U99" i="5"/>
  <c r="T99" i="5"/>
  <c r="P99" i="5"/>
  <c r="O99" i="5"/>
  <c r="N99" i="5"/>
  <c r="M99" i="5"/>
  <c r="L99" i="5"/>
  <c r="K99" i="5"/>
  <c r="J99" i="5"/>
  <c r="I99" i="5"/>
  <c r="U98" i="5"/>
  <c r="T98" i="5"/>
  <c r="P98" i="5"/>
  <c r="O98" i="5"/>
  <c r="N98" i="5"/>
  <c r="M98" i="5"/>
  <c r="L98" i="5"/>
  <c r="K98" i="5"/>
  <c r="J98" i="5"/>
  <c r="I98" i="5"/>
  <c r="U97" i="5"/>
  <c r="T97" i="5"/>
  <c r="P97" i="5"/>
  <c r="O97" i="5"/>
  <c r="N97" i="5"/>
  <c r="M97" i="5"/>
  <c r="L97" i="5"/>
  <c r="K97" i="5"/>
  <c r="J97" i="5"/>
  <c r="I97" i="5"/>
  <c r="U96" i="5"/>
  <c r="T96" i="5"/>
  <c r="P96" i="5"/>
  <c r="O96" i="5"/>
  <c r="N96" i="5"/>
  <c r="M96" i="5"/>
  <c r="L96" i="5"/>
  <c r="K96" i="5"/>
  <c r="J96" i="5"/>
  <c r="I96" i="5"/>
  <c r="U95" i="5"/>
  <c r="T95" i="5"/>
  <c r="P95" i="5"/>
  <c r="O95" i="5"/>
  <c r="N95" i="5"/>
  <c r="M95" i="5"/>
  <c r="L95" i="5"/>
  <c r="K95" i="5"/>
  <c r="J95" i="5"/>
  <c r="I95" i="5"/>
  <c r="U94" i="5"/>
  <c r="T94" i="5"/>
  <c r="P94" i="5"/>
  <c r="O94" i="5"/>
  <c r="N94" i="5"/>
  <c r="M94" i="5"/>
  <c r="L94" i="5"/>
  <c r="K94" i="5"/>
  <c r="J94" i="5"/>
  <c r="I94" i="5"/>
  <c r="U93" i="5"/>
  <c r="T93" i="5"/>
  <c r="P93" i="5"/>
  <c r="O93" i="5"/>
  <c r="N93" i="5"/>
  <c r="M93" i="5"/>
  <c r="L93" i="5"/>
  <c r="K93" i="5"/>
  <c r="J93" i="5"/>
  <c r="U92" i="5"/>
  <c r="T92" i="5"/>
  <c r="P92" i="5"/>
  <c r="O92" i="5"/>
  <c r="N92" i="5"/>
  <c r="M92" i="5"/>
  <c r="L92" i="5"/>
  <c r="K92" i="5"/>
  <c r="J92" i="5"/>
  <c r="U91" i="5"/>
  <c r="T91" i="5"/>
  <c r="P91" i="5"/>
  <c r="O91" i="5"/>
  <c r="N91" i="5"/>
  <c r="M91" i="5"/>
  <c r="L91" i="5"/>
  <c r="K91" i="5"/>
  <c r="J91" i="5"/>
  <c r="U90" i="5"/>
  <c r="T90" i="5"/>
  <c r="P90" i="5"/>
  <c r="O90" i="5"/>
  <c r="N90" i="5"/>
  <c r="M90" i="5"/>
  <c r="L90" i="5"/>
  <c r="K90" i="5"/>
  <c r="J90" i="5"/>
  <c r="U89" i="5"/>
  <c r="T89" i="5"/>
  <c r="P89" i="5"/>
  <c r="O89" i="5"/>
  <c r="N89" i="5"/>
  <c r="M89" i="5"/>
  <c r="L89" i="5"/>
  <c r="K89" i="5"/>
  <c r="J89" i="5"/>
  <c r="U88" i="5"/>
  <c r="T88" i="5"/>
  <c r="P88" i="5"/>
  <c r="O88" i="5"/>
  <c r="N88" i="5"/>
  <c r="M88" i="5"/>
  <c r="L88" i="5"/>
  <c r="K88" i="5"/>
  <c r="J88" i="5"/>
  <c r="I88" i="5"/>
  <c r="G88" i="5"/>
  <c r="U87" i="5"/>
  <c r="T87" i="5"/>
  <c r="P87" i="5"/>
  <c r="O87" i="5"/>
  <c r="N87" i="5"/>
  <c r="M87" i="5"/>
  <c r="L87" i="5"/>
  <c r="K87" i="5"/>
  <c r="J87" i="5"/>
  <c r="U86" i="5"/>
  <c r="T86" i="5"/>
  <c r="P86" i="5"/>
  <c r="O86" i="5"/>
  <c r="N86" i="5"/>
  <c r="M86" i="5"/>
  <c r="L86" i="5"/>
  <c r="K86" i="5"/>
  <c r="J86" i="5"/>
  <c r="U85" i="5"/>
  <c r="T85" i="5"/>
  <c r="P85" i="5"/>
  <c r="O85" i="5"/>
  <c r="N85" i="5"/>
  <c r="M85" i="5"/>
  <c r="L85" i="5"/>
  <c r="K85" i="5"/>
  <c r="J85" i="5"/>
  <c r="U84" i="5"/>
  <c r="T84" i="5"/>
  <c r="P84" i="5"/>
  <c r="O84" i="5"/>
  <c r="N84" i="5"/>
  <c r="M84" i="5"/>
  <c r="L84" i="5"/>
  <c r="K84" i="5"/>
  <c r="J84" i="5"/>
  <c r="U83" i="5"/>
  <c r="T83" i="5"/>
  <c r="P83" i="5"/>
  <c r="O83" i="5"/>
  <c r="N83" i="5"/>
  <c r="M83" i="5"/>
  <c r="L83" i="5"/>
  <c r="K83" i="5"/>
  <c r="J83" i="5"/>
  <c r="I83" i="5"/>
  <c r="U82" i="5"/>
  <c r="T82" i="5"/>
  <c r="P82" i="5"/>
  <c r="O82" i="5"/>
  <c r="N82" i="5"/>
  <c r="M82" i="5"/>
  <c r="L82" i="5"/>
  <c r="K82" i="5"/>
  <c r="J82" i="5"/>
  <c r="I82" i="5"/>
  <c r="U81" i="5"/>
  <c r="T81" i="5"/>
  <c r="P81" i="5"/>
  <c r="O81" i="5"/>
  <c r="N81" i="5"/>
  <c r="M81" i="5"/>
  <c r="L81" i="5"/>
  <c r="K81" i="5"/>
  <c r="J81" i="5"/>
  <c r="I81" i="5"/>
  <c r="U80" i="5"/>
  <c r="T80" i="5"/>
  <c r="P80" i="5"/>
  <c r="O80" i="5"/>
  <c r="N80" i="5"/>
  <c r="M80" i="5"/>
  <c r="L80" i="5"/>
  <c r="K80" i="5"/>
  <c r="J80" i="5"/>
  <c r="I80" i="5"/>
  <c r="U79" i="5"/>
  <c r="T79" i="5"/>
  <c r="P79" i="5"/>
  <c r="O79" i="5"/>
  <c r="N79" i="5"/>
  <c r="M79" i="5"/>
  <c r="L79" i="5"/>
  <c r="K79" i="5"/>
  <c r="J79" i="5"/>
  <c r="I79" i="5"/>
  <c r="U78" i="5"/>
  <c r="T78" i="5"/>
  <c r="P78" i="5"/>
  <c r="O78" i="5"/>
  <c r="N78" i="5"/>
  <c r="M78" i="5"/>
  <c r="L78" i="5"/>
  <c r="K78" i="5"/>
  <c r="J78" i="5"/>
  <c r="I78" i="5"/>
  <c r="U77" i="5"/>
  <c r="T77" i="5"/>
  <c r="P77" i="5"/>
  <c r="O77" i="5"/>
  <c r="N77" i="5"/>
  <c r="M77" i="5"/>
  <c r="L77" i="5"/>
  <c r="K77" i="5"/>
  <c r="J77" i="5"/>
  <c r="I77" i="5"/>
  <c r="U76" i="5"/>
  <c r="T76" i="5"/>
  <c r="P76" i="5"/>
  <c r="O76" i="5"/>
  <c r="N76" i="5"/>
  <c r="M76" i="5"/>
  <c r="L76" i="5"/>
  <c r="K76" i="5"/>
  <c r="J76" i="5"/>
  <c r="I76" i="5"/>
  <c r="U75" i="5"/>
  <c r="T75" i="5"/>
  <c r="P75" i="5"/>
  <c r="O75" i="5"/>
  <c r="N75" i="5"/>
  <c r="M75" i="5"/>
  <c r="L75" i="5"/>
  <c r="K75" i="5"/>
  <c r="J75" i="5"/>
  <c r="U74" i="5"/>
  <c r="T74" i="5"/>
  <c r="P74" i="5"/>
  <c r="O74" i="5"/>
  <c r="N74" i="5"/>
  <c r="M74" i="5"/>
  <c r="L74" i="5"/>
  <c r="K74" i="5"/>
  <c r="J74" i="5"/>
  <c r="U73" i="5"/>
  <c r="T73" i="5"/>
  <c r="P73" i="5"/>
  <c r="O73" i="5"/>
  <c r="N73" i="5"/>
  <c r="M73" i="5"/>
  <c r="L73" i="5"/>
  <c r="K73" i="5"/>
  <c r="J73" i="5"/>
  <c r="U72" i="5"/>
  <c r="T72" i="5"/>
  <c r="P72" i="5"/>
  <c r="O72" i="5"/>
  <c r="N72" i="5"/>
  <c r="M72" i="5"/>
  <c r="L72" i="5"/>
  <c r="K72" i="5"/>
  <c r="J72" i="5"/>
  <c r="U71" i="5"/>
  <c r="T71" i="5"/>
  <c r="P71" i="5"/>
  <c r="O71" i="5"/>
  <c r="N71" i="5"/>
  <c r="M71" i="5"/>
  <c r="L71" i="5"/>
  <c r="K71" i="5"/>
  <c r="J71" i="5"/>
  <c r="U70" i="5"/>
  <c r="T70" i="5"/>
  <c r="P70" i="5"/>
  <c r="O70" i="5"/>
  <c r="N70" i="5"/>
  <c r="M70" i="5"/>
  <c r="L70" i="5"/>
  <c r="K70" i="5"/>
  <c r="J70" i="5"/>
  <c r="U69" i="5"/>
  <c r="T69" i="5"/>
  <c r="P69" i="5"/>
  <c r="O69" i="5"/>
  <c r="N69" i="5"/>
  <c r="M69" i="5"/>
  <c r="L69" i="5"/>
  <c r="K69" i="5"/>
  <c r="J69" i="5"/>
  <c r="I69" i="5"/>
  <c r="G69" i="5"/>
  <c r="U68" i="5"/>
  <c r="T68" i="5"/>
  <c r="P68" i="5"/>
  <c r="O68" i="5"/>
  <c r="N68" i="5"/>
  <c r="M68" i="5"/>
  <c r="L68" i="5"/>
  <c r="K68" i="5"/>
  <c r="J68" i="5"/>
  <c r="U67" i="5"/>
  <c r="T67" i="5"/>
  <c r="P67" i="5"/>
  <c r="O67" i="5"/>
  <c r="N67" i="5"/>
  <c r="M67" i="5"/>
  <c r="L67" i="5"/>
  <c r="K67" i="5"/>
  <c r="J67" i="5"/>
  <c r="U66" i="5"/>
  <c r="T66" i="5"/>
  <c r="P66" i="5"/>
  <c r="O66" i="5"/>
  <c r="N66" i="5"/>
  <c r="M66" i="5"/>
  <c r="L66" i="5"/>
  <c r="K66" i="5"/>
  <c r="J66" i="5"/>
  <c r="U65" i="5"/>
  <c r="T65" i="5"/>
  <c r="P65" i="5"/>
  <c r="O65" i="5"/>
  <c r="N65" i="5"/>
  <c r="M65" i="5"/>
  <c r="L65" i="5"/>
  <c r="K65" i="5"/>
  <c r="J65" i="5"/>
  <c r="U64" i="5"/>
  <c r="T64" i="5"/>
  <c r="P64" i="5"/>
  <c r="O64" i="5"/>
  <c r="N64" i="5"/>
  <c r="M64" i="5"/>
  <c r="L64" i="5"/>
  <c r="K64" i="5"/>
  <c r="J64" i="5"/>
  <c r="U63" i="5"/>
  <c r="T63" i="5"/>
  <c r="P63" i="5"/>
  <c r="O63" i="5"/>
  <c r="N63" i="5"/>
  <c r="M63" i="5"/>
  <c r="L63" i="5"/>
  <c r="K63" i="5"/>
  <c r="J63" i="5"/>
  <c r="U62" i="5"/>
  <c r="T62" i="5"/>
  <c r="P62" i="5"/>
  <c r="O62" i="5"/>
  <c r="N62" i="5"/>
  <c r="M62" i="5"/>
  <c r="L62" i="5"/>
  <c r="K62" i="5"/>
  <c r="J62" i="5"/>
  <c r="I62" i="5"/>
  <c r="U61" i="5"/>
  <c r="T61" i="5"/>
  <c r="P61" i="5"/>
  <c r="O61" i="5"/>
  <c r="N61" i="5"/>
  <c r="M61" i="5"/>
  <c r="L61" i="5"/>
  <c r="K61" i="5"/>
  <c r="J61" i="5"/>
  <c r="I61" i="5"/>
  <c r="U60" i="5"/>
  <c r="T60" i="5"/>
  <c r="P60" i="5"/>
  <c r="O60" i="5"/>
  <c r="N60" i="5"/>
  <c r="M60" i="5"/>
  <c r="L60" i="5"/>
  <c r="K60" i="5"/>
  <c r="J60" i="5"/>
  <c r="I60" i="5"/>
  <c r="U59" i="5"/>
  <c r="T59" i="5"/>
  <c r="P59" i="5"/>
  <c r="O59" i="5"/>
  <c r="N59" i="5"/>
  <c r="M59" i="5"/>
  <c r="L59" i="5"/>
  <c r="K59" i="5"/>
  <c r="J59" i="5"/>
  <c r="I59" i="5"/>
  <c r="U58" i="5"/>
  <c r="T58" i="5"/>
  <c r="P58" i="5"/>
  <c r="O58" i="5"/>
  <c r="N58" i="5"/>
  <c r="M58" i="5"/>
  <c r="L58" i="5"/>
  <c r="K58" i="5"/>
  <c r="J58" i="5"/>
  <c r="I58" i="5"/>
  <c r="U57" i="5"/>
  <c r="T57" i="5"/>
  <c r="P57" i="5"/>
  <c r="O57" i="5"/>
  <c r="N57" i="5"/>
  <c r="M57" i="5"/>
  <c r="L57" i="5"/>
  <c r="K57" i="5"/>
  <c r="J57" i="5"/>
  <c r="I57" i="5"/>
  <c r="U56" i="5"/>
  <c r="T56" i="5"/>
  <c r="P56" i="5"/>
  <c r="O56" i="5"/>
  <c r="N56" i="5"/>
  <c r="M56" i="5"/>
  <c r="L56" i="5"/>
  <c r="K56" i="5"/>
  <c r="J56" i="5"/>
  <c r="I56" i="5"/>
  <c r="U55" i="5"/>
  <c r="T55" i="5"/>
  <c r="P55" i="5"/>
  <c r="O55" i="5"/>
  <c r="N55" i="5"/>
  <c r="M55" i="5"/>
  <c r="L55" i="5"/>
  <c r="K55" i="5"/>
  <c r="J55" i="5"/>
  <c r="U54" i="5"/>
  <c r="T54" i="5"/>
  <c r="P54" i="5"/>
  <c r="O54" i="5"/>
  <c r="N54" i="5"/>
  <c r="M54" i="5"/>
  <c r="L54" i="5"/>
  <c r="K54" i="5"/>
  <c r="J54" i="5"/>
  <c r="U53" i="5"/>
  <c r="T53" i="5"/>
  <c r="P53" i="5"/>
  <c r="O53" i="5"/>
  <c r="N53" i="5"/>
  <c r="M53" i="5"/>
  <c r="L53" i="5"/>
  <c r="K53" i="5"/>
  <c r="J53" i="5"/>
  <c r="U52" i="5"/>
  <c r="T52" i="5"/>
  <c r="P52" i="5"/>
  <c r="O52" i="5"/>
  <c r="N52" i="5"/>
  <c r="M52" i="5"/>
  <c r="L52" i="5"/>
  <c r="K52" i="5"/>
  <c r="J52" i="5"/>
  <c r="U51" i="5"/>
  <c r="T51" i="5"/>
  <c r="P51" i="5"/>
  <c r="O51" i="5"/>
  <c r="N51" i="5"/>
  <c r="M51" i="5"/>
  <c r="L51" i="5"/>
  <c r="K51" i="5"/>
  <c r="J51" i="5"/>
  <c r="U50" i="5"/>
  <c r="T50" i="5"/>
  <c r="P50" i="5"/>
  <c r="O50" i="5"/>
  <c r="N50" i="5"/>
  <c r="M50" i="5"/>
  <c r="L50" i="5"/>
  <c r="K50" i="5"/>
  <c r="J50" i="5"/>
  <c r="U49" i="5"/>
  <c r="T49" i="5"/>
  <c r="P49" i="5"/>
  <c r="O49" i="5"/>
  <c r="N49" i="5"/>
  <c r="M49" i="5"/>
  <c r="L49" i="5"/>
  <c r="K49" i="5"/>
  <c r="J49" i="5"/>
  <c r="I49" i="5"/>
  <c r="G49" i="5"/>
  <c r="U48" i="5"/>
  <c r="T48" i="5"/>
  <c r="P48" i="5"/>
  <c r="O48" i="5"/>
  <c r="N48" i="5"/>
  <c r="M48" i="5"/>
  <c r="L48" i="5"/>
  <c r="K48" i="5"/>
  <c r="J48" i="5"/>
  <c r="U47" i="5"/>
  <c r="T47" i="5"/>
  <c r="P47" i="5"/>
  <c r="O47" i="5"/>
  <c r="N47" i="5"/>
  <c r="M47" i="5"/>
  <c r="L47" i="5"/>
  <c r="K47" i="5"/>
  <c r="J47" i="5"/>
  <c r="U46" i="5"/>
  <c r="T46" i="5"/>
  <c r="P46" i="5"/>
  <c r="O46" i="5"/>
  <c r="N46" i="5"/>
  <c r="M46" i="5"/>
  <c r="L46" i="5"/>
  <c r="K46" i="5"/>
  <c r="J46" i="5"/>
  <c r="U45" i="5"/>
  <c r="T45" i="5"/>
  <c r="P45" i="5"/>
  <c r="O45" i="5"/>
  <c r="N45" i="5"/>
  <c r="M45" i="5"/>
  <c r="L45" i="5"/>
  <c r="K45" i="5"/>
  <c r="J45" i="5"/>
  <c r="U44" i="5"/>
  <c r="T44" i="5"/>
  <c r="P44" i="5"/>
  <c r="O44" i="5"/>
  <c r="N44" i="5"/>
  <c r="M44" i="5"/>
  <c r="L44" i="5"/>
  <c r="K44" i="5"/>
  <c r="J44" i="5"/>
  <c r="U43" i="5"/>
  <c r="T43" i="5"/>
  <c r="P43" i="5"/>
  <c r="O43" i="5"/>
  <c r="N43" i="5"/>
  <c r="M43" i="5"/>
  <c r="L43" i="5"/>
  <c r="K43" i="5"/>
  <c r="J43" i="5"/>
  <c r="U42" i="5"/>
  <c r="T42" i="5"/>
  <c r="P42" i="5"/>
  <c r="O42" i="5"/>
  <c r="N42" i="5"/>
  <c r="M42" i="5"/>
  <c r="L42" i="5"/>
  <c r="K42" i="5"/>
  <c r="J42" i="5"/>
  <c r="I42" i="5"/>
  <c r="U41" i="5"/>
  <c r="T41" i="5"/>
  <c r="P41" i="5"/>
  <c r="O41" i="5"/>
  <c r="N41" i="5"/>
  <c r="M41" i="5"/>
  <c r="L41" i="5"/>
  <c r="K41" i="5"/>
  <c r="J41" i="5"/>
  <c r="I41" i="5"/>
  <c r="U40" i="5"/>
  <c r="T40" i="5"/>
  <c r="P40" i="5"/>
  <c r="O40" i="5"/>
  <c r="N40" i="5"/>
  <c r="M40" i="5"/>
  <c r="L40" i="5"/>
  <c r="K40" i="5"/>
  <c r="J40" i="5"/>
  <c r="I40" i="5"/>
  <c r="U39" i="5"/>
  <c r="T39" i="5"/>
  <c r="P39" i="5"/>
  <c r="O39" i="5"/>
  <c r="N39" i="5"/>
  <c r="M39" i="5"/>
  <c r="L39" i="5"/>
  <c r="K39" i="5"/>
  <c r="J39" i="5"/>
  <c r="I39" i="5"/>
  <c r="U38" i="5"/>
  <c r="T38" i="5"/>
  <c r="P38" i="5"/>
  <c r="O38" i="5"/>
  <c r="N38" i="5"/>
  <c r="M38" i="5"/>
  <c r="L38" i="5"/>
  <c r="K38" i="5"/>
  <c r="J38" i="5"/>
  <c r="I38" i="5"/>
  <c r="U37" i="5"/>
  <c r="T37" i="5"/>
  <c r="P37" i="5"/>
  <c r="O37" i="5"/>
  <c r="N37" i="5"/>
  <c r="M37" i="5"/>
  <c r="L37" i="5"/>
  <c r="K37" i="5"/>
  <c r="J37" i="5"/>
  <c r="I37" i="5"/>
  <c r="U36" i="5"/>
  <c r="T36" i="5"/>
  <c r="P36" i="5"/>
  <c r="O36" i="5"/>
  <c r="N36" i="5"/>
  <c r="M36" i="5"/>
  <c r="L36" i="5"/>
  <c r="K36" i="5"/>
  <c r="J36" i="5"/>
  <c r="I36" i="5"/>
  <c r="U35" i="5"/>
  <c r="T35" i="5"/>
  <c r="P35" i="5"/>
  <c r="O35" i="5"/>
  <c r="N35" i="5"/>
  <c r="M35" i="5"/>
  <c r="L35" i="5"/>
  <c r="K35" i="5"/>
  <c r="J35" i="5"/>
  <c r="U34" i="5"/>
  <c r="T34" i="5"/>
  <c r="P34" i="5"/>
  <c r="O34" i="5"/>
  <c r="N34" i="5"/>
  <c r="M34" i="5"/>
  <c r="L34" i="5"/>
  <c r="K34" i="5"/>
  <c r="J34" i="5"/>
  <c r="U33" i="5"/>
  <c r="T33" i="5"/>
  <c r="P33" i="5"/>
  <c r="O33" i="5"/>
  <c r="N33" i="5"/>
  <c r="M33" i="5"/>
  <c r="L33" i="5"/>
  <c r="K33" i="5"/>
  <c r="J33" i="5"/>
  <c r="U32" i="5"/>
  <c r="T32" i="5"/>
  <c r="P32" i="5"/>
  <c r="O32" i="5"/>
  <c r="N32" i="5"/>
  <c r="M32" i="5"/>
  <c r="L32" i="5"/>
  <c r="K32" i="5"/>
  <c r="J32" i="5"/>
  <c r="U31" i="5"/>
  <c r="T31" i="5"/>
  <c r="P31" i="5"/>
  <c r="O31" i="5"/>
  <c r="N31" i="5"/>
  <c r="M31" i="5"/>
  <c r="L31" i="5"/>
  <c r="K31" i="5"/>
  <c r="J31" i="5"/>
  <c r="U30" i="5"/>
  <c r="T30" i="5"/>
  <c r="P30" i="5"/>
  <c r="O30" i="5"/>
  <c r="N30" i="5"/>
  <c r="M30" i="5"/>
  <c r="L30" i="5"/>
  <c r="K30" i="5"/>
  <c r="J30" i="5"/>
  <c r="U29" i="5"/>
  <c r="T29" i="5"/>
  <c r="P29" i="5"/>
  <c r="O29" i="5"/>
  <c r="N29" i="5"/>
  <c r="M29" i="5"/>
  <c r="L29" i="5"/>
  <c r="K29" i="5"/>
  <c r="J29" i="5"/>
  <c r="I29" i="5"/>
  <c r="G29" i="5"/>
  <c r="U28" i="5"/>
  <c r="T28" i="5"/>
  <c r="P28" i="5"/>
  <c r="O28" i="5"/>
  <c r="N28" i="5"/>
  <c r="M28" i="5"/>
  <c r="L28" i="5"/>
  <c r="K28" i="5"/>
  <c r="J28" i="5"/>
  <c r="U27" i="5"/>
  <c r="T27" i="5"/>
  <c r="P27" i="5"/>
  <c r="O27" i="5"/>
  <c r="N27" i="5"/>
  <c r="M27" i="5"/>
  <c r="L27" i="5"/>
  <c r="K27" i="5"/>
  <c r="J27" i="5"/>
  <c r="U26" i="5"/>
  <c r="T26" i="5"/>
  <c r="P26" i="5"/>
  <c r="O26" i="5"/>
  <c r="N26" i="5"/>
  <c r="M26" i="5"/>
  <c r="L26" i="5"/>
  <c r="K26" i="5"/>
  <c r="J26" i="5"/>
  <c r="U25" i="5"/>
  <c r="T25" i="5"/>
  <c r="P25" i="5"/>
  <c r="O25" i="5"/>
  <c r="N25" i="5"/>
  <c r="M25" i="5"/>
  <c r="L25" i="5"/>
  <c r="K25" i="5"/>
  <c r="J25" i="5"/>
  <c r="U24" i="5"/>
  <c r="T24" i="5"/>
  <c r="P24" i="5"/>
  <c r="O24" i="5"/>
  <c r="N24" i="5"/>
  <c r="M24" i="5"/>
  <c r="L24" i="5"/>
  <c r="K24" i="5"/>
  <c r="J24" i="5"/>
  <c r="U23" i="5"/>
  <c r="T23" i="5"/>
  <c r="P23" i="5"/>
  <c r="O23" i="5"/>
  <c r="N23" i="5"/>
  <c r="M23" i="5"/>
  <c r="L23" i="5"/>
  <c r="K23" i="5"/>
  <c r="J23" i="5"/>
  <c r="U22" i="5"/>
  <c r="T22" i="5"/>
  <c r="P22" i="5"/>
  <c r="O22" i="5"/>
  <c r="N22" i="5"/>
  <c r="M22" i="5"/>
  <c r="L22" i="5"/>
  <c r="K22" i="5"/>
  <c r="J22" i="5"/>
  <c r="U21" i="5"/>
  <c r="T21" i="5"/>
  <c r="P21" i="5"/>
  <c r="O21" i="5"/>
  <c r="N21" i="5"/>
  <c r="M21" i="5"/>
  <c r="L21" i="5"/>
  <c r="K21" i="5"/>
  <c r="J21" i="5"/>
  <c r="U20" i="5"/>
  <c r="T20" i="5"/>
  <c r="P20" i="5"/>
  <c r="O20" i="5"/>
  <c r="N20" i="5"/>
  <c r="M20" i="5"/>
  <c r="L20" i="5"/>
  <c r="K20" i="5"/>
  <c r="J20" i="5"/>
  <c r="U19" i="5"/>
  <c r="T19" i="5"/>
  <c r="P19" i="5"/>
  <c r="O19" i="5"/>
  <c r="N19" i="5"/>
  <c r="M19" i="5"/>
  <c r="L19" i="5"/>
  <c r="K19" i="5"/>
  <c r="J19" i="5"/>
  <c r="I19" i="5"/>
  <c r="U18" i="5"/>
  <c r="T18" i="5"/>
  <c r="P18" i="5"/>
  <c r="O18" i="5"/>
  <c r="N18" i="5"/>
  <c r="M18" i="5"/>
  <c r="L18" i="5"/>
  <c r="K18" i="5"/>
  <c r="J18" i="5"/>
  <c r="I18" i="5"/>
  <c r="U17" i="5"/>
  <c r="T17" i="5"/>
  <c r="P17" i="5"/>
  <c r="O17" i="5"/>
  <c r="N17" i="5"/>
  <c r="M17" i="5"/>
  <c r="L17" i="5"/>
  <c r="K17" i="5"/>
  <c r="J17" i="5"/>
  <c r="I17" i="5"/>
  <c r="U16" i="5"/>
  <c r="T16" i="5"/>
  <c r="P16" i="5"/>
  <c r="O16" i="5"/>
  <c r="N16" i="5"/>
  <c r="M16" i="5"/>
  <c r="L16" i="5"/>
  <c r="K16" i="5"/>
  <c r="J16" i="5"/>
  <c r="I16" i="5"/>
  <c r="U15" i="5"/>
  <c r="T15" i="5"/>
  <c r="P15" i="5"/>
  <c r="O15" i="5"/>
  <c r="N15" i="5"/>
  <c r="M15" i="5"/>
  <c r="L15" i="5"/>
  <c r="K15" i="5"/>
  <c r="J15" i="5"/>
  <c r="U14" i="5"/>
  <c r="T14" i="5"/>
  <c r="P14" i="5"/>
  <c r="O14" i="5"/>
  <c r="N14" i="5"/>
  <c r="M14" i="5"/>
  <c r="L14" i="5"/>
  <c r="K14" i="5"/>
  <c r="J14" i="5"/>
  <c r="U13" i="5"/>
  <c r="T13" i="5"/>
  <c r="P13" i="5"/>
  <c r="O13" i="5"/>
  <c r="N13" i="5"/>
  <c r="M13" i="5"/>
  <c r="L13" i="5"/>
  <c r="K13" i="5"/>
  <c r="J13" i="5"/>
  <c r="U12" i="5"/>
  <c r="T12" i="5"/>
  <c r="P12" i="5"/>
  <c r="O12" i="5"/>
  <c r="N12" i="5"/>
  <c r="M12" i="5"/>
  <c r="L12" i="5"/>
  <c r="K12" i="5"/>
  <c r="J12" i="5"/>
  <c r="P11" i="5"/>
  <c r="O11" i="5"/>
  <c r="N11" i="5"/>
  <c r="M11" i="5"/>
  <c r="S8" i="5"/>
  <c r="S7" i="5"/>
  <c r="I7" i="5"/>
  <c r="G7" i="5"/>
  <c r="S6" i="5"/>
  <c r="S5" i="5"/>
  <c r="S4" i="5"/>
  <c r="I4" i="5"/>
  <c r="S3" i="5"/>
  <c r="S2" i="5"/>
  <c r="S1" i="5"/>
  <c r="U111" i="18"/>
  <c r="T111" i="18"/>
  <c r="P111" i="18"/>
  <c r="O111" i="18"/>
  <c r="N111" i="18"/>
  <c r="M111" i="18"/>
  <c r="L111" i="18"/>
  <c r="K111" i="18"/>
  <c r="J111" i="18"/>
  <c r="I111" i="18"/>
  <c r="G111" i="18"/>
  <c r="U110" i="18"/>
  <c r="T110" i="18"/>
  <c r="P110" i="18"/>
  <c r="O110" i="18"/>
  <c r="N110" i="18"/>
  <c r="M110" i="18"/>
  <c r="L110" i="18"/>
  <c r="K110" i="18"/>
  <c r="J110" i="18"/>
  <c r="I110" i="18"/>
  <c r="G110" i="18"/>
  <c r="U109" i="18"/>
  <c r="T109" i="18"/>
  <c r="P109" i="18"/>
  <c r="O109" i="18"/>
  <c r="N109" i="18"/>
  <c r="M109" i="18"/>
  <c r="L109" i="18"/>
  <c r="K109" i="18"/>
  <c r="J109" i="18"/>
  <c r="I109" i="18"/>
  <c r="G109" i="18"/>
  <c r="U108" i="18"/>
  <c r="T108" i="18"/>
  <c r="P108" i="18"/>
  <c r="O108" i="18"/>
  <c r="N108" i="18"/>
  <c r="M108" i="18"/>
  <c r="L108" i="18"/>
  <c r="K108" i="18"/>
  <c r="J108" i="18"/>
  <c r="I108" i="18"/>
  <c r="G108" i="18"/>
  <c r="U107" i="18"/>
  <c r="T107" i="18"/>
  <c r="P107" i="18"/>
  <c r="O107" i="18"/>
  <c r="N107" i="18"/>
  <c r="M107" i="18"/>
  <c r="L107" i="18"/>
  <c r="K107" i="18"/>
  <c r="J107" i="18"/>
  <c r="I107" i="18"/>
  <c r="G107" i="18"/>
  <c r="U106" i="18"/>
  <c r="T106" i="18"/>
  <c r="P106" i="18"/>
  <c r="O106" i="18"/>
  <c r="N106" i="18"/>
  <c r="M106" i="18"/>
  <c r="L106" i="18"/>
  <c r="K106" i="18"/>
  <c r="J106" i="18"/>
  <c r="I106" i="18"/>
  <c r="G106" i="18"/>
  <c r="U105" i="18"/>
  <c r="T105" i="18"/>
  <c r="P105" i="18"/>
  <c r="O105" i="18"/>
  <c r="N105" i="18"/>
  <c r="M105" i="18"/>
  <c r="L105" i="18"/>
  <c r="K105" i="18"/>
  <c r="J105" i="18"/>
  <c r="I105" i="18"/>
  <c r="G105" i="18"/>
  <c r="U104" i="18"/>
  <c r="T104" i="18"/>
  <c r="P104" i="18"/>
  <c r="O104" i="18"/>
  <c r="N104" i="18"/>
  <c r="M104" i="18"/>
  <c r="L104" i="18"/>
  <c r="K104" i="18"/>
  <c r="J104" i="18"/>
  <c r="I104" i="18"/>
  <c r="G104" i="18"/>
  <c r="U103" i="18"/>
  <c r="T103" i="18"/>
  <c r="P103" i="18"/>
  <c r="O103" i="18"/>
  <c r="N103" i="18"/>
  <c r="M103" i="18"/>
  <c r="L103" i="18"/>
  <c r="K103" i="18"/>
  <c r="J103" i="18"/>
  <c r="U102" i="18"/>
  <c r="T102" i="18"/>
  <c r="P102" i="18"/>
  <c r="O102" i="18"/>
  <c r="N102" i="18"/>
  <c r="M102" i="18"/>
  <c r="L102" i="18"/>
  <c r="K102" i="18"/>
  <c r="J102" i="18"/>
  <c r="U101" i="18"/>
  <c r="T101" i="18"/>
  <c r="P101" i="18"/>
  <c r="O101" i="18"/>
  <c r="N101" i="18"/>
  <c r="M101" i="18"/>
  <c r="L101" i="18"/>
  <c r="K101" i="18"/>
  <c r="J101" i="18"/>
  <c r="U100" i="18"/>
  <c r="T100" i="18"/>
  <c r="P100" i="18"/>
  <c r="O100" i="18"/>
  <c r="N100" i="18"/>
  <c r="M100" i="18"/>
  <c r="L100" i="18"/>
  <c r="K100" i="18"/>
  <c r="J100" i="18"/>
  <c r="U99" i="18"/>
  <c r="T99" i="18"/>
  <c r="P99" i="18"/>
  <c r="O99" i="18"/>
  <c r="N99" i="18"/>
  <c r="M99" i="18"/>
  <c r="L99" i="18"/>
  <c r="K99" i="18"/>
  <c r="J99" i="18"/>
  <c r="U98" i="18"/>
  <c r="T98" i="18"/>
  <c r="P98" i="18"/>
  <c r="O98" i="18"/>
  <c r="N98" i="18"/>
  <c r="M98" i="18"/>
  <c r="L98" i="18"/>
  <c r="K98" i="18"/>
  <c r="J98" i="18"/>
  <c r="U97" i="18"/>
  <c r="T97" i="18"/>
  <c r="P97" i="18"/>
  <c r="O97" i="18"/>
  <c r="N97" i="18"/>
  <c r="M97" i="18"/>
  <c r="L97" i="18"/>
  <c r="K97" i="18"/>
  <c r="J97" i="18"/>
  <c r="U96" i="18"/>
  <c r="T96" i="18"/>
  <c r="P96" i="18"/>
  <c r="O96" i="18"/>
  <c r="N96" i="18"/>
  <c r="M96" i="18"/>
  <c r="L96" i="18"/>
  <c r="K96" i="18"/>
  <c r="J96" i="18"/>
  <c r="I96" i="18"/>
  <c r="U95" i="18"/>
  <c r="T95" i="18"/>
  <c r="P95" i="18"/>
  <c r="O95" i="18"/>
  <c r="N95" i="18"/>
  <c r="M95" i="18"/>
  <c r="L95" i="18"/>
  <c r="K95" i="18"/>
  <c r="J95" i="18"/>
  <c r="I95" i="18"/>
  <c r="U94" i="18"/>
  <c r="T94" i="18"/>
  <c r="P94" i="18"/>
  <c r="O94" i="18"/>
  <c r="N94" i="18"/>
  <c r="M94" i="18"/>
  <c r="L94" i="18"/>
  <c r="K94" i="18"/>
  <c r="J94" i="18"/>
  <c r="I94" i="18"/>
  <c r="U93" i="18"/>
  <c r="T93" i="18"/>
  <c r="P93" i="18"/>
  <c r="O93" i="18"/>
  <c r="N93" i="18"/>
  <c r="M93" i="18"/>
  <c r="L93" i="18"/>
  <c r="K93" i="18"/>
  <c r="J93" i="18"/>
  <c r="I93" i="18"/>
  <c r="U92" i="18"/>
  <c r="T92" i="18"/>
  <c r="P92" i="18"/>
  <c r="O92" i="18"/>
  <c r="N92" i="18"/>
  <c r="M92" i="18"/>
  <c r="L92" i="18"/>
  <c r="K92" i="18"/>
  <c r="J92" i="18"/>
  <c r="I92" i="18"/>
  <c r="U91" i="18"/>
  <c r="T91" i="18"/>
  <c r="P91" i="18"/>
  <c r="O91" i="18"/>
  <c r="N91" i="18"/>
  <c r="M91" i="18"/>
  <c r="L91" i="18"/>
  <c r="K91" i="18"/>
  <c r="J91" i="18"/>
  <c r="I91" i="18"/>
  <c r="U90" i="18"/>
  <c r="T90" i="18"/>
  <c r="P90" i="18"/>
  <c r="O90" i="18"/>
  <c r="N90" i="18"/>
  <c r="M90" i="18"/>
  <c r="L90" i="18"/>
  <c r="K90" i="18"/>
  <c r="J90" i="18"/>
  <c r="I90" i="18"/>
  <c r="U89" i="18"/>
  <c r="T89" i="18"/>
  <c r="P89" i="18"/>
  <c r="O89" i="18"/>
  <c r="N89" i="18"/>
  <c r="M89" i="18"/>
  <c r="L89" i="18"/>
  <c r="K89" i="18"/>
  <c r="J89" i="18"/>
  <c r="I89" i="18"/>
  <c r="U88" i="18"/>
  <c r="T88" i="18"/>
  <c r="P88" i="18"/>
  <c r="O88" i="18"/>
  <c r="N88" i="18"/>
  <c r="M88" i="18"/>
  <c r="L88" i="18"/>
  <c r="K88" i="18"/>
  <c r="J88" i="18"/>
  <c r="U87" i="18"/>
  <c r="T87" i="18"/>
  <c r="P87" i="18"/>
  <c r="O87" i="18"/>
  <c r="N87" i="18"/>
  <c r="M87" i="18"/>
  <c r="L87" i="18"/>
  <c r="K87" i="18"/>
  <c r="J87" i="18"/>
  <c r="U86" i="18"/>
  <c r="T86" i="18"/>
  <c r="P86" i="18"/>
  <c r="O86" i="18"/>
  <c r="N86" i="18"/>
  <c r="M86" i="18"/>
  <c r="L86" i="18"/>
  <c r="K86" i="18"/>
  <c r="J86" i="18"/>
  <c r="U85" i="18"/>
  <c r="T85" i="18"/>
  <c r="P85" i="18"/>
  <c r="O85" i="18"/>
  <c r="N85" i="18"/>
  <c r="M85" i="18"/>
  <c r="L85" i="18"/>
  <c r="K85" i="18"/>
  <c r="J85" i="18"/>
  <c r="U84" i="18"/>
  <c r="T84" i="18"/>
  <c r="P84" i="18"/>
  <c r="O84" i="18"/>
  <c r="N84" i="18"/>
  <c r="M84" i="18"/>
  <c r="L84" i="18"/>
  <c r="K84" i="18"/>
  <c r="J84" i="18"/>
  <c r="U83" i="18"/>
  <c r="T83" i="18"/>
  <c r="P83" i="18"/>
  <c r="O83" i="18"/>
  <c r="N83" i="18"/>
  <c r="M83" i="18"/>
  <c r="L83" i="18"/>
  <c r="K83" i="18"/>
  <c r="J83" i="18"/>
  <c r="U82" i="18"/>
  <c r="T82" i="18"/>
  <c r="P82" i="18"/>
  <c r="O82" i="18"/>
  <c r="N82" i="18"/>
  <c r="M82" i="18"/>
  <c r="L82" i="18"/>
  <c r="K82" i="18"/>
  <c r="J82" i="18"/>
  <c r="I82" i="18"/>
  <c r="G82" i="18"/>
  <c r="U81" i="18"/>
  <c r="T81" i="18"/>
  <c r="P81" i="18"/>
  <c r="O81" i="18"/>
  <c r="N81" i="18"/>
  <c r="M81" i="18"/>
  <c r="L81" i="18"/>
  <c r="K81" i="18"/>
  <c r="J81" i="18"/>
  <c r="U80" i="18"/>
  <c r="T80" i="18"/>
  <c r="P80" i="18"/>
  <c r="O80" i="18"/>
  <c r="N80" i="18"/>
  <c r="M80" i="18"/>
  <c r="L80" i="18"/>
  <c r="K80" i="18"/>
  <c r="J80" i="18"/>
  <c r="U79" i="18"/>
  <c r="T79" i="18"/>
  <c r="P79" i="18"/>
  <c r="O79" i="18"/>
  <c r="N79" i="18"/>
  <c r="M79" i="18"/>
  <c r="L79" i="18"/>
  <c r="K79" i="18"/>
  <c r="J79" i="18"/>
  <c r="U78" i="18"/>
  <c r="T78" i="18"/>
  <c r="P78" i="18"/>
  <c r="O78" i="18"/>
  <c r="N78" i="18"/>
  <c r="M78" i="18"/>
  <c r="L78" i="18"/>
  <c r="K78" i="18"/>
  <c r="J78" i="18"/>
  <c r="U77" i="18"/>
  <c r="T77" i="18"/>
  <c r="P77" i="18"/>
  <c r="O77" i="18"/>
  <c r="N77" i="18"/>
  <c r="M77" i="18"/>
  <c r="L77" i="18"/>
  <c r="K77" i="18"/>
  <c r="J77" i="18"/>
  <c r="I77" i="18"/>
  <c r="U76" i="18"/>
  <c r="T76" i="18"/>
  <c r="P76" i="18"/>
  <c r="O76" i="18"/>
  <c r="N76" i="18"/>
  <c r="M76" i="18"/>
  <c r="L76" i="18"/>
  <c r="K76" i="18"/>
  <c r="J76" i="18"/>
  <c r="I76" i="18"/>
  <c r="U75" i="18"/>
  <c r="T75" i="18"/>
  <c r="P75" i="18"/>
  <c r="O75" i="18"/>
  <c r="N75" i="18"/>
  <c r="M75" i="18"/>
  <c r="L75" i="18"/>
  <c r="K75" i="18"/>
  <c r="J75" i="18"/>
  <c r="I75" i="18"/>
  <c r="U74" i="18"/>
  <c r="T74" i="18"/>
  <c r="P74" i="18"/>
  <c r="O74" i="18"/>
  <c r="N74" i="18"/>
  <c r="M74" i="18"/>
  <c r="L74" i="18"/>
  <c r="K74" i="18"/>
  <c r="J74" i="18"/>
  <c r="I74" i="18"/>
  <c r="U73" i="18"/>
  <c r="T73" i="18"/>
  <c r="P73" i="18"/>
  <c r="O73" i="18"/>
  <c r="N73" i="18"/>
  <c r="M73" i="18"/>
  <c r="L73" i="18"/>
  <c r="K73" i="18"/>
  <c r="J73" i="18"/>
  <c r="I73" i="18"/>
  <c r="U72" i="18"/>
  <c r="T72" i="18"/>
  <c r="P72" i="18"/>
  <c r="O72" i="18"/>
  <c r="N72" i="18"/>
  <c r="M72" i="18"/>
  <c r="L72" i="18"/>
  <c r="K72" i="18"/>
  <c r="J72" i="18"/>
  <c r="I72" i="18"/>
  <c r="U71" i="18"/>
  <c r="T71" i="18"/>
  <c r="P71" i="18"/>
  <c r="O71" i="18"/>
  <c r="N71" i="18"/>
  <c r="M71" i="18"/>
  <c r="L71" i="18"/>
  <c r="K71" i="18"/>
  <c r="J71" i="18"/>
  <c r="I71" i="18"/>
  <c r="U70" i="18"/>
  <c r="T70" i="18"/>
  <c r="P70" i="18"/>
  <c r="O70" i="18"/>
  <c r="N70" i="18"/>
  <c r="M70" i="18"/>
  <c r="L70" i="18"/>
  <c r="K70" i="18"/>
  <c r="J70" i="18"/>
  <c r="U69" i="18"/>
  <c r="T69" i="18"/>
  <c r="P69" i="18"/>
  <c r="O69" i="18"/>
  <c r="N69" i="18"/>
  <c r="M69" i="18"/>
  <c r="L69" i="18"/>
  <c r="K69" i="18"/>
  <c r="J69" i="18"/>
  <c r="U68" i="18"/>
  <c r="T68" i="18"/>
  <c r="P68" i="18"/>
  <c r="O68" i="18"/>
  <c r="N68" i="18"/>
  <c r="M68" i="18"/>
  <c r="L68" i="18"/>
  <c r="K68" i="18"/>
  <c r="J68" i="18"/>
  <c r="U67" i="18"/>
  <c r="T67" i="18"/>
  <c r="P67" i="18"/>
  <c r="O67" i="18"/>
  <c r="N67" i="18"/>
  <c r="M67" i="18"/>
  <c r="L67" i="18"/>
  <c r="K67" i="18"/>
  <c r="J67" i="18"/>
  <c r="U66" i="18"/>
  <c r="T66" i="18"/>
  <c r="P66" i="18"/>
  <c r="O66" i="18"/>
  <c r="N66" i="18"/>
  <c r="M66" i="18"/>
  <c r="L66" i="18"/>
  <c r="K66" i="18"/>
  <c r="J66" i="18"/>
  <c r="U65" i="18"/>
  <c r="T65" i="18"/>
  <c r="P65" i="18"/>
  <c r="O65" i="18"/>
  <c r="N65" i="18"/>
  <c r="M65" i="18"/>
  <c r="L65" i="18"/>
  <c r="K65" i="18"/>
  <c r="J65" i="18"/>
  <c r="U64" i="18"/>
  <c r="T64" i="18"/>
  <c r="P64" i="18"/>
  <c r="O64" i="18"/>
  <c r="N64" i="18"/>
  <c r="M64" i="18"/>
  <c r="L64" i="18"/>
  <c r="K64" i="18"/>
  <c r="J64" i="18"/>
  <c r="I64" i="18"/>
  <c r="G64" i="18"/>
  <c r="U63" i="18"/>
  <c r="T63" i="18"/>
  <c r="P63" i="18"/>
  <c r="O63" i="18"/>
  <c r="N63" i="18"/>
  <c r="M63" i="18"/>
  <c r="L63" i="18"/>
  <c r="K63" i="18"/>
  <c r="J63" i="18"/>
  <c r="U62" i="18"/>
  <c r="T62" i="18"/>
  <c r="P62" i="18"/>
  <c r="O62" i="18"/>
  <c r="N62" i="18"/>
  <c r="M62" i="18"/>
  <c r="L62" i="18"/>
  <c r="K62" i="18"/>
  <c r="J62" i="18"/>
  <c r="U61" i="18"/>
  <c r="T61" i="18"/>
  <c r="P61" i="18"/>
  <c r="O61" i="18"/>
  <c r="N61" i="18"/>
  <c r="M61" i="18"/>
  <c r="L61" i="18"/>
  <c r="K61" i="18"/>
  <c r="J61" i="18"/>
  <c r="U60" i="18"/>
  <c r="T60" i="18"/>
  <c r="P60" i="18"/>
  <c r="O60" i="18"/>
  <c r="N60" i="18"/>
  <c r="M60" i="18"/>
  <c r="L60" i="18"/>
  <c r="K60" i="18"/>
  <c r="J60" i="18"/>
  <c r="U59" i="18"/>
  <c r="T59" i="18"/>
  <c r="P59" i="18"/>
  <c r="O59" i="18"/>
  <c r="N59" i="18"/>
  <c r="M59" i="18"/>
  <c r="L59" i="18"/>
  <c r="K59" i="18"/>
  <c r="J59" i="18"/>
  <c r="U58" i="18"/>
  <c r="T58" i="18"/>
  <c r="P58" i="18"/>
  <c r="O58" i="18"/>
  <c r="N58" i="18"/>
  <c r="M58" i="18"/>
  <c r="L58" i="18"/>
  <c r="K58" i="18"/>
  <c r="J58" i="18"/>
  <c r="U57" i="18"/>
  <c r="T57" i="18"/>
  <c r="P57" i="18"/>
  <c r="O57" i="18"/>
  <c r="N57" i="18"/>
  <c r="M57" i="18"/>
  <c r="L57" i="18"/>
  <c r="K57" i="18"/>
  <c r="J57" i="18"/>
  <c r="I57" i="18"/>
  <c r="U56" i="18"/>
  <c r="T56" i="18"/>
  <c r="P56" i="18"/>
  <c r="O56" i="18"/>
  <c r="N56" i="18"/>
  <c r="M56" i="18"/>
  <c r="L56" i="18"/>
  <c r="K56" i="18"/>
  <c r="J56" i="18"/>
  <c r="I56" i="18"/>
  <c r="U55" i="18"/>
  <c r="T55" i="18"/>
  <c r="P55" i="18"/>
  <c r="O55" i="18"/>
  <c r="N55" i="18"/>
  <c r="M55" i="18"/>
  <c r="L55" i="18"/>
  <c r="K55" i="18"/>
  <c r="J55" i="18"/>
  <c r="I55" i="18"/>
  <c r="U54" i="18"/>
  <c r="T54" i="18"/>
  <c r="P54" i="18"/>
  <c r="O54" i="18"/>
  <c r="N54" i="18"/>
  <c r="M54" i="18"/>
  <c r="L54" i="18"/>
  <c r="K54" i="18"/>
  <c r="J54" i="18"/>
  <c r="I54" i="18"/>
  <c r="U53" i="18"/>
  <c r="T53" i="18"/>
  <c r="P53" i="18"/>
  <c r="O53" i="18"/>
  <c r="N53" i="18"/>
  <c r="M53" i="18"/>
  <c r="L53" i="18"/>
  <c r="K53" i="18"/>
  <c r="J53" i="18"/>
  <c r="I53" i="18"/>
  <c r="U52" i="18"/>
  <c r="T52" i="18"/>
  <c r="P52" i="18"/>
  <c r="O52" i="18"/>
  <c r="N52" i="18"/>
  <c r="M52" i="18"/>
  <c r="L52" i="18"/>
  <c r="K52" i="18"/>
  <c r="J52" i="18"/>
  <c r="I52" i="18"/>
  <c r="U51" i="18"/>
  <c r="T51" i="18"/>
  <c r="P51" i="18"/>
  <c r="O51" i="18"/>
  <c r="N51" i="18"/>
  <c r="M51" i="18"/>
  <c r="L51" i="18"/>
  <c r="K51" i="18"/>
  <c r="J51" i="18"/>
  <c r="I51" i="18"/>
  <c r="U50" i="18"/>
  <c r="T50" i="18"/>
  <c r="P50" i="18"/>
  <c r="O50" i="18"/>
  <c r="N50" i="18"/>
  <c r="M50" i="18"/>
  <c r="L50" i="18"/>
  <c r="K50" i="18"/>
  <c r="J50" i="18"/>
  <c r="U49" i="18"/>
  <c r="T49" i="18"/>
  <c r="P49" i="18"/>
  <c r="O49" i="18"/>
  <c r="N49" i="18"/>
  <c r="M49" i="18"/>
  <c r="L49" i="18"/>
  <c r="K49" i="18"/>
  <c r="J49" i="18"/>
  <c r="U48" i="18"/>
  <c r="T48" i="18"/>
  <c r="P48" i="18"/>
  <c r="O48" i="18"/>
  <c r="N48" i="18"/>
  <c r="M48" i="18"/>
  <c r="L48" i="18"/>
  <c r="K48" i="18"/>
  <c r="J48" i="18"/>
  <c r="U47" i="18"/>
  <c r="T47" i="18"/>
  <c r="P47" i="18"/>
  <c r="O47" i="18"/>
  <c r="N47" i="18"/>
  <c r="M47" i="18"/>
  <c r="L47" i="18"/>
  <c r="K47" i="18"/>
  <c r="J47" i="18"/>
  <c r="U46" i="18"/>
  <c r="T46" i="18"/>
  <c r="P46" i="18"/>
  <c r="O46" i="18"/>
  <c r="N46" i="18"/>
  <c r="M46" i="18"/>
  <c r="L46" i="18"/>
  <c r="K46" i="18"/>
  <c r="J46" i="18"/>
  <c r="U45" i="18"/>
  <c r="T45" i="18"/>
  <c r="P45" i="18"/>
  <c r="O45" i="18"/>
  <c r="N45" i="18"/>
  <c r="M45" i="18"/>
  <c r="L45" i="18"/>
  <c r="K45" i="18"/>
  <c r="J45" i="18"/>
  <c r="U44" i="18"/>
  <c r="T44" i="18"/>
  <c r="P44" i="18"/>
  <c r="O44" i="18"/>
  <c r="N44" i="18"/>
  <c r="M44" i="18"/>
  <c r="L44" i="18"/>
  <c r="K44" i="18"/>
  <c r="J44" i="18"/>
  <c r="I44" i="18"/>
  <c r="G44" i="18"/>
  <c r="U43" i="18"/>
  <c r="T43" i="18"/>
  <c r="P43" i="18"/>
  <c r="O43" i="18"/>
  <c r="N43" i="18"/>
  <c r="M43" i="18"/>
  <c r="L43" i="18"/>
  <c r="K43" i="18"/>
  <c r="J43" i="18"/>
  <c r="U42" i="18"/>
  <c r="T42" i="18"/>
  <c r="P42" i="18"/>
  <c r="O42" i="18"/>
  <c r="N42" i="18"/>
  <c r="M42" i="18"/>
  <c r="L42" i="18"/>
  <c r="K42" i="18"/>
  <c r="J42" i="18"/>
  <c r="U41" i="18"/>
  <c r="T41" i="18"/>
  <c r="P41" i="18"/>
  <c r="O41" i="18"/>
  <c r="N41" i="18"/>
  <c r="M41" i="18"/>
  <c r="L41" i="18"/>
  <c r="K41" i="18"/>
  <c r="J41" i="18"/>
  <c r="U40" i="18"/>
  <c r="T40" i="18"/>
  <c r="P40" i="18"/>
  <c r="O40" i="18"/>
  <c r="N40" i="18"/>
  <c r="M40" i="18"/>
  <c r="L40" i="18"/>
  <c r="K40" i="18"/>
  <c r="J40" i="18"/>
  <c r="U39" i="18"/>
  <c r="T39" i="18"/>
  <c r="P39" i="18"/>
  <c r="O39" i="18"/>
  <c r="N39" i="18"/>
  <c r="M39" i="18"/>
  <c r="L39" i="18"/>
  <c r="K39" i="18"/>
  <c r="J39" i="18"/>
  <c r="U38" i="18"/>
  <c r="T38" i="18"/>
  <c r="P38" i="18"/>
  <c r="O38" i="18"/>
  <c r="N38" i="18"/>
  <c r="M38" i="18"/>
  <c r="L38" i="18"/>
  <c r="K38" i="18"/>
  <c r="J38" i="18"/>
  <c r="U37" i="18"/>
  <c r="T37" i="18"/>
  <c r="P37" i="18"/>
  <c r="O37" i="18"/>
  <c r="N37" i="18"/>
  <c r="M37" i="18"/>
  <c r="L37" i="18"/>
  <c r="K37" i="18"/>
  <c r="J37" i="18"/>
  <c r="I37" i="18"/>
  <c r="U36" i="18"/>
  <c r="T36" i="18"/>
  <c r="P36" i="18"/>
  <c r="O36" i="18"/>
  <c r="N36" i="18"/>
  <c r="M36" i="18"/>
  <c r="L36" i="18"/>
  <c r="K36" i="18"/>
  <c r="J36" i="18"/>
  <c r="I36" i="18"/>
  <c r="U35" i="18"/>
  <c r="T35" i="18"/>
  <c r="P35" i="18"/>
  <c r="O35" i="18"/>
  <c r="N35" i="18"/>
  <c r="M35" i="18"/>
  <c r="L35" i="18"/>
  <c r="K35" i="18"/>
  <c r="J35" i="18"/>
  <c r="I35" i="18"/>
  <c r="U34" i="18"/>
  <c r="T34" i="18"/>
  <c r="P34" i="18"/>
  <c r="O34" i="18"/>
  <c r="N34" i="18"/>
  <c r="M34" i="18"/>
  <c r="L34" i="18"/>
  <c r="K34" i="18"/>
  <c r="J34" i="18"/>
  <c r="I34" i="18"/>
  <c r="U33" i="18"/>
  <c r="T33" i="18"/>
  <c r="P33" i="18"/>
  <c r="O33" i="18"/>
  <c r="N33" i="18"/>
  <c r="M33" i="18"/>
  <c r="L33" i="18"/>
  <c r="K33" i="18"/>
  <c r="J33" i="18"/>
  <c r="I33" i="18"/>
  <c r="U32" i="18"/>
  <c r="T32" i="18"/>
  <c r="P32" i="18"/>
  <c r="O32" i="18"/>
  <c r="N32" i="18"/>
  <c r="M32" i="18"/>
  <c r="L32" i="18"/>
  <c r="K32" i="18"/>
  <c r="J32" i="18"/>
  <c r="I32" i="18"/>
  <c r="U31" i="18"/>
  <c r="T31" i="18"/>
  <c r="P31" i="18"/>
  <c r="O31" i="18"/>
  <c r="N31" i="18"/>
  <c r="M31" i="18"/>
  <c r="L31" i="18"/>
  <c r="K31" i="18"/>
  <c r="J31" i="18"/>
  <c r="I31" i="18"/>
  <c r="U30" i="18"/>
  <c r="T30" i="18"/>
  <c r="P30" i="18"/>
  <c r="O30" i="18"/>
  <c r="N30" i="18"/>
  <c r="M30" i="18"/>
  <c r="L30" i="18"/>
  <c r="K30" i="18"/>
  <c r="J30" i="18"/>
  <c r="I30" i="18"/>
  <c r="U29" i="18"/>
  <c r="T29" i="18"/>
  <c r="P29" i="18"/>
  <c r="O29" i="18"/>
  <c r="N29" i="18"/>
  <c r="M29" i="18"/>
  <c r="L29" i="18"/>
  <c r="K29" i="18"/>
  <c r="J29" i="18"/>
  <c r="U28" i="18"/>
  <c r="T28" i="18"/>
  <c r="P28" i="18"/>
  <c r="O28" i="18"/>
  <c r="N28" i="18"/>
  <c r="M28" i="18"/>
  <c r="L28" i="18"/>
  <c r="K28" i="18"/>
  <c r="J28" i="18"/>
  <c r="U27" i="18"/>
  <c r="T27" i="18"/>
  <c r="P27" i="18"/>
  <c r="O27" i="18"/>
  <c r="N27" i="18"/>
  <c r="M27" i="18"/>
  <c r="L27" i="18"/>
  <c r="K27" i="18"/>
  <c r="J27" i="18"/>
  <c r="U26" i="18"/>
  <c r="T26" i="18"/>
  <c r="P26" i="18"/>
  <c r="O26" i="18"/>
  <c r="N26" i="18"/>
  <c r="M26" i="18"/>
  <c r="L26" i="18"/>
  <c r="K26" i="18"/>
  <c r="J26" i="18"/>
  <c r="U25" i="18"/>
  <c r="T25" i="18"/>
  <c r="P25" i="18"/>
  <c r="O25" i="18"/>
  <c r="N25" i="18"/>
  <c r="M25" i="18"/>
  <c r="L25" i="18"/>
  <c r="K25" i="18"/>
  <c r="J25" i="18"/>
  <c r="U24" i="18"/>
  <c r="T24" i="18"/>
  <c r="P24" i="18"/>
  <c r="O24" i="18"/>
  <c r="N24" i="18"/>
  <c r="M24" i="18"/>
  <c r="L24" i="18"/>
  <c r="K24" i="18"/>
  <c r="J24" i="18"/>
  <c r="U23" i="18"/>
  <c r="T23" i="18"/>
  <c r="P23" i="18"/>
  <c r="O23" i="18"/>
  <c r="N23" i="18"/>
  <c r="M23" i="18"/>
  <c r="L23" i="18"/>
  <c r="K23" i="18"/>
  <c r="J23" i="18"/>
  <c r="U22" i="18"/>
  <c r="T22" i="18"/>
  <c r="P22" i="18"/>
  <c r="O22" i="18"/>
  <c r="N22" i="18"/>
  <c r="M22" i="18"/>
  <c r="L22" i="18"/>
  <c r="K22" i="18"/>
  <c r="J22" i="18"/>
  <c r="I22" i="18"/>
  <c r="U21" i="18"/>
  <c r="T21" i="18"/>
  <c r="P21" i="18"/>
  <c r="O21" i="18"/>
  <c r="N21" i="18"/>
  <c r="M21" i="18"/>
  <c r="L21" i="18"/>
  <c r="K21" i="18"/>
  <c r="J21" i="18"/>
  <c r="I21" i="18"/>
  <c r="U20" i="18"/>
  <c r="T20" i="18"/>
  <c r="P20" i="18"/>
  <c r="O20" i="18"/>
  <c r="N20" i="18"/>
  <c r="M20" i="18"/>
  <c r="L20" i="18"/>
  <c r="K20" i="18"/>
  <c r="J20" i="18"/>
  <c r="I20" i="18"/>
  <c r="U19" i="18"/>
  <c r="T19" i="18"/>
  <c r="P19" i="18"/>
  <c r="O19" i="18"/>
  <c r="N19" i="18"/>
  <c r="M19" i="18"/>
  <c r="L19" i="18"/>
  <c r="K19" i="18"/>
  <c r="J19" i="18"/>
  <c r="I19" i="18"/>
  <c r="U18" i="18"/>
  <c r="T18" i="18"/>
  <c r="P18" i="18"/>
  <c r="O18" i="18"/>
  <c r="N18" i="18"/>
  <c r="M18" i="18"/>
  <c r="L18" i="18"/>
  <c r="K18" i="18"/>
  <c r="J18" i="18"/>
  <c r="I18" i="18"/>
  <c r="U17" i="18"/>
  <c r="T17" i="18"/>
  <c r="P17" i="18"/>
  <c r="O17" i="18"/>
  <c r="N17" i="18"/>
  <c r="M17" i="18"/>
  <c r="L17" i="18"/>
  <c r="K17" i="18"/>
  <c r="J17" i="18"/>
  <c r="I17" i="18"/>
  <c r="U16" i="18"/>
  <c r="T16" i="18"/>
  <c r="P16" i="18"/>
  <c r="O16" i="18"/>
  <c r="N16" i="18"/>
  <c r="M16" i="18"/>
  <c r="L16" i="18"/>
  <c r="K16" i="18"/>
  <c r="J16" i="18"/>
  <c r="I16" i="18"/>
  <c r="U15" i="18"/>
  <c r="T15" i="18"/>
  <c r="P15" i="18"/>
  <c r="O15" i="18"/>
  <c r="N15" i="18"/>
  <c r="M15" i="18"/>
  <c r="L15" i="18"/>
  <c r="K15" i="18"/>
  <c r="J15" i="18"/>
  <c r="U14" i="18"/>
  <c r="T14" i="18"/>
  <c r="P14" i="18"/>
  <c r="O14" i="18"/>
  <c r="N14" i="18"/>
  <c r="M14" i="18"/>
  <c r="L14" i="18"/>
  <c r="K14" i="18"/>
  <c r="J14" i="18"/>
  <c r="U13" i="18"/>
  <c r="T13" i="18"/>
  <c r="P13" i="18"/>
  <c r="O13" i="18"/>
  <c r="N13" i="18"/>
  <c r="M13" i="18"/>
  <c r="L13" i="18"/>
  <c r="K13" i="18"/>
  <c r="J13" i="18"/>
  <c r="U12" i="18"/>
  <c r="T12" i="18"/>
  <c r="P12" i="18"/>
  <c r="O12" i="18"/>
  <c r="N12" i="18"/>
  <c r="M12" i="18"/>
  <c r="L12" i="18"/>
  <c r="K12" i="18"/>
  <c r="J12" i="18"/>
  <c r="P11" i="18"/>
  <c r="O11" i="18"/>
  <c r="N11" i="18"/>
  <c r="M11" i="18"/>
  <c r="I7" i="18"/>
  <c r="G7" i="18"/>
  <c r="S6" i="18"/>
  <c r="S5" i="18"/>
  <c r="I5" i="18"/>
  <c r="S4" i="18"/>
  <c r="S3" i="18"/>
  <c r="I3" i="18"/>
  <c r="S2" i="18"/>
  <c r="S1" i="18"/>
  <c r="U178" i="3"/>
  <c r="T178" i="3"/>
  <c r="P178" i="3"/>
  <c r="O178" i="3"/>
  <c r="N178" i="3"/>
  <c r="M178" i="3"/>
  <c r="L178" i="3"/>
  <c r="K178" i="3"/>
  <c r="J178" i="3"/>
  <c r="I178" i="3"/>
  <c r="G178" i="3"/>
  <c r="U177" i="3"/>
  <c r="T177" i="3"/>
  <c r="P177" i="3"/>
  <c r="O177" i="3"/>
  <c r="N177" i="3"/>
  <c r="M177" i="3"/>
  <c r="L177" i="3"/>
  <c r="K177" i="3"/>
  <c r="J177" i="3"/>
  <c r="I177" i="3"/>
  <c r="G177" i="3"/>
  <c r="U176" i="3"/>
  <c r="T176" i="3"/>
  <c r="P176" i="3"/>
  <c r="O176" i="3"/>
  <c r="N176" i="3"/>
  <c r="M176" i="3"/>
  <c r="L176" i="3"/>
  <c r="K176" i="3"/>
  <c r="J176" i="3"/>
  <c r="I176" i="3"/>
  <c r="G176" i="3"/>
  <c r="U175" i="3"/>
  <c r="T175" i="3"/>
  <c r="P175" i="3"/>
  <c r="O175" i="3"/>
  <c r="N175" i="3"/>
  <c r="M175" i="3"/>
  <c r="L175" i="3"/>
  <c r="K175" i="3"/>
  <c r="J175" i="3"/>
  <c r="I175" i="3"/>
  <c r="G175" i="3"/>
  <c r="U174" i="3"/>
  <c r="T174" i="3"/>
  <c r="P174" i="3"/>
  <c r="O174" i="3"/>
  <c r="N174" i="3"/>
  <c r="M174" i="3"/>
  <c r="L174" i="3"/>
  <c r="K174" i="3"/>
  <c r="J174" i="3"/>
  <c r="I174" i="3"/>
  <c r="G174" i="3"/>
  <c r="U173" i="3"/>
  <c r="T173" i="3"/>
  <c r="P173" i="3"/>
  <c r="O173" i="3"/>
  <c r="N173" i="3"/>
  <c r="M173" i="3"/>
  <c r="L173" i="3"/>
  <c r="K173" i="3"/>
  <c r="J173" i="3"/>
  <c r="I173" i="3"/>
  <c r="G173" i="3"/>
  <c r="U172" i="3"/>
  <c r="T172" i="3"/>
  <c r="P172" i="3"/>
  <c r="O172" i="3"/>
  <c r="N172" i="3"/>
  <c r="M172" i="3"/>
  <c r="L172" i="3"/>
  <c r="K172" i="3"/>
  <c r="J172" i="3"/>
  <c r="I172" i="3"/>
  <c r="G172" i="3"/>
  <c r="U171" i="3"/>
  <c r="T171" i="3"/>
  <c r="P171" i="3"/>
  <c r="O171" i="3"/>
  <c r="N171" i="3"/>
  <c r="M171" i="3"/>
  <c r="L171" i="3"/>
  <c r="K171" i="3"/>
  <c r="J171" i="3"/>
  <c r="I171" i="3"/>
  <c r="G171" i="3"/>
  <c r="U170" i="3"/>
  <c r="T170" i="3"/>
  <c r="P170" i="3"/>
  <c r="O170" i="3"/>
  <c r="N170" i="3"/>
  <c r="M170" i="3"/>
  <c r="L170" i="3"/>
  <c r="K170" i="3"/>
  <c r="J170" i="3"/>
  <c r="U169" i="3"/>
  <c r="T169" i="3"/>
  <c r="P169" i="3"/>
  <c r="O169" i="3"/>
  <c r="N169" i="3"/>
  <c r="M169" i="3"/>
  <c r="L169" i="3"/>
  <c r="K169" i="3"/>
  <c r="J169" i="3"/>
  <c r="U168" i="3"/>
  <c r="T168" i="3"/>
  <c r="P168" i="3"/>
  <c r="O168" i="3"/>
  <c r="N168" i="3"/>
  <c r="M168" i="3"/>
  <c r="L168" i="3"/>
  <c r="K168" i="3"/>
  <c r="J168" i="3"/>
  <c r="U167" i="3"/>
  <c r="T167" i="3"/>
  <c r="P167" i="3"/>
  <c r="O167" i="3"/>
  <c r="N167" i="3"/>
  <c r="M167" i="3"/>
  <c r="L167" i="3"/>
  <c r="K167" i="3"/>
  <c r="J167" i="3"/>
  <c r="U166" i="3"/>
  <c r="T166" i="3"/>
  <c r="P166" i="3"/>
  <c r="O166" i="3"/>
  <c r="N166" i="3"/>
  <c r="M166" i="3"/>
  <c r="L166" i="3"/>
  <c r="K166" i="3"/>
  <c r="J166" i="3"/>
  <c r="U165" i="3"/>
  <c r="T165" i="3"/>
  <c r="P165" i="3"/>
  <c r="O165" i="3"/>
  <c r="N165" i="3"/>
  <c r="M165" i="3"/>
  <c r="L165" i="3"/>
  <c r="K165" i="3"/>
  <c r="J165" i="3"/>
  <c r="U164" i="3"/>
  <c r="T164" i="3"/>
  <c r="P164" i="3"/>
  <c r="O164" i="3"/>
  <c r="N164" i="3"/>
  <c r="M164" i="3"/>
  <c r="L164" i="3"/>
  <c r="K164" i="3"/>
  <c r="J164" i="3"/>
  <c r="U163" i="3"/>
  <c r="T163" i="3"/>
  <c r="P163" i="3"/>
  <c r="O163" i="3"/>
  <c r="N163" i="3"/>
  <c r="M163" i="3"/>
  <c r="L163" i="3"/>
  <c r="K163" i="3"/>
  <c r="J163" i="3"/>
  <c r="I163" i="3"/>
  <c r="U162" i="3"/>
  <c r="T162" i="3"/>
  <c r="P162" i="3"/>
  <c r="O162" i="3"/>
  <c r="N162" i="3"/>
  <c r="M162" i="3"/>
  <c r="L162" i="3"/>
  <c r="K162" i="3"/>
  <c r="J162" i="3"/>
  <c r="I162" i="3"/>
  <c r="U161" i="3"/>
  <c r="T161" i="3"/>
  <c r="P161" i="3"/>
  <c r="O161" i="3"/>
  <c r="N161" i="3"/>
  <c r="M161" i="3"/>
  <c r="L161" i="3"/>
  <c r="K161" i="3"/>
  <c r="J161" i="3"/>
  <c r="I161" i="3"/>
  <c r="U160" i="3"/>
  <c r="T160" i="3"/>
  <c r="P160" i="3"/>
  <c r="O160" i="3"/>
  <c r="N160" i="3"/>
  <c r="M160" i="3"/>
  <c r="L160" i="3"/>
  <c r="K160" i="3"/>
  <c r="J160" i="3"/>
  <c r="I160" i="3"/>
  <c r="U159" i="3"/>
  <c r="T159" i="3"/>
  <c r="P159" i="3"/>
  <c r="O159" i="3"/>
  <c r="N159" i="3"/>
  <c r="M159" i="3"/>
  <c r="L159" i="3"/>
  <c r="K159" i="3"/>
  <c r="J159" i="3"/>
  <c r="I159" i="3"/>
  <c r="U158" i="3"/>
  <c r="T158" i="3"/>
  <c r="P158" i="3"/>
  <c r="O158" i="3"/>
  <c r="N158" i="3"/>
  <c r="M158" i="3"/>
  <c r="L158" i="3"/>
  <c r="K158" i="3"/>
  <c r="J158" i="3"/>
  <c r="I158" i="3"/>
  <c r="U157" i="3"/>
  <c r="T157" i="3"/>
  <c r="P157" i="3"/>
  <c r="O157" i="3"/>
  <c r="N157" i="3"/>
  <c r="M157" i="3"/>
  <c r="L157" i="3"/>
  <c r="K157" i="3"/>
  <c r="J157" i="3"/>
  <c r="I157" i="3"/>
  <c r="U156" i="3"/>
  <c r="T156" i="3"/>
  <c r="P156" i="3"/>
  <c r="O156" i="3"/>
  <c r="N156" i="3"/>
  <c r="M156" i="3"/>
  <c r="L156" i="3"/>
  <c r="K156" i="3"/>
  <c r="J156" i="3"/>
  <c r="I156" i="3"/>
  <c r="U155" i="3"/>
  <c r="T155" i="3"/>
  <c r="P155" i="3"/>
  <c r="O155" i="3"/>
  <c r="N155" i="3"/>
  <c r="M155" i="3"/>
  <c r="L155" i="3"/>
  <c r="K155" i="3"/>
  <c r="J155" i="3"/>
  <c r="U154" i="3"/>
  <c r="T154" i="3"/>
  <c r="P154" i="3"/>
  <c r="O154" i="3"/>
  <c r="N154" i="3"/>
  <c r="M154" i="3"/>
  <c r="L154" i="3"/>
  <c r="K154" i="3"/>
  <c r="J154" i="3"/>
  <c r="U153" i="3"/>
  <c r="T153" i="3"/>
  <c r="P153" i="3"/>
  <c r="O153" i="3"/>
  <c r="N153" i="3"/>
  <c r="M153" i="3"/>
  <c r="L153" i="3"/>
  <c r="K153" i="3"/>
  <c r="J153" i="3"/>
  <c r="U152" i="3"/>
  <c r="T152" i="3"/>
  <c r="P152" i="3"/>
  <c r="O152" i="3"/>
  <c r="N152" i="3"/>
  <c r="M152" i="3"/>
  <c r="L152" i="3"/>
  <c r="K152" i="3"/>
  <c r="J152" i="3"/>
  <c r="U151" i="3"/>
  <c r="T151" i="3"/>
  <c r="P151" i="3"/>
  <c r="O151" i="3"/>
  <c r="N151" i="3"/>
  <c r="M151" i="3"/>
  <c r="L151" i="3"/>
  <c r="K151" i="3"/>
  <c r="J151" i="3"/>
  <c r="U150" i="3"/>
  <c r="T150" i="3"/>
  <c r="P150" i="3"/>
  <c r="O150" i="3"/>
  <c r="N150" i="3"/>
  <c r="M150" i="3"/>
  <c r="L150" i="3"/>
  <c r="K150" i="3"/>
  <c r="J150" i="3"/>
  <c r="I150" i="3"/>
  <c r="G150" i="3"/>
  <c r="U149" i="3"/>
  <c r="T149" i="3"/>
  <c r="P149" i="3"/>
  <c r="O149" i="3"/>
  <c r="N149" i="3"/>
  <c r="M149" i="3"/>
  <c r="L149" i="3"/>
  <c r="K149" i="3"/>
  <c r="J149" i="3"/>
  <c r="U148" i="3"/>
  <c r="T148" i="3"/>
  <c r="P148" i="3"/>
  <c r="O148" i="3"/>
  <c r="N148" i="3"/>
  <c r="M148" i="3"/>
  <c r="L148" i="3"/>
  <c r="K148" i="3"/>
  <c r="J148" i="3"/>
  <c r="U147" i="3"/>
  <c r="T147" i="3"/>
  <c r="P147" i="3"/>
  <c r="O147" i="3"/>
  <c r="N147" i="3"/>
  <c r="M147" i="3"/>
  <c r="L147" i="3"/>
  <c r="K147" i="3"/>
  <c r="J147" i="3"/>
  <c r="U146" i="3"/>
  <c r="T146" i="3"/>
  <c r="P146" i="3"/>
  <c r="O146" i="3"/>
  <c r="N146" i="3"/>
  <c r="M146" i="3"/>
  <c r="L146" i="3"/>
  <c r="K146" i="3"/>
  <c r="J146" i="3"/>
  <c r="U145" i="3"/>
  <c r="T145" i="3"/>
  <c r="P145" i="3"/>
  <c r="O145" i="3"/>
  <c r="N145" i="3"/>
  <c r="M145" i="3"/>
  <c r="L145" i="3"/>
  <c r="K145" i="3"/>
  <c r="J145" i="3"/>
  <c r="U144" i="3"/>
  <c r="T144" i="3"/>
  <c r="P144" i="3"/>
  <c r="O144" i="3"/>
  <c r="N144" i="3"/>
  <c r="M144" i="3"/>
  <c r="L144" i="3"/>
  <c r="K144" i="3"/>
  <c r="J144" i="3"/>
  <c r="U143" i="3"/>
  <c r="T143" i="3"/>
  <c r="P143" i="3"/>
  <c r="O143" i="3"/>
  <c r="N143" i="3"/>
  <c r="M143" i="3"/>
  <c r="L143" i="3"/>
  <c r="K143" i="3"/>
  <c r="J143" i="3"/>
  <c r="I143" i="3"/>
  <c r="U142" i="3"/>
  <c r="T142" i="3"/>
  <c r="P142" i="3"/>
  <c r="O142" i="3"/>
  <c r="N142" i="3"/>
  <c r="M142" i="3"/>
  <c r="L142" i="3"/>
  <c r="K142" i="3"/>
  <c r="J142" i="3"/>
  <c r="I142" i="3"/>
  <c r="U141" i="3"/>
  <c r="T141" i="3"/>
  <c r="P141" i="3"/>
  <c r="O141" i="3"/>
  <c r="N141" i="3"/>
  <c r="M141" i="3"/>
  <c r="L141" i="3"/>
  <c r="K141" i="3"/>
  <c r="J141" i="3"/>
  <c r="I141" i="3"/>
  <c r="U140" i="3"/>
  <c r="T140" i="3"/>
  <c r="P140" i="3"/>
  <c r="O140" i="3"/>
  <c r="N140" i="3"/>
  <c r="M140" i="3"/>
  <c r="L140" i="3"/>
  <c r="K140" i="3"/>
  <c r="J140" i="3"/>
  <c r="I140" i="3"/>
  <c r="U139" i="3"/>
  <c r="T139" i="3"/>
  <c r="P139" i="3"/>
  <c r="O139" i="3"/>
  <c r="N139" i="3"/>
  <c r="M139" i="3"/>
  <c r="L139" i="3"/>
  <c r="K139" i="3"/>
  <c r="J139" i="3"/>
  <c r="I139" i="3"/>
  <c r="U138" i="3"/>
  <c r="T138" i="3"/>
  <c r="P138" i="3"/>
  <c r="O138" i="3"/>
  <c r="N138" i="3"/>
  <c r="M138" i="3"/>
  <c r="L138" i="3"/>
  <c r="K138" i="3"/>
  <c r="J138" i="3"/>
  <c r="U137" i="3"/>
  <c r="T137" i="3"/>
  <c r="P137" i="3"/>
  <c r="O137" i="3"/>
  <c r="N137" i="3"/>
  <c r="M137" i="3"/>
  <c r="L137" i="3"/>
  <c r="K137" i="3"/>
  <c r="J137" i="3"/>
  <c r="U136" i="3"/>
  <c r="T136" i="3"/>
  <c r="P136" i="3"/>
  <c r="O136" i="3"/>
  <c r="N136" i="3"/>
  <c r="M136" i="3"/>
  <c r="L136" i="3"/>
  <c r="K136" i="3"/>
  <c r="J136" i="3"/>
  <c r="U135" i="3"/>
  <c r="T135" i="3"/>
  <c r="P135" i="3"/>
  <c r="O135" i="3"/>
  <c r="N135" i="3"/>
  <c r="M135" i="3"/>
  <c r="L135" i="3"/>
  <c r="K135" i="3"/>
  <c r="J135" i="3"/>
  <c r="U134" i="3"/>
  <c r="T134" i="3"/>
  <c r="P134" i="3"/>
  <c r="O134" i="3"/>
  <c r="N134" i="3"/>
  <c r="M134" i="3"/>
  <c r="L134" i="3"/>
  <c r="K134" i="3"/>
  <c r="J134" i="3"/>
  <c r="U133" i="3"/>
  <c r="T133" i="3"/>
  <c r="P133" i="3"/>
  <c r="O133" i="3"/>
  <c r="N133" i="3"/>
  <c r="M133" i="3"/>
  <c r="L133" i="3"/>
  <c r="K133" i="3"/>
  <c r="J133" i="3"/>
  <c r="U132" i="3"/>
  <c r="T132" i="3"/>
  <c r="P132" i="3"/>
  <c r="O132" i="3"/>
  <c r="N132" i="3"/>
  <c r="M132" i="3"/>
  <c r="L132" i="3"/>
  <c r="K132" i="3"/>
  <c r="J132" i="3"/>
  <c r="I132" i="3"/>
  <c r="G132" i="3"/>
  <c r="U131" i="3"/>
  <c r="T131" i="3"/>
  <c r="P131" i="3"/>
  <c r="O131" i="3"/>
  <c r="N131" i="3"/>
  <c r="M131" i="3"/>
  <c r="L131" i="3"/>
  <c r="K131" i="3"/>
  <c r="J131" i="3"/>
  <c r="U130" i="3"/>
  <c r="T130" i="3"/>
  <c r="P130" i="3"/>
  <c r="O130" i="3"/>
  <c r="N130" i="3"/>
  <c r="M130" i="3"/>
  <c r="L130" i="3"/>
  <c r="K130" i="3"/>
  <c r="J130" i="3"/>
  <c r="U129" i="3"/>
  <c r="T129" i="3"/>
  <c r="P129" i="3"/>
  <c r="O129" i="3"/>
  <c r="N129" i="3"/>
  <c r="M129" i="3"/>
  <c r="L129" i="3"/>
  <c r="K129" i="3"/>
  <c r="J129" i="3"/>
  <c r="U128" i="3"/>
  <c r="T128" i="3"/>
  <c r="P128" i="3"/>
  <c r="O128" i="3"/>
  <c r="N128" i="3"/>
  <c r="M128" i="3"/>
  <c r="L128" i="3"/>
  <c r="K128" i="3"/>
  <c r="J128" i="3"/>
  <c r="U127" i="3"/>
  <c r="T127" i="3"/>
  <c r="P127" i="3"/>
  <c r="O127" i="3"/>
  <c r="N127" i="3"/>
  <c r="M127" i="3"/>
  <c r="L127" i="3"/>
  <c r="K127" i="3"/>
  <c r="J127" i="3"/>
  <c r="U126" i="3"/>
  <c r="T126" i="3"/>
  <c r="P126" i="3"/>
  <c r="O126" i="3"/>
  <c r="N126" i="3"/>
  <c r="M126" i="3"/>
  <c r="L126" i="3"/>
  <c r="K126" i="3"/>
  <c r="J126" i="3"/>
  <c r="U125" i="3"/>
  <c r="T125" i="3"/>
  <c r="P125" i="3"/>
  <c r="O125" i="3"/>
  <c r="N125" i="3"/>
  <c r="M125" i="3"/>
  <c r="L125" i="3"/>
  <c r="K125" i="3"/>
  <c r="J125" i="3"/>
  <c r="U124" i="3"/>
  <c r="T124" i="3"/>
  <c r="P124" i="3"/>
  <c r="O124" i="3"/>
  <c r="N124" i="3"/>
  <c r="M124" i="3"/>
  <c r="L124" i="3"/>
  <c r="K124" i="3"/>
  <c r="J124" i="3"/>
  <c r="U123" i="3"/>
  <c r="T123" i="3"/>
  <c r="P123" i="3"/>
  <c r="O123" i="3"/>
  <c r="N123" i="3"/>
  <c r="M123" i="3"/>
  <c r="L123" i="3"/>
  <c r="K123" i="3"/>
  <c r="J123" i="3"/>
  <c r="I123" i="3"/>
  <c r="U122" i="3"/>
  <c r="T122" i="3"/>
  <c r="P122" i="3"/>
  <c r="O122" i="3"/>
  <c r="N122" i="3"/>
  <c r="M122" i="3"/>
  <c r="L122" i="3"/>
  <c r="K122" i="3"/>
  <c r="J122" i="3"/>
  <c r="I122" i="3"/>
  <c r="U121" i="3"/>
  <c r="T121" i="3"/>
  <c r="P121" i="3"/>
  <c r="O121" i="3"/>
  <c r="N121" i="3"/>
  <c r="M121" i="3"/>
  <c r="L121" i="3"/>
  <c r="K121" i="3"/>
  <c r="J121" i="3"/>
  <c r="I121" i="3"/>
  <c r="U120" i="3"/>
  <c r="T120" i="3"/>
  <c r="P120" i="3"/>
  <c r="O120" i="3"/>
  <c r="N120" i="3"/>
  <c r="M120" i="3"/>
  <c r="L120" i="3"/>
  <c r="K120" i="3"/>
  <c r="J120" i="3"/>
  <c r="I120" i="3"/>
  <c r="U119" i="3"/>
  <c r="T119" i="3"/>
  <c r="P119" i="3"/>
  <c r="O119" i="3"/>
  <c r="N119" i="3"/>
  <c r="M119" i="3"/>
  <c r="L119" i="3"/>
  <c r="K119" i="3"/>
  <c r="J119" i="3"/>
  <c r="I119" i="3"/>
  <c r="U118" i="3"/>
  <c r="T118" i="3"/>
  <c r="M118" i="3"/>
  <c r="L118" i="3"/>
  <c r="K118" i="3"/>
  <c r="J118" i="3"/>
  <c r="U117" i="3"/>
  <c r="T117" i="3"/>
  <c r="P117" i="3"/>
  <c r="O117" i="3"/>
  <c r="N117" i="3"/>
  <c r="M117" i="3"/>
  <c r="L117" i="3"/>
  <c r="K117" i="3"/>
  <c r="J117" i="3"/>
  <c r="U116" i="3"/>
  <c r="T116" i="3"/>
  <c r="P116" i="3"/>
  <c r="O116" i="3"/>
  <c r="N116" i="3"/>
  <c r="M116" i="3"/>
  <c r="L116" i="3"/>
  <c r="K116" i="3"/>
  <c r="J116" i="3"/>
  <c r="U115" i="3"/>
  <c r="T115" i="3"/>
  <c r="P115" i="3"/>
  <c r="O115" i="3"/>
  <c r="N115" i="3"/>
  <c r="M115" i="3"/>
  <c r="L115" i="3"/>
  <c r="K115" i="3"/>
  <c r="J115" i="3"/>
  <c r="U114" i="3"/>
  <c r="T114" i="3"/>
  <c r="P114" i="3"/>
  <c r="O114" i="3"/>
  <c r="N114" i="3"/>
  <c r="M114" i="3"/>
  <c r="L114" i="3"/>
  <c r="K114" i="3"/>
  <c r="J114" i="3"/>
  <c r="U113" i="3"/>
  <c r="T113" i="3"/>
  <c r="P113" i="3"/>
  <c r="O113" i="3"/>
  <c r="N113" i="3"/>
  <c r="M113" i="3"/>
  <c r="L113" i="3"/>
  <c r="K113" i="3"/>
  <c r="J113" i="3"/>
  <c r="U112" i="3"/>
  <c r="T112" i="3"/>
  <c r="P112" i="3"/>
  <c r="O112" i="3"/>
  <c r="N112" i="3"/>
  <c r="M112" i="3"/>
  <c r="L112" i="3"/>
  <c r="K112" i="3"/>
  <c r="J112" i="3"/>
  <c r="I112" i="3"/>
  <c r="G112" i="3"/>
  <c r="U111" i="3"/>
  <c r="T111" i="3"/>
  <c r="P111" i="3"/>
  <c r="O111" i="3"/>
  <c r="N111" i="3"/>
  <c r="M111" i="3"/>
  <c r="L111" i="3"/>
  <c r="K111" i="3"/>
  <c r="J111" i="3"/>
  <c r="U110" i="3"/>
  <c r="T110" i="3"/>
  <c r="P110" i="3"/>
  <c r="O110" i="3"/>
  <c r="N110" i="3"/>
  <c r="M110" i="3"/>
  <c r="L110" i="3"/>
  <c r="K110" i="3"/>
  <c r="J110" i="3"/>
  <c r="U109" i="3"/>
  <c r="T109" i="3"/>
  <c r="P109" i="3"/>
  <c r="O109" i="3"/>
  <c r="N109" i="3"/>
  <c r="M109" i="3"/>
  <c r="L109" i="3"/>
  <c r="K109" i="3"/>
  <c r="J109" i="3"/>
  <c r="U108" i="3"/>
  <c r="T108" i="3"/>
  <c r="P108" i="3"/>
  <c r="O108" i="3"/>
  <c r="N108" i="3"/>
  <c r="M108" i="3"/>
  <c r="L108" i="3"/>
  <c r="K108" i="3"/>
  <c r="J108" i="3"/>
  <c r="U107" i="3"/>
  <c r="T107" i="3"/>
  <c r="P107" i="3"/>
  <c r="O107" i="3"/>
  <c r="N107" i="3"/>
  <c r="M107" i="3"/>
  <c r="L107" i="3"/>
  <c r="K107" i="3"/>
  <c r="J107" i="3"/>
  <c r="U106" i="3"/>
  <c r="T106" i="3"/>
  <c r="P106" i="3"/>
  <c r="O106" i="3"/>
  <c r="N106" i="3"/>
  <c r="M106" i="3"/>
  <c r="L106" i="3"/>
  <c r="K106" i="3"/>
  <c r="J106" i="3"/>
  <c r="U105" i="3"/>
  <c r="T105" i="3"/>
  <c r="P105" i="3"/>
  <c r="O105" i="3"/>
  <c r="N105" i="3"/>
  <c r="M105" i="3"/>
  <c r="L105" i="3"/>
  <c r="K105" i="3"/>
  <c r="J105" i="3"/>
  <c r="U104" i="3"/>
  <c r="T104" i="3"/>
  <c r="P104" i="3"/>
  <c r="O104" i="3"/>
  <c r="N104" i="3"/>
  <c r="M104" i="3"/>
  <c r="L104" i="3"/>
  <c r="K104" i="3"/>
  <c r="J104" i="3"/>
  <c r="I104" i="3"/>
  <c r="U103" i="3"/>
  <c r="T103" i="3"/>
  <c r="P103" i="3"/>
  <c r="O103" i="3"/>
  <c r="N103" i="3"/>
  <c r="M103" i="3"/>
  <c r="L103" i="3"/>
  <c r="K103" i="3"/>
  <c r="J103" i="3"/>
  <c r="I103" i="3"/>
  <c r="U102" i="3"/>
  <c r="T102" i="3"/>
  <c r="P102" i="3"/>
  <c r="O102" i="3"/>
  <c r="N102" i="3"/>
  <c r="M102" i="3"/>
  <c r="L102" i="3"/>
  <c r="K102" i="3"/>
  <c r="J102" i="3"/>
  <c r="I102" i="3"/>
  <c r="U101" i="3"/>
  <c r="T101" i="3"/>
  <c r="P101" i="3"/>
  <c r="O101" i="3"/>
  <c r="N101" i="3"/>
  <c r="M101" i="3"/>
  <c r="L101" i="3"/>
  <c r="K101" i="3"/>
  <c r="J101" i="3"/>
  <c r="I101" i="3"/>
  <c r="U100" i="3"/>
  <c r="T100" i="3"/>
  <c r="P100" i="3"/>
  <c r="O100" i="3"/>
  <c r="N100" i="3"/>
  <c r="M100" i="3"/>
  <c r="L100" i="3"/>
  <c r="K100" i="3"/>
  <c r="J100" i="3"/>
  <c r="I100" i="3"/>
  <c r="U99" i="3"/>
  <c r="T99" i="3"/>
  <c r="P99" i="3"/>
  <c r="O99" i="3"/>
  <c r="N99" i="3"/>
  <c r="M99" i="3"/>
  <c r="L99" i="3"/>
  <c r="K99" i="3"/>
  <c r="J99" i="3"/>
  <c r="I99" i="3"/>
  <c r="U98" i="3"/>
  <c r="T98" i="3"/>
  <c r="P98" i="3"/>
  <c r="O98" i="3"/>
  <c r="N98" i="3"/>
  <c r="M98" i="3"/>
  <c r="L98" i="3"/>
  <c r="K98" i="3"/>
  <c r="J98" i="3"/>
  <c r="I98" i="3"/>
  <c r="U97" i="3"/>
  <c r="T97" i="3"/>
  <c r="P97" i="3"/>
  <c r="O97" i="3"/>
  <c r="N97" i="3"/>
  <c r="M97" i="3"/>
  <c r="L97" i="3"/>
  <c r="K97" i="3"/>
  <c r="J97" i="3"/>
  <c r="U96" i="3"/>
  <c r="T96" i="3"/>
  <c r="P96" i="3"/>
  <c r="O96" i="3"/>
  <c r="N96" i="3"/>
  <c r="M96" i="3"/>
  <c r="L96" i="3"/>
  <c r="K96" i="3"/>
  <c r="J96" i="3"/>
  <c r="U95" i="3"/>
  <c r="T95" i="3"/>
  <c r="P95" i="3"/>
  <c r="O95" i="3"/>
  <c r="N95" i="3"/>
  <c r="M95" i="3"/>
  <c r="L95" i="3"/>
  <c r="K95" i="3"/>
  <c r="J95" i="3"/>
  <c r="U94" i="3"/>
  <c r="T94" i="3"/>
  <c r="P94" i="3"/>
  <c r="O94" i="3"/>
  <c r="N94" i="3"/>
  <c r="M94" i="3"/>
  <c r="L94" i="3"/>
  <c r="K94" i="3"/>
  <c r="J94" i="3"/>
  <c r="U93" i="3"/>
  <c r="T93" i="3"/>
  <c r="P93" i="3"/>
  <c r="O93" i="3"/>
  <c r="N93" i="3"/>
  <c r="M93" i="3"/>
  <c r="L93" i="3"/>
  <c r="K93" i="3"/>
  <c r="J93" i="3"/>
  <c r="U92" i="3"/>
  <c r="T92" i="3"/>
  <c r="P92" i="3"/>
  <c r="O92" i="3"/>
  <c r="N92" i="3"/>
  <c r="M92" i="3"/>
  <c r="L92" i="3"/>
  <c r="K92" i="3"/>
  <c r="J92" i="3"/>
  <c r="U91" i="3"/>
  <c r="T91" i="3"/>
  <c r="P91" i="3"/>
  <c r="O91" i="3"/>
  <c r="N91" i="3"/>
  <c r="M91" i="3"/>
  <c r="L91" i="3"/>
  <c r="K91" i="3"/>
  <c r="J91" i="3"/>
  <c r="U90" i="3"/>
  <c r="T90" i="3"/>
  <c r="P90" i="3"/>
  <c r="O90" i="3"/>
  <c r="N90" i="3"/>
  <c r="M90" i="3"/>
  <c r="L90" i="3"/>
  <c r="K90" i="3"/>
  <c r="J90" i="3"/>
  <c r="U89" i="3"/>
  <c r="T89" i="3"/>
  <c r="P89" i="3"/>
  <c r="O89" i="3"/>
  <c r="N89" i="3"/>
  <c r="M89" i="3"/>
  <c r="L89" i="3"/>
  <c r="K89" i="3"/>
  <c r="J89" i="3"/>
  <c r="I89" i="3"/>
  <c r="U88" i="3"/>
  <c r="T88" i="3"/>
  <c r="P88" i="3"/>
  <c r="O88" i="3"/>
  <c r="N88" i="3"/>
  <c r="M88" i="3"/>
  <c r="L88" i="3"/>
  <c r="K88" i="3"/>
  <c r="J88" i="3"/>
  <c r="I88" i="3"/>
  <c r="U87" i="3"/>
  <c r="T87" i="3"/>
  <c r="P87" i="3"/>
  <c r="O87" i="3"/>
  <c r="N87" i="3"/>
  <c r="M87" i="3"/>
  <c r="L87" i="3"/>
  <c r="K87" i="3"/>
  <c r="J87" i="3"/>
  <c r="I87" i="3"/>
  <c r="U86" i="3"/>
  <c r="T86" i="3"/>
  <c r="P86" i="3"/>
  <c r="O86" i="3"/>
  <c r="N86" i="3"/>
  <c r="M86" i="3"/>
  <c r="L86" i="3"/>
  <c r="K86" i="3"/>
  <c r="J86" i="3"/>
  <c r="I86" i="3"/>
  <c r="U85" i="3"/>
  <c r="T85" i="3"/>
  <c r="P85" i="3"/>
  <c r="O85" i="3"/>
  <c r="N85" i="3"/>
  <c r="M85" i="3"/>
  <c r="L85" i="3"/>
  <c r="K85" i="3"/>
  <c r="J85" i="3"/>
  <c r="I85" i="3"/>
  <c r="U84" i="3"/>
  <c r="T84" i="3"/>
  <c r="P84" i="3"/>
  <c r="O84" i="3"/>
  <c r="N84" i="3"/>
  <c r="M84" i="3"/>
  <c r="L84" i="3"/>
  <c r="K84" i="3"/>
  <c r="J84" i="3"/>
  <c r="I84" i="3"/>
  <c r="U83" i="3"/>
  <c r="T83" i="3"/>
  <c r="P83" i="3"/>
  <c r="O83" i="3"/>
  <c r="N83" i="3"/>
  <c r="M83" i="3"/>
  <c r="L83" i="3"/>
  <c r="K83" i="3"/>
  <c r="J83" i="3"/>
  <c r="I83" i="3"/>
  <c r="U82" i="3"/>
  <c r="T82" i="3"/>
  <c r="P82" i="3"/>
  <c r="O82" i="3"/>
  <c r="N82" i="3"/>
  <c r="M82" i="3"/>
  <c r="L82" i="3"/>
  <c r="K82" i="3"/>
  <c r="J82" i="3"/>
  <c r="U81" i="3"/>
  <c r="T81" i="3"/>
  <c r="P81" i="3"/>
  <c r="O81" i="3"/>
  <c r="N81" i="3"/>
  <c r="M81" i="3"/>
  <c r="L81" i="3"/>
  <c r="K81" i="3"/>
  <c r="J81" i="3"/>
  <c r="U80" i="3"/>
  <c r="T80" i="3"/>
  <c r="P80" i="3"/>
  <c r="O80" i="3"/>
  <c r="N80" i="3"/>
  <c r="M80" i="3"/>
  <c r="L80" i="3"/>
  <c r="K80" i="3"/>
  <c r="J80" i="3"/>
  <c r="U79" i="3"/>
  <c r="T79" i="3"/>
  <c r="P79" i="3"/>
  <c r="O79" i="3"/>
  <c r="N79" i="3"/>
  <c r="M79" i="3"/>
  <c r="L79" i="3"/>
  <c r="K79" i="3"/>
  <c r="J79" i="3"/>
  <c r="U78" i="3"/>
  <c r="T78" i="3"/>
  <c r="P78" i="3"/>
  <c r="O78" i="3"/>
  <c r="N78" i="3"/>
  <c r="M78" i="3"/>
  <c r="L78" i="3"/>
  <c r="K78" i="3"/>
  <c r="J78" i="3"/>
  <c r="U77" i="3"/>
  <c r="T77" i="3"/>
  <c r="P77" i="3"/>
  <c r="O77" i="3"/>
  <c r="N77" i="3"/>
  <c r="M77" i="3"/>
  <c r="L77" i="3"/>
  <c r="K77" i="3"/>
  <c r="J77" i="3"/>
  <c r="U76" i="3"/>
  <c r="T76" i="3"/>
  <c r="P76" i="3"/>
  <c r="O76" i="3"/>
  <c r="N76" i="3"/>
  <c r="M76" i="3"/>
  <c r="L76" i="3"/>
  <c r="K76" i="3"/>
  <c r="J76" i="3"/>
  <c r="U75" i="3"/>
  <c r="T75" i="3"/>
  <c r="P75" i="3"/>
  <c r="O75" i="3"/>
  <c r="N75" i="3"/>
  <c r="M75" i="3"/>
  <c r="L75" i="3"/>
  <c r="K75" i="3"/>
  <c r="J75" i="3"/>
  <c r="U74" i="3"/>
  <c r="T74" i="3"/>
  <c r="P74" i="3"/>
  <c r="O74" i="3"/>
  <c r="N74" i="3"/>
  <c r="M74" i="3"/>
  <c r="L74" i="3"/>
  <c r="K74" i="3"/>
  <c r="J74" i="3"/>
  <c r="I74" i="3"/>
  <c r="U73" i="3"/>
  <c r="T73" i="3"/>
  <c r="P73" i="3"/>
  <c r="O73" i="3"/>
  <c r="N73" i="3"/>
  <c r="M73" i="3"/>
  <c r="L73" i="3"/>
  <c r="K73" i="3"/>
  <c r="J73" i="3"/>
  <c r="I73" i="3"/>
  <c r="U72" i="3"/>
  <c r="T72" i="3"/>
  <c r="P72" i="3"/>
  <c r="O72" i="3"/>
  <c r="N72" i="3"/>
  <c r="M72" i="3"/>
  <c r="L72" i="3"/>
  <c r="K72" i="3"/>
  <c r="J72" i="3"/>
  <c r="I72" i="3"/>
  <c r="U71" i="3"/>
  <c r="T71" i="3"/>
  <c r="P71" i="3"/>
  <c r="O71" i="3"/>
  <c r="N71" i="3"/>
  <c r="M71" i="3"/>
  <c r="L71" i="3"/>
  <c r="K71" i="3"/>
  <c r="J71" i="3"/>
  <c r="I71" i="3"/>
  <c r="U70" i="3"/>
  <c r="T70" i="3"/>
  <c r="P70" i="3"/>
  <c r="O70" i="3"/>
  <c r="N70" i="3"/>
  <c r="M70" i="3"/>
  <c r="L70" i="3"/>
  <c r="K70" i="3"/>
  <c r="J70" i="3"/>
  <c r="I70" i="3"/>
  <c r="U69" i="3"/>
  <c r="T69" i="3"/>
  <c r="M69" i="3"/>
  <c r="L69" i="3"/>
  <c r="K69" i="3"/>
  <c r="J69" i="3"/>
  <c r="U68" i="3"/>
  <c r="T68" i="3"/>
  <c r="P68" i="3"/>
  <c r="O68" i="3"/>
  <c r="N68" i="3"/>
  <c r="M68" i="3"/>
  <c r="L68" i="3"/>
  <c r="K68" i="3"/>
  <c r="J68" i="3"/>
  <c r="U67" i="3"/>
  <c r="T67" i="3"/>
  <c r="P67" i="3"/>
  <c r="O67" i="3"/>
  <c r="N67" i="3"/>
  <c r="M67" i="3"/>
  <c r="L67" i="3"/>
  <c r="K67" i="3"/>
  <c r="J67" i="3"/>
  <c r="U66" i="3"/>
  <c r="T66" i="3"/>
  <c r="P66" i="3"/>
  <c r="O66" i="3"/>
  <c r="N66" i="3"/>
  <c r="M66" i="3"/>
  <c r="L66" i="3"/>
  <c r="K66" i="3"/>
  <c r="J66" i="3"/>
  <c r="U65" i="3"/>
  <c r="T65" i="3"/>
  <c r="P65" i="3"/>
  <c r="O65" i="3"/>
  <c r="N65" i="3"/>
  <c r="M65" i="3"/>
  <c r="L65" i="3"/>
  <c r="K65" i="3"/>
  <c r="J65" i="3"/>
  <c r="U64" i="3"/>
  <c r="T64" i="3"/>
  <c r="P64" i="3"/>
  <c r="O64" i="3"/>
  <c r="N64" i="3"/>
  <c r="M64" i="3"/>
  <c r="L64" i="3"/>
  <c r="K64" i="3"/>
  <c r="J64" i="3"/>
  <c r="U63" i="3"/>
  <c r="T63" i="3"/>
  <c r="P63" i="3"/>
  <c r="O63" i="3"/>
  <c r="N63" i="3"/>
  <c r="M63" i="3"/>
  <c r="L63" i="3"/>
  <c r="K63" i="3"/>
  <c r="J63" i="3"/>
  <c r="I63" i="3"/>
  <c r="G63" i="3"/>
  <c r="U62" i="3"/>
  <c r="T62" i="3"/>
  <c r="P62" i="3"/>
  <c r="O62" i="3"/>
  <c r="N62" i="3"/>
  <c r="M62" i="3"/>
  <c r="L62" i="3"/>
  <c r="K62" i="3"/>
  <c r="J62" i="3"/>
  <c r="U61" i="3"/>
  <c r="T61" i="3"/>
  <c r="P61" i="3"/>
  <c r="O61" i="3"/>
  <c r="N61" i="3"/>
  <c r="M61" i="3"/>
  <c r="L61" i="3"/>
  <c r="K61" i="3"/>
  <c r="J61" i="3"/>
  <c r="U60" i="3"/>
  <c r="T60" i="3"/>
  <c r="P60" i="3"/>
  <c r="O60" i="3"/>
  <c r="N60" i="3"/>
  <c r="M60" i="3"/>
  <c r="L60" i="3"/>
  <c r="K60" i="3"/>
  <c r="J60" i="3"/>
  <c r="U59" i="3"/>
  <c r="T59" i="3"/>
  <c r="P59" i="3"/>
  <c r="O59" i="3"/>
  <c r="N59" i="3"/>
  <c r="M59" i="3"/>
  <c r="L59" i="3"/>
  <c r="K59" i="3"/>
  <c r="J59" i="3"/>
  <c r="U58" i="3"/>
  <c r="T58" i="3"/>
  <c r="P58" i="3"/>
  <c r="O58" i="3"/>
  <c r="N58" i="3"/>
  <c r="M58" i="3"/>
  <c r="L58" i="3"/>
  <c r="K58" i="3"/>
  <c r="J58" i="3"/>
  <c r="U57" i="3"/>
  <c r="T57" i="3"/>
  <c r="P57" i="3"/>
  <c r="O57" i="3"/>
  <c r="N57" i="3"/>
  <c r="M57" i="3"/>
  <c r="L57" i="3"/>
  <c r="K57" i="3"/>
  <c r="J57" i="3"/>
  <c r="U56" i="3"/>
  <c r="T56" i="3"/>
  <c r="P56" i="3"/>
  <c r="O56" i="3"/>
  <c r="N56" i="3"/>
  <c r="M56" i="3"/>
  <c r="L56" i="3"/>
  <c r="K56" i="3"/>
  <c r="J56" i="3"/>
  <c r="I56" i="3"/>
  <c r="U55" i="3"/>
  <c r="T55" i="3"/>
  <c r="P55" i="3"/>
  <c r="O55" i="3"/>
  <c r="N55" i="3"/>
  <c r="M55" i="3"/>
  <c r="L55" i="3"/>
  <c r="K55" i="3"/>
  <c r="J55" i="3"/>
  <c r="I55" i="3"/>
  <c r="U54" i="3"/>
  <c r="T54" i="3"/>
  <c r="P54" i="3"/>
  <c r="O54" i="3"/>
  <c r="N54" i="3"/>
  <c r="M54" i="3"/>
  <c r="L54" i="3"/>
  <c r="K54" i="3"/>
  <c r="J54" i="3"/>
  <c r="I54" i="3"/>
  <c r="U53" i="3"/>
  <c r="T53" i="3"/>
  <c r="P53" i="3"/>
  <c r="O53" i="3"/>
  <c r="N53" i="3"/>
  <c r="M53" i="3"/>
  <c r="L53" i="3"/>
  <c r="K53" i="3"/>
  <c r="J53" i="3"/>
  <c r="I53" i="3"/>
  <c r="U52" i="3"/>
  <c r="T52" i="3"/>
  <c r="P52" i="3"/>
  <c r="O52" i="3"/>
  <c r="N52" i="3"/>
  <c r="M52" i="3"/>
  <c r="L52" i="3"/>
  <c r="K52" i="3"/>
  <c r="J52" i="3"/>
  <c r="I52" i="3"/>
  <c r="U51" i="3"/>
  <c r="T51" i="3"/>
  <c r="P51" i="3"/>
  <c r="O51" i="3"/>
  <c r="N51" i="3"/>
  <c r="M51" i="3"/>
  <c r="L51" i="3"/>
  <c r="K51" i="3"/>
  <c r="J51" i="3"/>
  <c r="I51" i="3"/>
  <c r="U50" i="3"/>
  <c r="T50" i="3"/>
  <c r="P50" i="3"/>
  <c r="O50" i="3"/>
  <c r="N50" i="3"/>
  <c r="M50" i="3"/>
  <c r="L50" i="3"/>
  <c r="K50" i="3"/>
  <c r="J50" i="3"/>
  <c r="I50" i="3"/>
  <c r="U49" i="3"/>
  <c r="T49" i="3"/>
  <c r="P49" i="3"/>
  <c r="O49" i="3"/>
  <c r="N49" i="3"/>
  <c r="M49" i="3"/>
  <c r="L49" i="3"/>
  <c r="K49" i="3"/>
  <c r="J49" i="3"/>
  <c r="I49" i="3"/>
  <c r="U48" i="3"/>
  <c r="T48" i="3"/>
  <c r="P48" i="3"/>
  <c r="O48" i="3"/>
  <c r="N48" i="3"/>
  <c r="M48" i="3"/>
  <c r="L48" i="3"/>
  <c r="K48" i="3"/>
  <c r="J48" i="3"/>
  <c r="U47" i="3"/>
  <c r="T47" i="3"/>
  <c r="P47" i="3"/>
  <c r="O47" i="3"/>
  <c r="N47" i="3"/>
  <c r="M47" i="3"/>
  <c r="L47" i="3"/>
  <c r="K47" i="3"/>
  <c r="J47" i="3"/>
  <c r="U46" i="3"/>
  <c r="T46" i="3"/>
  <c r="P46" i="3"/>
  <c r="O46" i="3"/>
  <c r="N46" i="3"/>
  <c r="M46" i="3"/>
  <c r="L46" i="3"/>
  <c r="K46" i="3"/>
  <c r="J46" i="3"/>
  <c r="U45" i="3"/>
  <c r="T45" i="3"/>
  <c r="P45" i="3"/>
  <c r="O45" i="3"/>
  <c r="N45" i="3"/>
  <c r="M45" i="3"/>
  <c r="L45" i="3"/>
  <c r="K45" i="3"/>
  <c r="J45" i="3"/>
  <c r="U44" i="3"/>
  <c r="T44" i="3"/>
  <c r="P44" i="3"/>
  <c r="O44" i="3"/>
  <c r="N44" i="3"/>
  <c r="M44" i="3"/>
  <c r="L44" i="3"/>
  <c r="K44" i="3"/>
  <c r="J44" i="3"/>
  <c r="U43" i="3"/>
  <c r="T43" i="3"/>
  <c r="P43" i="3"/>
  <c r="O43" i="3"/>
  <c r="N43" i="3"/>
  <c r="M43" i="3"/>
  <c r="L43" i="3"/>
  <c r="K43" i="3"/>
  <c r="J43" i="3"/>
  <c r="U42" i="3"/>
  <c r="T42" i="3"/>
  <c r="P42" i="3"/>
  <c r="O42" i="3"/>
  <c r="N42" i="3"/>
  <c r="M42" i="3"/>
  <c r="L42" i="3"/>
  <c r="K42" i="3"/>
  <c r="J42" i="3"/>
  <c r="U41" i="3"/>
  <c r="T41" i="3"/>
  <c r="P41" i="3"/>
  <c r="O41" i="3"/>
  <c r="N41" i="3"/>
  <c r="M41" i="3"/>
  <c r="L41" i="3"/>
  <c r="K41" i="3"/>
  <c r="J41" i="3"/>
  <c r="U40" i="3"/>
  <c r="T40" i="3"/>
  <c r="P40" i="3"/>
  <c r="O40" i="3"/>
  <c r="N40" i="3"/>
  <c r="M40" i="3"/>
  <c r="L40" i="3"/>
  <c r="K40" i="3"/>
  <c r="J40" i="3"/>
  <c r="I40" i="3"/>
  <c r="U39" i="3"/>
  <c r="T39" i="3"/>
  <c r="P39" i="3"/>
  <c r="O39" i="3"/>
  <c r="N39" i="3"/>
  <c r="M39" i="3"/>
  <c r="L39" i="3"/>
  <c r="K39" i="3"/>
  <c r="J39" i="3"/>
  <c r="I39" i="3"/>
  <c r="U38" i="3"/>
  <c r="T38" i="3"/>
  <c r="P38" i="3"/>
  <c r="O38" i="3"/>
  <c r="N38" i="3"/>
  <c r="M38" i="3"/>
  <c r="L38" i="3"/>
  <c r="K38" i="3"/>
  <c r="J38" i="3"/>
  <c r="I38" i="3"/>
  <c r="U37" i="3"/>
  <c r="T37" i="3"/>
  <c r="P37" i="3"/>
  <c r="O37" i="3"/>
  <c r="N37" i="3"/>
  <c r="M37" i="3"/>
  <c r="L37" i="3"/>
  <c r="K37" i="3"/>
  <c r="J37" i="3"/>
  <c r="I37" i="3"/>
  <c r="U36" i="3"/>
  <c r="T36" i="3"/>
  <c r="P36" i="3"/>
  <c r="O36" i="3"/>
  <c r="N36" i="3"/>
  <c r="M36" i="3"/>
  <c r="L36" i="3"/>
  <c r="K36" i="3"/>
  <c r="J36" i="3"/>
  <c r="I36" i="3"/>
  <c r="U35" i="3"/>
  <c r="T35" i="3"/>
  <c r="P35" i="3"/>
  <c r="O35" i="3"/>
  <c r="N35" i="3"/>
  <c r="M35" i="3"/>
  <c r="L35" i="3"/>
  <c r="K35" i="3"/>
  <c r="J35" i="3"/>
  <c r="I35" i="3"/>
  <c r="U34" i="3"/>
  <c r="T34" i="3"/>
  <c r="P34" i="3"/>
  <c r="O34" i="3"/>
  <c r="N34" i="3"/>
  <c r="M34" i="3"/>
  <c r="L34" i="3"/>
  <c r="K34" i="3"/>
  <c r="J34" i="3"/>
  <c r="I34" i="3"/>
  <c r="U33" i="3"/>
  <c r="T33" i="3"/>
  <c r="P33" i="3"/>
  <c r="O33" i="3"/>
  <c r="N33" i="3"/>
  <c r="M33" i="3"/>
  <c r="L33" i="3"/>
  <c r="K33" i="3"/>
  <c r="J33" i="3"/>
  <c r="U32" i="3"/>
  <c r="T32" i="3"/>
  <c r="P32" i="3"/>
  <c r="O32" i="3"/>
  <c r="N32" i="3"/>
  <c r="M32" i="3"/>
  <c r="L32" i="3"/>
  <c r="K32" i="3"/>
  <c r="J32" i="3"/>
  <c r="U31" i="3"/>
  <c r="T31" i="3"/>
  <c r="P31" i="3"/>
  <c r="O31" i="3"/>
  <c r="N31" i="3"/>
  <c r="M31" i="3"/>
  <c r="L31" i="3"/>
  <c r="K31" i="3"/>
  <c r="J31" i="3"/>
  <c r="U30" i="3"/>
  <c r="T30" i="3"/>
  <c r="P30" i="3"/>
  <c r="O30" i="3"/>
  <c r="N30" i="3"/>
  <c r="M30" i="3"/>
  <c r="L30" i="3"/>
  <c r="K30" i="3"/>
  <c r="J30" i="3"/>
  <c r="U29" i="3"/>
  <c r="T29" i="3"/>
  <c r="P29" i="3"/>
  <c r="O29" i="3"/>
  <c r="N29" i="3"/>
  <c r="M29" i="3"/>
  <c r="L29" i="3"/>
  <c r="K29" i="3"/>
  <c r="J29" i="3"/>
  <c r="U28" i="3"/>
  <c r="T28" i="3"/>
  <c r="P28" i="3"/>
  <c r="O28" i="3"/>
  <c r="N28" i="3"/>
  <c r="M28" i="3"/>
  <c r="L28" i="3"/>
  <c r="K28" i="3"/>
  <c r="J28" i="3"/>
  <c r="U27" i="3"/>
  <c r="T27" i="3"/>
  <c r="P27" i="3"/>
  <c r="O27" i="3"/>
  <c r="N27" i="3"/>
  <c r="M27" i="3"/>
  <c r="L27" i="3"/>
  <c r="K27" i="3"/>
  <c r="J27" i="3"/>
  <c r="U26" i="3"/>
  <c r="T26" i="3"/>
  <c r="P26" i="3"/>
  <c r="O26" i="3"/>
  <c r="N26" i="3"/>
  <c r="M26" i="3"/>
  <c r="L26" i="3"/>
  <c r="K26" i="3"/>
  <c r="J26" i="3"/>
  <c r="U25" i="3"/>
  <c r="T25" i="3"/>
  <c r="P25" i="3"/>
  <c r="O25" i="3"/>
  <c r="N25" i="3"/>
  <c r="M25" i="3"/>
  <c r="L25" i="3"/>
  <c r="K25" i="3"/>
  <c r="J25" i="3"/>
  <c r="I25" i="3"/>
  <c r="U24" i="3"/>
  <c r="T24" i="3"/>
  <c r="P24" i="3"/>
  <c r="O24" i="3"/>
  <c r="N24" i="3"/>
  <c r="M24" i="3"/>
  <c r="L24" i="3"/>
  <c r="K24" i="3"/>
  <c r="J24" i="3"/>
  <c r="I24" i="3"/>
  <c r="U23" i="3"/>
  <c r="T23" i="3"/>
  <c r="P23" i="3"/>
  <c r="O23" i="3"/>
  <c r="N23" i="3"/>
  <c r="M23" i="3"/>
  <c r="L23" i="3"/>
  <c r="K23" i="3"/>
  <c r="J23" i="3"/>
  <c r="I23" i="3"/>
  <c r="U22" i="3"/>
  <c r="T22" i="3"/>
  <c r="P22" i="3"/>
  <c r="O22" i="3"/>
  <c r="N22" i="3"/>
  <c r="M22" i="3"/>
  <c r="L22" i="3"/>
  <c r="K22" i="3"/>
  <c r="J22" i="3"/>
  <c r="I22" i="3"/>
  <c r="U21" i="3"/>
  <c r="T21" i="3"/>
  <c r="P21" i="3"/>
  <c r="O21" i="3"/>
  <c r="N21" i="3"/>
  <c r="M21" i="3"/>
  <c r="L21" i="3"/>
  <c r="K21" i="3"/>
  <c r="J21" i="3"/>
  <c r="I21" i="3"/>
  <c r="U20" i="3"/>
  <c r="T20" i="3"/>
  <c r="P20" i="3"/>
  <c r="O20" i="3"/>
  <c r="N20" i="3"/>
  <c r="M20" i="3"/>
  <c r="L20" i="3"/>
  <c r="K20" i="3"/>
  <c r="J20" i="3"/>
  <c r="I20" i="3"/>
  <c r="U19" i="3"/>
  <c r="T19" i="3"/>
  <c r="M19" i="3"/>
  <c r="L19" i="3"/>
  <c r="K19" i="3"/>
  <c r="J19" i="3"/>
  <c r="U18" i="3"/>
  <c r="T18" i="3"/>
  <c r="P18" i="3"/>
  <c r="O18" i="3"/>
  <c r="N18" i="3"/>
  <c r="M18" i="3"/>
  <c r="L18" i="3"/>
  <c r="K18" i="3"/>
  <c r="J18" i="3"/>
  <c r="U17" i="3"/>
  <c r="T17" i="3"/>
  <c r="P17" i="3"/>
  <c r="O17" i="3"/>
  <c r="N17" i="3"/>
  <c r="M17" i="3"/>
  <c r="L17" i="3"/>
  <c r="K17" i="3"/>
  <c r="J17" i="3"/>
  <c r="U16" i="3"/>
  <c r="T16" i="3"/>
  <c r="P16" i="3"/>
  <c r="O16" i="3"/>
  <c r="N16" i="3"/>
  <c r="M16" i="3"/>
  <c r="L16" i="3"/>
  <c r="K16" i="3"/>
  <c r="J16" i="3"/>
  <c r="P15" i="3"/>
  <c r="O15" i="3"/>
  <c r="N15" i="3"/>
  <c r="M15" i="3"/>
  <c r="I11" i="3"/>
  <c r="G11" i="3"/>
  <c r="S10" i="3"/>
  <c r="S9" i="3"/>
  <c r="F9" i="3"/>
  <c r="S8" i="3"/>
  <c r="S7" i="3"/>
  <c r="F7" i="3"/>
  <c r="S6" i="3"/>
  <c r="S5" i="3"/>
  <c r="S4" i="3"/>
  <c r="S3" i="3"/>
  <c r="S2" i="3"/>
  <c r="S1" i="3"/>
  <c r="U199" i="10"/>
  <c r="T199" i="10"/>
  <c r="P199" i="10"/>
  <c r="O199" i="10"/>
  <c r="N199" i="10"/>
  <c r="M199" i="10"/>
  <c r="L199" i="10"/>
  <c r="K199" i="10"/>
  <c r="J199" i="10"/>
  <c r="I199" i="10"/>
  <c r="G199" i="10"/>
  <c r="U198" i="10"/>
  <c r="T198" i="10"/>
  <c r="P198" i="10"/>
  <c r="O198" i="10"/>
  <c r="N198" i="10"/>
  <c r="M198" i="10"/>
  <c r="L198" i="10"/>
  <c r="K198" i="10"/>
  <c r="J198" i="10"/>
  <c r="I198" i="10"/>
  <c r="G198" i="10"/>
  <c r="U197" i="10"/>
  <c r="T197" i="10"/>
  <c r="P197" i="10"/>
  <c r="O197" i="10"/>
  <c r="N197" i="10"/>
  <c r="M197" i="10"/>
  <c r="L197" i="10"/>
  <c r="K197" i="10"/>
  <c r="J197" i="10"/>
  <c r="I197" i="10"/>
  <c r="G197" i="10"/>
  <c r="U196" i="10"/>
  <c r="T196" i="10"/>
  <c r="P196" i="10"/>
  <c r="O196" i="10"/>
  <c r="N196" i="10"/>
  <c r="M196" i="10"/>
  <c r="L196" i="10"/>
  <c r="K196" i="10"/>
  <c r="J196" i="10"/>
  <c r="I196" i="10"/>
  <c r="G196" i="10"/>
  <c r="U195" i="10"/>
  <c r="T195" i="10"/>
  <c r="P195" i="10"/>
  <c r="O195" i="10"/>
  <c r="N195" i="10"/>
  <c r="M195" i="10"/>
  <c r="L195" i="10"/>
  <c r="K195" i="10"/>
  <c r="J195" i="10"/>
  <c r="I195" i="10"/>
  <c r="G195" i="10"/>
  <c r="U194" i="10"/>
  <c r="T194" i="10"/>
  <c r="P194" i="10"/>
  <c r="O194" i="10"/>
  <c r="N194" i="10"/>
  <c r="M194" i="10"/>
  <c r="L194" i="10"/>
  <c r="K194" i="10"/>
  <c r="J194" i="10"/>
  <c r="I194" i="10"/>
  <c r="G194" i="10"/>
  <c r="U193" i="10"/>
  <c r="T193" i="10"/>
  <c r="P193" i="10"/>
  <c r="O193" i="10"/>
  <c r="N193" i="10"/>
  <c r="M193" i="10"/>
  <c r="L193" i="10"/>
  <c r="K193" i="10"/>
  <c r="J193" i="10"/>
  <c r="I193" i="10"/>
  <c r="G193" i="10"/>
  <c r="U192" i="10"/>
  <c r="T192" i="10"/>
  <c r="P192" i="10"/>
  <c r="O192" i="10"/>
  <c r="N192" i="10"/>
  <c r="M192" i="10"/>
  <c r="L192" i="10"/>
  <c r="K192" i="10"/>
  <c r="J192" i="10"/>
  <c r="I192" i="10"/>
  <c r="G192" i="10"/>
  <c r="U191" i="10"/>
  <c r="T191" i="10"/>
  <c r="P191" i="10"/>
  <c r="O191" i="10"/>
  <c r="N191" i="10"/>
  <c r="M191" i="10"/>
  <c r="L191" i="10"/>
  <c r="K191" i="10"/>
  <c r="J191" i="10"/>
  <c r="U190" i="10"/>
  <c r="T190" i="10"/>
  <c r="P190" i="10"/>
  <c r="O190" i="10"/>
  <c r="N190" i="10"/>
  <c r="M190" i="10"/>
  <c r="L190" i="10"/>
  <c r="K190" i="10"/>
  <c r="J190" i="10"/>
  <c r="U189" i="10"/>
  <c r="T189" i="10"/>
  <c r="P189" i="10"/>
  <c r="O189" i="10"/>
  <c r="N189" i="10"/>
  <c r="M189" i="10"/>
  <c r="L189" i="10"/>
  <c r="K189" i="10"/>
  <c r="J189" i="10"/>
  <c r="U188" i="10"/>
  <c r="T188" i="10"/>
  <c r="P188" i="10"/>
  <c r="O188" i="10"/>
  <c r="N188" i="10"/>
  <c r="M188" i="10"/>
  <c r="L188" i="10"/>
  <c r="K188" i="10"/>
  <c r="J188" i="10"/>
  <c r="U187" i="10"/>
  <c r="T187" i="10"/>
  <c r="P187" i="10"/>
  <c r="O187" i="10"/>
  <c r="N187" i="10"/>
  <c r="M187" i="10"/>
  <c r="L187" i="10"/>
  <c r="K187" i="10"/>
  <c r="J187" i="10"/>
  <c r="U186" i="10"/>
  <c r="T186" i="10"/>
  <c r="P186" i="10"/>
  <c r="O186" i="10"/>
  <c r="N186" i="10"/>
  <c r="M186" i="10"/>
  <c r="L186" i="10"/>
  <c r="K186" i="10"/>
  <c r="J186" i="10"/>
  <c r="U185" i="10"/>
  <c r="T185" i="10"/>
  <c r="P185" i="10"/>
  <c r="O185" i="10"/>
  <c r="N185" i="10"/>
  <c r="M185" i="10"/>
  <c r="L185" i="10"/>
  <c r="K185" i="10"/>
  <c r="J185" i="10"/>
  <c r="U184" i="10"/>
  <c r="T184" i="10"/>
  <c r="P184" i="10"/>
  <c r="O184" i="10"/>
  <c r="N184" i="10"/>
  <c r="M184" i="10"/>
  <c r="L184" i="10"/>
  <c r="K184" i="10"/>
  <c r="J184" i="10"/>
  <c r="I184" i="10"/>
  <c r="U183" i="10"/>
  <c r="T183" i="10"/>
  <c r="P183" i="10"/>
  <c r="O183" i="10"/>
  <c r="N183" i="10"/>
  <c r="M183" i="10"/>
  <c r="L183" i="10"/>
  <c r="K183" i="10"/>
  <c r="J183" i="10"/>
  <c r="I183" i="10"/>
  <c r="U182" i="10"/>
  <c r="T182" i="10"/>
  <c r="P182" i="10"/>
  <c r="O182" i="10"/>
  <c r="N182" i="10"/>
  <c r="M182" i="10"/>
  <c r="L182" i="10"/>
  <c r="K182" i="10"/>
  <c r="J182" i="10"/>
  <c r="I182" i="10"/>
  <c r="U181" i="10"/>
  <c r="T181" i="10"/>
  <c r="P181" i="10"/>
  <c r="O181" i="10"/>
  <c r="N181" i="10"/>
  <c r="M181" i="10"/>
  <c r="L181" i="10"/>
  <c r="K181" i="10"/>
  <c r="J181" i="10"/>
  <c r="I181" i="10"/>
  <c r="U180" i="10"/>
  <c r="T180" i="10"/>
  <c r="P180" i="10"/>
  <c r="O180" i="10"/>
  <c r="N180" i="10"/>
  <c r="M180" i="10"/>
  <c r="L180" i="10"/>
  <c r="K180" i="10"/>
  <c r="J180" i="10"/>
  <c r="I180" i="10"/>
  <c r="U179" i="10"/>
  <c r="T179" i="10"/>
  <c r="P179" i="10"/>
  <c r="O179" i="10"/>
  <c r="N179" i="10"/>
  <c r="M179" i="10"/>
  <c r="L179" i="10"/>
  <c r="K179" i="10"/>
  <c r="J179" i="10"/>
  <c r="I179" i="10"/>
  <c r="U178" i="10"/>
  <c r="T178" i="10"/>
  <c r="P178" i="10"/>
  <c r="O178" i="10"/>
  <c r="N178" i="10"/>
  <c r="M178" i="10"/>
  <c r="L178" i="10"/>
  <c r="K178" i="10"/>
  <c r="J178" i="10"/>
  <c r="I178" i="10"/>
  <c r="U177" i="10"/>
  <c r="T177" i="10"/>
  <c r="P177" i="10"/>
  <c r="O177" i="10"/>
  <c r="N177" i="10"/>
  <c r="M177" i="10"/>
  <c r="L177" i="10"/>
  <c r="K177" i="10"/>
  <c r="J177" i="10"/>
  <c r="I177" i="10"/>
  <c r="U176" i="10"/>
  <c r="T176" i="10"/>
  <c r="P176" i="10"/>
  <c r="O176" i="10"/>
  <c r="N176" i="10"/>
  <c r="M176" i="10"/>
  <c r="L176" i="10"/>
  <c r="K176" i="10"/>
  <c r="J176" i="10"/>
  <c r="U175" i="10"/>
  <c r="T175" i="10"/>
  <c r="P175" i="10"/>
  <c r="O175" i="10"/>
  <c r="N175" i="10"/>
  <c r="M175" i="10"/>
  <c r="L175" i="10"/>
  <c r="K175" i="10"/>
  <c r="J175" i="10"/>
  <c r="U174" i="10"/>
  <c r="T174" i="10"/>
  <c r="P174" i="10"/>
  <c r="O174" i="10"/>
  <c r="N174" i="10"/>
  <c r="M174" i="10"/>
  <c r="L174" i="10"/>
  <c r="K174" i="10"/>
  <c r="J174" i="10"/>
  <c r="U173" i="10"/>
  <c r="T173" i="10"/>
  <c r="P173" i="10"/>
  <c r="O173" i="10"/>
  <c r="N173" i="10"/>
  <c r="M173" i="10"/>
  <c r="L173" i="10"/>
  <c r="K173" i="10"/>
  <c r="J173" i="10"/>
  <c r="U172" i="10"/>
  <c r="T172" i="10"/>
  <c r="P172" i="10"/>
  <c r="O172" i="10"/>
  <c r="N172" i="10"/>
  <c r="M172" i="10"/>
  <c r="L172" i="10"/>
  <c r="K172" i="10"/>
  <c r="J172" i="10"/>
  <c r="U171" i="10"/>
  <c r="T171" i="10"/>
  <c r="P171" i="10"/>
  <c r="O171" i="10"/>
  <c r="N171" i="10"/>
  <c r="M171" i="10"/>
  <c r="L171" i="10"/>
  <c r="K171" i="10"/>
  <c r="J171" i="10"/>
  <c r="I171" i="10"/>
  <c r="G171" i="10"/>
  <c r="U170" i="10"/>
  <c r="T170" i="10"/>
  <c r="P170" i="10"/>
  <c r="O170" i="10"/>
  <c r="N170" i="10"/>
  <c r="M170" i="10"/>
  <c r="L170" i="10"/>
  <c r="K170" i="10"/>
  <c r="J170" i="10"/>
  <c r="U169" i="10"/>
  <c r="T169" i="10"/>
  <c r="P169" i="10"/>
  <c r="O169" i="10"/>
  <c r="N169" i="10"/>
  <c r="M169" i="10"/>
  <c r="L169" i="10"/>
  <c r="K169" i="10"/>
  <c r="J169" i="10"/>
  <c r="U168" i="10"/>
  <c r="T168" i="10"/>
  <c r="P168" i="10"/>
  <c r="O168" i="10"/>
  <c r="N168" i="10"/>
  <c r="M168" i="10"/>
  <c r="L168" i="10"/>
  <c r="K168" i="10"/>
  <c r="J168" i="10"/>
  <c r="U167" i="10"/>
  <c r="T167" i="10"/>
  <c r="P167" i="10"/>
  <c r="O167" i="10"/>
  <c r="N167" i="10"/>
  <c r="M167" i="10"/>
  <c r="L167" i="10"/>
  <c r="K167" i="10"/>
  <c r="J167" i="10"/>
  <c r="U166" i="10"/>
  <c r="T166" i="10"/>
  <c r="P166" i="10"/>
  <c r="O166" i="10"/>
  <c r="N166" i="10"/>
  <c r="M166" i="10"/>
  <c r="L166" i="10"/>
  <c r="K166" i="10"/>
  <c r="J166" i="10"/>
  <c r="U165" i="10"/>
  <c r="T165" i="10"/>
  <c r="P165" i="10"/>
  <c r="O165" i="10"/>
  <c r="N165" i="10"/>
  <c r="M165" i="10"/>
  <c r="L165" i="10"/>
  <c r="K165" i="10"/>
  <c r="J165" i="10"/>
  <c r="U164" i="10"/>
  <c r="T164" i="10"/>
  <c r="P164" i="10"/>
  <c r="O164" i="10"/>
  <c r="N164" i="10"/>
  <c r="M164" i="10"/>
  <c r="L164" i="10"/>
  <c r="K164" i="10"/>
  <c r="J164" i="10"/>
  <c r="U163" i="10"/>
  <c r="T163" i="10"/>
  <c r="P163" i="10"/>
  <c r="O163" i="10"/>
  <c r="N163" i="10"/>
  <c r="M163" i="10"/>
  <c r="L163" i="10"/>
  <c r="K163" i="10"/>
  <c r="J163" i="10"/>
  <c r="U162" i="10"/>
  <c r="T162" i="10"/>
  <c r="P162" i="10"/>
  <c r="O162" i="10"/>
  <c r="N162" i="10"/>
  <c r="M162" i="10"/>
  <c r="L162" i="10"/>
  <c r="K162" i="10"/>
  <c r="J162" i="10"/>
  <c r="U161" i="10"/>
  <c r="T161" i="10"/>
  <c r="P161" i="10"/>
  <c r="O161" i="10"/>
  <c r="N161" i="10"/>
  <c r="M161" i="10"/>
  <c r="L161" i="10"/>
  <c r="K161" i="10"/>
  <c r="J161" i="10"/>
  <c r="U160" i="10"/>
  <c r="T160" i="10"/>
  <c r="P160" i="10"/>
  <c r="O160" i="10"/>
  <c r="N160" i="10"/>
  <c r="M160" i="10"/>
  <c r="L160" i="10"/>
  <c r="K160" i="10"/>
  <c r="J160" i="10"/>
  <c r="U159" i="10"/>
  <c r="T159" i="10"/>
  <c r="P159" i="10"/>
  <c r="O159" i="10"/>
  <c r="N159" i="10"/>
  <c r="M159" i="10"/>
  <c r="L159" i="10"/>
  <c r="K159" i="10"/>
  <c r="J159" i="10"/>
  <c r="U158" i="10"/>
  <c r="T158" i="10"/>
  <c r="P158" i="10"/>
  <c r="O158" i="10"/>
  <c r="N158" i="10"/>
  <c r="M158" i="10"/>
  <c r="L158" i="10"/>
  <c r="K158" i="10"/>
  <c r="J158" i="10"/>
  <c r="U157" i="10"/>
  <c r="T157" i="10"/>
  <c r="P157" i="10"/>
  <c r="O157" i="10"/>
  <c r="N157" i="10"/>
  <c r="M157" i="10"/>
  <c r="L157" i="10"/>
  <c r="K157" i="10"/>
  <c r="J157" i="10"/>
  <c r="U156" i="10"/>
  <c r="T156" i="10"/>
  <c r="P156" i="10"/>
  <c r="O156" i="10"/>
  <c r="N156" i="10"/>
  <c r="M156" i="10"/>
  <c r="L156" i="10"/>
  <c r="K156" i="10"/>
  <c r="J156" i="10"/>
  <c r="U155" i="10"/>
  <c r="T155" i="10"/>
  <c r="P155" i="10"/>
  <c r="O155" i="10"/>
  <c r="N155" i="10"/>
  <c r="M155" i="10"/>
  <c r="L155" i="10"/>
  <c r="K155" i="10"/>
  <c r="J155" i="10"/>
  <c r="U154" i="10"/>
  <c r="T154" i="10"/>
  <c r="P154" i="10"/>
  <c r="O154" i="10"/>
  <c r="N154" i="10"/>
  <c r="M154" i="10"/>
  <c r="L154" i="10"/>
  <c r="K154" i="10"/>
  <c r="J154" i="10"/>
  <c r="U153" i="10"/>
  <c r="T153" i="10"/>
  <c r="P153" i="10"/>
  <c r="O153" i="10"/>
  <c r="N153" i="10"/>
  <c r="M153" i="10"/>
  <c r="L153" i="10"/>
  <c r="K153" i="10"/>
  <c r="J153" i="10"/>
  <c r="U152" i="10"/>
  <c r="T152" i="10"/>
  <c r="P152" i="10"/>
  <c r="O152" i="10"/>
  <c r="N152" i="10"/>
  <c r="M152" i="10"/>
  <c r="L152" i="10"/>
  <c r="K152" i="10"/>
  <c r="J152" i="10"/>
  <c r="U151" i="10"/>
  <c r="T151" i="10"/>
  <c r="P151" i="10"/>
  <c r="O151" i="10"/>
  <c r="N151" i="10"/>
  <c r="M151" i="10"/>
  <c r="L151" i="10"/>
  <c r="K151" i="10"/>
  <c r="J151" i="10"/>
  <c r="U150" i="10"/>
  <c r="T150" i="10"/>
  <c r="P150" i="10"/>
  <c r="O150" i="10"/>
  <c r="N150" i="10"/>
  <c r="M150" i="10"/>
  <c r="L150" i="10"/>
  <c r="K150" i="10"/>
  <c r="J150" i="10"/>
  <c r="U149" i="10"/>
  <c r="T149" i="10"/>
  <c r="P149" i="10"/>
  <c r="O149" i="10"/>
  <c r="N149" i="10"/>
  <c r="M149" i="10"/>
  <c r="L149" i="10"/>
  <c r="K149" i="10"/>
  <c r="J149" i="10"/>
  <c r="U148" i="10"/>
  <c r="T148" i="10"/>
  <c r="P148" i="10"/>
  <c r="O148" i="10"/>
  <c r="N148" i="10"/>
  <c r="M148" i="10"/>
  <c r="L148" i="10"/>
  <c r="K148" i="10"/>
  <c r="J148" i="10"/>
  <c r="U147" i="10"/>
  <c r="T147" i="10"/>
  <c r="P147" i="10"/>
  <c r="O147" i="10"/>
  <c r="N147" i="10"/>
  <c r="M147" i="10"/>
  <c r="L147" i="10"/>
  <c r="K147" i="10"/>
  <c r="J147" i="10"/>
  <c r="U146" i="10"/>
  <c r="T146" i="10"/>
  <c r="P146" i="10"/>
  <c r="O146" i="10"/>
  <c r="N146" i="10"/>
  <c r="M146" i="10"/>
  <c r="L146" i="10"/>
  <c r="K146" i="10"/>
  <c r="J146" i="10"/>
  <c r="U145" i="10"/>
  <c r="T145" i="10"/>
  <c r="P145" i="10"/>
  <c r="O145" i="10"/>
  <c r="N145" i="10"/>
  <c r="M145" i="10"/>
  <c r="L145" i="10"/>
  <c r="K145" i="10"/>
  <c r="J145" i="10"/>
  <c r="I145" i="10"/>
  <c r="U144" i="10"/>
  <c r="T144" i="10"/>
  <c r="P144" i="10"/>
  <c r="O144" i="10"/>
  <c r="N144" i="10"/>
  <c r="M144" i="10"/>
  <c r="L144" i="10"/>
  <c r="K144" i="10"/>
  <c r="J144" i="10"/>
  <c r="I144" i="10"/>
  <c r="U143" i="10"/>
  <c r="T143" i="10"/>
  <c r="P143" i="10"/>
  <c r="O143" i="10"/>
  <c r="N143" i="10"/>
  <c r="M143" i="10"/>
  <c r="L143" i="10"/>
  <c r="K143" i="10"/>
  <c r="J143" i="10"/>
  <c r="I143" i="10"/>
  <c r="U142" i="10"/>
  <c r="T142" i="10"/>
  <c r="P142" i="10"/>
  <c r="O142" i="10"/>
  <c r="N142" i="10"/>
  <c r="M142" i="10"/>
  <c r="L142" i="10"/>
  <c r="K142" i="10"/>
  <c r="J142" i="10"/>
  <c r="I142" i="10"/>
  <c r="U141" i="10"/>
  <c r="T141" i="10"/>
  <c r="P141" i="10"/>
  <c r="O141" i="10"/>
  <c r="N141" i="10"/>
  <c r="M141" i="10"/>
  <c r="L141" i="10"/>
  <c r="K141" i="10"/>
  <c r="J141" i="10"/>
  <c r="I141" i="10"/>
  <c r="U140" i="10"/>
  <c r="T140" i="10"/>
  <c r="P140" i="10"/>
  <c r="O140" i="10"/>
  <c r="N140" i="10"/>
  <c r="M140" i="10"/>
  <c r="L140" i="10"/>
  <c r="K140" i="10"/>
  <c r="J140" i="10"/>
  <c r="I140" i="10"/>
  <c r="U139" i="10"/>
  <c r="T139" i="10"/>
  <c r="P139" i="10"/>
  <c r="O139" i="10"/>
  <c r="N139" i="10"/>
  <c r="M139" i="10"/>
  <c r="L139" i="10"/>
  <c r="K139" i="10"/>
  <c r="J139" i="10"/>
  <c r="U138" i="10"/>
  <c r="T138" i="10"/>
  <c r="P138" i="10"/>
  <c r="O138" i="10"/>
  <c r="N138" i="10"/>
  <c r="M138" i="10"/>
  <c r="L138" i="10"/>
  <c r="K138" i="10"/>
  <c r="J138" i="10"/>
  <c r="U137" i="10"/>
  <c r="T137" i="10"/>
  <c r="P137" i="10"/>
  <c r="O137" i="10"/>
  <c r="N137" i="10"/>
  <c r="M137" i="10"/>
  <c r="L137" i="10"/>
  <c r="K137" i="10"/>
  <c r="J137" i="10"/>
  <c r="U136" i="10"/>
  <c r="T136" i="10"/>
  <c r="P136" i="10"/>
  <c r="O136" i="10"/>
  <c r="N136" i="10"/>
  <c r="M136" i="10"/>
  <c r="L136" i="10"/>
  <c r="K136" i="10"/>
  <c r="J136" i="10"/>
  <c r="U135" i="10"/>
  <c r="T135" i="10"/>
  <c r="P135" i="10"/>
  <c r="O135" i="10"/>
  <c r="N135" i="10"/>
  <c r="M135" i="10"/>
  <c r="L135" i="10"/>
  <c r="K135" i="10"/>
  <c r="J135" i="10"/>
  <c r="U134" i="10"/>
  <c r="T134" i="10"/>
  <c r="P134" i="10"/>
  <c r="O134" i="10"/>
  <c r="N134" i="10"/>
  <c r="M134" i="10"/>
  <c r="L134" i="10"/>
  <c r="K134" i="10"/>
  <c r="J134" i="10"/>
  <c r="U133" i="10"/>
  <c r="T133" i="10"/>
  <c r="P133" i="10"/>
  <c r="O133" i="10"/>
  <c r="N133" i="10"/>
  <c r="M133" i="10"/>
  <c r="L133" i="10"/>
  <c r="K133" i="10"/>
  <c r="J133" i="10"/>
  <c r="I133" i="10"/>
  <c r="G133" i="10"/>
  <c r="U132" i="10"/>
  <c r="T132" i="10"/>
  <c r="P132" i="10"/>
  <c r="O132" i="10"/>
  <c r="N132" i="10"/>
  <c r="M132" i="10"/>
  <c r="L132" i="10"/>
  <c r="K132" i="10"/>
  <c r="J132" i="10"/>
  <c r="U131" i="10"/>
  <c r="T131" i="10"/>
  <c r="P131" i="10"/>
  <c r="O131" i="10"/>
  <c r="N131" i="10"/>
  <c r="M131" i="10"/>
  <c r="L131" i="10"/>
  <c r="K131" i="10"/>
  <c r="J131" i="10"/>
  <c r="U130" i="10"/>
  <c r="T130" i="10"/>
  <c r="P130" i="10"/>
  <c r="O130" i="10"/>
  <c r="N130" i="10"/>
  <c r="M130" i="10"/>
  <c r="L130" i="10"/>
  <c r="K130" i="10"/>
  <c r="J130" i="10"/>
  <c r="U129" i="10"/>
  <c r="T129" i="10"/>
  <c r="P129" i="10"/>
  <c r="O129" i="10"/>
  <c r="N129" i="10"/>
  <c r="M129" i="10"/>
  <c r="L129" i="10"/>
  <c r="K129" i="10"/>
  <c r="J129" i="10"/>
  <c r="U128" i="10"/>
  <c r="T128" i="10"/>
  <c r="P128" i="10"/>
  <c r="O128" i="10"/>
  <c r="N128" i="10"/>
  <c r="M128" i="10"/>
  <c r="L128" i="10"/>
  <c r="K128" i="10"/>
  <c r="J128" i="10"/>
  <c r="U127" i="10"/>
  <c r="T127" i="10"/>
  <c r="P127" i="10"/>
  <c r="O127" i="10"/>
  <c r="N127" i="10"/>
  <c r="M127" i="10"/>
  <c r="L127" i="10"/>
  <c r="K127" i="10"/>
  <c r="J127" i="10"/>
  <c r="U126" i="10"/>
  <c r="T126" i="10"/>
  <c r="P126" i="10"/>
  <c r="O126" i="10"/>
  <c r="N126" i="10"/>
  <c r="M126" i="10"/>
  <c r="L126" i="10"/>
  <c r="K126" i="10"/>
  <c r="J126" i="10"/>
  <c r="U125" i="10"/>
  <c r="T125" i="10"/>
  <c r="P125" i="10"/>
  <c r="O125" i="10"/>
  <c r="N125" i="10"/>
  <c r="M125" i="10"/>
  <c r="L125" i="10"/>
  <c r="K125" i="10"/>
  <c r="J125" i="10"/>
  <c r="I125" i="10"/>
  <c r="U124" i="10"/>
  <c r="T124" i="10"/>
  <c r="P124" i="10"/>
  <c r="O124" i="10"/>
  <c r="N124" i="10"/>
  <c r="M124" i="10"/>
  <c r="L124" i="10"/>
  <c r="K124" i="10"/>
  <c r="J124" i="10"/>
  <c r="I124" i="10"/>
  <c r="U123" i="10"/>
  <c r="T123" i="10"/>
  <c r="P123" i="10"/>
  <c r="O123" i="10"/>
  <c r="N123" i="10"/>
  <c r="M123" i="10"/>
  <c r="L123" i="10"/>
  <c r="K123" i="10"/>
  <c r="J123" i="10"/>
  <c r="I123" i="10"/>
  <c r="U122" i="10"/>
  <c r="T122" i="10"/>
  <c r="P122" i="10"/>
  <c r="O122" i="10"/>
  <c r="N122" i="10"/>
  <c r="M122" i="10"/>
  <c r="L122" i="10"/>
  <c r="K122" i="10"/>
  <c r="J122" i="10"/>
  <c r="I122" i="10"/>
  <c r="U121" i="10"/>
  <c r="T121" i="10"/>
  <c r="P121" i="10"/>
  <c r="O121" i="10"/>
  <c r="N121" i="10"/>
  <c r="M121" i="10"/>
  <c r="L121" i="10"/>
  <c r="K121" i="10"/>
  <c r="J121" i="10"/>
  <c r="I121" i="10"/>
  <c r="U120" i="10"/>
  <c r="T120" i="10"/>
  <c r="P120" i="10"/>
  <c r="O120" i="10"/>
  <c r="N120" i="10"/>
  <c r="M120" i="10"/>
  <c r="L120" i="10"/>
  <c r="K120" i="10"/>
  <c r="J120" i="10"/>
  <c r="I120" i="10"/>
  <c r="U119" i="10"/>
  <c r="T119" i="10"/>
  <c r="M119" i="10"/>
  <c r="L119" i="10"/>
  <c r="K119" i="10"/>
  <c r="J119" i="10"/>
  <c r="U118" i="10"/>
  <c r="T118" i="10"/>
  <c r="P118" i="10"/>
  <c r="O118" i="10"/>
  <c r="N118" i="10"/>
  <c r="M118" i="10"/>
  <c r="L118" i="10"/>
  <c r="K118" i="10"/>
  <c r="J118" i="10"/>
  <c r="U117" i="10"/>
  <c r="T117" i="10"/>
  <c r="P117" i="10"/>
  <c r="O117" i="10"/>
  <c r="N117" i="10"/>
  <c r="M117" i="10"/>
  <c r="L117" i="10"/>
  <c r="K117" i="10"/>
  <c r="J117" i="10"/>
  <c r="U116" i="10"/>
  <c r="T116" i="10"/>
  <c r="P116" i="10"/>
  <c r="O116" i="10"/>
  <c r="N116" i="10"/>
  <c r="M116" i="10"/>
  <c r="L116" i="10"/>
  <c r="K116" i="10"/>
  <c r="J116" i="10"/>
  <c r="U115" i="10"/>
  <c r="T115" i="10"/>
  <c r="P115" i="10"/>
  <c r="O115" i="10"/>
  <c r="N115" i="10"/>
  <c r="M115" i="10"/>
  <c r="L115" i="10"/>
  <c r="K115" i="10"/>
  <c r="J115" i="10"/>
  <c r="U114" i="10"/>
  <c r="T114" i="10"/>
  <c r="P114" i="10"/>
  <c r="O114" i="10"/>
  <c r="N114" i="10"/>
  <c r="M114" i="10"/>
  <c r="L114" i="10"/>
  <c r="K114" i="10"/>
  <c r="J114" i="10"/>
  <c r="U113" i="10"/>
  <c r="T113" i="10"/>
  <c r="P113" i="10"/>
  <c r="O113" i="10"/>
  <c r="N113" i="10"/>
  <c r="M113" i="10"/>
  <c r="L113" i="10"/>
  <c r="K113" i="10"/>
  <c r="J113" i="10"/>
  <c r="I113" i="10"/>
  <c r="G113" i="10"/>
  <c r="U112" i="10"/>
  <c r="T112" i="10"/>
  <c r="P112" i="10"/>
  <c r="O112" i="10"/>
  <c r="N112" i="10"/>
  <c r="M112" i="10"/>
  <c r="L112" i="10"/>
  <c r="K112" i="10"/>
  <c r="J112" i="10"/>
  <c r="U111" i="10"/>
  <c r="T111" i="10"/>
  <c r="P111" i="10"/>
  <c r="O111" i="10"/>
  <c r="N111" i="10"/>
  <c r="M111" i="10"/>
  <c r="L111" i="10"/>
  <c r="K111" i="10"/>
  <c r="J111" i="10"/>
  <c r="U110" i="10"/>
  <c r="T110" i="10"/>
  <c r="P110" i="10"/>
  <c r="O110" i="10"/>
  <c r="N110" i="10"/>
  <c r="M110" i="10"/>
  <c r="L110" i="10"/>
  <c r="K110" i="10"/>
  <c r="J110" i="10"/>
  <c r="U109" i="10"/>
  <c r="T109" i="10"/>
  <c r="P109" i="10"/>
  <c r="O109" i="10"/>
  <c r="N109" i="10"/>
  <c r="M109" i="10"/>
  <c r="L109" i="10"/>
  <c r="K109" i="10"/>
  <c r="J109" i="10"/>
  <c r="U108" i="10"/>
  <c r="T108" i="10"/>
  <c r="P108" i="10"/>
  <c r="O108" i="10"/>
  <c r="N108" i="10"/>
  <c r="M108" i="10"/>
  <c r="L108" i="10"/>
  <c r="K108" i="10"/>
  <c r="J108" i="10"/>
  <c r="U107" i="10"/>
  <c r="T107" i="10"/>
  <c r="P107" i="10"/>
  <c r="O107" i="10"/>
  <c r="N107" i="10"/>
  <c r="M107" i="10"/>
  <c r="L107" i="10"/>
  <c r="K107" i="10"/>
  <c r="J107" i="10"/>
  <c r="U106" i="10"/>
  <c r="T106" i="10"/>
  <c r="P106" i="10"/>
  <c r="O106" i="10"/>
  <c r="N106" i="10"/>
  <c r="M106" i="10"/>
  <c r="L106" i="10"/>
  <c r="K106" i="10"/>
  <c r="J106" i="10"/>
  <c r="U105" i="10"/>
  <c r="T105" i="10"/>
  <c r="P105" i="10"/>
  <c r="O105" i="10"/>
  <c r="N105" i="10"/>
  <c r="M105" i="10"/>
  <c r="L105" i="10"/>
  <c r="K105" i="10"/>
  <c r="J105" i="10"/>
  <c r="I105" i="10"/>
  <c r="U104" i="10"/>
  <c r="T104" i="10"/>
  <c r="P104" i="10"/>
  <c r="O104" i="10"/>
  <c r="N104" i="10"/>
  <c r="M104" i="10"/>
  <c r="L104" i="10"/>
  <c r="K104" i="10"/>
  <c r="J104" i="10"/>
  <c r="I104" i="10"/>
  <c r="U103" i="10"/>
  <c r="T103" i="10"/>
  <c r="P103" i="10"/>
  <c r="O103" i="10"/>
  <c r="N103" i="10"/>
  <c r="M103" i="10"/>
  <c r="L103" i="10"/>
  <c r="K103" i="10"/>
  <c r="J103" i="10"/>
  <c r="I103" i="10"/>
  <c r="U102" i="10"/>
  <c r="T102" i="10"/>
  <c r="P102" i="10"/>
  <c r="O102" i="10"/>
  <c r="N102" i="10"/>
  <c r="M102" i="10"/>
  <c r="L102" i="10"/>
  <c r="K102" i="10"/>
  <c r="J102" i="10"/>
  <c r="I102" i="10"/>
  <c r="U101" i="10"/>
  <c r="T101" i="10"/>
  <c r="P101" i="10"/>
  <c r="O101" i="10"/>
  <c r="N101" i="10"/>
  <c r="M101" i="10"/>
  <c r="L101" i="10"/>
  <c r="K101" i="10"/>
  <c r="J101" i="10"/>
  <c r="I101" i="10"/>
  <c r="U100" i="10"/>
  <c r="T100" i="10"/>
  <c r="P100" i="10"/>
  <c r="O100" i="10"/>
  <c r="N100" i="10"/>
  <c r="M100" i="10"/>
  <c r="L100" i="10"/>
  <c r="K100" i="10"/>
  <c r="J100" i="10"/>
  <c r="I100" i="10"/>
  <c r="U99" i="10"/>
  <c r="T99" i="10"/>
  <c r="P99" i="10"/>
  <c r="O99" i="10"/>
  <c r="N99" i="10"/>
  <c r="M99" i="10"/>
  <c r="L99" i="10"/>
  <c r="K99" i="10"/>
  <c r="J99" i="10"/>
  <c r="I99" i="10"/>
  <c r="U98" i="10"/>
  <c r="T98" i="10"/>
  <c r="P98" i="10"/>
  <c r="O98" i="10"/>
  <c r="N98" i="10"/>
  <c r="M98" i="10"/>
  <c r="L98" i="10"/>
  <c r="K98" i="10"/>
  <c r="J98" i="10"/>
  <c r="U97" i="10"/>
  <c r="T97" i="10"/>
  <c r="P97" i="10"/>
  <c r="O97" i="10"/>
  <c r="N97" i="10"/>
  <c r="M97" i="10"/>
  <c r="L97" i="10"/>
  <c r="K97" i="10"/>
  <c r="J97" i="10"/>
  <c r="U96" i="10"/>
  <c r="T96" i="10"/>
  <c r="P96" i="10"/>
  <c r="O96" i="10"/>
  <c r="N96" i="10"/>
  <c r="M96" i="10"/>
  <c r="L96" i="10"/>
  <c r="K96" i="10"/>
  <c r="J96" i="10"/>
  <c r="U95" i="10"/>
  <c r="T95" i="10"/>
  <c r="P95" i="10"/>
  <c r="O95" i="10"/>
  <c r="N95" i="10"/>
  <c r="M95" i="10"/>
  <c r="L95" i="10"/>
  <c r="K95" i="10"/>
  <c r="J95" i="10"/>
  <c r="U94" i="10"/>
  <c r="T94" i="10"/>
  <c r="P94" i="10"/>
  <c r="O94" i="10"/>
  <c r="N94" i="10"/>
  <c r="M94" i="10"/>
  <c r="L94" i="10"/>
  <c r="K94" i="10"/>
  <c r="J94" i="10"/>
  <c r="U93" i="10"/>
  <c r="T93" i="10"/>
  <c r="P93" i="10"/>
  <c r="O93" i="10"/>
  <c r="N93" i="10"/>
  <c r="M93" i="10"/>
  <c r="L93" i="10"/>
  <c r="K93" i="10"/>
  <c r="J93" i="10"/>
  <c r="U92" i="10"/>
  <c r="T92" i="10"/>
  <c r="P92" i="10"/>
  <c r="O92" i="10"/>
  <c r="N92" i="10"/>
  <c r="M92" i="10"/>
  <c r="L92" i="10"/>
  <c r="K92" i="10"/>
  <c r="J92" i="10"/>
  <c r="U91" i="10"/>
  <c r="T91" i="10"/>
  <c r="P91" i="10"/>
  <c r="O91" i="10"/>
  <c r="N91" i="10"/>
  <c r="M91" i="10"/>
  <c r="L91" i="10"/>
  <c r="K91" i="10"/>
  <c r="J91" i="10"/>
  <c r="U90" i="10"/>
  <c r="T90" i="10"/>
  <c r="P90" i="10"/>
  <c r="O90" i="10"/>
  <c r="N90" i="10"/>
  <c r="M90" i="10"/>
  <c r="L90" i="10"/>
  <c r="K90" i="10"/>
  <c r="J90" i="10"/>
  <c r="I90" i="10"/>
  <c r="U89" i="10"/>
  <c r="T89" i="10"/>
  <c r="P89" i="10"/>
  <c r="O89" i="10"/>
  <c r="N89" i="10"/>
  <c r="M89" i="10"/>
  <c r="L89" i="10"/>
  <c r="K89" i="10"/>
  <c r="J89" i="10"/>
  <c r="I89" i="10"/>
  <c r="U88" i="10"/>
  <c r="T88" i="10"/>
  <c r="P88" i="10"/>
  <c r="O88" i="10"/>
  <c r="N88" i="10"/>
  <c r="M88" i="10"/>
  <c r="L88" i="10"/>
  <c r="K88" i="10"/>
  <c r="J88" i="10"/>
  <c r="I88" i="10"/>
  <c r="U87" i="10"/>
  <c r="T87" i="10"/>
  <c r="P87" i="10"/>
  <c r="O87" i="10"/>
  <c r="N87" i="10"/>
  <c r="M87" i="10"/>
  <c r="L87" i="10"/>
  <c r="K87" i="10"/>
  <c r="J87" i="10"/>
  <c r="I87" i="10"/>
  <c r="U86" i="10"/>
  <c r="T86" i="10"/>
  <c r="P86" i="10"/>
  <c r="O86" i="10"/>
  <c r="N86" i="10"/>
  <c r="M86" i="10"/>
  <c r="L86" i="10"/>
  <c r="K86" i="10"/>
  <c r="J86" i="10"/>
  <c r="I86" i="10"/>
  <c r="U85" i="10"/>
  <c r="T85" i="10"/>
  <c r="P85" i="10"/>
  <c r="O85" i="10"/>
  <c r="N85" i="10"/>
  <c r="M85" i="10"/>
  <c r="L85" i="10"/>
  <c r="K85" i="10"/>
  <c r="J85" i="10"/>
  <c r="I85" i="10"/>
  <c r="U84" i="10"/>
  <c r="T84" i="10"/>
  <c r="P84" i="10"/>
  <c r="O84" i="10"/>
  <c r="N84" i="10"/>
  <c r="M84" i="10"/>
  <c r="L84" i="10"/>
  <c r="K84" i="10"/>
  <c r="J84" i="10"/>
  <c r="I84" i="10"/>
  <c r="U83" i="10"/>
  <c r="T83" i="10"/>
  <c r="P83" i="10"/>
  <c r="O83" i="10"/>
  <c r="N83" i="10"/>
  <c r="M83" i="10"/>
  <c r="L83" i="10"/>
  <c r="K83" i="10"/>
  <c r="J83" i="10"/>
  <c r="U82" i="10"/>
  <c r="T82" i="10"/>
  <c r="P82" i="10"/>
  <c r="O82" i="10"/>
  <c r="N82" i="10"/>
  <c r="M82" i="10"/>
  <c r="L82" i="10"/>
  <c r="K82" i="10"/>
  <c r="J82" i="10"/>
  <c r="U81" i="10"/>
  <c r="T81" i="10"/>
  <c r="P81" i="10"/>
  <c r="O81" i="10"/>
  <c r="N81" i="10"/>
  <c r="M81" i="10"/>
  <c r="L81" i="10"/>
  <c r="K81" i="10"/>
  <c r="J81" i="10"/>
  <c r="U80" i="10"/>
  <c r="T80" i="10"/>
  <c r="P80" i="10"/>
  <c r="O80" i="10"/>
  <c r="N80" i="10"/>
  <c r="M80" i="10"/>
  <c r="L80" i="10"/>
  <c r="K80" i="10"/>
  <c r="J80" i="10"/>
  <c r="U79" i="10"/>
  <c r="T79" i="10"/>
  <c r="P79" i="10"/>
  <c r="O79" i="10"/>
  <c r="N79" i="10"/>
  <c r="M79" i="10"/>
  <c r="L79" i="10"/>
  <c r="K79" i="10"/>
  <c r="J79" i="10"/>
  <c r="U78" i="10"/>
  <c r="T78" i="10"/>
  <c r="P78" i="10"/>
  <c r="O78" i="10"/>
  <c r="N78" i="10"/>
  <c r="M78" i="10"/>
  <c r="L78" i="10"/>
  <c r="K78" i="10"/>
  <c r="J78" i="10"/>
  <c r="U77" i="10"/>
  <c r="T77" i="10"/>
  <c r="P77" i="10"/>
  <c r="O77" i="10"/>
  <c r="N77" i="10"/>
  <c r="M77" i="10"/>
  <c r="L77" i="10"/>
  <c r="K77" i="10"/>
  <c r="J77" i="10"/>
  <c r="U76" i="10"/>
  <c r="T76" i="10"/>
  <c r="P76" i="10"/>
  <c r="O76" i="10"/>
  <c r="N76" i="10"/>
  <c r="M76" i="10"/>
  <c r="L76" i="10"/>
  <c r="K76" i="10"/>
  <c r="J76" i="10"/>
  <c r="U75" i="10"/>
  <c r="T75" i="10"/>
  <c r="P75" i="10"/>
  <c r="O75" i="10"/>
  <c r="N75" i="10"/>
  <c r="M75" i="10"/>
  <c r="L75" i="10"/>
  <c r="K75" i="10"/>
  <c r="J75" i="10"/>
  <c r="I75" i="10"/>
  <c r="U74" i="10"/>
  <c r="T74" i="10"/>
  <c r="P74" i="10"/>
  <c r="O74" i="10"/>
  <c r="N74" i="10"/>
  <c r="M74" i="10"/>
  <c r="L74" i="10"/>
  <c r="K74" i="10"/>
  <c r="J74" i="10"/>
  <c r="I74" i="10"/>
  <c r="U73" i="10"/>
  <c r="T73" i="10"/>
  <c r="P73" i="10"/>
  <c r="O73" i="10"/>
  <c r="N73" i="10"/>
  <c r="M73" i="10"/>
  <c r="L73" i="10"/>
  <c r="K73" i="10"/>
  <c r="J73" i="10"/>
  <c r="I73" i="10"/>
  <c r="U72" i="10"/>
  <c r="T72" i="10"/>
  <c r="P72" i="10"/>
  <c r="O72" i="10"/>
  <c r="N72" i="10"/>
  <c r="M72" i="10"/>
  <c r="L72" i="10"/>
  <c r="K72" i="10"/>
  <c r="J72" i="10"/>
  <c r="I72" i="10"/>
  <c r="U71" i="10"/>
  <c r="T71" i="10"/>
  <c r="P71" i="10"/>
  <c r="O71" i="10"/>
  <c r="N71" i="10"/>
  <c r="M71" i="10"/>
  <c r="L71" i="10"/>
  <c r="K71" i="10"/>
  <c r="J71" i="10"/>
  <c r="I71" i="10"/>
  <c r="U70" i="10"/>
  <c r="T70" i="10"/>
  <c r="M70" i="10"/>
  <c r="L70" i="10"/>
  <c r="K70" i="10"/>
  <c r="J70" i="10"/>
  <c r="U69" i="10"/>
  <c r="T69" i="10"/>
  <c r="P69" i="10"/>
  <c r="O69" i="10"/>
  <c r="N69" i="10"/>
  <c r="M69" i="10"/>
  <c r="L69" i="10"/>
  <c r="K69" i="10"/>
  <c r="J69" i="10"/>
  <c r="U68" i="10"/>
  <c r="T68" i="10"/>
  <c r="P68" i="10"/>
  <c r="O68" i="10"/>
  <c r="N68" i="10"/>
  <c r="M68" i="10"/>
  <c r="L68" i="10"/>
  <c r="K68" i="10"/>
  <c r="J68" i="10"/>
  <c r="U67" i="10"/>
  <c r="T67" i="10"/>
  <c r="P67" i="10"/>
  <c r="O67" i="10"/>
  <c r="N67" i="10"/>
  <c r="M67" i="10"/>
  <c r="L67" i="10"/>
  <c r="K67" i="10"/>
  <c r="J67" i="10"/>
  <c r="U66" i="10"/>
  <c r="T66" i="10"/>
  <c r="P66" i="10"/>
  <c r="O66" i="10"/>
  <c r="N66" i="10"/>
  <c r="M66" i="10"/>
  <c r="L66" i="10"/>
  <c r="K66" i="10"/>
  <c r="J66" i="10"/>
  <c r="U65" i="10"/>
  <c r="T65" i="10"/>
  <c r="P65" i="10"/>
  <c r="O65" i="10"/>
  <c r="N65" i="10"/>
  <c r="M65" i="10"/>
  <c r="L65" i="10"/>
  <c r="K65" i="10"/>
  <c r="J65" i="10"/>
  <c r="U64" i="10"/>
  <c r="T64" i="10"/>
  <c r="P64" i="10"/>
  <c r="O64" i="10"/>
  <c r="N64" i="10"/>
  <c r="M64" i="10"/>
  <c r="L64" i="10"/>
  <c r="K64" i="10"/>
  <c r="J64" i="10"/>
  <c r="I64" i="10"/>
  <c r="G64" i="10"/>
  <c r="U63" i="10"/>
  <c r="T63" i="10"/>
  <c r="P63" i="10"/>
  <c r="O63" i="10"/>
  <c r="N63" i="10"/>
  <c r="M63" i="10"/>
  <c r="L63" i="10"/>
  <c r="K63" i="10"/>
  <c r="J63" i="10"/>
  <c r="U62" i="10"/>
  <c r="T62" i="10"/>
  <c r="P62" i="10"/>
  <c r="O62" i="10"/>
  <c r="N62" i="10"/>
  <c r="M62" i="10"/>
  <c r="L62" i="10"/>
  <c r="K62" i="10"/>
  <c r="J62" i="10"/>
  <c r="U61" i="10"/>
  <c r="T61" i="10"/>
  <c r="P61" i="10"/>
  <c r="O61" i="10"/>
  <c r="N61" i="10"/>
  <c r="M61" i="10"/>
  <c r="L61" i="10"/>
  <c r="K61" i="10"/>
  <c r="J61" i="10"/>
  <c r="U60" i="10"/>
  <c r="T60" i="10"/>
  <c r="P60" i="10"/>
  <c r="O60" i="10"/>
  <c r="N60" i="10"/>
  <c r="M60" i="10"/>
  <c r="L60" i="10"/>
  <c r="K60" i="10"/>
  <c r="J60" i="10"/>
  <c r="U59" i="10"/>
  <c r="T59" i="10"/>
  <c r="P59" i="10"/>
  <c r="O59" i="10"/>
  <c r="N59" i="10"/>
  <c r="M59" i="10"/>
  <c r="L59" i="10"/>
  <c r="K59" i="10"/>
  <c r="J59" i="10"/>
  <c r="U58" i="10"/>
  <c r="T58" i="10"/>
  <c r="P58" i="10"/>
  <c r="O58" i="10"/>
  <c r="N58" i="10"/>
  <c r="M58" i="10"/>
  <c r="L58" i="10"/>
  <c r="K58" i="10"/>
  <c r="J58" i="10"/>
  <c r="U57" i="10"/>
  <c r="T57" i="10"/>
  <c r="P57" i="10"/>
  <c r="O57" i="10"/>
  <c r="N57" i="10"/>
  <c r="M57" i="10"/>
  <c r="L57" i="10"/>
  <c r="K57" i="10"/>
  <c r="J57" i="10"/>
  <c r="I57" i="10"/>
  <c r="C57" i="10"/>
  <c r="U56" i="10"/>
  <c r="T56" i="10"/>
  <c r="P56" i="10"/>
  <c r="O56" i="10"/>
  <c r="N56" i="10"/>
  <c r="M56" i="10"/>
  <c r="L56" i="10"/>
  <c r="K56" i="10"/>
  <c r="J56" i="10"/>
  <c r="I56" i="10"/>
  <c r="U55" i="10"/>
  <c r="T55" i="10"/>
  <c r="P55" i="10"/>
  <c r="O55" i="10"/>
  <c r="N55" i="10"/>
  <c r="M55" i="10"/>
  <c r="L55" i="10"/>
  <c r="K55" i="10"/>
  <c r="J55" i="10"/>
  <c r="I55" i="10"/>
  <c r="U54" i="10"/>
  <c r="T54" i="10"/>
  <c r="P54" i="10"/>
  <c r="O54" i="10"/>
  <c r="N54" i="10"/>
  <c r="M54" i="10"/>
  <c r="L54" i="10"/>
  <c r="K54" i="10"/>
  <c r="J54" i="10"/>
  <c r="I54" i="10"/>
  <c r="U53" i="10"/>
  <c r="T53" i="10"/>
  <c r="P53" i="10"/>
  <c r="O53" i="10"/>
  <c r="N53" i="10"/>
  <c r="M53" i="10"/>
  <c r="L53" i="10"/>
  <c r="K53" i="10"/>
  <c r="J53" i="10"/>
  <c r="I53" i="10"/>
  <c r="U52" i="10"/>
  <c r="T52" i="10"/>
  <c r="P52" i="10"/>
  <c r="O52" i="10"/>
  <c r="N52" i="10"/>
  <c r="M52" i="10"/>
  <c r="L52" i="10"/>
  <c r="K52" i="10"/>
  <c r="J52" i="10"/>
  <c r="I52" i="10"/>
  <c r="U51" i="10"/>
  <c r="T51" i="10"/>
  <c r="P51" i="10"/>
  <c r="O51" i="10"/>
  <c r="N51" i="10"/>
  <c r="M51" i="10"/>
  <c r="L51" i="10"/>
  <c r="K51" i="10"/>
  <c r="J51" i="10"/>
  <c r="I51" i="10"/>
  <c r="U50" i="10"/>
  <c r="T50" i="10"/>
  <c r="P50" i="10"/>
  <c r="O50" i="10"/>
  <c r="N50" i="10"/>
  <c r="M50" i="10"/>
  <c r="L50" i="10"/>
  <c r="K50" i="10"/>
  <c r="J50" i="10"/>
  <c r="I50" i="10"/>
  <c r="U49" i="10"/>
  <c r="T49" i="10"/>
  <c r="P49" i="10"/>
  <c r="O49" i="10"/>
  <c r="N49" i="10"/>
  <c r="M49" i="10"/>
  <c r="L49" i="10"/>
  <c r="K49" i="10"/>
  <c r="J49" i="10"/>
  <c r="U48" i="10"/>
  <c r="T48" i="10"/>
  <c r="P48" i="10"/>
  <c r="O48" i="10"/>
  <c r="N48" i="10"/>
  <c r="M48" i="10"/>
  <c r="L48" i="10"/>
  <c r="K48" i="10"/>
  <c r="J48" i="10"/>
  <c r="U47" i="10"/>
  <c r="T47" i="10"/>
  <c r="P47" i="10"/>
  <c r="O47" i="10"/>
  <c r="N47" i="10"/>
  <c r="M47" i="10"/>
  <c r="L47" i="10"/>
  <c r="K47" i="10"/>
  <c r="J47" i="10"/>
  <c r="U46" i="10"/>
  <c r="T46" i="10"/>
  <c r="P46" i="10"/>
  <c r="O46" i="10"/>
  <c r="N46" i="10"/>
  <c r="M46" i="10"/>
  <c r="L46" i="10"/>
  <c r="K46" i="10"/>
  <c r="J46" i="10"/>
  <c r="U45" i="10"/>
  <c r="T45" i="10"/>
  <c r="P45" i="10"/>
  <c r="O45" i="10"/>
  <c r="N45" i="10"/>
  <c r="M45" i="10"/>
  <c r="L45" i="10"/>
  <c r="K45" i="10"/>
  <c r="J45" i="10"/>
  <c r="U44" i="10"/>
  <c r="T44" i="10"/>
  <c r="P44" i="10"/>
  <c r="O44" i="10"/>
  <c r="N44" i="10"/>
  <c r="M44" i="10"/>
  <c r="L44" i="10"/>
  <c r="K44" i="10"/>
  <c r="J44" i="10"/>
  <c r="U43" i="10"/>
  <c r="T43" i="10"/>
  <c r="P43" i="10"/>
  <c r="O43" i="10"/>
  <c r="N43" i="10"/>
  <c r="M43" i="10"/>
  <c r="L43" i="10"/>
  <c r="K43" i="10"/>
  <c r="J43" i="10"/>
  <c r="U42" i="10"/>
  <c r="T42" i="10"/>
  <c r="P42" i="10"/>
  <c r="O42" i="10"/>
  <c r="N42" i="10"/>
  <c r="M42" i="10"/>
  <c r="L42" i="10"/>
  <c r="K42" i="10"/>
  <c r="J42" i="10"/>
  <c r="U41" i="10"/>
  <c r="T41" i="10"/>
  <c r="P41" i="10"/>
  <c r="O41" i="10"/>
  <c r="N41" i="10"/>
  <c r="M41" i="10"/>
  <c r="L41" i="10"/>
  <c r="K41" i="10"/>
  <c r="J41" i="10"/>
  <c r="I41" i="10"/>
  <c r="U40" i="10"/>
  <c r="T40" i="10"/>
  <c r="P40" i="10"/>
  <c r="O40" i="10"/>
  <c r="N40" i="10"/>
  <c r="M40" i="10"/>
  <c r="L40" i="10"/>
  <c r="K40" i="10"/>
  <c r="J40" i="10"/>
  <c r="I40" i="10"/>
  <c r="U39" i="10"/>
  <c r="T39" i="10"/>
  <c r="P39" i="10"/>
  <c r="O39" i="10"/>
  <c r="N39" i="10"/>
  <c r="M39" i="10"/>
  <c r="L39" i="10"/>
  <c r="K39" i="10"/>
  <c r="J39" i="10"/>
  <c r="I39" i="10"/>
  <c r="U38" i="10"/>
  <c r="T38" i="10"/>
  <c r="P38" i="10"/>
  <c r="O38" i="10"/>
  <c r="N38" i="10"/>
  <c r="M38" i="10"/>
  <c r="L38" i="10"/>
  <c r="K38" i="10"/>
  <c r="J38" i="10"/>
  <c r="I38" i="10"/>
  <c r="U37" i="10"/>
  <c r="T37" i="10"/>
  <c r="P37" i="10"/>
  <c r="O37" i="10"/>
  <c r="N37" i="10"/>
  <c r="M37" i="10"/>
  <c r="L37" i="10"/>
  <c r="K37" i="10"/>
  <c r="J37" i="10"/>
  <c r="I37" i="10"/>
  <c r="U36" i="10"/>
  <c r="T36" i="10"/>
  <c r="P36" i="10"/>
  <c r="O36" i="10"/>
  <c r="N36" i="10"/>
  <c r="M36" i="10"/>
  <c r="L36" i="10"/>
  <c r="K36" i="10"/>
  <c r="J36" i="10"/>
  <c r="I36" i="10"/>
  <c r="U35" i="10"/>
  <c r="T35" i="10"/>
  <c r="P35" i="10"/>
  <c r="O35" i="10"/>
  <c r="N35" i="10"/>
  <c r="M35" i="10"/>
  <c r="L35" i="10"/>
  <c r="K35" i="10"/>
  <c r="J35" i="10"/>
  <c r="I35" i="10"/>
  <c r="U34" i="10"/>
  <c r="T34" i="10"/>
  <c r="P34" i="10"/>
  <c r="O34" i="10"/>
  <c r="N34" i="10"/>
  <c r="M34" i="10"/>
  <c r="L34" i="10"/>
  <c r="K34" i="10"/>
  <c r="J34" i="10"/>
  <c r="U33" i="10"/>
  <c r="T33" i="10"/>
  <c r="P33" i="10"/>
  <c r="O33" i="10"/>
  <c r="N33" i="10"/>
  <c r="M33" i="10"/>
  <c r="L33" i="10"/>
  <c r="K33" i="10"/>
  <c r="J33" i="10"/>
  <c r="U32" i="10"/>
  <c r="T32" i="10"/>
  <c r="P32" i="10"/>
  <c r="O32" i="10"/>
  <c r="N32" i="10"/>
  <c r="M32" i="10"/>
  <c r="L32" i="10"/>
  <c r="K32" i="10"/>
  <c r="J32" i="10"/>
  <c r="U31" i="10"/>
  <c r="T31" i="10"/>
  <c r="P31" i="10"/>
  <c r="O31" i="10"/>
  <c r="N31" i="10"/>
  <c r="M31" i="10"/>
  <c r="L31" i="10"/>
  <c r="K31" i="10"/>
  <c r="J31" i="10"/>
  <c r="U30" i="10"/>
  <c r="T30" i="10"/>
  <c r="P30" i="10"/>
  <c r="O30" i="10"/>
  <c r="N30" i="10"/>
  <c r="M30" i="10"/>
  <c r="L30" i="10"/>
  <c r="K30" i="10"/>
  <c r="J30" i="10"/>
  <c r="U29" i="10"/>
  <c r="T29" i="10"/>
  <c r="P29" i="10"/>
  <c r="O29" i="10"/>
  <c r="N29" i="10"/>
  <c r="M29" i="10"/>
  <c r="L29" i="10"/>
  <c r="K29" i="10"/>
  <c r="J29" i="10"/>
  <c r="U28" i="10"/>
  <c r="T28" i="10"/>
  <c r="P28" i="10"/>
  <c r="O28" i="10"/>
  <c r="N28" i="10"/>
  <c r="M28" i="10"/>
  <c r="L28" i="10"/>
  <c r="K28" i="10"/>
  <c r="J28" i="10"/>
  <c r="U27" i="10"/>
  <c r="T27" i="10"/>
  <c r="P27" i="10"/>
  <c r="O27" i="10"/>
  <c r="N27" i="10"/>
  <c r="M27" i="10"/>
  <c r="L27" i="10"/>
  <c r="K27" i="10"/>
  <c r="J27" i="10"/>
  <c r="U26" i="10"/>
  <c r="T26" i="10"/>
  <c r="P26" i="10"/>
  <c r="O26" i="10"/>
  <c r="N26" i="10"/>
  <c r="M26" i="10"/>
  <c r="L26" i="10"/>
  <c r="K26" i="10"/>
  <c r="J26" i="10"/>
  <c r="I26" i="10"/>
  <c r="U25" i="10"/>
  <c r="T25" i="10"/>
  <c r="P25" i="10"/>
  <c r="O25" i="10"/>
  <c r="N25" i="10"/>
  <c r="M25" i="10"/>
  <c r="L25" i="10"/>
  <c r="K25" i="10"/>
  <c r="J25" i="10"/>
  <c r="I25" i="10"/>
  <c r="U24" i="10"/>
  <c r="T24" i="10"/>
  <c r="P24" i="10"/>
  <c r="O24" i="10"/>
  <c r="N24" i="10"/>
  <c r="M24" i="10"/>
  <c r="L24" i="10"/>
  <c r="K24" i="10"/>
  <c r="J24" i="10"/>
  <c r="I24" i="10"/>
  <c r="U23" i="10"/>
  <c r="T23" i="10"/>
  <c r="P23" i="10"/>
  <c r="O23" i="10"/>
  <c r="N23" i="10"/>
  <c r="M23" i="10"/>
  <c r="L23" i="10"/>
  <c r="K23" i="10"/>
  <c r="J23" i="10"/>
  <c r="I23" i="10"/>
  <c r="U22" i="10"/>
  <c r="T22" i="10"/>
  <c r="P22" i="10"/>
  <c r="O22" i="10"/>
  <c r="N22" i="10"/>
  <c r="M22" i="10"/>
  <c r="L22" i="10"/>
  <c r="K22" i="10"/>
  <c r="J22" i="10"/>
  <c r="I22" i="10"/>
  <c r="U21" i="10"/>
  <c r="T21" i="10"/>
  <c r="P21" i="10"/>
  <c r="O21" i="10"/>
  <c r="N21" i="10"/>
  <c r="M21" i="10"/>
  <c r="L21" i="10"/>
  <c r="K21" i="10"/>
  <c r="J21" i="10"/>
  <c r="I21" i="10"/>
  <c r="U20" i="10"/>
  <c r="T20" i="10"/>
  <c r="M20" i="10"/>
  <c r="L20" i="10"/>
  <c r="K20" i="10"/>
  <c r="J20" i="10"/>
  <c r="U19" i="10"/>
  <c r="T19" i="10"/>
  <c r="P19" i="10"/>
  <c r="O19" i="10"/>
  <c r="N19" i="10"/>
  <c r="M19" i="10"/>
  <c r="L19" i="10"/>
  <c r="K19" i="10"/>
  <c r="J19" i="10"/>
  <c r="U18" i="10"/>
  <c r="T18" i="10"/>
  <c r="P18" i="10"/>
  <c r="O18" i="10"/>
  <c r="N18" i="10"/>
  <c r="M18" i="10"/>
  <c r="L18" i="10"/>
  <c r="K18" i="10"/>
  <c r="J18" i="10"/>
  <c r="U17" i="10"/>
  <c r="T17" i="10"/>
  <c r="P17" i="10"/>
  <c r="O17" i="10"/>
  <c r="N17" i="10"/>
  <c r="M17" i="10"/>
  <c r="L17" i="10"/>
  <c r="K17" i="10"/>
  <c r="J17" i="10"/>
  <c r="P16" i="10"/>
  <c r="O16" i="10"/>
  <c r="N16" i="10"/>
  <c r="M16" i="10"/>
  <c r="I12" i="10"/>
  <c r="G12" i="10"/>
  <c r="S11" i="10"/>
  <c r="S10" i="10"/>
  <c r="S9" i="10"/>
  <c r="S8" i="10"/>
  <c r="S7" i="10"/>
  <c r="S6" i="10"/>
  <c r="S5" i="10"/>
  <c r="I5" i="10"/>
  <c r="S4" i="10"/>
  <c r="S3" i="10"/>
  <c r="I3" i="10"/>
  <c r="S2" i="10"/>
  <c r="S1"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K76" authorId="0" shapeId="0" xr:uid="{00000000-0006-0000-0700-00000100000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xli9</author>
    <author>Xiao Li</author>
  </authors>
  <commentList>
    <comment ref="K21" authorId="0" shapeId="0" xr:uid="{00000000-0006-0000-0900-000001000000}">
      <text>
        <r>
          <rPr>
            <b/>
            <sz val="9"/>
            <rFont val="Times New Roman"/>
          </rPr>
          <t>xli9:</t>
        </r>
        <r>
          <rPr>
            <sz val="9"/>
            <rFont val="Times New Roman"/>
          </rPr>
          <t xml:space="preserve">
BCZ it tends to retire early before endlife for recycling [bcz the mass shrinks with time]</t>
        </r>
      </text>
    </comment>
    <comment ref="D30" authorId="0" shapeId="0" xr:uid="{00000000-0006-0000-0900-000002000000}">
      <text>
        <r>
          <rPr>
            <b/>
            <sz val="9"/>
            <rFont val="Times New Roman"/>
            <charset val="134"/>
          </rPr>
          <t>xli9:</t>
        </r>
        <r>
          <rPr>
            <sz val="9"/>
            <rFont val="Times New Roman"/>
            <charset val="134"/>
          </rPr>
          <t xml:space="preserve">
This is the default recycling EFF, we changed it/detailed by using other references</t>
        </r>
      </text>
    </comment>
    <comment ref="C106" authorId="1" shapeId="0" xr:uid="{00000000-0006-0000-0900-000003000000}">
      <text>
        <r>
          <rPr>
            <b/>
            <sz val="9"/>
            <rFont val="Tahoma"/>
            <charset val="134"/>
          </rPr>
          <t>Xiao Li:</t>
        </r>
        <r>
          <rPr>
            <sz val="9"/>
            <rFont val="Tahoma"/>
            <charset val="134"/>
          </rPr>
          <t xml:space="preserve">
This table is to make sure the repurpose would not lack materials</t>
        </r>
      </text>
    </comment>
    <comment ref="C127" authorId="0" shapeId="0" xr:uid="{00000000-0006-0000-0900-00000400000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shapeId="0" xr:uid="{00000000-0006-0000-0900-000005000000}">
      <text>
        <r>
          <rPr>
            <b/>
            <sz val="9"/>
            <rFont val="Times New Roman"/>
            <charset val="134"/>
          </rPr>
          <t>xli9:</t>
        </r>
        <r>
          <rPr>
            <sz val="9"/>
            <rFont val="Times New Roman"/>
            <charset val="134"/>
          </rPr>
          <t xml:space="preserve">
Bcz all CAPEX has been considered in new car so we set it as 0</t>
        </r>
      </text>
    </comment>
    <comment ref="AA128" authorId="0" shapeId="0" xr:uid="{00000000-0006-0000-0900-000006000000}">
      <text>
        <r>
          <rPr>
            <b/>
            <sz val="9"/>
            <rFont val="Times New Roman"/>
            <charset val="134"/>
          </rPr>
          <t>xli9:</t>
        </r>
        <r>
          <rPr>
            <sz val="9"/>
            <rFont val="Times New Roman"/>
            <charset val="134"/>
          </rPr>
          <t xml:space="preserve">
See Trans for updated number</t>
        </r>
      </text>
    </comment>
    <comment ref="C138" authorId="0" shapeId="0" xr:uid="{00000000-0006-0000-0900-00000700000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shapeId="0" xr:uid="{00000000-0006-0000-0900-000008000000}">
      <text>
        <r>
          <rPr>
            <b/>
            <sz val="9"/>
            <rFont val="Times New Roman"/>
            <charset val="134"/>
          </rPr>
          <t>xli9:</t>
        </r>
        <r>
          <rPr>
            <sz val="9"/>
            <rFont val="Times New Roman"/>
            <charset val="134"/>
          </rPr>
          <t xml:space="preserve">
These are total costs</t>
        </r>
      </text>
    </comment>
    <comment ref="F173" authorId="0" shapeId="0" xr:uid="{00000000-0006-0000-0900-000009000000}">
      <text>
        <r>
          <rPr>
            <b/>
            <sz val="9"/>
            <rFont val="Times New Roman"/>
          </rPr>
          <t>xli9:</t>
        </r>
        <r>
          <rPr>
            <sz val="9"/>
            <rFont val="Times New Roman"/>
          </rPr>
          <t xml:space="preserve">
Recy is more delay</t>
        </r>
      </text>
    </comment>
    <comment ref="F174" authorId="0" shapeId="0" xr:uid="{00000000-0006-0000-0900-00000A000000}">
      <text>
        <r>
          <rPr>
            <b/>
            <sz val="9"/>
            <rFont val="Times New Roman"/>
          </rPr>
          <t>xli9:</t>
        </r>
        <r>
          <rPr>
            <sz val="9"/>
            <rFont val="Times New Roman"/>
          </rPr>
          <t xml:space="preserve">
this is to make room for repurpose</t>
        </r>
      </text>
    </comment>
    <comment ref="B212" authorId="0" shapeId="0" xr:uid="{00000000-0006-0000-0900-00000B00000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C259" authorId="0" shapeId="0" xr:uid="{00000000-0006-0000-0900-00000C000000}">
      <text>
        <r>
          <rPr>
            <b/>
            <sz val="9"/>
            <rFont val="Times New Roman"/>
            <charset val="134"/>
          </rPr>
          <t>xli9:</t>
        </r>
        <r>
          <rPr>
            <sz val="9"/>
            <rFont val="Times New Roman"/>
            <charset val="134"/>
          </rPr>
          <t xml:space="preserve">
The distangling does not necessarily means at the end of life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7" authorId="0" shapeId="0" xr:uid="{00000000-0006-0000-0A00-00000100000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<sst xmlns="http://schemas.openxmlformats.org/spreadsheetml/2006/main" count="4077" uniqueCount="630">
  <si>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</si>
  <si>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</si>
  <si>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</si>
  <si>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</si>
  <si>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</si>
  <si>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</si>
  <si>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</si>
  <si>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</si>
  <si>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</si>
  <si>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</si>
  <si>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</si>
  <si>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</si>
  <si>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</si>
  <si>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</si>
  <si>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</si>
  <si>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</si>
  <si>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</si>
  <si>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</si>
  <si>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</si>
  <si>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</si>
  <si>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</si>
  <si>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</si>
  <si>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</si>
  <si>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</si>
  <si>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</si>
  <si>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</si>
  <si>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</si>
  <si>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</si>
  <si>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</si>
  <si>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</si>
  <si>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</si>
  <si>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</si>
  <si>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</si>
  <si>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</si>
  <si>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</si>
  <si>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</si>
  <si>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</si>
  <si>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</si>
  <si>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</si>
  <si>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</si>
  <si>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</si>
  <si>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</si>
  <si>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</si>
  <si>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</si>
  <si>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</si>
  <si>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</si>
  <si>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</si>
  <si>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</si>
  <si>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</si>
  <si>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</si>
  <si>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</si>
  <si>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</si>
  <si>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</si>
  <si>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</si>
  <si>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</si>
  <si>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</si>
  <si>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</si>
  <si>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</si>
  <si>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</si>
  <si>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</si>
  <si>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</si>
  <si>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</si>
  <si>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</si>
  <si>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</si>
  <si>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</si>
  <si>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</si>
  <si>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</si>
  <si>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</si>
  <si>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</si>
  <si>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</si>
  <si>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</si>
  <si>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</si>
  <si>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</si>
  <si>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</si>
  <si>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</si>
  <si>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</si>
  <si>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</si>
  <si>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</si>
  <si>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</si>
  <si>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</si>
  <si>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</si>
  <si>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</si>
  <si>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</si>
  <si>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</si>
  <si>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</si>
  <si>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</si>
  <si>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</si>
  <si>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</si>
  <si>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</si>
  <si>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</si>
  <si>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</si>
  <si>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</si>
  <si>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</si>
  <si>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</si>
  <si>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</si>
  <si>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</si>
  <si>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</si>
  <si>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</si>
  <si>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</si>
  <si>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</si>
  <si>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</si>
  <si>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</si>
  <si>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</si>
  <si>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</si>
  <si>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</si>
  <si>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</si>
  <si>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</si>
  <si>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</si>
  <si>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</si>
  <si>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</si>
  <si>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</si>
  <si>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</si>
  <si>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</si>
  <si>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</si>
  <si>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</si>
  <si>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</si>
  <si>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</si>
  <si>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</si>
  <si>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</si>
  <si>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</si>
  <si>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</si>
  <si>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</si>
  <si>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</si>
  <si>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</si>
  <si>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</si>
  <si>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</si>
  <si>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</si>
  <si>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</si>
  <si>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</si>
  <si>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</si>
  <si>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</si>
  <si>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</si>
  <si>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</si>
  <si>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</si>
  <si>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</si>
  <si>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</si>
  <si>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</si>
  <si>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</si>
  <si>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</si>
  <si>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</si>
  <si>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</si>
  <si>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</si>
  <si>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</si>
  <si>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</si>
  <si>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</si>
  <si>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</si>
  <si>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</si>
  <si>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</si>
  <si>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</si>
  <si>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</si>
  <si>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</si>
  <si>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</si>
  <si>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</si>
  <si>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</si>
  <si>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</si>
  <si>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</si>
  <si>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</si>
  <si>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</si>
  <si>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</si>
  <si>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</si>
  <si>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</si>
  <si>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</si>
  <si>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</si>
  <si>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</si>
  <si>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</si>
  <si>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</si>
  <si>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</si>
  <si>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</si>
  <si>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</si>
  <si>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</si>
  <si>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</si>
  <si>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</si>
  <si>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</si>
  <si>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</si>
  <si>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</si>
  <si>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</si>
  <si>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</si>
  <si>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</si>
  <si>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</si>
  <si>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</si>
  <si>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</si>
  <si>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</si>
  <si>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</si>
  <si>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</si>
  <si>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</si>
  <si>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</si>
  <si>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</si>
  <si>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</si>
  <si>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</si>
  <si>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</si>
  <si>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</si>
  <si>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</si>
  <si>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</si>
  <si>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</si>
  <si>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</si>
  <si>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</si>
  <si>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</si>
  <si>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</si>
  <si>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</si>
  <si>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</si>
  <si>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</si>
  <si>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</si>
  <si>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</si>
  <si>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</si>
  <si>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</si>
  <si>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</si>
  <si>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</si>
  <si>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</si>
  <si>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</si>
  <si>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</si>
  <si>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</si>
  <si>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m_nickel</t>
  </si>
  <si>
    <t>LFP</t>
  </si>
  <si>
    <t>Lithium Iron Phosphate</t>
  </si>
  <si>
    <t>High safety, long cycle life, lower energy density</t>
  </si>
  <si>
    <t>EVs, energy storage systems</t>
  </si>
  <si>
    <t>m_cobalt</t>
  </si>
  <si>
    <t>LMO</t>
  </si>
  <si>
    <t>Lithium Manganese Oxide</t>
  </si>
  <si>
    <t>Good thermal stability, fast charging, moderate energy density</t>
  </si>
  <si>
    <t>Power tools, medical devices, hybrid EVs</t>
  </si>
  <si>
    <t>ACT</t>
  </si>
  <si>
    <t>m_manganese</t>
  </si>
  <si>
    <t>NCA</t>
  </si>
  <si>
    <t>Nickel Cobalt Aluminum Oxide</t>
  </si>
  <si>
    <t>High energy density, long cycle life, higher cost</t>
  </si>
  <si>
    <t>Premium EVs, energy storage</t>
  </si>
  <si>
    <t>TRDELC</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</si>
  <si>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</si>
  <si>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</si>
  <si>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</si>
  <si>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</si>
  <si>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</si>
  <si>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</si>
  <si>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</si>
  <si>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</si>
  <si>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</si>
  <si>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</si>
  <si>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</si>
  <si>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</si>
  <si>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</si>
  <si>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</si>
  <si>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</si>
  <si>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</si>
  <si>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</si>
  <si>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</si>
  <si>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</si>
  <si>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</si>
  <si>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</si>
  <si>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</si>
  <si>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</si>
  <si>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</si>
  <si>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</si>
  <si>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</si>
  <si>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</si>
  <si>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</si>
  <si>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</si>
  <si>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</si>
  <si>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</si>
  <si>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</si>
  <si>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</si>
  <si>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</si>
  <si>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</si>
  <si>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</si>
  <si>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</si>
  <si>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</si>
  <si>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</si>
  <si>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</si>
  <si>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</si>
  <si>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</si>
  <si>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</si>
  <si>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</si>
  <si>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UP</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</si>
  <si>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</si>
  <si>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</si>
  <si>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</si>
  <si>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</si>
  <si>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</si>
  <si>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</si>
  <si>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</si>
  <si>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</si>
  <si>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</si>
  <si>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</si>
  <si>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</si>
  <si>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</si>
  <si>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</si>
  <si>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</si>
  <si>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</si>
  <si>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</si>
  <si>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</si>
  <si>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</si>
  <si>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</si>
  <si>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</si>
  <si>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</si>
  <si>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</si>
  <si>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</si>
  <si>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</si>
  <si>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</si>
  <si>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</si>
  <si>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</si>
  <si>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Form_raw_to_mr_Li</t>
  </si>
  <si>
    <t>Using raw materials to supplement the repurpose use1</t>
  </si>
  <si>
    <t>KT</t>
  </si>
  <si>
    <t>KTPA</t>
  </si>
  <si>
    <t>Form_raw_to_mr_Ni</t>
  </si>
  <si>
    <t>Using raw materials to supplement the repurpose use2</t>
  </si>
  <si>
    <t>Form_raw_to_mr_Co</t>
  </si>
  <si>
    <t>Using raw materials to supplement the repurpose use3</t>
  </si>
  <si>
    <t>Form_raw_to_mr_Mn</t>
  </si>
  <si>
    <t>Using raw materials to supplement the repurpose use4</t>
  </si>
  <si>
    <t>Form_raw_to_mr_Al</t>
  </si>
  <si>
    <t>Using raw materials to supplement the repurpose use5</t>
  </si>
  <si>
    <t>Using raw materials to supplement the repurpose use6</t>
  </si>
  <si>
    <t>Form_raw_to_mr_Gr</t>
  </si>
  <si>
    <t>Using raw materials to supplement the repurpose use7</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</si>
  <si>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</si>
  <si>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</si>
  <si>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</si>
  <si>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</si>
  <si>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</si>
  <si>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</si>
  <si>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</si>
  <si>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</si>
  <si>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</si>
  <si>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</si>
  <si>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</si>
  <si>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</si>
  <si>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</si>
  <si>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</si>
  <si>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</si>
  <si>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</si>
  <si>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</si>
  <si>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</si>
  <si>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</si>
  <si>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</si>
  <si>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</si>
  <si>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</si>
  <si>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t>
  </si>
  <si>
    <t>LCO</t>
  </si>
  <si>
    <t>FX</t>
  </si>
  <si>
    <t xml:space="preserve">LFP </t>
  </si>
  <si>
    <t xml:space="preserve">LMO </t>
  </si>
  <si>
    <t>NCAP_ICOM (ktonne/GWh?) for new batteries: Tra_EV_Batt*</t>
  </si>
  <si>
    <t>Total amount of commodity (c) required for the construction of new capacity.</t>
  </si>
  <si>
    <t>We need to use total cost derived by using above-mining costs you have already considered (M$/ktonne)</t>
  </si>
  <si>
    <t>TRA</t>
  </si>
  <si>
    <t>PyroRecy-LFP</t>
  </si>
  <si>
    <t>Pyro recycling</t>
  </si>
  <si>
    <t>recy-LFP</t>
  </si>
  <si>
    <t>PyroRecy-LMO</t>
  </si>
  <si>
    <t>recy-LMO</t>
  </si>
  <si>
    <t>PyroRecy-NCA</t>
  </si>
  <si>
    <t>recy-NCA</t>
  </si>
  <si>
    <t>NCAP_OCOM</t>
  </si>
  <si>
    <t>PyroRecy-NMC111</t>
  </si>
  <si>
    <t>recy-NMC111</t>
  </si>
  <si>
    <t>MultiR-LFP</t>
  </si>
  <si>
    <t>PyroRecy-NMC532</t>
  </si>
  <si>
    <t>recy-NMC532</t>
  </si>
  <si>
    <t>MultiR-LMO</t>
  </si>
  <si>
    <t>PyroRecy-NMC622</t>
  </si>
  <si>
    <t>recy-NMC622</t>
  </si>
  <si>
    <t>MultiR-NCA</t>
  </si>
  <si>
    <t>PyroRecy-NMC811</t>
  </si>
  <si>
    <t>recy-NMC811</t>
  </si>
  <si>
    <t>MultiR-NMC111</t>
  </si>
  <si>
    <t>HydRecy-LFP</t>
  </si>
  <si>
    <t>Hyd recycling</t>
  </si>
  <si>
    <t>MultiR-NMC532</t>
  </si>
  <si>
    <t>HydRecy-LMO</t>
  </si>
  <si>
    <t>MultiR-NMC622</t>
  </si>
  <si>
    <t>HydRecy-NCA</t>
  </si>
  <si>
    <t>MultiR-NMC811</t>
  </si>
  <si>
    <t>HydRecy-NMC111</t>
  </si>
  <si>
    <t>HydRecy-NMC532</t>
  </si>
  <si>
    <t>HydRecy-NMC622</t>
  </si>
  <si>
    <t>HydRecy-NMC811</t>
  </si>
  <si>
    <t>DirRecy-LFP</t>
  </si>
  <si>
    <t>Direct recycling</t>
  </si>
  <si>
    <t>DirRecy-LMO</t>
  </si>
  <si>
    <t>Tra_EV_Batt-LFP-toRecy</t>
  </si>
  <si>
    <t>DirRecy-NCA</t>
  </si>
  <si>
    <t>Tra_EV_Batt-LMO-toRecy</t>
  </si>
  <si>
    <t>DirRecy-NMC111</t>
  </si>
  <si>
    <t>Tra_EV_Batt-NCA-toRecy</t>
  </si>
  <si>
    <t>DirRecy-NMC532</t>
  </si>
  <si>
    <t>Tra_EV_Batt-NMC 111-toRecy</t>
  </si>
  <si>
    <t>DirRecy-NMC622</t>
  </si>
  <si>
    <t>Tra_EV_Batt-NMC532-toRecy</t>
  </si>
  <si>
    <t>DirRecy-NMC811</t>
  </si>
  <si>
    <t>Tra_EV_Batt-NMC 622-toRecy</t>
  </si>
  <si>
    <t>repp-LFP</t>
  </si>
  <si>
    <t>Tra_EV_Batt-NMC 811-toRecy</t>
  </si>
  <si>
    <t>repp-LMO</t>
  </si>
  <si>
    <t>Tra_EV_Batt-LFP-toRepurpose</t>
  </si>
  <si>
    <t>repp-NCA</t>
  </si>
  <si>
    <t>Tra_EV_Batt-LMO-toRepurpose</t>
  </si>
  <si>
    <t>repp-NMC111</t>
  </si>
  <si>
    <t>Tra_EV_Batt-NCA-toRepurpose</t>
  </si>
  <si>
    <t>repp-NMC532</t>
  </si>
  <si>
    <t>Tra_EV_Batt-NMC 111-toRepurpose</t>
  </si>
  <si>
    <t>repp-NMC622</t>
  </si>
  <si>
    <t>Tra_EV_Batt-NMC532-toRepurpose</t>
  </si>
  <si>
    <t>repp-NMC811</t>
  </si>
  <si>
    <t>Tra_EV_Batt-NMC 622-toRepurpose</t>
  </si>
  <si>
    <t>Tra_EV_Batt-NMC 811-toRepurpose</t>
  </si>
  <si>
    <t>Dir_repp-LFP</t>
  </si>
  <si>
    <t>Dir_repp-LMO</t>
  </si>
  <si>
    <t>Dir_repp-NCA</t>
  </si>
  <si>
    <t>Dir_repp-NMC111</t>
  </si>
  <si>
    <t>Dir_repp-NMC532</t>
  </si>
  <si>
    <t>Dir_repp-NMC622</t>
  </si>
  <si>
    <t>Dir_repp-NMC811</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</si>
  <si>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</si>
  <si>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</si>
  <si>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</si>
  <si>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</si>
  <si>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</si>
  <si>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</si>
  <si>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</si>
  <si>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</si>
  <si>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</si>
  <si>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</si>
  <si>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</si>
  <si>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Graphite</t>
  </si>
  <si>
    <t>Fe</t>
  </si>
  <si>
    <t>Pyro</t>
  </si>
  <si>
    <t>Hydro</t>
  </si>
  <si>
    <t>Direct</t>
  </si>
  <si>
    <t>Total material after recovery</t>
  </si>
  <si>
    <t>m_lithium, m_nickel, m_cobalt, m_manganese, m_aluminum, m_copper, m_graphite</t>
  </si>
  <si>
    <t>LFP </t>
  </si>
  <si>
    <t>LMO </t>
  </si>
  <si>
    <t>Recovery rate for Hydro recycling process</t>
  </si>
  <si>
    <t>NOT APPLIED</t>
  </si>
  <si>
    <t>NCAP_ICOM (ktonne/GWh) for new batteries: Tra_EV_Batt*</t>
  </si>
  <si>
    <t>Recovery rate for Direct recycling process</t>
  </si>
  <si>
    <t>mr_lithium, mr_nickel, mr_cobalt, mr_manganese, mr_aluminum, mr_copper, mr_graphite</t>
  </si>
  <si>
    <t>~FI_T:  NCAP_OCOM</t>
  </si>
  <si>
    <t>rep_Batt-LFP</t>
  </si>
  <si>
    <t>PyroRecy_Tra_EV_Batt-LFP</t>
  </si>
  <si>
    <t>rep_Batt-LMO</t>
  </si>
  <si>
    <t>PyroRecy_Tra_EV_Batt-LMO</t>
  </si>
  <si>
    <t>rep_Batt-NCA</t>
  </si>
  <si>
    <t>PyroRecy_Tra_EV_Batt-NCA</t>
  </si>
  <si>
    <t>rep_Batt-NMC 111</t>
  </si>
  <si>
    <t>PyroRecy_Tra_EV_Batt-NMC 111</t>
  </si>
  <si>
    <t>rep_Batt-NMC532</t>
  </si>
  <si>
    <t>PyroRecy_Tra_EV_Batt-NMC532</t>
  </si>
  <si>
    <t>rep_Batt-NMC 622</t>
  </si>
  <si>
    <t>PyroRecy_Tra_EV_Batt-NMC 622</t>
  </si>
  <si>
    <t>rep_Batt-NMC 811</t>
  </si>
  <si>
    <t>PyroRecy_Tra_EV_Batt-NMC 811</t>
  </si>
  <si>
    <t>HydRecy_Tra_EV_Batt-LFP</t>
  </si>
  <si>
    <t>HydRecy_Tra_EV_Batt-LMO</t>
  </si>
  <si>
    <t>HydRecy_Tra_EV_Batt-NCA</t>
  </si>
  <si>
    <t>HydRecy_Tra_EV_Batt-NMC 111</t>
  </si>
  <si>
    <t>HydRecy_Tra_EV_Batt-NMC532</t>
  </si>
  <si>
    <t>HydRecy_Tra_EV_Batt-NMC 622</t>
  </si>
  <si>
    <t>HydRecy_Tra_EV_Batt-NMC 811</t>
  </si>
  <si>
    <t>DirRecy_Tra_EV_Batt-LFP</t>
  </si>
  <si>
    <t>DirRecy_Tra_EV_Batt-LMO</t>
  </si>
  <si>
    <t>DirRecy_Tra_EV_Batt-NCA</t>
  </si>
  <si>
    <t>DirRecy_Tra_EV_Batt-NMC 111</t>
  </si>
  <si>
    <t>DirRecy_Tra_EV_Batt-NMC532</t>
  </si>
  <si>
    <t>DirRecy_Tra_EV_Batt-NMC 622</t>
  </si>
  <si>
    <t>DirRecy_Tra_EV_Batt-NMC 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</si>
  <si>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</si>
  <si>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</si>
  <si>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</si>
  <si>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</si>
  <si>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</si>
  <si>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</si>
  <si>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</si>
  <si>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</si>
  <si>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</si>
  <si>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</si>
  <si>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</si>
  <si>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</si>
  <si>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</si>
  <si>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</si>
  <si>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</si>
  <si>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</si>
  <si>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</si>
  <si>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</si>
  <si>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</si>
  <si>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</si>
  <si>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</si>
  <si>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</si>
  <si>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</si>
  <si>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</si>
  <si>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</si>
  <si>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</si>
  <si>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</si>
  <si>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</si>
  <si>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</si>
  <si>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</si>
  <si>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</si>
  <si>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</si>
  <si>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</si>
  <si>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</si>
  <si>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</si>
  <si>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</si>
  <si>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</si>
  <si>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</si>
  <si>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</si>
  <si>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</si>
  <si>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</si>
  <si>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</si>
  <si>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</si>
  <si>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</si>
  <si>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</si>
  <si>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</si>
  <si>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</si>
  <si>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</si>
  <si>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</si>
  <si>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</si>
  <si>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</si>
  <si>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</si>
  <si>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</si>
  <si>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</si>
  <si>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</si>
  <si>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</si>
  <si>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</si>
  <si>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</si>
  <si>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</si>
  <si>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</si>
  <si>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</si>
  <si>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</si>
  <si>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</si>
  <si>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</si>
  <si>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</si>
  <si>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</si>
  <si>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</si>
  <si>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</si>
  <si>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</si>
  <si>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</si>
  <si>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</si>
  <si>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</si>
  <si>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</si>
  <si>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</si>
  <si>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</si>
  <si>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</si>
  <si>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</si>
  <si>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</si>
  <si>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</si>
  <si>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</si>
  <si>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</si>
  <si>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</si>
  <si>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</si>
  <si>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</si>
  <si>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</si>
  <si>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</si>
  <si>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</si>
  <si>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</si>
  <si>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</si>
  <si>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</si>
  <si>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</si>
  <si>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</si>
  <si>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</si>
  <si>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</si>
  <si>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</si>
  <si>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</si>
  <si>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</si>
  <si>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</si>
  <si>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</si>
  <si>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</si>
  <si>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</si>
  <si>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</si>
  <si>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</si>
  <si>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</si>
  <si>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</si>
  <si>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</si>
  <si>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</si>
  <si>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</si>
  <si>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</si>
  <si>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</si>
  <si>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</si>
  <si>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</si>
  <si>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</si>
  <si>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</si>
  <si>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</si>
  <si>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</si>
  <si>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</si>
  <si>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</si>
  <si>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</si>
  <si>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</si>
  <si>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</si>
  <si>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</si>
  <si>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</si>
  <si>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</si>
  <si>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</si>
  <si>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</si>
  <si>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</si>
  <si>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</si>
  <si>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</si>
  <si>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</si>
  <si>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</si>
  <si>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</si>
  <si>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</si>
  <si>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</si>
  <si>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</si>
  <si>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</si>
  <si>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</si>
  <si>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</si>
  <si>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</si>
  <si>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</si>
  <si>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</si>
  <si>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</si>
  <si>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</si>
  <si>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</si>
  <si>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</si>
  <si>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</si>
  <si>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</si>
  <si>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</si>
  <si>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</si>
  <si>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</si>
  <si>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</si>
  <si>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</si>
  <si>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</si>
  <si>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</si>
  <si>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</si>
  <si>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</si>
  <si>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</si>
  <si>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</si>
  <si>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</si>
  <si>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</si>
  <si>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</si>
  <si>
    <t>INVCOST</t>
  </si>
  <si>
    <t>*NCAP_CLAG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</si>
</sst>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64" formatCode="_-* #,##0.00_-;\-* #,##0.00_-;_-* &quot;-&quot;??_-;_-@_-"/>
    <numFmt numFmtId="165" formatCode="_(* #,##0.00_);_(* \(#,##0.00\);_(* &quot;-&quot;??_);_(@_)"/>
    <numFmt numFmtId="166" formatCode="0.0"/>
    <numFmt numFmtId="167" formatCode="0.0%"/>
    <numFmt numFmtId="168" formatCode="0.00_);[Red]\(0.00\)"/>
    <numFmt numFmtId="169" formatCode="&quot;$&quot;#,##0.00"/>
    <numFmt numFmtId="170" formatCode="0.000"/>
    <numFmt numFmtId="171" formatCode="0.00000"/>
    <numFmt numFmtId="172" formatCode="0.0000"/>
    <numFmt numFmtId="173" formatCode="#,##0.000"/>
    <numFmt numFmtId="174" formatCode="mmmm\ yyyy"/>
  </numFmts>
  <fonts count="63">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sz val="10"/>
      <color rgb="FFFF0000"/>
      <name val="Arial"/>
      <charset val="134"/>
    </font>
    <font>
      <b/>
      <sz val="10"/>
      <name val="Arial"/>
      <charset val="134"/>
    </font>
    <font>
      <sz val="16"/>
      <color theme="1"/>
      <name val="Arial"/>
      <charset val="134"/>
    </font>
    <font>
      <sz val="10"/>
      <color rgb="FF000000"/>
      <name val="Calibri"/>
      <charset val="134"/>
      <scheme val="minor"/>
    </font>
    <font>
      <b/>
      <i/>
      <u/>
      <sz val="16"/>
      <color rgb="FF000000"/>
      <name val="Calibri"/>
      <charset val="134"/>
      <scheme val="minor"/>
    </font>
    <font>
      <sz val="10"/>
      <color theme="1"/>
      <name val="Arial"/>
      <charset val="134"/>
    </font>
    <font>
      <b/>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sz val="10.199999999999999"/>
      <color rgb="FF212529"/>
      <name val="Segoe UI"/>
      <charset val="134"/>
    </font>
    <font>
      <sz val="22"/>
      <color theme="5"/>
      <name val="Arial"/>
      <charset val="134"/>
    </font>
    <font>
      <b/>
      <i/>
      <u/>
      <sz val="16"/>
      <name val="Calibri"/>
      <charset val="134"/>
      <scheme val="minor"/>
    </font>
    <font>
      <b/>
      <sz val="18"/>
      <color theme="5"/>
      <name val="Arial"/>
      <charset val="134"/>
    </font>
    <font>
      <sz val="16"/>
      <color theme="5"/>
      <name val="Arial"/>
      <charset val="134"/>
    </font>
    <font>
      <b/>
      <sz val="18"/>
      <name val="Arial"/>
      <charset val="134"/>
    </font>
    <font>
      <b/>
      <i/>
      <sz val="10"/>
      <color theme="1"/>
      <name val="Arial"/>
      <charset val="134"/>
    </font>
    <font>
      <b/>
      <i/>
      <sz val="10"/>
      <name val="Calibri"/>
      <charset val="134"/>
      <scheme val="minor"/>
    </font>
    <font>
      <b/>
      <i/>
      <sz val="10"/>
      <color rgb="FF000000"/>
      <name val="Calibri"/>
      <charset val="134"/>
      <scheme val="minor"/>
    </font>
    <font>
      <b/>
      <sz val="16"/>
      <name val="Arial"/>
      <charset val="134"/>
    </font>
    <font>
      <sz val="10"/>
      <color theme="1"/>
      <name val="Calibri"/>
      <charset val="134"/>
      <scheme val="minor"/>
    </font>
    <font>
      <b/>
      <sz val="10"/>
      <color theme="1"/>
      <name val="Calibri"/>
      <charset val="134"/>
      <scheme val="minor"/>
    </font>
    <font>
      <sz val="8"/>
      <color rgb="FF000000"/>
      <name val="Segoe UI"/>
      <charset val="134"/>
    </font>
    <font>
      <sz val="8"/>
      <color rgb="FF3974D2"/>
      <name val="Segoe U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b/>
      <sz val="11"/>
      <color theme="5" tint="-0.24994659260841701"/>
      <name val="Calibri"/>
      <charset val="134"/>
      <scheme val="minor"/>
    </font>
    <font>
      <b/>
      <sz val="11"/>
      <color rgb="FFFA7D00"/>
      <name val="Calibri"/>
      <charset val="134"/>
      <scheme val="minor"/>
    </font>
    <font>
      <sz val="11"/>
      <color indexed="8"/>
      <name val="Calibri"/>
      <charset val="134"/>
    </font>
    <font>
      <u/>
      <sz val="11"/>
      <color theme="10"/>
      <name val="Calibri"/>
      <charset val="134"/>
    </font>
    <font>
      <sz val="10"/>
      <name val="Courier"/>
      <charset val="134"/>
    </font>
    <font>
      <b/>
      <sz val="9"/>
      <name val="Tahoma"/>
      <charset val="134"/>
    </font>
    <font>
      <sz val="9"/>
      <name val="Times New Roman"/>
      <charset val="134"/>
    </font>
    <font>
      <sz val="9"/>
      <name val="Tahoma"/>
      <charset val="134"/>
    </font>
    <font>
      <b/>
      <sz val="9"/>
      <name val="Times New Roman"/>
    </font>
    <font>
      <b/>
      <sz val="9"/>
      <name val="Times New Roman"/>
      <charset val="134"/>
    </font>
    <font>
      <sz val="9"/>
      <name val="Times New Roman"/>
    </font>
    <font>
      <sz val="11"/>
      <color theme="1"/>
      <name val="Calibri"/>
      <charset val="134"/>
      <scheme val="minor"/>
    </font>
  </fonts>
  <fills count="32">
    <fill>
      <patternFill patternType="none"/>
    </fill>
    <fill>
      <patternFill patternType="gray125"/>
    </fill>
    <fill>
      <patternFill patternType="solid">
        <fgColor theme="0" tint="-0.14990691854609822"/>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485"/>
        <bgColor indexed="64"/>
      </patternFill>
    </fill>
    <fill>
      <patternFill patternType="solid">
        <fgColor theme="7" tint="0.79989013336588644"/>
        <bgColor indexed="64"/>
      </patternFill>
    </fill>
    <fill>
      <patternFill patternType="solid">
        <fgColor theme="0" tint="-0.249977111117893"/>
        <bgColor indexed="64"/>
      </patternFill>
    </fill>
    <fill>
      <patternFill patternType="solid">
        <fgColor theme="9" tint="0.79989013336588644"/>
        <bgColor indexed="64"/>
      </patternFill>
    </fill>
    <fill>
      <patternFill patternType="solid">
        <fgColor rgb="FFFFCC99"/>
        <bgColor indexed="64"/>
      </patternFill>
    </fill>
    <fill>
      <patternFill patternType="solid">
        <fgColor rgb="FFFFFFFF"/>
        <bgColor indexed="64"/>
      </patternFill>
    </fill>
    <fill>
      <patternFill patternType="solid">
        <fgColor theme="4"/>
        <bgColor indexed="64"/>
      </patternFill>
    </fill>
    <fill>
      <patternFill patternType="solid">
        <fgColor theme="3" tint="0.59999389629810485"/>
        <bgColor indexed="64"/>
      </patternFill>
    </fill>
    <fill>
      <patternFill patternType="solid">
        <fgColor rgb="FFFF0000"/>
        <bgColor indexed="64"/>
      </patternFill>
    </fill>
    <fill>
      <patternFill patternType="solid">
        <fgColor rgb="FFC6EFCE"/>
        <bgColor indexed="64"/>
      </patternFill>
    </fill>
    <fill>
      <patternFill patternType="solid">
        <fgColor theme="0" tint="-4.9989318521683403E-2"/>
        <bgColor indexed="64"/>
      </patternFill>
    </fill>
    <fill>
      <patternFill patternType="solid">
        <fgColor theme="0" tint="-0.14996795556505021"/>
        <bgColor indexed="64"/>
      </patternFill>
    </fill>
    <fill>
      <patternFill patternType="solid">
        <fgColor theme="0" tint="-0.499984740745262"/>
        <bgColor indexed="64"/>
      </patternFill>
    </fill>
    <fill>
      <patternFill patternType="solid">
        <fgColor theme="0" tint="-0.249977111117893"/>
        <bgColor indexed="64"/>
      </patternFill>
    </fill>
    <fill>
      <patternFill patternType="solid">
        <fgColor theme="3" tint="0.79995117038483843"/>
        <bgColor indexed="64"/>
      </patternFill>
    </fill>
    <fill>
      <patternFill patternType="solid">
        <fgColor theme="1" tint="0.499984740745262"/>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s>
  <borders count="25">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88402966399123"/>
      </bottom>
      <diagonal/>
    </border>
    <border>
      <left style="thin">
        <color rgb="FFB2B2B2"/>
      </left>
      <right style="thin">
        <color rgb="FFB2B2B2"/>
      </right>
      <top style="thin">
        <color rgb="FFB2B2B2"/>
      </top>
      <bottom style="thin">
        <color rgb="FFB2B2B2"/>
      </bottom>
      <diagonal/>
    </border>
  </borders>
  <cellStyleXfs count="70">
    <xf numFmtId="0" fontId="0" fillId="0" borderId="0"/>
    <xf numFmtId="165" fontId="62" fillId="0" borderId="0" applyFont="0" applyFill="0" applyBorder="0" applyAlignment="0" applyProtection="0"/>
    <xf numFmtId="9" fontId="62" fillId="0" borderId="0" applyFont="0" applyFill="0" applyBorder="0" applyAlignment="0" applyProtection="0"/>
    <xf numFmtId="0" fontId="46" fillId="0" borderId="23" applyNumberFormat="0" applyFill="0" applyAlignment="0" applyProtection="0"/>
    <xf numFmtId="0" fontId="46" fillId="0" borderId="0" applyNumberFormat="0" applyFill="0" applyBorder="0" applyAlignment="0" applyProtection="0"/>
    <xf numFmtId="0" fontId="17" fillId="16" borderId="9" applyNumberFormat="0" applyAlignment="0" applyProtection="0"/>
    <xf numFmtId="0" fontId="18" fillId="21" borderId="0" applyNumberFormat="0" applyBorder="0" applyAlignment="0" applyProtection="0"/>
    <xf numFmtId="0" fontId="62" fillId="13" borderId="0" applyNumberFormat="0" applyBorder="0" applyAlignment="0" applyProtection="0"/>
    <xf numFmtId="0" fontId="62" fillId="12" borderId="0" applyNumberFormat="0" applyBorder="0" applyAlignment="0" applyProtection="0"/>
    <xf numFmtId="1" fontId="51" fillId="0" borderId="0" applyNumberFormat="0" applyAlignment="0" applyProtection="0">
      <alignment horizontal="center"/>
    </xf>
    <xf numFmtId="0" fontId="52" fillId="0" borderId="9" applyNumberFormat="0" applyFill="0" applyAlignment="0" applyProtection="0"/>
    <xf numFmtId="164" fontId="16" fillId="0" borderId="0" applyFont="0" applyFill="0" applyBorder="0" applyAlignment="0" applyProtection="0"/>
    <xf numFmtId="43" fontId="53" fillId="0" borderId="0" applyFont="0" applyFill="0" applyBorder="0" applyAlignment="0" applyProtection="0"/>
    <xf numFmtId="164" fontId="62" fillId="0" borderId="0" applyFont="0" applyFill="0" applyBorder="0" applyAlignment="0" applyProtection="0"/>
    <xf numFmtId="164" fontId="53" fillId="0" borderId="0" applyFont="0" applyFill="0" applyBorder="0" applyAlignment="0" applyProtection="0"/>
    <xf numFmtId="164" fontId="53" fillId="0" borderId="0" applyFont="0" applyFill="0" applyBorder="0" applyAlignment="0" applyProtection="0"/>
    <xf numFmtId="164" fontId="53" fillId="0" borderId="0" applyFont="0" applyFill="0" applyBorder="0" applyAlignment="0" applyProtection="0"/>
    <xf numFmtId="43" fontId="16" fillId="0" borderId="0" applyFont="0" applyFill="0" applyBorder="0" applyAlignment="0" applyProtection="0"/>
    <xf numFmtId="164" fontId="53" fillId="0" borderId="0" applyFont="0" applyFill="0" applyBorder="0" applyAlignment="0" applyProtection="0"/>
    <xf numFmtId="43" fontId="16" fillId="0" borderId="0" applyFont="0" applyFill="0" applyBorder="0" applyAlignment="0" applyProtection="0"/>
    <xf numFmtId="0" fontId="54" fillId="0" borderId="0" applyNumberFormat="0" applyFill="0" applyBorder="0" applyAlignment="0" applyProtection="0">
      <alignment vertical="top"/>
      <protection locked="0"/>
    </xf>
    <xf numFmtId="0" fontId="16" fillId="0" borderId="0"/>
    <xf numFmtId="0" fontId="62" fillId="0" borderId="0"/>
    <xf numFmtId="0" fontId="62" fillId="0" borderId="0"/>
    <xf numFmtId="0" fontId="62" fillId="0" borderId="0"/>
    <xf numFmtId="0" fontId="62" fillId="0" borderId="0"/>
    <xf numFmtId="0" fontId="62" fillId="0" borderId="0"/>
    <xf numFmtId="0" fontId="62" fillId="0" borderId="0"/>
    <xf numFmtId="0" fontId="62" fillId="0" borderId="0"/>
    <xf numFmtId="0" fontId="62" fillId="0" borderId="0"/>
    <xf numFmtId="0" fontId="62" fillId="0" borderId="0"/>
    <xf numFmtId="0" fontId="16" fillId="0" borderId="0"/>
    <xf numFmtId="0" fontId="16" fillId="0" borderId="0"/>
    <xf numFmtId="0" fontId="16" fillId="0" borderId="0"/>
    <xf numFmtId="0" fontId="16" fillId="0" borderId="0"/>
    <xf numFmtId="0" fontId="16" fillId="0" borderId="0"/>
    <xf numFmtId="0" fontId="62" fillId="0" borderId="0"/>
    <xf numFmtId="0" fontId="62" fillId="0" borderId="0"/>
    <xf numFmtId="0" fontId="16" fillId="0" borderId="0"/>
    <xf numFmtId="0" fontId="16" fillId="0" borderId="0"/>
    <xf numFmtId="0" fontId="62" fillId="0" borderId="0"/>
    <xf numFmtId="0" fontId="16" fillId="0" borderId="0"/>
    <xf numFmtId="0" fontId="16" fillId="0" borderId="0"/>
    <xf numFmtId="0" fontId="62" fillId="0" borderId="0"/>
    <xf numFmtId="0" fontId="62" fillId="0" borderId="0"/>
    <xf numFmtId="0" fontId="16" fillId="0" borderId="0"/>
    <xf numFmtId="0" fontId="16" fillId="0" borderId="0"/>
    <xf numFmtId="0" fontId="55" fillId="0" borderId="0"/>
    <xf numFmtId="0" fontId="16" fillId="31"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53" fillId="0" borderId="0" applyFont="0" applyFill="0" applyBorder="0" applyAlignment="0" applyProtection="0"/>
    <xf numFmtId="9" fontId="16" fillId="0" borderId="0" applyFont="0" applyFill="0" applyBorder="0" applyAlignment="0" applyProtection="0"/>
    <xf numFmtId="0" fontId="16" fillId="0" borderId="0"/>
  </cellStyleXfs>
  <cellXfs count="303">
    <xf numFmtId="0" fontId="0" fillId="0" borderId="0" xfId="0"/>
    <xf numFmtId="0" fontId="3" fillId="4" borderId="0" xfId="0" applyFont="1" applyFill="1" applyAlignment="1">
      <alignment horizontal="left" vertical="center"/>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66"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66"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66"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66"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66" fontId="6" fillId="11" borderId="0" xfId="0" applyNumberFormat="1" applyFont="1" applyFill="1" applyAlignment="1">
      <alignment vertical="center"/>
    </xf>
    <xf numFmtId="0" fontId="1" fillId="0" borderId="0" xfId="0" applyFont="1"/>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66" fontId="0" fillId="15" borderId="8" xfId="0" applyNumberFormat="1" applyFill="1" applyBorder="1"/>
    <xf numFmtId="0" fontId="10" fillId="16" borderId="9" xfId="5"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2" applyFont="1" applyBorder="1" applyAlignment="1">
      <alignment horizontal="center"/>
    </xf>
    <xf numFmtId="166" fontId="0" fillId="0" borderId="8" xfId="1" applyNumberFormat="1" applyFont="1" applyBorder="1" applyAlignment="1">
      <alignment horizontal="center" vertical="center"/>
    </xf>
    <xf numFmtId="9" fontId="0" fillId="0" borderId="0" xfId="2" applyFont="1" applyBorder="1" applyAlignment="1">
      <alignment horizontal="center"/>
    </xf>
    <xf numFmtId="166" fontId="0" fillId="0" borderId="0" xfId="1" applyNumberFormat="1" applyFont="1" applyBorder="1" applyAlignment="1">
      <alignment horizontal="center" vertical="center"/>
    </xf>
    <xf numFmtId="166" fontId="0" fillId="0" borderId="0" xfId="0" applyNumberFormat="1"/>
    <xf numFmtId="1" fontId="0" fillId="0" borderId="8" xfId="0" applyNumberFormat="1" applyBorder="1" applyAlignment="1">
      <alignment horizontal="center"/>
    </xf>
    <xf numFmtId="166" fontId="0" fillId="0" borderId="8" xfId="0" applyNumberFormat="1" applyBorder="1" applyAlignment="1">
      <alignment horizontal="center"/>
    </xf>
    <xf numFmtId="1" fontId="0" fillId="15" borderId="8" xfId="0" applyNumberFormat="1" applyFill="1" applyBorder="1"/>
    <xf numFmtId="166" fontId="0" fillId="0" borderId="8" xfId="2" applyNumberFormat="1" applyFont="1" applyBorder="1" applyAlignment="1">
      <alignment horizontal="center"/>
    </xf>
    <xf numFmtId="166" fontId="0" fillId="0" borderId="0" xfId="2" applyNumberFormat="1" applyFont="1" applyBorder="1" applyAlignment="1">
      <alignment horizontal="center"/>
    </xf>
    <xf numFmtId="2" fontId="0" fillId="15" borderId="8" xfId="0" applyNumberFormat="1" applyFill="1" applyBorder="1"/>
    <xf numFmtId="166" fontId="0" fillId="0" borderId="8" xfId="1" applyNumberFormat="1" applyFont="1" applyBorder="1" applyAlignment="1">
      <alignment horizontal="center"/>
    </xf>
    <xf numFmtId="9" fontId="0" fillId="0" borderId="0" xfId="0" applyNumberFormat="1"/>
    <xf numFmtId="2" fontId="0" fillId="0" borderId="0" xfId="0" applyNumberFormat="1"/>
    <xf numFmtId="1" fontId="0" fillId="0" borderId="8" xfId="2" applyNumberFormat="1" applyFont="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67" fontId="0" fillId="0" borderId="0" xfId="2"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166"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62" fillId="0" borderId="0" xfId="43"/>
    <xf numFmtId="0" fontId="12" fillId="0" borderId="0" xfId="43" applyFont="1"/>
    <xf numFmtId="0" fontId="13" fillId="0" borderId="8" xfId="43" applyFont="1" applyBorder="1" applyAlignment="1">
      <alignment horizontal="center"/>
    </xf>
    <xf numFmtId="0" fontId="14" fillId="17" borderId="8" xfId="43" applyFont="1" applyFill="1" applyBorder="1" applyAlignment="1">
      <alignment horizontal="center" vertical="top"/>
    </xf>
    <xf numFmtId="0" fontId="15" fillId="17" borderId="8" xfId="43" applyFont="1" applyFill="1" applyBorder="1" applyAlignment="1">
      <alignment horizontal="center" vertical="top"/>
    </xf>
    <xf numFmtId="0" fontId="13" fillId="0" borderId="8" xfId="43" applyFont="1" applyBorder="1"/>
    <xf numFmtId="9" fontId="15" fillId="17" borderId="8" xfId="43" applyNumberFormat="1" applyFont="1" applyFill="1" applyBorder="1" applyAlignment="1">
      <alignment horizontal="center" vertical="top"/>
    </xf>
    <xf numFmtId="0" fontId="15" fillId="17" borderId="0" xfId="43" applyFont="1" applyFill="1" applyAlignment="1">
      <alignment horizontal="center" vertical="top"/>
    </xf>
    <xf numFmtId="0" fontId="13" fillId="0" borderId="0" xfId="43" applyFont="1"/>
    <xf numFmtId="0" fontId="13" fillId="0" borderId="0" xfId="43" applyFont="1" applyAlignment="1">
      <alignment horizontal="center"/>
    </xf>
    <xf numFmtId="0" fontId="14" fillId="17" borderId="0" xfId="43" applyFont="1" applyFill="1" applyAlignment="1">
      <alignment horizontal="center" vertical="top"/>
    </xf>
    <xf numFmtId="0" fontId="15" fillId="17" borderId="8" xfId="43" applyFont="1" applyFill="1" applyBorder="1" applyAlignment="1">
      <alignment horizontal="center" vertical="center"/>
    </xf>
    <xf numFmtId="9" fontId="15" fillId="17" borderId="8" xfId="43" applyNumberFormat="1" applyFont="1" applyFill="1" applyBorder="1" applyAlignment="1">
      <alignment horizontal="center" vertical="center"/>
    </xf>
    <xf numFmtId="9" fontId="15" fillId="17" borderId="0" xfId="43" applyNumberFormat="1" applyFont="1" applyFill="1" applyAlignment="1">
      <alignment horizontal="center" vertical="top"/>
    </xf>
    <xf numFmtId="9" fontId="13" fillId="0" borderId="8" xfId="43" applyNumberFormat="1" applyFont="1" applyBorder="1" applyAlignment="1">
      <alignment horizontal="center" vertical="center"/>
    </xf>
    <xf numFmtId="0" fontId="13" fillId="0" borderId="0" xfId="43" applyFont="1" applyAlignment="1">
      <alignment wrapText="1"/>
    </xf>
    <xf numFmtId="0" fontId="62" fillId="0" borderId="0" xfId="43" applyAlignment="1">
      <alignment horizontal="left"/>
    </xf>
    <xf numFmtId="0" fontId="16" fillId="0" borderId="0" xfId="21"/>
    <xf numFmtId="0" fontId="0" fillId="0" borderId="0" xfId="21" applyFont="1" applyAlignment="1">
      <alignment horizontal="left"/>
    </xf>
    <xf numFmtId="0" fontId="16" fillId="0" borderId="0" xfId="21" applyAlignment="1">
      <alignment vertical="center"/>
    </xf>
    <xf numFmtId="0" fontId="0" fillId="18" borderId="0" xfId="21" applyFont="1" applyFill="1" applyAlignment="1">
      <alignment horizontal="left"/>
    </xf>
    <xf numFmtId="0" fontId="16" fillId="18" borderId="0" xfId="21" applyFill="1" applyAlignment="1">
      <alignment vertical="center"/>
    </xf>
    <xf numFmtId="0" fontId="0" fillId="0" borderId="0" xfId="21" applyFont="1" applyAlignment="1">
      <alignment vertical="center"/>
    </xf>
    <xf numFmtId="0" fontId="16" fillId="19" borderId="0" xfId="21" applyFill="1"/>
    <xf numFmtId="0" fontId="16" fillId="20" borderId="0" xfId="21" applyFill="1"/>
    <xf numFmtId="9" fontId="17" fillId="16" borderId="9" xfId="2" applyFont="1" applyFill="1" applyBorder="1"/>
    <xf numFmtId="0" fontId="18" fillId="21" borderId="0" xfId="6" applyAlignment="1">
      <alignment horizontal="right"/>
    </xf>
    <xf numFmtId="0" fontId="16" fillId="18" borderId="0" xfId="21" applyFill="1"/>
    <xf numFmtId="0" fontId="18" fillId="18" borderId="0" xfId="6" applyFill="1" applyAlignment="1">
      <alignment vertical="center"/>
    </xf>
    <xf numFmtId="0" fontId="0" fillId="22" borderId="0" xfId="21" applyFont="1" applyFill="1" applyAlignment="1">
      <alignment horizontal="left"/>
    </xf>
    <xf numFmtId="0" fontId="16" fillId="22" borderId="0" xfId="21" applyFill="1"/>
    <xf numFmtId="0" fontId="16" fillId="22" borderId="0" xfId="21" applyFill="1" applyAlignment="1">
      <alignment wrapText="1"/>
    </xf>
    <xf numFmtId="0" fontId="16" fillId="23" borderId="0" xfId="21" applyFill="1"/>
    <xf numFmtId="0" fontId="19" fillId="0" borderId="0" xfId="21" applyFont="1" applyAlignment="1">
      <alignment vertical="center"/>
    </xf>
    <xf numFmtId="0" fontId="16" fillId="0" borderId="0" xfId="0" applyFont="1"/>
    <xf numFmtId="0" fontId="20" fillId="0" borderId="0" xfId="0" applyFont="1"/>
    <xf numFmtId="0" fontId="8" fillId="0" borderId="0" xfId="0" applyFont="1" applyAlignment="1">
      <alignment horizontal="center" vertical="center"/>
    </xf>
    <xf numFmtId="0" fontId="0" fillId="0" borderId="0" xfId="0" applyAlignment="1">
      <alignment vertical="center"/>
    </xf>
    <xf numFmtId="0" fontId="16" fillId="24" borderId="0" xfId="21" applyFill="1"/>
    <xf numFmtId="0" fontId="0" fillId="25" borderId="0" xfId="21" applyFont="1" applyFill="1" applyAlignment="1">
      <alignment horizontal="left"/>
    </xf>
    <xf numFmtId="0" fontId="16" fillId="25" borderId="0" xfId="21" applyFill="1"/>
    <xf numFmtId="0" fontId="0" fillId="20" borderId="0" xfId="0" applyFill="1"/>
    <xf numFmtId="0" fontId="21" fillId="20" borderId="0" xfId="21" applyFont="1" applyFill="1"/>
    <xf numFmtId="0" fontId="16" fillId="20" borderId="8" xfId="21" applyFill="1" applyBorder="1"/>
    <xf numFmtId="0" fontId="8" fillId="23" borderId="0" xfId="0" applyFont="1" applyFill="1"/>
    <xf numFmtId="0" fontId="22" fillId="0" borderId="0" xfId="21" applyFont="1" applyAlignment="1">
      <alignment wrapText="1"/>
    </xf>
    <xf numFmtId="0" fontId="23" fillId="23" borderId="0" xfId="0" applyFont="1" applyFill="1"/>
    <xf numFmtId="0" fontId="25" fillId="23" borderId="8" xfId="0" applyFont="1" applyFill="1" applyBorder="1"/>
    <xf numFmtId="0" fontId="26" fillId="23" borderId="8" xfId="0" applyFont="1" applyFill="1" applyBorder="1"/>
    <xf numFmtId="0" fontId="26" fillId="23" borderId="0" xfId="0" applyFont="1" applyFill="1"/>
    <xf numFmtId="0" fontId="16" fillId="26" borderId="8" xfId="21" applyFill="1" applyBorder="1"/>
    <xf numFmtId="0" fontId="16" fillId="26" borderId="0" xfId="21" applyFill="1"/>
    <xf numFmtId="0" fontId="21" fillId="0" borderId="0" xfId="21" applyFont="1"/>
    <xf numFmtId="0" fontId="30" fillId="0" borderId="0" xfId="21" applyFont="1"/>
    <xf numFmtId="0" fontId="31" fillId="0" borderId="0" xfId="21" applyFont="1"/>
    <xf numFmtId="170" fontId="16" fillId="20" borderId="8" xfId="21" applyNumberFormat="1" applyFill="1" applyBorder="1"/>
    <xf numFmtId="2" fontId="16" fillId="20" borderId="8" xfId="21" applyNumberFormat="1" applyFill="1" applyBorder="1"/>
    <xf numFmtId="0" fontId="25" fillId="26" borderId="8" xfId="21" applyFont="1" applyFill="1" applyBorder="1"/>
    <xf numFmtId="0" fontId="32" fillId="0" borderId="0" xfId="0" applyFont="1"/>
    <xf numFmtId="0" fontId="33" fillId="0" borderId="0" xfId="21" applyFont="1"/>
    <xf numFmtId="2" fontId="23" fillId="23" borderId="8" xfId="0" applyNumberFormat="1" applyFont="1" applyFill="1" applyBorder="1"/>
    <xf numFmtId="2" fontId="28" fillId="23" borderId="8" xfId="0" applyNumberFormat="1" applyFont="1" applyFill="1" applyBorder="1"/>
    <xf numFmtId="0" fontId="21" fillId="23" borderId="0" xfId="21" applyFont="1" applyFill="1"/>
    <xf numFmtId="0" fontId="21" fillId="23" borderId="8" xfId="21" applyFont="1" applyFill="1" applyBorder="1"/>
    <xf numFmtId="0" fontId="0" fillId="26" borderId="0" xfId="21" applyFont="1" applyFill="1" applyAlignment="1">
      <alignment horizontal="left"/>
    </xf>
    <xf numFmtId="0" fontId="32" fillId="26" borderId="0" xfId="0" applyFont="1" applyFill="1"/>
    <xf numFmtId="0" fontId="16" fillId="26" borderId="7" xfId="21" applyFill="1" applyBorder="1"/>
    <xf numFmtId="0" fontId="35" fillId="0" borderId="0" xfId="21" applyFont="1"/>
    <xf numFmtId="0" fontId="16" fillId="27" borderId="0" xfId="21" applyFill="1"/>
    <xf numFmtId="0" fontId="21" fillId="27" borderId="0" xfId="21" applyFont="1" applyFill="1"/>
    <xf numFmtId="0" fontId="16" fillId="27" borderId="8" xfId="21" applyFill="1" applyBorder="1"/>
    <xf numFmtId="0" fontId="36" fillId="0" borderId="0" xfId="21" applyFont="1"/>
    <xf numFmtId="170" fontId="16" fillId="27" borderId="8" xfId="21" applyNumberFormat="1" applyFill="1" applyBorder="1"/>
    <xf numFmtId="0" fontId="36" fillId="0" borderId="0" xfId="21" applyFont="1" applyAlignment="1">
      <alignment wrapText="1"/>
    </xf>
    <xf numFmtId="0" fontId="37" fillId="0" borderId="0" xfId="21" applyFont="1"/>
    <xf numFmtId="0" fontId="16" fillId="27" borderId="7" xfId="21" applyFill="1" applyBorder="1"/>
    <xf numFmtId="0" fontId="20" fillId="0" borderId="0" xfId="21" applyFont="1"/>
    <xf numFmtId="0" fontId="38" fillId="23" borderId="0" xfId="0" applyFont="1" applyFill="1"/>
    <xf numFmtId="169" fontId="38" fillId="23" borderId="0" xfId="0" applyNumberFormat="1" applyFont="1" applyFill="1"/>
    <xf numFmtId="1" fontId="38" fillId="23" borderId="0" xfId="0" applyNumberFormat="1" applyFont="1" applyFill="1" applyAlignment="1">
      <alignment horizontal="right"/>
    </xf>
    <xf numFmtId="170" fontId="1" fillId="23" borderId="0" xfId="0" applyNumberFormat="1" applyFont="1" applyFill="1"/>
    <xf numFmtId="0" fontId="41" fillId="23" borderId="0" xfId="21" applyFont="1" applyFill="1"/>
    <xf numFmtId="0" fontId="23" fillId="0" borderId="0" xfId="0" applyFont="1"/>
    <xf numFmtId="0" fontId="24" fillId="0" borderId="0" xfId="0" applyFont="1"/>
    <xf numFmtId="0" fontId="40" fillId="0" borderId="0" xfId="0" applyFont="1"/>
    <xf numFmtId="0" fontId="38" fillId="0" borderId="0" xfId="0" applyFont="1"/>
    <xf numFmtId="169" fontId="38" fillId="0" borderId="0" xfId="0" applyNumberFormat="1" applyFont="1"/>
    <xf numFmtId="170" fontId="40" fillId="0" borderId="0" xfId="0" applyNumberFormat="1" applyFont="1"/>
    <xf numFmtId="0" fontId="34" fillId="0" borderId="0" xfId="21" applyFont="1"/>
    <xf numFmtId="169" fontId="38" fillId="26" borderId="1" xfId="0" applyNumberFormat="1" applyFont="1" applyFill="1" applyBorder="1"/>
    <xf numFmtId="0" fontId="38" fillId="26" borderId="8" xfId="0" applyFont="1" applyFill="1" applyBorder="1"/>
    <xf numFmtId="0" fontId="0" fillId="26" borderId="8" xfId="21" applyFont="1" applyFill="1" applyBorder="1" applyAlignment="1">
      <alignment horizontal="left"/>
    </xf>
    <xf numFmtId="0" fontId="38" fillId="26" borderId="1" xfId="0" applyFont="1" applyFill="1" applyBorder="1"/>
    <xf numFmtId="0" fontId="16" fillId="26" borderId="1" xfId="21" applyFill="1" applyBorder="1"/>
    <xf numFmtId="170" fontId="16" fillId="0" borderId="0" xfId="21" applyNumberFormat="1"/>
    <xf numFmtId="0" fontId="42" fillId="23" borderId="21" xfId="0" applyFont="1" applyFill="1" applyBorder="1"/>
    <xf numFmtId="0" fontId="43" fillId="23" borderId="22" xfId="0" applyFont="1" applyFill="1" applyBorder="1"/>
    <xf numFmtId="0" fontId="16" fillId="14" borderId="0" xfId="21" applyFill="1"/>
    <xf numFmtId="0" fontId="24" fillId="23" borderId="0" xfId="0" applyFont="1" applyFill="1"/>
    <xf numFmtId="0" fontId="25" fillId="26" borderId="7" xfId="21" applyFont="1" applyFill="1" applyBorder="1"/>
    <xf numFmtId="0" fontId="25" fillId="0" borderId="0" xfId="21" applyFont="1"/>
    <xf numFmtId="0" fontId="25" fillId="26" borderId="0" xfId="21" applyFont="1" applyFill="1"/>
    <xf numFmtId="0" fontId="16" fillId="23" borderId="8" xfId="21" applyFill="1" applyBorder="1"/>
    <xf numFmtId="0" fontId="20" fillId="23" borderId="8" xfId="21" applyFont="1" applyFill="1" applyBorder="1"/>
    <xf numFmtId="0" fontId="44" fillId="0" borderId="0" xfId="0" applyFont="1" applyAlignment="1">
      <alignment horizontal="right" vertical="top" wrapText="1"/>
    </xf>
    <xf numFmtId="0" fontId="45" fillId="0" borderId="0" xfId="0" applyFont="1" applyAlignment="1">
      <alignment horizontal="center" wrapText="1"/>
    </xf>
    <xf numFmtId="0" fontId="44" fillId="0" borderId="0" xfId="0" applyFont="1" applyAlignment="1">
      <alignment horizontal="center" wrapText="1"/>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8" applyFont="1" applyBorder="1" applyAlignment="1">
      <alignment vertical="center"/>
    </xf>
    <xf numFmtId="0" fontId="7" fillId="12" borderId="2" xfId="8" applyFont="1" applyBorder="1" applyAlignment="1">
      <alignment vertical="center"/>
    </xf>
    <xf numFmtId="0" fontId="7" fillId="12" borderId="3" xfId="8" applyFont="1" applyBorder="1" applyAlignment="1">
      <alignment vertical="center"/>
    </xf>
    <xf numFmtId="0" fontId="8" fillId="14" borderId="7" xfId="0" applyFont="1" applyFill="1" applyBorder="1"/>
    <xf numFmtId="2" fontId="8" fillId="0" borderId="0" xfId="0" applyNumberFormat="1" applyFont="1"/>
    <xf numFmtId="0" fontId="10" fillId="16" borderId="9" xfId="5" applyFont="1" applyAlignment="1">
      <alignment vertical="center"/>
    </xf>
    <xf numFmtId="0" fontId="18" fillId="21" borderId="0" xfId="6"/>
    <xf numFmtId="170" fontId="18" fillId="21" borderId="0" xfId="6" applyNumberFormat="1"/>
    <xf numFmtId="171" fontId="8" fillId="0" borderId="0" xfId="0" applyNumberFormat="1" applyFont="1"/>
    <xf numFmtId="0" fontId="46" fillId="0" borderId="23" xfId="3"/>
    <xf numFmtId="172" fontId="0" fillId="0" borderId="0" xfId="0" applyNumberFormat="1"/>
    <xf numFmtId="1" fontId="0" fillId="0" borderId="0" xfId="0" applyNumberFormat="1"/>
    <xf numFmtId="172" fontId="8" fillId="0" borderId="0" xfId="0" applyNumberFormat="1" applyFont="1"/>
    <xf numFmtId="0" fontId="46" fillId="0" borderId="0" xfId="4"/>
    <xf numFmtId="0" fontId="62" fillId="0" borderId="0" xfId="40"/>
    <xf numFmtId="172" fontId="8" fillId="28" borderId="0" xfId="0" applyNumberFormat="1" applyFont="1" applyFill="1"/>
    <xf numFmtId="0" fontId="8" fillId="0" borderId="0" xfId="0" applyFont="1" applyAlignment="1">
      <alignment horizontal="right"/>
    </xf>
    <xf numFmtId="2" fontId="0" fillId="28"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5" applyFont="1" applyAlignment="1">
      <alignment vertical="center" wrapText="1"/>
    </xf>
    <xf numFmtId="173" fontId="18" fillId="21" borderId="0" xfId="6" applyNumberFormat="1"/>
    <xf numFmtId="1" fontId="0" fillId="29" borderId="8" xfId="1" applyNumberFormat="1" applyFont="1" applyFill="1" applyBorder="1" applyAlignment="1">
      <alignment horizontal="center"/>
    </xf>
    <xf numFmtId="0" fontId="0" fillId="29" borderId="0" xfId="0" applyFill="1"/>
    <xf numFmtId="170"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8" applyFont="1" applyBorder="1" applyAlignment="1">
      <alignment vertical="center"/>
    </xf>
    <xf numFmtId="0" fontId="9" fillId="30" borderId="0" xfId="0" applyFont="1" applyFill="1"/>
    <xf numFmtId="0" fontId="8" fillId="30" borderId="0" xfId="0" applyFont="1" applyFill="1"/>
    <xf numFmtId="1" fontId="0" fillId="30" borderId="0" xfId="0" applyNumberFormat="1" applyFill="1"/>
    <xf numFmtId="0" fontId="10" fillId="16" borderId="17" xfId="5" applyFont="1" applyBorder="1" applyAlignment="1">
      <alignment vertical="center" wrapText="1"/>
    </xf>
    <xf numFmtId="0" fontId="10" fillId="16" borderId="10" xfId="5" applyFont="1" applyBorder="1" applyAlignment="1">
      <alignment vertical="center"/>
    </xf>
    <xf numFmtId="0" fontId="10" fillId="16" borderId="11" xfId="5" applyFont="1" applyBorder="1" applyAlignment="1">
      <alignment vertical="center" wrapText="1"/>
    </xf>
    <xf numFmtId="0" fontId="10" fillId="16" borderId="12" xfId="5" applyFont="1" applyBorder="1" applyAlignment="1">
      <alignment vertical="center" wrapText="1"/>
    </xf>
    <xf numFmtId="0" fontId="10" fillId="16" borderId="18" xfId="5" applyFont="1" applyBorder="1" applyAlignment="1">
      <alignment vertical="center" wrapText="1"/>
    </xf>
    <xf numFmtId="0" fontId="10" fillId="16" borderId="13" xfId="5" applyFont="1" applyBorder="1" applyAlignment="1">
      <alignment vertical="center" wrapText="1"/>
    </xf>
    <xf numFmtId="0" fontId="10" fillId="16" borderId="0" xfId="5" applyFont="1" applyBorder="1" applyAlignment="1">
      <alignment vertical="center" wrapText="1"/>
    </xf>
    <xf numFmtId="0" fontId="10" fillId="16" borderId="14" xfId="5" applyFont="1" applyBorder="1" applyAlignment="1">
      <alignment vertical="center" wrapText="1"/>
    </xf>
    <xf numFmtId="0" fontId="10" fillId="16" borderId="19" xfId="5" applyFont="1" applyBorder="1" applyAlignment="1">
      <alignment vertical="center" wrapText="1"/>
    </xf>
    <xf numFmtId="0" fontId="10" fillId="16" borderId="15" xfId="5" applyFont="1" applyBorder="1" applyAlignment="1">
      <alignment vertical="center" wrapText="1"/>
    </xf>
    <xf numFmtId="0" fontId="10" fillId="16" borderId="6" xfId="5" applyFont="1" applyBorder="1" applyAlignment="1">
      <alignment vertical="center" wrapText="1"/>
    </xf>
    <xf numFmtId="0" fontId="10" fillId="16" borderId="16" xfId="5" applyFont="1" applyBorder="1" applyAlignment="1">
      <alignment vertical="center" wrapText="1"/>
    </xf>
    <xf numFmtId="2" fontId="8" fillId="28"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67"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67" fontId="8" fillId="0" borderId="8" xfId="0" applyNumberFormat="1" applyFont="1" applyBorder="1" applyAlignment="1">
      <alignment horizontal="center"/>
    </xf>
    <xf numFmtId="170" fontId="8" fillId="0" borderId="0" xfId="0" applyNumberFormat="1" applyFont="1"/>
    <xf numFmtId="0" fontId="47" fillId="0" borderId="0" xfId="0" applyFont="1"/>
    <xf numFmtId="0" fontId="10" fillId="16" borderId="11" xfId="5" applyFont="1" applyBorder="1" applyAlignment="1">
      <alignment vertical="center"/>
    </xf>
    <xf numFmtId="0" fontId="10" fillId="16" borderId="12" xfId="5" applyFont="1" applyBorder="1" applyAlignment="1">
      <alignment vertical="center"/>
    </xf>
    <xf numFmtId="0" fontId="10" fillId="16" borderId="13" xfId="5" applyFont="1" applyBorder="1" applyAlignment="1">
      <alignment vertical="center"/>
    </xf>
    <xf numFmtId="0" fontId="10" fillId="16" borderId="0" xfId="5" applyFont="1" applyBorder="1" applyAlignment="1">
      <alignment vertical="center"/>
    </xf>
    <xf numFmtId="0" fontId="10" fillId="16" borderId="14" xfId="5" applyFont="1" applyBorder="1" applyAlignment="1">
      <alignment vertical="center"/>
    </xf>
    <xf numFmtId="0" fontId="10" fillId="16" borderId="15" xfId="5" applyFont="1" applyBorder="1" applyAlignment="1">
      <alignment vertical="center"/>
    </xf>
    <xf numFmtId="0" fontId="10" fillId="16" borderId="6" xfId="5" applyFont="1" applyBorder="1" applyAlignment="1">
      <alignment vertical="center"/>
    </xf>
    <xf numFmtId="0" fontId="10" fillId="16" borderId="16" xfId="5" applyFont="1" applyBorder="1" applyAlignment="1">
      <alignment vertical="center"/>
    </xf>
    <xf numFmtId="0" fontId="48" fillId="0" borderId="0" xfId="0" applyFont="1"/>
    <xf numFmtId="0" fontId="49" fillId="0" borderId="0" xfId="0" applyFont="1" applyAlignment="1">
      <alignment horizontal="left" vertical="center" wrapText="1"/>
    </xf>
    <xf numFmtId="0" fontId="49" fillId="0" borderId="0" xfId="0" applyFont="1" applyAlignment="1">
      <alignment vertical="center" wrapText="1"/>
    </xf>
    <xf numFmtId="174" fontId="8" fillId="0" borderId="0" xfId="0" applyNumberFormat="1" applyFont="1" applyAlignment="1">
      <alignment horizontal="left"/>
    </xf>
    <xf numFmtId="0" fontId="1" fillId="0" borderId="0" xfId="0" applyFont="1" applyAlignment="1">
      <alignment wrapText="1"/>
    </xf>
    <xf numFmtId="0" fontId="50" fillId="0" borderId="0" xfId="0" applyFont="1"/>
    <xf numFmtId="0" fontId="16" fillId="29" borderId="0" xfId="21" applyFill="1"/>
    <xf numFmtId="0" fontId="21" fillId="29" borderId="0" xfId="21" applyFont="1" applyFill="1"/>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8" fillId="14" borderId="7" xfId="0" applyFont="1" applyFill="1" applyBorder="1" applyAlignment="1">
      <alignment horizontal="center"/>
    </xf>
    <xf numFmtId="0" fontId="10" fillId="16" borderId="17" xfId="5" applyFont="1" applyBorder="1" applyAlignment="1">
      <alignment horizontal="center" vertical="center" wrapText="1"/>
    </xf>
    <xf numFmtId="0" fontId="10" fillId="16" borderId="18" xfId="5" applyFont="1" applyBorder="1" applyAlignment="1">
      <alignment horizontal="center" vertical="center" wrapText="1"/>
    </xf>
    <xf numFmtId="0" fontId="10" fillId="16" borderId="19" xfId="5" applyFont="1" applyBorder="1" applyAlignment="1">
      <alignment horizontal="center" vertical="center" wrapText="1"/>
    </xf>
    <xf numFmtId="0" fontId="10" fillId="16" borderId="9" xfId="5" applyFont="1" applyAlignment="1">
      <alignment horizontal="center" vertical="center" wrapText="1"/>
    </xf>
    <xf numFmtId="0" fontId="10" fillId="16" borderId="10" xfId="5" applyFont="1" applyBorder="1" applyAlignment="1">
      <alignment horizontal="center" vertical="center" wrapText="1"/>
    </xf>
    <xf numFmtId="0" fontId="10" fillId="16" borderId="11" xfId="5" applyFont="1" applyBorder="1" applyAlignment="1">
      <alignment horizontal="center" vertical="center" wrapText="1"/>
    </xf>
    <xf numFmtId="0" fontId="10" fillId="16" borderId="12" xfId="5" applyFont="1" applyBorder="1" applyAlignment="1">
      <alignment horizontal="center" vertical="center" wrapText="1"/>
    </xf>
    <xf numFmtId="0" fontId="10" fillId="16" borderId="13" xfId="5" applyFont="1" applyBorder="1" applyAlignment="1">
      <alignment horizontal="center" vertical="center" wrapText="1"/>
    </xf>
    <xf numFmtId="0" fontId="10" fillId="16" borderId="0" xfId="5" applyFont="1" applyBorder="1" applyAlignment="1">
      <alignment horizontal="center" vertical="center" wrapText="1"/>
    </xf>
    <xf numFmtId="0" fontId="10" fillId="16" borderId="14" xfId="5" applyFont="1" applyBorder="1" applyAlignment="1">
      <alignment horizontal="center" vertical="center" wrapText="1"/>
    </xf>
    <xf numFmtId="0" fontId="10" fillId="16" borderId="15" xfId="5" applyFont="1" applyBorder="1" applyAlignment="1">
      <alignment horizontal="center" vertical="center" wrapText="1"/>
    </xf>
    <xf numFmtId="0" fontId="10" fillId="16" borderId="6" xfId="5" applyFont="1" applyBorder="1" applyAlignment="1">
      <alignment horizontal="center" vertical="center" wrapText="1"/>
    </xf>
    <xf numFmtId="0" fontId="10" fillId="16" borderId="16" xfId="5" applyFont="1" applyBorder="1" applyAlignment="1">
      <alignment horizontal="center" vertical="center" wrapText="1"/>
    </xf>
    <xf numFmtId="0" fontId="16" fillId="0" borderId="0" xfId="21" applyAlignment="1">
      <alignment horizontal="center" wrapText="1"/>
    </xf>
    <xf numFmtId="0" fontId="24" fillId="23" borderId="0" xfId="0" applyFont="1" applyFill="1" applyAlignment="1">
      <alignment horizontal="center"/>
    </xf>
    <xf numFmtId="169" fontId="25" fillId="23" borderId="8" xfId="0" applyNumberFormat="1" applyFont="1" applyFill="1" applyBorder="1"/>
    <xf numFmtId="0" fontId="23" fillId="23" borderId="8" xfId="0" applyFont="1" applyFill="1" applyBorder="1"/>
    <xf numFmtId="0" fontId="27" fillId="23" borderId="8" xfId="0" applyFont="1" applyFill="1" applyBorder="1"/>
    <xf numFmtId="169" fontId="26" fillId="23" borderId="8" xfId="0" applyNumberFormat="1" applyFont="1" applyFill="1" applyBorder="1"/>
    <xf numFmtId="0" fontId="28" fillId="23" borderId="8" xfId="0" applyFont="1" applyFill="1" applyBorder="1"/>
    <xf numFmtId="0" fontId="29" fillId="23" borderId="8" xfId="0" applyFont="1" applyFill="1" applyBorder="1"/>
    <xf numFmtId="0" fontId="34" fillId="23" borderId="0" xfId="21" applyFont="1" applyFill="1" applyAlignment="1">
      <alignment horizontal="center"/>
    </xf>
    <xf numFmtId="0" fontId="38" fillId="23" borderId="0" xfId="0" applyFont="1" applyFill="1"/>
    <xf numFmtId="0" fontId="39" fillId="23" borderId="0" xfId="0" applyFont="1" applyFill="1"/>
    <xf numFmtId="169" fontId="38" fillId="23" borderId="0" xfId="0" applyNumberFormat="1" applyFont="1" applyFill="1"/>
    <xf numFmtId="0" fontId="40" fillId="23" borderId="0" xfId="0" applyFont="1" applyFill="1"/>
    <xf numFmtId="0" fontId="13" fillId="0" borderId="8" xfId="43" applyFont="1" applyBorder="1" applyAlignment="1">
      <alignment horizontal="center"/>
    </xf>
    <xf numFmtId="168" fontId="13" fillId="0" borderId="1" xfId="43" applyNumberFormat="1" applyFont="1" applyBorder="1" applyAlignment="1">
      <alignment horizontal="center"/>
    </xf>
    <xf numFmtId="168" fontId="13" fillId="0" borderId="2" xfId="43" applyNumberFormat="1" applyFont="1" applyBorder="1" applyAlignment="1">
      <alignment horizontal="center"/>
    </xf>
    <xf numFmtId="168" fontId="13" fillId="0" borderId="3" xfId="43" applyNumberFormat="1" applyFont="1" applyBorder="1" applyAlignment="1">
      <alignment horizontal="center"/>
    </xf>
    <xf numFmtId="0" fontId="13" fillId="0" borderId="0" xfId="43" applyFont="1" applyAlignment="1">
      <alignment horizontal="left" wrapText="1"/>
    </xf>
    <xf numFmtId="0" fontId="15" fillId="17" borderId="0" xfId="43" applyFont="1" applyFill="1" applyAlignment="1">
      <alignment vertical="top" wrapText="1"/>
    </xf>
    <xf numFmtId="0" fontId="15" fillId="17" borderId="0" xfId="43" applyFont="1" applyFill="1" applyAlignment="1">
      <alignment vertical="top"/>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7" fillId="12" borderId="1" xfId="8" applyFont="1" applyBorder="1" applyAlignment="1">
      <alignment horizontal="center" vertical="center"/>
    </xf>
    <xf numFmtId="0" fontId="7" fillId="12" borderId="2" xfId="8" applyFont="1" applyBorder="1" applyAlignment="1">
      <alignment horizontal="center" vertical="center"/>
    </xf>
    <xf numFmtId="0" fontId="7" fillId="12" borderId="3" xfId="8" applyFont="1" applyBorder="1" applyAlignment="1">
      <alignment horizontal="center"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0" fontId="11" fillId="0" borderId="0" xfId="0" applyFont="1" applyAlignment="1">
      <alignment horizontal="center" vertical="center" wrapText="1"/>
    </xf>
    <xf numFmtId="0" fontId="8" fillId="14" borderId="8" xfId="0" applyFont="1" applyFill="1" applyBorder="1" applyAlignment="1">
      <alignment horizontal="center"/>
    </xf>
    <xf numFmtId="0" fontId="62" fillId="13" borderId="1" xfId="7" applyBorder="1" applyAlignment="1">
      <alignment horizontal="center" vertical="center"/>
    </xf>
    <xf numFmtId="0" fontId="62" fillId="13" borderId="2" xfId="7" applyBorder="1" applyAlignment="1">
      <alignment horizontal="center" vertical="center"/>
    </xf>
    <xf numFmtId="0" fontId="62" fillId="13" borderId="3" xfId="7" applyBorder="1" applyAlignment="1">
      <alignment horizontal="center" vertical="center"/>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center" vertical="center" wrapText="1"/>
    </xf>
  </cellXfs>
  <cellStyles count="70">
    <cellStyle name="20% - Accent4" xfId="7" builtinId="42"/>
    <cellStyle name="40% - Accent5" xfId="8" builtinId="47"/>
    <cellStyle name="calculated" xfId="9" xr:uid="{00000000-0005-0000-0000-000031000000}"/>
    <cellStyle name="Calculation 2" xfId="10" xr:uid="{00000000-0005-0000-0000-000032000000}"/>
    <cellStyle name="Comma" xfId="1" builtinId="3"/>
    <cellStyle name="Comma 10" xfId="11" xr:uid="{00000000-0005-0000-0000-000033000000}"/>
    <cellStyle name="Comma 11" xfId="12" xr:uid="{00000000-0005-0000-0000-000034000000}"/>
    <cellStyle name="Comma 2" xfId="13" xr:uid="{00000000-0005-0000-0000-000035000000}"/>
    <cellStyle name="Comma 2 2" xfId="14" xr:uid="{00000000-0005-0000-0000-000036000000}"/>
    <cellStyle name="Comma 2 3" xfId="15" xr:uid="{00000000-0005-0000-0000-000037000000}"/>
    <cellStyle name="Comma 2 4" xfId="16" xr:uid="{00000000-0005-0000-0000-000038000000}"/>
    <cellStyle name="Comma 2 5" xfId="17" xr:uid="{00000000-0005-0000-0000-000039000000}"/>
    <cellStyle name="Comma 2 6" xfId="18" xr:uid="{00000000-0005-0000-0000-00003A000000}"/>
    <cellStyle name="Comma 3" xfId="19" xr:uid="{00000000-0005-0000-0000-00003B000000}"/>
    <cellStyle name="Good" xfId="6" builtinId="26"/>
    <cellStyle name="Heading 3" xfId="3" builtinId="18"/>
    <cellStyle name="Heading 4" xfId="4" builtinId="19"/>
    <cellStyle name="Hyperlink 3" xfId="20" xr:uid="{00000000-0005-0000-0000-00003C000000}"/>
    <cellStyle name="Input" xfId="5" builtinId="20"/>
    <cellStyle name="Normal" xfId="0" builtinId="0"/>
    <cellStyle name="Normal 10" xfId="21" xr:uid="{00000000-0005-0000-0000-00003D000000}"/>
    <cellStyle name="Normal 11" xfId="22" xr:uid="{00000000-0005-0000-0000-00003E000000}"/>
    <cellStyle name="Normal 11 2" xfId="23" xr:uid="{00000000-0005-0000-0000-00003F000000}"/>
    <cellStyle name="Normal 11 3" xfId="24" xr:uid="{00000000-0005-0000-0000-000040000000}"/>
    <cellStyle name="Normal 11 4" xfId="25" xr:uid="{00000000-0005-0000-0000-000041000000}"/>
    <cellStyle name="Normal 12" xfId="26" xr:uid="{00000000-0005-0000-0000-000042000000}"/>
    <cellStyle name="Normal 12 2" xfId="27" xr:uid="{00000000-0005-0000-0000-000043000000}"/>
    <cellStyle name="Normal 12 3" xfId="28" xr:uid="{00000000-0005-0000-0000-000044000000}"/>
    <cellStyle name="Normal 12 4" xfId="29" xr:uid="{00000000-0005-0000-0000-000045000000}"/>
    <cellStyle name="Normal 2" xfId="30" xr:uid="{00000000-0005-0000-0000-000046000000}"/>
    <cellStyle name="Normal 2 2" xfId="31" xr:uid="{00000000-0005-0000-0000-000047000000}"/>
    <cellStyle name="Normal 2 3" xfId="32" xr:uid="{00000000-0005-0000-0000-000048000000}"/>
    <cellStyle name="Normal 2 4" xfId="33" xr:uid="{00000000-0005-0000-0000-000049000000}"/>
    <cellStyle name="Normal 2 5" xfId="34" xr:uid="{00000000-0005-0000-0000-00004A000000}"/>
    <cellStyle name="Normal 3" xfId="35" xr:uid="{00000000-0005-0000-0000-00004B000000}"/>
    <cellStyle name="Normal 39" xfId="36" xr:uid="{00000000-0005-0000-0000-00004C000000}"/>
    <cellStyle name="Normal 4" xfId="37" xr:uid="{00000000-0005-0000-0000-00004D000000}"/>
    <cellStyle name="Normal 4 2" xfId="38" xr:uid="{00000000-0005-0000-0000-00004E000000}"/>
    <cellStyle name="Normal 4 3" xfId="39" xr:uid="{00000000-0005-0000-0000-00004F000000}"/>
    <cellStyle name="Normal 5" xfId="40" xr:uid="{00000000-0005-0000-0000-000050000000}"/>
    <cellStyle name="Normal 5 2" xfId="41" xr:uid="{00000000-0005-0000-0000-000051000000}"/>
    <cellStyle name="Normal 6" xfId="42" xr:uid="{00000000-0005-0000-0000-000052000000}"/>
    <cellStyle name="Normal 7" xfId="43" xr:uid="{00000000-0005-0000-0000-000053000000}"/>
    <cellStyle name="Normal 8" xfId="44" xr:uid="{00000000-0005-0000-0000-000054000000}"/>
    <cellStyle name="Normal 9" xfId="45" xr:uid="{00000000-0005-0000-0000-000055000000}"/>
    <cellStyle name="Normal 9 2" xfId="46" xr:uid="{00000000-0005-0000-0000-000056000000}"/>
    <cellStyle name="Normale_B2020" xfId="47" xr:uid="{00000000-0005-0000-0000-000057000000}"/>
    <cellStyle name="Note 2" xfId="48" xr:uid="{00000000-0005-0000-0000-000058000000}"/>
    <cellStyle name="Percent" xfId="2" builtinId="5"/>
    <cellStyle name="Percent 2" xfId="49" xr:uid="{00000000-0005-0000-0000-000059000000}"/>
    <cellStyle name="Percent 2 2" xfId="50" xr:uid="{00000000-0005-0000-0000-00005A000000}"/>
    <cellStyle name="Percent 2 2 2" xfId="51" xr:uid="{00000000-0005-0000-0000-00005B000000}"/>
    <cellStyle name="Percent 2 3" xfId="52" xr:uid="{00000000-0005-0000-0000-00005C000000}"/>
    <cellStyle name="Percent 3" xfId="53" xr:uid="{00000000-0005-0000-0000-00005D000000}"/>
    <cellStyle name="Percent 3 2" xfId="54" xr:uid="{00000000-0005-0000-0000-00005E000000}"/>
    <cellStyle name="Percent 3 2 2" xfId="55" xr:uid="{00000000-0005-0000-0000-00005F000000}"/>
    <cellStyle name="Percent 3 3" xfId="56" xr:uid="{00000000-0005-0000-0000-000060000000}"/>
    <cellStyle name="Percent 3 4" xfId="57" xr:uid="{00000000-0005-0000-0000-000061000000}"/>
    <cellStyle name="Percent 4" xfId="58" xr:uid="{00000000-0005-0000-0000-000062000000}"/>
    <cellStyle name="Percent 4 2" xfId="59" xr:uid="{00000000-0005-0000-0000-000063000000}"/>
    <cellStyle name="Percent 4 3" xfId="60" xr:uid="{00000000-0005-0000-0000-000064000000}"/>
    <cellStyle name="Percent 4 4" xfId="61" xr:uid="{00000000-0005-0000-0000-000065000000}"/>
    <cellStyle name="Percent 5" xfId="62" xr:uid="{00000000-0005-0000-0000-000066000000}"/>
    <cellStyle name="Percent 5 2" xfId="63" xr:uid="{00000000-0005-0000-0000-000067000000}"/>
    <cellStyle name="Percent 6" xfId="64" xr:uid="{00000000-0005-0000-0000-000068000000}"/>
    <cellStyle name="Percent 6 2" xfId="65" xr:uid="{00000000-0005-0000-0000-000069000000}"/>
    <cellStyle name="Percent 7" xfId="66" xr:uid="{00000000-0005-0000-0000-00006A000000}"/>
    <cellStyle name="Percent 8" xfId="67" xr:uid="{00000000-0005-0000-0000-00006B000000}"/>
    <cellStyle name="Percent 9" xfId="68" xr:uid="{00000000-0005-0000-0000-00006C000000}"/>
    <cellStyle name="Standard_Sce_D_Extraction" xfId="69" xr:uid="{00000000-0005-0000-0000-00006D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-70.605945515136099</c:v>
              </c:pt>
              <c:pt idx="1">
                <c:v>259.65152096948401</c:v>
              </c:pt>
              <c:pt idx="2">
                <c:v>1118.2936011571001</c:v>
              </c:pt>
              <c:pt idx="3">
                <c:v>3044.7183059372001</c:v>
              </c:pt>
              <c:pt idx="4">
                <c:v>5350.7289058012202</c:v>
              </c:pt>
              <c:pt idx="5">
                <c:v>11682.0087291645</c:v>
              </c:pt>
              <c:pt idx="6">
                <c:v>65987.116411320894</c:v>
              </c:pt>
              <c:pt idx="7">
                <c:v>99863.819308625403</c:v>
              </c:pt>
            </c:numLit>
          </c:yVal>
          <c:smooth val="0"/>
          <c:extLst>
            <c:ext xmlns:c16="http://schemas.microsoft.com/office/drawing/2014/chart" uri="{C3380CC4-5D6E-409C-BE32-E72D297353CC}">
              <c16:uniqueId val="{00000000-8F26-4F0D-A62E-6CF8FF2B216D}"/>
            </c:ext>
          </c:extLst>
        </c:ser>
        <c:ser>
          <c:idx val="2"/>
          <c:order val="1"/>
          <c:tx>
            <c:strRef>
              <c:f>2025</c:f>
              <c:strCache>
                <c:ptCount val="1"/>
                <c:pt idx="0">
                  <c:v>2025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-93.356354249978295</c:v>
              </c:pt>
              <c:pt idx="1">
                <c:v>147.28713391692801</c:v>
              </c:pt>
              <c:pt idx="2">
                <c:v>488.21374975537202</c:v>
              </c:pt>
              <c:pt idx="3">
                <c:v>1284.2084960044399</c:v>
              </c:pt>
              <c:pt idx="4">
                <c:v>2275.6472775727202</c:v>
              </c:pt>
              <c:pt idx="5">
                <c:v>4580.7826612479803</c:v>
              </c:pt>
              <c:pt idx="6">
                <c:v>9406.4826612479792</c:v>
              </c:pt>
              <c:pt idx="7">
                <c:v>99863.819308625403</c:v>
              </c:pt>
            </c:numLit>
          </c:yVal>
          <c:smooth val="0"/>
          <c:extLst>
            <c:ext xmlns:c16="http://schemas.microsoft.com/office/drawing/2014/chart" uri="{C3380CC4-5D6E-409C-BE32-E72D297353CC}">
              <c16:uniqueId val="{00000001-8F26-4F0D-A62E-6CF8FF2B216D}"/>
            </c:ext>
          </c:extLst>
        </c:ser>
        <c:ser>
          <c:idx val="3"/>
          <c:order val="2"/>
          <c:tx>
            <c:strRef>
              <c:f>2030</c:f>
              <c:strCache>
                <c:ptCount val="1"/>
                <c:pt idx="0">
                  <c:v>2030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2-8F26-4F0D-A62E-6CF8FF2B216D}"/>
            </c:ext>
          </c:extLst>
        </c:ser>
        <c:ser>
          <c:idx val="4"/>
          <c:order val="3"/>
          <c:tx>
            <c:strRef>
              <c:f>2035</c:f>
              <c:strCache>
                <c:ptCount val="1"/>
                <c:pt idx="0">
                  <c:v>2035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3-8F26-4F0D-A62E-6CF8FF2B216D}"/>
            </c:ext>
          </c:extLst>
        </c:ser>
        <c:ser>
          <c:idx val="5"/>
          <c:order val="4"/>
          <c:tx>
            <c:strRef>
              <c:f>2040</c:f>
              <c:strCache>
                <c:ptCount val="1"/>
                <c:pt idx="0">
                  <c:v>2040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4-8F26-4F0D-A62E-6CF8FF2B216D}"/>
            </c:ext>
          </c:extLst>
        </c:ser>
        <c:ser>
          <c:idx val="6"/>
          <c:order val="5"/>
          <c:tx>
            <c:strRef>
              <c:f>2045</c:f>
              <c:strCache>
                <c:ptCount val="1"/>
                <c:pt idx="0">
                  <c:v>2045</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5-8F26-4F0D-A62E-6CF8FF2B216D}"/>
            </c:ext>
          </c:extLst>
        </c:ser>
        <c:ser>
          <c:idx val="7"/>
          <c:order val="6"/>
          <c:tx>
            <c:strRef>
              <c:f>2050</c:f>
              <c:strCache>
                <c:ptCount val="1"/>
                <c:pt idx="0">
                  <c:v>2050</c:v>
                </c:pt>
              </c:strCache>
            </c:strRef>
          </c:tx>
          <c:marker>
            <c:symbol val="none"/>
          </c:marker>
          <c:xVal>
            <c:numLit>
              <c:formatCode>General</c:formatCode>
              <c:ptCount val="8"/>
              <c:pt idx="0">
                <c:v>0</c:v>
              </c:pt>
              <c:pt idx="1">
                <c:v>9.8944858243839903E-2</c:v>
              </c:pt>
              <c:pt idx="2">
                <c:v>0.19894485824384001</c:v>
              </c:pt>
              <c:pt idx="3">
                <c:v>0.29894485824383998</c:v>
              </c:pt>
              <c:pt idx="4">
                <c:v>0.34894485824383997</c:v>
              </c:pt>
              <c:pt idx="5">
                <c:v>0.39894485824384002</c:v>
              </c:pt>
              <c:pt idx="6">
                <c:v>0.44894485824384001</c:v>
              </c:pt>
              <c:pt idx="7">
                <c:v>0.49894485824383999</c:v>
              </c:pt>
            </c:numLit>
          </c:xVal>
          <c:yVal>
            <c:numLit>
              <c:formatCode>General</c:formatCode>
              <c:ptCount val="8"/>
              <c:pt idx="0">
                <c:v>-94.201460032079396</c:v>
              </c:pt>
              <c:pt idx="1">
                <c:v>114.010554711819</c:v>
              </c:pt>
              <c:pt idx="2">
                <c:v>332.218244629894</c:v>
              </c:pt>
              <c:pt idx="3">
                <c:v>760.69286371802798</c:v>
              </c:pt>
              <c:pt idx="4">
                <c:v>1350.32964938858</c:v>
              </c:pt>
              <c:pt idx="5">
                <c:v>2405.44141945502</c:v>
              </c:pt>
              <c:pt idx="6">
                <c:v>5608.10910602884</c:v>
              </c:pt>
              <c:pt idx="7">
                <c:v>49843.057687853099</c:v>
              </c:pt>
            </c:numLit>
          </c:yVal>
          <c:smooth val="0"/>
          <c:extLst>
            <c:ext xmlns:c16="http://schemas.microsoft.com/office/drawing/2014/chart" uri="{C3380CC4-5D6E-409C-BE32-E72D297353CC}">
              <c16:uniqueId val="{00000006-8F26-4F0D-A62E-6CF8FF2B216D}"/>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-110.26493654241401</c:v>
              </c:pt>
              <c:pt idx="1">
                <c:v>98.457233849654799</c:v>
              </c:pt>
              <c:pt idx="2">
                <c:v>792.65252865277603</c:v>
              </c:pt>
              <c:pt idx="3">
                <c:v>2534.9627537268598</c:v>
              </c:pt>
              <c:pt idx="4">
                <c:v>4005.2095494264599</c:v>
              </c:pt>
              <c:pt idx="5">
                <c:v>7939.1129377525203</c:v>
              </c:pt>
              <c:pt idx="6">
                <c:v>28692.859817112701</c:v>
              </c:pt>
              <c:pt idx="7">
                <c:v>100336.724498072</c:v>
              </c:pt>
            </c:numLit>
          </c:yVal>
          <c:smooth val="0"/>
          <c:extLst>
            <c:ext xmlns:c16="http://schemas.microsoft.com/office/drawing/2014/chart" uri="{C3380CC4-5D6E-409C-BE32-E72D297353CC}">
              <c16:uniqueId val="{00000000-3B91-4F48-9C42-C3E631F4C8D4}"/>
            </c:ext>
          </c:extLst>
        </c:ser>
        <c:ser>
          <c:idx val="2"/>
          <c:order val="1"/>
          <c:tx>
            <c:strRef>
              <c:f>2025</c:f>
              <c:strCache>
                <c:ptCount val="1"/>
                <c:pt idx="0">
                  <c:v>2025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-294.22354179461303</c:v>
              </c:pt>
              <c:pt idx="1">
                <c:v>-122.880915232356</c:v>
              </c:pt>
              <c:pt idx="2">
                <c:v>300.78473024079699</c:v>
              </c:pt>
              <c:pt idx="3">
                <c:v>1422.4095384805701</c:v>
              </c:pt>
              <c:pt idx="4">
                <c:v>2311.9028895186002</c:v>
              </c:pt>
              <c:pt idx="5">
                <c:v>3993.7855141220998</c:v>
              </c:pt>
              <c:pt idx="6">
                <c:v>8228.8656373859194</c:v>
              </c:pt>
              <c:pt idx="7">
                <c:v>75937.264751893701</c:v>
              </c:pt>
            </c:numLit>
          </c:yVal>
          <c:smooth val="0"/>
          <c:extLst>
            <c:ext xmlns:c16="http://schemas.microsoft.com/office/drawing/2014/chart" uri="{C3380CC4-5D6E-409C-BE32-E72D297353CC}">
              <c16:uniqueId val="{00000001-3B91-4F48-9C42-C3E631F4C8D4}"/>
            </c:ext>
          </c:extLst>
        </c:ser>
        <c:ser>
          <c:idx val="3"/>
          <c:order val="2"/>
          <c:tx>
            <c:strRef>
              <c:f>2030</c:f>
              <c:strCache>
                <c:ptCount val="1"/>
                <c:pt idx="0">
                  <c:v>2030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2-3B91-4F48-9C42-C3E631F4C8D4}"/>
            </c:ext>
          </c:extLst>
        </c:ser>
        <c:ser>
          <c:idx val="4"/>
          <c:order val="3"/>
          <c:tx>
            <c:strRef>
              <c:f>2035</c:f>
              <c:strCache>
                <c:ptCount val="1"/>
                <c:pt idx="0">
                  <c:v>2035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3-3B91-4F48-9C42-C3E631F4C8D4}"/>
            </c:ext>
          </c:extLst>
        </c:ser>
        <c:ser>
          <c:idx val="5"/>
          <c:order val="4"/>
          <c:tx>
            <c:strRef>
              <c:f>2040</c:f>
              <c:strCache>
                <c:ptCount val="1"/>
                <c:pt idx="0">
                  <c:v>2040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4-3B91-4F48-9C42-C3E631F4C8D4}"/>
            </c:ext>
          </c:extLst>
        </c:ser>
        <c:ser>
          <c:idx val="6"/>
          <c:order val="5"/>
          <c:tx>
            <c:strRef>
              <c:f>2045</c:f>
              <c:strCache>
                <c:ptCount val="1"/>
                <c:pt idx="0">
                  <c:v>2045</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5-3B91-4F48-9C42-C3E631F4C8D4}"/>
            </c:ext>
          </c:extLst>
        </c:ser>
        <c:ser>
          <c:idx val="7"/>
          <c:order val="6"/>
          <c:tx>
            <c:strRef>
              <c:f>2050</c:f>
              <c:strCache>
                <c:ptCount val="1"/>
                <c:pt idx="0">
                  <c:v>2050</c:v>
                </c:pt>
              </c:strCache>
            </c:strRef>
          </c:tx>
          <c:marker>
            <c:symbol val="none"/>
          </c:marker>
          <c:xVal>
            <c:numLit>
              <c:formatCode>General</c:formatCode>
              <c:ptCount val="8"/>
              <c:pt idx="0">
                <c:v>0</c:v>
              </c:pt>
              <c:pt idx="1">
                <c:v>8.1174187474557499E-2</c:v>
              </c:pt>
              <c:pt idx="2">
                <c:v>0.18117418747455799</c:v>
              </c:pt>
              <c:pt idx="3">
                <c:v>0.28117418747455702</c:v>
              </c:pt>
              <c:pt idx="4">
                <c:v>0.33117418747455801</c:v>
              </c:pt>
              <c:pt idx="5">
                <c:v>0.381174187474558</c:v>
              </c:pt>
              <c:pt idx="6">
                <c:v>0.43117418747455699</c:v>
              </c:pt>
              <c:pt idx="7">
                <c:v>0.48117418747455798</c:v>
              </c:pt>
            </c:numLit>
          </c:xVal>
          <c:yVal>
            <c:numLit>
              <c:formatCode>General</c:formatCode>
              <c:ptCount val="8"/>
              <c:pt idx="0">
                <c:v>-296.88528634335398</c:v>
              </c:pt>
              <c:pt idx="1">
                <c:v>-141.310900474786</c:v>
              </c:pt>
              <c:pt idx="2">
                <c:v>191.88092694583699</c:v>
              </c:pt>
              <c:pt idx="3">
                <c:v>1023.40196883536</c:v>
              </c:pt>
              <c:pt idx="4">
                <c:v>1743.7915707689899</c:v>
              </c:pt>
              <c:pt idx="5">
                <c:v>2729.8657266311102</c:v>
              </c:pt>
              <c:pt idx="6">
                <c:v>5440.4676124292801</c:v>
              </c:pt>
              <c:pt idx="7">
                <c:v>39740.436298570203</c:v>
              </c:pt>
            </c:numLit>
          </c:yVal>
          <c:smooth val="0"/>
          <c:extLst>
            <c:ext xmlns:c16="http://schemas.microsoft.com/office/drawing/2014/chart" uri="{C3380CC4-5D6E-409C-BE32-E72D297353CC}">
              <c16:uniqueId val="{00000006-3B91-4F48-9C42-C3E631F4C8D4}"/>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3728.1</c:v>
              </c:pt>
              <c:pt idx="1">
                <c:v>3985.26</c:v>
              </c:pt>
              <c:pt idx="2">
                <c:v>4488.62</c:v>
              </c:pt>
              <c:pt idx="3">
                <c:v>5203.1000000000004</c:v>
              </c:pt>
              <c:pt idx="4">
                <c:v>7338.2</c:v>
              </c:pt>
              <c:pt idx="5">
                <c:v>44590.89</c:v>
              </c:pt>
              <c:pt idx="6">
                <c:v>100000</c:v>
              </c:pt>
              <c:pt idx="7">
                <c:v>100000</c:v>
              </c:pt>
            </c:numLit>
          </c:yVal>
          <c:smooth val="1"/>
          <c:extLst>
            <c:ext xmlns:c16="http://schemas.microsoft.com/office/drawing/2014/chart" uri="{C3380CC4-5D6E-409C-BE32-E72D297353CC}">
              <c16:uniqueId val="{00000000-C5B0-4F03-ACCE-0E1A3BE6E561}"/>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2560.48</c:v>
              </c:pt>
              <c:pt idx="1">
                <c:v>2760.08</c:v>
              </c:pt>
              <c:pt idx="2">
                <c:v>2997.12</c:v>
              </c:pt>
              <c:pt idx="3">
                <c:v>3162.32</c:v>
              </c:pt>
              <c:pt idx="4">
                <c:v>3534.64</c:v>
              </c:pt>
              <c:pt idx="5">
                <c:v>4651.66</c:v>
              </c:pt>
              <c:pt idx="6">
                <c:v>28727.88</c:v>
              </c:pt>
              <c:pt idx="7">
                <c:v>100000</c:v>
              </c:pt>
            </c:numLit>
          </c:yVal>
          <c:smooth val="0"/>
          <c:extLst>
            <c:ext xmlns:c16="http://schemas.microsoft.com/office/drawing/2014/chart" uri="{C3380CC4-5D6E-409C-BE32-E72D297353CC}">
              <c16:uniqueId val="{00000001-C5B0-4F03-ACCE-0E1A3BE6E561}"/>
            </c:ext>
          </c:extLst>
        </c:ser>
        <c:ser>
          <c:idx val="3"/>
          <c:order val="2"/>
          <c:tx>
            <c:strRef>
              <c:f>2030</c:f>
              <c:strCache>
                <c:ptCount val="1"/>
                <c:pt idx="0">
                  <c:v>2030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2-C5B0-4F03-ACCE-0E1A3BE6E561}"/>
            </c:ext>
          </c:extLst>
        </c:ser>
        <c:ser>
          <c:idx val="4"/>
          <c:order val="3"/>
          <c:tx>
            <c:strRef>
              <c:f>2035</c:f>
              <c:strCache>
                <c:ptCount val="1"/>
                <c:pt idx="0">
                  <c:v>2035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3-C5B0-4F03-ACCE-0E1A3BE6E561}"/>
            </c:ext>
          </c:extLst>
        </c:ser>
        <c:ser>
          <c:idx val="5"/>
          <c:order val="4"/>
          <c:tx>
            <c:strRef>
              <c:f>2040</c:f>
              <c:strCache>
                <c:ptCount val="1"/>
                <c:pt idx="0">
                  <c:v>2040</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4-C5B0-4F03-ACCE-0E1A3BE6E561}"/>
            </c:ext>
          </c:extLst>
        </c:ser>
        <c:ser>
          <c:idx val="6"/>
          <c:order val="5"/>
          <c:tx>
            <c:strRef>
              <c:f>2045</c:f>
              <c:strCache>
                <c:ptCount val="1"/>
                <c:pt idx="0">
                  <c:v>2045</c:v>
                </c:pt>
              </c:strCache>
            </c:strRef>
          </c:tx>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5-C5B0-4F03-ACCE-0E1A3BE6E561}"/>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0.39750000000000002</c:v>
              </c:pt>
              <c:pt idx="1">
                <c:v>0.4975</c:v>
              </c:pt>
              <c:pt idx="2">
                <c:v>0.54749999999999999</c:v>
              </c:pt>
              <c:pt idx="3">
                <c:v>0.59750000000000003</c:v>
              </c:pt>
              <c:pt idx="4">
                <c:v>0.64749999999999996</c:v>
              </c:pt>
              <c:pt idx="5">
                <c:v>0.69750000000000001</c:v>
              </c:pt>
              <c:pt idx="6">
                <c:v>0.74750000000000005</c:v>
              </c:pt>
              <c:pt idx="7">
                <c:v>0.79749999999999999</c:v>
              </c:pt>
            </c:numLit>
          </c:xVal>
          <c:yVal>
            <c:numLit>
              <c:formatCode>General</c:formatCode>
              <c:ptCount val="8"/>
              <c:pt idx="0">
                <c:v>2364.3000000000002</c:v>
              </c:pt>
              <c:pt idx="1">
                <c:v>2509.29</c:v>
              </c:pt>
              <c:pt idx="2">
                <c:v>2670.4</c:v>
              </c:pt>
              <c:pt idx="3">
                <c:v>2807.66</c:v>
              </c:pt>
              <c:pt idx="4">
                <c:v>2979.6</c:v>
              </c:pt>
              <c:pt idx="5">
                <c:v>3432.83</c:v>
              </c:pt>
              <c:pt idx="6">
                <c:v>11673.89</c:v>
              </c:pt>
              <c:pt idx="7">
                <c:v>86525.46</c:v>
              </c:pt>
            </c:numLit>
          </c:yVal>
          <c:smooth val="0"/>
          <c:extLst>
            <c:ext xmlns:c16="http://schemas.microsoft.com/office/drawing/2014/chart" uri="{C3380CC4-5D6E-409C-BE32-E72D297353CC}">
              <c16:uniqueId val="{00000006-C5B0-4F03-ACCE-0E1A3BE6E561}"/>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7282.8343567278998</c:v>
              </c:pt>
              <c:pt idx="1">
                <c:v>7430.1648421382497</c:v>
              </c:pt>
              <c:pt idx="2">
                <c:v>8054.4749523158098</c:v>
              </c:pt>
              <c:pt idx="3">
                <c:v>8369.7674165235494</c:v>
              </c:pt>
              <c:pt idx="4">
                <c:v>9435.1146157609091</c:v>
              </c:pt>
              <c:pt idx="5">
                <c:v>62249.794891897698</c:v>
              </c:pt>
              <c:pt idx="6">
                <c:v>78610.152529731306</c:v>
              </c:pt>
              <c:pt idx="7">
                <c:v>80314.227122296506</c:v>
              </c:pt>
            </c:numLit>
          </c:yVal>
          <c:smooth val="0"/>
          <c:extLst>
            <c:ext xmlns:c16="http://schemas.microsoft.com/office/drawing/2014/chart" uri="{C3380CC4-5D6E-409C-BE32-E72D297353CC}">
              <c16:uniqueId val="{00000000-5358-4069-B39C-156EFEE5F9A2}"/>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5089.4607101492602</c:v>
              </c:pt>
              <c:pt idx="1">
                <c:v>5158.7881860513799</c:v>
              </c:pt>
              <c:pt idx="2">
                <c:v>5504.8003373094398</c:v>
              </c:pt>
              <c:pt idx="3">
                <c:v>5572.9938072652303</c:v>
              </c:pt>
              <c:pt idx="4">
                <c:v>5923.5463287326702</c:v>
              </c:pt>
              <c:pt idx="5">
                <c:v>7965.1906103256497</c:v>
              </c:pt>
              <c:pt idx="6">
                <c:v>8867.6091410298395</c:v>
              </c:pt>
              <c:pt idx="7">
                <c:v>45527.787504927401</c:v>
              </c:pt>
            </c:numLit>
          </c:yVal>
          <c:smooth val="0"/>
          <c:extLst>
            <c:ext xmlns:c16="http://schemas.microsoft.com/office/drawing/2014/chart" uri="{C3380CC4-5D6E-409C-BE32-E72D297353CC}">
              <c16:uniqueId val="{00000001-5358-4069-B39C-156EFEE5F9A2}"/>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4606.5874261936897</c:v>
              </c:pt>
              <c:pt idx="1">
                <c:v>4665.2779928908303</c:v>
              </c:pt>
              <c:pt idx="2">
                <c:v>4965.8577043905098</c:v>
              </c:pt>
              <c:pt idx="3">
                <c:v>5005.4222694959599</c:v>
              </c:pt>
              <c:pt idx="4">
                <c:v>5269.5102085011604</c:v>
              </c:pt>
              <c:pt idx="5">
                <c:v>6988.0999965478304</c:v>
              </c:pt>
              <c:pt idx="6">
                <c:v>7174.5038470100899</c:v>
              </c:pt>
              <c:pt idx="7">
                <c:v>36845.343548411103</c:v>
              </c:pt>
            </c:numLit>
          </c:yVal>
          <c:smooth val="0"/>
          <c:extLst>
            <c:ext xmlns:c16="http://schemas.microsoft.com/office/drawing/2014/chart" uri="{C3380CC4-5D6E-409C-BE32-E72D297353CC}">
              <c16:uniqueId val="{00000002-5358-4069-B39C-156EFEE5F9A2}"/>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4173.7537082962999</c:v>
              </c:pt>
              <c:pt idx="1">
                <c:v>4222.59828528863</c:v>
              </c:pt>
              <c:pt idx="2">
                <c:v>4489.4441390277598</c:v>
              </c:pt>
              <c:pt idx="3">
                <c:v>4522.22481571971</c:v>
              </c:pt>
              <c:pt idx="4">
                <c:v>4760.2912920117997</c:v>
              </c:pt>
              <c:pt idx="5">
                <c:v>6283.0335017449497</c:v>
              </c:pt>
              <c:pt idx="6">
                <c:v>6461.4799441453897</c:v>
              </c:pt>
              <c:pt idx="7">
                <c:v>36116.863042580197</c:v>
              </c:pt>
            </c:numLit>
          </c:yVal>
          <c:smooth val="0"/>
          <c:extLst>
            <c:ext xmlns:c16="http://schemas.microsoft.com/office/drawing/2014/chart" uri="{C3380CC4-5D6E-409C-BE32-E72D297353CC}">
              <c16:uniqueId val="{00000003-5358-4069-B39C-156EFEE5F9A2}"/>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3710.00329626338</c:v>
              </c:pt>
              <c:pt idx="1">
                <c:v>3748.2985985719802</c:v>
              </c:pt>
              <c:pt idx="2">
                <c:v>3979.0010332819502</c:v>
              </c:pt>
              <c:pt idx="3">
                <c:v>4004.5132581022999</c:v>
              </c:pt>
              <c:pt idx="4">
                <c:v>4214.6995957731997</c:v>
              </c:pt>
              <c:pt idx="5">
                <c:v>5527.6051144561497</c:v>
              </c:pt>
              <c:pt idx="6">
                <c:v>5697.5257625046397</c:v>
              </c:pt>
              <c:pt idx="7">
                <c:v>35336.348214904203</c:v>
              </c:pt>
            </c:numLit>
          </c:yVal>
          <c:smooth val="0"/>
          <c:extLst>
            <c:ext xmlns:c16="http://schemas.microsoft.com/office/drawing/2014/chart" uri="{C3380CC4-5D6E-409C-BE32-E72D297353CC}">
              <c16:uniqueId val="{00000004-5358-4069-B39C-156EFEE5F9A2}"/>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3400.83635490809</c:v>
              </c:pt>
              <c:pt idx="1">
                <c:v>3432.0988074275501</c:v>
              </c:pt>
              <c:pt idx="2">
                <c:v>3638.70562945141</c:v>
              </c:pt>
              <c:pt idx="3">
                <c:v>3659.3722196907001</c:v>
              </c:pt>
              <c:pt idx="4">
                <c:v>3850.9717982808102</c:v>
              </c:pt>
              <c:pt idx="5">
                <c:v>5023.9861895969598</c:v>
              </c:pt>
              <c:pt idx="6">
                <c:v>5188.2229747441397</c:v>
              </c:pt>
              <c:pt idx="7">
                <c:v>34816.004996453601</c:v>
              </c:pt>
            </c:numLit>
          </c:yVal>
          <c:smooth val="0"/>
          <c:extLst>
            <c:ext xmlns:c16="http://schemas.microsoft.com/office/drawing/2014/chart" uri="{C3380CC4-5D6E-409C-BE32-E72D297353CC}">
              <c16:uniqueId val="{00000005-5358-4069-B39C-156EFEE5F9A2}"/>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3091.6694135528101</c:v>
              </c:pt>
              <c:pt idx="1">
                <c:v>3115.8990162831201</c:v>
              </c:pt>
              <c:pt idx="2">
                <c:v>3298.4102256208798</c:v>
              </c:pt>
              <c:pt idx="3">
                <c:v>3314.2311812790899</c:v>
              </c:pt>
              <c:pt idx="4">
                <c:v>3487.2440007884102</c:v>
              </c:pt>
              <c:pt idx="5">
                <c:v>4520.3672647377598</c:v>
              </c:pt>
              <c:pt idx="6">
                <c:v>4678.9201869836397</c:v>
              </c:pt>
              <c:pt idx="7">
                <c:v>34295.661778002999</c:v>
              </c:pt>
            </c:numLit>
          </c:yVal>
          <c:smooth val="0"/>
          <c:extLst>
            <c:ext xmlns:c16="http://schemas.microsoft.com/office/drawing/2014/chart" uri="{C3380CC4-5D6E-409C-BE32-E72D297353CC}">
              <c16:uniqueId val="{00000006-5358-4069-B39C-156EFEE5F9A2}"/>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3728.1</c:v>
              </c:pt>
              <c:pt idx="1">
                <c:v>3913.58</c:v>
              </c:pt>
              <c:pt idx="2">
                <c:v>4111.9799999999996</c:v>
              </c:pt>
              <c:pt idx="3">
                <c:v>4456.3599999999997</c:v>
              </c:pt>
              <c:pt idx="4">
                <c:v>5185.47</c:v>
              </c:pt>
              <c:pt idx="5">
                <c:v>17364.650000000001</c:v>
              </c:pt>
              <c:pt idx="6">
                <c:v>100000</c:v>
              </c:pt>
              <c:pt idx="7">
                <c:v>100000</c:v>
              </c:pt>
            </c:numLit>
          </c:yVal>
          <c:smooth val="0"/>
          <c:extLst>
            <c:ext xmlns:c16="http://schemas.microsoft.com/office/drawing/2014/chart" uri="{C3380CC4-5D6E-409C-BE32-E72D297353CC}">
              <c16:uniqueId val="{00000000-F0C9-47F0-9093-B5DE366F19CA}"/>
            </c:ext>
          </c:extLst>
        </c:ser>
        <c:ser>
          <c:idx val="2"/>
          <c:order val="1"/>
          <c:tx>
            <c:strRef>
              <c:f>2025</c:f>
              <c:strCache>
                <c:ptCount val="1"/>
                <c:pt idx="0">
                  <c:v>2025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2560.48</c:v>
              </c:pt>
              <c:pt idx="1">
                <c:v>2690.75</c:v>
              </c:pt>
              <c:pt idx="2">
                <c:v>2838.31</c:v>
              </c:pt>
              <c:pt idx="3">
                <c:v>3052.36</c:v>
              </c:pt>
              <c:pt idx="4">
                <c:v>3416.38</c:v>
              </c:pt>
              <c:pt idx="5">
                <c:v>4224.04</c:v>
              </c:pt>
              <c:pt idx="6">
                <c:v>22406.91</c:v>
              </c:pt>
              <c:pt idx="7">
                <c:v>100000</c:v>
              </c:pt>
            </c:numLit>
          </c:yVal>
          <c:smooth val="0"/>
          <c:extLst>
            <c:ext xmlns:c16="http://schemas.microsoft.com/office/drawing/2014/chart" uri="{C3380CC4-5D6E-409C-BE32-E72D297353CC}">
              <c16:uniqueId val="{00000001-F0C9-47F0-9093-B5DE366F19CA}"/>
            </c:ext>
          </c:extLst>
        </c:ser>
        <c:ser>
          <c:idx val="3"/>
          <c:order val="2"/>
          <c:tx>
            <c:strRef>
              <c:f>2030</c:f>
              <c:strCache>
                <c:ptCount val="1"/>
                <c:pt idx="0">
                  <c:v>2030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2-F0C9-47F0-9093-B5DE366F19CA}"/>
            </c:ext>
          </c:extLst>
        </c:ser>
        <c:ser>
          <c:idx val="4"/>
          <c:order val="3"/>
          <c:tx>
            <c:strRef>
              <c:f>2035</c:f>
              <c:strCache>
                <c:ptCount val="1"/>
                <c:pt idx="0">
                  <c:v>2035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3-F0C9-47F0-9093-B5DE366F19CA}"/>
            </c:ext>
          </c:extLst>
        </c:ser>
        <c:ser>
          <c:idx val="5"/>
          <c:order val="4"/>
          <c:tx>
            <c:strRef>
              <c:f>2040</c:f>
              <c:strCache>
                <c:ptCount val="1"/>
                <c:pt idx="0">
                  <c:v>2040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4-F0C9-47F0-9093-B5DE366F19CA}"/>
            </c:ext>
          </c:extLst>
        </c:ser>
        <c:ser>
          <c:idx val="6"/>
          <c:order val="5"/>
          <c:tx>
            <c:strRef>
              <c:f>2045</c:f>
              <c:strCache>
                <c:ptCount val="1"/>
                <c:pt idx="0">
                  <c:v>2045</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5-F0C9-47F0-9093-B5DE366F19CA}"/>
            </c:ext>
          </c:extLst>
        </c:ser>
        <c:ser>
          <c:idx val="7"/>
          <c:order val="6"/>
          <c:tx>
            <c:strRef>
              <c:f>2050</c:f>
              <c:strCache>
                <c:ptCount val="1"/>
                <c:pt idx="0">
                  <c:v>2050</c:v>
                </c:pt>
              </c:strCache>
            </c:strRef>
          </c:tx>
          <c:marker>
            <c:symbol val="none"/>
          </c:marker>
          <c:xVal>
            <c:numLit>
              <c:formatCode>General</c:formatCode>
              <c:ptCount val="8"/>
              <c:pt idx="0">
                <c:v>0.36749999999999999</c:v>
              </c:pt>
              <c:pt idx="1">
                <c:v>0.46750000000000003</c:v>
              </c:pt>
              <c:pt idx="2">
                <c:v>0.51749999999999996</c:v>
              </c:pt>
              <c:pt idx="3">
                <c:v>0.5675</c:v>
              </c:pt>
              <c:pt idx="4">
                <c:v>0.61750000000000005</c:v>
              </c:pt>
              <c:pt idx="5">
                <c:v>0.66749999999999998</c:v>
              </c:pt>
              <c:pt idx="6">
                <c:v>0.71750000000000003</c:v>
              </c:pt>
              <c:pt idx="7">
                <c:v>0.76749999999999996</c:v>
              </c:pt>
            </c:numLit>
          </c:xVal>
          <c:yVal>
            <c:numLit>
              <c:formatCode>General</c:formatCode>
              <c:ptCount val="8"/>
              <c:pt idx="0">
                <c:v>2364.3000000000002</c:v>
              </c:pt>
              <c:pt idx="1">
                <c:v>2466.02</c:v>
              </c:pt>
              <c:pt idx="2">
                <c:v>2581.0300000000002</c:v>
              </c:pt>
              <c:pt idx="3">
                <c:v>2772.17</c:v>
              </c:pt>
              <c:pt idx="4">
                <c:v>3042.75</c:v>
              </c:pt>
              <c:pt idx="5">
                <c:v>3455.83</c:v>
              </c:pt>
              <c:pt idx="6">
                <c:v>15162.38</c:v>
              </c:pt>
              <c:pt idx="7">
                <c:v>100000</c:v>
              </c:pt>
            </c:numLit>
          </c:yVal>
          <c:smooth val="0"/>
          <c:extLst>
            <c:ext xmlns:c16="http://schemas.microsoft.com/office/drawing/2014/chart" uri="{C3380CC4-5D6E-409C-BE32-E72D297353CC}">
              <c16:uniqueId val="{00000006-F0C9-47F0-9093-B5DE366F19CA}"/>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5948.2367449338399</c:v>
              </c:pt>
              <c:pt idx="1">
                <c:v>6092.9202842579098</c:v>
              </c:pt>
              <c:pt idx="2">
                <c:v>6519.5124141777796</c:v>
              </c:pt>
              <c:pt idx="3">
                <c:v>6963.6381752984598</c:v>
              </c:pt>
              <c:pt idx="4">
                <c:v>36941.6851936647</c:v>
              </c:pt>
              <c:pt idx="5">
                <c:v>71403.082937522195</c:v>
              </c:pt>
              <c:pt idx="6">
                <c:v>72948.951852323895</c:v>
              </c:pt>
              <c:pt idx="7">
                <c:v>74953.639791174399</c:v>
              </c:pt>
            </c:numLit>
          </c:yVal>
          <c:smooth val="0"/>
          <c:extLst>
            <c:ext xmlns:c16="http://schemas.microsoft.com/office/drawing/2014/chart" uri="{C3380CC4-5D6E-409C-BE32-E72D297353CC}">
              <c16:uniqueId val="{00000000-CF15-4A8D-900C-06993871D035}"/>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4104.89876506784</c:v>
              </c:pt>
              <c:pt idx="1">
                <c:v>4188.3900812578504</c:v>
              </c:pt>
              <c:pt idx="2">
                <c:v>4447.4575032577604</c:v>
              </c:pt>
              <c:pt idx="3">
                <c:v>4646.5309691320899</c:v>
              </c:pt>
              <c:pt idx="4">
                <c:v>5266.5907281877298</c:v>
              </c:pt>
              <c:pt idx="5">
                <c:v>36432.492966569604</c:v>
              </c:pt>
              <c:pt idx="6">
                <c:v>72948.951852323895</c:v>
              </c:pt>
              <c:pt idx="7">
                <c:v>74953.639791174399</c:v>
              </c:pt>
            </c:numLit>
          </c:yVal>
          <c:smooth val="0"/>
          <c:extLst>
            <c:ext xmlns:c16="http://schemas.microsoft.com/office/drawing/2014/chart" uri="{C3380CC4-5D6E-409C-BE32-E72D297353CC}">
              <c16:uniqueId val="{00000001-CF15-4A8D-900C-06993871D035}"/>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3699.19490378722</c:v>
              </c:pt>
              <c:pt idx="1">
                <c:v>3773.54796321202</c:v>
              </c:pt>
              <c:pt idx="2">
                <c:v>3997.6193177608602</c:v>
              </c:pt>
              <c:pt idx="3">
                <c:v>4143.1260571143603</c:v>
              </c:pt>
              <c:pt idx="4">
                <c:v>4573.1310599173503</c:v>
              </c:pt>
              <c:pt idx="5">
                <c:v>6991.2989513739903</c:v>
              </c:pt>
              <c:pt idx="6">
                <c:v>35826.348779843</c:v>
              </c:pt>
              <c:pt idx="7">
                <c:v>74953.639791174399</c:v>
              </c:pt>
            </c:numLit>
          </c:yVal>
          <c:smooth val="0"/>
          <c:extLst>
            <c:ext xmlns:c16="http://schemas.microsoft.com/office/drawing/2014/chart" uri="{C3380CC4-5D6E-409C-BE32-E72D297353CC}">
              <c16:uniqueId val="{00000002-CF15-4A8D-900C-06993871D035}"/>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3351.61954369983</c:v>
              </c:pt>
              <c:pt idx="1">
                <c:v>3416.09890931066</c:v>
              </c:pt>
              <c:pt idx="2">
                <c:v>3618.6707734128099</c:v>
              </c:pt>
              <c:pt idx="3">
                <c:v>3755.7112002916401</c:v>
              </c:pt>
              <c:pt idx="4">
                <c:v>4163.9597718217501</c:v>
              </c:pt>
              <c:pt idx="5">
                <c:v>6388.1519688098097</c:v>
              </c:pt>
              <c:pt idx="6">
                <c:v>35210.1437312536</c:v>
              </c:pt>
              <c:pt idx="7">
                <c:v>74953.639791174399</c:v>
              </c:pt>
            </c:numLit>
          </c:yVal>
          <c:smooth val="0"/>
          <c:extLst>
            <c:ext xmlns:c16="http://schemas.microsoft.com/office/drawing/2014/chart" uri="{C3380CC4-5D6E-409C-BE32-E72D297353CC}">
              <c16:uniqueId val="{00000003-CF15-4A8D-900C-06993871D035}"/>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2979.2173721776298</c:v>
              </c:pt>
              <c:pt idx="1">
                <c:v>3033.1177801306299</c:v>
              </c:pt>
              <c:pt idx="2">
                <c:v>3212.6544758970399</c:v>
              </c:pt>
              <c:pt idx="3">
                <c:v>3340.6238536958599</c:v>
              </c:pt>
              <c:pt idx="4">
                <c:v>3725.5619631478799</c:v>
              </c:pt>
              <c:pt idx="5">
                <c:v>5741.9230589196104</c:v>
              </c:pt>
              <c:pt idx="6">
                <c:v>34549.924036336401</c:v>
              </c:pt>
              <c:pt idx="7">
                <c:v>74953.639791174399</c:v>
              </c:pt>
            </c:numLit>
          </c:yVal>
          <c:smooth val="0"/>
          <c:extLst>
            <c:ext xmlns:c16="http://schemas.microsoft.com/office/drawing/2014/chart" uri="{C3380CC4-5D6E-409C-BE32-E72D297353CC}">
              <c16:uniqueId val="{00000004-CF15-4A8D-900C-06993871D035}"/>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2730.9492578294899</c:v>
              </c:pt>
              <c:pt idx="1">
                <c:v>2777.79702734395</c:v>
              </c:pt>
              <c:pt idx="2">
                <c:v>2941.9769442198599</c:v>
              </c:pt>
              <c:pt idx="3">
                <c:v>3063.8989559653401</c:v>
              </c:pt>
              <c:pt idx="4">
                <c:v>3433.2967573653</c:v>
              </c:pt>
              <c:pt idx="5">
                <c:v>5311.1037856594803</c:v>
              </c:pt>
              <c:pt idx="6">
                <c:v>34109.777573058302</c:v>
              </c:pt>
              <c:pt idx="7">
                <c:v>74953.639791174399</c:v>
              </c:pt>
            </c:numLit>
          </c:yVal>
          <c:smooth val="0"/>
          <c:extLst>
            <c:ext xmlns:c16="http://schemas.microsoft.com/office/drawing/2014/chart" uri="{C3380CC4-5D6E-409C-BE32-E72D297353CC}">
              <c16:uniqueId val="{00000005-CF15-4A8D-900C-06993871D035}"/>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2482.6811434813599</c:v>
              </c:pt>
              <c:pt idx="1">
                <c:v>2522.4762745572598</c:v>
              </c:pt>
              <c:pt idx="2">
                <c:v>2671.2994125426799</c:v>
              </c:pt>
              <c:pt idx="3">
                <c:v>2787.1740582348202</c:v>
              </c:pt>
              <c:pt idx="4">
                <c:v>3141.0315515827201</c:v>
              </c:pt>
              <c:pt idx="5">
                <c:v>4880.2845123993502</c:v>
              </c:pt>
              <c:pt idx="6">
                <c:v>33669.631109780101</c:v>
              </c:pt>
              <c:pt idx="7">
                <c:v>74953.639791174399</c:v>
              </c:pt>
            </c:numLit>
          </c:yVal>
          <c:smooth val="0"/>
          <c:extLst>
            <c:ext xmlns:c16="http://schemas.microsoft.com/office/drawing/2014/chart" uri="{C3380CC4-5D6E-409C-BE32-E72D297353CC}">
              <c16:uniqueId val="{00000006-CF15-4A8D-900C-06993871D035}"/>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6599.7161076239499</c:v>
              </c:pt>
              <c:pt idx="1">
                <c:v>9450.4941844852892</c:v>
              </c:pt>
              <c:pt idx="2">
                <c:v>12301.272261346599</c:v>
              </c:pt>
              <c:pt idx="3">
                <c:v>15996.9672978378</c:v>
              </c:pt>
              <c:pt idx="4">
                <c:v>19692.662334329099</c:v>
              </c:pt>
              <c:pt idx="5">
                <c:v>24678.2094457231</c:v>
              </c:pt>
              <c:pt idx="6">
                <c:v>30044.795985181601</c:v>
              </c:pt>
              <c:pt idx="7">
                <c:v>41921.087348292203</c:v>
              </c:pt>
            </c:numLit>
          </c:yVal>
          <c:smooth val="1"/>
          <c:extLst>
            <c:ext xmlns:c16="http://schemas.microsoft.com/office/drawing/2014/chart" uri="{C3380CC4-5D6E-409C-BE32-E72D297353CC}">
              <c16:uniqueId val="{00000000-2087-4D2D-9DDE-BA7B00A6B488}"/>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3974.18784068168</c:v>
              </c:pt>
              <c:pt idx="1">
                <c:v>4329.9722759427004</c:v>
              </c:pt>
              <c:pt idx="2">
                <c:v>5662.9780436270503</c:v>
              </c:pt>
              <c:pt idx="3">
                <c:v>7347.2126297114701</c:v>
              </c:pt>
              <c:pt idx="4">
                <c:v>9031.4472157959008</c:v>
              </c:pt>
              <c:pt idx="5">
                <c:v>11083.313523454801</c:v>
              </c:pt>
              <c:pt idx="6">
                <c:v>13488.713910496001</c:v>
              </c:pt>
              <c:pt idx="7">
                <c:v>18658.753563593498</c:v>
              </c:pt>
            </c:numLit>
          </c:yVal>
          <c:smooth val="1"/>
          <c:extLst>
            <c:ext xmlns:c16="http://schemas.microsoft.com/office/drawing/2014/chart" uri="{C3380CC4-5D6E-409C-BE32-E72D297353CC}">
              <c16:uniqueId val="{00000001-2087-4D2D-9DDE-BA7B00A6B488}"/>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2841.2766634366399</c:v>
              </c:pt>
              <c:pt idx="1">
                <c:v>3405.2024316844499</c:v>
              </c:pt>
              <c:pt idx="2">
                <c:v>4727.8809469611397</c:v>
              </c:pt>
              <c:pt idx="3">
                <c:v>6151.7429667675397</c:v>
              </c:pt>
              <c:pt idx="4">
                <c:v>7575.6049865739496</c:v>
              </c:pt>
              <c:pt idx="5">
                <c:v>9284.8483296536706</c:v>
              </c:pt>
              <c:pt idx="6">
                <c:v>11080.4203247809</c:v>
              </c:pt>
              <c:pt idx="7">
                <c:v>15330.475724870301</c:v>
              </c:pt>
            </c:numLit>
          </c:yVal>
          <c:smooth val="1"/>
          <c:extLst>
            <c:ext xmlns:c16="http://schemas.microsoft.com/office/drawing/2014/chart" uri="{C3380CC4-5D6E-409C-BE32-E72D297353CC}">
              <c16:uniqueId val="{00000002-2087-4D2D-9DDE-BA7B00A6B488}"/>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2453.8298456952798</c:v>
              </c:pt>
              <c:pt idx="1">
                <c:v>2940.8566455456598</c:v>
              </c:pt>
              <c:pt idx="2">
                <c:v>4083.1699087391598</c:v>
              </c:pt>
              <c:pt idx="3">
                <c:v>5312.8689258447002</c:v>
              </c:pt>
              <c:pt idx="4">
                <c:v>6542.5679429502297</c:v>
              </c:pt>
              <c:pt idx="5">
                <c:v>7785.1773284827796</c:v>
              </c:pt>
              <c:pt idx="6">
                <c:v>9027.7867140153303</c:v>
              </c:pt>
              <c:pt idx="7">
                <c:v>12318.9158690361</c:v>
              </c:pt>
            </c:numLit>
          </c:yVal>
          <c:smooth val="1"/>
          <c:extLst>
            <c:ext xmlns:c16="http://schemas.microsoft.com/office/drawing/2014/chart" uri="{C3380CC4-5D6E-409C-BE32-E72D297353CC}">
              <c16:uniqueId val="{00000003-2087-4D2D-9DDE-BA7B00A6B488}"/>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2195.5319672010401</c:v>
              </c:pt>
              <c:pt idx="1">
                <c:v>2631.2927881198002</c:v>
              </c:pt>
              <c:pt idx="2">
                <c:v>3653.3625499245099</c:v>
              </c:pt>
              <c:pt idx="3">
                <c:v>4753.61956522947</c:v>
              </c:pt>
              <c:pt idx="4">
                <c:v>5853.8765805344201</c:v>
              </c:pt>
              <c:pt idx="5">
                <c:v>6965.68497811617</c:v>
              </c:pt>
              <c:pt idx="6">
                <c:v>8077.4933756979299</c:v>
              </c:pt>
              <c:pt idx="7">
                <c:v>10713.154577695899</c:v>
              </c:pt>
            </c:numLit>
          </c:yVal>
          <c:smooth val="1"/>
          <c:extLst>
            <c:ext xmlns:c16="http://schemas.microsoft.com/office/drawing/2014/chart" uri="{C3380CC4-5D6E-409C-BE32-E72D297353CC}">
              <c16:uniqueId val="{00000004-2087-4D2D-9DDE-BA7B00A6B488}"/>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2066.3830279539202</c:v>
              </c:pt>
              <c:pt idx="1">
                <c:v>2476.5108594068702</c:v>
              </c:pt>
              <c:pt idx="2">
                <c:v>3438.45887051719</c:v>
              </c:pt>
              <c:pt idx="3">
                <c:v>4473.9948849218499</c:v>
              </c:pt>
              <c:pt idx="4">
                <c:v>5509.5308993265098</c:v>
              </c:pt>
              <c:pt idx="5">
                <c:v>6555.9388029328702</c:v>
              </c:pt>
              <c:pt idx="6">
                <c:v>7602.3467065392197</c:v>
              </c:pt>
              <c:pt idx="7">
                <c:v>9889.0657640269801</c:v>
              </c:pt>
            </c:numLit>
          </c:yVal>
          <c:smooth val="1"/>
          <c:extLst>
            <c:ext xmlns:c16="http://schemas.microsoft.com/office/drawing/2014/chart" uri="{C3380CC4-5D6E-409C-BE32-E72D297353CC}">
              <c16:uniqueId val="{00000005-2087-4D2D-9DDE-BA7B00A6B488}"/>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1988.89366440565</c:v>
              </c:pt>
              <c:pt idx="1">
                <c:v>2383.6417021791099</c:v>
              </c:pt>
              <c:pt idx="2">
                <c:v>3309.5166628727902</c:v>
              </c:pt>
              <c:pt idx="3">
                <c:v>4306.2200767372797</c:v>
              </c:pt>
              <c:pt idx="4">
                <c:v>5302.92349060177</c:v>
              </c:pt>
              <c:pt idx="5">
                <c:v>6310.0910978228803</c:v>
              </c:pt>
              <c:pt idx="6">
                <c:v>7317.2587050439997</c:v>
              </c:pt>
              <c:pt idx="7">
                <c:v>9331.5939194862403</c:v>
              </c:pt>
            </c:numLit>
          </c:yVal>
          <c:smooth val="1"/>
          <c:extLst>
            <c:ext xmlns:c16="http://schemas.microsoft.com/office/drawing/2014/chart" uri="{C3380CC4-5D6E-409C-BE32-E72D297353CC}">
              <c16:uniqueId val="{00000006-2087-4D2D-9DDE-BA7B00A6B488}"/>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BE8E-41BB-8033-6AE7DFF7F1F3}"/>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BE8E-41BB-8033-6AE7DFF7F1F3}"/>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BE8E-41BB-8033-6AE7DFF7F1F3}"/>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BE8E-41BB-8033-6AE7DFF7F1F3}"/>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BE8E-41BB-8033-6AE7DFF7F1F3}"/>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BE8E-41BB-8033-6AE7DFF7F1F3}"/>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BE8E-41BB-8033-6AE7DFF7F1F3}"/>
            </c:ext>
          </c:extLst>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52614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-109.234214753027</c:v>
              </c:pt>
              <c:pt idx="1">
                <c:v>97.523831444519004</c:v>
              </c:pt>
              <c:pt idx="2">
                <c:v>778.73434213537496</c:v>
              </c:pt>
              <c:pt idx="3">
                <c:v>2384.7732909935698</c:v>
              </c:pt>
              <c:pt idx="4">
                <c:v>4508.8517474570499</c:v>
              </c:pt>
              <c:pt idx="5">
                <c:v>17730.481158021899</c:v>
              </c:pt>
              <c:pt idx="6">
                <c:v>100202.167208948</c:v>
              </c:pt>
              <c:pt idx="7">
                <c:v>100202.167208948</c:v>
              </c:pt>
            </c:numLit>
          </c:yVal>
          <c:smooth val="0"/>
          <c:extLst>
            <c:ext xmlns:c16="http://schemas.microsoft.com/office/drawing/2014/chart" uri="{C3380CC4-5D6E-409C-BE32-E72D297353CC}">
              <c16:uniqueId val="{00000000-9254-4DBB-8B1D-42895B3BCDFF}"/>
            </c:ext>
          </c:extLst>
        </c:ser>
        <c:ser>
          <c:idx val="2"/>
          <c:order val="1"/>
          <c:tx>
            <c:strRef>
              <c:f>2025</c:f>
              <c:strCache>
                <c:ptCount val="1"/>
                <c:pt idx="0">
                  <c:v>2025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-250.17219293397</c:v>
              </c:pt>
              <c:pt idx="1">
                <c:v>-77.967099561477994</c:v>
              </c:pt>
              <c:pt idx="2">
                <c:v>321.09670015638602</c:v>
              </c:pt>
              <c:pt idx="3">
                <c:v>1377.6722183623899</c:v>
              </c:pt>
              <c:pt idx="4">
                <c:v>2326.8940962050201</c:v>
              </c:pt>
              <c:pt idx="5">
                <c:v>4279.6224723254099</c:v>
              </c:pt>
              <c:pt idx="6">
                <c:v>24379.034280301101</c:v>
              </c:pt>
              <c:pt idx="7">
                <c:v>100202.167208948</c:v>
              </c:pt>
            </c:numLit>
          </c:yVal>
          <c:smooth val="0"/>
          <c:extLst>
            <c:ext xmlns:c16="http://schemas.microsoft.com/office/drawing/2014/chart" uri="{C3380CC4-5D6E-409C-BE32-E72D297353CC}">
              <c16:uniqueId val="{00000001-9254-4DBB-8B1D-42895B3BCDFF}"/>
            </c:ext>
          </c:extLst>
        </c:ser>
        <c:ser>
          <c:idx val="3"/>
          <c:order val="2"/>
          <c:tx>
            <c:strRef>
              <c:f>2030</c:f>
              <c:strCache>
                <c:ptCount val="1"/>
                <c:pt idx="0">
                  <c:v>2030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2-9254-4DBB-8B1D-42895B3BCDFF}"/>
            </c:ext>
          </c:extLst>
        </c:ser>
        <c:ser>
          <c:idx val="4"/>
          <c:order val="3"/>
          <c:tx>
            <c:strRef>
              <c:f>2035</c:f>
              <c:strCache>
                <c:ptCount val="1"/>
                <c:pt idx="0">
                  <c:v>2035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3-9254-4DBB-8B1D-42895B3BCDFF}"/>
            </c:ext>
          </c:extLst>
        </c:ser>
        <c:ser>
          <c:idx val="5"/>
          <c:order val="4"/>
          <c:tx>
            <c:strRef>
              <c:f>2040</c:f>
              <c:strCache>
                <c:ptCount val="1"/>
                <c:pt idx="0">
                  <c:v>2040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4-9254-4DBB-8B1D-42895B3BCDFF}"/>
            </c:ext>
          </c:extLst>
        </c:ser>
        <c:ser>
          <c:idx val="6"/>
          <c:order val="5"/>
          <c:tx>
            <c:strRef>
              <c:f>2045</c:f>
              <c:strCache>
                <c:ptCount val="1"/>
                <c:pt idx="0">
                  <c:v>2045</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5-9254-4DBB-8B1D-42895B3BCDFF}"/>
            </c:ext>
          </c:extLst>
        </c:ser>
        <c:ser>
          <c:idx val="7"/>
          <c:order val="6"/>
          <c:tx>
            <c:strRef>
              <c:f>2050</c:f>
              <c:strCache>
                <c:ptCount val="1"/>
                <c:pt idx="0">
                  <c:v>2050</c:v>
                </c:pt>
              </c:strCache>
            </c:strRef>
          </c:tx>
          <c:marker>
            <c:symbol val="none"/>
          </c:marker>
          <c:xVal>
            <c:numLit>
              <c:formatCode>General</c:formatCode>
              <c:ptCount val="8"/>
              <c:pt idx="0">
                <c:v>0</c:v>
              </c:pt>
              <c:pt idx="1">
                <c:v>9.5198130991225399E-2</c:v>
              </c:pt>
              <c:pt idx="2">
                <c:v>0.19519813099122499</c:v>
              </c:pt>
              <c:pt idx="3">
                <c:v>0.29519813099122499</c:v>
              </c:pt>
              <c:pt idx="4">
                <c:v>0.34519813099122498</c:v>
              </c:pt>
              <c:pt idx="5">
                <c:v>0.39519813099122503</c:v>
              </c:pt>
              <c:pt idx="6">
                <c:v>0.44519813099122502</c:v>
              </c:pt>
              <c:pt idx="7">
                <c:v>0.49519813099122501</c:v>
              </c:pt>
            </c:numLit>
          </c:xVal>
          <c:yVal>
            <c:numLit>
              <c:formatCode>General</c:formatCode>
              <c:ptCount val="8"/>
              <c:pt idx="0">
                <c:v>-253.883894022314</c:v>
              </c:pt>
              <c:pt idx="1">
                <c:v>-93.836970790966603</c:v>
              </c:pt>
              <c:pt idx="2">
                <c:v>217.21417461354201</c:v>
              </c:pt>
              <c:pt idx="3">
                <c:v>954.56600389228697</c:v>
              </c:pt>
              <c:pt idx="4">
                <c:v>1612.2474007978899</c:v>
              </c:pt>
              <c:pt idx="5">
                <c:v>3027.95877322671</c:v>
              </c:pt>
              <c:pt idx="6">
                <c:v>11742.030589812101</c:v>
              </c:pt>
              <c:pt idx="7">
                <c:v>95583.562943889294</c:v>
              </c:pt>
            </c:numLit>
          </c:yVal>
          <c:smooth val="0"/>
          <c:extLst>
            <c:ext xmlns:c16="http://schemas.microsoft.com/office/drawing/2014/chart" uri="{C3380CC4-5D6E-409C-BE32-E72D297353CC}">
              <c16:uniqueId val="{00000006-9254-4DBB-8B1D-42895B3BCDFF}"/>
            </c:ext>
          </c:extLst>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194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2939.22372914877</c:v>
              </c:pt>
              <c:pt idx="1">
                <c:v>3114.9968992346899</c:v>
              </c:pt>
              <c:pt idx="2">
                <c:v>3328.1083331628101</c:v>
              </c:pt>
              <c:pt idx="3">
                <c:v>3763.14536048838</c:v>
              </c:pt>
              <c:pt idx="4">
                <c:v>4739.4875827596197</c:v>
              </c:pt>
              <c:pt idx="5">
                <c:v>26869.4651645581</c:v>
              </c:pt>
              <c:pt idx="6">
                <c:v>100000</c:v>
              </c:pt>
              <c:pt idx="7">
                <c:v>100000</c:v>
              </c:pt>
            </c:numLit>
          </c:yVal>
          <c:smooth val="1"/>
          <c:extLst>
            <c:ext xmlns:c16="http://schemas.microsoft.com/office/drawing/2014/chart" uri="{C3380CC4-5D6E-409C-BE32-E72D297353CC}">
              <c16:uniqueId val="{00000000-6963-4CA1-93A9-95FB17B30FEB}"/>
            </c:ext>
          </c:extLst>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2018.6722704367301</c:v>
              </c:pt>
              <c:pt idx="1">
                <c:v>2130.57351122419</c:v>
              </c:pt>
              <c:pt idx="2">
                <c:v>2275.8672763680102</c:v>
              </c:pt>
              <c:pt idx="3">
                <c:v>2475.8262214824099</c:v>
              </c:pt>
              <c:pt idx="4">
                <c:v>2755.3880308336502</c:v>
              </c:pt>
              <c:pt idx="5">
                <c:v>7382.8261652276997</c:v>
              </c:pt>
              <c:pt idx="6">
                <c:v>48924.395125760202</c:v>
              </c:pt>
              <c:pt idx="7">
                <c:v>100000</c:v>
              </c:pt>
            </c:numLit>
          </c:yVal>
          <c:smooth val="0"/>
          <c:extLst>
            <c:ext xmlns:c16="http://schemas.microsoft.com/office/drawing/2014/chart" uri="{C3380CC4-5D6E-409C-BE32-E72D297353CC}">
              <c16:uniqueId val="{00000001-6963-4CA1-93A9-95FB17B30FEB}"/>
            </c:ext>
          </c:extLst>
        </c:ser>
        <c:ser>
          <c:idx val="3"/>
          <c:order val="2"/>
          <c:tx>
            <c:strRef>
              <c:f>2030</c:f>
              <c:strCache>
                <c:ptCount val="1"/>
                <c:pt idx="0">
                  <c:v>2030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2-6963-4CA1-93A9-95FB17B30FEB}"/>
            </c:ext>
          </c:extLst>
        </c:ser>
        <c:ser>
          <c:idx val="4"/>
          <c:order val="3"/>
          <c:tx>
            <c:strRef>
              <c:f>2035</c:f>
              <c:strCache>
                <c:ptCount val="1"/>
                <c:pt idx="0">
                  <c:v>2035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3-6963-4CA1-93A9-95FB17B30FEB}"/>
            </c:ext>
          </c:extLst>
        </c:ser>
        <c:ser>
          <c:idx val="5"/>
          <c:order val="4"/>
          <c:tx>
            <c:strRef>
              <c:f>2040</c:f>
              <c:strCache>
                <c:ptCount val="1"/>
                <c:pt idx="0">
                  <c:v>2040</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4-6963-4CA1-93A9-95FB17B30FEB}"/>
            </c:ext>
          </c:extLst>
        </c:ser>
        <c:ser>
          <c:idx val="6"/>
          <c:order val="5"/>
          <c:tx>
            <c:strRef>
              <c:f>2045</c:f>
              <c:strCache>
                <c:ptCount val="1"/>
                <c:pt idx="0">
                  <c:v>2045</c:v>
                </c:pt>
              </c:strCache>
            </c:strRef>
          </c:tx>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5-6963-4CA1-93A9-95FB17B30FEB}"/>
            </c:ext>
          </c:extLst>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xVal>
            <c:numLit>
              <c:formatCode>General</c:formatCode>
              <c:ptCount val="8"/>
              <c:pt idx="0">
                <c:v>0.352490976362547</c:v>
              </c:pt>
              <c:pt idx="1">
                <c:v>0.45249097636254698</c:v>
              </c:pt>
              <c:pt idx="2">
                <c:v>0.50249097636254703</c:v>
              </c:pt>
              <c:pt idx="3">
                <c:v>0.55249097636254696</c:v>
              </c:pt>
              <c:pt idx="4">
                <c:v>0.602490976362547</c:v>
              </c:pt>
              <c:pt idx="5">
                <c:v>0.65249097636254705</c:v>
              </c:pt>
              <c:pt idx="6">
                <c:v>0.70249097636254698</c:v>
              </c:pt>
              <c:pt idx="7">
                <c:v>0.75249097636254703</c:v>
              </c:pt>
            </c:numLit>
          </c:xVal>
          <c:yVal>
            <c:numLit>
              <c:formatCode>General</c:formatCode>
              <c:ptCount val="8"/>
              <c:pt idx="0">
                <c:v>1864.0108961292799</c:v>
              </c:pt>
              <c:pt idx="1">
                <c:v>2032.7714334757</c:v>
              </c:pt>
              <c:pt idx="2">
                <c:v>2182.7004868737399</c:v>
              </c:pt>
              <c:pt idx="3">
                <c:v>2309.3051408085398</c:v>
              </c:pt>
              <c:pt idx="4">
                <c:v>2578.7210810267902</c:v>
              </c:pt>
              <c:pt idx="5">
                <c:v>3229.2300545445</c:v>
              </c:pt>
              <c:pt idx="6">
                <c:v>16020.5406193537</c:v>
              </c:pt>
              <c:pt idx="7">
                <c:v>100000</c:v>
              </c:pt>
            </c:numLit>
          </c:yVal>
          <c:smooth val="0"/>
          <c:extLst>
            <c:ext xmlns:c16="http://schemas.microsoft.com/office/drawing/2014/chart" uri="{C3380CC4-5D6E-409C-BE32-E72D297353CC}">
              <c16:uniqueId val="{00000006-6963-4CA1-93A9-95FB17B30FEB}"/>
            </c:ext>
          </c:extLst>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72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5766.6948713558104</c:v>
              </c:pt>
              <c:pt idx="1">
                <c:v>5869.9896759130397</c:v>
              </c:pt>
              <c:pt idx="2">
                <c:v>6336.2490254331697</c:v>
              </c:pt>
              <c:pt idx="3">
                <c:v>6533.3917235052904</c:v>
              </c:pt>
              <c:pt idx="4">
                <c:v>7232.7564025918</c:v>
              </c:pt>
              <c:pt idx="5">
                <c:v>46394.4269769042</c:v>
              </c:pt>
              <c:pt idx="6">
                <c:v>77181.660138317893</c:v>
              </c:pt>
              <c:pt idx="7">
                <c:v>78834.856617148602</c:v>
              </c:pt>
            </c:numLit>
          </c:yVal>
          <c:smooth val="0"/>
          <c:extLst>
            <c:ext xmlns:c16="http://schemas.microsoft.com/office/drawing/2014/chart" uri="{C3380CC4-5D6E-409C-BE32-E72D297353CC}">
              <c16:uniqueId val="{00000000-17AD-4C71-88EA-5F384C920138}"/>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4074.0507778638498</c:v>
              </c:pt>
              <c:pt idx="1">
                <c:v>4132.8693369086204</c:v>
              </c:pt>
              <c:pt idx="2">
                <c:v>4422.4191873624404</c:v>
              </c:pt>
              <c:pt idx="3">
                <c:v>4492.7945824486296</c:v>
              </c:pt>
              <c:pt idx="4">
                <c:v>4807.8254307748002</c:v>
              </c:pt>
              <c:pt idx="5">
                <c:v>6263.6695815819303</c:v>
              </c:pt>
              <c:pt idx="6">
                <c:v>31852.038372192201</c:v>
              </c:pt>
              <c:pt idx="7">
                <c:v>78834.856617148602</c:v>
              </c:pt>
            </c:numLit>
          </c:yVal>
          <c:smooth val="0"/>
          <c:extLst>
            <c:ext xmlns:c16="http://schemas.microsoft.com/office/drawing/2014/chart" uri="{C3380CC4-5D6E-409C-BE32-E72D297353CC}">
              <c16:uniqueId val="{00000001-17AD-4C71-88EA-5F384C920138}"/>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3707.1187454778601</c:v>
              </c:pt>
              <c:pt idx="1">
                <c:v>3756.0023474320101</c:v>
              </c:pt>
              <c:pt idx="2">
                <c:v>4008.1691887557499</c:v>
              </c:pt>
              <c:pt idx="3">
                <c:v>4053.80395164426</c:v>
              </c:pt>
              <c:pt idx="4">
                <c:v>4294.6655357607797</c:v>
              </c:pt>
              <c:pt idx="5">
                <c:v>5452.5298772198403</c:v>
              </c:pt>
              <c:pt idx="6">
                <c:v>5743.5583979465</c:v>
              </c:pt>
              <c:pt idx="7">
                <c:v>29510.371240854201</c:v>
              </c:pt>
            </c:numLit>
          </c:yVal>
          <c:smooth val="0"/>
          <c:extLst>
            <c:ext xmlns:c16="http://schemas.microsoft.com/office/drawing/2014/chart" uri="{C3380CC4-5D6E-409C-BE32-E72D297353CC}">
              <c16:uniqueId val="{00000002-17AD-4C71-88EA-5F384C920138}"/>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3358.7988633524201</c:v>
              </c:pt>
              <c:pt idx="1">
                <c:v>3400.2696876341802</c:v>
              </c:pt>
              <c:pt idx="2">
                <c:v>3625.71039070398</c:v>
              </c:pt>
              <c:pt idx="3">
                <c:v>3666.2800510290799</c:v>
              </c:pt>
              <c:pt idx="4">
                <c:v>3886.4805691595102</c:v>
              </c:pt>
              <c:pt idx="5">
                <c:v>4913.4017042609303</c:v>
              </c:pt>
              <c:pt idx="6">
                <c:v>5198.6468157198196</c:v>
              </c:pt>
              <c:pt idx="7">
                <c:v>28953.787897390499</c:v>
              </c:pt>
            </c:numLit>
          </c:yVal>
          <c:smooth val="0"/>
          <c:extLst>
            <c:ext xmlns:c16="http://schemas.microsoft.com/office/drawing/2014/chart" uri="{C3380CC4-5D6E-409C-BE32-E72D297353CC}">
              <c16:uniqueId val="{00000003-17AD-4C71-88EA-5F384C920138}"/>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2985.5989896465999</c:v>
              </c:pt>
              <c:pt idx="1">
                <c:v>3019.1275521365101</c:v>
              </c:pt>
              <c:pt idx="2">
                <c:v>3215.93310707708</c:v>
              </c:pt>
              <c:pt idx="3">
                <c:v>3251.07587179852</c:v>
              </c:pt>
              <c:pt idx="4">
                <c:v>3449.1395335152902</c:v>
              </c:pt>
              <c:pt idx="5">
                <c:v>4335.7643760906603</c:v>
              </c:pt>
              <c:pt idx="6">
                <c:v>4614.8129776198002</c:v>
              </c:pt>
              <c:pt idx="7">
                <c:v>28357.448600822201</c:v>
              </c:pt>
            </c:numLit>
          </c:yVal>
          <c:smooth val="0"/>
          <c:extLst>
            <c:ext xmlns:c16="http://schemas.microsoft.com/office/drawing/2014/chart" uri="{C3380CC4-5D6E-409C-BE32-E72D297353CC}">
              <c16:uniqueId val="{00000004-17AD-4C71-88EA-5F384C920138}"/>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2736.7990738427202</c:v>
              </c:pt>
              <c:pt idx="1">
                <c:v>2765.03279513806</c:v>
              </c:pt>
              <c:pt idx="2">
                <c:v>2942.7482513258201</c:v>
              </c:pt>
              <c:pt idx="3">
                <c:v>2974.2730856448202</c:v>
              </c:pt>
              <c:pt idx="4">
                <c:v>3157.5788430858101</c:v>
              </c:pt>
              <c:pt idx="5">
                <c:v>3950.6728239771501</c:v>
              </c:pt>
              <c:pt idx="6">
                <c:v>4225.5904188864497</c:v>
              </c:pt>
              <c:pt idx="7">
                <c:v>27959.889069776698</c:v>
              </c:pt>
            </c:numLit>
          </c:yVal>
          <c:smooth val="0"/>
          <c:extLst>
            <c:ext xmlns:c16="http://schemas.microsoft.com/office/drawing/2014/chart" uri="{C3380CC4-5D6E-409C-BE32-E72D297353CC}">
              <c16:uniqueId val="{00000005-17AD-4C71-88EA-5F384C920138}"/>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2487.99915803883</c:v>
              </c:pt>
              <c:pt idx="1">
                <c:v>2510.9380381396199</c:v>
              </c:pt>
              <c:pt idx="2">
                <c:v>2669.5633955745502</c:v>
              </c:pt>
              <c:pt idx="3">
                <c:v>2697.4702994911199</c:v>
              </c:pt>
              <c:pt idx="4">
                <c:v>2866.0181526563401</c:v>
              </c:pt>
              <c:pt idx="5">
                <c:v>3565.5812718636398</c:v>
              </c:pt>
              <c:pt idx="6">
                <c:v>3836.3678601531101</c:v>
              </c:pt>
              <c:pt idx="7">
                <c:v>27562.329538731199</c:v>
              </c:pt>
            </c:numLit>
          </c:yVal>
          <c:smooth val="0"/>
          <c:extLst>
            <c:ext xmlns:c16="http://schemas.microsoft.com/office/drawing/2014/chart" uri="{C3380CC4-5D6E-409C-BE32-E72D297353CC}">
              <c16:uniqueId val="{00000006-17AD-4C71-88EA-5F384C920138}"/>
            </c:ext>
          </c:extLst>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2670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2942.3174468873999</c:v>
              </c:pt>
              <c:pt idx="1">
                <c:v>3019.7960373902501</c:v>
              </c:pt>
              <c:pt idx="2">
                <c:v>3115.10459406068</c:v>
              </c:pt>
              <c:pt idx="3">
                <c:v>3324.3557522532601</c:v>
              </c:pt>
              <c:pt idx="4">
                <c:v>3670.1550673616598</c:v>
              </c:pt>
              <c:pt idx="5">
                <c:v>12968.9897040498</c:v>
              </c:pt>
              <c:pt idx="6">
                <c:v>95830.104011696996</c:v>
              </c:pt>
              <c:pt idx="7">
                <c:v>100000</c:v>
              </c:pt>
            </c:numLit>
          </c:yVal>
          <c:smooth val="0"/>
          <c:extLst>
            <c:ext xmlns:c16="http://schemas.microsoft.com/office/drawing/2014/chart" uri="{C3380CC4-5D6E-409C-BE32-E72D297353CC}">
              <c16:uniqueId val="{00000000-45E6-4B87-A7E6-FC487EBAB5BF}"/>
            </c:ext>
          </c:extLst>
        </c:ser>
        <c:ser>
          <c:idx val="2"/>
          <c:order val="1"/>
          <c:tx>
            <c:strRef>
              <c:f>2025</c:f>
              <c:strCache>
                <c:ptCount val="1"/>
                <c:pt idx="0">
                  <c:v>2025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2021.28541066256</c:v>
              </c:pt>
              <c:pt idx="1">
                <c:v>2159.0949405285601</c:v>
              </c:pt>
              <c:pt idx="2">
                <c:v>2302.63919923302</c:v>
              </c:pt>
              <c:pt idx="3">
                <c:v>2510.1354129246902</c:v>
              </c:pt>
              <c:pt idx="4">
                <c:v>2849.5254882807699</c:v>
              </c:pt>
              <c:pt idx="5">
                <c:v>3748.98730286213</c:v>
              </c:pt>
              <c:pt idx="6">
                <c:v>19420.3981819982</c:v>
              </c:pt>
              <c:pt idx="7">
                <c:v>100000</c:v>
              </c:pt>
            </c:numLit>
          </c:yVal>
          <c:smooth val="1"/>
          <c:extLst>
            <c:ext xmlns:c16="http://schemas.microsoft.com/office/drawing/2014/chart" uri="{C3380CC4-5D6E-409C-BE32-E72D297353CC}">
              <c16:uniqueId val="{00000001-45E6-4B87-A7E6-FC487EBAB5BF}"/>
            </c:ext>
          </c:extLst>
        </c:ser>
        <c:ser>
          <c:idx val="3"/>
          <c:order val="2"/>
          <c:tx>
            <c:strRef>
              <c:f>2030</c:f>
              <c:strCache>
                <c:ptCount val="1"/>
                <c:pt idx="0">
                  <c:v>2030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2-45E6-4B87-A7E6-FC487EBAB5BF}"/>
            </c:ext>
          </c:extLst>
        </c:ser>
        <c:ser>
          <c:idx val="4"/>
          <c:order val="3"/>
          <c:tx>
            <c:strRef>
              <c:f>2035</c:f>
              <c:strCache>
                <c:ptCount val="1"/>
                <c:pt idx="0">
                  <c:v>2035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3-45E6-4B87-A7E6-FC487EBAB5BF}"/>
            </c:ext>
          </c:extLst>
        </c:ser>
        <c:ser>
          <c:idx val="5"/>
          <c:order val="4"/>
          <c:tx>
            <c:strRef>
              <c:f>2040</c:f>
              <c:strCache>
                <c:ptCount val="1"/>
                <c:pt idx="0">
                  <c:v>2040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4-45E6-4B87-A7E6-FC487EBAB5BF}"/>
            </c:ext>
          </c:extLst>
        </c:ser>
        <c:ser>
          <c:idx val="6"/>
          <c:order val="5"/>
          <c:tx>
            <c:strRef>
              <c:f>2045</c:f>
              <c:strCache>
                <c:ptCount val="1"/>
                <c:pt idx="0">
                  <c:v>2045</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5-45E6-4B87-A7E6-FC487EBAB5BF}"/>
            </c:ext>
          </c:extLst>
        </c:ser>
        <c:ser>
          <c:idx val="7"/>
          <c:order val="6"/>
          <c:tx>
            <c:strRef>
              <c:f>2050</c:f>
              <c:strCache>
                <c:ptCount val="1"/>
                <c:pt idx="0">
                  <c:v>2050</c:v>
                </c:pt>
              </c:strCache>
            </c:strRef>
          </c:tx>
          <c:marker>
            <c:symbol val="none"/>
          </c:marker>
          <c:xVal>
            <c:numLit>
              <c:formatCode>General</c:formatCode>
              <c:ptCount val="8"/>
              <c:pt idx="0">
                <c:v>0.33186823227190998</c:v>
              </c:pt>
              <c:pt idx="1">
                <c:v>0.43186823227191001</c:v>
              </c:pt>
              <c:pt idx="2">
                <c:v>0.48186823227191</c:v>
              </c:pt>
              <c:pt idx="3">
                <c:v>0.53186823227191005</c:v>
              </c:pt>
              <c:pt idx="4">
                <c:v>0.58186823227190998</c:v>
              </c:pt>
              <c:pt idx="5">
                <c:v>0.63186823227191002</c:v>
              </c:pt>
              <c:pt idx="6">
                <c:v>0.68186823227190996</c:v>
              </c:pt>
              <c:pt idx="7">
                <c:v>0.73186823227191</c:v>
              </c:pt>
            </c:numLit>
          </c:xVal>
          <c:yVal>
            <c:numLit>
              <c:formatCode>General</c:formatCode>
              <c:ptCount val="8"/>
              <c:pt idx="0">
                <c:v>1866.25609419688</c:v>
              </c:pt>
              <c:pt idx="1">
                <c:v>1980.61905259269</c:v>
              </c:pt>
              <c:pt idx="2">
                <c:v>2098.0821580812499</c:v>
              </c:pt>
              <c:pt idx="3">
                <c:v>2267.2895565591102</c:v>
              </c:pt>
              <c:pt idx="4">
                <c:v>2496.4469983703302</c:v>
              </c:pt>
              <c:pt idx="5">
                <c:v>2926.2579697562001</c:v>
              </c:pt>
              <c:pt idx="6">
                <c:v>10460.837819731099</c:v>
              </c:pt>
              <c:pt idx="7">
                <c:v>77926.098664161895</c:v>
              </c:pt>
            </c:numLit>
          </c:yVal>
          <c:smooth val="0"/>
          <c:extLst>
            <c:ext xmlns:c16="http://schemas.microsoft.com/office/drawing/2014/chart" uri="{C3380CC4-5D6E-409C-BE32-E72D297353CC}">
              <c16:uniqueId val="{00000006-45E6-4B87-A7E6-FC487EBAB5BF}"/>
            </c:ext>
          </c:extLst>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3342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4653.2234615237603</c:v>
              </c:pt>
              <c:pt idx="1">
                <c:v>4750.7090679354496</c:v>
              </c:pt>
              <c:pt idx="2">
                <c:v>5076.59341963116</c:v>
              </c:pt>
              <c:pt idx="3">
                <c:v>5397.3421965094603</c:v>
              </c:pt>
              <c:pt idx="4">
                <c:v>6601.9507747579601</c:v>
              </c:pt>
              <c:pt idx="5">
                <c:v>61619.302350721096</c:v>
              </c:pt>
              <c:pt idx="6">
                <c:v>68585.493224866499</c:v>
              </c:pt>
              <c:pt idx="7">
                <c:v>70417.992328148597</c:v>
              </c:pt>
            </c:numLit>
          </c:yVal>
          <c:smooth val="0"/>
          <c:extLst>
            <c:ext xmlns:c16="http://schemas.microsoft.com/office/drawing/2014/chart" uri="{C3380CC4-5D6E-409C-BE32-E72D297353CC}">
              <c16:uniqueId val="{00000000-8472-4101-9D1E-C1E63D0B6529}"/>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3254.9103797346002</c:v>
              </c:pt>
              <c:pt idx="1">
                <c:v>3315.71238047222</c:v>
              </c:pt>
              <c:pt idx="2">
                <c:v>3523.0574687531398</c:v>
              </c:pt>
              <c:pt idx="3">
                <c:v>3677.4075661352999</c:v>
              </c:pt>
              <c:pt idx="4">
                <c:v>4152.08359307305</c:v>
              </c:pt>
              <c:pt idx="5">
                <c:v>26687.104432575899</c:v>
              </c:pt>
              <c:pt idx="6">
                <c:v>68585.493224866499</c:v>
              </c:pt>
              <c:pt idx="7">
                <c:v>70417.992328148597</c:v>
              </c:pt>
            </c:numLit>
          </c:yVal>
          <c:smooth val="0"/>
          <c:extLst>
            <c:ext xmlns:c16="http://schemas.microsoft.com/office/drawing/2014/chart" uri="{C3380CC4-5D6E-409C-BE32-E72D297353CC}">
              <c16:uniqueId val="{00000001-8472-4101-9D1E-C1E63D0B6529}"/>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2950.9604821490698</c:v>
              </c:pt>
              <c:pt idx="1">
                <c:v>3005.3033014267098</c:v>
              </c:pt>
              <c:pt idx="2">
                <c:v>3184.8792912110798</c:v>
              </c:pt>
              <c:pt idx="3">
                <c:v>3296.8546195581398</c:v>
              </c:pt>
              <c:pt idx="4">
                <c:v>3632.8932853108299</c:v>
              </c:pt>
              <c:pt idx="5">
                <c:v>5075.0742036144902</c:v>
              </c:pt>
              <c:pt idx="6">
                <c:v>25987.935191538501</c:v>
              </c:pt>
              <c:pt idx="7">
                <c:v>70417.992328148597</c:v>
              </c:pt>
            </c:numLit>
          </c:yVal>
          <c:smooth val="0"/>
          <c:extLst>
            <c:ext xmlns:c16="http://schemas.microsoft.com/office/drawing/2014/chart" uri="{C3380CC4-5D6E-409C-BE32-E72D297353CC}">
              <c16:uniqueId val="{00000002-8472-4101-9D1E-C1E63D0B6529}"/>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2673.6890274504999</c:v>
              </c:pt>
              <c:pt idx="1">
                <c:v>2721.1074797799802</c:v>
              </c:pt>
              <c:pt idx="2">
                <c:v>2884.0175221956902</c:v>
              </c:pt>
              <c:pt idx="3">
                <c:v>2990.0351659938701</c:v>
              </c:pt>
              <c:pt idx="4">
                <c:v>3308.9717707834102</c:v>
              </c:pt>
              <c:pt idx="5">
                <c:v>4632.0908894774802</c:v>
              </c:pt>
              <c:pt idx="6">
                <c:v>25536.080030077101</c:v>
              </c:pt>
              <c:pt idx="7">
                <c:v>70417.992328148597</c:v>
              </c:pt>
            </c:numLit>
          </c:yVal>
          <c:smooth val="0"/>
          <c:extLst>
            <c:ext xmlns:c16="http://schemas.microsoft.com/office/drawing/2014/chart" uri="{C3380CC4-5D6E-409C-BE32-E72D297353CC}">
              <c16:uniqueId val="{00000003-8472-4101-9D1E-C1E63D0B6529}"/>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2376.6124688448899</c:v>
              </c:pt>
              <c:pt idx="1">
                <c:v>2416.6119565870699</c:v>
              </c:pt>
              <c:pt idx="2">
                <c:v>2561.6656268220499</c:v>
              </c:pt>
              <c:pt idx="3">
                <c:v>2661.3000371749999</c:v>
              </c:pt>
              <c:pt idx="4">
                <c:v>2961.91300521831</c:v>
              </c:pt>
              <c:pt idx="5">
                <c:v>4157.4659100449799</c:v>
              </c:pt>
              <c:pt idx="6">
                <c:v>25051.949499939801</c:v>
              </c:pt>
              <c:pt idx="7">
                <c:v>70417.992328148597</c:v>
              </c:pt>
            </c:numLit>
          </c:yVal>
          <c:smooth val="0"/>
          <c:extLst>
            <c:ext xmlns:c16="http://schemas.microsoft.com/office/drawing/2014/chart" uri="{C3380CC4-5D6E-409C-BE32-E72D297353CC}">
              <c16:uniqueId val="{00000004-8472-4101-9D1E-C1E63D0B6529}"/>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2178.5614297744801</c:v>
              </c:pt>
              <c:pt idx="1">
                <c:v>2213.6149411251199</c:v>
              </c:pt>
              <c:pt idx="2">
                <c:v>2346.7643632396298</c:v>
              </c:pt>
              <c:pt idx="3">
                <c:v>2442.14328462909</c:v>
              </c:pt>
              <c:pt idx="4">
                <c:v>2730.5404948415799</c:v>
              </c:pt>
              <c:pt idx="5">
                <c:v>3841.0492570899701</c:v>
              </c:pt>
              <c:pt idx="6">
                <c:v>24729.195813181701</c:v>
              </c:pt>
              <c:pt idx="7">
                <c:v>70417.992328148597</c:v>
              </c:pt>
            </c:numLit>
          </c:yVal>
          <c:smooth val="0"/>
          <c:extLst>
            <c:ext xmlns:c16="http://schemas.microsoft.com/office/drawing/2014/chart" uri="{C3380CC4-5D6E-409C-BE32-E72D297353CC}">
              <c16:uniqueId val="{00000005-8472-4101-9D1E-C1E63D0B6529}"/>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1980.51039070407</c:v>
              </c:pt>
              <c:pt idx="1">
                <c:v>2010.6179256631799</c:v>
              </c:pt>
              <c:pt idx="2">
                <c:v>2131.8630996572101</c:v>
              </c:pt>
              <c:pt idx="3">
                <c:v>2222.98653208318</c:v>
              </c:pt>
              <c:pt idx="4">
                <c:v>2499.1679844648502</c:v>
              </c:pt>
              <c:pt idx="5">
                <c:v>3524.6326041349698</c:v>
              </c:pt>
              <c:pt idx="6">
                <c:v>24406.442126423499</c:v>
              </c:pt>
              <c:pt idx="7">
                <c:v>70417.992328148597</c:v>
              </c:pt>
            </c:numLit>
          </c:yVal>
          <c:smooth val="0"/>
          <c:extLst>
            <c:ext xmlns:c16="http://schemas.microsoft.com/office/drawing/2014/chart" uri="{C3380CC4-5D6E-409C-BE32-E72D297353CC}">
              <c16:uniqueId val="{00000006-8472-4101-9D1E-C1E63D0B6529}"/>
            </c:ext>
          </c:extLst>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840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4728.5503122125301</c:v>
              </c:pt>
              <c:pt idx="1">
                <c:v>6646.0034012550695</c:v>
              </c:pt>
              <c:pt idx="2">
                <c:v>8563.4564902975999</c:v>
              </c:pt>
              <c:pt idx="3">
                <c:v>11050.7713810353</c:v>
              </c:pt>
              <c:pt idx="4">
                <c:v>13538.0862717729</c:v>
              </c:pt>
              <c:pt idx="5">
                <c:v>16907.7544778376</c:v>
              </c:pt>
              <c:pt idx="6">
                <c:v>20533.876387947701</c:v>
              </c:pt>
              <c:pt idx="7">
                <c:v>28555.481320303701</c:v>
              </c:pt>
            </c:numLit>
          </c:yVal>
          <c:smooth val="1"/>
          <c:extLst>
            <c:ext xmlns:c16="http://schemas.microsoft.com/office/drawing/2014/chart" uri="{C3380CC4-5D6E-409C-BE32-E72D297353CC}">
              <c16:uniqueId val="{00000000-F4FC-4D8D-8863-0E3055E24405}"/>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3544.25108146708</c:v>
              </c:pt>
              <c:pt idx="1">
                <c:v>3861.5459401888902</c:v>
              </c:pt>
              <c:pt idx="2">
                <c:v>4989.0845966462302</c:v>
              </c:pt>
              <c:pt idx="3">
                <c:v>6414.8478834300604</c:v>
              </c:pt>
              <c:pt idx="4">
                <c:v>7840.6111702138896</c:v>
              </c:pt>
              <c:pt idx="5">
                <c:v>9583.9411173561493</c:v>
              </c:pt>
              <c:pt idx="6">
                <c:v>11630.501891013</c:v>
              </c:pt>
              <c:pt idx="7">
                <c:v>16025.9056947112</c:v>
              </c:pt>
            </c:numLit>
          </c:yVal>
          <c:smooth val="1"/>
          <c:extLst>
            <c:ext xmlns:c16="http://schemas.microsoft.com/office/drawing/2014/chart" uri="{C3380CC4-5D6E-409C-BE32-E72D297353CC}">
              <c16:uniqueId val="{00000001-F4FC-4D8D-8863-0E3055E24405}"/>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2660.5472983892801</c:v>
              </c:pt>
              <c:pt idx="1">
                <c:v>2898.7296279593702</c:v>
              </c:pt>
              <c:pt idx="2">
                <c:v>3370.0265779597598</c:v>
              </c:pt>
              <c:pt idx="3">
                <c:v>4339.8027831659701</c:v>
              </c:pt>
              <c:pt idx="4">
                <c:v>5309.57898837218</c:v>
              </c:pt>
              <c:pt idx="5">
                <c:v>6478.7053827680502</c:v>
              </c:pt>
              <c:pt idx="6">
                <c:v>7706.6573514208903</c:v>
              </c:pt>
              <c:pt idx="7">
                <c:v>10615.976529662599</c:v>
              </c:pt>
            </c:numLit>
          </c:yVal>
          <c:smooth val="1"/>
          <c:extLst>
            <c:ext xmlns:c16="http://schemas.microsoft.com/office/drawing/2014/chart" uri="{C3380CC4-5D6E-409C-BE32-E72D297353CC}">
              <c16:uniqueId val="{00000002-F4FC-4D8D-8863-0E3055E24405}"/>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2297.74539406347</c:v>
              </c:pt>
              <c:pt idx="1">
                <c:v>2503.4483150558199</c:v>
              </c:pt>
              <c:pt idx="2">
                <c:v>2910.4774991470599</c:v>
              </c:pt>
              <c:pt idx="3">
                <c:v>3748.0114945524301</c:v>
              </c:pt>
              <c:pt idx="4">
                <c:v>4585.5454899577899</c:v>
              </c:pt>
              <c:pt idx="5">
                <c:v>5432.2772406263402</c:v>
              </c:pt>
              <c:pt idx="6">
                <c:v>6279.0089912948897</c:v>
              </c:pt>
              <c:pt idx="7">
                <c:v>8530.5455671162308</c:v>
              </c:pt>
            </c:numLit>
          </c:yVal>
          <c:smooth val="1"/>
          <c:extLst>
            <c:ext xmlns:c16="http://schemas.microsoft.com/office/drawing/2014/chart" uri="{C3380CC4-5D6E-409C-BE32-E72D297353CC}">
              <c16:uniqueId val="{00000003-F4FC-4D8D-8863-0E3055E24405}"/>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2055.8774578462599</c:v>
              </c:pt>
              <c:pt idx="1">
                <c:v>2239.9274397867798</c:v>
              </c:pt>
              <c:pt idx="2">
                <c:v>2604.11144660527</c:v>
              </c:pt>
              <c:pt idx="3">
                <c:v>3353.4839688100601</c:v>
              </c:pt>
              <c:pt idx="4">
                <c:v>4102.8564910148698</c:v>
              </c:pt>
              <c:pt idx="5">
                <c:v>4860.4585837183004</c:v>
              </c:pt>
              <c:pt idx="6">
                <c:v>5618.06067642174</c:v>
              </c:pt>
              <c:pt idx="7">
                <c:v>7418.5954563017604</c:v>
              </c:pt>
            </c:numLit>
          </c:yVal>
          <c:smooth val="1"/>
          <c:extLst>
            <c:ext xmlns:c16="http://schemas.microsoft.com/office/drawing/2014/chart" uri="{C3380CC4-5D6E-409C-BE32-E72D297353CC}">
              <c16:uniqueId val="{00000004-F4FC-4D8D-8863-0E3055E24405}"/>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1934.94348973766</c:v>
              </c:pt>
              <c:pt idx="1">
                <c:v>2108.16700215227</c:v>
              </c:pt>
              <c:pt idx="2">
                <c:v>2450.92842033437</c:v>
              </c:pt>
              <c:pt idx="3">
                <c:v>3156.2202059388801</c:v>
              </c:pt>
              <c:pt idx="4">
                <c:v>3861.5119915434002</c:v>
              </c:pt>
              <c:pt idx="5">
                <c:v>4574.54925526429</c:v>
              </c:pt>
              <c:pt idx="6">
                <c:v>5287.5865189851702</c:v>
              </c:pt>
              <c:pt idx="7">
                <c:v>6847.9342673554702</c:v>
              </c:pt>
            </c:numLit>
          </c:yVal>
          <c:smooth val="1"/>
          <c:extLst>
            <c:ext xmlns:c16="http://schemas.microsoft.com/office/drawing/2014/chart" uri="{C3380CC4-5D6E-409C-BE32-E72D297353CC}">
              <c16:uniqueId val="{00000005-F4FC-4D8D-8863-0E3055E24405}"/>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1862.3831088725001</c:v>
              </c:pt>
              <c:pt idx="1">
                <c:v>2029.1107395715601</c:v>
              </c:pt>
              <c:pt idx="2">
                <c:v>2359.0186045718301</c:v>
              </c:pt>
              <c:pt idx="3">
                <c:v>3037.8619482161798</c:v>
              </c:pt>
              <c:pt idx="4">
                <c:v>3716.70529186052</c:v>
              </c:pt>
              <c:pt idx="5">
                <c:v>4403.0036581918703</c:v>
              </c:pt>
              <c:pt idx="6">
                <c:v>5089.3020245232301</c:v>
              </c:pt>
              <c:pt idx="7">
                <c:v>6461.8987571859298</c:v>
              </c:pt>
            </c:numLit>
          </c:yVal>
          <c:smooth val="1"/>
          <c:extLst>
            <c:ext xmlns:c16="http://schemas.microsoft.com/office/drawing/2014/chart" uri="{C3380CC4-5D6E-409C-BE32-E72D297353CC}">
              <c16:uniqueId val="{00000006-F4FC-4D8D-8863-0E3055E24405}"/>
            </c:ext>
          </c:extLst>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599781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0501-4CAA-AB80-1E96387D7F46}"/>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0501-4CAA-AB80-1E96387D7F46}"/>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0501-4CAA-AB80-1E96387D7F46}"/>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0501-4CAA-AB80-1E96387D7F46}"/>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0501-4CAA-AB80-1E96387D7F46}"/>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0501-4CAA-AB80-1E96387D7F46}"/>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0501-4CAA-AB80-1E96387D7F46}"/>
            </c:ext>
          </c:extLst>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6886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5751-49ED-A324-4EE4360BAA3F}"/>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5751-49ED-A324-4EE4360BAA3F}"/>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5751-49ED-A324-4EE4360BAA3F}"/>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5751-49ED-A324-4EE4360BAA3F}"/>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5751-49ED-A324-4EE4360BAA3F}"/>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5751-49ED-A324-4EE4360BAA3F}"/>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5751-49ED-A324-4EE4360BAA3F}"/>
            </c:ext>
          </c:extLst>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04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-89.681625783698493</c:v>
              </c:pt>
              <c:pt idx="1">
                <c:v>264.22081841513102</c:v>
              </c:pt>
              <c:pt idx="2">
                <c:v>1080.0680508183</c:v>
              </c:pt>
              <c:pt idx="3">
                <c:v>2843.2155818992801</c:v>
              </c:pt>
              <c:pt idx="4">
                <c:v>5356.5402135328604</c:v>
              </c:pt>
              <c:pt idx="5">
                <c:v>34625.695384763399</c:v>
              </c:pt>
              <c:pt idx="6">
                <c:v>99804.011928287699</c:v>
              </c:pt>
              <c:pt idx="7">
                <c:v>99804.011928287699</c:v>
              </c:pt>
            </c:numLit>
          </c:yVal>
          <c:smooth val="0"/>
          <c:extLst>
            <c:ext xmlns:c16="http://schemas.microsoft.com/office/drawing/2014/chart" uri="{C3380CC4-5D6E-409C-BE32-E72D297353CC}">
              <c16:uniqueId val="{00000000-8A59-4BE4-B8EC-229FF1DA5A93}"/>
            </c:ext>
          </c:extLst>
        </c:ser>
        <c:ser>
          <c:idx val="2"/>
          <c:order val="1"/>
          <c:tx>
            <c:strRef>
              <c:f>2025</c:f>
              <c:strCache>
                <c:ptCount val="1"/>
                <c:pt idx="0">
                  <c:v>2025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-101.361813515403</c:v>
              </c:pt>
              <c:pt idx="1">
                <c:v>123.07598940459</c:v>
              </c:pt>
              <c:pt idx="2">
                <c:v>533.65611417654395</c:v>
              </c:pt>
              <c:pt idx="3">
                <c:v>1551.8447340349901</c:v>
              </c:pt>
              <c:pt idx="4">
                <c:v>2809.0487829927802</c:v>
              </c:pt>
              <c:pt idx="5">
                <c:v>8624.2846412627896</c:v>
              </c:pt>
              <c:pt idx="6">
                <c:v>62180.474514626701</c:v>
              </c:pt>
              <c:pt idx="7">
                <c:v>99804.011928287699</c:v>
              </c:pt>
            </c:numLit>
          </c:yVal>
          <c:smooth val="0"/>
          <c:extLst>
            <c:ext xmlns:c16="http://schemas.microsoft.com/office/drawing/2014/chart" uri="{C3380CC4-5D6E-409C-BE32-E72D297353CC}">
              <c16:uniqueId val="{00000001-8A59-4BE4-B8EC-229FF1DA5A93}"/>
            </c:ext>
          </c:extLst>
        </c:ser>
        <c:ser>
          <c:idx val="3"/>
          <c:order val="2"/>
          <c:tx>
            <c:strRef>
              <c:f>2030</c:f>
              <c:strCache>
                <c:ptCount val="1"/>
                <c:pt idx="0">
                  <c:v>2030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2-8A59-4BE4-B8EC-229FF1DA5A93}"/>
            </c:ext>
          </c:extLst>
        </c:ser>
        <c:ser>
          <c:idx val="4"/>
          <c:order val="3"/>
          <c:tx>
            <c:strRef>
              <c:f>2035</c:f>
              <c:strCache>
                <c:ptCount val="1"/>
                <c:pt idx="0">
                  <c:v>2035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3-8A59-4BE4-B8EC-229FF1DA5A93}"/>
            </c:ext>
          </c:extLst>
        </c:ser>
        <c:ser>
          <c:idx val="5"/>
          <c:order val="4"/>
          <c:tx>
            <c:strRef>
              <c:f>2040</c:f>
              <c:strCache>
                <c:ptCount val="1"/>
                <c:pt idx="0">
                  <c:v>2040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4-8A59-4BE4-B8EC-229FF1DA5A93}"/>
            </c:ext>
          </c:extLst>
        </c:ser>
        <c:ser>
          <c:idx val="6"/>
          <c:order val="5"/>
          <c:tx>
            <c:strRef>
              <c:f>2045</c:f>
              <c:strCache>
                <c:ptCount val="1"/>
                <c:pt idx="0">
                  <c:v>2045</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5-8A59-4BE4-B8EC-229FF1DA5A93}"/>
            </c:ext>
          </c:extLst>
        </c:ser>
        <c:ser>
          <c:idx val="7"/>
          <c:order val="6"/>
          <c:tx>
            <c:strRef>
              <c:f>2050</c:f>
              <c:strCache>
                <c:ptCount val="1"/>
                <c:pt idx="0">
                  <c:v>2050</c:v>
                </c:pt>
              </c:strCache>
            </c:strRef>
          </c:tx>
          <c:marker>
            <c:symbol val="none"/>
          </c:marker>
          <c:xVal>
            <c:numLit>
              <c:formatCode>General</c:formatCode>
              <c:ptCount val="8"/>
              <c:pt idx="0">
                <c:v>3.36239589419716E-2</c:v>
              </c:pt>
              <c:pt idx="1">
                <c:v>0.13362395894197199</c:v>
              </c:pt>
              <c:pt idx="2">
                <c:v>0.23362395894197199</c:v>
              </c:pt>
              <c:pt idx="3">
                <c:v>0.333623958941972</c:v>
              </c:pt>
              <c:pt idx="4">
                <c:v>0.38362395894197199</c:v>
              </c:pt>
              <c:pt idx="5">
                <c:v>0.43362395894197198</c:v>
              </c:pt>
              <c:pt idx="6">
                <c:v>0.48362395894197202</c:v>
              </c:pt>
              <c:pt idx="7">
                <c:v>0.53362395894197201</c:v>
              </c:pt>
            </c:numLit>
          </c:xVal>
          <c:yVal>
            <c:numLit>
              <c:formatCode>General</c:formatCode>
              <c:ptCount val="8"/>
              <c:pt idx="0">
                <c:v>-117.473933959996</c:v>
              </c:pt>
              <c:pt idx="1">
                <c:v>70.845460198766006</c:v>
              </c:pt>
              <c:pt idx="2">
                <c:v>331.79796283495898</c:v>
              </c:pt>
              <c:pt idx="3">
                <c:v>963.09717701775503</c:v>
              </c:pt>
              <c:pt idx="4">
                <c:v>1696.2388906618401</c:v>
              </c:pt>
              <c:pt idx="5">
                <c:v>3509.1530244043201</c:v>
              </c:pt>
              <c:pt idx="6">
                <c:v>21983.197421891498</c:v>
              </c:pt>
              <c:pt idx="7">
                <c:v>99804.011928287699</c:v>
              </c:pt>
            </c:numLit>
          </c:yVal>
          <c:smooth val="0"/>
          <c:extLst>
            <c:ext xmlns:c16="http://schemas.microsoft.com/office/drawing/2014/chart" uri="{C3380CC4-5D6E-409C-BE32-E72D297353CC}">
              <c16:uniqueId val="{00000006-8A59-4BE4-B8EC-229FF1DA5A93}"/>
            </c:ext>
          </c:extLst>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16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7A3C-471F-9B90-3ABDD3016CD5}"/>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7A3C-471F-9B90-3ABDD3016CD5}"/>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7A3C-471F-9B90-3ABDD3016CD5}"/>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7A3C-471F-9B90-3ABDD3016CD5}"/>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7A3C-471F-9B90-3ABDD3016CD5}"/>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7A3C-471F-9B90-3ABDD3016CD5}"/>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7A3C-471F-9B90-3ABDD3016CD5}"/>
            </c:ext>
          </c:extLst>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-220.15104074486101</c:v>
              </c:pt>
              <c:pt idx="1">
                <c:v>191.78315567768399</c:v>
              </c:pt>
              <c:pt idx="2">
                <c:v>1242.8675264093899</c:v>
              </c:pt>
              <c:pt idx="3">
                <c:v>5685.1733743330296</c:v>
              </c:pt>
              <c:pt idx="4">
                <c:v>15635.1429719316</c:v>
              </c:pt>
              <c:pt idx="5">
                <c:v>90187.515765959804</c:v>
              </c:pt>
              <c:pt idx="6">
                <c:v>99862.818862675704</c:v>
              </c:pt>
              <c:pt idx="7">
                <c:v>99862.818862675704</c:v>
              </c:pt>
            </c:numLit>
          </c:yVal>
          <c:smooth val="0"/>
          <c:extLst>
            <c:ext xmlns:c16="http://schemas.microsoft.com/office/drawing/2014/chart" uri="{C3380CC4-5D6E-409C-BE32-E72D297353CC}">
              <c16:uniqueId val="{00000000-08A3-45F2-B9BF-04C1307C3F99}"/>
            </c:ext>
          </c:extLst>
        </c:ser>
        <c:ser>
          <c:idx val="2"/>
          <c:order val="1"/>
          <c:tx>
            <c:strRef>
              <c:f>2025</c:f>
              <c:strCache>
                <c:ptCount val="1"/>
                <c:pt idx="0">
                  <c:v>2025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-359.69725105401699</c:v>
              </c:pt>
              <c:pt idx="1">
                <c:v>-37.244037800630799</c:v>
              </c:pt>
              <c:pt idx="2">
                <c:v>594.11143831613902</c:v>
              </c:pt>
              <c:pt idx="3">
                <c:v>2174.0857659461499</c:v>
              </c:pt>
              <c:pt idx="4">
                <c:v>5926.1142969646098</c:v>
              </c:pt>
              <c:pt idx="5">
                <c:v>16942.694552656802</c:v>
              </c:pt>
              <c:pt idx="6">
                <c:v>94362.653922403493</c:v>
              </c:pt>
              <c:pt idx="7">
                <c:v>99862.818862675704</c:v>
              </c:pt>
            </c:numLit>
          </c:yVal>
          <c:smooth val="0"/>
          <c:extLst>
            <c:ext xmlns:c16="http://schemas.microsoft.com/office/drawing/2014/chart" uri="{C3380CC4-5D6E-409C-BE32-E72D297353CC}">
              <c16:uniqueId val="{00000001-08A3-45F2-B9BF-04C1307C3F99}"/>
            </c:ext>
          </c:extLst>
        </c:ser>
        <c:ser>
          <c:idx val="3"/>
          <c:order val="2"/>
          <c:tx>
            <c:strRef>
              <c:f>2030</c:f>
              <c:strCache>
                <c:ptCount val="1"/>
                <c:pt idx="0">
                  <c:v>2030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2-08A3-45F2-B9BF-04C1307C3F99}"/>
            </c:ext>
          </c:extLst>
        </c:ser>
        <c:ser>
          <c:idx val="4"/>
          <c:order val="3"/>
          <c:tx>
            <c:strRef>
              <c:f>2035</c:f>
              <c:strCache>
                <c:ptCount val="1"/>
                <c:pt idx="0">
                  <c:v>2035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3-08A3-45F2-B9BF-04C1307C3F99}"/>
            </c:ext>
          </c:extLst>
        </c:ser>
        <c:ser>
          <c:idx val="5"/>
          <c:order val="4"/>
          <c:tx>
            <c:strRef>
              <c:f>2040</c:f>
              <c:strCache>
                <c:ptCount val="1"/>
                <c:pt idx="0">
                  <c:v>2040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4-08A3-45F2-B9BF-04C1307C3F99}"/>
            </c:ext>
          </c:extLst>
        </c:ser>
        <c:ser>
          <c:idx val="6"/>
          <c:order val="5"/>
          <c:tx>
            <c:strRef>
              <c:f>2045</c:f>
              <c:strCache>
                <c:ptCount val="1"/>
                <c:pt idx="0">
                  <c:v>2045</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5-08A3-45F2-B9BF-04C1307C3F99}"/>
            </c:ext>
          </c:extLst>
        </c:ser>
        <c:ser>
          <c:idx val="7"/>
          <c:order val="6"/>
          <c:tx>
            <c:strRef>
              <c:f>2050</c:f>
              <c:strCache>
                <c:ptCount val="1"/>
                <c:pt idx="0">
                  <c:v>2050</c:v>
                </c:pt>
              </c:strCache>
            </c:strRef>
          </c:tx>
          <c:marker>
            <c:symbol val="none"/>
          </c:marker>
          <c:xVal>
            <c:numLit>
              <c:formatCode>General</c:formatCode>
              <c:ptCount val="8"/>
              <c:pt idx="0">
                <c:v>6.2109195235919699E-2</c:v>
              </c:pt>
              <c:pt idx="1">
                <c:v>0.16210919523591999</c:v>
              </c:pt>
              <c:pt idx="2">
                <c:v>0.26210919523592002</c:v>
              </c:pt>
              <c:pt idx="3">
                <c:v>0.36210919523592</c:v>
              </c:pt>
              <c:pt idx="4">
                <c:v>0.41210919523591999</c:v>
              </c:pt>
              <c:pt idx="5">
                <c:v>0.46210919523591998</c:v>
              </c:pt>
              <c:pt idx="6">
                <c:v>0.51210919523592002</c:v>
              </c:pt>
              <c:pt idx="7">
                <c:v>0.56210919523591996</c:v>
              </c:pt>
            </c:numLit>
          </c:xVal>
          <c:yVal>
            <c:numLit>
              <c:formatCode>General</c:formatCode>
              <c:ptCount val="8"/>
              <c:pt idx="0">
                <c:v>-374.57144353624801</c:v>
              </c:pt>
              <c:pt idx="1">
                <c:v>-92.930894454069701</c:v>
              </c:pt>
              <c:pt idx="2">
                <c:v>370.83152311554102</c:v>
              </c:pt>
              <c:pt idx="3">
                <c:v>1527.57926987164</c:v>
              </c:pt>
              <c:pt idx="4">
                <c:v>3566.5374484038798</c:v>
              </c:pt>
              <c:pt idx="5">
                <c:v>9602.3982030688803</c:v>
              </c:pt>
              <c:pt idx="6">
                <c:v>65210.440360050197</c:v>
              </c:pt>
              <c:pt idx="7">
                <c:v>99862.818862675704</c:v>
              </c:pt>
            </c:numLit>
          </c:yVal>
          <c:smooth val="0"/>
          <c:extLst>
            <c:ext xmlns:c16="http://schemas.microsoft.com/office/drawing/2014/chart" uri="{C3380CC4-5D6E-409C-BE32-E72D297353CC}">
              <c16:uniqueId val="{00000006-08A3-45F2-B9BF-04C1307C3F99}"/>
            </c:ext>
          </c:extLst>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461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3629.1122490223102</c:v>
              </c:pt>
              <c:pt idx="1">
                <c:v>3846.8989354018099</c:v>
              </c:pt>
              <c:pt idx="2">
                <c:v>4092.31465319788</c:v>
              </c:pt>
              <c:pt idx="3">
                <c:v>4562.2779418170903</c:v>
              </c:pt>
              <c:pt idx="4">
                <c:v>5335.6649868517898</c:v>
              </c:pt>
              <c:pt idx="5">
                <c:v>29595.805123549399</c:v>
              </c:pt>
              <c:pt idx="6">
                <c:v>91390.412559941396</c:v>
              </c:pt>
              <c:pt idx="7">
                <c:v>100000</c:v>
              </c:pt>
            </c:numLit>
          </c:yVal>
          <c:smooth val="0"/>
          <c:extLst>
            <c:ext xmlns:c16="http://schemas.microsoft.com/office/drawing/2014/chart" uri="{C3380CC4-5D6E-409C-BE32-E72D297353CC}">
              <c16:uniqueId val="{00000000-24C1-415A-B318-834C8479B3BF}"/>
            </c:ext>
          </c:extLst>
        </c:ser>
        <c:ser>
          <c:idx val="2"/>
          <c:order val="1"/>
          <c:tx>
            <c:strRef>
              <c:f>2025</c:f>
              <c:strCache>
                <c:ptCount val="1"/>
                <c:pt idx="0">
                  <c:v>2025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2473.7042328226598</c:v>
              </c:pt>
              <c:pt idx="1">
                <c:v>2669.5027613606198</c:v>
              </c:pt>
              <c:pt idx="2">
                <c:v>2898.4092455683299</c:v>
              </c:pt>
              <c:pt idx="3">
                <c:v>3223.7271136066702</c:v>
              </c:pt>
              <c:pt idx="4">
                <c:v>3714.29842583753</c:v>
              </c:pt>
              <c:pt idx="5">
                <c:v>14159.3715744688</c:v>
              </c:pt>
              <c:pt idx="6">
                <c:v>90144.219908378203</c:v>
              </c:pt>
              <c:pt idx="7">
                <c:v>98501.599953725294</c:v>
              </c:pt>
            </c:numLit>
          </c:yVal>
          <c:smooth val="0"/>
          <c:extLst>
            <c:ext xmlns:c16="http://schemas.microsoft.com/office/drawing/2014/chart" uri="{C3380CC4-5D6E-409C-BE32-E72D297353CC}">
              <c16:uniqueId val="{00000001-24C1-415A-B318-834C8479B3BF}"/>
            </c:ext>
          </c:extLst>
        </c:ser>
        <c:ser>
          <c:idx val="3"/>
          <c:order val="2"/>
          <c:tx>
            <c:strRef>
              <c:f>2030</c:f>
              <c:strCache>
                <c:ptCount val="1"/>
                <c:pt idx="0">
                  <c:v>2030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2-24C1-415A-B318-834C8479B3BF}"/>
            </c:ext>
          </c:extLst>
        </c:ser>
        <c:ser>
          <c:idx val="4"/>
          <c:order val="3"/>
          <c:tx>
            <c:strRef>
              <c:f>2035</c:f>
              <c:strCache>
                <c:ptCount val="1"/>
                <c:pt idx="0">
                  <c:v>2035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3-24C1-415A-B318-834C8479B3BF}"/>
            </c:ext>
          </c:extLst>
        </c:ser>
        <c:ser>
          <c:idx val="5"/>
          <c:order val="4"/>
          <c:tx>
            <c:strRef>
              <c:f>2040</c:f>
              <c:strCache>
                <c:ptCount val="1"/>
                <c:pt idx="0">
                  <c:v>2040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4-24C1-415A-B318-834C8479B3BF}"/>
            </c:ext>
          </c:extLst>
        </c:ser>
        <c:ser>
          <c:idx val="6"/>
          <c:order val="5"/>
          <c:tx>
            <c:strRef>
              <c:f>2045</c:f>
              <c:strCache>
                <c:ptCount val="1"/>
                <c:pt idx="0">
                  <c:v>2045</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5-24C1-415A-B318-834C8479B3BF}"/>
            </c:ext>
          </c:extLst>
        </c:ser>
        <c:ser>
          <c:idx val="7"/>
          <c:order val="6"/>
          <c:tx>
            <c:strRef>
              <c:f>2050</c:f>
              <c:strCache>
                <c:ptCount val="1"/>
                <c:pt idx="0">
                  <c:v>2050</c:v>
                </c:pt>
              </c:strCache>
            </c:strRef>
          </c:tx>
          <c:marker>
            <c:symbol val="none"/>
          </c:marker>
          <c:xVal>
            <c:numLit>
              <c:formatCode>General</c:formatCode>
              <c:ptCount val="8"/>
              <c:pt idx="0">
                <c:v>0.24629808066744799</c:v>
              </c:pt>
              <c:pt idx="1">
                <c:v>0.34629808066744799</c:v>
              </c:pt>
              <c:pt idx="2">
                <c:v>0.39629808066744798</c:v>
              </c:pt>
              <c:pt idx="3">
                <c:v>0.44629808066744803</c:v>
              </c:pt>
              <c:pt idx="4">
                <c:v>0.49629808066744802</c:v>
              </c:pt>
              <c:pt idx="5">
                <c:v>0.546298080667448</c:v>
              </c:pt>
              <c:pt idx="6">
                <c:v>0.59629808066744805</c:v>
              </c:pt>
              <c:pt idx="7">
                <c:v>0.64629808066744798</c:v>
              </c:pt>
            </c:numLit>
          </c:xVal>
          <c:yVal>
            <c:numLit>
              <c:formatCode>General</c:formatCode>
              <c:ptCount val="8"/>
              <c:pt idx="0">
                <c:v>2263.4054717735698</c:v>
              </c:pt>
              <c:pt idx="1">
                <c:v>2514.7391001460501</c:v>
              </c:pt>
              <c:pt idx="2">
                <c:v>2725.86512644597</c:v>
              </c:pt>
              <c:pt idx="3">
                <c:v>2980.5603430173601</c:v>
              </c:pt>
              <c:pt idx="4">
                <c:v>3450.21934600229</c:v>
              </c:pt>
              <c:pt idx="5">
                <c:v>9256.5545775114406</c:v>
              </c:pt>
              <c:pt idx="6">
                <c:v>60610.218649711504</c:v>
              </c:pt>
              <c:pt idx="7">
                <c:v>96970.937593452894</c:v>
              </c:pt>
            </c:numLit>
          </c:yVal>
          <c:smooth val="0"/>
          <c:extLst>
            <c:ext xmlns:c16="http://schemas.microsoft.com/office/drawing/2014/chart" uri="{C3380CC4-5D6E-409C-BE32-E72D297353CC}">
              <c16:uniqueId val="{00000006-24C1-415A-B318-834C8479B3BF}"/>
            </c:ext>
          </c:extLst>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6852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3584.48722048128</c:v>
              </c:pt>
              <c:pt idx="1">
                <c:v>3784.4537990410799</c:v>
              </c:pt>
              <c:pt idx="2">
                <c:v>3934.7849201087602</c:v>
              </c:pt>
              <c:pt idx="3">
                <c:v>4178.84965339478</c:v>
              </c:pt>
              <c:pt idx="4">
                <c:v>4596.4264939999503</c:v>
              </c:pt>
              <c:pt idx="5">
                <c:v>14168.4754081021</c:v>
              </c:pt>
              <c:pt idx="6">
                <c:v>92977.707304043506</c:v>
              </c:pt>
              <c:pt idx="7">
                <c:v>100000</c:v>
              </c:pt>
            </c:numLit>
          </c:yVal>
          <c:smooth val="0"/>
          <c:extLst>
            <c:ext xmlns:c16="http://schemas.microsoft.com/office/drawing/2014/chart" uri="{C3380CC4-5D6E-409C-BE32-E72D297353CC}">
              <c16:uniqueId val="{00000000-2E35-4908-B83A-0845DDCFDE8D}"/>
            </c:ext>
          </c:extLst>
        </c:ser>
        <c:ser>
          <c:idx val="2"/>
          <c:order val="1"/>
          <c:tx>
            <c:strRef>
              <c:f>2025</c:f>
              <c:strCache>
                <c:ptCount val="1"/>
                <c:pt idx="0">
                  <c:v>2025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2456.6393290955698</c:v>
              </c:pt>
              <c:pt idx="1">
                <c:v>2607.0310780395598</c:v>
              </c:pt>
              <c:pt idx="2">
                <c:v>2743.30289016496</c:v>
              </c:pt>
              <c:pt idx="3">
                <c:v>2945.1933593001399</c:v>
              </c:pt>
              <c:pt idx="4">
                <c:v>3187.88436982658</c:v>
              </c:pt>
              <c:pt idx="5">
                <c:v>3676.0000960672601</c:v>
              </c:pt>
              <c:pt idx="6">
                <c:v>18147.5776294278</c:v>
              </c:pt>
              <c:pt idx="7">
                <c:v>100000</c:v>
              </c:pt>
            </c:numLit>
          </c:yVal>
          <c:smooth val="0"/>
          <c:extLst>
            <c:ext xmlns:c16="http://schemas.microsoft.com/office/drawing/2014/chart" uri="{C3380CC4-5D6E-409C-BE32-E72D297353CC}">
              <c16:uniqueId val="{00000001-2E35-4908-B83A-0845DDCFDE8D}"/>
            </c:ext>
          </c:extLst>
        </c:ser>
        <c:ser>
          <c:idx val="3"/>
          <c:order val="2"/>
          <c:tx>
            <c:strRef>
              <c:f>2030</c:f>
              <c:strCache>
                <c:ptCount val="1"/>
                <c:pt idx="0">
                  <c:v>2030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2-2E35-4908-B83A-0845DDCFDE8D}"/>
            </c:ext>
          </c:extLst>
        </c:ser>
        <c:ser>
          <c:idx val="4"/>
          <c:order val="3"/>
          <c:tx>
            <c:strRef>
              <c:f>2035</c:f>
              <c:strCache>
                <c:ptCount val="1"/>
                <c:pt idx="0">
                  <c:v>2035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3-2E35-4908-B83A-0845DDCFDE8D}"/>
            </c:ext>
          </c:extLst>
        </c:ser>
        <c:ser>
          <c:idx val="5"/>
          <c:order val="4"/>
          <c:tx>
            <c:strRef>
              <c:f>2040</c:f>
              <c:strCache>
                <c:ptCount val="1"/>
                <c:pt idx="0">
                  <c:v>2040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4-2E35-4908-B83A-0845DDCFDE8D}"/>
            </c:ext>
          </c:extLst>
        </c:ser>
        <c:ser>
          <c:idx val="6"/>
          <c:order val="5"/>
          <c:tx>
            <c:strRef>
              <c:f>2045</c:f>
              <c:strCache>
                <c:ptCount val="1"/>
                <c:pt idx="0">
                  <c:v>2045</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5-2E35-4908-B83A-0845DDCFDE8D}"/>
            </c:ext>
          </c:extLst>
        </c:ser>
        <c:ser>
          <c:idx val="7"/>
          <c:order val="6"/>
          <c:tx>
            <c:strRef>
              <c:f>2050</c:f>
              <c:strCache>
                <c:ptCount val="1"/>
                <c:pt idx="0">
                  <c:v>2050</c:v>
                </c:pt>
              </c:strCache>
            </c:strRef>
          </c:tx>
          <c:marker>
            <c:symbol val="none"/>
          </c:marker>
          <c:xVal>
            <c:numLit>
              <c:formatCode>General</c:formatCode>
              <c:ptCount val="8"/>
              <c:pt idx="0">
                <c:v>0.19861510832288301</c:v>
              </c:pt>
              <c:pt idx="1">
                <c:v>0.29861510832288302</c:v>
              </c:pt>
              <c:pt idx="2">
                <c:v>0.348615108322883</c:v>
              </c:pt>
              <c:pt idx="3">
                <c:v>0.39861510832288299</c:v>
              </c:pt>
              <c:pt idx="4">
                <c:v>0.44861510832288298</c:v>
              </c:pt>
              <c:pt idx="5">
                <c:v>0.49861510832288303</c:v>
              </c:pt>
              <c:pt idx="6">
                <c:v>0.54861510832288296</c:v>
              </c:pt>
              <c:pt idx="7">
                <c:v>0.598615108322883</c:v>
              </c:pt>
            </c:numLit>
          </c:xVal>
          <c:yVal>
            <c:numLit>
              <c:formatCode>General</c:formatCode>
              <c:ptCount val="8"/>
              <c:pt idx="0">
                <c:v>2271.8889544174899</c:v>
              </c:pt>
              <c:pt idx="1">
                <c:v>2406.9420752471501</c:v>
              </c:pt>
              <c:pt idx="2">
                <c:v>2540.81501222937</c:v>
              </c:pt>
              <c:pt idx="3">
                <c:v>2706.89556585438</c:v>
              </c:pt>
              <c:pt idx="4">
                <c:v>2920.5789902086299</c:v>
              </c:pt>
              <c:pt idx="5">
                <c:v>3237.9529798178201</c:v>
              </c:pt>
              <c:pt idx="6">
                <c:v>12376.1321519224</c:v>
              </c:pt>
              <c:pt idx="7">
                <c:v>90537.135655568505</c:v>
              </c:pt>
            </c:numLit>
          </c:yVal>
          <c:smooth val="0"/>
          <c:extLst>
            <c:ext xmlns:c16="http://schemas.microsoft.com/office/drawing/2014/chart" uri="{C3380CC4-5D6E-409C-BE32-E72D297353CC}">
              <c16:uniqueId val="{00000006-2E35-4908-B83A-0845DDCFDE8D}"/>
            </c:ext>
          </c:extLst>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2961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6549.8622990386402</c:v>
              </c:pt>
              <c:pt idx="1">
                <c:v>6657.5668311388799</c:v>
              </c:pt>
              <c:pt idx="2">
                <c:v>7299.00400206429</c:v>
              </c:pt>
              <c:pt idx="3">
                <c:v>9827.3931777774906</c:v>
              </c:pt>
              <c:pt idx="4">
                <c:v>23505.055157675499</c:v>
              </c:pt>
              <c:pt idx="5">
                <c:v>36902.048854964698</c:v>
              </c:pt>
              <c:pt idx="6">
                <c:v>37686.957096970902</c:v>
              </c:pt>
              <c:pt idx="7">
                <c:v>69860.836876438494</c:v>
              </c:pt>
            </c:numLit>
          </c:yVal>
          <c:smooth val="0"/>
          <c:extLst>
            <c:ext xmlns:c16="http://schemas.microsoft.com/office/drawing/2014/chart" uri="{C3380CC4-5D6E-409C-BE32-E72D297353CC}">
              <c16:uniqueId val="{00000000-DBE2-466B-A61C-AC3CE4C7E260}"/>
            </c:ext>
          </c:extLst>
        </c:ser>
        <c:ser>
          <c:idx val="2"/>
          <c:order val="1"/>
          <c:tx>
            <c:strRef>
              <c:f>2025</c:f>
              <c:strCache>
                <c:ptCount val="1"/>
                <c:pt idx="0">
                  <c:v>2025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4584.5757081865304</c:v>
              </c:pt>
              <c:pt idx="1">
                <c:v>4654.00502855983</c:v>
              </c:pt>
              <c:pt idx="2">
                <c:v>5066.2635181123396</c:v>
              </c:pt>
              <c:pt idx="3">
                <c:v>5181.0552211061304</c:v>
              </c:pt>
              <c:pt idx="4">
                <c:v>7332.2065309610298</c:v>
              </c:pt>
              <c:pt idx="5">
                <c:v>22283.776520419098</c:v>
              </c:pt>
              <c:pt idx="6">
                <c:v>34829.857044526398</c:v>
              </c:pt>
              <c:pt idx="7">
                <c:v>35794.826737286203</c:v>
              </c:pt>
            </c:numLit>
          </c:yVal>
          <c:smooth val="0"/>
          <c:extLst>
            <c:ext xmlns:c16="http://schemas.microsoft.com/office/drawing/2014/chart" uri="{C3380CC4-5D6E-409C-BE32-E72D297353CC}">
              <c16:uniqueId val="{00000001-DBE2-466B-A61C-AC3CE4C7E260}"/>
            </c:ext>
          </c:extLst>
        </c:ser>
        <c:ser>
          <c:idx val="3"/>
          <c:order val="2"/>
          <c:tx>
            <c:strRef>
              <c:f>2030</c:f>
              <c:strCache>
                <c:ptCount val="1"/>
                <c:pt idx="0">
                  <c:v>2030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4096.93204643012</c:v>
              </c:pt>
              <c:pt idx="1">
                <c:v>4162.7310667974698</c:v>
              </c:pt>
              <c:pt idx="2">
                <c:v>4525.5157168444703</c:v>
              </c:pt>
              <c:pt idx="3">
                <c:v>4598.0905229298696</c:v>
              </c:pt>
              <c:pt idx="4">
                <c:v>4862.18149236103</c:v>
              </c:pt>
              <c:pt idx="5">
                <c:v>9171.7482262985595</c:v>
              </c:pt>
              <c:pt idx="6">
                <c:v>21319.429823557599</c:v>
              </c:pt>
              <c:pt idx="7">
                <c:v>34522.237911980599</c:v>
              </c:pt>
            </c:numLit>
          </c:yVal>
          <c:smooth val="0"/>
          <c:extLst>
            <c:ext xmlns:c16="http://schemas.microsoft.com/office/drawing/2014/chart" uri="{C3380CC4-5D6E-409C-BE32-E72D297353CC}">
              <c16:uniqueId val="{00000002-DBE2-466B-A61C-AC3CE4C7E260}"/>
            </c:ext>
          </c:extLst>
        </c:ser>
        <c:ser>
          <c:idx val="4"/>
          <c:order val="3"/>
          <c:tx>
            <c:strRef>
              <c:f>2035</c:f>
              <c:strCache>
                <c:ptCount val="1"/>
                <c:pt idx="0">
                  <c:v>2035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3711.9854111950699</c:v>
              </c:pt>
              <c:pt idx="1">
                <c:v>3771.0881483093099</c:v>
              </c:pt>
              <c:pt idx="2">
                <c:v>4100.1780981009597</c:v>
              </c:pt>
              <c:pt idx="3">
                <c:v>4168.4628221558796</c:v>
              </c:pt>
              <c:pt idx="4">
                <c:v>4416.5249112033098</c:v>
              </c:pt>
              <c:pt idx="5">
                <c:v>8529.9769193106804</c:v>
              </c:pt>
              <c:pt idx="6">
                <c:v>20719.232389562501</c:v>
              </c:pt>
              <c:pt idx="7">
                <c:v>34064.412773229997</c:v>
              </c:pt>
            </c:numLit>
          </c:yVal>
          <c:smooth val="0"/>
          <c:extLst>
            <c:ext xmlns:c16="http://schemas.microsoft.com/office/drawing/2014/chart" uri="{C3380CC4-5D6E-409C-BE32-E72D297353CC}">
              <c16:uniqueId val="{00000003-DBE2-466B-A61C-AC3CE4C7E260}"/>
            </c:ext>
          </c:extLst>
        </c:ser>
        <c:ser>
          <c:idx val="5"/>
          <c:order val="4"/>
          <c:tx>
            <c:strRef>
              <c:f>2040</c:f>
              <c:strCache>
                <c:ptCount val="1"/>
                <c:pt idx="0">
                  <c:v>2040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3299.5425877289499</c:v>
              </c:pt>
              <c:pt idx="1">
                <c:v>3351.4707356434201</c:v>
              </c:pt>
              <c:pt idx="2">
                <c:v>3644.4592208757699</c:v>
              </c:pt>
              <c:pt idx="3">
                <c:v>3708.14742846946</c:v>
              </c:pt>
              <c:pt idx="4">
                <c:v>3939.0357171057499</c:v>
              </c:pt>
              <c:pt idx="5">
                <c:v>7842.3648046808103</c:v>
              </c:pt>
              <c:pt idx="6">
                <c:v>20076.163710281999</c:v>
              </c:pt>
              <c:pt idx="7">
                <c:v>33573.885838854403</c:v>
              </c:pt>
            </c:numLit>
          </c:yVal>
          <c:smooth val="0"/>
          <c:extLst>
            <c:ext xmlns:c16="http://schemas.microsoft.com/office/drawing/2014/chart" uri="{C3380CC4-5D6E-409C-BE32-E72D297353CC}">
              <c16:uniqueId val="{00000004-DBE2-466B-A61C-AC3CE4C7E260}"/>
            </c:ext>
          </c:extLst>
        </c:ser>
        <c:ser>
          <c:idx val="6"/>
          <c:order val="5"/>
          <c:tx>
            <c:strRef>
              <c:f>2045</c:f>
              <c:strCache>
                <c:ptCount val="1"/>
                <c:pt idx="0">
                  <c:v>2045</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3024.5807054182101</c:v>
              </c:pt>
              <c:pt idx="1">
                <c:v>3071.7257938661601</c:v>
              </c:pt>
              <c:pt idx="2">
                <c:v>3340.6466360589802</c:v>
              </c:pt>
              <c:pt idx="3">
                <c:v>3401.2704993451798</c:v>
              </c:pt>
              <c:pt idx="4">
                <c:v>3620.7095877073698</c:v>
              </c:pt>
              <c:pt idx="5">
                <c:v>7383.9567282608996</c:v>
              </c:pt>
              <c:pt idx="6">
                <c:v>19647.451257428402</c:v>
              </c:pt>
              <c:pt idx="7">
                <c:v>33246.867882603903</c:v>
              </c:pt>
            </c:numLit>
          </c:yVal>
          <c:smooth val="0"/>
          <c:extLst>
            <c:ext xmlns:c16="http://schemas.microsoft.com/office/drawing/2014/chart" uri="{C3380CC4-5D6E-409C-BE32-E72D297353CC}">
              <c16:uniqueId val="{00000005-DBE2-466B-A61C-AC3CE4C7E260}"/>
            </c:ext>
          </c:extLst>
        </c:ser>
        <c:ser>
          <c:idx val="7"/>
          <c:order val="6"/>
          <c:tx>
            <c:strRef>
              <c:f>2050</c:f>
              <c:strCache>
                <c:ptCount val="1"/>
                <c:pt idx="0">
                  <c:v>2050</c:v>
                </c:pt>
              </c:strCache>
            </c:strRef>
          </c:tx>
          <c:marker>
            <c:symbol val="none"/>
          </c:marker>
          <c:xVal>
            <c:numLit>
              <c:formatCode>General</c:formatCode>
              <c:ptCount val="8"/>
              <c:pt idx="0">
                <c:v>0.82499999999999996</c:v>
              </c:pt>
              <c:pt idx="1">
                <c:v>0.83499999999999996</c:v>
              </c:pt>
              <c:pt idx="2">
                <c:v>0.84750000000000003</c:v>
              </c:pt>
              <c:pt idx="3">
                <c:v>0.85750000000000004</c:v>
              </c:pt>
              <c:pt idx="4">
                <c:v>0.86750000000000005</c:v>
              </c:pt>
              <c:pt idx="5">
                <c:v>0.91500000000000004</c:v>
              </c:pt>
              <c:pt idx="6">
                <c:v>0.92249999999999999</c:v>
              </c:pt>
              <c:pt idx="7">
                <c:v>0.93</c:v>
              </c:pt>
            </c:numLit>
          </c:xVal>
          <c:yVal>
            <c:numLit>
              <c:formatCode>General</c:formatCode>
              <c:ptCount val="8"/>
              <c:pt idx="0">
                <c:v>2749.6188231074598</c:v>
              </c:pt>
              <c:pt idx="1">
                <c:v>2791.9808520889001</c:v>
              </c:pt>
              <c:pt idx="2">
                <c:v>3036.8340512421901</c:v>
              </c:pt>
              <c:pt idx="3">
                <c:v>3094.3935702209001</c:v>
              </c:pt>
              <c:pt idx="4">
                <c:v>3302.3834583090002</c:v>
              </c:pt>
              <c:pt idx="5">
                <c:v>6925.5486518409898</c:v>
              </c:pt>
              <c:pt idx="6">
                <c:v>19218.738804574699</c:v>
              </c:pt>
              <c:pt idx="7">
                <c:v>32919.849926353498</c:v>
              </c:pt>
            </c:numLit>
          </c:yVal>
          <c:smooth val="0"/>
          <c:extLst>
            <c:ext xmlns:c16="http://schemas.microsoft.com/office/drawing/2014/chart" uri="{C3380CC4-5D6E-409C-BE32-E72D297353CC}">
              <c16:uniqueId val="{00000006-DBE2-466B-A61C-AC3CE4C7E260}"/>
            </c:ext>
          </c:extLst>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28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5234.5203007939599</c:v>
              </c:pt>
              <c:pt idx="1">
                <c:v>5302.9988608997</c:v>
              </c:pt>
              <c:pt idx="2">
                <c:v>5698.1255069954104</c:v>
              </c:pt>
              <c:pt idx="3">
                <c:v>6156.1465500895201</c:v>
              </c:pt>
              <c:pt idx="4">
                <c:v>10084.1729640588</c:v>
              </c:pt>
              <c:pt idx="5">
                <c:v>65778.565986431495</c:v>
              </c:pt>
              <c:pt idx="6">
                <c:v>66894.649027241394</c:v>
              </c:pt>
              <c:pt idx="7">
                <c:v>68909.681096203596</c:v>
              </c:pt>
            </c:numLit>
          </c:yVal>
          <c:smooth val="0"/>
          <c:extLst>
            <c:ext xmlns:c16="http://schemas.microsoft.com/office/drawing/2014/chart" uri="{C3380CC4-5D6E-409C-BE32-E72D297353CC}">
              <c16:uniqueId val="{00000000-92F0-4195-97BD-59009C01F264}"/>
            </c:ext>
          </c:extLst>
        </c:ser>
        <c:ser>
          <c:idx val="2"/>
          <c:order val="1"/>
          <c:tx>
            <c:strRef>
              <c:f>2025</c:f>
              <c:strCache>
                <c:ptCount val="1"/>
                <c:pt idx="0">
                  <c:v>2025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3634.6839281702701</c:v>
              </c:pt>
              <c:pt idx="1">
                <c:v>3686.9575625604698</c:v>
              </c:pt>
              <c:pt idx="2">
                <c:v>3931.0271484720502</c:v>
              </c:pt>
              <c:pt idx="3">
                <c:v>4094.0426306498198</c:v>
              </c:pt>
              <c:pt idx="4">
                <c:v>4632.5504990265299</c:v>
              </c:pt>
              <c:pt idx="5">
                <c:v>32452.387887939902</c:v>
              </c:pt>
              <c:pt idx="6">
                <c:v>66894.649027241394</c:v>
              </c:pt>
              <c:pt idx="7">
                <c:v>68909.681096203596</c:v>
              </c:pt>
            </c:numLit>
          </c:yVal>
          <c:smooth val="0"/>
          <c:extLst>
            <c:ext xmlns:c16="http://schemas.microsoft.com/office/drawing/2014/chart" uri="{C3380CC4-5D6E-409C-BE32-E72D297353CC}">
              <c16:uniqueId val="{00000001-92F0-4195-97BD-59009C01F264}"/>
            </c:ext>
          </c:extLst>
        </c:ser>
        <c:ser>
          <c:idx val="3"/>
          <c:order val="2"/>
          <c:tx>
            <c:strRef>
              <c:f>2030</c:f>
              <c:strCache>
                <c:ptCount val="1"/>
                <c:pt idx="0">
                  <c:v>2030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3302.2897047770098</c:v>
              </c:pt>
              <c:pt idx="1">
                <c:v>3357.18628215334</c:v>
              </c:pt>
              <c:pt idx="2">
                <c:v>3573.9368240861099</c:v>
              </c:pt>
              <c:pt idx="3">
                <c:v>3682.8324989064599</c:v>
              </c:pt>
              <c:pt idx="4">
                <c:v>4007.2972771791301</c:v>
              </c:pt>
              <c:pt idx="5">
                <c:v>8386.1326225943703</c:v>
              </c:pt>
              <c:pt idx="6">
                <c:v>38688.5162557984</c:v>
              </c:pt>
              <c:pt idx="7">
                <c:v>68909.681096203596</c:v>
              </c:pt>
            </c:numLit>
          </c:yVal>
          <c:smooth val="0"/>
          <c:extLst>
            <c:ext xmlns:c16="http://schemas.microsoft.com/office/drawing/2014/chart" uri="{C3380CC4-5D6E-409C-BE32-E72D297353CC}">
              <c16:uniqueId val="{00000002-92F0-4195-97BD-59009C01F264}"/>
            </c:ext>
          </c:extLst>
        </c:ser>
        <c:ser>
          <c:idx val="4"/>
          <c:order val="3"/>
          <c:tx>
            <c:strRef>
              <c:f>2035</c:f>
              <c:strCache>
                <c:ptCount val="1"/>
                <c:pt idx="0">
                  <c:v>2035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2992.0074506368901</c:v>
              </c:pt>
              <c:pt idx="1">
                <c:v>3040.2548734133502</c:v>
              </c:pt>
              <c:pt idx="2">
                <c:v>3236.9457847304802</c:v>
              </c:pt>
              <c:pt idx="3">
                <c:v>3340.2734714354201</c:v>
              </c:pt>
              <c:pt idx="4">
                <c:v>3650.7940223414598</c:v>
              </c:pt>
              <c:pt idx="5">
                <c:v>7867.80130233001</c:v>
              </c:pt>
              <c:pt idx="6">
                <c:v>38201.312363762801</c:v>
              </c:pt>
              <c:pt idx="7">
                <c:v>68909.681096203596</c:v>
              </c:pt>
            </c:numLit>
          </c:yVal>
          <c:smooth val="0"/>
          <c:extLst>
            <c:ext xmlns:c16="http://schemas.microsoft.com/office/drawing/2014/chart" uri="{C3380CC4-5D6E-409C-BE32-E72D297353CC}">
              <c16:uniqueId val="{00000003-92F0-4195-97BD-59009C01F264}"/>
            </c:ext>
          </c:extLst>
        </c:ser>
        <c:ser>
          <c:idx val="5"/>
          <c:order val="4"/>
          <c:tx>
            <c:strRef>
              <c:f>2040</c:f>
              <c:strCache>
                <c:ptCount val="1"/>
                <c:pt idx="0">
                  <c:v>2040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2659.5621783439001</c:v>
              </c:pt>
              <c:pt idx="1">
                <c:v>2700.6855069062199</c:v>
              </c:pt>
              <c:pt idx="2">
                <c:v>2875.88395684945</c:v>
              </c:pt>
              <c:pt idx="3">
                <c:v>2973.2459420021601</c:v>
              </c:pt>
              <c:pt idx="4">
                <c:v>3268.8262493010898</c:v>
              </c:pt>
              <c:pt idx="5">
                <c:v>7312.4463163324699</c:v>
              </c:pt>
              <c:pt idx="6">
                <c:v>37679.308193724501</c:v>
              </c:pt>
              <c:pt idx="7">
                <c:v>68909.681096203596</c:v>
              </c:pt>
            </c:numLit>
          </c:yVal>
          <c:smooth val="0"/>
          <c:extLst>
            <c:ext xmlns:c16="http://schemas.microsoft.com/office/drawing/2014/chart" uri="{C3380CC4-5D6E-409C-BE32-E72D297353CC}">
              <c16:uniqueId val="{00000004-92F0-4195-97BD-59009C01F264}"/>
            </c:ext>
          </c:extLst>
        </c:ser>
        <c:ser>
          <c:idx val="6"/>
          <c:order val="5"/>
          <c:tx>
            <c:strRef>
              <c:f>2045</c:f>
              <c:strCache>
                <c:ptCount val="1"/>
                <c:pt idx="0">
                  <c:v>2045</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2437.9319968152399</c:v>
              </c:pt>
              <c:pt idx="1">
                <c:v>2474.3059292347898</c:v>
              </c:pt>
              <c:pt idx="2">
                <c:v>2635.1760715954301</c:v>
              </c:pt>
              <c:pt idx="3">
                <c:v>2728.5609223799902</c:v>
              </c:pt>
              <c:pt idx="4">
                <c:v>3014.1810672741799</c:v>
              </c:pt>
              <c:pt idx="5">
                <c:v>6942.2096590007804</c:v>
              </c:pt>
              <c:pt idx="6">
                <c:v>37331.305413699003</c:v>
              </c:pt>
              <c:pt idx="7">
                <c:v>68909.681096203596</c:v>
              </c:pt>
            </c:numLit>
          </c:yVal>
          <c:smooth val="0"/>
          <c:extLst>
            <c:ext xmlns:c16="http://schemas.microsoft.com/office/drawing/2014/chart" uri="{C3380CC4-5D6E-409C-BE32-E72D297353CC}">
              <c16:uniqueId val="{00000005-92F0-4195-97BD-59009C01F264}"/>
            </c:ext>
          </c:extLst>
        </c:ser>
        <c:ser>
          <c:idx val="7"/>
          <c:order val="6"/>
          <c:tx>
            <c:strRef>
              <c:f>2050</c:f>
              <c:strCache>
                <c:ptCount val="1"/>
                <c:pt idx="0">
                  <c:v>2050</c:v>
                </c:pt>
              </c:strCache>
            </c:strRef>
          </c:tx>
          <c:marker>
            <c:symbol val="none"/>
          </c:marker>
          <c:xVal>
            <c:numLit>
              <c:formatCode>General</c:formatCode>
              <c:ptCount val="8"/>
              <c:pt idx="0">
                <c:v>0.85</c:v>
              </c:pt>
              <c:pt idx="1">
                <c:v>0.86</c:v>
              </c:pt>
              <c:pt idx="2">
                <c:v>0.87</c:v>
              </c:pt>
              <c:pt idx="3">
                <c:v>0.88</c:v>
              </c:pt>
              <c:pt idx="4">
                <c:v>0.89</c:v>
              </c:pt>
              <c:pt idx="5">
                <c:v>0.9325</c:v>
              </c:pt>
              <c:pt idx="6">
                <c:v>0.9375</c:v>
              </c:pt>
              <c:pt idx="7">
                <c:v>0.94499999999999995</c:v>
              </c:pt>
            </c:numLit>
          </c:xVal>
          <c:yVal>
            <c:numLit>
              <c:formatCode>General</c:formatCode>
              <c:ptCount val="8"/>
              <c:pt idx="0">
                <c:v>2216.3018152865802</c:v>
              </c:pt>
              <c:pt idx="1">
                <c:v>2247.9263515633702</c:v>
              </c:pt>
              <c:pt idx="2">
                <c:v>2394.4681863414098</c:v>
              </c:pt>
              <c:pt idx="3">
                <c:v>2483.8759027578099</c:v>
              </c:pt>
              <c:pt idx="4">
                <c:v>2759.53588524727</c:v>
              </c:pt>
              <c:pt idx="5">
                <c:v>6571.9730016690901</c:v>
              </c:pt>
              <c:pt idx="6">
                <c:v>36983.302633673498</c:v>
              </c:pt>
              <c:pt idx="7">
                <c:v>68909.681096203596</c:v>
              </c:pt>
            </c:numLit>
          </c:yVal>
          <c:smooth val="0"/>
          <c:extLst>
            <c:ext xmlns:c16="http://schemas.microsoft.com/office/drawing/2014/chart" uri="{C3380CC4-5D6E-409C-BE32-E72D297353CC}">
              <c16:uniqueId val="{00000006-92F0-4195-97BD-59009C01F264}"/>
            </c:ext>
          </c:extLst>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095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5441.1416014664501</c:v>
              </c:pt>
              <c:pt idx="1">
                <c:v>7530.5934916853703</c:v>
              </c:pt>
              <c:pt idx="2">
                <c:v>9620.0453819042796</c:v>
              </c:pt>
              <c:pt idx="3">
                <c:v>12325.974461633799</c:v>
              </c:pt>
              <c:pt idx="4">
                <c:v>15031.903541363299</c:v>
              </c:pt>
              <c:pt idx="5">
                <c:v>18710.8472561819</c:v>
              </c:pt>
              <c:pt idx="6">
                <c:v>22668.5860698338</c:v>
              </c:pt>
              <c:pt idx="7">
                <c:v>31420.448993637601</c:v>
              </c:pt>
            </c:numLit>
          </c:yVal>
          <c:smooth val="1"/>
          <c:extLst>
            <c:ext xmlns:c16="http://schemas.microsoft.com/office/drawing/2014/chart" uri="{C3380CC4-5D6E-409C-BE32-E72D297353CC}">
              <c16:uniqueId val="{00000000-62D4-4496-852B-8B7C543A1735}"/>
            </c:ext>
          </c:extLst>
        </c:ser>
        <c:ser>
          <c:idx val="2"/>
          <c:order val="1"/>
          <c:tx>
            <c:strRef>
              <c:f>2025</c:f>
              <c:strCache>
                <c:ptCount val="1"/>
                <c:pt idx="0">
                  <c:v>2025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3954.6935961664499</c:v>
              </c:pt>
              <c:pt idx="1">
                <c:v>5968.50495488865</c:v>
              </c:pt>
              <c:pt idx="2">
                <c:v>7628.2770773826196</c:v>
              </c:pt>
              <c:pt idx="3">
                <c:v>9721.9556451161807</c:v>
              </c:pt>
              <c:pt idx="4">
                <c:v>11815.6342128497</c:v>
              </c:pt>
              <c:pt idx="5">
                <c:v>14381.5070393472</c:v>
              </c:pt>
              <c:pt idx="6">
                <c:v>17398.3919481708</c:v>
              </c:pt>
              <c:pt idx="7">
                <c:v>23872.223858669298</c:v>
              </c:pt>
            </c:numLit>
          </c:yVal>
          <c:smooth val="0"/>
          <c:extLst>
            <c:ext xmlns:c16="http://schemas.microsoft.com/office/drawing/2014/chart" uri="{C3380CC4-5D6E-409C-BE32-E72D297353CC}">
              <c16:uniqueId val="{00000001-62D4-4496-852B-8B7C543A1735}"/>
            </c:ext>
          </c:extLst>
        </c:ser>
        <c:ser>
          <c:idx val="3"/>
          <c:order val="2"/>
          <c:tx>
            <c:strRef>
              <c:f>2030</c:f>
              <c:strCache>
                <c:ptCount val="1"/>
                <c:pt idx="0">
                  <c:v>2030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2550.7674486025498</c:v>
              </c:pt>
              <c:pt idx="1">
                <c:v>4355.6157632017203</c:v>
              </c:pt>
              <c:pt idx="2">
                <c:v>5444.9290971673499</c:v>
              </c:pt>
              <c:pt idx="3">
                <c:v>6935.2212649589501</c:v>
              </c:pt>
              <c:pt idx="4">
                <c:v>8425.5134327505493</c:v>
              </c:pt>
              <c:pt idx="5">
                <c:v>10227.1544900233</c:v>
              </c:pt>
              <c:pt idx="6">
                <c:v>12119.021313565299</c:v>
              </c:pt>
              <c:pt idx="7">
                <c:v>16606.649194978701</c:v>
              </c:pt>
            </c:numLit>
          </c:yVal>
          <c:smooth val="0"/>
          <c:extLst>
            <c:ext xmlns:c16="http://schemas.microsoft.com/office/drawing/2014/chart" uri="{C3380CC4-5D6E-409C-BE32-E72D297353CC}">
              <c16:uniqueId val="{00000002-62D4-4496-852B-8B7C543A1735}"/>
            </c:ext>
          </c:extLst>
        </c:ser>
        <c:ser>
          <c:idx val="4"/>
          <c:order val="3"/>
          <c:tx>
            <c:strRef>
              <c:f>2035</c:f>
              <c:strCache>
                <c:ptCount val="1"/>
                <c:pt idx="0">
                  <c:v>2035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2202.93552379311</c:v>
              </c:pt>
              <c:pt idx="1">
                <c:v>3761.6681591287602</c:v>
              </c:pt>
              <c:pt idx="2">
                <c:v>4702.43876573544</c:v>
              </c:pt>
              <c:pt idx="3">
                <c:v>5989.5092742827301</c:v>
              </c:pt>
              <c:pt idx="4">
                <c:v>7276.5797828300201</c:v>
              </c:pt>
              <c:pt idx="5">
                <c:v>8575.2839942825394</c:v>
              </c:pt>
              <c:pt idx="6">
                <c:v>10071.4679698498</c:v>
              </c:pt>
              <c:pt idx="7">
                <c:v>13344.394392644899</c:v>
              </c:pt>
            </c:numLit>
          </c:yVal>
          <c:smooth val="0"/>
          <c:extLst>
            <c:ext xmlns:c16="http://schemas.microsoft.com/office/drawing/2014/chart" uri="{C3380CC4-5D6E-409C-BE32-E72D297353CC}">
              <c16:uniqueId val="{00000003-62D4-4496-852B-8B7C543A1735}"/>
            </c:ext>
          </c:extLst>
        </c:ser>
        <c:ser>
          <c:idx val="5"/>
          <c:order val="4"/>
          <c:tx>
            <c:strRef>
              <c:f>2040</c:f>
              <c:strCache>
                <c:ptCount val="1"/>
                <c:pt idx="0">
                  <c:v>2040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1971.0475739201499</c:v>
              </c:pt>
              <c:pt idx="1">
                <c:v>3365.7030897467898</c:v>
              </c:pt>
              <c:pt idx="2">
                <c:v>4207.4452114474998</c:v>
              </c:pt>
              <c:pt idx="3">
                <c:v>5359.0346138319201</c:v>
              </c:pt>
              <c:pt idx="4">
                <c:v>6510.6240162163303</c:v>
              </c:pt>
              <c:pt idx="5">
                <c:v>7672.62252120016</c:v>
              </c:pt>
              <c:pt idx="6">
                <c:v>8834.6210261840006</c:v>
              </c:pt>
              <c:pt idx="7">
                <c:v>11604.962757597699</c:v>
              </c:pt>
            </c:numLit>
          </c:yVal>
          <c:smooth val="0"/>
          <c:extLst>
            <c:ext xmlns:c16="http://schemas.microsoft.com/office/drawing/2014/chart" uri="{C3380CC4-5D6E-409C-BE32-E72D297353CC}">
              <c16:uniqueId val="{00000004-62D4-4496-852B-8B7C543A1735}"/>
            </c:ext>
          </c:extLst>
        </c:ser>
        <c:ser>
          <c:idx val="6"/>
          <c:order val="5"/>
          <c:tx>
            <c:strRef>
              <c:f>2045</c:f>
              <c:strCache>
                <c:ptCount val="1"/>
                <c:pt idx="0">
                  <c:v>2045</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1855.1035989836701</c:v>
              </c:pt>
              <c:pt idx="1">
                <c:v>3167.7205550558001</c:v>
              </c:pt>
              <c:pt idx="2">
                <c:v>3959.9484343035301</c:v>
              </c:pt>
              <c:pt idx="3">
                <c:v>5043.7972836065101</c:v>
              </c:pt>
              <c:pt idx="4">
                <c:v>6127.64613290949</c:v>
              </c:pt>
              <c:pt idx="5">
                <c:v>7221.2917846589799</c:v>
              </c:pt>
              <c:pt idx="6">
                <c:v>8314.9374364084706</c:v>
              </c:pt>
              <c:pt idx="7">
                <c:v>10712.273314705601</c:v>
              </c:pt>
            </c:numLit>
          </c:yVal>
          <c:smooth val="0"/>
          <c:extLst>
            <c:ext xmlns:c16="http://schemas.microsoft.com/office/drawing/2014/chart" uri="{C3380CC4-5D6E-409C-BE32-E72D297353CC}">
              <c16:uniqueId val="{00000005-62D4-4496-852B-8B7C543A1735}"/>
            </c:ext>
          </c:extLst>
        </c:ser>
        <c:ser>
          <c:idx val="7"/>
          <c:order val="6"/>
          <c:tx>
            <c:strRef>
              <c:f>2050</c:f>
              <c:strCache>
                <c:ptCount val="1"/>
                <c:pt idx="0">
                  <c:v>2050</c:v>
                </c:pt>
              </c:strCache>
            </c:strRef>
          </c:tx>
          <c:marker>
            <c:symbol val="none"/>
          </c:marker>
          <c:xVal>
            <c:numLit>
              <c:formatCode>General</c:formatCode>
              <c:ptCount val="8"/>
              <c:pt idx="0">
                <c:v>120</c:v>
              </c:pt>
              <c:pt idx="1">
                <c:v>160</c:v>
              </c:pt>
              <c:pt idx="2">
                <c:v>200</c:v>
              </c:pt>
              <c:pt idx="3">
                <c:v>250</c:v>
              </c:pt>
              <c:pt idx="4">
                <c:v>300</c:v>
              </c:pt>
              <c:pt idx="5">
                <c:v>350</c:v>
              </c:pt>
              <c:pt idx="6">
                <c:v>400</c:v>
              </c:pt>
              <c:pt idx="7">
                <c:v>500</c:v>
              </c:pt>
            </c:numLit>
          </c:xVal>
          <c:yVal>
            <c:numLit>
              <c:formatCode>General</c:formatCode>
              <c:ptCount val="8"/>
              <c:pt idx="0">
                <c:v>1785.5372140217901</c:v>
              </c:pt>
              <c:pt idx="1">
                <c:v>3048.93103424121</c:v>
              </c:pt>
              <c:pt idx="2">
                <c:v>3811.4503680171501</c:v>
              </c:pt>
              <c:pt idx="3">
                <c:v>4854.6548854712701</c:v>
              </c:pt>
              <c:pt idx="4">
                <c:v>5897.85940292538</c:v>
              </c:pt>
              <c:pt idx="5">
                <c:v>6950.4933427342703</c:v>
              </c:pt>
              <c:pt idx="6">
                <c:v>8003.1272825431497</c:v>
              </c:pt>
              <c:pt idx="7">
                <c:v>10108.395162160899</c:v>
              </c:pt>
            </c:numLit>
          </c:yVal>
          <c:smooth val="0"/>
          <c:extLst>
            <c:ext xmlns:c16="http://schemas.microsoft.com/office/drawing/2014/chart" uri="{C3380CC4-5D6E-409C-BE32-E72D297353CC}">
              <c16:uniqueId val="{00000006-62D4-4496-852B-8B7C543A1735}"/>
            </c:ext>
          </c:extLst>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39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BAB2-4640-976F-8AB2DDAC2A51}"/>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BAB2-4640-976F-8AB2DDAC2A51}"/>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BAB2-4640-976F-8AB2DDAC2A51}"/>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BAB2-4640-976F-8AB2DDAC2A51}"/>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BAB2-4640-976F-8AB2DDAC2A51}"/>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BAB2-4640-976F-8AB2DDAC2A51}"/>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BAB2-4640-976F-8AB2DDAC2A51}"/>
            </c:ext>
          </c:extLst>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03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-181.74411644189499</c:v>
              </c:pt>
              <c:pt idx="1">
                <c:v>470.61928122483602</c:v>
              </c:pt>
              <c:pt idx="2">
                <c:v>1835.4531140824399</c:v>
              </c:pt>
              <c:pt idx="3">
                <c:v>6919.6252800136599</c:v>
              </c:pt>
              <c:pt idx="4">
                <c:v>15367.0436370976</c:v>
              </c:pt>
              <c:pt idx="5">
                <c:v>82181.724783372396</c:v>
              </c:pt>
              <c:pt idx="6">
                <c:v>99467.365184543101</c:v>
              </c:pt>
              <c:pt idx="7">
                <c:v>99467.365184543101</c:v>
              </c:pt>
            </c:numLit>
          </c:yVal>
          <c:smooth val="0"/>
          <c:extLst>
            <c:ext xmlns:c16="http://schemas.microsoft.com/office/drawing/2014/chart" uri="{C3380CC4-5D6E-409C-BE32-E72D297353CC}">
              <c16:uniqueId val="{00000000-6402-4795-BE0B-0847FC40BACA}"/>
            </c:ext>
          </c:extLst>
        </c:ser>
        <c:ser>
          <c:idx val="2"/>
          <c:order val="1"/>
          <c:tx>
            <c:strRef>
              <c:f>2025</c:f>
              <c:strCache>
                <c:ptCount val="1"/>
                <c:pt idx="0">
                  <c:v>2025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-257.32269895330103</c:v>
              </c:pt>
              <c:pt idx="1">
                <c:v>175.458025581594</c:v>
              </c:pt>
              <c:pt idx="2">
                <c:v>1032.32225653619</c:v>
              </c:pt>
              <c:pt idx="3">
                <c:v>2733.0239924665998</c:v>
              </c:pt>
              <c:pt idx="4">
                <c:v>7732.8209942612802</c:v>
              </c:pt>
              <c:pt idx="5">
                <c:v>30415.5621759225</c:v>
              </c:pt>
              <c:pt idx="6">
                <c:v>92722.948641870506</c:v>
              </c:pt>
              <c:pt idx="7">
                <c:v>99467.365184543101</c:v>
              </c:pt>
            </c:numLit>
          </c:yVal>
          <c:smooth val="0"/>
          <c:extLst>
            <c:ext xmlns:c16="http://schemas.microsoft.com/office/drawing/2014/chart" uri="{C3380CC4-5D6E-409C-BE32-E72D297353CC}">
              <c16:uniqueId val="{00000001-6402-4795-BE0B-0847FC40BACA}"/>
            </c:ext>
          </c:extLst>
        </c:ser>
        <c:ser>
          <c:idx val="3"/>
          <c:order val="2"/>
          <c:tx>
            <c:strRef>
              <c:f>2030</c:f>
              <c:strCache>
                <c:ptCount val="1"/>
                <c:pt idx="0">
                  <c:v>2030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2-6402-4795-BE0B-0847FC40BACA}"/>
            </c:ext>
          </c:extLst>
        </c:ser>
        <c:ser>
          <c:idx val="4"/>
          <c:order val="3"/>
          <c:tx>
            <c:strRef>
              <c:f>2035</c:f>
              <c:strCache>
                <c:ptCount val="1"/>
                <c:pt idx="0">
                  <c:v>2035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3-6402-4795-BE0B-0847FC40BACA}"/>
            </c:ext>
          </c:extLst>
        </c:ser>
        <c:ser>
          <c:idx val="5"/>
          <c:order val="4"/>
          <c:tx>
            <c:strRef>
              <c:f>2040</c:f>
              <c:strCache>
                <c:ptCount val="1"/>
                <c:pt idx="0">
                  <c:v>2040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4-6402-4795-BE0B-0847FC40BACA}"/>
            </c:ext>
          </c:extLst>
        </c:ser>
        <c:ser>
          <c:idx val="6"/>
          <c:order val="5"/>
          <c:tx>
            <c:strRef>
              <c:f>2045</c:f>
              <c:strCache>
                <c:ptCount val="1"/>
                <c:pt idx="0">
                  <c:v>2045</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5-6402-4795-BE0B-0847FC40BACA}"/>
            </c:ext>
          </c:extLst>
        </c:ser>
        <c:ser>
          <c:idx val="7"/>
          <c:order val="6"/>
          <c:tx>
            <c:strRef>
              <c:f>2050</c:f>
              <c:strCache>
                <c:ptCount val="1"/>
                <c:pt idx="0">
                  <c:v>2050</c:v>
                </c:pt>
              </c:strCache>
            </c:strRef>
          </c:tx>
          <c:marker>
            <c:symbol val="none"/>
          </c:marker>
          <c:xVal>
            <c:numLit>
              <c:formatCode>General</c:formatCode>
              <c:ptCount val="8"/>
              <c:pt idx="0">
                <c:v>4.55605837534084E-2</c:v>
              </c:pt>
              <c:pt idx="1">
                <c:v>0.145560583753408</c:v>
              </c:pt>
              <c:pt idx="2">
                <c:v>0.245560583753408</c:v>
              </c:pt>
              <c:pt idx="3">
                <c:v>0.34556058375340798</c:v>
              </c:pt>
              <c:pt idx="4">
                <c:v>0.39556058375340802</c:v>
              </c:pt>
              <c:pt idx="5">
                <c:v>0.44556058375340801</c:v>
              </c:pt>
              <c:pt idx="6">
                <c:v>0.495560583753408</c:v>
              </c:pt>
              <c:pt idx="7">
                <c:v>0.54556058375340799</c:v>
              </c:pt>
            </c:numLit>
          </c:xVal>
          <c:yVal>
            <c:numLit>
              <c:formatCode>General</c:formatCode>
              <c:ptCount val="8"/>
              <c:pt idx="0">
                <c:v>-316.921768220601</c:v>
              </c:pt>
              <c:pt idx="1">
                <c:v>9.4480720920503192</c:v>
              </c:pt>
              <c:pt idx="2">
                <c:v>558.62202874531795</c:v>
              </c:pt>
              <c:pt idx="3">
                <c:v>1786.4022280475799</c:v>
              </c:pt>
              <c:pt idx="4">
                <c:v>4150.4987732303798</c:v>
              </c:pt>
              <c:pt idx="5">
                <c:v>9580.3524089987695</c:v>
              </c:pt>
              <c:pt idx="6">
                <c:v>61069.1008001507</c:v>
              </c:pt>
              <c:pt idx="7">
                <c:v>99467.365184543101</c:v>
              </c:pt>
            </c:numLit>
          </c:yVal>
          <c:smooth val="0"/>
          <c:extLst>
            <c:ext xmlns:c16="http://schemas.microsoft.com/office/drawing/2014/chart" uri="{C3380CC4-5D6E-409C-BE32-E72D297353CC}">
              <c16:uniqueId val="{00000006-6402-4795-BE0B-0847FC40BACA}"/>
            </c:ext>
          </c:extLst>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141035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3D76-4BBE-AD96-C74E84E27BAA}"/>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3D76-4BBE-AD96-C74E84E27BAA}"/>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3D76-4BBE-AD96-C74E84E27BAA}"/>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3D76-4BBE-AD96-C74E84E27BAA}"/>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3D76-4BBE-AD96-C74E84E27BAA}"/>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3D76-4BBE-AD96-C74E84E27BAA}"/>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3D76-4BBE-AD96-C74E84E27BAA}"/>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67B2-49A1-B0B4-6435C64830FC}"/>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67B2-49A1-B0B4-6435C64830FC}"/>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67B2-49A1-B0B4-6435C64830FC}"/>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67B2-49A1-B0B4-6435C64830FC}"/>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67B2-49A1-B0B4-6435C64830FC}"/>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67B2-49A1-B0B4-6435C64830FC}"/>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67B2-49A1-B0B4-6435C64830FC}"/>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EE27-46AB-A2EB-A528910147C0}"/>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EE27-46AB-A2EB-A528910147C0}"/>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EE27-46AB-A2EB-A528910147C0}"/>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EE27-46AB-A2EB-A528910147C0}"/>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EE27-46AB-A2EB-A528910147C0}"/>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EE27-46AB-A2EB-A528910147C0}"/>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EE27-46AB-A2EB-A528910147C0}"/>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A8BD-4CFE-81E9-D61FAD4FB066}"/>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A8BD-4CFE-81E9-D61FAD4FB066}"/>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A8BD-4CFE-81E9-D61FAD4FB066}"/>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A8BD-4CFE-81E9-D61FAD4FB066}"/>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A8BD-4CFE-81E9-D61FAD4FB066}"/>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A8BD-4CFE-81E9-D61FAD4FB066}"/>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A8BD-4CFE-81E9-D61FAD4FB066}"/>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BF7D-4A9F-BCCF-0B69E5F7EE98}"/>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BF7D-4A9F-BCCF-0B69E5F7EE98}"/>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BF7D-4A9F-BCCF-0B69E5F7EE98}"/>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BF7D-4A9F-BCCF-0B69E5F7EE98}"/>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BF7D-4A9F-BCCF-0B69E5F7EE98}"/>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BF7D-4A9F-BCCF-0B69E5F7EE98}"/>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BF7D-4A9F-BCCF-0B69E5F7EE98}"/>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80B2-4840-A35B-C251CC54D098}"/>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80B2-4840-A35B-C251CC54D098}"/>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80B2-4840-A35B-C251CC54D098}"/>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80B2-4840-A35B-C251CC54D098}"/>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80B2-4840-A35B-C251CC54D098}"/>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80B2-4840-A35B-C251CC54D098}"/>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80B2-4840-A35B-C251CC54D098}"/>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686B-4F84-B893-A7376599F916}"/>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686B-4F84-B893-A7376599F916}"/>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686B-4F84-B893-A7376599F916}"/>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686B-4F84-B893-A7376599F916}"/>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686B-4F84-B893-A7376599F916}"/>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686B-4F84-B893-A7376599F916}"/>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686B-4F84-B893-A7376599F916}"/>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3F13-4FDF-B4F9-3BE23EE3E8B4}"/>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3F13-4FDF-B4F9-3BE23EE3E8B4}"/>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3F13-4FDF-B4F9-3BE23EE3E8B4}"/>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3F13-4FDF-B4F9-3BE23EE3E8B4}"/>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3F13-4FDF-B4F9-3BE23EE3E8B4}"/>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3F13-4FDF-B4F9-3BE23EE3E8B4}"/>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3F13-4FDF-B4F9-3BE23EE3E8B4}"/>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415A-4F58-8B36-61F952CFD43A}"/>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415A-4F58-8B36-61F952CFD43A}"/>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415A-4F58-8B36-61F952CFD43A}"/>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415A-4F58-8B36-61F952CFD43A}"/>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415A-4F58-8B36-61F952CFD43A}"/>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415A-4F58-8B36-61F952CFD43A}"/>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415A-4F58-8B36-61F952CFD43A}"/>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E8B7-4D93-91D7-46AC99D5D33E}"/>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E8B7-4D93-91D7-46AC99D5D33E}"/>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E8B7-4D93-91D7-46AC99D5D33E}"/>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E8B7-4D93-91D7-46AC99D5D33E}"/>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E8B7-4D93-91D7-46AC99D5D33E}"/>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E8B7-4D93-91D7-46AC99D5D33E}"/>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E8B7-4D93-91D7-46AC99D5D33E}"/>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94.302651599653203</c:v>
              </c:pt>
              <c:pt idx="3">
                <c:v>139.61077285989199</c:v>
              </c:pt>
              <c:pt idx="4">
                <c:v>331.39355328718398</c:v>
              </c:pt>
              <c:pt idx="5">
                <c:v>397.25246851791599</c:v>
              </c:pt>
              <c:pt idx="6">
                <c:v>901.00564373664201</c:v>
              </c:pt>
              <c:pt idx="7">
                <c:v>2203.3916584312101</c:v>
              </c:pt>
            </c:numLit>
          </c:yVal>
          <c:smooth val="0"/>
          <c:extLst>
            <c:ext xmlns:c16="http://schemas.microsoft.com/office/drawing/2014/chart" uri="{C3380CC4-5D6E-409C-BE32-E72D297353CC}">
              <c16:uniqueId val="{00000000-D687-4AF6-BDDE-5D4AC81A5031}"/>
            </c:ext>
          </c:extLst>
        </c:ser>
        <c:ser>
          <c:idx val="2"/>
          <c:order val="1"/>
          <c:tx>
            <c:strRef>
              <c:f>2025</c:f>
              <c:strCache>
                <c:ptCount val="1"/>
                <c:pt idx="0">
                  <c:v>2025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185.916452868796</c:v>
              </c:pt>
              <c:pt idx="5">
                <c:v>233.73471831484599</c:v>
              </c:pt>
              <c:pt idx="6">
                <c:v>441.80061355763502</c:v>
              </c:pt>
              <c:pt idx="7">
                <c:v>1143.99573978841</c:v>
              </c:pt>
            </c:numLit>
          </c:yVal>
          <c:smooth val="0"/>
          <c:extLst>
            <c:ext xmlns:c16="http://schemas.microsoft.com/office/drawing/2014/chart" uri="{C3380CC4-5D6E-409C-BE32-E72D297353CC}">
              <c16:uniqueId val="{00000001-D687-4AF6-BDDE-5D4AC81A5031}"/>
            </c:ext>
          </c:extLst>
        </c:ser>
        <c:ser>
          <c:idx val="3"/>
          <c:order val="2"/>
          <c:tx>
            <c:strRef>
              <c:f>2030</c:f>
              <c:strCache>
                <c:ptCount val="1"/>
                <c:pt idx="0">
                  <c:v>2030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280.43769796974499</c:v>
              </c:pt>
              <c:pt idx="7">
                <c:v>483.49012866922999</c:v>
              </c:pt>
            </c:numLit>
          </c:yVal>
          <c:smooth val="0"/>
          <c:extLst>
            <c:ext xmlns:c16="http://schemas.microsoft.com/office/drawing/2014/chart" uri="{C3380CC4-5D6E-409C-BE32-E72D297353CC}">
              <c16:uniqueId val="{00000002-D687-4AF6-BDDE-5D4AC81A5031}"/>
            </c:ext>
          </c:extLst>
        </c:ser>
        <c:ser>
          <c:idx val="4"/>
          <c:order val="3"/>
          <c:tx>
            <c:strRef>
              <c:f>2035</c:f>
              <c:strCache>
                <c:ptCount val="1"/>
                <c:pt idx="0">
                  <c:v>2035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330.72340861429399</c:v>
              </c:pt>
            </c:numLit>
          </c:yVal>
          <c:smooth val="1"/>
          <c:extLst>
            <c:ext xmlns:c16="http://schemas.microsoft.com/office/drawing/2014/chart" uri="{C3380CC4-5D6E-409C-BE32-E72D297353CC}">
              <c16:uniqueId val="{00000003-D687-4AF6-BDDE-5D4AC81A5031}"/>
            </c:ext>
          </c:extLst>
        </c:ser>
        <c:ser>
          <c:idx val="5"/>
          <c:order val="4"/>
          <c:tx>
            <c:strRef>
              <c:f>2040</c:f>
              <c:strCache>
                <c:ptCount val="1"/>
                <c:pt idx="0">
                  <c:v>2040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4-D687-4AF6-BDDE-5D4AC81A5031}"/>
            </c:ext>
          </c:extLst>
        </c:ser>
        <c:ser>
          <c:idx val="6"/>
          <c:order val="5"/>
          <c:tx>
            <c:strRef>
              <c:f>2045</c:f>
              <c:strCache>
                <c:ptCount val="1"/>
                <c:pt idx="0">
                  <c:v>2045</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5-D687-4AF6-BDDE-5D4AC81A5031}"/>
            </c:ext>
          </c:extLst>
        </c:ser>
        <c:ser>
          <c:idx val="7"/>
          <c:order val="6"/>
          <c:tx>
            <c:strRef>
              <c:f>2050</c:f>
              <c:strCache>
                <c:ptCount val="1"/>
                <c:pt idx="0">
                  <c:v>2050</c:v>
                </c:pt>
              </c:strCache>
            </c:strRef>
          </c:tx>
          <c:marker>
            <c:symbol val="none"/>
          </c:marker>
          <c:xVal>
            <c:numLit>
              <c:formatCode>General</c:formatCode>
              <c:ptCount val="8"/>
              <c:pt idx="0">
                <c:v>0</c:v>
              </c:pt>
              <c:pt idx="1">
                <c:v>1.5429670784800001E-2</c:v>
              </c:pt>
              <c:pt idx="2">
                <c:v>6.5429670784799998E-2</c:v>
              </c:pt>
              <c:pt idx="3">
                <c:v>0.1154296707848</c:v>
              </c:pt>
              <c:pt idx="4">
                <c:v>0.1654296707848</c:v>
              </c:pt>
              <c:pt idx="5">
                <c:v>0.21542967078479999</c:v>
              </c:pt>
              <c:pt idx="6">
                <c:v>0.26542967078480001</c:v>
              </c:pt>
              <c:pt idx="7">
                <c:v>0.3154296707848</c:v>
              </c:pt>
            </c:numLit>
          </c:xVal>
          <c:yVal>
            <c:numLit>
              <c:formatCode>General</c:formatCode>
              <c:ptCount val="8"/>
              <c:pt idx="0">
                <c:v>-36.132908095727103</c:v>
              </c:pt>
              <c:pt idx="1">
                <c:v>16.127091904272898</c:v>
              </c:pt>
              <c:pt idx="2">
                <c:v>68.387091904272907</c:v>
              </c:pt>
              <c:pt idx="3">
                <c:v>120.647091904273</c:v>
              </c:pt>
              <c:pt idx="4">
                <c:v>172.90709190427299</c:v>
              </c:pt>
              <c:pt idx="5">
                <c:v>225.16709190427301</c:v>
              </c:pt>
              <c:pt idx="6">
                <c:v>277.42709190427303</c:v>
              </c:pt>
              <c:pt idx="7">
                <c:v>329.68709190427302</c:v>
              </c:pt>
            </c:numLit>
          </c:yVal>
          <c:smooth val="1"/>
          <c:extLst>
            <c:ext xmlns:c16="http://schemas.microsoft.com/office/drawing/2014/chart" uri="{C3380CC4-5D6E-409C-BE32-E72D297353CC}">
              <c16:uniqueId val="{00000006-D687-4AF6-BDDE-5D4AC81A5031}"/>
            </c:ext>
          </c:extLst>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064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182.121901390034</c:v>
              </c:pt>
              <c:pt idx="3">
                <c:v>267.07462875298103</c:v>
              </c:pt>
              <c:pt idx="4">
                <c:v>626.66734205415401</c:v>
              </c:pt>
              <c:pt idx="5">
                <c:v>750.15280811177604</c:v>
              </c:pt>
              <c:pt idx="6">
                <c:v>1694.6900116468901</c:v>
              </c:pt>
              <c:pt idx="7">
                <c:v>4136.6637891992004</c:v>
              </c:pt>
            </c:numLit>
          </c:yVal>
          <c:smooth val="0"/>
          <c:extLst>
            <c:ext xmlns:c16="http://schemas.microsoft.com/office/drawing/2014/chart" uri="{C3380CC4-5D6E-409C-BE32-E72D297353CC}">
              <c16:uniqueId val="{00000000-377E-43A4-B616-6658C5A5CB47}"/>
            </c:ext>
          </c:extLst>
        </c:ser>
        <c:ser>
          <c:idx val="2"/>
          <c:order val="1"/>
          <c:tx>
            <c:strRef>
              <c:f>2025</c:f>
              <c:strCache>
                <c:ptCount val="1"/>
                <c:pt idx="0">
                  <c:v>2025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353.89777876967599</c:v>
              </c:pt>
              <c:pt idx="5">
                <c:v>443.55702648101999</c:v>
              </c:pt>
              <c:pt idx="6">
                <c:v>833.68058006124897</c:v>
              </c:pt>
              <c:pt idx="7">
                <c:v>2150.2964417439598</c:v>
              </c:pt>
            </c:numLit>
          </c:yVal>
          <c:smooth val="0"/>
          <c:extLst>
            <c:ext xmlns:c16="http://schemas.microsoft.com/office/drawing/2014/chart" uri="{C3380CC4-5D6E-409C-BE32-E72D297353CC}">
              <c16:uniqueId val="{00000001-377E-43A4-B616-6658C5A5CB47}"/>
            </c:ext>
          </c:extLst>
        </c:ser>
        <c:ser>
          <c:idx val="3"/>
          <c:order val="2"/>
          <c:tx>
            <c:strRef>
              <c:f>2030</c:f>
              <c:strCache>
                <c:ptCount val="1"/>
                <c:pt idx="0">
                  <c:v>2030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531.12511333395696</c:v>
              </c:pt>
              <c:pt idx="7">
                <c:v>911.84842089548897</c:v>
              </c:pt>
            </c:numLit>
          </c:yVal>
          <c:smooth val="0"/>
          <c:extLst>
            <c:ext xmlns:c16="http://schemas.microsoft.com/office/drawing/2014/chart" uri="{C3380CC4-5D6E-409C-BE32-E72D297353CC}">
              <c16:uniqueId val="{00000002-377E-43A4-B616-6658C5A5CB47}"/>
            </c:ext>
          </c:extLst>
        </c:ser>
        <c:ser>
          <c:idx val="4"/>
          <c:order val="3"/>
          <c:tx>
            <c:strRef>
              <c:f>2035</c:f>
              <c:strCache>
                <c:ptCount val="1"/>
                <c:pt idx="0">
                  <c:v>2035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625.41082079248395</c:v>
              </c:pt>
            </c:numLit>
          </c:yVal>
          <c:smooth val="1"/>
          <c:extLst>
            <c:ext xmlns:c16="http://schemas.microsoft.com/office/drawing/2014/chart" uri="{C3380CC4-5D6E-409C-BE32-E72D297353CC}">
              <c16:uniqueId val="{00000003-377E-43A4-B616-6658C5A5CB47}"/>
            </c:ext>
          </c:extLst>
        </c:ser>
        <c:ser>
          <c:idx val="5"/>
          <c:order val="4"/>
          <c:tx>
            <c:strRef>
              <c:f>2040</c:f>
              <c:strCache>
                <c:ptCount val="1"/>
                <c:pt idx="0">
                  <c:v>2040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4-377E-43A4-B616-6658C5A5CB47}"/>
            </c:ext>
          </c:extLst>
        </c:ser>
        <c:ser>
          <c:idx val="6"/>
          <c:order val="5"/>
          <c:tx>
            <c:strRef>
              <c:f>2045</c:f>
              <c:strCache>
                <c:ptCount val="1"/>
                <c:pt idx="0">
                  <c:v>2045</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5-377E-43A4-B616-6658C5A5CB47}"/>
            </c:ext>
          </c:extLst>
        </c:ser>
        <c:ser>
          <c:idx val="7"/>
          <c:order val="6"/>
          <c:tx>
            <c:strRef>
              <c:f>2050</c:f>
              <c:strCache>
                <c:ptCount val="1"/>
                <c:pt idx="0">
                  <c:v>2050</c:v>
                </c:pt>
              </c:strCache>
            </c:strRef>
          </c:tx>
          <c:marker>
            <c:symbol val="none"/>
          </c:marker>
          <c:xVal>
            <c:numLit>
              <c:formatCode>General</c:formatCode>
              <c:ptCount val="8"/>
              <c:pt idx="0">
                <c:v>0</c:v>
              </c:pt>
              <c:pt idx="1">
                <c:v>1.8136357678885402E-2</c:v>
              </c:pt>
              <c:pt idx="2">
                <c:v>6.8136357678885304E-2</c:v>
              </c:pt>
              <c:pt idx="3">
                <c:v>0.118136357678885</c:v>
              </c:pt>
              <c:pt idx="4">
                <c:v>0.16813635767888499</c:v>
              </c:pt>
              <c:pt idx="5">
                <c:v>0.21813635767888501</c:v>
              </c:pt>
              <c:pt idx="6">
                <c:v>0.268136357678885</c:v>
              </c:pt>
              <c:pt idx="7">
                <c:v>0.31813635767888498</c:v>
              </c:pt>
            </c:numLit>
          </c:xVal>
          <c:yVal>
            <c:numLit>
              <c:formatCode>General</c:formatCode>
              <c:ptCount val="8"/>
              <c:pt idx="0">
                <c:v>-62.444773038804399</c:v>
              </c:pt>
              <c:pt idx="1">
                <c:v>35.542726961195598</c:v>
              </c:pt>
              <c:pt idx="2">
                <c:v>133.53022696119501</c:v>
              </c:pt>
              <c:pt idx="3">
                <c:v>231.51772696119599</c:v>
              </c:pt>
              <c:pt idx="4">
                <c:v>329.505226961196</c:v>
              </c:pt>
              <c:pt idx="5">
                <c:v>427.49272696119499</c:v>
              </c:pt>
              <c:pt idx="6">
                <c:v>525.48022696119597</c:v>
              </c:pt>
              <c:pt idx="7">
                <c:v>623.46772696119604</c:v>
              </c:pt>
            </c:numLit>
          </c:yVal>
          <c:smooth val="1"/>
          <c:extLst>
            <c:ext xmlns:c16="http://schemas.microsoft.com/office/drawing/2014/chart" uri="{C3380CC4-5D6E-409C-BE32-E72D297353CC}">
              <c16:uniqueId val="{00000006-377E-43A4-B616-6658C5A5CB47}"/>
            </c:ext>
          </c:extLst>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273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D4FB-4ED9-9034-228A4FB1E5EF}"/>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D4FB-4ED9-9034-228A4FB1E5EF}"/>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D4FB-4ED9-9034-228A4FB1E5EF}"/>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D4FB-4ED9-9034-228A4FB1E5EF}"/>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D4FB-4ED9-9034-228A4FB1E5EF}"/>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D4FB-4ED9-9034-228A4FB1E5EF}"/>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D4FB-4ED9-9034-228A4FB1E5EF}"/>
            </c:ext>
          </c:extLst>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34340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236.32992342643499</c:v>
              </c:pt>
              <c:pt idx="3">
                <c:v>349.60022657703098</c:v>
              </c:pt>
              <c:pt idx="4">
                <c:v>829.05717764526196</c:v>
              </c:pt>
              <c:pt idx="5">
                <c:v>993.70446572209198</c:v>
              </c:pt>
              <c:pt idx="6">
                <c:v>2253.08740376891</c:v>
              </c:pt>
              <c:pt idx="7">
                <c:v>5509.0524405053302</c:v>
              </c:pt>
            </c:numLit>
          </c:yVal>
          <c:smooth val="0"/>
          <c:extLst>
            <c:ext xmlns:c16="http://schemas.microsoft.com/office/drawing/2014/chart" uri="{C3380CC4-5D6E-409C-BE32-E72D297353CC}">
              <c16:uniqueId val="{00000000-A00A-4229-834E-E5E01BED5A26}"/>
            </c:ext>
          </c:extLst>
        </c:ser>
        <c:ser>
          <c:idx val="2"/>
          <c:order val="1"/>
          <c:tx>
            <c:strRef>
              <c:f>2025</c:f>
              <c:strCache>
                <c:ptCount val="1"/>
                <c:pt idx="0">
                  <c:v>2025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465.36442659929099</c:v>
              </c:pt>
              <c:pt idx="5">
                <c:v>584.91009021441698</c:v>
              </c:pt>
              <c:pt idx="6">
                <c:v>1105.07482832139</c:v>
              </c:pt>
              <c:pt idx="7">
                <c:v>2860.56264389833</c:v>
              </c:pt>
            </c:numLit>
          </c:yVal>
          <c:smooth val="0"/>
          <c:extLst>
            <c:ext xmlns:c16="http://schemas.microsoft.com/office/drawing/2014/chart" uri="{C3380CC4-5D6E-409C-BE32-E72D297353CC}">
              <c16:uniqueId val="{00000001-A00A-4229-834E-E5E01BED5A26}"/>
            </c:ext>
          </c:extLst>
        </c:ser>
        <c:ser>
          <c:idx val="3"/>
          <c:order val="2"/>
          <c:tx>
            <c:strRef>
              <c:f>2030</c:f>
              <c:strCache>
                <c:ptCount val="1"/>
                <c:pt idx="0">
                  <c:v>2030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701.66753935166503</c:v>
              </c:pt>
              <c:pt idx="7">
                <c:v>1209.2986161003801</c:v>
              </c:pt>
            </c:numLit>
          </c:yVal>
          <c:smooth val="0"/>
          <c:extLst>
            <c:ext xmlns:c16="http://schemas.microsoft.com/office/drawing/2014/chart" uri="{C3380CC4-5D6E-409C-BE32-E72D297353CC}">
              <c16:uniqueId val="{00000002-A00A-4229-834E-E5E01BED5A26}"/>
            </c:ext>
          </c:extLst>
        </c:ser>
        <c:ser>
          <c:idx val="4"/>
          <c:order val="3"/>
          <c:tx>
            <c:strRef>
              <c:f>2035</c:f>
              <c:strCache>
                <c:ptCount val="1"/>
                <c:pt idx="0">
                  <c:v>2035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827.38181596303605</c:v>
              </c:pt>
            </c:numLit>
          </c:yVal>
          <c:smooth val="1"/>
          <c:extLst>
            <c:ext xmlns:c16="http://schemas.microsoft.com/office/drawing/2014/chart" uri="{C3380CC4-5D6E-409C-BE32-E72D297353CC}">
              <c16:uniqueId val="{00000003-A00A-4229-834E-E5E01BED5A26}"/>
            </c:ext>
          </c:extLst>
        </c:ser>
        <c:ser>
          <c:idx val="5"/>
          <c:order val="4"/>
          <c:tx>
            <c:strRef>
              <c:f>2040</c:f>
              <c:strCache>
                <c:ptCount val="1"/>
                <c:pt idx="0">
                  <c:v>2040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4-A00A-4229-834E-E5E01BED5A26}"/>
            </c:ext>
          </c:extLst>
        </c:ser>
        <c:ser>
          <c:idx val="6"/>
          <c:order val="5"/>
          <c:tx>
            <c:strRef>
              <c:f>2045</c:f>
              <c:strCache>
                <c:ptCount val="1"/>
                <c:pt idx="0">
                  <c:v>2045</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5-A00A-4229-834E-E5E01BED5A26}"/>
            </c:ext>
          </c:extLst>
        </c:ser>
        <c:ser>
          <c:idx val="7"/>
          <c:order val="6"/>
          <c:tx>
            <c:strRef>
              <c:f>2050</c:f>
              <c:strCache>
                <c:ptCount val="1"/>
                <c:pt idx="0">
                  <c:v>2050</c:v>
                </c:pt>
              </c:strCache>
            </c:strRef>
          </c:tx>
          <c:marker>
            <c:symbol val="none"/>
          </c:marker>
          <c:xVal>
            <c:numLit>
              <c:formatCode>General</c:formatCode>
              <c:ptCount val="8"/>
              <c:pt idx="0">
                <c:v>0</c:v>
              </c:pt>
              <c:pt idx="1">
                <c:v>1.5649071637192698E-2</c:v>
              </c:pt>
              <c:pt idx="2">
                <c:v>6.5649071637192705E-2</c:v>
              </c:pt>
              <c:pt idx="3">
                <c:v>0.115649071637193</c:v>
              </c:pt>
              <c:pt idx="4">
                <c:v>0.165649071637193</c:v>
              </c:pt>
              <c:pt idx="5">
                <c:v>0.21564907163719299</c:v>
              </c:pt>
              <c:pt idx="6">
                <c:v>0.26564907163719298</c:v>
              </c:pt>
              <c:pt idx="7">
                <c:v>0.31564907163719302</c:v>
              </c:pt>
            </c:numLit>
          </c:xVal>
          <c:yVal>
            <c:numLit>
              <c:formatCode>General</c:formatCode>
              <c:ptCount val="8"/>
              <c:pt idx="0">
                <c:v>-89.758975812015507</c:v>
              </c:pt>
              <c:pt idx="1">
                <c:v>40.891024187984399</c:v>
              </c:pt>
              <c:pt idx="2">
                <c:v>171.54102418798399</c:v>
              </c:pt>
              <c:pt idx="3">
                <c:v>302.191024187984</c:v>
              </c:pt>
              <c:pt idx="4">
                <c:v>432.84102418798398</c:v>
              </c:pt>
              <c:pt idx="5">
                <c:v>563.49102418798395</c:v>
              </c:pt>
              <c:pt idx="6">
                <c:v>694.14102418798404</c:v>
              </c:pt>
              <c:pt idx="7">
                <c:v>824.79102418798402</c:v>
              </c:pt>
            </c:numLit>
          </c:yVal>
          <c:smooth val="1"/>
          <c:extLst>
            <c:ext xmlns:c16="http://schemas.microsoft.com/office/drawing/2014/chart" uri="{C3380CC4-5D6E-409C-BE32-E72D297353CC}">
              <c16:uniqueId val="{00000006-A00A-4229-834E-E5E01BED5A26}"/>
            </c:ext>
          </c:extLst>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7667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3687.8048780487802</c:v>
              </c:pt>
              <c:pt idx="1">
                <c:v>4039.0243902439001</c:v>
              </c:pt>
              <c:pt idx="2">
                <c:v>4207.3170731707296</c:v>
              </c:pt>
              <c:pt idx="3">
                <c:v>4267.3170731707296</c:v>
              </c:pt>
              <c:pt idx="4">
                <c:v>4456.0975609756097</c:v>
              </c:pt>
              <c:pt idx="5">
                <c:v>4627.3170731707296</c:v>
              </c:pt>
              <c:pt idx="6">
                <c:v>4877.5609756097501</c:v>
              </c:pt>
              <c:pt idx="7">
                <c:v>5121.9512195121997</c:v>
              </c:pt>
            </c:numLit>
          </c:yVal>
          <c:smooth val="0"/>
          <c:extLst>
            <c:ext xmlns:c16="http://schemas.microsoft.com/office/drawing/2014/chart" uri="{C3380CC4-5D6E-409C-BE32-E72D297353CC}">
              <c16:uniqueId val="{00000000-4243-41D9-BF1F-C2D613497B3B}"/>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2819.1219512195098</c:v>
              </c:pt>
              <c:pt idx="1">
                <c:v>3087.60975609756</c:v>
              </c:pt>
              <c:pt idx="2">
                <c:v>3216.2601626016299</c:v>
              </c:pt>
              <c:pt idx="3">
                <c:v>3262.1268292682898</c:v>
              </c:pt>
              <c:pt idx="4">
                <c:v>3406.4390243902399</c:v>
              </c:pt>
              <c:pt idx="5">
                <c:v>3537.3268292682901</c:v>
              </c:pt>
              <c:pt idx="6">
                <c:v>3728.6243902439001</c:v>
              </c:pt>
              <c:pt idx="7">
                <c:v>3915.4471544715502</c:v>
              </c:pt>
            </c:numLit>
          </c:yVal>
          <c:smooth val="0"/>
          <c:extLst>
            <c:ext xmlns:c16="http://schemas.microsoft.com/office/drawing/2014/chart" uri="{C3380CC4-5D6E-409C-BE32-E72D297353CC}">
              <c16:uniqueId val="{00000001-4243-41D9-BF1F-C2D613497B3B}"/>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2075.81751588219</c:v>
              </c:pt>
              <c:pt idx="1">
                <c:v>2273.5144221566802</c:v>
              </c:pt>
              <c:pt idx="2">
                <c:v>2368.2441897465501</c:v>
              </c:pt>
              <c:pt idx="3">
                <c:v>2402.0174112351101</c:v>
              </c:pt>
              <c:pt idx="4">
                <c:v>2508.27949835765</c:v>
              </c:pt>
              <c:pt idx="5">
                <c:v>2604.6567401664602</c:v>
              </c:pt>
              <c:pt idx="6">
                <c:v>2745.5157858870398</c:v>
              </c:pt>
              <c:pt idx="7">
                <c:v>2883.0798831697098</c:v>
              </c:pt>
            </c:numLit>
          </c:yVal>
          <c:smooth val="0"/>
          <c:extLst>
            <c:ext xmlns:c16="http://schemas.microsoft.com/office/drawing/2014/chart" uri="{C3380CC4-5D6E-409C-BE32-E72D297353CC}">
              <c16:uniqueId val="{00000002-4243-41D9-BF1F-C2D613497B3B}"/>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1438.64967520454</c:v>
              </c:pt>
              <c:pt idx="1">
                <c:v>1575.6639299859301</c:v>
              </c:pt>
              <c:pt idx="2">
                <c:v>1641.3165937353399</c:v>
              </c:pt>
              <c:pt idx="3">
                <c:v>1664.72319559383</c:v>
              </c:pt>
              <c:pt idx="4">
                <c:v>1738.36835753882</c:v>
              </c:pt>
              <c:pt idx="5">
                <c:v>1805.16280674475</c:v>
              </c:pt>
              <c:pt idx="6">
                <c:v>1902.78546327649</c:v>
              </c:pt>
              <c:pt idx="7">
                <c:v>1998.1245488952</c:v>
              </c:pt>
            </c:numLit>
          </c:yVal>
          <c:smooth val="0"/>
          <c:extLst>
            <c:ext xmlns:c16="http://schemas.microsoft.com/office/drawing/2014/chart" uri="{C3380CC4-5D6E-409C-BE32-E72D297353CC}">
              <c16:uniqueId val="{00000003-4243-41D9-BF1F-C2D613497B3B}"/>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1253.1990370109299</c:v>
              </c:pt>
              <c:pt idx="1">
                <c:v>1372.5513262500699</c:v>
              </c:pt>
              <c:pt idx="2">
                <c:v>1429.7409648438199</c:v>
              </c:pt>
              <c:pt idx="3">
                <c:v>1450.1303142555</c:v>
              </c:pt>
              <c:pt idx="4">
                <c:v>1514.28216972154</c:v>
              </c:pt>
              <c:pt idx="5">
                <c:v>1572.4664107256201</c:v>
              </c:pt>
              <c:pt idx="6">
                <c:v>1657.5049168085</c:v>
              </c:pt>
              <c:pt idx="7">
                <c:v>1740.55421807074</c:v>
              </c:pt>
            </c:numLit>
          </c:yVal>
          <c:smooth val="0"/>
          <c:extLst>
            <c:ext xmlns:c16="http://schemas.microsoft.com/office/drawing/2014/chart" uri="{C3380CC4-5D6E-409C-BE32-E72D297353CC}">
              <c16:uniqueId val="{00000004-4243-41D9-BF1F-C2D613497B3B}"/>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1132.2419822527499</c:v>
              </c:pt>
              <c:pt idx="1">
                <c:v>1240.0745519911</c:v>
              </c:pt>
              <c:pt idx="2">
                <c:v>1291.7443249907301</c:v>
              </c:pt>
              <c:pt idx="3">
                <c:v>1310.16572232104</c:v>
              </c:pt>
              <c:pt idx="4">
                <c:v>1368.1257285554</c:v>
              </c:pt>
              <c:pt idx="5">
                <c:v>1420.6941063028501</c:v>
              </c:pt>
              <c:pt idx="6">
                <c:v>1497.52481224143</c:v>
              </c:pt>
              <c:pt idx="7">
                <c:v>1572.5583086843701</c:v>
              </c:pt>
            </c:numLit>
          </c:yVal>
          <c:smooth val="0"/>
          <c:extLst>
            <c:ext xmlns:c16="http://schemas.microsoft.com/office/drawing/2014/chart" uri="{C3380CC4-5D6E-409C-BE32-E72D297353CC}">
              <c16:uniqueId val="{00000005-4243-41D9-BF1F-C2D613497B3B}"/>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1013.70664724774</c:v>
              </c:pt>
              <c:pt idx="1">
                <c:v>1110.25013746181</c:v>
              </c:pt>
              <c:pt idx="2">
                <c:v>1156.5105598560599</c:v>
              </c:pt>
              <c:pt idx="3">
                <c:v>1173.0034061009601</c:v>
              </c:pt>
              <c:pt idx="4">
                <c:v>1224.89553209102</c:v>
              </c:pt>
              <c:pt idx="5">
                <c:v>1271.9604835703799</c:v>
              </c:pt>
              <c:pt idx="6">
                <c:v>1340.74772034791</c:v>
              </c:pt>
              <c:pt idx="7">
                <c:v>1407.9258989552</c:v>
              </c:pt>
            </c:numLit>
          </c:yVal>
          <c:smooth val="0"/>
          <c:extLst>
            <c:ext xmlns:c16="http://schemas.microsoft.com/office/drawing/2014/chart" uri="{C3380CC4-5D6E-409C-BE32-E72D297353CC}">
              <c16:uniqueId val="{00000006-4243-41D9-BF1F-C2D613497B3B}"/>
            </c:ext>
          </c:extLst>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42833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4449.6000000000004</c:v>
              </c:pt>
              <c:pt idx="1">
                <c:v>4856.39104031857</c:v>
              </c:pt>
              <c:pt idx="2">
                <c:v>5041.0527625684399</c:v>
              </c:pt>
              <c:pt idx="3">
                <c:v>5095.0024091587802</c:v>
              </c:pt>
              <c:pt idx="4">
                <c:v>5301.6648083623704</c:v>
              </c:pt>
              <c:pt idx="5">
                <c:v>5485.9204778496696</c:v>
              </c:pt>
              <c:pt idx="6">
                <c:v>5762.0917272274701</c:v>
              </c:pt>
              <c:pt idx="7">
                <c:v>6029.2682926829302</c:v>
              </c:pt>
            </c:numLit>
          </c:yVal>
          <c:smooth val="0"/>
          <c:extLst>
            <c:ext xmlns:c16="http://schemas.microsoft.com/office/drawing/2014/chart" uri="{C3380CC4-5D6E-409C-BE32-E72D297353CC}">
              <c16:uniqueId val="{00000000-E1A7-443C-94AB-6148626B66CB}"/>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3401.4720000000002</c:v>
              </c:pt>
              <c:pt idx="1">
                <c:v>3712.4411508213002</c:v>
              </c:pt>
              <c:pt idx="2">
                <c:v>3853.60477849676</c:v>
              </c:pt>
              <c:pt idx="3">
                <c:v>3894.8462861124899</c:v>
              </c:pt>
              <c:pt idx="4">
                <c:v>4052.8282090592302</c:v>
              </c:pt>
              <c:pt idx="5">
                <c:v>4193.6814319562</c:v>
              </c:pt>
              <c:pt idx="6">
                <c:v>4404.7990092583304</c:v>
              </c:pt>
              <c:pt idx="7">
                <c:v>4609.0406504065004</c:v>
              </c:pt>
            </c:numLit>
          </c:yVal>
          <c:smooth val="0"/>
          <c:extLst>
            <c:ext xmlns:c16="http://schemas.microsoft.com/office/drawing/2014/chart" uri="{C3380CC4-5D6E-409C-BE32-E72D297353CC}">
              <c16:uniqueId val="{00000001-E1A7-443C-94AB-6148626B66CB}"/>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2504.6221055915698</c:v>
              </c:pt>
              <c:pt idx="1">
                <c:v>2733.5995039955801</c:v>
              </c:pt>
              <c:pt idx="2">
                <c:v>2837.5431914289702</c:v>
              </c:pt>
              <c:pt idx="3">
                <c:v>2867.9107474877301</c:v>
              </c:pt>
              <c:pt idx="4">
                <c:v>2984.2383305153899</c:v>
              </c:pt>
              <c:pt idx="5">
                <c:v>3087.95345611735</c:v>
              </c:pt>
              <c:pt idx="6">
                <c:v>3243.40666901749</c:v>
              </c:pt>
              <c:pt idx="7">
                <c:v>3393.7968910454802</c:v>
              </c:pt>
            </c:numLit>
          </c:yVal>
          <c:smooth val="0"/>
          <c:extLst>
            <c:ext xmlns:c16="http://schemas.microsoft.com/office/drawing/2014/chart" uri="{C3380CC4-5D6E-409C-BE32-E72D297353CC}">
              <c16:uniqueId val="{00000002-E1A7-443C-94AB-6148626B66CB}"/>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1735.8335938253699</c:v>
              </c:pt>
              <c:pt idx="1">
                <c:v>1894.5268591643101</c:v>
              </c:pt>
              <c:pt idx="2">
                <c:v>1966.5652493510599</c:v>
              </c:pt>
              <c:pt idx="3">
                <c:v>1987.6115476535001</c:v>
              </c:pt>
              <c:pt idx="4">
                <c:v>2068.23262260813</c:v>
              </c:pt>
              <c:pt idx="5">
                <c:v>2140.1126075390998</c:v>
              </c:pt>
              <c:pt idx="6">
                <c:v>2247.8497821882202</c:v>
              </c:pt>
              <c:pt idx="7">
                <c:v>2352.0780404137799</c:v>
              </c:pt>
            </c:numLit>
          </c:yVal>
          <c:smooth val="0"/>
          <c:extLst>
            <c:ext xmlns:c16="http://schemas.microsoft.com/office/drawing/2014/chart" uri="{C3380CC4-5D6E-409C-BE32-E72D297353CC}">
              <c16:uniqueId val="{00000003-E1A7-443C-94AB-6148626B66CB}"/>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1512.0741523706199</c:v>
              </c:pt>
              <c:pt idx="1">
                <c:v>1650.3108966805901</c:v>
              </c:pt>
              <c:pt idx="2">
                <c:v>1713.06310297919</c:v>
              </c:pt>
              <c:pt idx="3">
                <c:v>1731.39640622865</c:v>
              </c:pt>
              <c:pt idx="4">
                <c:v>1801.62493735564</c:v>
              </c:pt>
              <c:pt idx="5">
                <c:v>1864.2391577933199</c:v>
              </c:pt>
              <c:pt idx="6">
                <c:v>1958.0883594770801</c:v>
              </c:pt>
              <c:pt idx="7">
                <c:v>2048.8809652718401</c:v>
              </c:pt>
            </c:numLit>
          </c:yVal>
          <c:smooth val="0"/>
          <c:extLst>
            <c:ext xmlns:c16="http://schemas.microsoft.com/office/drawing/2014/chart" uri="{C3380CC4-5D6E-409C-BE32-E72D297353CC}">
              <c16:uniqueId val="{00000004-E1A7-443C-94AB-6148626B66CB}"/>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1366.13082601524</c:v>
              </c:pt>
              <c:pt idx="1">
                <c:v>1491.02514908383</c:v>
              </c:pt>
              <c:pt idx="2">
                <c:v>1547.7205983715501</c:v>
              </c:pt>
              <c:pt idx="3">
                <c:v>1564.28439629939</c:v>
              </c:pt>
              <c:pt idx="4">
                <c:v>1627.7345657820999</c:v>
              </c:pt>
              <c:pt idx="5">
                <c:v>1684.30534741521</c:v>
              </c:pt>
              <c:pt idx="6">
                <c:v>1769.09635268178</c:v>
              </c:pt>
              <c:pt idx="7">
                <c:v>1851.1257805084599</c:v>
              </c:pt>
            </c:numLit>
          </c:yVal>
          <c:smooth val="0"/>
          <c:extLst>
            <c:ext xmlns:c16="http://schemas.microsoft.com/office/drawing/2014/chart" uri="{C3380CC4-5D6E-409C-BE32-E72D297353CC}">
              <c16:uniqueId val="{00000005-E1A7-443C-94AB-6148626B66CB}"/>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1223.1094775220599</c:v>
              </c:pt>
              <c:pt idx="1">
                <c:v>1334.9285122183701</c:v>
              </c:pt>
              <c:pt idx="2">
                <c:v>1385.6884687581401</c:v>
              </c:pt>
              <c:pt idx="3">
                <c:v>1400.5181891945001</c:v>
              </c:pt>
              <c:pt idx="4">
                <c:v>1457.3257087723</c:v>
              </c:pt>
              <c:pt idx="5">
                <c:v>1507.97404921573</c:v>
              </c:pt>
              <c:pt idx="6">
                <c:v>1583.8882151032501</c:v>
              </c:pt>
              <c:pt idx="7">
                <c:v>1657.3299153415501</c:v>
              </c:pt>
            </c:numLit>
          </c:yVal>
          <c:smooth val="0"/>
          <c:extLst>
            <c:ext xmlns:c16="http://schemas.microsoft.com/office/drawing/2014/chart" uri="{C3380CC4-5D6E-409C-BE32-E72D297353CC}">
              <c16:uniqueId val="{00000006-E1A7-443C-94AB-6148626B66CB}"/>
            </c:ext>
          </c:extLst>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4978.5365853658504</c:v>
              </c:pt>
              <c:pt idx="1">
                <c:v>5435.3728222996497</c:v>
              </c:pt>
              <c:pt idx="2">
                <c:v>5643.8153310104499</c:v>
              </c:pt>
              <c:pt idx="3">
                <c:v>5706.0125435540103</c:v>
              </c:pt>
              <c:pt idx="4">
                <c:v>5939.3414634146302</c:v>
              </c:pt>
              <c:pt idx="5">
                <c:v>6147.7212543553997</c:v>
              </c:pt>
              <c:pt idx="6">
                <c:v>6459.28432055749</c:v>
              </c:pt>
              <c:pt idx="7">
                <c:v>6760.9756097561003</c:v>
              </c:pt>
            </c:numLit>
          </c:yVal>
          <c:smooth val="0"/>
          <c:extLst>
            <c:ext xmlns:c16="http://schemas.microsoft.com/office/drawing/2014/chart" uri="{C3380CC4-5D6E-409C-BE32-E72D297353CC}">
              <c16:uniqueId val="{00000000-3BCE-4531-A517-F9FF8CBF3348}"/>
            </c:ext>
          </c:extLst>
        </c:ser>
        <c:ser>
          <c:idx val="2"/>
          <c:order val="1"/>
          <c:tx>
            <c:strRef>
              <c:f>2025</c:f>
              <c:strCache>
                <c:ptCount val="1"/>
                <c:pt idx="0">
                  <c:v>2025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3805.8146341463398</c:v>
              </c:pt>
              <c:pt idx="1">
                <c:v>4155.0405574912902</c:v>
              </c:pt>
              <c:pt idx="2">
                <c:v>4314.3832752613198</c:v>
              </c:pt>
              <c:pt idx="3">
                <c:v>4361.9295888501701</c:v>
              </c:pt>
              <c:pt idx="4">
                <c:v>4540.2965853658498</c:v>
              </c:pt>
              <c:pt idx="5">
                <c:v>4699.5913588850199</c:v>
              </c:pt>
              <c:pt idx="6">
                <c:v>4937.7640139372797</c:v>
              </c:pt>
              <c:pt idx="7">
                <c:v>5168.3902439024396</c:v>
              </c:pt>
            </c:numLit>
          </c:yVal>
          <c:smooth val="0"/>
          <c:extLst>
            <c:ext xmlns:c16="http://schemas.microsoft.com/office/drawing/2014/chart" uri="{C3380CC4-5D6E-409C-BE32-E72D297353CC}">
              <c16:uniqueId val="{00000001-3BCE-4531-A517-F9FF8CBF3348}"/>
            </c:ext>
          </c:extLst>
        </c:ser>
        <c:ser>
          <c:idx val="3"/>
          <c:order val="2"/>
          <c:tx>
            <c:strRef>
              <c:f>2030</c:f>
              <c:strCache>
                <c:ptCount val="1"/>
                <c:pt idx="0">
                  <c:v>2030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2802.3536464409599</c:v>
              </c:pt>
              <c:pt idx="1">
                <c:v>3059.5008366737102</c:v>
              </c:pt>
              <c:pt idx="2">
                <c:v>3176.8304202457198</c:v>
              </c:pt>
              <c:pt idx="3">
                <c:v>3211.8404241658</c:v>
              </c:pt>
              <c:pt idx="4">
                <c:v>3343.1782456681199</c:v>
              </c:pt>
              <c:pt idx="5">
                <c:v>3460.47252622116</c:v>
              </c:pt>
              <c:pt idx="6">
                <c:v>3635.8473335961198</c:v>
              </c:pt>
              <c:pt idx="7">
                <c:v>3805.66544578401</c:v>
              </c:pt>
            </c:numLit>
          </c:yVal>
          <c:smooth val="0"/>
          <c:extLst>
            <c:ext xmlns:c16="http://schemas.microsoft.com/office/drawing/2014/chart" uri="{C3380CC4-5D6E-409C-BE32-E72D297353CC}">
              <c16:uniqueId val="{00000002-3BCE-4531-A517-F9FF8CBF3348}"/>
            </c:ext>
          </c:extLst>
        </c:ser>
        <c:ser>
          <c:idx val="4"/>
          <c:order val="3"/>
          <c:tx>
            <c:strRef>
              <c:f>2035</c:f>
              <c:strCache>
                <c:ptCount val="1"/>
                <c:pt idx="0">
                  <c:v>2035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1942.17706152613</c:v>
              </c:pt>
              <c:pt idx="1">
                <c:v>2120.3934600667799</c:v>
              </c:pt>
              <c:pt idx="2">
                <c:v>2201.70897359641</c:v>
              </c:pt>
              <c:pt idx="3">
                <c:v>2225.9727301083199</c:v>
              </c:pt>
              <c:pt idx="4">
                <c:v>2316.9966822624601</c:v>
              </c:pt>
              <c:pt idx="5">
                <c:v>2398.28772896088</c:v>
              </c:pt>
              <c:pt idx="6">
                <c:v>2519.8316063675802</c:v>
              </c:pt>
              <c:pt idx="7">
                <c:v>2637.5244045416598</c:v>
              </c:pt>
            </c:numLit>
          </c:yVal>
          <c:smooth val="0"/>
          <c:extLst>
            <c:ext xmlns:c16="http://schemas.microsoft.com/office/drawing/2014/chart" uri="{C3380CC4-5D6E-409C-BE32-E72D297353CC}">
              <c16:uniqueId val="{00000003-3BCE-4531-A517-F9FF8CBF3348}"/>
            </c:ext>
          </c:extLst>
        </c:ser>
        <c:ser>
          <c:idx val="5"/>
          <c:order val="4"/>
          <c:tx>
            <c:strRef>
              <c:f>2040</c:f>
              <c:strCache>
                <c:ptCount val="1"/>
                <c:pt idx="0">
                  <c:v>2040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1691.8186999647501</c:v>
              </c:pt>
              <c:pt idx="1">
                <c:v>1847.0619276108</c:v>
              </c:pt>
              <c:pt idx="2">
                <c:v>1917.89537998335</c:v>
              </c:pt>
              <c:pt idx="3">
                <c:v>1939.0313916330699</c:v>
              </c:pt>
              <c:pt idx="4">
                <c:v>2018.32180621457</c:v>
              </c:pt>
              <c:pt idx="5">
                <c:v>2089.1339456783198</c:v>
              </c:pt>
              <c:pt idx="6">
                <c:v>2195.0100826878302</c:v>
              </c:pt>
              <c:pt idx="7">
                <c:v>2297.5315678533698</c:v>
              </c:pt>
            </c:numLit>
          </c:yVal>
          <c:smooth val="0"/>
          <c:extLst>
            <c:ext xmlns:c16="http://schemas.microsoft.com/office/drawing/2014/chart" uri="{C3380CC4-5D6E-409C-BE32-E72D297353CC}">
              <c16:uniqueId val="{00000004-3BCE-4531-A517-F9FF8CBF3348}"/>
            </c:ext>
          </c:extLst>
        </c:ser>
        <c:ser>
          <c:idx val="6"/>
          <c:order val="5"/>
          <c:tx>
            <c:strRef>
              <c:f>2045</c:f>
              <c:strCache>
                <c:ptCount val="1"/>
                <c:pt idx="0">
                  <c:v>2045</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1528.5266760412101</c:v>
              </c:pt>
              <c:pt idx="1">
                <c:v>1668.7860399651699</c:v>
              </c:pt>
              <c:pt idx="2">
                <c:v>1732.7827445232799</c:v>
              </c:pt>
              <c:pt idx="3">
                <c:v>1751.87873727499</c:v>
              </c:pt>
              <c:pt idx="4">
                <c:v>1823.5161496317</c:v>
              </c:pt>
              <c:pt idx="5">
                <c:v>1887.4935983737901</c:v>
              </c:pt>
              <c:pt idx="6">
                <c:v>1983.1507156397199</c:v>
              </c:pt>
              <c:pt idx="7">
                <c:v>2075.7769674633701</c:v>
              </c:pt>
            </c:numLit>
          </c:yVal>
          <c:smooth val="0"/>
          <c:extLst>
            <c:ext xmlns:c16="http://schemas.microsoft.com/office/drawing/2014/chart" uri="{C3380CC4-5D6E-409C-BE32-E72D297353CC}">
              <c16:uniqueId val="{00000005-3BCE-4531-A517-F9FF8CBF3348}"/>
            </c:ext>
          </c:extLst>
        </c:ser>
        <c:ser>
          <c:idx val="7"/>
          <c:order val="6"/>
          <c:tx>
            <c:strRef>
              <c:f>2050</c:f>
              <c:strCache>
                <c:ptCount val="1"/>
                <c:pt idx="0">
                  <c:v>2050</c:v>
                </c:pt>
              </c:strCache>
            </c:strRef>
          </c:tx>
          <c:marker>
            <c:symbol val="none"/>
          </c:marker>
          <c:xVal>
            <c:numLit>
              <c:formatCode>General</c:formatCode>
              <c:ptCount val="8"/>
              <c:pt idx="0">
                <c:v>120</c:v>
              </c:pt>
              <c:pt idx="1">
                <c:v>131.42857142857099</c:v>
              </c:pt>
              <c:pt idx="2">
                <c:v>142.857142857143</c:v>
              </c:pt>
              <c:pt idx="3">
                <c:v>154.28571428571399</c:v>
              </c:pt>
              <c:pt idx="4">
                <c:v>165.71428571428601</c:v>
              </c:pt>
              <c:pt idx="5">
                <c:v>177.142857142857</c:v>
              </c:pt>
              <c:pt idx="6">
                <c:v>188.57142857142799</c:v>
              </c:pt>
              <c:pt idx="7">
                <c:v>200</c:v>
              </c:pt>
            </c:numLit>
          </c:xVal>
          <c:yVal>
            <c:numLit>
              <c:formatCode>General</c:formatCode>
              <c:ptCount val="8"/>
              <c:pt idx="0">
                <c:v>1368.50397378445</c:v>
              </c:pt>
              <c:pt idx="1">
                <c:v>1494.0794706986101</c:v>
              </c:pt>
              <c:pt idx="2">
                <c:v>1551.37630814977</c:v>
              </c:pt>
              <c:pt idx="3">
                <c:v>1568.4731258721399</c:v>
              </c:pt>
              <c:pt idx="4">
                <c:v>1632.61075920132</c:v>
              </c:pt>
              <c:pt idx="5">
                <c:v>1689.89035674351</c:v>
              </c:pt>
              <c:pt idx="6">
                <c:v>1775.5330525178699</c:v>
              </c:pt>
              <c:pt idx="7">
                <c:v>1858.4621866208599</c:v>
              </c:pt>
            </c:numLit>
          </c:yVal>
          <c:smooth val="0"/>
          <c:extLst>
            <c:ext xmlns:c16="http://schemas.microsoft.com/office/drawing/2014/chart" uri="{C3380CC4-5D6E-409C-BE32-E72D297353CC}">
              <c16:uniqueId val="{00000006-3BCE-4531-A517-F9FF8CBF3348}"/>
            </c:ext>
          </c:extLst>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83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2809.7560975609799</c:v>
              </c:pt>
              <c:pt idx="1">
                <c:v>3036.97361871578</c:v>
              </c:pt>
              <c:pt idx="2">
                <c:v>3126.12244897959</c:v>
              </c:pt>
              <c:pt idx="3">
                <c:v>3136.4619213539099</c:v>
              </c:pt>
              <c:pt idx="4">
                <c:v>3242.5087108014</c:v>
              </c:pt>
              <c:pt idx="5">
                <c:v>3335.68939771031</c:v>
              </c:pt>
              <c:pt idx="6">
                <c:v>3485.1786958685898</c:v>
              </c:pt>
              <c:pt idx="7">
                <c:v>3629.2682926829302</c:v>
              </c:pt>
            </c:numLit>
          </c:yVal>
          <c:smooth val="0"/>
          <c:extLst>
            <c:ext xmlns:c16="http://schemas.microsoft.com/office/drawing/2014/chart" uri="{C3380CC4-5D6E-409C-BE32-E72D297353CC}">
              <c16:uniqueId val="{00000000-C1FC-48BF-9D6B-037A3C3A2DB5}"/>
            </c:ext>
          </c:extLst>
        </c:ser>
        <c:ser>
          <c:idx val="2"/>
          <c:order val="1"/>
          <c:tx>
            <c:strRef>
              <c:f>2025</c:f>
              <c:strCache>
                <c:ptCount val="1"/>
                <c:pt idx="0">
                  <c:v>2025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2147.9024390243899</c:v>
              </c:pt>
              <c:pt idx="1">
                <c:v>2321.5976107516199</c:v>
              </c:pt>
              <c:pt idx="2">
                <c:v>2389.74693877551</c:v>
              </c:pt>
              <c:pt idx="3">
                <c:v>2397.6508909905401</c:v>
              </c:pt>
              <c:pt idx="4">
                <c:v>2478.7177700348402</c:v>
              </c:pt>
              <c:pt idx="5">
                <c:v>2549.9492284718799</c:v>
              </c:pt>
              <c:pt idx="6">
                <c:v>2664.22549195288</c:v>
              </c:pt>
              <c:pt idx="7">
                <c:v>2774.3739837398398</c:v>
              </c:pt>
            </c:numLit>
          </c:yVal>
          <c:smooth val="0"/>
          <c:extLst>
            <c:ext xmlns:c16="http://schemas.microsoft.com/office/drawing/2014/chart" uri="{C3380CC4-5D6E-409C-BE32-E72D297353CC}">
              <c16:uniqueId val="{00000001-C1FC-48BF-9D6B-037A3C3A2DB5}"/>
            </c:ext>
          </c:extLst>
        </c:ser>
        <c:ser>
          <c:idx val="3"/>
          <c:order val="2"/>
          <c:tx>
            <c:strRef>
              <c:f>2030</c:f>
              <c:strCache>
                <c:ptCount val="1"/>
                <c:pt idx="0">
                  <c:v>2030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1216.59634630458</c:v>
              </c:pt>
              <c:pt idx="1">
                <c:v>1314.97926512564</c:v>
              </c:pt>
              <c:pt idx="2">
                <c:v>1353.5798188428901</c:v>
              </c:pt>
              <c:pt idx="3">
                <c:v>1358.0567071835701</c:v>
              </c:pt>
              <c:pt idx="4">
                <c:v>1403.9739085702399</c:v>
              </c:pt>
              <c:pt idx="5">
                <c:v>1444.3202159732</c:v>
              </c:pt>
              <c:pt idx="6">
                <c:v>1509.04759003562</c:v>
              </c:pt>
              <c:pt idx="7">
                <c:v>1571.4369473100801</c:v>
              </c:pt>
            </c:numLit>
          </c:yVal>
          <c:smooth val="0"/>
          <c:extLst>
            <c:ext xmlns:c16="http://schemas.microsoft.com/office/drawing/2014/chart" uri="{C3380CC4-5D6E-409C-BE32-E72D297353CC}">
              <c16:uniqueId val="{00000002-C1FC-48BF-9D6B-037A3C3A2DB5}"/>
            </c:ext>
          </c:extLst>
        </c:ser>
        <c:ser>
          <c:idx val="4"/>
          <c:order val="3"/>
          <c:tx>
            <c:strRef>
              <c:f>2035</c:f>
              <c:strCache>
                <c:ptCount val="1"/>
                <c:pt idx="0">
                  <c:v>2035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1096.11403825108</c:v>
              </c:pt>
              <c:pt idx="1">
                <c:v>1184.75387246679</c:v>
              </c:pt>
              <c:pt idx="2">
                <c:v>1219.5317254023801</c:v>
              </c:pt>
              <c:pt idx="3">
                <c:v>1223.5652572905799</c:v>
              </c:pt>
              <c:pt idx="4">
                <c:v>1264.9351736067199</c:v>
              </c:pt>
              <c:pt idx="5">
                <c:v>1301.285894263</c:v>
              </c:pt>
              <c:pt idx="6">
                <c:v>1359.60316899793</c:v>
              </c:pt>
              <c:pt idx="7">
                <c:v>1415.81396607431</c:v>
              </c:pt>
            </c:numLit>
          </c:yVal>
          <c:smooth val="0"/>
          <c:extLst>
            <c:ext xmlns:c16="http://schemas.microsoft.com/office/drawing/2014/chart" uri="{C3380CC4-5D6E-409C-BE32-E72D297353CC}">
              <c16:uniqueId val="{00000003-C1FC-48BF-9D6B-037A3C3A2DB5}"/>
            </c:ext>
          </c:extLst>
        </c:ser>
        <c:ser>
          <c:idx val="5"/>
          <c:order val="4"/>
          <c:tx>
            <c:strRef>
              <c:f>2040</c:f>
              <c:strCache>
                <c:ptCount val="1"/>
                <c:pt idx="0">
                  <c:v>2040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954.81831391308901</c:v>
              </c:pt>
              <c:pt idx="1">
                <c:v>1032.0319377677999</c:v>
              </c:pt>
              <c:pt idx="2">
                <c:v>1062.3267152659901</c:v>
              </c:pt>
              <c:pt idx="3">
                <c:v>1065.8403005155301</c:v>
              </c:pt>
              <c:pt idx="4">
                <c:v>1101.87738458274</c:v>
              </c:pt>
              <c:pt idx="5">
                <c:v>1133.5422776461801</c:v>
              </c:pt>
              <c:pt idx="6">
                <c:v>1184.3421032038</c:v>
              </c:pt>
              <c:pt idx="7">
                <c:v>1233.3069888044099</c:v>
              </c:pt>
            </c:numLit>
          </c:yVal>
          <c:smooth val="0"/>
          <c:extLst>
            <c:ext xmlns:c16="http://schemas.microsoft.com/office/drawing/2014/chart" uri="{C3380CC4-5D6E-409C-BE32-E72D297353CC}">
              <c16:uniqueId val="{00000004-C1FC-48BF-9D6B-037A3C3A2DB5}"/>
            </c:ext>
          </c:extLst>
        </c:ser>
        <c:ser>
          <c:idx val="6"/>
          <c:order val="5"/>
          <c:tx>
            <c:strRef>
              <c:f>2045</c:f>
              <c:strCache>
                <c:ptCount val="1"/>
                <c:pt idx="0">
                  <c:v>2045</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862.66055790685505</c:v>
              </c:pt>
              <c:pt idx="1">
                <c:v>932.42162853350601</c:v>
              </c:pt>
              <c:pt idx="2">
                <c:v>959.79239559719599</c:v>
              </c:pt>
              <c:pt idx="3">
                <c:v>962.96685441041302</c:v>
              </c:pt>
              <c:pt idx="4">
                <c:v>995.52568847733096</c:v>
              </c:pt>
              <c:pt idx="5">
                <c:v>1024.1343294283199</c:v>
              </c:pt>
              <c:pt idx="6">
                <c:v>1070.0310253950199</c:v>
              </c:pt>
              <c:pt idx="7">
                <c:v>1114.2698872963499</c:v>
              </c:pt>
            </c:numLit>
          </c:yVal>
          <c:smooth val="0"/>
          <c:extLst>
            <c:ext xmlns:c16="http://schemas.microsoft.com/office/drawing/2014/chart" uri="{C3380CC4-5D6E-409C-BE32-E72D297353CC}">
              <c16:uniqueId val="{00000005-C1FC-48BF-9D6B-037A3C3A2DB5}"/>
            </c:ext>
          </c:extLst>
        </c:ser>
        <c:ser>
          <c:idx val="7"/>
          <c:order val="6"/>
          <c:tx>
            <c:strRef>
              <c:f>2050</c:f>
              <c:strCache>
                <c:ptCount val="1"/>
                <c:pt idx="0">
                  <c:v>2050</c:v>
                </c:pt>
              </c:strCache>
            </c:strRef>
          </c:tx>
          <c:marker>
            <c:symbol val="none"/>
          </c:marker>
          <c:xVal>
            <c:numLit>
              <c:formatCode>General</c:formatCode>
              <c:ptCount val="8"/>
              <c:pt idx="0">
                <c:v>100</c:v>
              </c:pt>
              <c:pt idx="1">
                <c:v>108.571428571429</c:v>
              </c:pt>
              <c:pt idx="2">
                <c:v>117.142857142857</c:v>
              </c:pt>
              <c:pt idx="3">
                <c:v>125.71428571428601</c:v>
              </c:pt>
              <c:pt idx="4">
                <c:v>134.28571428571399</c:v>
              </c:pt>
              <c:pt idx="5">
                <c:v>142.857142857143</c:v>
              </c:pt>
              <c:pt idx="6">
                <c:v>151.42857142857099</c:v>
              </c:pt>
              <c:pt idx="7">
                <c:v>160</c:v>
              </c:pt>
            </c:numLit>
          </c:xVal>
          <c:yVal>
            <c:numLit>
              <c:formatCode>General</c:formatCode>
              <c:ptCount val="8"/>
              <c:pt idx="0">
                <c:v>772.34792171256697</c:v>
              </c:pt>
              <c:pt idx="1">
                <c:v>834.80564905513904</c:v>
              </c:pt>
              <c:pt idx="2">
                <c:v>859.31094822937405</c:v>
              </c:pt>
              <c:pt idx="3">
                <c:v>862.15307036475804</c:v>
              </c:pt>
              <c:pt idx="4">
                <c:v>891.30329358347603</c:v>
              </c:pt>
              <c:pt idx="5">
                <c:v>916.91687261986203</c:v>
              </c:pt>
              <c:pt idx="6">
                <c:v>958.00860611624898</c:v>
              </c:pt>
              <c:pt idx="7">
                <c:v>997.61606554539901</c:v>
              </c:pt>
            </c:numLit>
          </c:yVal>
          <c:smooth val="0"/>
          <c:extLst>
            <c:ext xmlns:c16="http://schemas.microsoft.com/office/drawing/2014/chart" uri="{C3380CC4-5D6E-409C-BE32-E72D297353CC}">
              <c16:uniqueId val="{00000006-C1FC-48BF-9D6B-037A3C3A2DB5}"/>
            </c:ext>
          </c:extLst>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0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5D18-47CC-87CF-0A09DA0FA6A5}"/>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5D18-47CC-87CF-0A09DA0FA6A5}"/>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5D18-47CC-87CF-0A09DA0FA6A5}"/>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5D18-47CC-87CF-0A09DA0FA6A5}"/>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5D18-47CC-87CF-0A09DA0FA6A5}"/>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5D18-47CC-87CF-0A09DA0FA6A5}"/>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5D18-47CC-87CF-0A09DA0FA6A5}"/>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2899-4F8A-A6A0-C5CD7C4097DC}"/>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0"/>
          <c:extLst>
            <c:ext xmlns:c16="http://schemas.microsoft.com/office/drawing/2014/chart" uri="{C3380CC4-5D6E-409C-BE32-E72D297353CC}">
              <c16:uniqueId val="{00000001-2899-4F8A-A6A0-C5CD7C4097DC}"/>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2899-4F8A-A6A0-C5CD7C4097DC}"/>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2899-4F8A-A6A0-C5CD7C4097DC}"/>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2899-4F8A-A6A0-C5CD7C4097DC}"/>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2899-4F8A-A6A0-C5CD7C4097DC}"/>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2899-4F8A-A6A0-C5CD7C4097DC}"/>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0"/>
          <c:extLst>
            <c:ext xmlns:c16="http://schemas.microsoft.com/office/drawing/2014/chart" uri="{C3380CC4-5D6E-409C-BE32-E72D297353CC}">
              <c16:uniqueId val="{00000000-FFA4-46CA-8FF6-4F481900E1B8}"/>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0"/>
          <c:extLst>
            <c:ext xmlns:c16="http://schemas.microsoft.com/office/drawing/2014/chart" uri="{C3380CC4-5D6E-409C-BE32-E72D297353CC}">
              <c16:uniqueId val="{00000001-FFA4-46CA-8FF6-4F481900E1B8}"/>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2-FFA4-46CA-8FF6-4F481900E1B8}"/>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3-FFA4-46CA-8FF6-4F481900E1B8}"/>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4-FFA4-46CA-8FF6-4F481900E1B8}"/>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5-FFA4-46CA-8FF6-4F481900E1B8}"/>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0"/>
          <c:extLst>
            <c:ext xmlns:c16="http://schemas.microsoft.com/office/drawing/2014/chart" uri="{C3380CC4-5D6E-409C-BE32-E72D297353CC}">
              <c16:uniqueId val="{00000006-FFA4-46CA-8FF6-4F481900E1B8}"/>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7FDF-4855-9795-C42E77F5F31F}"/>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7FDF-4855-9795-C42E77F5F31F}"/>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7FDF-4855-9795-C42E77F5F31F}"/>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7FDF-4855-9795-C42E77F5F31F}"/>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7FDF-4855-9795-C42E77F5F31F}"/>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7FDF-4855-9795-C42E77F5F31F}"/>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7FDF-4855-9795-C42E77F5F31F}"/>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E1BE-4DD7-804D-B22FDA20ED2E}"/>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E1BE-4DD7-804D-B22FDA20ED2E}"/>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E1BE-4DD7-804D-B22FDA20ED2E}"/>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E1BE-4DD7-804D-B22FDA20ED2E}"/>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E1BE-4DD7-804D-B22FDA20ED2E}"/>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5-E1BE-4DD7-804D-B22FDA20ED2E}"/>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6-E1BE-4DD7-804D-B22FDA20ED2E}"/>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0"/>
          <c:extLst>
            <c:ext xmlns:c16="http://schemas.microsoft.com/office/drawing/2014/chart" uri="{C3380CC4-5D6E-409C-BE32-E72D297353CC}">
              <c16:uniqueId val="{00000000-1BC6-4888-831C-2B7AB77EE34D}"/>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0"/>
          <c:extLst>
            <c:ext xmlns:c16="http://schemas.microsoft.com/office/drawing/2014/chart" uri="{C3380CC4-5D6E-409C-BE32-E72D297353CC}">
              <c16:uniqueId val="{00000001-1BC6-4888-831C-2B7AB77EE34D}"/>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0"/>
          <c:extLst>
            <c:ext xmlns:c16="http://schemas.microsoft.com/office/drawing/2014/chart" uri="{C3380CC4-5D6E-409C-BE32-E72D297353CC}">
              <c16:uniqueId val="{00000002-1BC6-4888-831C-2B7AB77EE34D}"/>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0"/>
          <c:extLst>
            <c:ext xmlns:c16="http://schemas.microsoft.com/office/drawing/2014/chart" uri="{C3380CC4-5D6E-409C-BE32-E72D297353CC}">
              <c16:uniqueId val="{00000003-1BC6-4888-831C-2B7AB77EE34D}"/>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0"/>
          <c:extLst>
            <c:ext xmlns:c16="http://schemas.microsoft.com/office/drawing/2014/chart" uri="{C3380CC4-5D6E-409C-BE32-E72D297353CC}">
              <c16:uniqueId val="{00000004-1BC6-4888-831C-2B7AB77EE34D}"/>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1BC6-4888-831C-2B7AB77EE34D}"/>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1BC6-4888-831C-2B7AB77EE34D}"/>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2AD4-4E68-A234-8B5C227DB574}"/>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2AD4-4E68-A234-8B5C227DB574}"/>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2AD4-4E68-A234-8B5C227DB574}"/>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2AD4-4E68-A234-8B5C227DB574}"/>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2AD4-4E68-A234-8B5C227DB574}"/>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2AD4-4E68-A234-8B5C227DB574}"/>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2AD4-4E68-A234-8B5C227DB574}"/>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0"/>
          <c:extLst>
            <c:ext xmlns:c16="http://schemas.microsoft.com/office/drawing/2014/chart" uri="{C3380CC4-5D6E-409C-BE32-E72D297353CC}">
              <c16:uniqueId val="{00000000-B99F-40AD-9EC4-BE17CF5E7E03}"/>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0"/>
          <c:extLst>
            <c:ext xmlns:c16="http://schemas.microsoft.com/office/drawing/2014/chart" uri="{C3380CC4-5D6E-409C-BE32-E72D297353CC}">
              <c16:uniqueId val="{00000001-B99F-40AD-9EC4-BE17CF5E7E03}"/>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0"/>
          <c:extLst>
            <c:ext xmlns:c16="http://schemas.microsoft.com/office/drawing/2014/chart" uri="{C3380CC4-5D6E-409C-BE32-E72D297353CC}">
              <c16:uniqueId val="{00000002-B99F-40AD-9EC4-BE17CF5E7E03}"/>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0"/>
          <c:extLst>
            <c:ext xmlns:c16="http://schemas.microsoft.com/office/drawing/2014/chart" uri="{C3380CC4-5D6E-409C-BE32-E72D297353CC}">
              <c16:uniqueId val="{00000003-B99F-40AD-9EC4-BE17CF5E7E03}"/>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4-B99F-40AD-9EC4-BE17CF5E7E03}"/>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5-B99F-40AD-9EC4-BE17CF5E7E03}"/>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0"/>
          <c:extLst>
            <c:ext xmlns:c16="http://schemas.microsoft.com/office/drawing/2014/chart" uri="{C3380CC4-5D6E-409C-BE32-E72D297353CC}">
              <c16:uniqueId val="{00000006-B99F-40AD-9EC4-BE17CF5E7E03}"/>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1EFC-48EC-9588-6F17D3DBB619}"/>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1EFC-48EC-9588-6F17D3DBB619}"/>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1EFC-48EC-9588-6F17D3DBB619}"/>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1EFC-48EC-9588-6F17D3DBB619}"/>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1EFC-48EC-9588-6F17D3DBB619}"/>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1EFC-48EC-9588-6F17D3DBB619}"/>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1EFC-48EC-9588-6F17D3DBB619}"/>
            </c:ext>
          </c:extLst>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0-181D-4AC5-8A36-13CDA8138A9C}"/>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1-181D-4AC5-8A36-13CDA8138A9C}"/>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2-181D-4AC5-8A36-13CDA8138A9C}"/>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3-181D-4AC5-8A36-13CDA8138A9C}"/>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4-181D-4AC5-8A36-13CDA8138A9C}"/>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5-181D-4AC5-8A36-13CDA8138A9C}"/>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6-181D-4AC5-8A36-13CDA8138A9C}"/>
            </c:ext>
          </c:extLst>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195E-4A89-9F2F-B61DABAF9F59}"/>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195E-4A89-9F2F-B61DABAF9F59}"/>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195E-4A89-9F2F-B61DABAF9F59}"/>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195E-4A89-9F2F-B61DABAF9F59}"/>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195E-4A89-9F2F-B61DABAF9F59}"/>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195E-4A89-9F2F-B61DABAF9F59}"/>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195E-4A89-9F2F-B61DABAF9F59}"/>
            </c:ext>
          </c:extLst>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11896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15407.2285298077</c:v>
              </c:pt>
              <c:pt idx="1">
                <c:v>17585.0495473558</c:v>
              </c:pt>
              <c:pt idx="2">
                <c:v>19762.870564903798</c:v>
              </c:pt>
              <c:pt idx="3">
                <c:v>21940.691582451898</c:v>
              </c:pt>
              <c:pt idx="4">
                <c:v>24118.512599999998</c:v>
              </c:pt>
              <c:pt idx="5">
                <c:v>26244.7814257756</c:v>
              </c:pt>
              <c:pt idx="6">
                <c:v>28571.935337246799</c:v>
              </c:pt>
              <c:pt idx="7">
                <c:v>29952.8811988993</c:v>
              </c:pt>
            </c:numLit>
          </c:yVal>
          <c:smooth val="1"/>
          <c:extLst>
            <c:ext xmlns:c16="http://schemas.microsoft.com/office/drawing/2014/chart" uri="{C3380CC4-5D6E-409C-BE32-E72D297353CC}">
              <c16:uniqueId val="{00000000-1932-4CB0-9234-36F0F495E10E}"/>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11005.1632355769</c:v>
              </c:pt>
              <c:pt idx="1">
                <c:v>11011.7215165663</c:v>
              </c:pt>
              <c:pt idx="2">
                <c:v>11193.572150989099</c:v>
              </c:pt>
              <c:pt idx="3">
                <c:v>11826.430948253599</c:v>
              </c:pt>
              <c:pt idx="4">
                <c:v>12513.701375225901</c:v>
              </c:pt>
              <c:pt idx="5">
                <c:v>14711.1981301224</c:v>
              </c:pt>
              <c:pt idx="6">
                <c:v>15368.139642725901</c:v>
              </c:pt>
              <c:pt idx="7">
                <c:v>22277.692714285698</c:v>
              </c:pt>
            </c:numLit>
          </c:yVal>
          <c:smooth val="1"/>
          <c:extLst>
            <c:ext xmlns:c16="http://schemas.microsoft.com/office/drawing/2014/chart" uri="{C3380CC4-5D6E-409C-BE32-E72D297353CC}">
              <c16:uniqueId val="{00000001-1932-4CB0-9234-36F0F495E10E}"/>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15780.0325634563</c:v>
              </c:pt>
              <c:pt idx="7">
                <c:v>21155.892</c:v>
              </c:pt>
            </c:numLit>
          </c:yVal>
          <c:smooth val="1"/>
          <c:extLst>
            <c:ext xmlns:c16="http://schemas.microsoft.com/office/drawing/2014/chart" uri="{C3380CC4-5D6E-409C-BE32-E72D297353CC}">
              <c16:uniqueId val="{00000002-1932-4CB0-9234-36F0F495E10E}"/>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3-1932-4CB0-9234-36F0F495E10E}"/>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4-1932-4CB0-9234-36F0F495E10E}"/>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5-1932-4CB0-9234-36F0F495E10E}"/>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10419.554100961501</c:v>
              </c:pt>
              <c:pt idx="1">
                <c:v>10431.2417304217</c:v>
              </c:pt>
              <c:pt idx="2">
                <c:v>10463.571742917</c:v>
              </c:pt>
              <c:pt idx="3">
                <c:v>10786.8871425858</c:v>
              </c:pt>
              <c:pt idx="4">
                <c:v>11385.847000115</c:v>
              </c:pt>
              <c:pt idx="5">
                <c:v>12158.497273642601</c:v>
              </c:pt>
              <c:pt idx="6">
                <c:v>15780.0325634564</c:v>
              </c:pt>
              <c:pt idx="7">
                <c:v>21155.892</c:v>
              </c:pt>
            </c:numLit>
          </c:yVal>
          <c:smooth val="1"/>
          <c:extLst>
            <c:ext xmlns:c16="http://schemas.microsoft.com/office/drawing/2014/chart" uri="{C3380CC4-5D6E-409C-BE32-E72D297353CC}">
              <c16:uniqueId val="{00000006-1932-4CB0-9234-36F0F495E10E}"/>
            </c:ext>
          </c:extLst>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198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10319.9985</c:v>
              </c:pt>
              <c:pt idx="1">
                <c:v>11860.699875</c:v>
              </c:pt>
              <c:pt idx="2">
                <c:v>13401.401250000001</c:v>
              </c:pt>
              <c:pt idx="3">
                <c:v>14942.102625</c:v>
              </c:pt>
              <c:pt idx="4">
                <c:v>16482.804</c:v>
              </c:pt>
              <c:pt idx="5">
                <c:v>18674.2296262286</c:v>
              </c:pt>
              <c:pt idx="6">
                <c:v>20600.198162102301</c:v>
              </c:pt>
              <c:pt idx="7">
                <c:v>26830.732679373399</c:v>
              </c:pt>
            </c:numLit>
          </c:yVal>
          <c:smooth val="1"/>
          <c:extLst>
            <c:ext xmlns:c16="http://schemas.microsoft.com/office/drawing/2014/chart" uri="{C3380CC4-5D6E-409C-BE32-E72D297353CC}">
              <c16:uniqueId val="{00000000-C910-4F1B-8A06-F8C51BD7D2E1}"/>
            </c:ext>
          </c:extLst>
        </c:ser>
        <c:ser>
          <c:idx val="2"/>
          <c:order val="1"/>
          <c:tx>
            <c:strRef>
              <c:f>2025</c:f>
              <c:strCache>
                <c:ptCount val="1"/>
                <c:pt idx="0">
                  <c:v>2025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7371.4274999999998</c:v>
              </c:pt>
              <c:pt idx="1">
                <c:v>7525.5074999999997</c:v>
              </c:pt>
              <c:pt idx="2">
                <c:v>7821.4274999999998</c:v>
              </c:pt>
              <c:pt idx="3">
                <c:v>8526.7875000000004</c:v>
              </c:pt>
              <c:pt idx="4">
                <c:v>9587.31</c:v>
              </c:pt>
              <c:pt idx="5">
                <c:v>11793.165000000001</c:v>
              </c:pt>
              <c:pt idx="6">
                <c:v>13078.953750000001</c:v>
              </c:pt>
              <c:pt idx="7">
                <c:v>20518.927500000002</c:v>
              </c:pt>
            </c:numLit>
          </c:yVal>
          <c:smooth val="1"/>
          <c:extLst>
            <c:ext xmlns:c16="http://schemas.microsoft.com/office/drawing/2014/chart" uri="{C3380CC4-5D6E-409C-BE32-E72D297353CC}">
              <c16:uniqueId val="{00000001-C910-4F1B-8A06-F8C51BD7D2E1}"/>
            </c:ext>
          </c:extLst>
        </c:ser>
        <c:ser>
          <c:idx val="3"/>
          <c:order val="2"/>
          <c:tx>
            <c:strRef>
              <c:f>2030</c:f>
              <c:strCache>
                <c:ptCount val="1"/>
                <c:pt idx="0">
                  <c:v>2030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2-C910-4F1B-8A06-F8C51BD7D2E1}"/>
            </c:ext>
          </c:extLst>
        </c:ser>
        <c:ser>
          <c:idx val="4"/>
          <c:order val="3"/>
          <c:tx>
            <c:strRef>
              <c:f>2035</c:f>
              <c:strCache>
                <c:ptCount val="1"/>
                <c:pt idx="0">
                  <c:v>2035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3-C910-4F1B-8A06-F8C51BD7D2E1}"/>
            </c:ext>
          </c:extLst>
        </c:ser>
        <c:ser>
          <c:idx val="5"/>
          <c:order val="4"/>
          <c:tx>
            <c:strRef>
              <c:f>2040</c:f>
              <c:strCache>
                <c:ptCount val="1"/>
                <c:pt idx="0">
                  <c:v>2040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4-C910-4F1B-8A06-F8C51BD7D2E1}"/>
            </c:ext>
          </c:extLst>
        </c:ser>
        <c:ser>
          <c:idx val="6"/>
          <c:order val="5"/>
          <c:tx>
            <c:strRef>
              <c:f>2045</c:f>
              <c:strCache>
                <c:ptCount val="1"/>
                <c:pt idx="0">
                  <c:v>2045</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5-C910-4F1B-8A06-F8C51BD7D2E1}"/>
            </c:ext>
          </c:extLst>
        </c:ser>
        <c:ser>
          <c:idx val="7"/>
          <c:order val="6"/>
          <c:tx>
            <c:strRef>
              <c:f>2050</c:f>
              <c:strCache>
                <c:ptCount val="1"/>
                <c:pt idx="0">
                  <c:v>2050</c:v>
                </c:pt>
              </c:strCache>
            </c:strRef>
          </c:tx>
          <c:marker>
            <c:symbol val="none"/>
          </c:marker>
          <c:xVal>
            <c:numLit>
              <c:formatCode>General</c:formatCode>
              <c:ptCount val="8"/>
              <c:pt idx="0">
                <c:v>0.1</c:v>
              </c:pt>
              <c:pt idx="1">
                <c:v>0.15</c:v>
              </c:pt>
              <c:pt idx="2">
                <c:v>0.2</c:v>
              </c:pt>
              <c:pt idx="3">
                <c:v>0.25</c:v>
              </c:pt>
              <c:pt idx="4">
                <c:v>0.3</c:v>
              </c:pt>
              <c:pt idx="5">
                <c:v>0.35</c:v>
              </c:pt>
              <c:pt idx="6">
                <c:v>0.4</c:v>
              </c:pt>
              <c:pt idx="7">
                <c:v>0.45</c:v>
              </c:pt>
            </c:numLit>
          </c:xVal>
          <c:yVal>
            <c:numLit>
              <c:formatCode>General</c:formatCode>
              <c:ptCount val="8"/>
              <c:pt idx="0">
                <c:v>6979.1774999999998</c:v>
              </c:pt>
              <c:pt idx="1">
                <c:v>7128.8024999999998</c:v>
              </c:pt>
              <c:pt idx="2">
                <c:v>7311.3450000000003</c:v>
              </c:pt>
              <c:pt idx="3">
                <c:v>7777.2825000000003</c:v>
              </c:pt>
              <c:pt idx="4">
                <c:v>8566.3125</c:v>
              </c:pt>
              <c:pt idx="5">
                <c:v>9667.2450000000008</c:v>
              </c:pt>
              <c:pt idx="6">
                <c:v>13429.4925</c:v>
              </c:pt>
              <c:pt idx="7">
                <c:v>19485.689999999999</c:v>
              </c:pt>
            </c:numLit>
          </c:yVal>
          <c:smooth val="1"/>
          <c:extLst>
            <c:ext xmlns:c16="http://schemas.microsoft.com/office/drawing/2014/chart" uri="{C3380CC4-5D6E-409C-BE32-E72D297353CC}">
              <c16:uniqueId val="{00000006-C910-4F1B-8A06-F8C51BD7D2E1}"/>
            </c:ext>
          </c:extLst>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73265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57F6-4321-9F78-1257CEFFD926}"/>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57F6-4321-9F78-1257CEFFD926}"/>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57F6-4321-9F78-1257CEFFD926}"/>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57F6-4321-9F78-1257CEFFD926}"/>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57F6-4321-9F78-1257CEFFD926}"/>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57F6-4321-9F78-1257CEFFD926}"/>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57F6-4321-9F78-1257CEFFD926}"/>
            </c:ext>
          </c:extLst>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196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8E16-481A-A47A-01CDEFA26232}"/>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8E16-481A-A47A-01CDEFA26232}"/>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8E16-481A-A47A-01CDEFA26232}"/>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8E16-481A-A47A-01CDEFA26232}"/>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8E16-481A-A47A-01CDEFA26232}"/>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8E16-481A-A47A-01CDEFA26232}"/>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8E16-481A-A47A-01CDEFA26232}"/>
            </c:ext>
          </c:extLst>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063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13759.998</c:v>
              </c:pt>
              <c:pt idx="1">
                <c:v>15603.324720000001</c:v>
              </c:pt>
              <c:pt idx="2">
                <c:v>17907.483120000001</c:v>
              </c:pt>
              <c:pt idx="3">
                <c:v>20442.057359999999</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5CA1-4C70-B86E-C2DB41D488A1}"/>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9828.57</c:v>
              </c:pt>
              <c:pt idx="1">
                <c:v>10034.01</c:v>
              </c:pt>
              <c:pt idx="2">
                <c:v>10428.57</c:v>
              </c:pt>
              <c:pt idx="3">
                <c:v>11369.05</c:v>
              </c:pt>
              <c:pt idx="4">
                <c:v>12783.08</c:v>
              </c:pt>
              <c:pt idx="5">
                <c:v>15724.22</c:v>
              </c:pt>
              <c:pt idx="6">
                <c:v>17438.605</c:v>
              </c:pt>
              <c:pt idx="7">
                <c:v>27358.57</c:v>
              </c:pt>
            </c:numLit>
          </c:yVal>
          <c:smooth val="0"/>
          <c:extLst>
            <c:ext xmlns:c16="http://schemas.microsoft.com/office/drawing/2014/chart" uri="{C3380CC4-5D6E-409C-BE32-E72D297353CC}">
              <c16:uniqueId val="{00000001-5CA1-4C70-B86E-C2DB41D488A1}"/>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2-5CA1-4C70-B86E-C2DB41D488A1}"/>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3-5CA1-4C70-B86E-C2DB41D488A1}"/>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4-5CA1-4C70-B86E-C2DB41D488A1}"/>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5-5CA1-4C70-B86E-C2DB41D488A1}"/>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0.35</c:v>
              </c:pt>
              <c:pt idx="7">
                <c:v>0.4</c:v>
              </c:pt>
            </c:numLit>
          </c:xVal>
          <c:yVal>
            <c:numLit>
              <c:formatCode>General</c:formatCode>
              <c:ptCount val="8"/>
              <c:pt idx="0">
                <c:v>9305.57</c:v>
              </c:pt>
              <c:pt idx="1">
                <c:v>9505.07</c:v>
              </c:pt>
              <c:pt idx="2">
                <c:v>9748.4599999999991</c:v>
              </c:pt>
              <c:pt idx="3">
                <c:v>10369.709999999999</c:v>
              </c:pt>
              <c:pt idx="4">
                <c:v>11421.75</c:v>
              </c:pt>
              <c:pt idx="5">
                <c:v>12889.66</c:v>
              </c:pt>
              <c:pt idx="6">
                <c:v>17905.990000000002</c:v>
              </c:pt>
              <c:pt idx="7">
                <c:v>25980.92</c:v>
              </c:pt>
            </c:numLit>
          </c:yVal>
          <c:smooth val="0"/>
          <c:extLst>
            <c:ext xmlns:c16="http://schemas.microsoft.com/office/drawing/2014/chart" uri="{C3380CC4-5D6E-409C-BE32-E72D297353CC}">
              <c16:uniqueId val="{00000006-5CA1-4C70-B86E-C2DB41D488A1}"/>
            </c:ext>
          </c:extLst>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01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14000</c:v>
              </c:pt>
              <c:pt idx="1">
                <c:v>15795.32632</c:v>
              </c:pt>
              <c:pt idx="2">
                <c:v>17590.65264</c:v>
              </c:pt>
              <c:pt idx="3">
                <c:v>19385.97896</c:v>
              </c:pt>
              <c:pt idx="4">
                <c:v>22976.631600000001</c:v>
              </c:pt>
              <c:pt idx="5">
                <c:v>25821.634591706501</c:v>
              </c:pt>
              <c:pt idx="6">
                <c:v>28292.861680527199</c:v>
              </c:pt>
              <c:pt idx="7">
                <c:v>36738.300756597899</c:v>
              </c:pt>
            </c:numLit>
          </c:yVal>
          <c:smooth val="0"/>
          <c:extLst>
            <c:ext xmlns:c16="http://schemas.microsoft.com/office/drawing/2014/chart" uri="{C3380CC4-5D6E-409C-BE32-E72D297353CC}">
              <c16:uniqueId val="{00000000-695B-4B7F-BC04-932590896AAF}"/>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10000</c:v>
              </c:pt>
              <c:pt idx="1">
                <c:v>10154.32</c:v>
              </c:pt>
              <c:pt idx="2">
                <c:v>10824.13</c:v>
              </c:pt>
              <c:pt idx="3">
                <c:v>11859.35</c:v>
              </c:pt>
              <c:pt idx="4">
                <c:v>13304.43</c:v>
              </c:pt>
              <c:pt idx="5">
                <c:v>17667.419999999998</c:v>
              </c:pt>
              <c:pt idx="6">
                <c:v>23354.5</c:v>
              </c:pt>
              <c:pt idx="7">
                <c:v>27343</c:v>
              </c:pt>
            </c:numLit>
          </c:yVal>
          <c:smooth val="0"/>
          <c:extLst>
            <c:ext xmlns:c16="http://schemas.microsoft.com/office/drawing/2014/chart" uri="{C3380CC4-5D6E-409C-BE32-E72D297353CC}">
              <c16:uniqueId val="{00000001-695B-4B7F-BC04-932590896AAF}"/>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2-695B-4B7F-BC04-932590896AAF}"/>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3-695B-4B7F-BC04-932590896AAF}"/>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4-695B-4B7F-BC04-932590896AAF}"/>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5-695B-4B7F-BC04-932590896AAF}"/>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c:v>
              </c:pt>
              <c:pt idx="4">
                <c:v>0.25</c:v>
              </c:pt>
              <c:pt idx="5">
                <c:v>0.3</c:v>
              </c:pt>
              <c:pt idx="6">
                <c:v>0.32532573920000002</c:v>
              </c:pt>
              <c:pt idx="7">
                <c:v>0.33196503999999999</c:v>
              </c:pt>
            </c:numLit>
          </c:xVal>
          <c:yVal>
            <c:numLit>
              <c:formatCode>General</c:formatCode>
              <c:ptCount val="8"/>
              <c:pt idx="0">
                <c:v>9411.6</c:v>
              </c:pt>
              <c:pt idx="1">
                <c:v>9589.25</c:v>
              </c:pt>
              <c:pt idx="2">
                <c:v>10010.69</c:v>
              </c:pt>
              <c:pt idx="3">
                <c:v>10852.64</c:v>
              </c:pt>
              <c:pt idx="4">
                <c:v>11875.96</c:v>
              </c:pt>
              <c:pt idx="5">
                <c:v>13348.01</c:v>
              </c:pt>
              <c:pt idx="6">
                <c:v>22237.82</c:v>
              </c:pt>
              <c:pt idx="7">
                <c:v>25965.35</c:v>
              </c:pt>
            </c:numLit>
          </c:yVal>
          <c:smooth val="0"/>
          <c:extLst>
            <c:ext xmlns:c16="http://schemas.microsoft.com/office/drawing/2014/chart" uri="{C3380CC4-5D6E-409C-BE32-E72D297353CC}">
              <c16:uniqueId val="{00000006-695B-4B7F-BC04-932590896AAF}"/>
            </c:ext>
          </c:extLst>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84430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4C76-4B1D-B86A-AB544D2FC05E}"/>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4C76-4B1D-B86A-AB544D2FC05E}"/>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4C76-4B1D-B86A-AB544D2FC05E}"/>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4C76-4B1D-B86A-AB544D2FC05E}"/>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4C76-4B1D-B86A-AB544D2FC05E}"/>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4C76-4B1D-B86A-AB544D2FC05E}"/>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4C76-4B1D-B86A-AB544D2FC05E}"/>
            </c:ext>
          </c:extLst>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2825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1008-45AF-B2D8-F461BE7091CA}"/>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1008-45AF-B2D8-F461BE7091CA}"/>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1008-45AF-B2D8-F461BE7091CA}"/>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1008-45AF-B2D8-F461BE7091CA}"/>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1008-45AF-B2D8-F461BE7091CA}"/>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1008-45AF-B2D8-F461BE7091CA}"/>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1008-45AF-B2D8-F461BE7091CA}"/>
            </c:ext>
          </c:extLst>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134976"/>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endParaRPr lang="en-US"/>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1756.0597540000001</c:v>
              </c:pt>
              <c:pt idx="3">
                <c:v>2853.9603347944399</c:v>
              </c:pt>
              <c:pt idx="4">
                <c:v>4472.0102421144102</c:v>
              </c:pt>
              <c:pt idx="5">
                <c:v>6807.5625603113003</c:v>
              </c:pt>
              <c:pt idx="6">
                <c:v>29819.997014716701</c:v>
              </c:pt>
              <c:pt idx="7">
                <c:v>88331.444158004204</c:v>
              </c:pt>
            </c:numLit>
          </c:yVal>
          <c:smooth val="1"/>
          <c:extLst>
            <c:ext xmlns:c16="http://schemas.microsoft.com/office/drawing/2014/chart" uri="{C3380CC4-5D6E-409C-BE32-E72D297353CC}">
              <c16:uniqueId val="{00000000-F1D4-4D21-AC89-F801EB7DAEC4}"/>
            </c:ext>
          </c:extLst>
        </c:ser>
        <c:ser>
          <c:idx val="2"/>
          <c:order val="1"/>
          <c:tx>
            <c:strRef>
              <c:f>2025</c:f>
              <c:strCache>
                <c:ptCount val="1"/>
                <c:pt idx="0">
                  <c:v>2025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15200.7923598867</c:v>
              </c:pt>
              <c:pt idx="7">
                <c:v>46723.669453308299</c:v>
              </c:pt>
            </c:numLit>
          </c:yVal>
          <c:smooth val="1"/>
          <c:extLst>
            <c:ext xmlns:c16="http://schemas.microsoft.com/office/drawing/2014/chart" uri="{C3380CC4-5D6E-409C-BE32-E72D297353CC}">
              <c16:uniqueId val="{00000001-F1D4-4D21-AC89-F801EB7DAEC4}"/>
            </c:ext>
          </c:extLst>
        </c:ser>
        <c:ser>
          <c:idx val="3"/>
          <c:order val="2"/>
          <c:tx>
            <c:strRef>
              <c:f>2030</c:f>
              <c:strCache>
                <c:ptCount val="1"/>
                <c:pt idx="0">
                  <c:v>2030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10063.6589844971</c:v>
              </c:pt>
              <c:pt idx="7">
                <c:v>20782.311576602398</c:v>
              </c:pt>
            </c:numLit>
          </c:yVal>
          <c:smooth val="1"/>
          <c:extLst>
            <c:ext xmlns:c16="http://schemas.microsoft.com/office/drawing/2014/chart" uri="{C3380CC4-5D6E-409C-BE32-E72D297353CC}">
              <c16:uniqueId val="{00000002-F1D4-4D21-AC89-F801EB7DAEC4}"/>
            </c:ext>
          </c:extLst>
        </c:ser>
        <c:ser>
          <c:idx val="4"/>
          <c:order val="3"/>
          <c:tx>
            <c:strRef>
              <c:f>2035</c:f>
              <c:strCache>
                <c:ptCount val="1"/>
                <c:pt idx="0">
                  <c:v>2035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14782.398646444801</c:v>
              </c:pt>
            </c:numLit>
          </c:yVal>
          <c:smooth val="1"/>
          <c:extLst>
            <c:ext xmlns:c16="http://schemas.microsoft.com/office/drawing/2014/chart" uri="{C3380CC4-5D6E-409C-BE32-E72D297353CC}">
              <c16:uniqueId val="{00000003-F1D4-4D21-AC89-F801EB7DAEC4}"/>
            </c:ext>
          </c:extLst>
        </c:ser>
        <c:ser>
          <c:idx val="5"/>
          <c:order val="4"/>
          <c:tx>
            <c:strRef>
              <c:f>2040</c:f>
              <c:strCache>
                <c:ptCount val="1"/>
                <c:pt idx="0">
                  <c:v>2040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4-F1D4-4D21-AC89-F801EB7DAEC4}"/>
            </c:ext>
          </c:extLst>
        </c:ser>
        <c:ser>
          <c:idx val="6"/>
          <c:order val="5"/>
          <c:tx>
            <c:strRef>
              <c:f>2045</c:f>
              <c:strCache>
                <c:ptCount val="1"/>
                <c:pt idx="0">
                  <c:v>2045</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5-F1D4-4D21-AC89-F801EB7DAEC4}"/>
            </c:ext>
          </c:extLst>
        </c:ser>
        <c:ser>
          <c:idx val="7"/>
          <c:order val="6"/>
          <c:tx>
            <c:strRef>
              <c:f>2050</c:f>
              <c:strCache>
                <c:ptCount val="1"/>
                <c:pt idx="0">
                  <c:v>2050</c:v>
                </c:pt>
              </c:strCache>
            </c:strRef>
          </c:tx>
          <c:marker>
            <c:symbol val="none"/>
          </c:marker>
          <c:xVal>
            <c:numLit>
              <c:formatCode>General</c:formatCode>
              <c:ptCount val="8"/>
              <c:pt idx="0">
                <c:v>0</c:v>
              </c:pt>
              <c:pt idx="1">
                <c:v>1.5767520384948299E-2</c:v>
              </c:pt>
              <c:pt idx="2">
                <c:v>3.5767520384948299E-2</c:v>
              </c:pt>
              <c:pt idx="3">
                <c:v>6.5767520384948305E-2</c:v>
              </c:pt>
              <c:pt idx="4">
                <c:v>0.115767520384948</c:v>
              </c:pt>
              <c:pt idx="5">
                <c:v>0.13576752038494799</c:v>
              </c:pt>
              <c:pt idx="6">
                <c:v>0.18576752038494801</c:v>
              </c:pt>
              <c:pt idx="7">
                <c:v>0.235767520384948</c:v>
              </c:pt>
            </c:numLit>
          </c:xVal>
          <c:yVal>
            <c:numLit>
              <c:formatCode>General</c:formatCode>
              <c:ptCount val="8"/>
              <c:pt idx="0">
                <c:v>-633.19469234129997</c:v>
              </c:pt>
              <c:pt idx="1">
                <c:v>412.00530765870002</c:v>
              </c:pt>
              <c:pt idx="2">
                <c:v>1268.8787334342701</c:v>
              </c:pt>
              <c:pt idx="3">
                <c:v>2476.9921457197802</c:v>
              </c:pt>
              <c:pt idx="4">
                <c:v>4180.3219177022302</c:v>
              </c:pt>
              <c:pt idx="5">
                <c:v>6581.8616097689501</c:v>
              </c:pt>
              <c:pt idx="6">
                <c:v>9967.8136358756492</c:v>
              </c:pt>
              <c:pt idx="7">
                <c:v>14741.6973076587</c:v>
              </c:pt>
            </c:numLit>
          </c:yVal>
          <c:smooth val="1"/>
          <c:extLst>
            <c:ext xmlns:c16="http://schemas.microsoft.com/office/drawing/2014/chart" uri="{C3380CC4-5D6E-409C-BE32-E72D297353CC}">
              <c16:uniqueId val="{00000006-F1D4-4D21-AC89-F801EB7DAEC4}"/>
            </c:ext>
          </c:extLst>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2974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endParaRPr lang="en-US"/>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AE20-468A-8C2B-B75D2436BC02}"/>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AE20-468A-8C2B-B75D2436BC02}"/>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AE20-468A-8C2B-B75D2436BC02}"/>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AE20-468A-8C2B-B75D2436BC02}"/>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AE20-468A-8C2B-B75D2436BC02}"/>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AE20-468A-8C2B-B75D2436BC02}"/>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AE20-468A-8C2B-B75D2436BC02}"/>
            </c:ext>
          </c:extLst>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042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endParaRPr lang="en-US"/>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2419.29825526476</c:v>
              </c:pt>
              <c:pt idx="3">
                <c:v>3776.7284277016902</c:v>
              </c:pt>
              <c:pt idx="4">
                <c:v>9557.5295711561303</c:v>
              </c:pt>
              <c:pt idx="5">
                <c:v>14059.488694122199</c:v>
              </c:pt>
              <c:pt idx="6">
                <c:v>37991.165803227203</c:v>
              </c:pt>
              <c:pt idx="7">
                <c:v>115713.01891321399</c:v>
              </c:pt>
            </c:numLit>
          </c:yVal>
          <c:smooth val="1"/>
          <c:extLst>
            <c:ext xmlns:c16="http://schemas.microsoft.com/office/drawing/2014/chart" uri="{C3380CC4-5D6E-409C-BE32-E72D297353CC}">
              <c16:uniqueId val="{00000000-A60C-4C63-B4CA-04F2695417F2}"/>
            </c:ext>
          </c:extLst>
        </c:ser>
        <c:ser>
          <c:idx val="2"/>
          <c:order val="1"/>
          <c:tx>
            <c:strRef>
              <c:f>2025</c:f>
              <c:strCache>
                <c:ptCount val="1"/>
                <c:pt idx="0">
                  <c:v>2025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5840.5967727481002</c:v>
              </c:pt>
              <c:pt idx="5">
                <c:v>8932.3654309805406</c:v>
              </c:pt>
              <c:pt idx="6">
                <c:v>19816.403856606001</c:v>
              </c:pt>
              <c:pt idx="7">
                <c:v>61683.827062431599</c:v>
              </c:pt>
            </c:numLit>
          </c:yVal>
          <c:smooth val="1"/>
          <c:extLst>
            <c:ext xmlns:c16="http://schemas.microsoft.com/office/drawing/2014/chart" uri="{C3380CC4-5D6E-409C-BE32-E72D297353CC}">
              <c16:uniqueId val="{00000001-A60C-4C63-B4CA-04F2695417F2}"/>
            </c:ext>
          </c:extLst>
        </c:ser>
        <c:ser>
          <c:idx val="3"/>
          <c:order val="2"/>
          <c:tx>
            <c:strRef>
              <c:f>2030</c:f>
              <c:strCache>
                <c:ptCount val="1"/>
                <c:pt idx="0">
                  <c:v>2030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13429.861059635001</c:v>
              </c:pt>
              <c:pt idx="7">
                <c:v>27998.040895353301</c:v>
              </c:pt>
            </c:numLit>
          </c:yVal>
          <c:smooth val="1"/>
          <c:extLst>
            <c:ext xmlns:c16="http://schemas.microsoft.com/office/drawing/2014/chart" uri="{C3380CC4-5D6E-409C-BE32-E72D297353CC}">
              <c16:uniqueId val="{00000002-A60C-4C63-B4CA-04F2695417F2}"/>
            </c:ext>
          </c:extLst>
        </c:ser>
        <c:ser>
          <c:idx val="4"/>
          <c:order val="3"/>
          <c:tx>
            <c:strRef>
              <c:f>2035</c:f>
              <c:strCache>
                <c:ptCount val="1"/>
                <c:pt idx="0">
                  <c:v>2035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20206.9381725516</c:v>
              </c:pt>
            </c:numLit>
          </c:yVal>
          <c:smooth val="1"/>
          <c:extLst>
            <c:ext xmlns:c16="http://schemas.microsoft.com/office/drawing/2014/chart" uri="{C3380CC4-5D6E-409C-BE32-E72D297353CC}">
              <c16:uniqueId val="{00000003-A60C-4C63-B4CA-04F2695417F2}"/>
            </c:ext>
          </c:extLst>
        </c:ser>
        <c:ser>
          <c:idx val="5"/>
          <c:order val="4"/>
          <c:tx>
            <c:strRef>
              <c:f>2040</c:f>
              <c:strCache>
                <c:ptCount val="1"/>
                <c:pt idx="0">
                  <c:v>2040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4-A60C-4C63-B4CA-04F2695417F2}"/>
            </c:ext>
          </c:extLst>
        </c:ser>
        <c:ser>
          <c:idx val="6"/>
          <c:order val="5"/>
          <c:tx>
            <c:strRef>
              <c:f>2045</c:f>
              <c:strCache>
                <c:ptCount val="1"/>
                <c:pt idx="0">
                  <c:v>2045</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5-A60C-4C63-B4CA-04F2695417F2}"/>
            </c:ext>
          </c:extLst>
        </c:ser>
        <c:ser>
          <c:idx val="7"/>
          <c:order val="6"/>
          <c:tx>
            <c:strRef>
              <c:f>2050</c:f>
              <c:strCache>
                <c:ptCount val="1"/>
                <c:pt idx="0">
                  <c:v>2050</c:v>
                </c:pt>
              </c:strCache>
            </c:strRef>
          </c:tx>
          <c:marker>
            <c:symbol val="none"/>
          </c:marker>
          <c:xVal>
            <c:numLit>
              <c:formatCode>General</c:formatCode>
              <c:ptCount val="8"/>
              <c:pt idx="0">
                <c:v>0</c:v>
              </c:pt>
              <c:pt idx="1">
                <c:v>4.4125814214529803E-2</c:v>
              </c:pt>
              <c:pt idx="2">
                <c:v>9.4125814214529799E-2</c:v>
              </c:pt>
              <c:pt idx="3">
                <c:v>0.14412581421453</c:v>
              </c:pt>
              <c:pt idx="4">
                <c:v>0.19412581421453001</c:v>
              </c:pt>
              <c:pt idx="5">
                <c:v>0.24412581421453</c:v>
              </c:pt>
              <c:pt idx="6">
                <c:v>0.26412581421453002</c:v>
              </c:pt>
              <c:pt idx="7">
                <c:v>0.29412581421452999</c:v>
              </c:pt>
            </c:numLit>
          </c:xVal>
          <c:yVal>
            <c:numLit>
              <c:formatCode>General</c:formatCode>
              <c:ptCount val="8"/>
              <c:pt idx="0">
                <c:v>-122.79397965947</c:v>
              </c:pt>
              <c:pt idx="1">
                <c:v>922.40602034053097</c:v>
              </c:pt>
              <c:pt idx="2">
                <c:v>1910.4370316315101</c:v>
              </c:pt>
              <c:pt idx="3">
                <c:v>3365.4625316675401</c:v>
              </c:pt>
              <c:pt idx="4">
                <c:v>5508.2082365709502</c:v>
              </c:pt>
              <c:pt idx="5">
                <c:v>8663.7262366117102</c:v>
              </c:pt>
              <c:pt idx="6">
                <c:v>13310.705029193199</c:v>
              </c:pt>
              <c:pt idx="7">
                <c:v>20154.086020340499</c:v>
              </c:pt>
            </c:numLit>
          </c:yVal>
          <c:smooth val="1"/>
          <c:extLst>
            <c:ext xmlns:c16="http://schemas.microsoft.com/office/drawing/2014/chart" uri="{C3380CC4-5D6E-409C-BE32-E72D297353CC}">
              <c16:uniqueId val="{00000006-A60C-4C63-B4CA-04F2695417F2}"/>
            </c:ext>
          </c:extLst>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3109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endParaRPr lang="en-US"/>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B0AE-43ED-B6FA-B7ACE0AF00BD}"/>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B0AE-43ED-B6FA-B7ACE0AF00BD}"/>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B0AE-43ED-B6FA-B7ACE0AF00BD}"/>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B0AE-43ED-B6FA-B7ACE0AF00BD}"/>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B0AE-43ED-B6FA-B7ACE0AF00BD}"/>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B0AE-43ED-B6FA-B7ACE0AF00BD}"/>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B0AE-43ED-B6FA-B7ACE0AF00BD}"/>
            </c:ext>
          </c:extLst>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254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832.29027918968995</c:v>
              </c:pt>
              <c:pt idx="1">
                <c:v>1877.49027918969</c:v>
              </c:pt>
              <c:pt idx="2">
                <c:v>3587.9144915944999</c:v>
              </c:pt>
              <c:pt idx="3">
                <c:v>5337.9975038748398</c:v>
              </c:pt>
              <c:pt idx="4">
                <c:v>12544.179135079999</c:v>
              </c:pt>
              <c:pt idx="5">
                <c:v>18976.9685679166</c:v>
              </c:pt>
              <c:pt idx="6">
                <c:v>52073.460972340501</c:v>
              </c:pt>
              <c:pt idx="7">
                <c:v>165139.346754108</c:v>
              </c:pt>
            </c:numLit>
          </c:yVal>
          <c:smooth val="0"/>
          <c:extLst>
            <c:ext xmlns:c16="http://schemas.microsoft.com/office/drawing/2014/chart" uri="{C3380CC4-5D6E-409C-BE32-E72D297353CC}">
              <c16:uniqueId val="{00000000-A23B-4B7F-82AD-E0C9ADE5B58B}"/>
            </c:ext>
          </c:extLst>
        </c:ser>
        <c:ser>
          <c:idx val="2"/>
          <c:order val="1"/>
          <c:tx>
            <c:strRef>
              <c:f>2025</c:f>
              <c:strCache>
                <c:ptCount val="1"/>
                <c:pt idx="0">
                  <c:v>2025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-56.909720810310297</c:v>
              </c:pt>
              <c:pt idx="1">
                <c:v>103.12027918969</c:v>
              </c:pt>
              <c:pt idx="2">
                <c:v>469.61027918969</c:v>
              </c:pt>
              <c:pt idx="3">
                <c:v>1289.54027918969</c:v>
              </c:pt>
              <c:pt idx="4">
                <c:v>2211.7202791896898</c:v>
              </c:pt>
              <c:pt idx="5">
                <c:v>4223.9202791896896</c:v>
              </c:pt>
              <c:pt idx="6">
                <c:v>16064.770279189701</c:v>
              </c:pt>
              <c:pt idx="7">
                <c:v>23177.270279189699</c:v>
              </c:pt>
            </c:numLit>
          </c:yVal>
          <c:smooth val="0"/>
          <c:extLst>
            <c:ext xmlns:c16="http://schemas.microsoft.com/office/drawing/2014/chart" uri="{C3380CC4-5D6E-409C-BE32-E72D297353CC}">
              <c16:uniqueId val="{00000001-A23B-4B7F-82AD-E0C9ADE5B58B}"/>
            </c:ext>
          </c:extLst>
        </c:ser>
        <c:ser>
          <c:idx val="3"/>
          <c:order val="2"/>
          <c:tx>
            <c:strRef>
              <c:f>2030</c:f>
              <c:strCache>
                <c:ptCount val="1"/>
                <c:pt idx="0">
                  <c:v>2030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2-A23B-4B7F-82AD-E0C9ADE5B58B}"/>
            </c:ext>
          </c:extLst>
        </c:ser>
        <c:ser>
          <c:idx val="4"/>
          <c:order val="3"/>
          <c:tx>
            <c:strRef>
              <c:f>2035</c:f>
              <c:strCache>
                <c:ptCount val="1"/>
                <c:pt idx="0">
                  <c:v>2035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3-A23B-4B7F-82AD-E0C9ADE5B58B}"/>
            </c:ext>
          </c:extLst>
        </c:ser>
        <c:ser>
          <c:idx val="5"/>
          <c:order val="4"/>
          <c:tx>
            <c:strRef>
              <c:f>2040</c:f>
              <c:strCache>
                <c:ptCount val="1"/>
                <c:pt idx="0">
                  <c:v>2040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4-A23B-4B7F-82AD-E0C9ADE5B58B}"/>
            </c:ext>
          </c:extLst>
        </c:ser>
        <c:ser>
          <c:idx val="6"/>
          <c:order val="5"/>
          <c:tx>
            <c:strRef>
              <c:f>2045</c:f>
              <c:strCache>
                <c:ptCount val="1"/>
                <c:pt idx="0">
                  <c:v>2045</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5-A23B-4B7F-82AD-E0C9ADE5B58B}"/>
            </c:ext>
          </c:extLst>
        </c:ser>
        <c:ser>
          <c:idx val="7"/>
          <c:order val="6"/>
          <c:tx>
            <c:strRef>
              <c:f>2050</c:f>
              <c:strCache>
                <c:ptCount val="1"/>
                <c:pt idx="0">
                  <c:v>2050</c:v>
                </c:pt>
              </c:strCache>
            </c:strRef>
          </c:tx>
          <c:marker>
            <c:symbol val="none"/>
          </c:marker>
          <c:xVal>
            <c:numLit>
              <c:formatCode>General</c:formatCode>
              <c:ptCount val="8"/>
              <c:pt idx="0">
                <c:v>0</c:v>
              </c:pt>
              <c:pt idx="1">
                <c:v>3.2629901968069398E-2</c:v>
              </c:pt>
              <c:pt idx="2">
                <c:v>8.2629901968069394E-2</c:v>
              </c:pt>
              <c:pt idx="3">
                <c:v>0.13262990196806901</c:v>
              </c:pt>
              <c:pt idx="4">
                <c:v>0.182629901968069</c:v>
              </c:pt>
              <c:pt idx="5">
                <c:v>0.23262990196806899</c:v>
              </c:pt>
              <c:pt idx="6">
                <c:v>0.28262990196806898</c:v>
              </c:pt>
              <c:pt idx="7">
                <c:v>0.312629901968069</c:v>
              </c:pt>
            </c:numLit>
          </c:xVal>
          <c:yVal>
            <c:numLit>
              <c:formatCode>General</c:formatCode>
              <c:ptCount val="8"/>
              <c:pt idx="0">
                <c:v>-67.409720810310304</c:v>
              </c:pt>
              <c:pt idx="1">
                <c:v>5.7402791896897201</c:v>
              </c:pt>
              <c:pt idx="2">
                <c:v>247.99027918969</c:v>
              </c:pt>
              <c:pt idx="3">
                <c:v>817.99027918969</c:v>
              </c:pt>
              <c:pt idx="4">
                <c:v>1619.9002791896901</c:v>
              </c:pt>
              <c:pt idx="5">
                <c:v>3002.25027918969</c:v>
              </c:pt>
              <c:pt idx="6">
                <c:v>6035.6202791896903</c:v>
              </c:pt>
              <c:pt idx="7">
                <c:v>20181.7902791897</c:v>
              </c:pt>
            </c:numLit>
          </c:yVal>
          <c:smooth val="0"/>
          <c:extLst>
            <c:ext xmlns:c16="http://schemas.microsoft.com/office/drawing/2014/chart" uri="{C3380CC4-5D6E-409C-BE32-E72D297353CC}">
              <c16:uniqueId val="{00000006-A23B-4B7F-82AD-E0C9ADE5B58B}"/>
            </c:ext>
          </c:extLst>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01192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A2A7-4B99-9487-E248515E6F0A}"/>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A2A7-4B99-9487-E248515E6F0A}"/>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A2A7-4B99-9487-E248515E6F0A}"/>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A2A7-4B99-9487-E248515E6F0A}"/>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A2A7-4B99-9487-E248515E6F0A}"/>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A2A7-4B99-9487-E248515E6F0A}"/>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A2A7-4B99-9487-E248515E6F0A}"/>
            </c:ext>
          </c:extLst>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04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636.08176419004599</c:v>
              </c:pt>
              <c:pt idx="1">
                <c:v>1681.2817641900499</c:v>
              </c:pt>
              <c:pt idx="2">
                <c:v>3391.7059765948602</c:v>
              </c:pt>
              <c:pt idx="3">
                <c:v>5141.7889888751897</c:v>
              </c:pt>
              <c:pt idx="4">
                <c:v>12347.970620080299</c:v>
              </c:pt>
              <c:pt idx="5">
                <c:v>18780.760052916899</c:v>
              </c:pt>
              <c:pt idx="6">
                <c:v>51877.252457340903</c:v>
              </c:pt>
              <c:pt idx="7">
                <c:v>164943.13823910899</c:v>
              </c:pt>
            </c:numLit>
          </c:yVal>
          <c:smooth val="0"/>
          <c:extLst>
            <c:ext xmlns:c16="http://schemas.microsoft.com/office/drawing/2014/chart" uri="{C3380CC4-5D6E-409C-BE32-E72D297353CC}">
              <c16:uniqueId val="{00000000-4C93-46E2-B6CD-CBA96A293D18}"/>
            </c:ext>
          </c:extLst>
        </c:ser>
        <c:ser>
          <c:idx val="2"/>
          <c:order val="1"/>
          <c:tx>
            <c:strRef>
              <c:f>2025</c:f>
              <c:strCache>
                <c:ptCount val="1"/>
                <c:pt idx="0">
                  <c:v>2025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-304.118235809954</c:v>
              </c:pt>
              <c:pt idx="1">
                <c:v>209.17176419004599</c:v>
              </c:pt>
              <c:pt idx="2">
                <c:v>1103.70176419005</c:v>
              </c:pt>
              <c:pt idx="3">
                <c:v>2195.46176419005</c:v>
              </c:pt>
              <c:pt idx="4">
                <c:v>4792.5217641900499</c:v>
              </c:pt>
              <c:pt idx="5">
                <c:v>16229.28176419</c:v>
              </c:pt>
              <c:pt idx="6">
                <c:v>22149.706764189999</c:v>
              </c:pt>
              <c:pt idx="7">
                <c:v>23223.881764189999</c:v>
              </c:pt>
            </c:numLit>
          </c:yVal>
          <c:smooth val="0"/>
          <c:extLst>
            <c:ext xmlns:c16="http://schemas.microsoft.com/office/drawing/2014/chart" uri="{C3380CC4-5D6E-409C-BE32-E72D297353CC}">
              <c16:uniqueId val="{00000001-4C93-46E2-B6CD-CBA96A293D18}"/>
            </c:ext>
          </c:extLst>
        </c:ser>
        <c:ser>
          <c:idx val="3"/>
          <c:order val="2"/>
          <c:tx>
            <c:strRef>
              <c:f>2030</c:f>
              <c:strCache>
                <c:ptCount val="1"/>
                <c:pt idx="0">
                  <c:v>2030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2-4C93-46E2-B6CD-CBA96A293D18}"/>
            </c:ext>
          </c:extLst>
        </c:ser>
        <c:ser>
          <c:idx val="4"/>
          <c:order val="3"/>
          <c:tx>
            <c:strRef>
              <c:f>2035</c:f>
              <c:strCache>
                <c:ptCount val="1"/>
                <c:pt idx="0">
                  <c:v>2035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3-4C93-46E2-B6CD-CBA96A293D18}"/>
            </c:ext>
          </c:extLst>
        </c:ser>
        <c:ser>
          <c:idx val="5"/>
          <c:order val="4"/>
          <c:tx>
            <c:strRef>
              <c:f>2040</c:f>
              <c:strCache>
                <c:ptCount val="1"/>
                <c:pt idx="0">
                  <c:v>2040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4-4C93-46E2-B6CD-CBA96A293D18}"/>
            </c:ext>
          </c:extLst>
        </c:ser>
        <c:ser>
          <c:idx val="6"/>
          <c:order val="5"/>
          <c:tx>
            <c:strRef>
              <c:f>2045</c:f>
              <c:strCache>
                <c:ptCount val="1"/>
                <c:pt idx="0">
                  <c:v>2045</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5-4C93-46E2-B6CD-CBA96A293D18}"/>
            </c:ext>
          </c:extLst>
        </c:ser>
        <c:ser>
          <c:idx val="7"/>
          <c:order val="6"/>
          <c:tx>
            <c:strRef>
              <c:f>2050</c:f>
              <c:strCache>
                <c:ptCount val="1"/>
                <c:pt idx="0">
                  <c:v>2050</c:v>
                </c:pt>
              </c:strCache>
            </c:strRef>
          </c:tx>
          <c:marker>
            <c:symbol val="none"/>
          </c:marker>
          <c:xVal>
            <c:numLit>
              <c:formatCode>General</c:formatCode>
              <c:ptCount val="8"/>
              <c:pt idx="0">
                <c:v>0</c:v>
              </c:pt>
              <c:pt idx="1">
                <c:v>3.3830688542600802E-2</c:v>
              </c:pt>
              <c:pt idx="2">
                <c:v>8.3830688542600798E-2</c:v>
              </c:pt>
              <c:pt idx="3">
                <c:v>0.133830688542601</c:v>
              </c:pt>
              <c:pt idx="4">
                <c:v>0.18383068854260101</c:v>
              </c:pt>
              <c:pt idx="5">
                <c:v>0.233830688542601</c:v>
              </c:pt>
              <c:pt idx="6">
                <c:v>0.28383068854260102</c:v>
              </c:pt>
              <c:pt idx="7">
                <c:v>0.31383068854260099</c:v>
              </c:pt>
            </c:numLit>
          </c:xVal>
          <c:yVal>
            <c:numLit>
              <c:formatCode>General</c:formatCode>
              <c:ptCount val="8"/>
              <c:pt idx="0">
                <c:v>-397.76823580995398</c:v>
              </c:pt>
              <c:pt idx="1">
                <c:v>-18.538235809953701</c:v>
              </c:pt>
              <c:pt idx="2">
                <c:v>779.42176419004602</c:v>
              </c:pt>
              <c:pt idx="3">
                <c:v>1624.5917641900501</c:v>
              </c:pt>
              <c:pt idx="4">
                <c:v>2964.7217641900502</c:v>
              </c:pt>
              <c:pt idx="5">
                <c:v>7003.19176419005</c:v>
              </c:pt>
              <c:pt idx="6">
                <c:v>13904.71176419</c:v>
              </c:pt>
              <c:pt idx="7">
                <c:v>20806.231764190001</c:v>
              </c:pt>
            </c:numLit>
          </c:yVal>
          <c:smooth val="0"/>
          <c:extLst>
            <c:ext xmlns:c16="http://schemas.microsoft.com/office/drawing/2014/chart" uri="{C3380CC4-5D6E-409C-BE32-E72D297353CC}">
              <c16:uniqueId val="{00000006-4C93-46E2-B6CD-CBA96A293D18}"/>
            </c:ext>
          </c:extLst>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8997716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64695.121951219502</c:v>
              </c:pt>
              <c:pt idx="1">
                <c:v>69118.964659034304</c:v>
              </c:pt>
              <c:pt idx="2">
                <c:v>73453.210552513701</c:v>
              </c:pt>
              <c:pt idx="3">
                <c:v>77697.8596316576</c:v>
              </c:pt>
              <c:pt idx="4">
                <c:v>81852.911896465899</c:v>
              </c:pt>
              <c:pt idx="5">
                <c:v>94878.048780487807</c:v>
              </c:pt>
              <c:pt idx="6">
                <c:v>119165.50522648099</c:v>
              </c:pt>
              <c:pt idx="7">
                <c:v>138648.78048780499</c:v>
              </c:pt>
            </c:numLit>
          </c:yVal>
          <c:smooth val="1"/>
          <c:extLst>
            <c:ext xmlns:c16="http://schemas.microsoft.com/office/drawing/2014/chart" uri="{C3380CC4-5D6E-409C-BE32-E72D297353CC}">
              <c16:uniqueId val="{00000000-6867-4032-9797-F1654D7D6379}"/>
            </c:ext>
          </c:extLst>
        </c:ser>
        <c:ser>
          <c:idx val="2"/>
          <c:order val="1"/>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38878.048780487799</c:v>
              </c:pt>
              <c:pt idx="1">
                <c:v>42259.830761572899</c:v>
              </c:pt>
              <c:pt idx="2">
                <c:v>45573.1209556994</c:v>
              </c:pt>
              <c:pt idx="3">
                <c:v>48817.919362867098</c:v>
              </c:pt>
              <c:pt idx="4">
                <c:v>51994.225983076198</c:v>
              </c:pt>
              <c:pt idx="5">
                <c:v>64468.292682926804</c:v>
              </c:pt>
              <c:pt idx="6">
                <c:v>88823.972125435597</c:v>
              </c:pt>
              <c:pt idx="7">
                <c:v>108802.341463415</c:v>
              </c:pt>
            </c:numLit>
          </c:yVal>
          <c:smooth val="1"/>
          <c:extLst>
            <c:ext xmlns:c16="http://schemas.microsoft.com/office/drawing/2014/chart" uri="{C3380CC4-5D6E-409C-BE32-E72D297353CC}">
              <c16:uniqueId val="{00000001-6867-4032-9797-F1654D7D6379}"/>
            </c:ext>
          </c:extLst>
        </c:ser>
        <c:ser>
          <c:idx val="3"/>
          <c:order val="2"/>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19246.9343848967</c:v>
              </c:pt>
              <c:pt idx="1">
                <c:v>22694.797914163901</c:v>
              </c:pt>
              <c:pt idx="2">
                <c:v>26072.8312960029</c:v>
              </c:pt>
              <c:pt idx="3">
                <c:v>29381.034530413701</c:v>
              </c:pt>
              <c:pt idx="4">
                <c:v>32619.4076173963</c:v>
              </c:pt>
              <c:pt idx="5">
                <c:v>44054.0942587635</c:v>
              </c:pt>
              <c:pt idx="6">
                <c:v>66539.4017306428</c:v>
              </c:pt>
              <c:pt idx="7">
                <c:v>86226.266044337099</c:v>
              </c:pt>
            </c:numLit>
          </c:yVal>
          <c:smooth val="1"/>
          <c:extLst>
            <c:ext xmlns:c16="http://schemas.microsoft.com/office/drawing/2014/chart" uri="{C3380CC4-5D6E-409C-BE32-E72D297353CC}">
              <c16:uniqueId val="{00000002-6867-4032-9797-F1654D7D6379}"/>
            </c:ext>
          </c:extLst>
        </c:ser>
        <c:ser>
          <c:idx val="4"/>
          <c:order val="3"/>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12523.959226110999</c:v>
              </c:pt>
              <c:pt idx="1">
                <c:v>14767.480266616099</c:v>
              </c:pt>
              <c:pt idx="2">
                <c:v>16965.5629063009</c:v>
              </c:pt>
              <c:pt idx="3">
                <c:v>19118.207145165401</c:v>
              </c:pt>
              <c:pt idx="4">
                <c:v>21225.4129832094</c:v>
              </c:pt>
              <c:pt idx="5">
                <c:v>29500.881732616999</c:v>
              </c:pt>
              <c:pt idx="6">
                <c:v>46052.387211442401</c:v>
              </c:pt>
              <c:pt idx="7">
                <c:v>60782.948777391997</c:v>
              </c:pt>
            </c:numLit>
          </c:yVal>
          <c:smooth val="1"/>
          <c:extLst>
            <c:ext xmlns:c16="http://schemas.microsoft.com/office/drawing/2014/chart" uri="{C3380CC4-5D6E-409C-BE32-E72D297353CC}">
              <c16:uniqueId val="{00000003-6867-4032-9797-F1654D7D6379}"/>
            </c:ext>
          </c:extLst>
        </c:ser>
        <c:ser>
          <c:idx val="5"/>
          <c:order val="4"/>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9650.7515126957696</c:v>
              </c:pt>
              <c:pt idx="1">
                <c:v>11379.570944675301</c:v>
              </c:pt>
              <c:pt idx="2">
                <c:v>13073.376312209601</c:v>
              </c:pt>
              <c:pt idx="3">
                <c:v>14732.1676152989</c:v>
              </c:pt>
              <c:pt idx="4">
                <c:v>16355.944853942899</c:v>
              </c:pt>
              <c:pt idx="5">
                <c:v>22518.420196290099</c:v>
              </c:pt>
              <c:pt idx="6">
                <c:v>33970.645324689103</c:v>
              </c:pt>
              <c:pt idx="7">
                <c:v>43235.366776877003</c:v>
              </c:pt>
            </c:numLit>
          </c:yVal>
          <c:smooth val="1"/>
          <c:extLst>
            <c:ext xmlns:c16="http://schemas.microsoft.com/office/drawing/2014/chart" uri="{C3380CC4-5D6E-409C-BE32-E72D297353CC}">
              <c16:uniqueId val="{00000004-6867-4032-9797-F1654D7D6379}"/>
            </c:ext>
          </c:extLst>
        </c:ser>
        <c:ser>
          <c:idx val="6"/>
          <c:order val="5"/>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8245.4005962044394</c:v>
              </c:pt>
              <c:pt idx="1">
                <c:v>9722.4678231889102</c:v>
              </c:pt>
              <c:pt idx="2">
                <c:v>11169.6197645636</c:v>
              </c:pt>
              <c:pt idx="3">
                <c:v>12586.8564203284</c:v>
              </c:pt>
              <c:pt idx="4">
                <c:v>13974.1777904834</c:v>
              </c:pt>
              <c:pt idx="5">
                <c:v>19239.268057810401</c:v>
              </c:pt>
              <c:pt idx="6">
                <c:v>28505.527775449598</c:v>
              </c:pt>
              <c:pt idx="7">
                <c:v>35400.253226371002</c:v>
              </c:pt>
            </c:numLit>
          </c:yVal>
          <c:smooth val="1"/>
          <c:extLst>
            <c:ext xmlns:c16="http://schemas.microsoft.com/office/drawing/2014/chart" uri="{C3380CC4-5D6E-409C-BE32-E72D297353CC}">
              <c16:uniqueId val="{00000005-6867-4032-9797-F1654D7D6379}"/>
            </c:ext>
          </c:extLst>
        </c:ser>
        <c:ser>
          <c:idx val="7"/>
          <c:order val="6"/>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7555.2823552683403</c:v>
              </c:pt>
              <c:pt idx="1">
                <c:v>8908.72295859306</c:v>
              </c:pt>
              <c:pt idx="2">
                <c:v>10234.7521066606</c:v>
              </c:pt>
              <c:pt idx="3">
                <c:v>11533.3697994709</c:v>
              </c:pt>
              <c:pt idx="4">
                <c:v>12804.5760370239</c:v>
              </c:pt>
              <c:pt idx="5">
                <c:v>17628.992162292801</c:v>
              </c:pt>
              <c:pt idx="6">
                <c:v>26119.690428213398</c:v>
              </c:pt>
              <c:pt idx="7">
                <c:v>32437.345578618701</c:v>
              </c:pt>
            </c:numLit>
          </c:yVal>
          <c:smooth val="1"/>
          <c:extLst>
            <c:ext xmlns:c16="http://schemas.microsoft.com/office/drawing/2014/chart" uri="{C3380CC4-5D6E-409C-BE32-E72D297353CC}">
              <c16:uniqueId val="{00000006-6867-4032-9797-F1654D7D6379}"/>
            </c:ext>
          </c:extLst>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6880"/>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endParaRPr lang="en-US"/>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overlay val="0"/>
    </c:title>
    <c:autoTitleDeleted val="0"/>
    <c:plotArea>
      <c:layout/>
      <c:scatterChart>
        <c:scatterStyle val="smoothMarker"/>
        <c:varyColors val="0"/>
        <c:ser>
          <c:idx val="0"/>
          <c:order val="0"/>
          <c:tx>
            <c:strRef>
              <c:f>2015</c:f>
              <c:strCache>
                <c:ptCount val="1"/>
                <c:pt idx="0">
                  <c:v>2015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121585.36585365899</c:v>
              </c:pt>
              <c:pt idx="1">
                <c:v>129278.24788451999</c:v>
              </c:pt>
              <c:pt idx="2">
                <c:v>136898.1251037</c:v>
              </c:pt>
              <c:pt idx="3">
                <c:v>144444.9975112</c:v>
              </c:pt>
              <c:pt idx="4">
                <c:v>151918.86510701801</c:v>
              </c:pt>
              <c:pt idx="5">
                <c:v>174796.74796748001</c:v>
              </c:pt>
              <c:pt idx="6">
                <c:v>214785.13356562101</c:v>
              </c:pt>
              <c:pt idx="7">
                <c:v>240975.60975609801</c:v>
              </c:pt>
            </c:numLit>
          </c:yVal>
          <c:smooth val="1"/>
          <c:extLst>
            <c:ext xmlns:c16="http://schemas.microsoft.com/office/drawing/2014/chart" uri="{C3380CC4-5D6E-409C-BE32-E72D297353CC}">
              <c16:uniqueId val="{00000000-2ECC-41C3-937D-792227AAC504}"/>
            </c:ext>
          </c:extLst>
        </c:ser>
        <c:ser>
          <c:idx val="1"/>
          <c:order val="1"/>
          <c:tx>
            <c:strRef>
              <c:f>2020</c:f>
              <c:strCache>
                <c:ptCount val="1"/>
                <c:pt idx="0">
                  <c:v>2020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94024.390243902395</c:v>
              </c:pt>
              <c:pt idx="1">
                <c:v>100318.566450971</c:v>
              </c:pt>
              <c:pt idx="2">
                <c:v>106553.01144848199</c:v>
              </c:pt>
              <c:pt idx="3">
                <c:v>112727.725236436</c:v>
              </c:pt>
              <c:pt idx="4">
                <c:v>118842.707814833</c:v>
              </c:pt>
              <c:pt idx="5">
                <c:v>137560.97560975599</c:v>
              </c:pt>
              <c:pt idx="6">
                <c:v>172484.32055749101</c:v>
              </c:pt>
              <c:pt idx="7">
                <c:v>199609.75609756101</c:v>
              </c:pt>
            </c:numLit>
          </c:yVal>
          <c:smooth val="1"/>
          <c:extLst>
            <c:ext xmlns:c16="http://schemas.microsoft.com/office/drawing/2014/chart" uri="{C3380CC4-5D6E-409C-BE32-E72D297353CC}">
              <c16:uniqueId val="{00000001-2ECC-41C3-937D-792227AAC504}"/>
            </c:ext>
          </c:extLst>
        </c:ser>
        <c:ser>
          <c:idx val="2"/>
          <c:order val="2"/>
          <c:tx>
            <c:strRef>
              <c:f>2025</c:f>
              <c:strCache>
                <c:ptCount val="1"/>
                <c:pt idx="0">
                  <c:v>2025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56009.756097561003</c:v>
              </c:pt>
              <c:pt idx="1">
                <c:v>60821.304131408702</c:v>
              </c:pt>
              <c:pt idx="2">
                <c:v>65587.190973950506</c:v>
              </c:pt>
              <c:pt idx="3">
                <c:v>70307.416625186699</c:v>
              </c:pt>
              <c:pt idx="4">
                <c:v>74981.981085117004</c:v>
              </c:pt>
              <c:pt idx="5">
                <c:v>91662.6991869919</c:v>
              </c:pt>
              <c:pt idx="6">
                <c:v>126947.270615563</c:v>
              </c:pt>
              <c:pt idx="7">
                <c:v>155853.65853658499</c:v>
              </c:pt>
            </c:numLit>
          </c:yVal>
          <c:smooth val="1"/>
          <c:extLst>
            <c:ext xmlns:c16="http://schemas.microsoft.com/office/drawing/2014/chart" uri="{C3380CC4-5D6E-409C-BE32-E72D297353CC}">
              <c16:uniqueId val="{00000002-2ECC-41C3-937D-792227AAC504}"/>
            </c:ext>
          </c:extLst>
        </c:ser>
        <c:ser>
          <c:idx val="3"/>
          <c:order val="3"/>
          <c:tx>
            <c:strRef>
              <c:f>2030</c:f>
              <c:strCache>
                <c:ptCount val="1"/>
                <c:pt idx="0">
                  <c:v>2030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26517.998485857599</c:v>
              </c:pt>
              <c:pt idx="1">
                <c:v>31423.566342688398</c:v>
              </c:pt>
              <c:pt idx="2">
                <c:v>36282.580767900501</c:v>
              </c:pt>
              <c:pt idx="3">
                <c:v>41095.041761493703</c:v>
              </c:pt>
              <c:pt idx="4">
                <c:v>45860.949323468099</c:v>
              </c:pt>
              <c:pt idx="5">
                <c:v>62263.119885719098</c:v>
              </c:pt>
              <c:pt idx="6">
                <c:v>94544.200438825806</c:v>
              </c:pt>
              <c:pt idx="7">
                <c:v>123180.38006333901</c:v>
              </c:pt>
            </c:numLit>
          </c:yVal>
          <c:smooth val="1"/>
          <c:extLst>
            <c:ext xmlns:c16="http://schemas.microsoft.com/office/drawing/2014/chart" uri="{C3380CC4-5D6E-409C-BE32-E72D297353CC}">
              <c16:uniqueId val="{00000003-2ECC-41C3-937D-792227AAC504}"/>
            </c:ext>
          </c:extLst>
        </c:ser>
        <c:ser>
          <c:idx val="4"/>
          <c:order val="4"/>
          <c:tx>
            <c:strRef>
              <c:f>2035</c:f>
              <c:strCache>
                <c:ptCount val="1"/>
                <c:pt idx="0">
                  <c:v>2035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17255.232711530702</c:v>
              </c:pt>
              <c:pt idx="1">
                <c:v>20447.280369160799</c:v>
              </c:pt>
              <c:pt idx="2">
                <c:v>23609.035759577298</c:v>
              </c:pt>
              <c:pt idx="3">
                <c:v>26740.498882780299</c:v>
              </c:pt>
              <c:pt idx="4">
                <c:v>29841.669738769699</c:v>
              </c:pt>
              <c:pt idx="5">
                <c:v>41694.579515432</c:v>
              </c:pt>
              <c:pt idx="6">
                <c:v>65434.705061376102</c:v>
              </c:pt>
              <c:pt idx="7">
                <c:v>86832.783967702897</c:v>
              </c:pt>
            </c:numLit>
          </c:yVal>
          <c:smooth val="1"/>
          <c:extLst>
            <c:ext xmlns:c16="http://schemas.microsoft.com/office/drawing/2014/chart" uri="{C3380CC4-5D6E-409C-BE32-E72D297353CC}">
              <c16:uniqueId val="{00000004-2ECC-41C3-937D-792227AAC504}"/>
            </c:ext>
          </c:extLst>
        </c:ser>
        <c:ser>
          <c:idx val="5"/>
          <c:order val="5"/>
          <c:tx>
            <c:strRef>
              <c:f>2040</c:f>
              <c:strCache>
                <c:ptCount val="1"/>
                <c:pt idx="0">
                  <c:v>2040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13296.5909730475</c:v>
              </c:pt>
              <c:pt idx="1">
                <c:v>15756.3290003196</c:v>
              </c:pt>
              <c:pt idx="2">
                <c:v>18192.724317961602</c:v>
              </c:pt>
              <c:pt idx="3">
                <c:v>20605.776925973601</c:v>
              </c:pt>
              <c:pt idx="4">
                <c:v>22995.486824355401</c:v>
              </c:pt>
              <c:pt idx="5">
                <c:v>31826.033877423401</c:v>
              </c:pt>
              <c:pt idx="6">
                <c:v>48268.054973127299</c:v>
              </c:pt>
              <c:pt idx="7">
                <c:v>64338.343417971802</c:v>
              </c:pt>
            </c:numLit>
          </c:yVal>
          <c:smooth val="1"/>
          <c:extLst>
            <c:ext xmlns:c16="http://schemas.microsoft.com/office/drawing/2014/chart" uri="{C3380CC4-5D6E-409C-BE32-E72D297353CC}">
              <c16:uniqueId val="{00000005-2ECC-41C3-937D-792227AAC504}"/>
            </c:ext>
          </c:extLst>
        </c:ser>
        <c:ser>
          <c:idx val="6"/>
          <c:order val="6"/>
          <c:tx>
            <c:strRef>
              <c:f>2045</c:f>
              <c:strCache>
                <c:ptCount val="1"/>
                <c:pt idx="0">
                  <c:v>2045</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11360.329710326099</c:v>
              </c:pt>
              <c:pt idx="1">
                <c:v>13461.878524415401</c:v>
              </c:pt>
              <c:pt idx="2">
                <c:v>15543.483814764801</c:v>
              </c:pt>
              <c:pt idx="3">
                <c:v>17605.1455813744</c:v>
              </c:pt>
              <c:pt idx="4">
                <c:v>19646.863824243999</c:v>
              </c:pt>
              <c:pt idx="5">
                <c:v>27191.498855038601</c:v>
              </c:pt>
              <c:pt idx="6">
                <c:v>40502.803775218003</c:v>
              </c:pt>
              <c:pt idx="7">
                <c:v>50571.790323387198</c:v>
              </c:pt>
            </c:numLit>
          </c:yVal>
          <c:smooth val="1"/>
          <c:extLst>
            <c:ext xmlns:c16="http://schemas.microsoft.com/office/drawing/2014/chart" uri="{C3380CC4-5D6E-409C-BE32-E72D297353CC}">
              <c16:uniqueId val="{00000006-2ECC-41C3-937D-792227AAC504}"/>
            </c:ext>
          </c:extLst>
        </c:ser>
        <c:ser>
          <c:idx val="7"/>
          <c:order val="7"/>
          <c:tx>
            <c:strRef>
              <c:f>2050</c:f>
              <c:strCache>
                <c:ptCount val="1"/>
                <c:pt idx="0">
                  <c:v>2050</c:v>
                </c:pt>
              </c:strCache>
            </c:strRef>
          </c:tx>
          <c:marker>
            <c:symbol val="none"/>
          </c:marker>
          <c:xVal>
            <c:numLit>
              <c:formatCode>General</c:formatCode>
              <c:ptCount val="8"/>
              <c:pt idx="0">
                <c:v>150</c:v>
              </c:pt>
              <c:pt idx="1">
                <c:v>178.57142857142901</c:v>
              </c:pt>
              <c:pt idx="2">
                <c:v>207.142857142857</c:v>
              </c:pt>
              <c:pt idx="3">
                <c:v>235.71428571428601</c:v>
              </c:pt>
              <c:pt idx="4">
                <c:v>264.28571428571399</c:v>
              </c:pt>
              <c:pt idx="5">
                <c:v>350</c:v>
              </c:pt>
              <c:pt idx="6">
                <c:v>500</c:v>
              </c:pt>
              <c:pt idx="7">
                <c:v>600</c:v>
              </c:pt>
            </c:numLit>
          </c:xVal>
          <c:yVal>
            <c:numLit>
              <c:formatCode>General</c:formatCode>
              <c:ptCount val="8"/>
              <c:pt idx="0">
                <c:v>10409.500133925299</c:v>
              </c:pt>
              <c:pt idx="1">
                <c:v>12335.1548657442</c:v>
              </c:pt>
              <c:pt idx="2">
                <c:v>14242.5352940584</c:v>
              </c:pt>
              <c:pt idx="3">
                <c:v>16131.641418867701</c:v>
              </c:pt>
              <c:pt idx="4">
                <c:v>18002.473240172301</c:v>
              </c:pt>
              <c:pt idx="5">
                <c:v>24915.642256040501</c:v>
              </c:pt>
              <c:pt idx="6">
                <c:v>37112.826130323403</c:v>
              </c:pt>
              <c:pt idx="7">
                <c:v>46339.065112312499</c:v>
              </c:pt>
            </c:numLit>
          </c:yVal>
          <c:smooth val="1"/>
          <c:extLst>
            <c:ext xmlns:c16="http://schemas.microsoft.com/office/drawing/2014/chart" uri="{C3380CC4-5D6E-409C-BE32-E72D297353CC}">
              <c16:uniqueId val="{00000007-2ECC-41C3-937D-792227AAC504}"/>
            </c:ext>
          </c:extLst>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6763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endParaRPr lang="en-US"/>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135853.65853658499</c:v>
              </c:pt>
              <c:pt idx="1">
                <c:v>144902.93678446999</c:v>
              </c:pt>
              <c:pt idx="2">
                <c:v>153862.61821801899</c:v>
              </c:pt>
              <c:pt idx="3">
                <c:v>162732.70283723201</c:v>
              </c:pt>
              <c:pt idx="4">
                <c:v>171513.19064211001</c:v>
              </c:pt>
              <c:pt idx="5">
                <c:v>220000</c:v>
              </c:pt>
              <c:pt idx="6">
                <c:v>287505.22648083599</c:v>
              </c:pt>
              <c:pt idx="7">
                <c:v>337365.85365853697</c:v>
              </c:pt>
            </c:numLit>
          </c:yVal>
          <c:smooth val="1"/>
          <c:extLst>
            <c:ext xmlns:c16="http://schemas.microsoft.com/office/drawing/2014/chart" uri="{C3380CC4-5D6E-409C-BE32-E72D297353CC}">
              <c16:uniqueId val="{00000000-7480-497A-BE5A-9091859388A4}"/>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85341.463414634098</c:v>
              </c:pt>
              <c:pt idx="1">
                <c:v>92259.133897461405</c:v>
              </c:pt>
              <c:pt idx="2">
                <c:v>99108.312593330003</c:v>
              </c:pt>
              <c:pt idx="3">
                <c:v>105888.99950224</c:v>
              </c:pt>
              <c:pt idx="4">
                <c:v>112601.194624191</c:v>
              </c:pt>
              <c:pt idx="5">
                <c:v>154253.33333333299</c:v>
              </c:pt>
              <c:pt idx="6">
                <c:v>222462.02090592301</c:v>
              </c:pt>
              <c:pt idx="7">
                <c:v>278317.07317073201</c:v>
              </c:pt>
            </c:numLit>
          </c:yVal>
          <c:smooth val="1"/>
          <c:extLst>
            <c:ext xmlns:c16="http://schemas.microsoft.com/office/drawing/2014/chart" uri="{C3380CC4-5D6E-409C-BE32-E72D297353CC}">
              <c16:uniqueId val="{00000001-7480-497A-BE5A-9091859388A4}"/>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51325.158359724497</c:v>
              </c:pt>
              <c:pt idx="1">
                <c:v>58378.003249972302</c:v>
              </c:pt>
              <c:pt idx="2">
                <c:v>65361.017992792003</c:v>
              </c:pt>
              <c:pt idx="3">
                <c:v>72274.202588183398</c:v>
              </c:pt>
              <c:pt idx="4">
                <c:v>79117.557036146696</c:v>
              </c:pt>
              <c:pt idx="5">
                <c:v>120414.52430728701</c:v>
              </c:pt>
              <c:pt idx="6">
                <c:v>182815.325967018</c:v>
              </c:pt>
              <c:pt idx="7">
                <c:v>238148.73478912099</c:v>
              </c:pt>
            </c:numLit>
          </c:yVal>
          <c:smooth val="1"/>
          <c:extLst>
            <c:ext xmlns:c16="http://schemas.microsoft.com/office/drawing/2014/chart" uri="{C3380CC4-5D6E-409C-BE32-E72D297353CC}">
              <c16:uniqueId val="{00000002-7480-497A-BE5A-9091859388A4}"/>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33397.224602962597</c:v>
              </c:pt>
              <c:pt idx="1">
                <c:v>37986.503085818702</c:v>
              </c:pt>
              <c:pt idx="2">
                <c:v>42530.343167854502</c:v>
              </c:pt>
              <c:pt idx="3">
                <c:v>47028.744849069801</c:v>
              </c:pt>
              <c:pt idx="4">
                <c:v>51481.708129464801</c:v>
              </c:pt>
              <c:pt idx="5">
                <c:v>80635.743402486405</c:v>
              </c:pt>
              <c:pt idx="6">
                <c:v>126527.770924367</c:v>
              </c:pt>
              <c:pt idx="7">
                <c:v>167876.71567089201</c:v>
              </c:pt>
            </c:numLit>
          </c:yVal>
          <c:smooth val="1"/>
          <c:extLst>
            <c:ext xmlns:c16="http://schemas.microsoft.com/office/drawing/2014/chart" uri="{C3380CC4-5D6E-409C-BE32-E72D297353CC}">
              <c16:uniqueId val="{00000003-7480-497A-BE5A-9091859388A4}"/>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25735.337367188698</c:v>
              </c:pt>
              <c:pt idx="1">
                <c:v>29271.757876149299</c:v>
              </c:pt>
              <c:pt idx="2">
                <c:v>32773.1643206648</c:v>
              </c:pt>
              <c:pt idx="3">
                <c:v>36239.556700735098</c:v>
              </c:pt>
              <c:pt idx="4">
                <c:v>39670.935016360301</c:v>
              </c:pt>
              <c:pt idx="5">
                <c:v>61550.348536526297</c:v>
              </c:pt>
              <c:pt idx="6">
                <c:v>93333.490185004397</c:v>
              </c:pt>
              <c:pt idx="7">
                <c:v>119411.965383756</c:v>
              </c:pt>
            </c:numLit>
          </c:yVal>
          <c:smooth val="1"/>
          <c:extLst>
            <c:ext xmlns:c16="http://schemas.microsoft.com/office/drawing/2014/chart" uri="{C3380CC4-5D6E-409C-BE32-E72D297353CC}">
              <c16:uniqueId val="{00000004-7480-497A-BE5A-9091859388A4}"/>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21987.734923211799</c:v>
              </c:pt>
              <c:pt idx="1">
                <c:v>25009.178769802798</c:v>
              </c:pt>
              <c:pt idx="2">
                <c:v>28000.707330784</c:v>
              </c:pt>
              <c:pt idx="3">
                <c:v>30962.320606155401</c:v>
              </c:pt>
              <c:pt idx="4">
                <c:v>33894.018595916998</c:v>
              </c:pt>
              <c:pt idx="5">
                <c:v>52587.332691348303</c:v>
              </c:pt>
              <c:pt idx="6">
                <c:v>78318.217726487797</c:v>
              </c:pt>
              <c:pt idx="7">
                <c:v>97772.127958548605</c:v>
              </c:pt>
            </c:numLit>
          </c:yVal>
          <c:smooth val="1"/>
          <c:extLst>
            <c:ext xmlns:c16="http://schemas.microsoft.com/office/drawing/2014/chart" uri="{C3380CC4-5D6E-409C-BE32-E72D297353CC}">
              <c16:uniqueId val="{00000005-7480-497A-BE5A-9091859388A4}"/>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20147.4196140489</c:v>
              </c:pt>
              <c:pt idx="1">
                <c:v>22915.976595027099</c:v>
              </c:pt>
              <c:pt idx="2">
                <c:v>25657.122120748001</c:v>
              </c:pt>
              <c:pt idx="3">
                <c:v>28370.8561912117</c:v>
              </c:pt>
              <c:pt idx="4">
                <c:v>31057.1788064182</c:v>
              </c:pt>
              <c:pt idx="5">
                <c:v>48185.911910267001</c:v>
              </c:pt>
              <c:pt idx="6">
                <c:v>71763.189863374195</c:v>
              </c:pt>
              <c:pt idx="7">
                <c:v>89588.859217137506</c:v>
              </c:pt>
            </c:numLit>
          </c:yVal>
          <c:smooth val="1"/>
          <c:extLst>
            <c:ext xmlns:c16="http://schemas.microsoft.com/office/drawing/2014/chart" uri="{C3380CC4-5D6E-409C-BE32-E72D297353CC}">
              <c16:uniqueId val="{00000006-7480-497A-BE5A-9091859388A4}"/>
            </c:ext>
          </c:extLst>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242355664"/>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157317.07317073201</c:v>
              </c:pt>
              <c:pt idx="1">
                <c:v>168628.67098058699</c:v>
              </c:pt>
              <c:pt idx="2">
                <c:v>179828.27277252401</c:v>
              </c:pt>
              <c:pt idx="3">
                <c:v>190915.878546541</c:v>
              </c:pt>
              <c:pt idx="4">
                <c:v>201891.488302638</c:v>
              </c:pt>
              <c:pt idx="5">
                <c:v>262500</c:v>
              </c:pt>
              <c:pt idx="6">
                <c:v>346881.533101045</c:v>
              </c:pt>
              <c:pt idx="7">
                <c:v>409207.31707317103</c:v>
              </c:pt>
            </c:numLit>
          </c:yVal>
          <c:smooth val="1"/>
          <c:extLst>
            <c:ext xmlns:c16="http://schemas.microsoft.com/office/drawing/2014/chart" uri="{C3380CC4-5D6E-409C-BE32-E72D297353CC}">
              <c16:uniqueId val="{00000000-9CF3-4876-BE65-3867FEA7B546}"/>
            </c:ext>
          </c:extLst>
        </c:ser>
        <c:ser>
          <c:idx val="2"/>
          <c:order val="1"/>
          <c:tx>
            <c:strRef>
              <c:f>2025</c:f>
              <c:strCache>
                <c:ptCount val="1"/>
                <c:pt idx="0">
                  <c:v>2025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100926.829268293</c:v>
              </c:pt>
              <c:pt idx="1">
                <c:v>109573.917371827</c:v>
              </c:pt>
              <c:pt idx="2">
                <c:v>118135.390741663</c:v>
              </c:pt>
              <c:pt idx="3">
                <c:v>126611.24937780001</c:v>
              </c:pt>
              <c:pt idx="4">
                <c:v>135001.493280239</c:v>
              </c:pt>
              <c:pt idx="5">
                <c:v>187066.66666666701</c:v>
              </c:pt>
              <c:pt idx="6">
                <c:v>272327.52613240399</c:v>
              </c:pt>
              <c:pt idx="7">
                <c:v>342146.34146341501</c:v>
              </c:pt>
            </c:numLit>
          </c:yVal>
          <c:smooth val="1"/>
          <c:extLst>
            <c:ext xmlns:c16="http://schemas.microsoft.com/office/drawing/2014/chart" uri="{C3380CC4-5D6E-409C-BE32-E72D297353CC}">
              <c16:uniqueId val="{00000001-9CF3-4876-BE65-3867FEA7B546}"/>
            </c:ext>
          </c:extLst>
        </c:ser>
        <c:ser>
          <c:idx val="3"/>
          <c:order val="2"/>
          <c:tx>
            <c:strRef>
              <c:f>2030</c:f>
              <c:strCache>
                <c:ptCount val="1"/>
                <c:pt idx="0">
                  <c:v>2030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64156.447949655601</c:v>
              </c:pt>
              <c:pt idx="1">
                <c:v>72972.504062465407</c:v>
              </c:pt>
              <c:pt idx="2">
                <c:v>81701.272490989999</c:v>
              </c:pt>
              <c:pt idx="3">
                <c:v>90342.753235229306</c:v>
              </c:pt>
              <c:pt idx="4">
                <c:v>98896.946295183297</c:v>
              </c:pt>
              <c:pt idx="5">
                <c:v>150518.15538410901</c:v>
              </c:pt>
              <c:pt idx="6">
                <c:v>224364.26368679499</c:v>
              </c:pt>
              <c:pt idx="7">
                <c:v>285282.33854946803</c:v>
              </c:pt>
            </c:numLit>
          </c:yVal>
          <c:smooth val="1"/>
          <c:extLst>
            <c:ext xmlns:c16="http://schemas.microsoft.com/office/drawing/2014/chart" uri="{C3380CC4-5D6E-409C-BE32-E72D297353CC}">
              <c16:uniqueId val="{00000002-9CF3-4876-BE65-3867FEA7B546}"/>
            </c:ext>
          </c:extLst>
        </c:ser>
        <c:ser>
          <c:idx val="4"/>
          <c:order val="3"/>
          <c:tx>
            <c:strRef>
              <c:f>2035</c:f>
              <c:strCache>
                <c:ptCount val="1"/>
                <c:pt idx="0">
                  <c:v>2035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41746.5307537033</c:v>
              </c:pt>
              <c:pt idx="1">
                <c:v>47483.128857273397</c:v>
              </c:pt>
              <c:pt idx="2">
                <c:v>53162.928959818099</c:v>
              </c:pt>
              <c:pt idx="3">
                <c:v>58785.931061337302</c:v>
              </c:pt>
              <c:pt idx="4">
                <c:v>64352.135161831102</c:v>
              </c:pt>
              <c:pt idx="5">
                <c:v>100794.679253108</c:v>
              </c:pt>
              <c:pt idx="6">
                <c:v>158159.713655459</c:v>
              </c:pt>
              <c:pt idx="7">
                <c:v>209845.89458861499</c:v>
              </c:pt>
            </c:numLit>
          </c:yVal>
          <c:smooth val="1"/>
          <c:extLst>
            <c:ext xmlns:c16="http://schemas.microsoft.com/office/drawing/2014/chart" uri="{C3380CC4-5D6E-409C-BE32-E72D297353CC}">
              <c16:uniqueId val="{00000003-9CF3-4876-BE65-3867FEA7B546}"/>
            </c:ext>
          </c:extLst>
        </c:ser>
        <c:ser>
          <c:idx val="5"/>
          <c:order val="4"/>
          <c:tx>
            <c:strRef>
              <c:f>2040</c:f>
              <c:strCache>
                <c:ptCount val="1"/>
                <c:pt idx="0">
                  <c:v>2040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32169.171708985901</c:v>
              </c:pt>
              <c:pt idx="1">
                <c:v>36589.697345186702</c:v>
              </c:pt>
              <c:pt idx="2">
                <c:v>40966.455400831001</c:v>
              </c:pt>
              <c:pt idx="3">
                <c:v>45299.4458759189</c:v>
              </c:pt>
              <c:pt idx="4">
                <c:v>49588.6687704504</c:v>
              </c:pt>
              <c:pt idx="5">
                <c:v>76937.935670658</c:v>
              </c:pt>
              <c:pt idx="6">
                <c:v>116666.862731256</c:v>
              </c:pt>
              <c:pt idx="7">
                <c:v>149264.956729695</c:v>
              </c:pt>
            </c:numLit>
          </c:yVal>
          <c:smooth val="1"/>
          <c:extLst>
            <c:ext xmlns:c16="http://schemas.microsoft.com/office/drawing/2014/chart" uri="{C3380CC4-5D6E-409C-BE32-E72D297353CC}">
              <c16:uniqueId val="{00000004-9CF3-4876-BE65-3867FEA7B546}"/>
            </c:ext>
          </c:extLst>
        </c:ser>
        <c:ser>
          <c:idx val="6"/>
          <c:order val="5"/>
          <c:tx>
            <c:strRef>
              <c:f>2045</c:f>
              <c:strCache>
                <c:ptCount val="1"/>
                <c:pt idx="0">
                  <c:v>2045</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27484.6686540148</c:v>
              </c:pt>
              <c:pt idx="1">
                <c:v>31261.473462253602</c:v>
              </c:pt>
              <c:pt idx="2">
                <c:v>35000.884163479997</c:v>
              </c:pt>
              <c:pt idx="3">
                <c:v>38702.900757694297</c:v>
              </c:pt>
              <c:pt idx="4">
                <c:v>42367.523244896198</c:v>
              </c:pt>
              <c:pt idx="5">
                <c:v>65734.165864185401</c:v>
              </c:pt>
              <c:pt idx="6">
                <c:v>97897.772158109801</c:v>
              </c:pt>
              <c:pt idx="7">
                <c:v>122215.159948186</c:v>
              </c:pt>
            </c:numLit>
          </c:yVal>
          <c:smooth val="1"/>
          <c:extLst>
            <c:ext xmlns:c16="http://schemas.microsoft.com/office/drawing/2014/chart" uri="{C3380CC4-5D6E-409C-BE32-E72D297353CC}">
              <c16:uniqueId val="{00000005-9CF3-4876-BE65-3867FEA7B546}"/>
            </c:ext>
          </c:extLst>
        </c:ser>
        <c:ser>
          <c:idx val="7"/>
          <c:order val="6"/>
          <c:tx>
            <c:strRef>
              <c:f>2050</c:f>
              <c:strCache>
                <c:ptCount val="1"/>
                <c:pt idx="0">
                  <c:v>2050</c:v>
                </c:pt>
              </c:strCache>
            </c:strRef>
          </c:tx>
          <c:marker>
            <c:symbol val="none"/>
          </c:marker>
          <c:xVal>
            <c:numLit>
              <c:formatCode>General</c:formatCode>
              <c:ptCount val="8"/>
              <c:pt idx="0">
                <c:v>150</c:v>
              </c:pt>
              <c:pt idx="1">
                <c:v>171.42857142857099</c:v>
              </c:pt>
              <c:pt idx="2">
                <c:v>192.857142857143</c:v>
              </c:pt>
              <c:pt idx="3">
                <c:v>214.28571428571399</c:v>
              </c:pt>
              <c:pt idx="4">
                <c:v>235.71428571428601</c:v>
              </c:pt>
              <c:pt idx="5">
                <c:v>350</c:v>
              </c:pt>
              <c:pt idx="6">
                <c:v>500</c:v>
              </c:pt>
              <c:pt idx="7">
                <c:v>600</c:v>
              </c:pt>
            </c:numLit>
          </c:xVal>
          <c:yVal>
            <c:numLit>
              <c:formatCode>General</c:formatCode>
              <c:ptCount val="8"/>
              <c:pt idx="0">
                <c:v>25184.274517561102</c:v>
              </c:pt>
              <c:pt idx="1">
                <c:v>28644.970743783801</c:v>
              </c:pt>
              <c:pt idx="2">
                <c:v>32071.402650935001</c:v>
              </c:pt>
              <c:pt idx="3">
                <c:v>35463.570239014698</c:v>
              </c:pt>
              <c:pt idx="4">
                <c:v>38821.473508022798</c:v>
              </c:pt>
              <c:pt idx="5">
                <c:v>60232.389887833699</c:v>
              </c:pt>
              <c:pt idx="6">
                <c:v>89703.987329217794</c:v>
              </c:pt>
              <c:pt idx="7">
                <c:v>111986.074021422</c:v>
              </c:pt>
            </c:numLit>
          </c:yVal>
          <c:smooth val="1"/>
          <c:extLst>
            <c:ext xmlns:c16="http://schemas.microsoft.com/office/drawing/2014/chart" uri="{C3380CC4-5D6E-409C-BE32-E72D297353CC}">
              <c16:uniqueId val="{00000006-9CF3-4876-BE65-3867FEA7B546}"/>
            </c:ext>
          </c:extLst>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01"/>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799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1.98310231383485</c:v>
              </c:pt>
              <c:pt idx="2">
                <c:v>16.5790198525014</c:v>
              </c:pt>
              <c:pt idx="3">
                <c:v>18.2731266236616</c:v>
              </c:pt>
              <c:pt idx="4">
                <c:v>27.329518623891399</c:v>
              </c:pt>
              <c:pt idx="5">
                <c:v>64.7906780206973</c:v>
              </c:pt>
              <c:pt idx="6">
                <c:v>140.16710355020101</c:v>
              </c:pt>
              <c:pt idx="7">
                <c:v>217.771826876121</c:v>
              </c:pt>
            </c:numLit>
          </c:yVal>
          <c:smooth val="0"/>
          <c:extLst>
            <c:ext xmlns:c16="http://schemas.microsoft.com/office/drawing/2014/chart" uri="{C3380CC4-5D6E-409C-BE32-E72D297353CC}">
              <c16:uniqueId val="{00000000-C646-4050-9127-7E06BE32025A}"/>
            </c:ext>
          </c:extLst>
        </c:ser>
        <c:ser>
          <c:idx val="2"/>
          <c:order val="1"/>
          <c:tx>
            <c:strRef>
              <c:f>2025</c:f>
              <c:strCache>
                <c:ptCount val="1"/>
                <c:pt idx="0">
                  <c:v>2025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8.0506183198481303</c:v>
              </c:pt>
              <c:pt idx="3">
                <c:v>10.903765404455701</c:v>
              </c:pt>
              <c:pt idx="4">
                <c:v>16.566907811973401</c:v>
              </c:pt>
              <c:pt idx="5">
                <c:v>36.782816926346598</c:v>
              </c:pt>
              <c:pt idx="6">
                <c:v>74.952372384601702</c:v>
              </c:pt>
              <c:pt idx="7">
                <c:v>112.844177205352</c:v>
              </c:pt>
            </c:numLit>
          </c:yVal>
          <c:smooth val="0"/>
          <c:extLst>
            <c:ext xmlns:c16="http://schemas.microsoft.com/office/drawing/2014/chart" uri="{C3380CC4-5D6E-409C-BE32-E72D297353CC}">
              <c16:uniqueId val="{00000001-C646-4050-9127-7E06BE32025A}"/>
            </c:ext>
          </c:extLst>
        </c:ser>
        <c:ser>
          <c:idx val="3"/>
          <c:order val="2"/>
          <c:tx>
            <c:strRef>
              <c:f>2030</c:f>
              <c:strCache>
                <c:ptCount val="1"/>
                <c:pt idx="0">
                  <c:v>2030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21.2944195293517</c:v>
              </c:pt>
              <c:pt idx="6">
                <c:v>35.886993289505199</c:v>
              </c:pt>
              <c:pt idx="7">
                <c:v>58.752942970999499</c:v>
              </c:pt>
            </c:numLit>
          </c:yVal>
          <c:smooth val="0"/>
          <c:extLst>
            <c:ext xmlns:c16="http://schemas.microsoft.com/office/drawing/2014/chart" uri="{C3380CC4-5D6E-409C-BE32-E72D297353CC}">
              <c16:uniqueId val="{00000002-C646-4050-9127-7E06BE32025A}"/>
            </c:ext>
          </c:extLst>
        </c:ser>
        <c:ser>
          <c:idx val="4"/>
          <c:order val="3"/>
          <c:tx>
            <c:strRef>
              <c:f>2035</c:f>
              <c:strCache>
                <c:ptCount val="1"/>
                <c:pt idx="0">
                  <c:v>2035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25.645907307678101</c:v>
              </c:pt>
              <c:pt idx="7">
                <c:v>32.293787355171901</c:v>
              </c:pt>
            </c:numLit>
          </c:yVal>
          <c:smooth val="0"/>
          <c:extLst>
            <c:ext xmlns:c16="http://schemas.microsoft.com/office/drawing/2014/chart" uri="{C3380CC4-5D6E-409C-BE32-E72D297353CC}">
              <c16:uniqueId val="{00000003-C646-4050-9127-7E06BE32025A}"/>
            </c:ext>
          </c:extLst>
        </c:ser>
        <c:ser>
          <c:idx val="5"/>
          <c:order val="4"/>
          <c:tx>
            <c:strRef>
              <c:f>2040</c:f>
              <c:strCache>
                <c:ptCount val="1"/>
                <c:pt idx="0">
                  <c:v>2040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4-C646-4050-9127-7E06BE32025A}"/>
            </c:ext>
          </c:extLst>
        </c:ser>
        <c:ser>
          <c:idx val="6"/>
          <c:order val="5"/>
          <c:tx>
            <c:strRef>
              <c:f>2045</c:f>
              <c:strCache>
                <c:ptCount val="1"/>
                <c:pt idx="0">
                  <c:v>2045</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5-C646-4050-9127-7E06BE32025A}"/>
            </c:ext>
          </c:extLst>
        </c:ser>
        <c:ser>
          <c:idx val="7"/>
          <c:order val="6"/>
          <c:tx>
            <c:strRef>
              <c:f>2050</c:f>
              <c:strCache>
                <c:ptCount val="1"/>
                <c:pt idx="0">
                  <c:v>2050</c:v>
                </c:pt>
              </c:strCache>
            </c:strRef>
          </c:tx>
          <c:marker>
            <c:symbol val="none"/>
          </c:marker>
          <c:xVal>
            <c:numLit>
              <c:formatCode>General</c:formatCode>
              <c:ptCount val="8"/>
              <c:pt idx="0">
                <c:v>0</c:v>
              </c:pt>
              <c:pt idx="1">
                <c:v>2.4494588972306199E-2</c:v>
              </c:pt>
              <c:pt idx="2">
                <c:v>9.4494588972306198E-2</c:v>
              </c:pt>
              <c:pt idx="3">
                <c:v>0.16449458897230601</c:v>
              </c:pt>
              <c:pt idx="4">
                <c:v>0.22449458897230601</c:v>
              </c:pt>
              <c:pt idx="5">
                <c:v>0.274494588972306</c:v>
              </c:pt>
              <c:pt idx="6">
                <c:v>0.32449458897230599</c:v>
              </c:pt>
              <c:pt idx="7">
                <c:v>0.39449458897230599</c:v>
              </c:pt>
            </c:numLit>
          </c:xVal>
          <c:yVal>
            <c:numLit>
              <c:formatCode>General</c:formatCode>
              <c:ptCount val="8"/>
              <c:pt idx="0">
                <c:v>-3.2900540835397698</c:v>
              </c:pt>
              <c:pt idx="1">
                <c:v>1.4519038951491701</c:v>
              </c:pt>
              <c:pt idx="2">
                <c:v>5.6011171265019897</c:v>
              </c:pt>
              <c:pt idx="3">
                <c:v>9.7503303578548195</c:v>
              </c:pt>
              <c:pt idx="4">
                <c:v>15.604456068226501</c:v>
              </c:pt>
              <c:pt idx="5">
                <c:v>20.4828941602028</c:v>
              </c:pt>
              <c:pt idx="6">
                <c:v>25.361332252179199</c:v>
              </c:pt>
              <c:pt idx="7">
                <c:v>32.191145580946099</c:v>
              </c:pt>
            </c:numLit>
          </c:yVal>
          <c:smooth val="1"/>
          <c:extLst>
            <c:ext xmlns:c16="http://schemas.microsoft.com/office/drawing/2014/chart" uri="{C3380CC4-5D6E-409C-BE32-E72D297353CC}">
              <c16:uniqueId val="{00000006-C646-4050-9127-7E06BE32025A}"/>
            </c:ext>
          </c:extLst>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097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37.782975945297302</c:v>
              </c:pt>
              <c:pt idx="1">
                <c:v>43.056132342672001</c:v>
              </c:pt>
              <c:pt idx="2">
                <c:v>52.294332537250497</c:v>
              </c:pt>
              <c:pt idx="3">
                <c:v>56.2887384557011</c:v>
              </c:pt>
              <c:pt idx="4">
                <c:v>96.239725850442298</c:v>
              </c:pt>
              <c:pt idx="5">
                <c:v>134.37210458434399</c:v>
              </c:pt>
              <c:pt idx="6">
                <c:v>192.223646609349</c:v>
              </c:pt>
              <c:pt idx="7">
                <c:v>310.33266361173997</c:v>
              </c:pt>
            </c:numLit>
          </c:yVal>
          <c:smooth val="0"/>
          <c:extLst>
            <c:ext xmlns:c16="http://schemas.microsoft.com/office/drawing/2014/chart" uri="{C3380CC4-5D6E-409C-BE32-E72D297353CC}">
              <c16:uniqueId val="{00000000-1F08-4507-9CA7-F830C6991C5D}"/>
            </c:ext>
          </c:extLst>
        </c:ser>
        <c:ser>
          <c:idx val="2"/>
          <c:order val="1"/>
          <c:tx>
            <c:strRef>
              <c:f>2025</c:f>
              <c:strCache>
                <c:ptCount val="1"/>
                <c:pt idx="0">
                  <c:v>2025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26.012422266076701</c:v>
              </c:pt>
              <c:pt idx="1">
                <c:v>30.754380244765699</c:v>
              </c:pt>
              <c:pt idx="2">
                <c:v>37.353094669464603</c:v>
              </c:pt>
              <c:pt idx="3">
                <c:v>40.206241754072202</c:v>
              </c:pt>
              <c:pt idx="4">
                <c:v>68.742661321744507</c:v>
              </c:pt>
              <c:pt idx="5">
                <c:v>95.980074703102602</c:v>
              </c:pt>
              <c:pt idx="6">
                <c:v>137.30260472096401</c:v>
              </c:pt>
              <c:pt idx="7">
                <c:v>221.66618829410001</c:v>
              </c:pt>
            </c:numLit>
          </c:yVal>
          <c:smooth val="0"/>
          <c:extLst>
            <c:ext xmlns:c16="http://schemas.microsoft.com/office/drawing/2014/chart" uri="{C3380CC4-5D6E-409C-BE32-E72D297353CC}">
              <c16:uniqueId val="{00000001-1F08-4507-9CA7-F830C6991C5D}"/>
            </c:ext>
          </c:extLst>
        </c:ser>
        <c:ser>
          <c:idx val="3"/>
          <c:order val="2"/>
          <c:tx>
            <c:strRef>
              <c:f>2030</c:f>
              <c:strCache>
                <c:ptCount val="1"/>
                <c:pt idx="0">
                  <c:v>2030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11.9368865430569</c:v>
              </c:pt>
              <c:pt idx="1">
                <c:v>16.678844521745901</c:v>
              </c:pt>
              <c:pt idx="2">
                <c:v>20.828057753098701</c:v>
              </c:pt>
              <c:pt idx="3">
                <c:v>24.977270984451501</c:v>
              </c:pt>
              <c:pt idx="4">
                <c:v>32.054755055821197</c:v>
              </c:pt>
              <c:pt idx="5">
                <c:v>37.744718516946499</c:v>
              </c:pt>
              <c:pt idx="6">
                <c:v>52.337292277099898</c:v>
              </c:pt>
              <c:pt idx="7">
                <c:v>73.969699208264302</c:v>
              </c:pt>
            </c:numLit>
          </c:yVal>
          <c:smooth val="0"/>
          <c:extLst>
            <c:ext xmlns:c16="http://schemas.microsoft.com/office/drawing/2014/chart" uri="{C3380CC4-5D6E-409C-BE32-E72D297353CC}">
              <c16:uniqueId val="{00000002-1F08-4507-9CA7-F830C6991C5D}"/>
            </c:ext>
          </c:extLst>
        </c:ser>
        <c:ser>
          <c:idx val="4"/>
          <c:order val="3"/>
          <c:tx>
            <c:strRef>
              <c:f>2035</c:f>
              <c:strCache>
                <c:ptCount val="1"/>
                <c:pt idx="0">
                  <c:v>2035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42.0962062952728</c:v>
              </c:pt>
              <c:pt idx="7">
                <c:v>50.822171966279399</c:v>
              </c:pt>
            </c:numLit>
          </c:yVal>
          <c:smooth val="1"/>
          <c:extLst>
            <c:ext xmlns:c16="http://schemas.microsoft.com/office/drawing/2014/chart" uri="{C3380CC4-5D6E-409C-BE32-E72D297353CC}">
              <c16:uniqueId val="{00000003-1F08-4507-9CA7-F830C6991C5D}"/>
            </c:ext>
          </c:extLst>
        </c:ser>
        <c:ser>
          <c:idx val="5"/>
          <c:order val="4"/>
          <c:tx>
            <c:strRef>
              <c:f>2040</c:f>
              <c:strCache>
                <c:ptCount val="1"/>
                <c:pt idx="0">
                  <c:v>2040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4-1F08-4507-9CA7-F830C6991C5D}"/>
            </c:ext>
          </c:extLst>
        </c:ser>
        <c:ser>
          <c:idx val="6"/>
          <c:order val="5"/>
          <c:tx>
            <c:strRef>
              <c:f>2045</c:f>
              <c:strCache>
                <c:ptCount val="1"/>
                <c:pt idx="0">
                  <c:v>2045</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5-1F08-4507-9CA7-F830C6991C5D}"/>
            </c:ext>
          </c:extLst>
        </c:ser>
        <c:ser>
          <c:idx val="7"/>
          <c:order val="6"/>
          <c:tx>
            <c:strRef>
              <c:f>2050</c:f>
              <c:strCache>
                <c:ptCount val="1"/>
                <c:pt idx="0">
                  <c:v>2050</c:v>
                </c:pt>
              </c:strCache>
            </c:strRef>
          </c:tx>
          <c:marker>
            <c:symbol val="none"/>
          </c:marker>
          <c:xVal>
            <c:numLit>
              <c:formatCode>General</c:formatCode>
              <c:ptCount val="8"/>
              <c:pt idx="0">
                <c:v>0.13919999999999999</c:v>
              </c:pt>
              <c:pt idx="1">
                <c:v>0.22919999999999999</c:v>
              </c:pt>
              <c:pt idx="2">
                <c:v>0.29920000000000002</c:v>
              </c:pt>
              <c:pt idx="3">
                <c:v>0.34920000000000001</c:v>
              </c:pt>
              <c:pt idx="4">
                <c:v>0.3992</c:v>
              </c:pt>
              <c:pt idx="5">
                <c:v>0.44919999999999999</c:v>
              </c:pt>
              <c:pt idx="6">
                <c:v>0.49919999999999998</c:v>
              </c:pt>
              <c:pt idx="7">
                <c:v>0.55320000000000003</c:v>
              </c:pt>
            </c:numLit>
          </c:xVal>
          <c:yVal>
            <c:numLit>
              <c:formatCode>General</c:formatCode>
              <c:ptCount val="8"/>
              <c:pt idx="0">
                <c:v>9.7613850836987694</c:v>
              </c:pt>
              <c:pt idx="1">
                <c:v>14.5033430623877</c:v>
              </c:pt>
              <c:pt idx="2">
                <c:v>18.652556293740499</c:v>
              </c:pt>
              <c:pt idx="3">
                <c:v>22.801769525093398</c:v>
              </c:pt>
              <c:pt idx="4">
                <c:v>32.054755055821197</c:v>
              </c:pt>
              <c:pt idx="5">
                <c:v>36.933193147797603</c:v>
              </c:pt>
              <c:pt idx="6">
                <c:v>41.811631239774002</c:v>
              </c:pt>
              <c:pt idx="7">
                <c:v>50.822171966279399</c:v>
              </c:pt>
            </c:numLit>
          </c:yVal>
          <c:smooth val="1"/>
          <c:extLst>
            <c:ext xmlns:c16="http://schemas.microsoft.com/office/drawing/2014/chart" uri="{C3380CC4-5D6E-409C-BE32-E72D297353CC}">
              <c16:uniqueId val="{00000006-1F08-4507-9CA7-F830C6991C5D}"/>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106.28546375705599</c:v>
              </c:pt>
              <c:pt idx="1">
                <c:v>117.354962493174</c:v>
              </c:pt>
              <c:pt idx="2">
                <c:v>145.28249200108399</c:v>
              </c:pt>
              <c:pt idx="3">
                <c:v>268.22896657500797</c:v>
              </c:pt>
            </c:numLit>
          </c:yVal>
          <c:smooth val="0"/>
          <c:extLst>
            <c:ext xmlns:c16="http://schemas.microsoft.com/office/drawing/2014/chart" uri="{C3380CC4-5D6E-409C-BE32-E72D297353CC}">
              <c16:uniqueId val="{00000000-E1A6-4F22-B3D4-E096E6192B42}"/>
            </c:ext>
          </c:extLst>
        </c:ser>
        <c:ser>
          <c:idx val="3"/>
          <c:order val="1"/>
          <c:tx>
            <c:strRef>
              <c:f>2030</c:f>
              <c:strCache>
                <c:ptCount val="1"/>
                <c:pt idx="0">
                  <c:v>2030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82.123757247892897</c:v>
              </c:pt>
              <c:pt idx="1">
                <c:v>93.632855752970997</c:v>
              </c:pt>
              <c:pt idx="2">
                <c:v>116.925103617326</c:v>
              </c:pt>
              <c:pt idx="3">
                <c:v>197.81346858593699</c:v>
              </c:pt>
            </c:numLit>
          </c:yVal>
          <c:smooth val="0"/>
          <c:extLst>
            <c:ext xmlns:c16="http://schemas.microsoft.com/office/drawing/2014/chart" uri="{C3380CC4-5D6E-409C-BE32-E72D297353CC}">
              <c16:uniqueId val="{00000001-E1A6-4F22-B3D4-E096E6192B42}"/>
            </c:ext>
          </c:extLst>
        </c:ser>
        <c:ser>
          <c:idx val="4"/>
          <c:order val="2"/>
          <c:tx>
            <c:strRef>
              <c:f>2035</c:f>
              <c:strCache>
                <c:ptCount val="1"/>
                <c:pt idx="0">
                  <c:v>2035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58.793726553257898</c:v>
              </c:pt>
              <c:pt idx="1">
                <c:v>71.114145477592103</c:v>
              </c:pt>
              <c:pt idx="2">
                <c:v>90.438985816256405</c:v>
              </c:pt>
              <c:pt idx="3">
                <c:v>147.728597337932</c:v>
              </c:pt>
            </c:numLit>
          </c:yVal>
          <c:smooth val="0"/>
          <c:extLst>
            <c:ext xmlns:c16="http://schemas.microsoft.com/office/drawing/2014/chart" uri="{C3380CC4-5D6E-409C-BE32-E72D297353CC}">
              <c16:uniqueId val="{00000002-E1A6-4F22-B3D4-E096E6192B42}"/>
            </c:ext>
          </c:extLst>
        </c:ser>
        <c:ser>
          <c:idx val="5"/>
          <c:order val="3"/>
          <c:tx>
            <c:strRef>
              <c:f>2040</c:f>
              <c:strCache>
                <c:ptCount val="1"/>
                <c:pt idx="0">
                  <c:v>2040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50.783070794003102</c:v>
              </c:pt>
              <c:pt idx="1">
                <c:v>61.164126172312898</c:v>
              </c:pt>
              <c:pt idx="2">
                <c:v>78.261408463611204</c:v>
              </c:pt>
              <c:pt idx="3">
                <c:v>128.93982531985199</c:v>
              </c:pt>
            </c:numLit>
          </c:yVal>
          <c:smooth val="0"/>
          <c:extLst>
            <c:ext xmlns:c16="http://schemas.microsoft.com/office/drawing/2014/chart" uri="{C3380CC4-5D6E-409C-BE32-E72D297353CC}">
              <c16:uniqueId val="{00000003-E1A6-4F22-B3D4-E096E6192B42}"/>
            </c:ext>
          </c:extLst>
        </c:ser>
        <c:ser>
          <c:idx val="6"/>
          <c:order val="4"/>
          <c:tx>
            <c:strRef>
              <c:f>2045</c:f>
              <c:strCache>
                <c:ptCount val="1"/>
                <c:pt idx="0">
                  <c:v>2045</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47.557385474044899</c:v>
              </c:pt>
              <c:pt idx="1">
                <c:v>57.739817191984997</c:v>
              </c:pt>
              <c:pt idx="2">
                <c:v>73.055342049084103</c:v>
              </c:pt>
              <c:pt idx="3">
                <c:v>119.847483876193</c:v>
              </c:pt>
            </c:numLit>
          </c:yVal>
          <c:smooth val="1"/>
          <c:extLst>
            <c:ext xmlns:c16="http://schemas.microsoft.com/office/drawing/2014/chart" uri="{C3380CC4-5D6E-409C-BE32-E72D297353CC}">
              <c16:uniqueId val="{00000004-E1A6-4F22-B3D4-E096E6192B42}"/>
            </c:ext>
          </c:extLst>
        </c:ser>
        <c:ser>
          <c:idx val="7"/>
          <c:order val="5"/>
          <c:tx>
            <c:strRef>
              <c:f>2050</c:f>
              <c:strCache>
                <c:ptCount val="1"/>
                <c:pt idx="0">
                  <c:v>2050</c:v>
                </c:pt>
              </c:strCache>
            </c:strRef>
          </c:tx>
          <c:marker>
            <c:symbol val="none"/>
          </c:marker>
          <c:xVal>
            <c:numLit>
              <c:formatCode>General</c:formatCode>
              <c:ptCount val="4"/>
              <c:pt idx="0">
                <c:v>350</c:v>
              </c:pt>
              <c:pt idx="1">
                <c:v>500</c:v>
              </c:pt>
              <c:pt idx="2">
                <c:v>700</c:v>
              </c:pt>
              <c:pt idx="3">
                <c:v>1100</c:v>
              </c:pt>
            </c:numLit>
          </c:xVal>
          <c:yVal>
            <c:numLit>
              <c:formatCode>General</c:formatCode>
              <c:ptCount val="4"/>
              <c:pt idx="0">
                <c:v>45.921028302989903</c:v>
              </c:pt>
              <c:pt idx="1">
                <c:v>53.077521681576897</c:v>
              </c:pt>
              <c:pt idx="2">
                <c:v>66.715447345219502</c:v>
              </c:pt>
              <c:pt idx="3">
                <c:v>111.43935116569099</c:v>
              </c:pt>
            </c:numLit>
          </c:yVal>
          <c:smooth val="1"/>
          <c:extLst>
            <c:ext xmlns:c16="http://schemas.microsoft.com/office/drawing/2014/chart" uri="{C3380CC4-5D6E-409C-BE32-E72D297353CC}">
              <c16:uniqueId val="{00000005-E1A6-4F22-B3D4-E096E6192B42}"/>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0.412040994171601</c:v>
              </c:pt>
              <c:pt idx="2">
                <c:v>1.0249056574447799</c:v>
              </c:pt>
              <c:pt idx="3">
                <c:v>1.4423198539978901</c:v>
              </c:pt>
              <c:pt idx="4">
                <c:v>1.73019213382329</c:v>
              </c:pt>
              <c:pt idx="5">
                <c:v>4.2222986473117796</c:v>
              </c:pt>
              <c:pt idx="6">
                <c:v>9.5639243388738304</c:v>
              </c:pt>
              <c:pt idx="7">
                <c:v>17.8292664493516</c:v>
              </c:pt>
            </c:numLit>
          </c:yVal>
          <c:smooth val="0"/>
          <c:extLst>
            <c:ext xmlns:c16="http://schemas.microsoft.com/office/drawing/2014/chart" uri="{C3380CC4-5D6E-409C-BE32-E72D297353CC}">
              <c16:uniqueId val="{00000000-87D2-4D05-9016-56F1FC41FC62}"/>
            </c:ext>
          </c:extLst>
        </c:ser>
        <c:ser>
          <c:idx val="2"/>
          <c:order val="1"/>
          <c:tx>
            <c:strRef>
              <c:f>2025</c:f>
              <c:strCache>
                <c:ptCount val="1"/>
                <c:pt idx="0">
                  <c:v>2025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0.68606900419775996</c:v>
              </c:pt>
              <c:pt idx="3">
                <c:v>0.94183396940905795</c:v>
              </c:pt>
              <c:pt idx="4">
                <c:v>1.2206735882875701</c:v>
              </c:pt>
              <c:pt idx="5">
                <c:v>2.6244002165203701</c:v>
              </c:pt>
              <c:pt idx="6">
                <c:v>5.3887367136120501</c:v>
              </c:pt>
              <c:pt idx="7">
                <c:v>9.5875440882214509</c:v>
              </c:pt>
            </c:numLit>
          </c:yVal>
          <c:smooth val="0"/>
          <c:extLst>
            <c:ext xmlns:c16="http://schemas.microsoft.com/office/drawing/2014/chart" uri="{C3380CC4-5D6E-409C-BE32-E72D297353CC}">
              <c16:uniqueId val="{00000001-87D2-4D05-9016-56F1FC41FC62}"/>
            </c:ext>
          </c:extLst>
        </c:ser>
        <c:ser>
          <c:idx val="3"/>
          <c:order val="2"/>
          <c:tx>
            <c:strRef>
              <c:f>2030</c:f>
              <c:strCache>
                <c:ptCount val="1"/>
                <c:pt idx="0">
                  <c:v>2030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1.7407595196188901</c:v>
              </c:pt>
              <c:pt idx="6">
                <c:v>3.20854106563745</c:v>
              </c:pt>
              <c:pt idx="7">
                <c:v>5.3388552428199203</c:v>
              </c:pt>
            </c:numLit>
          </c:yVal>
          <c:smooth val="0"/>
          <c:extLst>
            <c:ext xmlns:c16="http://schemas.microsoft.com/office/drawing/2014/chart" uri="{C3380CC4-5D6E-409C-BE32-E72D297353CC}">
              <c16:uniqueId val="{00000002-87D2-4D05-9016-56F1FC41FC62}"/>
            </c:ext>
          </c:extLst>
        </c:ser>
        <c:ser>
          <c:idx val="4"/>
          <c:order val="3"/>
          <c:tx>
            <c:strRef>
              <c:f>2035</c:f>
              <c:strCache>
                <c:ptCount val="1"/>
                <c:pt idx="0">
                  <c:v>2035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2.2320305652446701</c:v>
              </c:pt>
              <c:pt idx="7">
                <c:v>3.2605754454564599</c:v>
              </c:pt>
            </c:numLit>
          </c:yVal>
          <c:smooth val="0"/>
          <c:extLst>
            <c:ext xmlns:c16="http://schemas.microsoft.com/office/drawing/2014/chart" uri="{C3380CC4-5D6E-409C-BE32-E72D297353CC}">
              <c16:uniqueId val="{00000003-87D2-4D05-9016-56F1FC41FC62}"/>
            </c:ext>
          </c:extLst>
        </c:ser>
        <c:ser>
          <c:idx val="5"/>
          <c:order val="4"/>
          <c:tx>
            <c:strRef>
              <c:f>2040</c:f>
              <c:strCache>
                <c:ptCount val="1"/>
                <c:pt idx="0">
                  <c:v>2040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4-87D2-4D05-9016-56F1FC41FC62}"/>
            </c:ext>
          </c:extLst>
        </c:ser>
        <c:ser>
          <c:idx val="6"/>
          <c:order val="5"/>
          <c:tx>
            <c:strRef>
              <c:f>2045</c:f>
              <c:strCache>
                <c:ptCount val="1"/>
                <c:pt idx="0">
                  <c:v>2045</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5-87D2-4D05-9016-56F1FC41FC62}"/>
            </c:ext>
          </c:extLst>
        </c:ser>
        <c:ser>
          <c:idx val="7"/>
          <c:order val="6"/>
          <c:tx>
            <c:strRef>
              <c:f>2050</c:f>
              <c:strCache>
                <c:ptCount val="1"/>
                <c:pt idx="0">
                  <c:v>2050</c:v>
                </c:pt>
              </c:strCache>
            </c:strRef>
          </c:tx>
          <c:marker>
            <c:symbol val="none"/>
          </c:marker>
          <c:xVal>
            <c:numLit>
              <c:formatCode>General</c:formatCode>
              <c:ptCount val="8"/>
              <c:pt idx="0">
                <c:v>0.05</c:v>
              </c:pt>
              <c:pt idx="1">
                <c:v>0.1</c:v>
              </c:pt>
              <c:pt idx="2">
                <c:v>0.15</c:v>
              </c:pt>
              <c:pt idx="3">
                <c:v>0.22</c:v>
              </c:pt>
              <c:pt idx="4">
                <c:v>0.25</c:v>
              </c:pt>
              <c:pt idx="5">
                <c:v>0.3</c:v>
              </c:pt>
              <c:pt idx="6">
                <c:v>0.35</c:v>
              </c:pt>
              <c:pt idx="7">
                <c:v>0.45</c:v>
              </c:pt>
            </c:numLit>
          </c:xVal>
          <c:yVal>
            <c:numLit>
              <c:formatCode>General</c:formatCode>
              <c:ptCount val="8"/>
              <c:pt idx="0">
                <c:v>0.19624979511903001</c:v>
              </c:pt>
              <c:pt idx="1">
                <c:v>0.39249959023806003</c:v>
              </c:pt>
              <c:pt idx="2">
                <c:v>0.58874938535708998</c:v>
              </c:pt>
              <c:pt idx="3">
                <c:v>0.86349909852373197</c:v>
              </c:pt>
              <c:pt idx="4">
                <c:v>1.1751096427736001</c:v>
              </c:pt>
              <c:pt idx="5">
                <c:v>1.69446054985672</c:v>
              </c:pt>
              <c:pt idx="6">
                <c:v>2.2138114569398302</c:v>
              </c:pt>
              <c:pt idx="7">
                <c:v>3.25251327110607</c:v>
              </c:pt>
            </c:numLit>
          </c:yVal>
          <c:smooth val="1"/>
          <c:extLst>
            <c:ext xmlns:c16="http://schemas.microsoft.com/office/drawing/2014/chart" uri="{C3380CC4-5D6E-409C-BE32-E72D297353CC}">
              <c16:uniqueId val="{00000006-87D2-4D05-9016-56F1FC41FC62}"/>
            </c:ext>
          </c:extLst>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104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0.50908488911889505</c:v>
              </c:pt>
              <c:pt idx="2">
                <c:v>1.4069904865402001</c:v>
              </c:pt>
              <c:pt idx="3">
                <c:v>1.89001593667884</c:v>
              </c:pt>
              <c:pt idx="4">
                <c:v>3.1326333134292401</c:v>
              </c:pt>
              <c:pt idx="5">
                <c:v>7.0745636100306797</c:v>
              </c:pt>
              <c:pt idx="6">
                <c:v>15.339013769649</c:v>
              </c:pt>
              <c:pt idx="7">
                <c:v>23.363470755230399</c:v>
              </c:pt>
            </c:numLit>
          </c:yVal>
          <c:smooth val="0"/>
          <c:extLst>
            <c:ext xmlns:c16="http://schemas.microsoft.com/office/drawing/2014/chart" uri="{C3380CC4-5D6E-409C-BE32-E72D297353CC}">
              <c16:uniqueId val="{00000000-5D11-403F-BBC0-B7968DCCF3FA}"/>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0.94183552896268297</c:v>
              </c:pt>
              <c:pt idx="3">
                <c:v>1.2341792335136299</c:v>
              </c:pt>
              <c:pt idx="4">
                <c:v>2.2101145143013201</c:v>
              </c:pt>
              <c:pt idx="5">
                <c:v>4.3972461023742104</c:v>
              </c:pt>
              <c:pt idx="6">
                <c:v>9.6029741816261591</c:v>
              </c:pt>
              <c:pt idx="7">
                <c:v>12.563517773205399</c:v>
              </c:pt>
            </c:numLit>
          </c:yVal>
          <c:smooth val="0"/>
          <c:extLst>
            <c:ext xmlns:c16="http://schemas.microsoft.com/office/drawing/2014/chart" uri="{C3380CC4-5D6E-409C-BE32-E72D297353CC}">
              <c16:uniqueId val="{00000001-5D11-403F-BBC0-B7968DCCF3FA}"/>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2.9166847208098301</c:v>
              </c:pt>
              <c:pt idx="6">
                <c:v>5.1459896421652704</c:v>
              </c:pt>
              <c:pt idx="7">
                <c:v>6.9960359101912202</c:v>
              </c:pt>
            </c:numLit>
          </c:yVal>
          <c:smooth val="0"/>
          <c:extLst>
            <c:ext xmlns:c16="http://schemas.microsoft.com/office/drawing/2014/chart" uri="{C3380CC4-5D6E-409C-BE32-E72D297353CC}">
              <c16:uniqueId val="{00000002-5D11-403F-BBC0-B7968DCCF3FA}"/>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3.5798220857314802</c:v>
              </c:pt>
              <c:pt idx="7">
                <c:v>4.2726580637261398</c:v>
              </c:pt>
            </c:numLit>
          </c:yVal>
          <c:smooth val="1"/>
          <c:extLst>
            <c:ext xmlns:c16="http://schemas.microsoft.com/office/drawing/2014/chart" uri="{C3380CC4-5D6E-409C-BE32-E72D297353CC}">
              <c16:uniqueId val="{00000003-5D11-403F-BBC0-B7968DCCF3FA}"/>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4-5D11-403F-BBC0-B7968DCCF3FA}"/>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5-5D11-403F-BBC0-B7968DCCF3FA}"/>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0.28288230467637399</c:v>
              </c:pt>
              <c:pt idx="1">
                <c:v>0.48494109373092698</c:v>
              </c:pt>
              <c:pt idx="2">
                <c:v>0.80823515621821196</c:v>
              </c:pt>
              <c:pt idx="3">
                <c:v>1.1315292187054999</c:v>
              </c:pt>
              <c:pt idx="4">
                <c:v>2.1276178188083699</c:v>
              </c:pt>
              <c:pt idx="5">
                <c:v>2.8391096760247101</c:v>
              </c:pt>
              <c:pt idx="6">
                <c:v>3.5506015332410499</c:v>
              </c:pt>
              <c:pt idx="7">
                <c:v>4.2620933904573901</c:v>
              </c:pt>
            </c:numLit>
          </c:yVal>
          <c:smooth val="1"/>
          <c:extLst>
            <c:ext xmlns:c16="http://schemas.microsoft.com/office/drawing/2014/chart" uri="{C3380CC4-5D6E-409C-BE32-E72D297353CC}">
              <c16:uniqueId val="{00000006-5D11-403F-BBC0-B7968DCCF3FA}"/>
            </c:ext>
          </c:extLst>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8788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0.99160275716775803</c:v>
              </c:pt>
              <c:pt idx="2">
                <c:v>2.74055599681378</c:v>
              </c:pt>
              <c:pt idx="3">
                <c:v>3.6813998096573499</c:v>
              </c:pt>
              <c:pt idx="4">
                <c:v>6.1017875352150099</c:v>
              </c:pt>
              <c:pt idx="5">
                <c:v>13.779935196282601</c:v>
              </c:pt>
              <c:pt idx="6">
                <c:v>29.877548266151301</c:v>
              </c:pt>
              <c:pt idx="7">
                <c:v>45.507699232620404</c:v>
              </c:pt>
            </c:numLit>
          </c:yVal>
          <c:smooth val="0"/>
          <c:extLst>
            <c:ext xmlns:c16="http://schemas.microsoft.com/office/drawing/2014/chart" uri="{C3380CC4-5D6E-409C-BE32-E72D297353CC}">
              <c16:uniqueId val="{00000000-E7CF-4C71-86A4-D4A5D30EE10C}"/>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1.8345205824795801</c:v>
              </c:pt>
              <c:pt idx="3">
                <c:v>2.4039517906521199</c:v>
              </c:pt>
              <c:pt idx="4">
                <c:v>4.3048923526894001</c:v>
              </c:pt>
              <c:pt idx="5">
                <c:v>8.5650182361651108</c:v>
              </c:pt>
              <c:pt idx="6">
                <c:v>16.834328205641601</c:v>
              </c:pt>
              <c:pt idx="7">
                <c:v>24.471397855077601</c:v>
              </c:pt>
            </c:numLit>
          </c:yVal>
          <c:smooth val="0"/>
          <c:extLst>
            <c:ext xmlns:c16="http://schemas.microsoft.com/office/drawing/2014/chart" uri="{C3380CC4-5D6E-409C-BE32-E72D297353CC}">
              <c16:uniqueId val="{00000001-E7CF-4C71-86A4-D4A5D30EE10C}"/>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5.6811598080426</c:v>
              </c:pt>
              <c:pt idx="6">
                <c:v>10.0234315073847</c:v>
              </c:pt>
              <c:pt idx="7">
                <c:v>13.6269778303517</c:v>
              </c:pt>
            </c:numLit>
          </c:yVal>
          <c:smooth val="0"/>
          <c:extLst>
            <c:ext xmlns:c16="http://schemas.microsoft.com/office/drawing/2014/chart" uri="{C3380CC4-5D6E-409C-BE32-E72D297353CC}">
              <c16:uniqueId val="{00000002-E7CF-4C71-86A4-D4A5D30EE10C}"/>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6.9728281594159096</c:v>
              </c:pt>
              <c:pt idx="7">
                <c:v>8.3223438899526805</c:v>
              </c:pt>
            </c:numLit>
          </c:yVal>
          <c:smooth val="1"/>
          <c:extLst>
            <c:ext xmlns:c16="http://schemas.microsoft.com/office/drawing/2014/chart" uri="{C3380CC4-5D6E-409C-BE32-E72D297353CC}">
              <c16:uniqueId val="{00000003-E7CF-4C71-86A4-D4A5D30EE10C}"/>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4-E7CF-4C71-86A4-D4A5D30EE10C}"/>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5-E7CF-4C71-86A4-D4A5D30EE10C}"/>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0.55100215949554698</c:v>
              </c:pt>
              <c:pt idx="1">
                <c:v>0.94457513056379505</c:v>
              </c:pt>
              <c:pt idx="2">
                <c:v>1.57429188427299</c:v>
              </c:pt>
              <c:pt idx="3">
                <c:v>2.2040086379821902</c:v>
              </c:pt>
              <c:pt idx="4">
                <c:v>4.1442041208119598</c:v>
              </c:pt>
              <c:pt idx="5">
                <c:v>5.5300580371189403</c:v>
              </c:pt>
              <c:pt idx="6">
                <c:v>6.9159119534259199</c:v>
              </c:pt>
              <c:pt idx="7">
                <c:v>8.3017658697329004</c:v>
              </c:pt>
            </c:numLit>
          </c:yVal>
          <c:smooth val="1"/>
          <c:extLst>
            <c:ext xmlns:c16="http://schemas.microsoft.com/office/drawing/2014/chart" uri="{C3380CC4-5D6E-409C-BE32-E72D297353CC}">
              <c16:uniqueId val="{00000006-E7CF-4C71-86A4-D4A5D30EE10C}"/>
            </c:ext>
          </c:extLst>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49460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0.92389479877133296</c:v>
              </c:pt>
              <c:pt idx="2">
                <c:v>2.5534271792766701</c:v>
              </c:pt>
              <c:pt idx="3">
                <c:v>3.30752788918798</c:v>
              </c:pt>
              <c:pt idx="4">
                <c:v>4.0943611833345797</c:v>
              </c:pt>
              <c:pt idx="5">
                <c:v>9.3232992216485595</c:v>
              </c:pt>
              <c:pt idx="6">
                <c:v>18.9309961909739</c:v>
              </c:pt>
              <c:pt idx="7">
                <c:v>26.654343110871199</c:v>
              </c:pt>
            </c:numLit>
          </c:yVal>
          <c:smooth val="0"/>
          <c:extLst>
            <c:ext xmlns:c16="http://schemas.microsoft.com/office/drawing/2014/chart" uri="{C3380CC4-5D6E-409C-BE32-E72D297353CC}">
              <c16:uniqueId val="{00000000-79AC-4F3E-9243-D61288DA3B3F}"/>
            </c:ext>
          </c:extLst>
        </c:ser>
        <c:ser>
          <c:idx val="2"/>
          <c:order val="1"/>
          <c:tx>
            <c:strRef>
              <c:f>2025</c:f>
              <c:strCache>
                <c:ptCount val="1"/>
                <c:pt idx="0">
                  <c:v>2025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1.70925707108043</c:v>
              </c:pt>
              <c:pt idx="3">
                <c:v>2.1598136586488601</c:v>
              </c:pt>
              <c:pt idx="4">
                <c:v>2.88862633213011</c:v>
              </c:pt>
              <c:pt idx="5">
                <c:v>6.3744603576804098</c:v>
              </c:pt>
              <c:pt idx="6">
                <c:v>10.6665580555569</c:v>
              </c:pt>
              <c:pt idx="7">
                <c:v>14.3331578135315</c:v>
              </c:pt>
            </c:numLit>
          </c:yVal>
          <c:smooth val="0"/>
          <c:extLst>
            <c:ext xmlns:c16="http://schemas.microsoft.com/office/drawing/2014/chart" uri="{C3380CC4-5D6E-409C-BE32-E72D297353CC}">
              <c16:uniqueId val="{00000001-79AC-4F3E-9243-D61288DA3B3F}"/>
            </c:ext>
          </c:extLst>
        </c:ser>
        <c:ser>
          <c:idx val="3"/>
          <c:order val="2"/>
          <c:tx>
            <c:strRef>
              <c:f>2030</c:f>
              <c:strCache>
                <c:ptCount val="1"/>
                <c:pt idx="0">
                  <c:v>2030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3.8437882371662799</c:v>
              </c:pt>
              <c:pt idx="6">
                <c:v>6.35104132362033</c:v>
              </c:pt>
              <c:pt idx="7">
                <c:v>7.9814657470986896</c:v>
              </c:pt>
            </c:numLit>
          </c:yVal>
          <c:smooth val="0"/>
          <c:extLst>
            <c:ext xmlns:c16="http://schemas.microsoft.com/office/drawing/2014/chart" uri="{C3380CC4-5D6E-409C-BE32-E72D297353CC}">
              <c16:uniqueId val="{00000002-79AC-4F3E-9243-D61288DA3B3F}"/>
            </c:ext>
          </c:extLst>
        </c:ser>
        <c:ser>
          <c:idx val="4"/>
          <c:order val="3"/>
          <c:tx>
            <c:strRef>
              <c:f>2035</c:f>
              <c:strCache>
                <c:ptCount val="1"/>
                <c:pt idx="0">
                  <c:v>2035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4.4181196579561997</c:v>
              </c:pt>
              <c:pt idx="7">
                <c:v>4.8744852688675104</c:v>
              </c:pt>
            </c:numLit>
          </c:yVal>
          <c:smooth val="1"/>
          <c:extLst>
            <c:ext xmlns:c16="http://schemas.microsoft.com/office/drawing/2014/chart" uri="{C3380CC4-5D6E-409C-BE32-E72D297353CC}">
              <c16:uniqueId val="{00000003-79AC-4F3E-9243-D61288DA3B3F}"/>
            </c:ext>
          </c:extLst>
        </c:ser>
        <c:ser>
          <c:idx val="5"/>
          <c:order val="4"/>
          <c:tx>
            <c:strRef>
              <c:f>2040</c:f>
              <c:strCache>
                <c:ptCount val="1"/>
                <c:pt idx="0">
                  <c:v>2040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4-79AC-4F3E-9243-D61288DA3B3F}"/>
            </c:ext>
          </c:extLst>
        </c:ser>
        <c:ser>
          <c:idx val="6"/>
          <c:order val="5"/>
          <c:tx>
            <c:strRef>
              <c:f>2045</c:f>
              <c:strCache>
                <c:ptCount val="1"/>
                <c:pt idx="0">
                  <c:v>2045</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5-79AC-4F3E-9243-D61288DA3B3F}"/>
            </c:ext>
          </c:extLst>
        </c:ser>
        <c:ser>
          <c:idx val="7"/>
          <c:order val="6"/>
          <c:tx>
            <c:strRef>
              <c:f>2050</c:f>
              <c:strCache>
                <c:ptCount val="1"/>
                <c:pt idx="0">
                  <c:v>2050</c:v>
                </c:pt>
              </c:strCache>
            </c:strRef>
          </c:tx>
          <c:marker>
            <c:symbol val="none"/>
          </c:marker>
          <c:xVal>
            <c:numLit>
              <c:formatCode>General</c:formatCode>
              <c:ptCount val="8"/>
              <c:pt idx="0">
                <c:v>0.05</c:v>
              </c:pt>
              <c:pt idx="1">
                <c:v>0.12</c:v>
              </c:pt>
              <c:pt idx="2">
                <c:v>0.2</c:v>
              </c:pt>
              <c:pt idx="3">
                <c:v>0.27</c:v>
              </c:pt>
              <c:pt idx="4">
                <c:v>0.32</c:v>
              </c:pt>
              <c:pt idx="5">
                <c:v>0.38</c:v>
              </c:pt>
              <c:pt idx="6">
                <c:v>0.42</c:v>
              </c:pt>
              <c:pt idx="7">
                <c:v>0.45</c:v>
              </c:pt>
            </c:numLit>
          </c:xVal>
          <c:yVal>
            <c:numLit>
              <c:formatCode>General</c:formatCode>
              <c:ptCount val="8"/>
              <c:pt idx="0">
                <c:v>0.36669928383974598</c:v>
              </c:pt>
              <c:pt idx="1">
                <c:v>0.880078281215391</c:v>
              </c:pt>
              <c:pt idx="2">
                <c:v>1.4667971353589799</c:v>
              </c:pt>
              <c:pt idx="3">
                <c:v>1.9801761327346299</c:v>
              </c:pt>
              <c:pt idx="4">
                <c:v>2.78080290245141</c:v>
              </c:pt>
              <c:pt idx="5">
                <c:v>3.74155502611154</c:v>
              </c:pt>
              <c:pt idx="6">
                <c:v>4.3820564418849601</c:v>
              </c:pt>
              <c:pt idx="7">
                <c:v>4.8624325037150298</c:v>
              </c:pt>
            </c:numLit>
          </c:yVal>
          <c:smooth val="1"/>
          <c:extLst>
            <c:ext xmlns:c16="http://schemas.microsoft.com/office/drawing/2014/chart" uri="{C3380CC4-5D6E-409C-BE32-E72D297353CC}">
              <c16:uniqueId val="{00000006-79AC-4F3E-9243-D61288DA3B3F}"/>
            </c:ext>
          </c:extLst>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132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0.80180870036226304</c:v>
              </c:pt>
              <c:pt idx="2">
                <c:v>2.2160100163008201</c:v>
              </c:pt>
              <c:pt idx="3">
                <c:v>2.97677510026918</c:v>
              </c:pt>
              <c:pt idx="4">
                <c:v>4.0433309634311998</c:v>
              </c:pt>
              <c:pt idx="5">
                <c:v>8.5586840195262504</c:v>
              </c:pt>
              <c:pt idx="6">
                <c:v>17.8129944912362</c:v>
              </c:pt>
              <c:pt idx="7">
                <c:v>26.3769449698984</c:v>
              </c:pt>
            </c:numLit>
          </c:yVal>
          <c:smooth val="0"/>
          <c:extLst>
            <c:ext xmlns:c16="http://schemas.microsoft.com/office/drawing/2014/chart" uri="{C3380CC4-5D6E-409C-BE32-E72D297353CC}">
              <c16:uniqueId val="{00000000-957B-488B-8DF1-D36ABD8C6CCC}"/>
            </c:ext>
          </c:extLst>
        </c:ser>
        <c:ser>
          <c:idx val="2"/>
          <c:order val="1"/>
          <c:tx>
            <c:strRef>
              <c:f>2025</c:f>
              <c:strCache>
                <c:ptCount val="1"/>
                <c:pt idx="0">
                  <c:v>2025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1.4833909581162299</c:v>
              </c:pt>
              <c:pt idx="3">
                <c:v>1.94383229278397</c:v>
              </c:pt>
              <c:pt idx="4">
                <c:v>2.8526238325100701</c:v>
              </c:pt>
              <c:pt idx="5">
                <c:v>5.8516830468877696</c:v>
              </c:pt>
              <c:pt idx="6">
                <c:v>10.0366265973196</c:v>
              </c:pt>
              <c:pt idx="7">
                <c:v>14.183989202802399</c:v>
              </c:pt>
            </c:numLit>
          </c:yVal>
          <c:smooth val="0"/>
          <c:extLst>
            <c:ext xmlns:c16="http://schemas.microsoft.com/office/drawing/2014/chart" uri="{C3380CC4-5D6E-409C-BE32-E72D297353CC}">
              <c16:uniqueId val="{00000001-957B-488B-8DF1-D36ABD8C6CCC}"/>
            </c:ext>
          </c:extLst>
        </c:ser>
        <c:ser>
          <c:idx val="3"/>
          <c:order val="2"/>
          <c:tx>
            <c:strRef>
              <c:f>2030</c:f>
              <c:strCache>
                <c:ptCount val="1"/>
                <c:pt idx="0">
                  <c:v>2030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3.5285544502840702</c:v>
              </c:pt>
              <c:pt idx="6">
                <c:v>5.9759699368172496</c:v>
              </c:pt>
              <c:pt idx="7">
                <c:v>7.8984007189614598</c:v>
              </c:pt>
            </c:numLit>
          </c:yVal>
          <c:smooth val="0"/>
          <c:extLst>
            <c:ext xmlns:c16="http://schemas.microsoft.com/office/drawing/2014/chart" uri="{C3380CC4-5D6E-409C-BE32-E72D297353CC}">
              <c16:uniqueId val="{00000002-957B-488B-8DF1-D36ABD8C6CCC}"/>
            </c:ext>
          </c:extLst>
        </c:ser>
        <c:ser>
          <c:idx val="4"/>
          <c:order val="3"/>
          <c:tx>
            <c:strRef>
              <c:f>2035</c:f>
              <c:strCache>
                <c:ptCount val="1"/>
                <c:pt idx="0">
                  <c:v>2035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4.1572001988104104</c:v>
              </c:pt>
              <c:pt idx="7">
                <c:v>4.8237553316802</c:v>
              </c:pt>
            </c:numLit>
          </c:yVal>
          <c:smooth val="0"/>
          <c:extLst>
            <c:ext xmlns:c16="http://schemas.microsoft.com/office/drawing/2014/chart" uri="{C3380CC4-5D6E-409C-BE32-E72D297353CC}">
              <c16:uniqueId val="{00000003-957B-488B-8DF1-D36ABD8C6CCC}"/>
            </c:ext>
          </c:extLst>
        </c:ser>
        <c:ser>
          <c:idx val="5"/>
          <c:order val="4"/>
          <c:tx>
            <c:strRef>
              <c:f>2040</c:f>
              <c:strCache>
                <c:ptCount val="1"/>
                <c:pt idx="0">
                  <c:v>2040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4-957B-488B-8DF1-D36ABD8C6CCC}"/>
            </c:ext>
          </c:extLst>
        </c:ser>
        <c:ser>
          <c:idx val="6"/>
          <c:order val="5"/>
          <c:tx>
            <c:strRef>
              <c:f>2045</c:f>
              <c:strCache>
                <c:ptCount val="1"/>
                <c:pt idx="0">
                  <c:v>2045</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5-957B-488B-8DF1-D36ABD8C6CCC}"/>
            </c:ext>
          </c:extLst>
        </c:ser>
        <c:ser>
          <c:idx val="7"/>
          <c:order val="6"/>
          <c:tx>
            <c:strRef>
              <c:f>2050</c:f>
              <c:strCache>
                <c:ptCount val="1"/>
                <c:pt idx="0">
                  <c:v>2050</c:v>
                </c:pt>
              </c:strCache>
            </c:strRef>
          </c:tx>
          <c:marker>
            <c:symbol val="none"/>
          </c:marker>
          <c:xVal>
            <c:numLit>
              <c:formatCode>General</c:formatCode>
              <c:ptCount val="8"/>
              <c:pt idx="0">
                <c:v>7.0000000000000007E-2</c:v>
              </c:pt>
              <c:pt idx="1">
                <c:v>0.12</c:v>
              </c:pt>
              <c:pt idx="2">
                <c:v>0.2</c:v>
              </c:pt>
              <c:pt idx="3">
                <c:v>0.28000000000000003</c:v>
              </c:pt>
              <c:pt idx="4">
                <c:v>0.35</c:v>
              </c:pt>
              <c:pt idx="5">
                <c:v>0.4</c:v>
              </c:pt>
              <c:pt idx="6">
                <c:v>0.45</c:v>
              </c:pt>
              <c:pt idx="7">
                <c:v>0.5</c:v>
              </c:pt>
            </c:numLit>
          </c:xVal>
          <c:yVal>
            <c:numLit>
              <c:formatCode>General</c:formatCode>
              <c:ptCount val="8"/>
              <c:pt idx="0">
                <c:v>0.445539629865291</c:v>
              </c:pt>
              <c:pt idx="1">
                <c:v>0.76378222262621298</c:v>
              </c:pt>
              <c:pt idx="2">
                <c:v>1.2729703710436899</c:v>
              </c:pt>
              <c:pt idx="3">
                <c:v>1.78215851946116</c:v>
              </c:pt>
              <c:pt idx="4">
                <c:v>2.7461442640787901</c:v>
              </c:pt>
              <c:pt idx="5">
                <c:v>3.4347055102342399</c:v>
              </c:pt>
              <c:pt idx="6">
                <c:v>4.1232667563896896</c:v>
              </c:pt>
              <c:pt idx="7">
                <c:v>4.8118280025451403</c:v>
              </c:pt>
            </c:numLit>
          </c:yVal>
          <c:smooth val="1"/>
          <c:extLst>
            <c:ext xmlns:c16="http://schemas.microsoft.com/office/drawing/2014/chart" uri="{C3380CC4-5D6E-409C-BE32-E72D297353CC}">
              <c16:uniqueId val="{00000006-957B-488B-8DF1-D36ABD8C6CCC}"/>
            </c:ext>
          </c:extLst>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295508048"/>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1.5003507425104801</c:v>
              </c:pt>
              <c:pt idx="2">
                <c:v>1.77301577780636</c:v>
              </c:pt>
              <c:pt idx="3">
                <c:v>3.30752788918798</c:v>
              </c:pt>
              <c:pt idx="4">
                <c:v>4.0943611833345797</c:v>
              </c:pt>
              <c:pt idx="5">
                <c:v>9.3232992216485595</c:v>
              </c:pt>
              <c:pt idx="6">
                <c:v>14.5020146480171</c:v>
              </c:pt>
            </c:numLit>
          </c:yVal>
          <c:smooth val="0"/>
          <c:extLst>
            <c:ext xmlns:c16="http://schemas.microsoft.com/office/drawing/2014/chart" uri="{C3380CC4-5D6E-409C-BE32-E72D297353CC}">
              <c16:uniqueId val="{00000000-A61B-4874-8643-A65EEB442022}"/>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1.4197591162465499</c:v>
              </c:pt>
              <c:pt idx="2">
                <c:v>1.61183252527851</c:v>
              </c:pt>
              <c:pt idx="3">
                <c:v>2.1598136586488601</c:v>
              </c:pt>
              <c:pt idx="4">
                <c:v>2.88862633213011</c:v>
              </c:pt>
              <c:pt idx="5">
                <c:v>5.7370143219123699</c:v>
              </c:pt>
              <c:pt idx="6">
                <c:v>7.7547468321326196</c:v>
              </c:pt>
            </c:numLit>
          </c:yVal>
          <c:smooth val="0"/>
          <c:extLst>
            <c:ext xmlns:c16="http://schemas.microsoft.com/office/drawing/2014/chart" uri="{C3380CC4-5D6E-409C-BE32-E72D297353CC}">
              <c16:uniqueId val="{00000001-A61B-4874-8643-A65EEB442022}"/>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2.0272146770070498</c:v>
              </c:pt>
              <c:pt idx="4">
                <c:v>2.5891270583063601</c:v>
              </c:pt>
              <c:pt idx="5">
                <c:v>3.15103943960567</c:v>
              </c:pt>
              <c:pt idx="6">
                <c:v>3.7129518209049799</c:v>
              </c:pt>
            </c:numLit>
          </c:yVal>
          <c:smooth val="0"/>
          <c:extLst>
            <c:ext xmlns:c16="http://schemas.microsoft.com/office/drawing/2014/chart" uri="{C3380CC4-5D6E-409C-BE32-E72D297353CC}">
              <c16:uniqueId val="{00000002-A61B-4874-8643-A65EEB442022}"/>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3-A61B-4874-8643-A65EEB442022}"/>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4-A61B-4874-8643-A65EEB442022}"/>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5-A61B-4874-8643-A65EEB442022}"/>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1.2276857072145899</c:v>
              </c:pt>
              <c:pt idx="1">
                <c:v>1.3464940014611599</c:v>
              </c:pt>
              <c:pt idx="2">
                <c:v>1.46530229570774</c:v>
              </c:pt>
              <c:pt idx="3">
                <c:v>1.76232303132417</c:v>
              </c:pt>
              <c:pt idx="4">
                <c:v>2.0593437669406001</c:v>
              </c:pt>
              <c:pt idx="5">
                <c:v>2.3563645025570401</c:v>
              </c:pt>
              <c:pt idx="6">
                <c:v>2.6533852381734699</c:v>
              </c:pt>
            </c:numLit>
          </c:yVal>
          <c:smooth val="1"/>
          <c:extLst>
            <c:ext xmlns:c16="http://schemas.microsoft.com/office/drawing/2014/chart" uri="{C3380CC4-5D6E-409C-BE32-E72D297353CC}">
              <c16:uniqueId val="{00000006-A61B-4874-8643-A65EEB442022}"/>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0"/>
          <c:extLst>
            <c:ext xmlns:c16="http://schemas.microsoft.com/office/drawing/2014/chart" uri="{C3380CC4-5D6E-409C-BE32-E72D297353CC}">
              <c16:uniqueId val="{00000000-63A1-4A5B-8F9B-61FC3099C8CE}"/>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0"/>
          <c:extLst>
            <c:ext xmlns:c16="http://schemas.microsoft.com/office/drawing/2014/chart" uri="{C3380CC4-5D6E-409C-BE32-E72D297353CC}">
              <c16:uniqueId val="{00000001-63A1-4A5B-8F9B-61FC3099C8CE}"/>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0"/>
          <c:extLst>
            <c:ext xmlns:c16="http://schemas.microsoft.com/office/drawing/2014/chart" uri="{C3380CC4-5D6E-409C-BE32-E72D297353CC}">
              <c16:uniqueId val="{00000002-63A1-4A5B-8F9B-61FC3099C8CE}"/>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0"/>
          <c:extLst>
            <c:ext xmlns:c16="http://schemas.microsoft.com/office/drawing/2014/chart" uri="{C3380CC4-5D6E-409C-BE32-E72D297353CC}">
              <c16:uniqueId val="{00000003-63A1-4A5B-8F9B-61FC3099C8CE}"/>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0"/>
          <c:extLst>
            <c:ext xmlns:c16="http://schemas.microsoft.com/office/drawing/2014/chart" uri="{C3380CC4-5D6E-409C-BE32-E72D297353CC}">
              <c16:uniqueId val="{00000004-63A1-4A5B-8F9B-61FC3099C8CE}"/>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0"/>
          <c:extLst>
            <c:ext xmlns:c16="http://schemas.microsoft.com/office/drawing/2014/chart" uri="{C3380CC4-5D6E-409C-BE32-E72D297353CC}">
              <c16:uniqueId val="{00000005-63A1-4A5B-8F9B-61FC3099C8CE}"/>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overlay val="0"/>
    </c:title>
    <c:autoTitleDeleted val="0"/>
    <c:plotArea>
      <c:layout/>
      <c:scatterChart>
        <c:scatterStyle val="smoothMarker"/>
        <c:varyColors val="0"/>
        <c:ser>
          <c:idx val="1"/>
          <c:order val="0"/>
          <c:tx>
            <c:strRef>
              <c:f>2020</c:f>
              <c:strCache>
                <c:ptCount val="1"/>
                <c:pt idx="0">
                  <c:v>2020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5.0305527275738102</c:v>
              </c:pt>
              <c:pt idx="1">
                <c:v>6.3647543146765102</c:v>
              </c:pt>
              <c:pt idx="2">
                <c:v>7.6989559017792102</c:v>
              </c:pt>
              <c:pt idx="3">
                <c:v>14.8911314570096</c:v>
              </c:pt>
              <c:pt idx="4">
                <c:v>22.083307012239999</c:v>
              </c:pt>
              <c:pt idx="5">
                <c:v>29.275482567470299</c:v>
              </c:pt>
              <c:pt idx="6">
                <c:v>36.467658122700698</c:v>
              </c:pt>
            </c:numLit>
          </c:yVal>
          <c:smooth val="0"/>
          <c:extLst>
            <c:ext xmlns:c16="http://schemas.microsoft.com/office/drawing/2014/chart" uri="{C3380CC4-5D6E-409C-BE32-E72D297353CC}">
              <c16:uniqueId val="{00000000-1403-4311-9392-36B052E68B01}"/>
            </c:ext>
          </c:extLst>
        </c:ser>
        <c:ser>
          <c:idx val="2"/>
          <c:order val="1"/>
          <c:tx>
            <c:strRef>
              <c:f>2025</c:f>
              <c:strCache>
                <c:ptCount val="1"/>
                <c:pt idx="0">
                  <c:v>2025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4.17504739129485</c:v>
              </c:pt>
              <c:pt idx="2">
                <c:v>4.6670376609459199</c:v>
              </c:pt>
              <c:pt idx="3">
                <c:v>9.0581230760385605</c:v>
              </c:pt>
              <c:pt idx="4">
                <c:v>13.4492084911312</c:v>
              </c:pt>
              <c:pt idx="5">
                <c:v>17.840293906223799</c:v>
              </c:pt>
              <c:pt idx="6">
                <c:v>22.231379321316499</c:v>
              </c:pt>
            </c:numLit>
          </c:yVal>
          <c:smooth val="0"/>
          <c:extLst>
            <c:ext xmlns:c16="http://schemas.microsoft.com/office/drawing/2014/chart" uri="{C3380CC4-5D6E-409C-BE32-E72D297353CC}">
              <c16:uniqueId val="{00000001-1403-4311-9392-36B052E68B01}"/>
            </c:ext>
          </c:extLst>
        </c:ser>
        <c:ser>
          <c:idx val="3"/>
          <c:order val="2"/>
          <c:tx>
            <c:strRef>
              <c:f>2030</c:f>
              <c:strCache>
                <c:ptCount val="1"/>
                <c:pt idx="0">
                  <c:v>2030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6.7013096374180403</c:v>
              </c:pt>
              <c:pt idx="4">
                <c:v>9.0067123877128701</c:v>
              </c:pt>
              <c:pt idx="5">
                <c:v>11.3121151380077</c:v>
              </c:pt>
              <c:pt idx="6">
                <c:v>13.617517888302499</c:v>
              </c:pt>
            </c:numLit>
          </c:yVal>
          <c:smooth val="0"/>
          <c:extLst>
            <c:ext xmlns:c16="http://schemas.microsoft.com/office/drawing/2014/chart" uri="{C3380CC4-5D6E-409C-BE32-E72D297353CC}">
              <c16:uniqueId val="{00000002-1403-4311-9392-36B052E68B01}"/>
            </c:ext>
          </c:extLst>
        </c:ser>
        <c:ser>
          <c:idx val="4"/>
          <c:order val="3"/>
          <c:tx>
            <c:strRef>
              <c:f>2035</c:f>
              <c:strCache>
                <c:ptCount val="1"/>
                <c:pt idx="0">
                  <c:v>2035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0"/>
          <c:extLst>
            <c:ext xmlns:c16="http://schemas.microsoft.com/office/drawing/2014/chart" uri="{C3380CC4-5D6E-409C-BE32-E72D297353CC}">
              <c16:uniqueId val="{00000003-1403-4311-9392-36B052E68B01}"/>
            </c:ext>
          </c:extLst>
        </c:ser>
        <c:ser>
          <c:idx val="5"/>
          <c:order val="4"/>
          <c:tx>
            <c:strRef>
              <c:f>2040</c:f>
              <c:strCache>
                <c:ptCount val="1"/>
                <c:pt idx="0">
                  <c:v>2040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4-1403-4311-9392-36B052E68B01}"/>
            </c:ext>
          </c:extLst>
        </c:ser>
        <c:ser>
          <c:idx val="6"/>
          <c:order val="5"/>
          <c:tx>
            <c:strRef>
              <c:f>2045</c:f>
              <c:strCache>
                <c:ptCount val="1"/>
                <c:pt idx="0">
                  <c:v>2045</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5-1403-4311-9392-36B052E68B01}"/>
            </c:ext>
          </c:extLst>
        </c:ser>
        <c:ser>
          <c:idx val="7"/>
          <c:order val="6"/>
          <c:tx>
            <c:strRef>
              <c:f>2050</c:f>
              <c:strCache>
                <c:ptCount val="1"/>
                <c:pt idx="0">
                  <c:v>2050</c:v>
                </c:pt>
              </c:strCache>
            </c:strRef>
          </c:tx>
          <c:marker>
            <c:symbol val="none"/>
          </c:marker>
          <c:xVal>
            <c:numLit>
              <c:formatCode>General</c:formatCode>
              <c:ptCount val="7"/>
              <c:pt idx="0">
                <c:v>0.05</c:v>
              </c:pt>
              <c:pt idx="1">
                <c:v>0.1</c:v>
              </c:pt>
              <c:pt idx="2">
                <c:v>0.15</c:v>
              </c:pt>
              <c:pt idx="3">
                <c:v>0.18</c:v>
              </c:pt>
              <c:pt idx="4">
                <c:v>0.2</c:v>
              </c:pt>
              <c:pt idx="5">
                <c:v>0.25</c:v>
              </c:pt>
              <c:pt idx="6">
                <c:v>0.26500000000000001</c:v>
              </c:pt>
            </c:numLit>
          </c:xVal>
          <c:yVal>
            <c:numLit>
              <c:formatCode>General</c:formatCode>
              <c:ptCount val="7"/>
              <c:pt idx="0">
                <c:v>3.6830571216437802</c:v>
              </c:pt>
              <c:pt idx="1">
                <c:v>4.0394820043835002</c:v>
              </c:pt>
              <c:pt idx="2">
                <c:v>4.3959068871232096</c:v>
              </c:pt>
              <c:pt idx="3">
                <c:v>5.3760753146574398</c:v>
              </c:pt>
              <c:pt idx="4">
                <c:v>6.35624374219167</c:v>
              </c:pt>
              <c:pt idx="5">
                <c:v>7.3364121697259002</c:v>
              </c:pt>
              <c:pt idx="6">
                <c:v>8.3165805972601294</c:v>
              </c:pt>
            </c:numLit>
          </c:yVal>
          <c:smooth val="1"/>
          <c:extLst>
            <c:ext xmlns:c16="http://schemas.microsoft.com/office/drawing/2014/chart" uri="{C3380CC4-5D6E-409C-BE32-E72D297353CC}">
              <c16:uniqueId val="{00000006-1403-4311-9392-36B052E68B01}"/>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overlay val="0"/>
    </c:title>
    <c:autoTitleDeleted val="0"/>
    <c:plotArea>
      <c:layout/>
      <c:scatterChart>
        <c:scatterStyle val="smoothMarker"/>
        <c:varyColors val="0"/>
        <c:ser>
          <c:idx val="2"/>
          <c:order val="0"/>
          <c:tx>
            <c:strRef>
              <c:f>2025</c:f>
              <c:strCache>
                <c:ptCount val="1"/>
                <c:pt idx="0">
                  <c:v>2025</c:v>
                </c:pt>
              </c:strCache>
            </c:strRef>
          </c:tx>
          <c:marker>
            <c:symbol val="none"/>
          </c:marker>
          <c:xVal>
            <c:numLit>
              <c:formatCode>General</c:formatCode>
              <c:ptCount val="3"/>
              <c:pt idx="0">
                <c:v>150</c:v>
              </c:pt>
              <c:pt idx="1">
                <c:v>204</c:v>
              </c:pt>
              <c:pt idx="2">
                <c:v>360</c:v>
              </c:pt>
            </c:numLit>
          </c:xVal>
          <c:yVal>
            <c:numLit>
              <c:formatCode>General</c:formatCode>
              <c:ptCount val="3"/>
              <c:pt idx="0">
                <c:v>2.1514687493731102</c:v>
              </c:pt>
              <c:pt idx="1">
                <c:v>3.0438470378275801</c:v>
              </c:pt>
              <c:pt idx="2">
                <c:v>6.5306444663949499</c:v>
              </c:pt>
            </c:numLit>
          </c:yVal>
          <c:smooth val="1"/>
          <c:extLst>
            <c:ext xmlns:c16="http://schemas.microsoft.com/office/drawing/2014/chart" uri="{C3380CC4-5D6E-409C-BE32-E72D297353CC}">
              <c16:uniqueId val="{00000000-4489-4714-8A7F-06D772E12CE1}"/>
            </c:ext>
          </c:extLst>
        </c:ser>
        <c:ser>
          <c:idx val="3"/>
          <c:order val="1"/>
          <c:tx>
            <c:strRef>
              <c:f>2030</c:f>
              <c:strCache>
                <c:ptCount val="1"/>
                <c:pt idx="0">
                  <c:v>2030</c:v>
                </c:pt>
              </c:strCache>
            </c:strRef>
          </c:tx>
          <c:marker>
            <c:symbol val="none"/>
          </c:marker>
          <c:xVal>
            <c:numLit>
              <c:formatCode>General</c:formatCode>
              <c:ptCount val="3"/>
              <c:pt idx="0">
                <c:v>150</c:v>
              </c:pt>
              <c:pt idx="1">
                <c:v>204</c:v>
              </c:pt>
              <c:pt idx="2">
                <c:v>360</c:v>
              </c:pt>
            </c:numLit>
          </c:xVal>
          <c:yVal>
            <c:numLit>
              <c:formatCode>General</c:formatCode>
              <c:ptCount val="3"/>
              <c:pt idx="0">
                <c:v>1.41224615343466</c:v>
              </c:pt>
              <c:pt idx="1">
                <c:v>1.8981117938453</c:v>
              </c:pt>
              <c:pt idx="2">
                <c:v>4.6886678220271403</c:v>
              </c:pt>
            </c:numLit>
          </c:yVal>
          <c:smooth val="1"/>
          <c:extLst>
            <c:ext xmlns:c16="http://schemas.microsoft.com/office/drawing/2014/chart" uri="{C3380CC4-5D6E-409C-BE32-E72D297353CC}">
              <c16:uniqueId val="{00000001-4489-4714-8A7F-06D772E12CE1}"/>
            </c:ext>
          </c:extLst>
        </c:ser>
        <c:ser>
          <c:idx val="4"/>
          <c:order val="2"/>
          <c:tx>
            <c:strRef>
              <c:f>2035</c:f>
              <c:strCache>
                <c:ptCount val="1"/>
                <c:pt idx="0">
                  <c:v>2035</c:v>
                </c:pt>
              </c:strCache>
            </c:strRef>
          </c:tx>
          <c:marker>
            <c:symbol val="none"/>
          </c:marker>
          <c:xVal>
            <c:numLit>
              <c:formatCode>General</c:formatCode>
              <c:ptCount val="3"/>
              <c:pt idx="0">
                <c:v>150</c:v>
              </c:pt>
              <c:pt idx="1">
                <c:v>204</c:v>
              </c:pt>
              <c:pt idx="2">
                <c:v>360</c:v>
              </c:pt>
            </c:numLit>
          </c:xVal>
          <c:yVal>
            <c:numLit>
              <c:formatCode>General</c:formatCode>
              <c:ptCount val="3"/>
              <c:pt idx="0">
                <c:v>1.08125096122341</c:v>
              </c:pt>
              <c:pt idx="1">
                <c:v>1.3986086902018</c:v>
              </c:pt>
              <c:pt idx="2">
                <c:v>3.2820674754189998</c:v>
              </c:pt>
            </c:numLit>
          </c:yVal>
          <c:smooth val="1"/>
          <c:extLst>
            <c:ext xmlns:c16="http://schemas.microsoft.com/office/drawing/2014/chart" uri="{C3380CC4-5D6E-409C-BE32-E72D297353CC}">
              <c16:uniqueId val="{00000002-4489-4714-8A7F-06D772E12CE1}"/>
            </c:ext>
          </c:extLst>
        </c:ser>
        <c:ser>
          <c:idx val="5"/>
          <c:order val="3"/>
          <c:tx>
            <c:strRef>
              <c:f>2040</c:f>
              <c:strCache>
                <c:ptCount val="1"/>
                <c:pt idx="0">
                  <c:v>2040</c:v>
                </c:pt>
              </c:strCache>
            </c:strRef>
          </c:tx>
          <c:marker>
            <c:symbol val="none"/>
          </c:marker>
          <c:xVal>
            <c:numLit>
              <c:formatCode>General</c:formatCode>
              <c:ptCount val="3"/>
              <c:pt idx="0">
                <c:v>150</c:v>
              </c:pt>
              <c:pt idx="1">
                <c:v>204</c:v>
              </c:pt>
              <c:pt idx="2">
                <c:v>360</c:v>
              </c:pt>
            </c:numLit>
          </c:xVal>
          <c:yVal>
            <c:numLit>
              <c:formatCode>General</c:formatCode>
              <c:ptCount val="3"/>
              <c:pt idx="0">
                <c:v>0.77472635638405296</c:v>
              </c:pt>
              <c:pt idx="1">
                <c:v>0.98645805249288099</c:v>
              </c:pt>
              <c:pt idx="2">
                <c:v>2.2536471704227798</c:v>
              </c:pt>
            </c:numLit>
          </c:yVal>
          <c:smooth val="1"/>
          <c:extLst>
            <c:ext xmlns:c16="http://schemas.microsoft.com/office/drawing/2014/chart" uri="{C3380CC4-5D6E-409C-BE32-E72D297353CC}">
              <c16:uniqueId val="{00000003-4489-4714-8A7F-06D772E12CE1}"/>
            </c:ext>
          </c:extLst>
        </c:ser>
        <c:ser>
          <c:idx val="6"/>
          <c:order val="4"/>
          <c:tx>
            <c:strRef>
              <c:f>2045</c:f>
              <c:strCache>
                <c:ptCount val="1"/>
                <c:pt idx="0">
                  <c:v>2045</c:v>
                </c:pt>
              </c:strCache>
            </c:strRef>
          </c:tx>
          <c:marker>
            <c:symbol val="none"/>
          </c:marker>
          <c:xVal>
            <c:numLit>
              <c:formatCode>General</c:formatCode>
              <c:ptCount val="3"/>
              <c:pt idx="0">
                <c:v>150</c:v>
              </c:pt>
              <c:pt idx="1">
                <c:v>204</c:v>
              </c:pt>
              <c:pt idx="2">
                <c:v>360</c:v>
              </c:pt>
            </c:numLit>
          </c:xVal>
          <c:yVal>
            <c:numLit>
              <c:formatCode>General</c:formatCode>
              <c:ptCount val="3"/>
              <c:pt idx="0">
                <c:v>0.64641578118570497</c:v>
              </c:pt>
              <c:pt idx="1">
                <c:v>0.76488276393982801</c:v>
              </c:pt>
              <c:pt idx="2">
                <c:v>1.78377578556756</c:v>
              </c:pt>
            </c:numLit>
          </c:yVal>
          <c:smooth val="1"/>
          <c:extLst>
            <c:ext xmlns:c16="http://schemas.microsoft.com/office/drawing/2014/chart" uri="{C3380CC4-5D6E-409C-BE32-E72D297353CC}">
              <c16:uniqueId val="{00000004-4489-4714-8A7F-06D772E12CE1}"/>
            </c:ext>
          </c:extLst>
        </c:ser>
        <c:ser>
          <c:idx val="7"/>
          <c:order val="5"/>
          <c:tx>
            <c:strRef>
              <c:f>2050</c:f>
              <c:strCache>
                <c:ptCount val="1"/>
                <c:pt idx="0">
                  <c:v>2050</c:v>
                </c:pt>
              </c:strCache>
            </c:strRef>
          </c:tx>
          <c:marker>
            <c:symbol val="none"/>
          </c:marker>
          <c:xVal>
            <c:numLit>
              <c:formatCode>General</c:formatCode>
              <c:ptCount val="3"/>
              <c:pt idx="0">
                <c:v>150</c:v>
              </c:pt>
              <c:pt idx="1">
                <c:v>204</c:v>
              </c:pt>
              <c:pt idx="2">
                <c:v>360</c:v>
              </c:pt>
            </c:numLit>
          </c:xVal>
          <c:yVal>
            <c:numLit>
              <c:formatCode>General</c:formatCode>
              <c:ptCount val="3"/>
              <c:pt idx="0">
                <c:v>0.58129282693262296</c:v>
              </c:pt>
              <c:pt idx="1">
                <c:v>0.68924895892350602</c:v>
              </c:pt>
              <c:pt idx="2">
                <c:v>1.26034060109891</c:v>
              </c:pt>
            </c:numLit>
          </c:yVal>
          <c:smooth val="1"/>
          <c:extLst>
            <c:ext xmlns:c16="http://schemas.microsoft.com/office/drawing/2014/chart" uri="{C3380CC4-5D6E-409C-BE32-E72D297353CC}">
              <c16:uniqueId val="{00000005-4489-4714-8A7F-06D772E12CE1}"/>
            </c:ext>
          </c:extLst>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p>
            </c:rich>
          </c:tx>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crossAx val="1178020192"/>
        <c:crosses val="autoZero"/>
        <c:crossBetween val="midCat"/>
      </c:valAx>
    </c:plotArea>
    <c:legend>
      <c:legendPos val="r"/>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endParaRPr lang="en-US"/>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5.xml"/><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10" Type="http://schemas.openxmlformats.org/officeDocument/2006/relationships/chart" Target="../charts/chart17.xml"/><Relationship Id="rId4" Type="http://schemas.openxmlformats.org/officeDocument/2006/relationships/chart" Target="../charts/chart11.xml"/><Relationship Id="rId9" Type="http://schemas.openxmlformats.org/officeDocument/2006/relationships/chart" Target="../charts/chart16.xml"/></Relationships>
</file>

<file path=xl/drawings/_rels/drawing4.xml.rels><?xml version="1.0" encoding="UTF-8" standalone="yes"?>
<Relationships xmlns="http://schemas.openxmlformats.org/package/2006/relationships"><Relationship Id="rId8" Type="http://schemas.openxmlformats.org/officeDocument/2006/relationships/chart" Target="../charts/chart25.xml"/><Relationship Id="rId3" Type="http://schemas.openxmlformats.org/officeDocument/2006/relationships/chart" Target="../charts/chart20.xml"/><Relationship Id="rId7" Type="http://schemas.openxmlformats.org/officeDocument/2006/relationships/chart" Target="../charts/chart24.xml"/><Relationship Id="rId2" Type="http://schemas.openxmlformats.org/officeDocument/2006/relationships/chart" Target="../charts/chart19.xml"/><Relationship Id="rId1" Type="http://schemas.openxmlformats.org/officeDocument/2006/relationships/chart" Target="../charts/chart18.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9" Type="http://schemas.openxmlformats.org/officeDocument/2006/relationships/chart" Target="../charts/chart26.xml"/></Relationships>
</file>

<file path=xl/drawings/_rels/drawing5.xml.rels><?xml version="1.0" encoding="UTF-8" standalone="yes"?>
<Relationships xmlns="http://schemas.openxmlformats.org/package/2006/relationships"><Relationship Id="rId8" Type="http://schemas.openxmlformats.org/officeDocument/2006/relationships/chart" Target="../charts/chart34.xml"/><Relationship Id="rId3" Type="http://schemas.openxmlformats.org/officeDocument/2006/relationships/chart" Target="../charts/chart29.xml"/><Relationship Id="rId7" Type="http://schemas.openxmlformats.org/officeDocument/2006/relationships/chart" Target="../charts/chart33.xml"/><Relationship Id="rId2" Type="http://schemas.openxmlformats.org/officeDocument/2006/relationships/chart" Target="../charts/chart28.xml"/><Relationship Id="rId1" Type="http://schemas.openxmlformats.org/officeDocument/2006/relationships/chart" Target="../charts/chart27.xml"/><Relationship Id="rId6" Type="http://schemas.openxmlformats.org/officeDocument/2006/relationships/chart" Target="../charts/chart32.xml"/><Relationship Id="rId5" Type="http://schemas.openxmlformats.org/officeDocument/2006/relationships/chart" Target="../charts/chart31.xml"/><Relationship Id="rId10" Type="http://schemas.openxmlformats.org/officeDocument/2006/relationships/chart" Target="../charts/chart36.xml"/><Relationship Id="rId4" Type="http://schemas.openxmlformats.org/officeDocument/2006/relationships/chart" Target="../charts/chart30.xml"/><Relationship Id="rId9" Type="http://schemas.openxmlformats.org/officeDocument/2006/relationships/chart" Target="../charts/chart35.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3" Type="http://schemas.openxmlformats.org/officeDocument/2006/relationships/chart" Target="../charts/chart39.xml"/><Relationship Id="rId7" Type="http://schemas.openxmlformats.org/officeDocument/2006/relationships/chart" Target="../charts/chart43.xml"/><Relationship Id="rId2" Type="http://schemas.openxmlformats.org/officeDocument/2006/relationships/chart" Target="../charts/chart38.xml"/><Relationship Id="rId1" Type="http://schemas.openxmlformats.org/officeDocument/2006/relationships/chart" Target="../charts/chart37.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s>
</file>

<file path=xl/drawings/_rels/drawing8.xml.rels><?xml version="1.0" encoding="UTF-8" standalone="yes"?>
<Relationships xmlns="http://schemas.openxmlformats.org/package/2006/relationships"><Relationship Id="rId8" Type="http://schemas.openxmlformats.org/officeDocument/2006/relationships/chart" Target="../charts/chart52.xml"/><Relationship Id="rId3" Type="http://schemas.openxmlformats.org/officeDocument/2006/relationships/chart" Target="../charts/chart47.xml"/><Relationship Id="rId7" Type="http://schemas.openxmlformats.org/officeDocument/2006/relationships/chart" Target="../charts/chart51.xml"/><Relationship Id="rId2" Type="http://schemas.openxmlformats.org/officeDocument/2006/relationships/chart" Target="../charts/chart46.xml"/><Relationship Id="rId1" Type="http://schemas.openxmlformats.org/officeDocument/2006/relationships/chart" Target="../charts/chart45.xml"/><Relationship Id="rId6" Type="http://schemas.openxmlformats.org/officeDocument/2006/relationships/chart" Target="../charts/chart50.xml"/><Relationship Id="rId5" Type="http://schemas.openxmlformats.org/officeDocument/2006/relationships/chart" Target="../charts/chart49.xml"/><Relationship Id="rId10" Type="http://schemas.openxmlformats.org/officeDocument/2006/relationships/chart" Target="../charts/chart54.xml"/><Relationship Id="rId4" Type="http://schemas.openxmlformats.org/officeDocument/2006/relationships/chart" Target="../charts/chart48.xml"/><Relationship Id="rId9" Type="http://schemas.openxmlformats.org/officeDocument/2006/relationships/chart" Target="../charts/chart53.xml"/></Relationships>
</file>

<file path=xl/drawings/_rels/drawing9.xml.rels><?xml version="1.0" encoding="UTF-8" standalone="yes"?>
<Relationships xmlns="http://schemas.openxmlformats.org/package/2006/relationships"><Relationship Id="rId8" Type="http://schemas.openxmlformats.org/officeDocument/2006/relationships/chart" Target="../charts/chart62.xml"/><Relationship Id="rId13" Type="http://schemas.openxmlformats.org/officeDocument/2006/relationships/chart" Target="../charts/chart67.xml"/><Relationship Id="rId18" Type="http://schemas.openxmlformats.org/officeDocument/2006/relationships/chart" Target="../charts/chart72.xml"/><Relationship Id="rId3" Type="http://schemas.openxmlformats.org/officeDocument/2006/relationships/chart" Target="../charts/chart57.xml"/><Relationship Id="rId7" Type="http://schemas.openxmlformats.org/officeDocument/2006/relationships/chart" Target="../charts/chart61.xml"/><Relationship Id="rId12" Type="http://schemas.openxmlformats.org/officeDocument/2006/relationships/chart" Target="../charts/chart66.xml"/><Relationship Id="rId17" Type="http://schemas.openxmlformats.org/officeDocument/2006/relationships/chart" Target="../charts/chart71.xml"/><Relationship Id="rId2" Type="http://schemas.openxmlformats.org/officeDocument/2006/relationships/chart" Target="../charts/chart56.xml"/><Relationship Id="rId16" Type="http://schemas.openxmlformats.org/officeDocument/2006/relationships/chart" Target="../charts/chart70.xml"/><Relationship Id="rId20" Type="http://schemas.openxmlformats.org/officeDocument/2006/relationships/chart" Target="../charts/chart74.xml"/><Relationship Id="rId1" Type="http://schemas.openxmlformats.org/officeDocument/2006/relationships/chart" Target="../charts/chart55.xml"/><Relationship Id="rId6" Type="http://schemas.openxmlformats.org/officeDocument/2006/relationships/chart" Target="../charts/chart60.xml"/><Relationship Id="rId11" Type="http://schemas.openxmlformats.org/officeDocument/2006/relationships/chart" Target="../charts/chart65.xml"/><Relationship Id="rId5" Type="http://schemas.openxmlformats.org/officeDocument/2006/relationships/chart" Target="../charts/chart59.xml"/><Relationship Id="rId15" Type="http://schemas.openxmlformats.org/officeDocument/2006/relationships/chart" Target="../charts/chart69.xml"/><Relationship Id="rId10" Type="http://schemas.openxmlformats.org/officeDocument/2006/relationships/chart" Target="../charts/chart64.xml"/><Relationship Id="rId19" Type="http://schemas.openxmlformats.org/officeDocument/2006/relationships/chart" Target="../charts/chart73.xml"/><Relationship Id="rId4" Type="http://schemas.openxmlformats.org/officeDocument/2006/relationships/chart" Target="../charts/chart58.xml"/><Relationship Id="rId9" Type="http://schemas.openxmlformats.org/officeDocument/2006/relationships/chart" Target="../charts/chart63.xml"/><Relationship Id="rId14" Type="http://schemas.openxmlformats.org/officeDocument/2006/relationships/chart" Target="../charts/chart68.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 Id="rId5" Type="http://schemas.openxmlformats.org/officeDocument/2006/relationships/chart" Target="../charts/chart82.xml"/><Relationship Id="rId4" Type="http://schemas.openxmlformats.org/officeDocument/2006/relationships/chart" Target="../charts/chart81.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 Id="rId4" Type="http://schemas.openxmlformats.org/officeDocument/2006/relationships/chart" Target="../charts/chart86.xml"/></Relationships>
</file>

<file path=xl/drawings/drawing1.xml><?xml version="1.0" encoding="utf-8"?>
<xdr:wsDr xmlns:xdr="http://schemas.openxmlformats.org/drawingml/2006/spreadsheetDrawing"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3</xdr:row>
      <xdr:rowOff>13607</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macro="">
      <xdr:nvGraphicFramePr>
        <xdr:cNvPr id="8" name="Chart 7">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8</xdr:row>
      <xdr:rowOff>13607</xdr:rowOff>
    </xdr:from>
    <xdr:to>
      <xdr:col>0</xdr:col>
      <xdr:colOff>0</xdr:colOff>
      <xdr:row>28</xdr:row>
      <xdr:rowOff>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macro="">
      <xdr:nvGraphicFramePr>
        <xdr:cNvPr id="5" name="Chart 4">
          <a:extLst>
            <a:ext uri="{FF2B5EF4-FFF2-40B4-BE49-F238E27FC236}">
              <a16:creationId xmlns:a16="http://schemas.microsoft.com/office/drawing/2014/main" id="{00000000-0008-0000-0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macro="">
      <xdr:nvGraphicFramePr>
        <xdr:cNvPr id="6" name="Chart 5">
          <a:extLst>
            <a:ext uri="{FF2B5EF4-FFF2-40B4-BE49-F238E27FC236}">
              <a16:creationId xmlns:a16="http://schemas.microsoft.com/office/drawing/2014/main" id="{00000000-0008-0000-04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macro="">
      <xdr:nvGraphicFramePr>
        <xdr:cNvPr id="7" name="Chart 6">
          <a:extLst>
            <a:ext uri="{FF2B5EF4-FFF2-40B4-BE49-F238E27FC236}">
              <a16:creationId xmlns:a16="http://schemas.microsoft.com/office/drawing/2014/main" id="{00000000-0008-0000-04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macro="">
      <xdr:nvGraphicFramePr>
        <xdr:cNvPr id="8" name="Chart 7">
          <a:extLst>
            <a:ext uri="{FF2B5EF4-FFF2-40B4-BE49-F238E27FC236}">
              <a16:creationId xmlns:a16="http://schemas.microsoft.com/office/drawing/2014/main" id="{00000000-0008-0000-04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macro="">
      <xdr:nvGraphicFramePr>
        <xdr:cNvPr id="9" name="Chart 8">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macro="">
      <xdr:nvGraphicFramePr>
        <xdr:cNvPr id="10" name="Chart 9">
          <a:extLst>
            <a:ext uri="{FF2B5EF4-FFF2-40B4-BE49-F238E27FC236}">
              <a16:creationId xmlns:a16="http://schemas.microsoft.com/office/drawing/2014/main" id="{00000000-0008-0000-04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macro="">
      <xdr:nvGraphicFramePr>
        <xdr:cNvPr id="11" name="Chart 10">
          <a:extLst>
            <a:ext uri="{FF2B5EF4-FFF2-40B4-BE49-F238E27FC236}">
              <a16:creationId xmlns:a16="http://schemas.microsoft.com/office/drawing/2014/main" id="{00000000-0008-0000-04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xdr:row>
      <xdr:rowOff>33618</xdr:rowOff>
    </xdr:from>
    <xdr:to>
      <xdr:col>0</xdr:col>
      <xdr:colOff>0</xdr:colOff>
      <xdr:row>26</xdr:row>
      <xdr:rowOff>59918</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macro="">
      <xdr:nvGraphicFramePr>
        <xdr:cNvPr id="5" name="Chart 4">
          <a:extLst>
            <a:ext uri="{FF2B5EF4-FFF2-40B4-BE49-F238E27FC236}">
              <a16:creationId xmlns:a16="http://schemas.microsoft.com/office/drawing/2014/main" id="{00000000-0008-0000-05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macro="">
      <xdr:nvGraphicFramePr>
        <xdr:cNvPr id="6" name="Chart 5">
          <a:extLst>
            <a:ext uri="{FF2B5EF4-FFF2-40B4-BE49-F238E27FC236}">
              <a16:creationId xmlns:a16="http://schemas.microsoft.com/office/drawing/2014/main" id="{00000000-0008-0000-05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macro="">
      <xdr:nvGraphicFramePr>
        <xdr:cNvPr id="7" name="Chart 6">
          <a:extLst>
            <a:ext uri="{FF2B5EF4-FFF2-40B4-BE49-F238E27FC236}">
              <a16:creationId xmlns:a16="http://schemas.microsoft.com/office/drawing/2014/main" id="{00000000-0008-0000-05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macro="">
      <xdr:nvGraphicFramePr>
        <xdr:cNvPr id="8" name="Chart 7">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macro="">
      <xdr:nvGraphicFramePr>
        <xdr:cNvPr id="10" name="Chart 9">
          <a:extLst>
            <a:ext uri="{FF2B5EF4-FFF2-40B4-BE49-F238E27FC236}">
              <a16:creationId xmlns:a16="http://schemas.microsoft.com/office/drawing/2014/main" id="{00000000-0008-0000-05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macro="">
      <xdr:nvGraphicFramePr>
        <xdr:cNvPr id="11" name="Chart 10">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0</xdr:rowOff>
    </xdr:from>
    <xdr:to>
      <xdr:col>0</xdr:col>
      <xdr:colOff>0</xdr:colOff>
      <xdr:row>2</xdr:row>
      <xdr:rowOff>0</xdr:rowOff>
    </xdr:to>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6" name="Chart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7" name="Chart 6">
          <a:extLst>
            <a:ext uri="{FF2B5EF4-FFF2-40B4-BE49-F238E27FC236}">
              <a16:creationId xmlns:a16="http://schemas.microsoft.com/office/drawing/2014/main" id="{00000000-0008-0000-06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macro="">
      <xdr:nvGraphicFramePr>
        <xdr:cNvPr id="8" name="Chart 7">
          <a:extLst>
            <a:ext uri="{FF2B5EF4-FFF2-40B4-BE49-F238E27FC236}">
              <a16:creationId xmlns:a16="http://schemas.microsoft.com/office/drawing/2014/main" id="{00000000-0008-0000-06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macro="">
      <xdr:nvGraphicFramePr>
        <xdr:cNvPr id="9" name="Chart 8">
          <a:extLst>
            <a:ext uri="{FF2B5EF4-FFF2-40B4-BE49-F238E27FC236}">
              <a16:creationId xmlns:a16="http://schemas.microsoft.com/office/drawing/2014/main" id="{00000000-0008-0000-06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macro="">
      <xdr:nvGraphicFramePr>
        <xdr:cNvPr id="10" name="Chart 9">
          <a:extLst>
            <a:ext uri="{FF2B5EF4-FFF2-40B4-BE49-F238E27FC236}">
              <a16:creationId xmlns:a16="http://schemas.microsoft.com/office/drawing/2014/main" id="{00000000-0008-0000-06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macro="">
      <xdr:nvGraphicFramePr>
        <xdr:cNvPr id="11" name="Chart 10">
          <a:extLst>
            <a:ext uri="{FF2B5EF4-FFF2-40B4-BE49-F238E27FC236}">
              <a16:creationId xmlns:a16="http://schemas.microsoft.com/office/drawing/2014/main" id="{00000000-0008-0000-06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3</xdr:row>
      <xdr:rowOff>1</xdr:rowOff>
    </xdr:from>
    <xdr:to>
      <xdr:col>0</xdr:col>
      <xdr:colOff>0</xdr:colOff>
      <xdr:row>24</xdr:row>
      <xdr:rowOff>50503</xdr:rowOff>
    </xdr:to>
    <xdr:graphicFrame macro="">
      <xdr:nvGraphicFramePr>
        <xdr:cNvPr id="3" name="Chart 2">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macro="">
      <xdr:nvGraphicFramePr>
        <xdr:cNvPr id="4" name="Chart 3">
          <a:extLst>
            <a:ext uri="{FF2B5EF4-FFF2-40B4-BE49-F238E27FC236}">
              <a16:creationId xmlns:a16="http://schemas.microsoft.com/office/drawing/2014/main" id="{00000000-0008-0000-0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macro="">
      <xdr:nvGraphicFramePr>
        <xdr:cNvPr id="5" name="Chart 4">
          <a:extLst>
            <a:ext uri="{FF2B5EF4-FFF2-40B4-BE49-F238E27FC236}">
              <a16:creationId xmlns:a16="http://schemas.microsoft.com/office/drawing/2014/main" id="{00000000-0008-0000-0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macro="">
      <xdr:nvGraphicFramePr>
        <xdr:cNvPr id="6" name="Chart 5">
          <a:extLst>
            <a:ext uri="{FF2B5EF4-FFF2-40B4-BE49-F238E27FC236}">
              <a16:creationId xmlns:a16="http://schemas.microsoft.com/office/drawing/2014/main" id="{00000000-0008-0000-0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macro="">
      <xdr:nvGraphicFramePr>
        <xdr:cNvPr id="7" name="Chart 6">
          <a:extLst>
            <a:ext uri="{FF2B5EF4-FFF2-40B4-BE49-F238E27FC236}">
              <a16:creationId xmlns:a16="http://schemas.microsoft.com/office/drawing/2014/main" id="{00000000-0008-0000-07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macro="">
      <xdr:nvGraphicFramePr>
        <xdr:cNvPr id="8" name="Chart 7">
          <a:extLst>
            <a:ext uri="{FF2B5EF4-FFF2-40B4-BE49-F238E27FC236}">
              <a16:creationId xmlns:a16="http://schemas.microsoft.com/office/drawing/2014/main" id="{00000000-0008-0000-07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macro="">
      <xdr:nvGraphicFramePr>
        <xdr:cNvPr id="9" name="Chart 8">
          <a:extLst>
            <a:ext uri="{FF2B5EF4-FFF2-40B4-BE49-F238E27FC236}">
              <a16:creationId xmlns:a16="http://schemas.microsoft.com/office/drawing/2014/main" id="{00000000-0008-0000-07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macro="">
      <xdr:nvGraphicFramePr>
        <xdr:cNvPr id="10" name="Chart 9">
          <a:extLst>
            <a:ext uri="{FF2B5EF4-FFF2-40B4-BE49-F238E27FC236}">
              <a16:creationId xmlns:a16="http://schemas.microsoft.com/office/drawing/2014/main" id="{00000000-0008-0000-07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18</xdr:col>
      <xdr:colOff>250190</xdr:colOff>
      <xdr:row>137</xdr:row>
      <xdr:rowOff>57785</xdr:rowOff>
    </xdr:from>
    <xdr:to>
      <xdr:col>19</xdr:col>
      <xdr:colOff>625475</xdr:colOff>
      <xdr:row>139</xdr:row>
      <xdr:rowOff>241935</xdr:rowOff>
    </xdr:to>
    <xdr:sp macro="" textlink="">
      <xdr:nvSpPr>
        <xdr:cNvPr id="4" name="Multiply 3">
          <a:extLst>
            <a:ext uri="{FF2B5EF4-FFF2-40B4-BE49-F238E27FC236}">
              <a16:creationId xmlns:a16="http://schemas.microsoft.com/office/drawing/2014/main" id="{00000000-0008-0000-0900-000004000000}"/>
            </a:ext>
          </a:extLst>
        </xdr:cNvPr>
        <xdr:cNvSpPr/>
      </xdr:nvSpPr>
      <xdr:spPr>
        <a:xfrm>
          <a:off x="41271190" y="24411940"/>
          <a:ext cx="74358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macro="" textlink="">
      <xdr:nvSpPr>
        <xdr:cNvPr id="5" name="Down Arrow 4">
          <a:extLst>
            <a:ext uri="{FF2B5EF4-FFF2-40B4-BE49-F238E27FC236}">
              <a16:creationId xmlns:a16="http://schemas.microsoft.com/office/drawing/2014/main" id="{00000000-0008-0000-0900-000005000000}"/>
            </a:ext>
          </a:extLst>
        </xdr:cNvPr>
        <xdr:cNvSpPr/>
      </xdr:nvSpPr>
      <xdr:spPr>
        <a:xfrm>
          <a:off x="61855350" y="402069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macro="" textlink="">
      <xdr:nvSpPr>
        <xdr:cNvPr id="2" name="Down Arrow 1">
          <a:extLst>
            <a:ext uri="{FF2B5EF4-FFF2-40B4-BE49-F238E27FC236}">
              <a16:creationId xmlns:a16="http://schemas.microsoft.com/office/drawing/2014/main" id="{00000000-0008-0000-0900-000002000000}"/>
            </a:ext>
          </a:extLst>
        </xdr:cNvPr>
        <xdr:cNvSpPr/>
      </xdr:nvSpPr>
      <xdr:spPr>
        <a:xfrm>
          <a:off x="12939395" y="33935035"/>
          <a:ext cx="57772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p>
      </xdr:txBody>
    </xdr:sp>
    <xdr:clientData/>
  </xdr:twoCellAnchor>
  <xdr:twoCellAnchor>
    <xdr:from>
      <xdr:col>7</xdr:col>
      <xdr:colOff>2762250</xdr:colOff>
      <xdr:row>150</xdr:row>
      <xdr:rowOff>8890</xdr:rowOff>
    </xdr:from>
    <xdr:to>
      <xdr:col>20</xdr:col>
      <xdr:colOff>134620</xdr:colOff>
      <xdr:row>161</xdr:row>
      <xdr:rowOff>20955</xdr:rowOff>
    </xdr:to>
    <xdr:sp macro="" textlink="">
      <xdr:nvSpPr>
        <xdr:cNvPr id="9" name="Rectangles 8">
          <a:extLst>
            <a:ext uri="{FF2B5EF4-FFF2-40B4-BE49-F238E27FC236}">
              <a16:creationId xmlns:a16="http://schemas.microsoft.com/office/drawing/2014/main" id="{00000000-0008-0000-0900-000009000000}"/>
            </a:ext>
          </a:extLst>
        </xdr:cNvPr>
        <xdr:cNvSpPr/>
      </xdr:nvSpPr>
      <xdr:spPr>
        <a:xfrm>
          <a:off x="26587450" y="26617295"/>
          <a:ext cx="1572387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3</xdr:row>
      <xdr:rowOff>56029</xdr:rowOff>
    </xdr:from>
    <xdr:to>
      <xdr:col>0</xdr:col>
      <xdr:colOff>0</xdr:colOff>
      <xdr:row>21</xdr:row>
      <xdr:rowOff>168088</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macro="">
      <xdr:nvGraphicFramePr>
        <xdr:cNvPr id="18" name="Chart 17">
          <a:extLst>
            <a:ext uri="{FF2B5EF4-FFF2-40B4-BE49-F238E27FC236}">
              <a16:creationId xmlns:a16="http://schemas.microsoft.com/office/drawing/2014/main" id="{00000000-0008-0000-0B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macro="">
      <xdr:nvGraphicFramePr>
        <xdr:cNvPr id="30" name="Chart 29">
          <a:extLst>
            <a:ext uri="{FF2B5EF4-FFF2-40B4-BE49-F238E27FC236}">
              <a16:creationId xmlns:a16="http://schemas.microsoft.com/office/drawing/2014/main" id="{00000000-0008-0000-0B00-00001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macro="">
      <xdr:nvGraphicFramePr>
        <xdr:cNvPr id="31" name="Chart 30">
          <a:extLst>
            <a:ext uri="{FF2B5EF4-FFF2-40B4-BE49-F238E27FC236}">
              <a16:creationId xmlns:a16="http://schemas.microsoft.com/office/drawing/2014/main" id="{00000000-0008-0000-0B00-00001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macro="">
      <xdr:nvGraphicFramePr>
        <xdr:cNvPr id="32" name="Chart 31">
          <a:extLst>
            <a:ext uri="{FF2B5EF4-FFF2-40B4-BE49-F238E27FC236}">
              <a16:creationId xmlns:a16="http://schemas.microsoft.com/office/drawing/2014/main" id="{00000000-0008-0000-0B00-00002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macro="">
      <xdr:nvGraphicFramePr>
        <xdr:cNvPr id="33" name="Chart 32">
          <a:extLst>
            <a:ext uri="{FF2B5EF4-FFF2-40B4-BE49-F238E27FC236}">
              <a16:creationId xmlns:a16="http://schemas.microsoft.com/office/drawing/2014/main" id="{00000000-0008-0000-0B00-00002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B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macro="">
      <xdr:nvGraphicFramePr>
        <xdr:cNvPr id="25" name="Chart 24">
          <a:extLst>
            <a:ext uri="{FF2B5EF4-FFF2-40B4-BE49-F238E27FC236}">
              <a16:creationId xmlns:a16="http://schemas.microsoft.com/office/drawing/2014/main" id="{00000000-0008-0000-0B00-00001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xdr:row>
      <xdr:rowOff>0</xdr:rowOff>
    </xdr:from>
    <xdr:to>
      <xdr:col>0</xdr:col>
      <xdr:colOff>0</xdr:colOff>
      <xdr:row>1</xdr:row>
      <xdr:rowOff>0</xdr:rowOff>
    </xdr:to>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macro="">
      <xdr:nvGraphicFramePr>
        <xdr:cNvPr id="9" name="Chart 8">
          <a:extLst>
            <a:ext uri="{FF2B5EF4-FFF2-40B4-BE49-F238E27FC236}">
              <a16:creationId xmlns:a16="http://schemas.microsoft.com/office/drawing/2014/main" id="{00000000-0008-0000-0C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macro="">
      <xdr:nvGraphicFramePr>
        <xdr:cNvPr id="11" name="Chart 10">
          <a:extLst>
            <a:ext uri="{FF2B5EF4-FFF2-40B4-BE49-F238E27FC236}">
              <a16:creationId xmlns:a16="http://schemas.microsoft.com/office/drawing/2014/main" id="{00000000-0008-0000-0C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2" name="Chart 11">
          <a:extLst>
            <a:ext uri="{FF2B5EF4-FFF2-40B4-BE49-F238E27FC236}">
              <a16:creationId xmlns:a16="http://schemas.microsoft.com/office/drawing/2014/main" id="{00000000-0008-0000-0C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3" name="Chart 12">
          <a:extLst>
            <a:ext uri="{FF2B5EF4-FFF2-40B4-BE49-F238E27FC236}">
              <a16:creationId xmlns:a16="http://schemas.microsoft.com/office/drawing/2014/main" id="{00000000-0008-0000-0C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4" name="Chart 13">
          <a:extLst>
            <a:ext uri="{FF2B5EF4-FFF2-40B4-BE49-F238E27FC236}">
              <a16:creationId xmlns:a16="http://schemas.microsoft.com/office/drawing/2014/main" id="{00000000-0008-0000-0C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15" name="Chart 14">
          <a:extLst>
            <a:ext uri="{FF2B5EF4-FFF2-40B4-BE49-F238E27FC236}">
              <a16:creationId xmlns:a16="http://schemas.microsoft.com/office/drawing/2014/main" id="{00000000-0008-0000-0C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macro="">
      <xdr:nvGraphicFramePr>
        <xdr:cNvPr id="16" name="Chart 15">
          <a:extLst>
            <a:ext uri="{FF2B5EF4-FFF2-40B4-BE49-F238E27FC236}">
              <a16:creationId xmlns:a16="http://schemas.microsoft.com/office/drawing/2014/main" id="{00000000-0008-0000-0C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macro="">
      <xdr:nvGraphicFramePr>
        <xdr:cNvPr id="17" name="Chart 16">
          <a:extLst>
            <a:ext uri="{FF2B5EF4-FFF2-40B4-BE49-F238E27FC236}">
              <a16:creationId xmlns:a16="http://schemas.microsoft.com/office/drawing/2014/main" id="{00000000-0008-0000-0C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macro="">
      <xdr:nvGraphicFramePr>
        <xdr:cNvPr id="18" name="Chart 17">
          <a:extLst>
            <a:ext uri="{FF2B5EF4-FFF2-40B4-BE49-F238E27FC236}">
              <a16:creationId xmlns:a16="http://schemas.microsoft.com/office/drawing/2014/main" id="{00000000-0008-0000-0C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macro="">
      <xdr:nvGraphicFramePr>
        <xdr:cNvPr id="19" name="Chart 18">
          <a:extLst>
            <a:ext uri="{FF2B5EF4-FFF2-40B4-BE49-F238E27FC236}">
              <a16:creationId xmlns:a16="http://schemas.microsoft.com/office/drawing/2014/main" id="{00000000-0008-0000-0C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0" name="Chart 19">
          <a:extLst>
            <a:ext uri="{FF2B5EF4-FFF2-40B4-BE49-F238E27FC236}">
              <a16:creationId xmlns:a16="http://schemas.microsoft.com/office/drawing/2014/main" id="{00000000-0008-0000-0C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macro="">
      <xdr:nvGraphicFramePr>
        <xdr:cNvPr id="21" name="Chart 20">
          <a:extLst>
            <a:ext uri="{FF2B5EF4-FFF2-40B4-BE49-F238E27FC236}">
              <a16:creationId xmlns:a16="http://schemas.microsoft.com/office/drawing/2014/main" id="{00000000-0008-0000-0C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macro="">
      <xdr:nvGraphicFramePr>
        <xdr:cNvPr id="22" name="Chart 21">
          <a:extLst>
            <a:ext uri="{FF2B5EF4-FFF2-40B4-BE49-F238E27FC236}">
              <a16:creationId xmlns:a16="http://schemas.microsoft.com/office/drawing/2014/main" id="{00000000-0008-0000-0C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macro="">
      <xdr:nvGraphicFramePr>
        <xdr:cNvPr id="23" name="Chart 22">
          <a:extLst>
            <a:ext uri="{FF2B5EF4-FFF2-40B4-BE49-F238E27FC236}">
              <a16:creationId xmlns:a16="http://schemas.microsoft.com/office/drawing/2014/main" id="{00000000-0008-0000-0C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3</xdr:row>
      <xdr:rowOff>212910</xdr:rowOff>
    </xdr:from>
    <xdr:to>
      <xdr:col>0</xdr:col>
      <xdr:colOff>0</xdr:colOff>
      <xdr:row>20</xdr:row>
      <xdr:rowOff>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macro="">
      <xdr:nvGraphicFramePr>
        <xdr:cNvPr id="8" name="Chart 7">
          <a:extLst>
            <a:ext uri="{FF2B5EF4-FFF2-40B4-BE49-F238E27FC236}">
              <a16:creationId xmlns:a16="http://schemas.microsoft.com/office/drawing/2014/main" id="{00000000-0008-0000-0D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macro="">
      <xdr:nvGraphicFramePr>
        <xdr:cNvPr id="10" name="Chart 9">
          <a:extLst>
            <a:ext uri="{FF2B5EF4-FFF2-40B4-BE49-F238E27FC236}">
              <a16:creationId xmlns:a16="http://schemas.microsoft.com/office/drawing/2014/main" id="{00000000-0008-0000-0D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xdr:row>
      <xdr:rowOff>96421</xdr:rowOff>
    </xdr:from>
    <xdr:to>
      <xdr:col>0</xdr:col>
      <xdr:colOff>0</xdr:colOff>
      <xdr:row>21</xdr:row>
      <xdr:rowOff>119896</xdr:rowOff>
    </xdr:to>
    <xdr:graphicFrame macro="">
      <xdr:nvGraphicFramePr>
        <xdr:cNvPr id="3" name="Chart 2">
          <a:extLst>
            <a:ext uri="{FF2B5EF4-FFF2-40B4-BE49-F238E27FC236}">
              <a16:creationId xmlns:a16="http://schemas.microsoft.com/office/drawing/2014/main" id="{00000000-0008-0000-0E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macro="">
      <xdr:nvGraphicFramePr>
        <xdr:cNvPr id="4" name="Chart 3">
          <a:extLst>
            <a:ext uri="{FF2B5EF4-FFF2-40B4-BE49-F238E27FC236}">
              <a16:creationId xmlns:a16="http://schemas.microsoft.com/office/drawing/2014/main" id="{00000000-0008-0000-0E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macro="">
      <xdr:nvGraphicFramePr>
        <xdr:cNvPr id="5" name="Chart 4">
          <a:extLst>
            <a:ext uri="{FF2B5EF4-FFF2-40B4-BE49-F238E27FC236}">
              <a16:creationId xmlns:a16="http://schemas.microsoft.com/office/drawing/2014/main" id="{00000000-0008-0000-0E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macro="">
      <xdr:nvGraphicFramePr>
        <xdr:cNvPr id="6" name="Chart 5">
          <a:extLst>
            <a:ext uri="{FF2B5EF4-FFF2-40B4-BE49-F238E27FC236}">
              <a16:creationId xmlns:a16="http://schemas.microsoft.com/office/drawing/2014/main" id="{00000000-0008-0000-0E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macro="">
      <xdr:nvGraphicFramePr>
        <xdr:cNvPr id="7" name="Chart 6">
          <a:extLst>
            <a:ext uri="{FF2B5EF4-FFF2-40B4-BE49-F238E27FC236}">
              <a16:creationId xmlns:a16="http://schemas.microsoft.com/office/drawing/2014/main" id="{00000000-0008-0000-0E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3</xdr:row>
      <xdr:rowOff>0</xdr:rowOff>
    </xdr:from>
    <xdr:to>
      <xdr:col>0</xdr:col>
      <xdr:colOff>0</xdr:colOff>
      <xdr:row>18</xdr:row>
      <xdr:rowOff>95250</xdr:rowOff>
    </xdr:to>
    <xdr:graphicFrame macro="">
      <xdr:nvGraphicFramePr>
        <xdr:cNvPr id="6" name="Chart 5">
          <a:extLst>
            <a:ext uri="{FF2B5EF4-FFF2-40B4-BE49-F238E27FC236}">
              <a16:creationId xmlns:a16="http://schemas.microsoft.com/office/drawing/2014/main" id="{00000000-0008-0000-0F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macro="">
      <xdr:nvGraphicFramePr>
        <xdr:cNvPr id="8" name="Chart 7">
          <a:extLst>
            <a:ext uri="{FF2B5EF4-FFF2-40B4-BE49-F238E27FC236}">
              <a16:creationId xmlns:a16="http://schemas.microsoft.com/office/drawing/2014/main" id="{00000000-0008-0000-0F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macro="">
      <xdr:nvGraphicFramePr>
        <xdr:cNvPr id="9" name="Chart 8">
          <a:extLst>
            <a:ext uri="{FF2B5EF4-FFF2-40B4-BE49-F238E27FC236}">
              <a16:creationId xmlns:a16="http://schemas.microsoft.com/office/drawing/2014/main" id="{00000000-0008-0000-0F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macro="">
      <xdr:nvGraphicFramePr>
        <xdr:cNvPr id="10" name="Chart 9">
          <a:extLst>
            <a:ext uri="{FF2B5EF4-FFF2-40B4-BE49-F238E27FC236}">
              <a16:creationId xmlns:a16="http://schemas.microsoft.com/office/drawing/2014/main" id="{00000000-0008-0000-0F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D14"/>
  <sheetViews>
    <sheetView workbookViewId="0">
      <selection activeCell="C19" sqref="C19"/>
    </sheetView>
  </sheetViews>
  <sheetFormatPr defaultColWidth="8.73046875" defaultRowHeight="14.25"/>
  <sheetData>
    <row r="2" spans="2:4">
      <c r="B2" s="79" t="s">
        <v>0</v>
      </c>
      <c r="C2" s="114" t="s">
        <v>1</v>
      </c>
      <c r="D2" s="79"/>
    </row>
    <row r="3" spans="2:4">
      <c r="B3" s="79"/>
      <c r="C3" s="114" t="s">
        <v>2</v>
      </c>
      <c r="D3" s="79"/>
    </row>
    <row r="4" spans="2:4">
      <c r="B4" s="79"/>
      <c r="C4" s="114" t="s">
        <v>3</v>
      </c>
      <c r="D4" s="79"/>
    </row>
    <row r="5" spans="2:4">
      <c r="B5" s="79"/>
      <c r="C5" s="114" t="s">
        <v>4</v>
      </c>
      <c r="D5" s="79"/>
    </row>
    <row r="6" spans="2:4">
      <c r="B6" s="79"/>
      <c r="C6" s="114" t="s">
        <v>5</v>
      </c>
      <c r="D6" s="79"/>
    </row>
    <row r="7" spans="2:4">
      <c r="B7" s="79"/>
      <c r="C7" s="79"/>
      <c r="D7" s="79"/>
    </row>
    <row r="8" spans="2:4">
      <c r="B8" s="79"/>
      <c r="C8" s="243" t="s">
        <v>6</v>
      </c>
      <c r="D8" s="244" t="s">
        <v>7</v>
      </c>
    </row>
    <row r="9" spans="2:4">
      <c r="B9" s="79"/>
      <c r="C9" s="79"/>
      <c r="D9" s="79"/>
    </row>
    <row r="10" spans="2:4">
      <c r="B10" s="79"/>
      <c r="C10" s="79"/>
      <c r="D10" s="79"/>
    </row>
    <row r="11" spans="2:4">
      <c r="B11" s="79"/>
      <c r="C11" s="79"/>
      <c r="D11" s="79"/>
    </row>
    <row r="12" spans="2:4">
      <c r="B12" s="79"/>
      <c r="C12" s="79"/>
      <c r="D12" s="79"/>
    </row>
    <row r="13" spans="2:4">
      <c r="B13" s="79"/>
      <c r="C13" s="79"/>
      <c r="D13" s="79"/>
    </row>
    <row r="14" spans="2:4">
      <c r="B14" s="79"/>
      <c r="C14" s="79"/>
      <c r="D14" s="79"/>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7:F11"/>
  <sheetViews>
    <sheetView showGridLines="0" workbookViewId="0">
      <selection activeCell="B11" sqref="B11"/>
    </sheetView>
  </sheetViews>
  <sheetFormatPr defaultColWidth="9" defaultRowHeight="14.25"/>
  <cols>
    <col min="2" max="2" width="60.06640625" customWidth="1"/>
    <col min="3" max="6" width="11.06640625" customWidth="1"/>
  </cols>
  <sheetData>
    <row r="7" spans="2:6" s="237" customFormat="1" ht="156" customHeight="1">
      <c r="B7" s="238" t="s">
        <v>8</v>
      </c>
      <c r="C7" s="239"/>
      <c r="D7" s="239"/>
      <c r="E7" s="239"/>
      <c r="F7" s="239"/>
    </row>
    <row r="9" spans="2:6">
      <c r="B9" s="240"/>
    </row>
    <row r="10" spans="2:6" ht="15.75">
      <c r="B10" s="241" t="s">
        <v>9</v>
      </c>
    </row>
    <row r="11" spans="2:6">
      <c r="B11" s="242"/>
    </row>
  </sheetData>
  <pageMargins left="0.7" right="0.7" top="0.75" bottom="0.75" header="0.3" footer="0.3"/>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132"/>
  <sheetViews>
    <sheetView showGridLines="0" workbookViewId="0">
      <pane ySplit="2" topLeftCell="A3" activePane="bottomLeft" state="frozen"/>
      <selection pane="bottomLeft" activeCell="A3" sqref="A3"/>
    </sheetView>
  </sheetViews>
  <sheetFormatPr defaultColWidth="9" defaultRowHeight="14.25"/>
  <cols>
    <col min="1" max="1" width="7.59765625" customWidth="1"/>
    <col min="2" max="2" width="38.265625" style="61" customWidth="1"/>
    <col min="3" max="6" width="13.73046875" customWidth="1"/>
  </cols>
  <sheetData>
    <row r="1" spans="2:6" ht="33.75" customHeight="1">
      <c r="B1" s="245" t="s">
        <v>10</v>
      </c>
      <c r="C1" s="246"/>
      <c r="D1" s="246"/>
      <c r="E1" s="246"/>
      <c r="F1" s="247"/>
    </row>
    <row r="2" spans="2:6">
      <c r="B2" s="248" t="s">
        <v>9</v>
      </c>
      <c r="C2" s="249"/>
      <c r="D2" s="249"/>
      <c r="E2" s="249"/>
      <c r="F2" s="249"/>
    </row>
    <row r="4" spans="2:6">
      <c r="B4"/>
    </row>
    <row r="5" spans="2:6">
      <c r="B5" s="29" t="s">
        <v>11</v>
      </c>
    </row>
    <row r="6" spans="2:6" ht="15" customHeight="1">
      <c r="B6" s="250">
        <v>2015</v>
      </c>
      <c r="C6" s="250"/>
      <c r="D6" s="250"/>
    </row>
    <row r="7" spans="2:6">
      <c r="B7" s="31" t="s">
        <v>12</v>
      </c>
      <c r="C7" s="32" t="s">
        <v>13</v>
      </c>
      <c r="D7" s="33">
        <v>5.4692718834376697</v>
      </c>
    </row>
    <row r="8" spans="2:6" ht="15" customHeight="1">
      <c r="B8" s="31" t="s">
        <v>14</v>
      </c>
      <c r="C8" s="32" t="s">
        <v>15</v>
      </c>
      <c r="D8" s="44">
        <v>14228.2705540072</v>
      </c>
    </row>
    <row r="9" spans="2:6" ht="15.75" customHeight="1"/>
    <row r="10" spans="2:6">
      <c r="B10" s="251" t="s">
        <v>16</v>
      </c>
      <c r="C10" s="255" t="s">
        <v>17</v>
      </c>
      <c r="D10" s="256"/>
      <c r="E10" s="256"/>
      <c r="F10" s="257"/>
    </row>
    <row r="11" spans="2:6">
      <c r="B11" s="252"/>
      <c r="C11" s="258"/>
      <c r="D11" s="259"/>
      <c r="E11" s="259"/>
      <c r="F11" s="260"/>
    </row>
    <row r="12" spans="2:6">
      <c r="B12" s="253"/>
      <c r="C12" s="261"/>
      <c r="D12" s="262"/>
      <c r="E12" s="262"/>
      <c r="F12" s="263"/>
    </row>
    <row r="13" spans="2:6">
      <c r="B13" s="55"/>
      <c r="C13" s="36">
        <v>2020</v>
      </c>
      <c r="D13" s="36">
        <v>2030</v>
      </c>
      <c r="E13" s="36">
        <v>2040</v>
      </c>
      <c r="F13" s="36">
        <v>2050</v>
      </c>
    </row>
    <row r="14" spans="2:6">
      <c r="B14" s="52">
        <v>0.146601948104536</v>
      </c>
      <c r="C14" s="53">
        <v>14411.640945343601</v>
      </c>
      <c r="D14" s="53">
        <v>14288.2900213222</v>
      </c>
      <c r="E14" s="53">
        <v>14288.2900213222</v>
      </c>
      <c r="F14" s="53">
        <v>14288.2900213222</v>
      </c>
    </row>
    <row r="15" spans="2:6">
      <c r="B15" s="52">
        <v>0.24660194810453601</v>
      </c>
      <c r="C15" s="53">
        <v>15078.0957366972</v>
      </c>
      <c r="D15" s="53">
        <v>14591.5415721237</v>
      </c>
      <c r="E15" s="53">
        <v>14591.5415721237</v>
      </c>
      <c r="F15" s="53">
        <v>14591.5415721237</v>
      </c>
    </row>
    <row r="16" spans="2:6">
      <c r="B16" s="52">
        <v>0.34660194810453598</v>
      </c>
      <c r="C16" s="53">
        <v>16731.894346171899</v>
      </c>
      <c r="D16" s="53">
        <v>15344.1762327587</v>
      </c>
      <c r="E16" s="53">
        <v>15344.1762327587</v>
      </c>
      <c r="F16" s="53">
        <v>15344.1762327587</v>
      </c>
    </row>
    <row r="17" spans="2:6">
      <c r="B17" s="52">
        <v>0.39660194810453597</v>
      </c>
      <c r="C17" s="53">
        <v>18944.8873422342</v>
      </c>
      <c r="D17" s="53">
        <v>16114.334825992601</v>
      </c>
      <c r="E17" s="53">
        <v>16114.334825992601</v>
      </c>
      <c r="F17" s="53">
        <v>16114.334825992601</v>
      </c>
    </row>
    <row r="18" spans="2:6">
      <c r="B18" s="52">
        <v>0.44660194810453602</v>
      </c>
      <c r="C18" s="53">
        <v>38658.679368936799</v>
      </c>
      <c r="D18" s="53">
        <v>18014.2523022635</v>
      </c>
      <c r="E18" s="53">
        <v>18014.2523022635</v>
      </c>
      <c r="F18" s="53">
        <v>18014.2523022635</v>
      </c>
    </row>
    <row r="19" spans="2:6">
      <c r="B19" s="52">
        <v>0.49660194810453601</v>
      </c>
      <c r="C19" s="53">
        <v>114048</v>
      </c>
      <c r="D19" s="53">
        <v>37206.371511317499</v>
      </c>
      <c r="E19" s="53">
        <v>37206.371511317499</v>
      </c>
      <c r="F19" s="53">
        <v>37206.371511317499</v>
      </c>
    </row>
    <row r="20" spans="2:6">
      <c r="C20" s="61"/>
      <c r="D20" s="61"/>
      <c r="E20" s="61"/>
      <c r="F20" s="61"/>
    </row>
    <row r="24" spans="2:6" ht="15" customHeight="1">
      <c r="B24" s="254" t="s">
        <v>16</v>
      </c>
      <c r="C24" s="254" t="s">
        <v>18</v>
      </c>
      <c r="D24" s="254"/>
      <c r="E24" s="254"/>
      <c r="F24" s="254"/>
    </row>
    <row r="25" spans="2:6">
      <c r="B25" s="254"/>
      <c r="C25" s="254"/>
      <c r="D25" s="254"/>
      <c r="E25" s="254"/>
      <c r="F25" s="254"/>
    </row>
    <row r="26" spans="2:6">
      <c r="B26" s="254"/>
      <c r="C26" s="254"/>
      <c r="D26" s="254"/>
      <c r="E26" s="254"/>
      <c r="F26" s="254"/>
    </row>
    <row r="27" spans="2:6">
      <c r="B27" s="55"/>
      <c r="C27" s="36">
        <v>2020</v>
      </c>
      <c r="D27" s="36">
        <v>2030</v>
      </c>
      <c r="E27" s="36">
        <v>2040</v>
      </c>
      <c r="F27" s="36">
        <v>2050</v>
      </c>
    </row>
    <row r="28" spans="2:6">
      <c r="B28" s="52">
        <v>0.19160194810453601</v>
      </c>
      <c r="C28" s="53">
        <v>16485.599999999999</v>
      </c>
      <c r="D28" s="53">
        <v>15586.91</v>
      </c>
      <c r="E28" s="53">
        <v>15586.91</v>
      </c>
      <c r="F28" s="53">
        <v>15586.91</v>
      </c>
    </row>
    <row r="29" spans="2:6">
      <c r="B29" s="52">
        <v>0.29160194810453599</v>
      </c>
      <c r="C29" s="53">
        <v>16616.3</v>
      </c>
      <c r="D29" s="53">
        <v>15731.46</v>
      </c>
      <c r="E29" s="53">
        <v>15731.46</v>
      </c>
      <c r="F29" s="53">
        <v>15731.46</v>
      </c>
    </row>
    <row r="30" spans="2:6">
      <c r="B30" s="52">
        <v>0.34160194810453598</v>
      </c>
      <c r="C30" s="53">
        <v>16732.150000000001</v>
      </c>
      <c r="D30" s="53">
        <v>15858.84</v>
      </c>
      <c r="E30" s="53">
        <v>15858.84</v>
      </c>
      <c r="F30" s="53">
        <v>15858.84</v>
      </c>
    </row>
    <row r="31" spans="2:6">
      <c r="B31" s="52">
        <v>0.39160194810453602</v>
      </c>
      <c r="C31" s="53">
        <v>17029.8</v>
      </c>
      <c r="D31" s="53">
        <v>16087.56</v>
      </c>
      <c r="E31" s="53">
        <v>16087.56</v>
      </c>
      <c r="F31" s="53">
        <v>16087.56</v>
      </c>
    </row>
    <row r="32" spans="2:6">
      <c r="B32" s="52">
        <v>0.44160194810453601</v>
      </c>
      <c r="C32" s="53">
        <v>17472.240000000002</v>
      </c>
      <c r="D32" s="53">
        <v>16395.8</v>
      </c>
      <c r="E32" s="53">
        <v>16395.8</v>
      </c>
      <c r="F32" s="53">
        <v>16395.8</v>
      </c>
    </row>
    <row r="33" spans="2:6">
      <c r="B33" s="52">
        <v>0.491601948104536</v>
      </c>
      <c r="C33" s="53">
        <v>26028.09</v>
      </c>
      <c r="D33" s="53">
        <v>16921.189999999999</v>
      </c>
      <c r="E33" s="53">
        <v>16921.189999999999</v>
      </c>
      <c r="F33" s="53">
        <v>16921.189999999999</v>
      </c>
    </row>
    <row r="34" spans="2:6">
      <c r="B34" s="52">
        <v>0.54160194810453599</v>
      </c>
      <c r="C34" s="53">
        <v>103040.24</v>
      </c>
      <c r="D34" s="53">
        <v>31789.08</v>
      </c>
      <c r="E34" s="53">
        <v>31789.08</v>
      </c>
      <c r="F34" s="53">
        <v>31789.08</v>
      </c>
    </row>
    <row r="35" spans="2:6">
      <c r="C35" s="61"/>
      <c r="D35" s="61"/>
      <c r="E35" s="61"/>
      <c r="F35" s="61"/>
    </row>
    <row r="39" spans="2:6" ht="15" customHeight="1">
      <c r="B39" s="254" t="s">
        <v>16</v>
      </c>
      <c r="C39" s="254" t="s">
        <v>19</v>
      </c>
      <c r="D39" s="254"/>
      <c r="E39" s="254"/>
      <c r="F39" s="254"/>
    </row>
    <row r="40" spans="2:6">
      <c r="B40" s="254"/>
      <c r="C40" s="254"/>
      <c r="D40" s="254"/>
      <c r="E40" s="254"/>
      <c r="F40" s="254"/>
    </row>
    <row r="41" spans="2:6">
      <c r="B41" s="254"/>
      <c r="C41" s="254"/>
      <c r="D41" s="254"/>
      <c r="E41" s="254"/>
      <c r="F41" s="254"/>
    </row>
    <row r="42" spans="2:6">
      <c r="B42" s="55"/>
      <c r="C42" s="36">
        <v>2020</v>
      </c>
      <c r="D42" s="36">
        <v>2030</v>
      </c>
      <c r="E42" s="36">
        <v>2040</v>
      </c>
      <c r="F42" s="36">
        <v>2050</v>
      </c>
    </row>
    <row r="43" spans="2:6">
      <c r="B43" s="222">
        <v>0.72160194810453604</v>
      </c>
      <c r="C43" s="53">
        <v>20812.713359178098</v>
      </c>
      <c r="D43" s="53">
        <v>17365.356832015499</v>
      </c>
      <c r="E43" s="53">
        <v>16391.8817697786</v>
      </c>
      <c r="F43" s="53">
        <v>16107.9621769284</v>
      </c>
    </row>
    <row r="44" spans="2:6">
      <c r="B44" s="222">
        <v>0.73160194810453605</v>
      </c>
      <c r="C44" s="53">
        <v>20851.389705015699</v>
      </c>
      <c r="D44" s="53">
        <v>17382.308396641802</v>
      </c>
      <c r="E44" s="53">
        <v>16398.0451175294</v>
      </c>
      <c r="F44" s="53">
        <v>16110.409286501401</v>
      </c>
    </row>
    <row r="45" spans="2:6">
      <c r="B45" s="222">
        <v>0.744101948104536</v>
      </c>
      <c r="C45" s="53">
        <v>20931.943177478599</v>
      </c>
      <c r="D45" s="53">
        <v>17404.5453307715</v>
      </c>
      <c r="E45" s="53">
        <v>16408.443428832601</v>
      </c>
      <c r="F45" s="53">
        <v>16116.8340630847</v>
      </c>
    </row>
    <row r="46" spans="2:6">
      <c r="B46" s="222">
        <v>0.75410194810453601</v>
      </c>
      <c r="C46" s="53">
        <v>21037.783500190701</v>
      </c>
      <c r="D46" s="53">
        <v>17418.0069824979</v>
      </c>
      <c r="E46" s="53">
        <v>16417.159868696799</v>
      </c>
      <c r="F46" s="53">
        <v>16124.0886285498</v>
      </c>
    </row>
    <row r="47" spans="2:6">
      <c r="B47" s="222">
        <v>0.76410194810453602</v>
      </c>
      <c r="C47" s="53">
        <v>21236.317113984798</v>
      </c>
      <c r="D47" s="53">
        <v>17424.299764404699</v>
      </c>
      <c r="E47" s="53">
        <v>16427.425648872701</v>
      </c>
      <c r="F47" s="53">
        <v>16136.0835188483</v>
      </c>
    </row>
    <row r="48" spans="2:6">
      <c r="B48" s="222">
        <v>0.81160194810453601</v>
      </c>
      <c r="C48" s="53">
        <v>59492.373350670903</v>
      </c>
      <c r="D48" s="53">
        <v>18038.154866721601</v>
      </c>
      <c r="E48" s="53">
        <v>16838.025219281</v>
      </c>
      <c r="F48" s="53">
        <v>16485.136488806598</v>
      </c>
    </row>
    <row r="49" spans="2:6">
      <c r="B49" s="222">
        <v>0.81910194810453596</v>
      </c>
      <c r="C49" s="53">
        <v>103206.41584158401</v>
      </c>
      <c r="D49" s="53">
        <v>18410.7431620057</v>
      </c>
      <c r="E49" s="53">
        <v>17196.048797012802</v>
      </c>
      <c r="F49" s="53">
        <v>16848.200398470701</v>
      </c>
    </row>
    <row r="50" spans="2:6">
      <c r="B50" s="222">
        <v>0.82660194810453602</v>
      </c>
      <c r="C50" s="53"/>
      <c r="D50" s="53">
        <v>35985.742334774099</v>
      </c>
      <c r="E50" s="53">
        <v>34084.029879910297</v>
      </c>
      <c r="F50" s="53">
        <v>33973.934064211302</v>
      </c>
    </row>
    <row r="54" spans="2:6" ht="15" customHeight="1"/>
    <row r="55" spans="2:6">
      <c r="B55" s="29" t="s">
        <v>20</v>
      </c>
    </row>
    <row r="56" spans="2:6">
      <c r="B56" s="250">
        <v>2015</v>
      </c>
      <c r="C56" s="250"/>
      <c r="D56" s="250"/>
    </row>
    <row r="57" spans="2:6">
      <c r="B57" s="31" t="s">
        <v>12</v>
      </c>
      <c r="C57" s="32" t="s">
        <v>13</v>
      </c>
      <c r="D57" s="33">
        <v>4.0003418343632502</v>
      </c>
    </row>
    <row r="58" spans="2:6">
      <c r="B58" s="31" t="s">
        <v>14</v>
      </c>
      <c r="C58" s="32" t="s">
        <v>15</v>
      </c>
      <c r="D58" s="44">
        <v>16512.160118624201</v>
      </c>
    </row>
    <row r="60" spans="2:6">
      <c r="B60" s="254" t="s">
        <v>21</v>
      </c>
      <c r="C60" s="254" t="s">
        <v>22</v>
      </c>
      <c r="D60" s="254"/>
      <c r="E60" s="254"/>
      <c r="F60" s="254"/>
    </row>
    <row r="61" spans="2:6">
      <c r="B61" s="254"/>
      <c r="C61" s="254"/>
      <c r="D61" s="254"/>
      <c r="E61" s="254"/>
      <c r="F61" s="254"/>
    </row>
    <row r="62" spans="2:6">
      <c r="B62" s="254"/>
      <c r="C62" s="254"/>
      <c r="D62" s="254"/>
      <c r="E62" s="254"/>
      <c r="F62" s="254"/>
    </row>
    <row r="63" spans="2:6">
      <c r="B63" s="55"/>
      <c r="C63" s="36">
        <v>2020</v>
      </c>
      <c r="D63" s="36">
        <v>2030</v>
      </c>
      <c r="E63" s="36">
        <v>2040</v>
      </c>
      <c r="F63" s="36">
        <v>2050</v>
      </c>
    </row>
    <row r="64" spans="2:6">
      <c r="B64" s="52">
        <v>0.23896485208072199</v>
      </c>
      <c r="C64" s="53">
        <v>17256.9266180255</v>
      </c>
      <c r="D64" s="53">
        <v>16675.840615014899</v>
      </c>
      <c r="E64" s="53">
        <v>16675.840615014899</v>
      </c>
      <c r="F64" s="53">
        <v>16675.840615014899</v>
      </c>
    </row>
    <row r="65" spans="2:6">
      <c r="B65" s="52">
        <v>0.33896485208072202</v>
      </c>
      <c r="C65" s="53">
        <v>19112.483138447398</v>
      </c>
      <c r="D65" s="53">
        <v>17481.945343703101</v>
      </c>
      <c r="E65" s="53">
        <v>17481.945343703101</v>
      </c>
      <c r="F65" s="53">
        <v>17481.945343703101</v>
      </c>
    </row>
    <row r="66" spans="2:6">
      <c r="B66" s="52">
        <v>0.38896485208072201</v>
      </c>
      <c r="C66" s="53">
        <v>21419.927257293399</v>
      </c>
      <c r="D66" s="53">
        <v>18276.201428089898</v>
      </c>
      <c r="E66" s="53">
        <v>18276.201428089898</v>
      </c>
      <c r="F66" s="53">
        <v>18276.201428089898</v>
      </c>
    </row>
    <row r="67" spans="2:6">
      <c r="B67" s="52">
        <v>0.438964852080722</v>
      </c>
      <c r="C67" s="53">
        <v>44400.8562864669</v>
      </c>
      <c r="D67" s="53">
        <v>20035.4273194286</v>
      </c>
      <c r="E67" s="53">
        <v>20035.4273194286</v>
      </c>
      <c r="F67" s="53">
        <v>20035.4273194286</v>
      </c>
    </row>
    <row r="68" spans="2:6">
      <c r="B68" s="52">
        <v>0.48896485208072199</v>
      </c>
      <c r="C68" s="53">
        <v>116626</v>
      </c>
      <c r="D68" s="53">
        <v>36262.296597143097</v>
      </c>
      <c r="E68" s="53">
        <v>36262.296597143097</v>
      </c>
      <c r="F68" s="53">
        <v>36262.296597143097</v>
      </c>
    </row>
    <row r="69" spans="2:6">
      <c r="C69" s="61"/>
      <c r="D69" s="61"/>
      <c r="E69" s="61"/>
      <c r="F69" s="61"/>
    </row>
    <row r="73" spans="2:6" ht="15" customHeight="1">
      <c r="B73" s="254" t="s">
        <v>21</v>
      </c>
      <c r="C73" s="254" t="s">
        <v>23</v>
      </c>
      <c r="D73" s="254"/>
      <c r="E73" s="254"/>
      <c r="F73" s="254"/>
    </row>
    <row r="74" spans="2:6">
      <c r="B74" s="254"/>
      <c r="C74" s="254"/>
      <c r="D74" s="254"/>
      <c r="E74" s="254"/>
      <c r="F74" s="254"/>
    </row>
    <row r="75" spans="2:6">
      <c r="B75" s="254"/>
      <c r="C75" s="254"/>
      <c r="D75" s="254"/>
      <c r="E75" s="254"/>
      <c r="F75" s="254"/>
    </row>
    <row r="76" spans="2:6">
      <c r="B76" s="55"/>
      <c r="C76" s="36">
        <v>2020</v>
      </c>
      <c r="D76" s="36">
        <v>2030</v>
      </c>
      <c r="E76" s="36">
        <v>2040</v>
      </c>
      <c r="F76" s="36">
        <v>2050</v>
      </c>
    </row>
    <row r="77" spans="2:6">
      <c r="B77" s="52">
        <v>0.17146485208072201</v>
      </c>
      <c r="C77" s="53">
        <v>19066.91</v>
      </c>
      <c r="D77" s="53">
        <v>18176.84</v>
      </c>
      <c r="E77" s="53">
        <v>18176.84</v>
      </c>
      <c r="F77" s="53">
        <v>18176.84</v>
      </c>
    </row>
    <row r="78" spans="2:6">
      <c r="B78" s="52">
        <v>0.27146485208072202</v>
      </c>
      <c r="C78" s="53">
        <v>19180.330000000002</v>
      </c>
      <c r="D78" s="53">
        <v>18254.98</v>
      </c>
      <c r="E78" s="53">
        <v>18254.98</v>
      </c>
      <c r="F78" s="53">
        <v>18254.98</v>
      </c>
    </row>
    <row r="79" spans="2:6">
      <c r="B79" s="52">
        <v>0.32146485208072201</v>
      </c>
      <c r="C79" s="53">
        <v>19323.27</v>
      </c>
      <c r="D79" s="53">
        <v>18345.73</v>
      </c>
      <c r="E79" s="53">
        <v>18345.73</v>
      </c>
      <c r="F79" s="53">
        <v>18345.73</v>
      </c>
    </row>
    <row r="80" spans="2:6">
      <c r="B80" s="52">
        <v>0.371464852080722</v>
      </c>
      <c r="C80" s="53">
        <v>19554.53</v>
      </c>
      <c r="D80" s="53">
        <v>18467.830000000002</v>
      </c>
      <c r="E80" s="53">
        <v>18467.830000000002</v>
      </c>
      <c r="F80" s="53">
        <v>18467.830000000002</v>
      </c>
    </row>
    <row r="81" spans="2:6">
      <c r="B81" s="52">
        <v>0.42146485208072199</v>
      </c>
      <c r="C81" s="53">
        <v>19974.78</v>
      </c>
      <c r="D81" s="53">
        <v>18654.37</v>
      </c>
      <c r="E81" s="53">
        <v>18654.37</v>
      </c>
      <c r="F81" s="53">
        <v>18654.37</v>
      </c>
    </row>
    <row r="82" spans="2:6">
      <c r="B82" s="52">
        <v>0.47146485208072197</v>
      </c>
      <c r="C82" s="53">
        <v>27825.81</v>
      </c>
      <c r="D82" s="53">
        <v>18925.79</v>
      </c>
      <c r="E82" s="53">
        <v>18925.79</v>
      </c>
      <c r="F82" s="53">
        <v>18925.79</v>
      </c>
    </row>
    <row r="83" spans="2:6">
      <c r="B83" s="52">
        <v>0.52146485208072202</v>
      </c>
      <c r="C83" s="53">
        <v>99526.92</v>
      </c>
      <c r="D83" s="53">
        <v>24378.61</v>
      </c>
      <c r="E83" s="53">
        <v>24378.61</v>
      </c>
      <c r="F83" s="53">
        <v>24378.61</v>
      </c>
    </row>
    <row r="84" spans="2:6">
      <c r="C84" s="61"/>
      <c r="D84" s="61"/>
      <c r="E84" s="61"/>
      <c r="F84" s="61"/>
    </row>
    <row r="88" spans="2:6" ht="15" customHeight="1">
      <c r="B88" s="254" t="s">
        <v>21</v>
      </c>
      <c r="C88" s="254" t="s">
        <v>24</v>
      </c>
      <c r="D88" s="254"/>
      <c r="E88" s="254"/>
      <c r="F88" s="254"/>
    </row>
    <row r="89" spans="2:6">
      <c r="B89" s="254"/>
      <c r="C89" s="254"/>
      <c r="D89" s="254"/>
      <c r="E89" s="254"/>
      <c r="F89" s="254"/>
    </row>
    <row r="90" spans="2:6">
      <c r="B90" s="254"/>
      <c r="C90" s="254"/>
      <c r="D90" s="254"/>
      <c r="E90" s="254"/>
      <c r="F90" s="254"/>
    </row>
    <row r="91" spans="2:6">
      <c r="B91" s="55"/>
      <c r="C91" s="36">
        <v>2020</v>
      </c>
      <c r="D91" s="36">
        <v>2030</v>
      </c>
      <c r="E91" s="36">
        <v>2040</v>
      </c>
      <c r="F91" s="36">
        <v>2050</v>
      </c>
    </row>
    <row r="92" spans="2:6">
      <c r="B92" s="222">
        <v>0.73896485208072205</v>
      </c>
      <c r="C92" s="53">
        <v>23212.7756758373</v>
      </c>
      <c r="D92" s="53">
        <v>19821.209789876699</v>
      </c>
      <c r="E92" s="53">
        <v>18883.578655643101</v>
      </c>
      <c r="F92" s="53">
        <v>18610.113150257101</v>
      </c>
    </row>
    <row r="93" spans="2:6">
      <c r="B93" s="222">
        <v>0.74896485208072205</v>
      </c>
      <c r="C93" s="53">
        <v>23245.171950927899</v>
      </c>
      <c r="D93" s="53">
        <v>19835.329400161801</v>
      </c>
      <c r="E93" s="53">
        <v>18887.393581433498</v>
      </c>
      <c r="F93" s="53">
        <v>18610.318805259099</v>
      </c>
    </row>
    <row r="94" spans="2:6">
      <c r="B94" s="222">
        <v>0.75896485208072195</v>
      </c>
      <c r="C94" s="53">
        <v>23332.800409511801</v>
      </c>
      <c r="D94" s="53">
        <v>19856.708664897498</v>
      </c>
      <c r="E94" s="53">
        <v>18901.4352903486</v>
      </c>
      <c r="F94" s="53">
        <v>18622.1162109176</v>
      </c>
    </row>
    <row r="95" spans="2:6">
      <c r="B95" s="222">
        <v>0.76896485208072196</v>
      </c>
      <c r="C95" s="53">
        <v>23598.5211216196</v>
      </c>
      <c r="D95" s="53">
        <v>19920.858552442402</v>
      </c>
      <c r="E95" s="53">
        <v>18954.9502341197</v>
      </c>
      <c r="F95" s="53">
        <v>18673.332067658201</v>
      </c>
    </row>
    <row r="96" spans="2:6">
      <c r="B96" s="222">
        <v>0.77896485208072197</v>
      </c>
      <c r="C96" s="53">
        <v>24105.637178956698</v>
      </c>
      <c r="D96" s="53">
        <v>19990.490079394101</v>
      </c>
      <c r="E96" s="53">
        <v>19029.987102786901</v>
      </c>
      <c r="F96" s="53">
        <v>18752.477803061702</v>
      </c>
    </row>
    <row r="97" spans="2:6">
      <c r="B97" s="222">
        <v>0.82146485208072195</v>
      </c>
      <c r="C97" s="53">
        <v>62041.574845045099</v>
      </c>
      <c r="D97" s="53">
        <v>20649.567937699001</v>
      </c>
      <c r="E97" s="53">
        <v>19513.0905822758</v>
      </c>
      <c r="F97" s="53">
        <v>19185.965739757401</v>
      </c>
    </row>
    <row r="98" spans="2:6">
      <c r="B98" s="222">
        <v>0.82646485208072196</v>
      </c>
      <c r="C98" s="53">
        <v>105784.41584158401</v>
      </c>
      <c r="D98" s="53">
        <v>36812.186874611099</v>
      </c>
      <c r="E98" s="53">
        <v>35043.902286641802</v>
      </c>
      <c r="F98" s="53">
        <v>34935.4235083413</v>
      </c>
    </row>
    <row r="99" spans="2:6">
      <c r="C99" s="61"/>
      <c r="D99" s="61"/>
      <c r="E99" s="61"/>
      <c r="F99" s="61"/>
    </row>
    <row r="103" spans="2:6">
      <c r="B103" s="250">
        <v>2020</v>
      </c>
      <c r="C103" s="250"/>
      <c r="D103" s="250"/>
    </row>
    <row r="104" spans="2:6">
      <c r="B104" s="31" t="s">
        <v>25</v>
      </c>
      <c r="C104" s="32" t="s">
        <v>26</v>
      </c>
      <c r="D104" s="47">
        <v>0.13500000000000001</v>
      </c>
    </row>
    <row r="106" spans="2:6" ht="15" customHeight="1">
      <c r="B106" s="254" t="s">
        <v>27</v>
      </c>
      <c r="C106" s="254" t="s">
        <v>28</v>
      </c>
      <c r="D106" s="254"/>
      <c r="E106" s="254"/>
      <c r="F106" s="254"/>
    </row>
    <row r="107" spans="2:6">
      <c r="B107" s="254"/>
      <c r="C107" s="254"/>
      <c r="D107" s="254"/>
      <c r="E107" s="254"/>
      <c r="F107" s="254"/>
    </row>
    <row r="108" spans="2:6">
      <c r="B108" s="254"/>
      <c r="C108" s="254"/>
      <c r="D108" s="254"/>
      <c r="E108" s="254"/>
      <c r="F108" s="254"/>
    </row>
    <row r="109" spans="2:6">
      <c r="B109" s="55"/>
      <c r="C109" s="36">
        <v>2020</v>
      </c>
      <c r="D109" s="36">
        <v>2030</v>
      </c>
      <c r="E109" s="36">
        <v>2040</v>
      </c>
      <c r="F109" s="36">
        <v>2050</v>
      </c>
    </row>
    <row r="110" spans="2:6">
      <c r="B110" s="42">
        <v>120</v>
      </c>
      <c r="C110" s="53">
        <v>18953.2762099008</v>
      </c>
      <c r="D110" s="53">
        <v>15896.260500607999</v>
      </c>
      <c r="E110" s="53">
        <v>15352.156828187401</v>
      </c>
      <c r="F110" s="53">
        <v>15163.7335480335</v>
      </c>
    </row>
    <row r="111" spans="2:6">
      <c r="B111" s="42">
        <v>160</v>
      </c>
      <c r="C111" s="53">
        <v>20746.58543734</v>
      </c>
      <c r="D111" s="53">
        <v>16045.585314875099</v>
      </c>
      <c r="E111" s="53">
        <v>15452.7714089235</v>
      </c>
      <c r="F111" s="53">
        <v>15247.4797589273</v>
      </c>
    </row>
    <row r="112" spans="2:6">
      <c r="B112" s="42">
        <v>200</v>
      </c>
      <c r="C112" s="53">
        <v>22539.8946647792</v>
      </c>
      <c r="D112" s="53">
        <v>16341.0578197016</v>
      </c>
      <c r="E112" s="53">
        <v>15651.859834635499</v>
      </c>
      <c r="F112" s="53">
        <v>15413.1903464405</v>
      </c>
    </row>
    <row r="113" spans="2:6">
      <c r="B113" s="42">
        <v>250</v>
      </c>
      <c r="C113" s="53">
        <v>24861.976621584501</v>
      </c>
      <c r="D113" s="53">
        <v>16915.0911131344</v>
      </c>
      <c r="E113" s="53">
        <v>16038.6416259325</v>
      </c>
      <c r="F113" s="53">
        <v>15735.126881153999</v>
      </c>
    </row>
    <row r="114" spans="2:6">
      <c r="B114" s="42">
        <v>300</v>
      </c>
      <c r="C114" s="53">
        <v>27184.058578389799</v>
      </c>
      <c r="D114" s="53">
        <v>17489.124406567302</v>
      </c>
      <c r="E114" s="53">
        <v>16425.4234172295</v>
      </c>
      <c r="F114" s="53">
        <v>16057.0634158674</v>
      </c>
    </row>
    <row r="115" spans="2:6">
      <c r="B115" s="42">
        <v>350</v>
      </c>
      <c r="C115" s="53">
        <v>30343.490968204402</v>
      </c>
      <c r="D115" s="53">
        <v>18183.461817223699</v>
      </c>
      <c r="E115" s="53">
        <v>16815.644517795601</v>
      </c>
      <c r="F115" s="53">
        <v>16381.862648186599</v>
      </c>
    </row>
    <row r="116" spans="2:6">
      <c r="B116" s="42">
        <v>400</v>
      </c>
      <c r="C116" s="53">
        <v>33742.127452170898</v>
      </c>
      <c r="D116" s="53">
        <v>18912.547487787699</v>
      </c>
      <c r="E116" s="53">
        <v>17205.865618361699</v>
      </c>
      <c r="F116" s="53">
        <v>16706.661880505799</v>
      </c>
    </row>
    <row r="117" spans="2:6">
      <c r="B117" s="42">
        <v>500</v>
      </c>
      <c r="C117" s="53">
        <v>41257.012702559798</v>
      </c>
      <c r="D117" s="53">
        <v>20642.285744030301</v>
      </c>
      <c r="E117" s="53">
        <v>18136.629310113301</v>
      </c>
      <c r="F117" s="53">
        <v>17356.260345144099</v>
      </c>
    </row>
    <row r="118" spans="2:6">
      <c r="B118"/>
    </row>
    <row r="121" spans="2:6" ht="15" customHeight="1">
      <c r="B121" s="254" t="s">
        <v>29</v>
      </c>
      <c r="C121" s="254" t="s">
        <v>30</v>
      </c>
      <c r="D121" s="254"/>
      <c r="E121" s="254"/>
      <c r="F121" s="254"/>
    </row>
    <row r="122" spans="2:6" ht="15.75" customHeight="1">
      <c r="B122" s="254"/>
      <c r="C122" s="254"/>
      <c r="D122" s="254"/>
      <c r="E122" s="254"/>
      <c r="F122" s="254"/>
    </row>
    <row r="123" spans="2:6" ht="21.75" customHeight="1">
      <c r="B123" s="254"/>
      <c r="C123" s="254"/>
      <c r="D123" s="254"/>
      <c r="E123" s="254"/>
      <c r="F123" s="254"/>
    </row>
    <row r="124" spans="2:6" ht="18" customHeight="1">
      <c r="B124" s="55"/>
      <c r="C124" s="36">
        <v>2020</v>
      </c>
      <c r="D124" s="36">
        <v>2030</v>
      </c>
      <c r="E124" s="36">
        <v>2040</v>
      </c>
      <c r="F124" s="36">
        <v>2050</v>
      </c>
    </row>
    <row r="125" spans="2:6">
      <c r="B125" s="225">
        <v>0.82547332511939797</v>
      </c>
      <c r="C125" s="53">
        <v>38790.250706398503</v>
      </c>
      <c r="D125" s="53">
        <v>26275.832309107402</v>
      </c>
      <c r="E125" s="53">
        <v>21981.459489950699</v>
      </c>
      <c r="F125" s="53">
        <v>20924.256798613798</v>
      </c>
    </row>
    <row r="126" spans="2:6">
      <c r="B126" s="225">
        <v>0.79009589689999504</v>
      </c>
      <c r="C126" s="53">
        <v>38995.391435792299</v>
      </c>
      <c r="D126" s="53">
        <v>26441.685967644</v>
      </c>
      <c r="E126" s="53">
        <v>22123.271336640599</v>
      </c>
      <c r="F126" s="53">
        <v>21062.2358926905</v>
      </c>
    </row>
    <row r="127" spans="2:6">
      <c r="B127" s="225">
        <v>0.754718468680593</v>
      </c>
      <c r="C127" s="53">
        <v>39349.340782981402</v>
      </c>
      <c r="D127" s="53">
        <v>26607.539626180602</v>
      </c>
      <c r="E127" s="53">
        <v>22265.083183330498</v>
      </c>
      <c r="F127" s="53">
        <v>21200.2149867671</v>
      </c>
    </row>
    <row r="128" spans="2:6">
      <c r="B128" s="225">
        <v>0.71934104046118996</v>
      </c>
      <c r="C128" s="53">
        <v>41112.186517886599</v>
      </c>
      <c r="D128" s="53">
        <v>26773.3932847172</v>
      </c>
      <c r="E128" s="53">
        <v>22406.895030020401</v>
      </c>
      <c r="F128" s="53">
        <v>21338.194080843801</v>
      </c>
    </row>
    <row r="129" spans="2:6">
      <c r="B129" s="225">
        <v>0.68820890362811604</v>
      </c>
      <c r="C129" s="53">
        <v>41503.384850133902</v>
      </c>
      <c r="D129" s="53">
        <v>27942.636601134</v>
      </c>
      <c r="E129" s="53">
        <v>22548.706876710301</v>
      </c>
      <c r="F129" s="53">
        <v>21476.173174920499</v>
      </c>
    </row>
    <row r="130" spans="2:6">
      <c r="B130" s="225">
        <v>0.66627489813208596</v>
      </c>
      <c r="C130" s="53">
        <v>41725.471985774799</v>
      </c>
      <c r="D130" s="53">
        <v>28117.474782171801</v>
      </c>
      <c r="E130" s="53">
        <v>22690.518723400201</v>
      </c>
      <c r="F130" s="53">
        <v>21614.152268997099</v>
      </c>
    </row>
    <row r="131" spans="2:6">
      <c r="B131" s="225">
        <v>0.64622768880775805</v>
      </c>
      <c r="C131" s="53">
        <v>41947.559121415601</v>
      </c>
      <c r="D131" s="53">
        <v>28292.312963209599</v>
      </c>
      <c r="E131" s="53">
        <v>22832.3305700901</v>
      </c>
      <c r="F131" s="53">
        <v>21752.1313630738</v>
      </c>
    </row>
    <row r="132" spans="2:6">
      <c r="B132" s="225">
        <v>0.63561446034193703</v>
      </c>
      <c r="C132" s="53">
        <v>42169.646257056498</v>
      </c>
      <c r="D132" s="53">
        <v>28467.1511442474</v>
      </c>
      <c r="E132" s="53">
        <v>22974.14241678</v>
      </c>
      <c r="F132" s="53">
        <v>21890.1104571504</v>
      </c>
    </row>
  </sheetData>
  <mergeCells count="21">
    <mergeCell ref="B106:B108"/>
    <mergeCell ref="B121:B123"/>
    <mergeCell ref="C24:F26"/>
    <mergeCell ref="C10:F12"/>
    <mergeCell ref="C106:F108"/>
    <mergeCell ref="C121:F123"/>
    <mergeCell ref="C39:F41"/>
    <mergeCell ref="C60:F62"/>
    <mergeCell ref="C88:F90"/>
    <mergeCell ref="C73:F75"/>
    <mergeCell ref="B1:F1"/>
    <mergeCell ref="B2:F2"/>
    <mergeCell ref="B6:D6"/>
    <mergeCell ref="B56:D56"/>
    <mergeCell ref="B103:D103"/>
    <mergeCell ref="B10:B12"/>
    <mergeCell ref="B24:B26"/>
    <mergeCell ref="B39:B41"/>
    <mergeCell ref="B60:B62"/>
    <mergeCell ref="B73:B75"/>
    <mergeCell ref="B88:B90"/>
  </mergeCell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32"/>
  <sheetViews>
    <sheetView showGridLines="0" workbookViewId="0">
      <pane ySplit="2" topLeftCell="A3" activePane="bottomLeft" state="frozen"/>
      <selection pane="bottomLeft" activeCell="A3" sqref="A3"/>
    </sheetView>
  </sheetViews>
  <sheetFormatPr defaultColWidth="9" defaultRowHeight="14.25"/>
  <cols>
    <col min="1" max="1" width="7.59765625" customWidth="1"/>
    <col min="2" max="2" width="38.265625" style="61" customWidth="1"/>
    <col min="3" max="6" width="13.73046875" customWidth="1"/>
  </cols>
  <sheetData>
    <row r="1" spans="2:6" ht="33.75" customHeight="1">
      <c r="B1" s="245" t="s">
        <v>10</v>
      </c>
      <c r="C1" s="246"/>
      <c r="D1" s="246"/>
      <c r="E1" s="246"/>
      <c r="F1" s="247"/>
    </row>
    <row r="2" spans="2:6">
      <c r="B2" s="248" t="s">
        <v>9</v>
      </c>
      <c r="C2" s="249"/>
      <c r="D2" s="249"/>
      <c r="E2" s="249"/>
      <c r="F2" s="249"/>
    </row>
    <row r="4" spans="2:6" ht="15" customHeight="1"/>
    <row r="5" spans="2:6">
      <c r="B5" s="29" t="s">
        <v>31</v>
      </c>
    </row>
    <row r="6" spans="2:6" ht="15" customHeight="1">
      <c r="B6" s="250">
        <v>2015</v>
      </c>
      <c r="C6" s="250"/>
      <c r="D6" s="250"/>
    </row>
    <row r="7" spans="2:6" ht="15.75" customHeight="1">
      <c r="B7" s="31" t="s">
        <v>12</v>
      </c>
      <c r="C7" s="32" t="s">
        <v>13</v>
      </c>
      <c r="D7" s="33">
        <v>7.8951871816677102</v>
      </c>
    </row>
    <row r="8" spans="2:6">
      <c r="B8" s="31" t="s">
        <v>14</v>
      </c>
      <c r="C8" s="32" t="s">
        <v>15</v>
      </c>
      <c r="D8" s="44">
        <v>37057.809663658103</v>
      </c>
    </row>
    <row r="10" spans="2:6">
      <c r="B10" s="254" t="s">
        <v>16</v>
      </c>
      <c r="C10" s="254" t="s">
        <v>32</v>
      </c>
      <c r="D10" s="254"/>
      <c r="E10" s="254"/>
      <c r="F10" s="254"/>
    </row>
    <row r="11" spans="2:6">
      <c r="B11" s="254"/>
      <c r="C11" s="254"/>
      <c r="D11" s="254"/>
      <c r="E11" s="254"/>
      <c r="F11" s="254"/>
    </row>
    <row r="12" spans="2:6">
      <c r="B12" s="254"/>
      <c r="C12" s="254"/>
      <c r="D12" s="254"/>
      <c r="E12" s="254"/>
      <c r="F12" s="254"/>
    </row>
    <row r="13" spans="2:6">
      <c r="B13" s="55"/>
      <c r="C13" s="36">
        <v>2020</v>
      </c>
      <c r="D13" s="36">
        <v>2030</v>
      </c>
      <c r="E13" s="36">
        <v>2040</v>
      </c>
      <c r="F13" s="36">
        <v>2050</v>
      </c>
    </row>
    <row r="14" spans="2:6">
      <c r="B14" s="52">
        <v>9.8944858243839903E-2</v>
      </c>
      <c r="C14" s="53">
        <v>37317.4611846275</v>
      </c>
      <c r="D14" s="53">
        <v>37171.820218369903</v>
      </c>
      <c r="E14" s="53">
        <v>37171.820218369903</v>
      </c>
      <c r="F14" s="53">
        <v>37171.820218369903</v>
      </c>
    </row>
    <row r="15" spans="2:6">
      <c r="B15" s="52">
        <v>0.19894485824384001</v>
      </c>
      <c r="C15" s="53">
        <v>38176.103264815203</v>
      </c>
      <c r="D15" s="53">
        <v>37390.027908287899</v>
      </c>
      <c r="E15" s="53">
        <v>37390.027908287899</v>
      </c>
      <c r="F15" s="53">
        <v>37390.027908287899</v>
      </c>
    </row>
    <row r="16" spans="2:6">
      <c r="B16" s="52">
        <v>0.29894485824383998</v>
      </c>
      <c r="C16" s="53">
        <v>40102.527969595198</v>
      </c>
      <c r="D16" s="53">
        <v>37818.502527376098</v>
      </c>
      <c r="E16" s="53">
        <v>37818.502527376098</v>
      </c>
      <c r="F16" s="53">
        <v>37818.502527376098</v>
      </c>
    </row>
    <row r="17" spans="2:11">
      <c r="B17" s="52">
        <v>0.34894485824383997</v>
      </c>
      <c r="C17" s="53">
        <v>42408.538569459299</v>
      </c>
      <c r="D17" s="53">
        <v>38408.139313046602</v>
      </c>
      <c r="E17" s="53">
        <v>38408.139313046602</v>
      </c>
      <c r="F17" s="53">
        <v>38408.139313046602</v>
      </c>
      <c r="K17" s="61"/>
    </row>
    <row r="18" spans="2:11">
      <c r="B18" s="52">
        <v>0.39894485824384002</v>
      </c>
      <c r="C18" s="53">
        <v>48739.818392822497</v>
      </c>
      <c r="D18" s="53">
        <v>39463.2510831131</v>
      </c>
      <c r="E18" s="53">
        <v>39463.2510831131</v>
      </c>
      <c r="F18" s="53">
        <v>39463.2510831131</v>
      </c>
    </row>
    <row r="19" spans="2:11">
      <c r="B19" s="52">
        <v>0.44894485824384001</v>
      </c>
      <c r="C19" s="53">
        <v>103044.926074979</v>
      </c>
      <c r="D19" s="53">
        <v>42665.918769686898</v>
      </c>
      <c r="E19" s="53">
        <v>42665.918769686898</v>
      </c>
      <c r="F19" s="53">
        <v>42665.918769686898</v>
      </c>
    </row>
    <row r="20" spans="2:11">
      <c r="C20" s="61"/>
      <c r="D20" s="61"/>
      <c r="E20" s="61"/>
      <c r="F20" s="61"/>
    </row>
    <row r="24" spans="2:11" ht="15" customHeight="1">
      <c r="B24" s="254" t="s">
        <v>16</v>
      </c>
      <c r="C24" s="254" t="s">
        <v>33</v>
      </c>
      <c r="D24" s="254"/>
      <c r="E24" s="254"/>
      <c r="F24" s="254"/>
    </row>
    <row r="25" spans="2:11">
      <c r="B25" s="254"/>
      <c r="C25" s="254"/>
      <c r="D25" s="254"/>
      <c r="E25" s="254"/>
      <c r="F25" s="254"/>
    </row>
    <row r="26" spans="2:11">
      <c r="B26" s="254"/>
      <c r="C26" s="254"/>
      <c r="D26" s="254"/>
      <c r="E26" s="254"/>
      <c r="F26" s="254"/>
    </row>
    <row r="27" spans="2:11">
      <c r="B27" s="55"/>
      <c r="C27" s="36">
        <v>2020</v>
      </c>
      <c r="D27" s="36">
        <v>2030</v>
      </c>
      <c r="E27" s="36">
        <v>2040</v>
      </c>
      <c r="F27" s="36">
        <v>2050</v>
      </c>
    </row>
    <row r="28" spans="2:11">
      <c r="B28" s="52">
        <v>0.24644485824383999</v>
      </c>
      <c r="C28" s="53">
        <v>40649.728972283403</v>
      </c>
      <c r="D28" s="53">
        <v>39285.9289722834</v>
      </c>
      <c r="E28" s="53">
        <v>39285.9289722834</v>
      </c>
      <c r="F28" s="53">
        <v>39285.9289722834</v>
      </c>
    </row>
    <row r="29" spans="2:11">
      <c r="B29" s="52">
        <v>0.34644485824384003</v>
      </c>
      <c r="C29" s="53">
        <v>40906.888972283399</v>
      </c>
      <c r="D29" s="53">
        <v>39430.918972283398</v>
      </c>
      <c r="E29" s="53">
        <v>39430.918972283398</v>
      </c>
      <c r="F29" s="53">
        <v>39430.918972283398</v>
      </c>
    </row>
    <row r="30" spans="2:11">
      <c r="B30" s="52">
        <v>0.39644485824384001</v>
      </c>
      <c r="C30" s="53">
        <v>41410.2489722834</v>
      </c>
      <c r="D30" s="53">
        <v>39592.028972283399</v>
      </c>
      <c r="E30" s="53">
        <v>39592.028972283399</v>
      </c>
      <c r="F30" s="53">
        <v>39592.028972283399</v>
      </c>
    </row>
    <row r="31" spans="2:11">
      <c r="B31" s="52">
        <v>0.44644485824384</v>
      </c>
      <c r="C31" s="53">
        <v>42124.728972283403</v>
      </c>
      <c r="D31" s="53">
        <v>39729.288972283401</v>
      </c>
      <c r="E31" s="53">
        <v>39729.288972283401</v>
      </c>
      <c r="F31" s="53">
        <v>39729.288972283401</v>
      </c>
    </row>
    <row r="32" spans="2:11">
      <c r="B32" s="52">
        <v>0.49644485824383999</v>
      </c>
      <c r="C32" s="53">
        <v>44259.828972283402</v>
      </c>
      <c r="D32" s="53">
        <v>39901.228972283403</v>
      </c>
      <c r="E32" s="53">
        <v>39901.228972283403</v>
      </c>
      <c r="F32" s="53">
        <v>39901.228972283403</v>
      </c>
    </row>
    <row r="33" spans="2:6">
      <c r="B33" s="52">
        <v>0.54644485824384004</v>
      </c>
      <c r="C33" s="53">
        <v>81512.518972283404</v>
      </c>
      <c r="D33" s="53">
        <v>40354.458972283399</v>
      </c>
      <c r="E33" s="53">
        <v>40354.458972283399</v>
      </c>
      <c r="F33" s="53">
        <v>40354.458972283399</v>
      </c>
    </row>
    <row r="34" spans="2:6">
      <c r="B34" s="52">
        <v>0.59644485824383997</v>
      </c>
      <c r="C34" s="53">
        <v>136921.62897228301</v>
      </c>
      <c r="D34" s="53">
        <v>48595.518972283397</v>
      </c>
      <c r="E34" s="53">
        <v>48595.518972283397</v>
      </c>
      <c r="F34" s="53">
        <v>48595.518972283397</v>
      </c>
    </row>
    <row r="35" spans="2:6">
      <c r="C35" s="61"/>
      <c r="D35" s="61"/>
      <c r="E35" s="61"/>
      <c r="F35" s="61"/>
    </row>
    <row r="39" spans="2:6" ht="15" customHeight="1">
      <c r="B39" s="254" t="s">
        <v>16</v>
      </c>
      <c r="C39" s="254" t="s">
        <v>34</v>
      </c>
      <c r="D39" s="254"/>
      <c r="E39" s="254"/>
      <c r="F39" s="254"/>
    </row>
    <row r="40" spans="2:6">
      <c r="B40" s="254"/>
      <c r="C40" s="254"/>
      <c r="D40" s="254"/>
      <c r="E40" s="254"/>
      <c r="F40" s="254"/>
    </row>
    <row r="41" spans="2:6">
      <c r="B41" s="254"/>
      <c r="C41" s="254"/>
      <c r="D41" s="254"/>
      <c r="E41" s="254"/>
      <c r="F41" s="254"/>
    </row>
    <row r="42" spans="2:6">
      <c r="B42" s="55"/>
      <c r="C42" s="36">
        <v>2020</v>
      </c>
      <c r="D42" s="36">
        <v>2030</v>
      </c>
      <c r="E42" s="36">
        <v>2040</v>
      </c>
      <c r="F42" s="36">
        <v>2050</v>
      </c>
    </row>
    <row r="43" spans="2:6">
      <c r="B43" s="222">
        <v>0.67394485824383998</v>
      </c>
      <c r="C43" s="53">
        <v>46420.589437904702</v>
      </c>
      <c r="D43" s="53">
        <v>41366.350322690902</v>
      </c>
      <c r="E43" s="53">
        <v>40062.051264037997</v>
      </c>
      <c r="F43" s="53">
        <v>39681.644952615199</v>
      </c>
    </row>
    <row r="44" spans="2:6">
      <c r="B44" s="222">
        <v>0.68394485824383999</v>
      </c>
      <c r="C44" s="53">
        <v>46586.715338834103</v>
      </c>
      <c r="D44" s="53">
        <v>41403.064061231402</v>
      </c>
      <c r="E44" s="53">
        <v>40074.718798282003</v>
      </c>
      <c r="F44" s="53">
        <v>39685.998466232901</v>
      </c>
    </row>
    <row r="45" spans="2:6">
      <c r="B45" s="222">
        <v>0.69644485824383995</v>
      </c>
      <c r="C45" s="53">
        <v>46895.554924284901</v>
      </c>
      <c r="D45" s="53">
        <v>41450.090496737801</v>
      </c>
      <c r="E45" s="53">
        <v>40091.6431393694</v>
      </c>
      <c r="F45" s="53">
        <v>39692.545625708801</v>
      </c>
    </row>
    <row r="46" spans="2:6">
      <c r="B46" s="222">
        <v>0.70644485824383996</v>
      </c>
      <c r="C46" s="53">
        <v>47296.933903048797</v>
      </c>
      <c r="D46" s="53">
        <v>41477.604644200401</v>
      </c>
      <c r="E46" s="53">
        <v>40099.992908603701</v>
      </c>
      <c r="F46" s="53">
        <v>39694.219059276897</v>
      </c>
    </row>
    <row r="47" spans="2:6">
      <c r="B47" s="222">
        <v>0.71644485824383997</v>
      </c>
      <c r="C47" s="53">
        <v>48114.027415461598</v>
      </c>
      <c r="D47" s="53">
        <v>41493.428524008697</v>
      </c>
      <c r="E47" s="53">
        <v>40105.023254485903</v>
      </c>
      <c r="F47" s="53">
        <v>39695.4986628482</v>
      </c>
    </row>
    <row r="48" spans="2:6">
      <c r="B48" s="222">
        <v>0.76394485824383995</v>
      </c>
      <c r="C48" s="53">
        <v>108321.206334626</v>
      </c>
      <c r="D48" s="53">
        <v>42684.171226563398</v>
      </c>
      <c r="E48" s="53">
        <v>40858.054713934704</v>
      </c>
      <c r="F48" s="53">
        <v>40312.216186823498</v>
      </c>
    </row>
    <row r="49" spans="2:6">
      <c r="B49" s="222">
        <v>0.77144485824384001</v>
      </c>
      <c r="C49" s="53"/>
      <c r="D49" s="53">
        <v>42729.6383182063</v>
      </c>
      <c r="E49" s="53">
        <v>40901.744467545002</v>
      </c>
      <c r="F49" s="53">
        <v>40356.521014060098</v>
      </c>
    </row>
    <row r="50" spans="2:6">
      <c r="C50" s="61"/>
      <c r="D50" s="61"/>
      <c r="E50" s="61"/>
      <c r="F50" s="61"/>
    </row>
    <row r="55" spans="2:6">
      <c r="B55" s="29" t="s">
        <v>35</v>
      </c>
    </row>
    <row r="56" spans="2:6">
      <c r="B56" s="250">
        <v>2015</v>
      </c>
      <c r="C56" s="250"/>
      <c r="D56" s="250"/>
    </row>
    <row r="57" spans="2:6">
      <c r="B57" s="31" t="s">
        <v>12</v>
      </c>
      <c r="C57" s="32" t="s">
        <v>13</v>
      </c>
      <c r="D57" s="33">
        <v>6.7325109185439196</v>
      </c>
    </row>
    <row r="58" spans="2:6">
      <c r="B58" s="31" t="s">
        <v>14</v>
      </c>
      <c r="C58" s="32" t="s">
        <v>15</v>
      </c>
      <c r="D58" s="44">
        <v>42530.904474210998</v>
      </c>
    </row>
    <row r="60" spans="2:6" ht="15" customHeight="1">
      <c r="B60" s="254" t="s">
        <v>21</v>
      </c>
      <c r="C60" s="254" t="s">
        <v>36</v>
      </c>
      <c r="D60" s="254"/>
      <c r="E60" s="254"/>
      <c r="F60" s="254"/>
    </row>
    <row r="61" spans="2:6">
      <c r="B61" s="254"/>
      <c r="C61" s="254"/>
      <c r="D61" s="254"/>
      <c r="E61" s="254"/>
      <c r="F61" s="254"/>
    </row>
    <row r="62" spans="2:6">
      <c r="B62" s="254"/>
      <c r="C62" s="254"/>
      <c r="D62" s="254"/>
      <c r="E62" s="254"/>
      <c r="F62" s="254"/>
    </row>
    <row r="63" spans="2:6">
      <c r="B63" s="55"/>
      <c r="C63" s="36">
        <v>2020</v>
      </c>
      <c r="D63" s="36">
        <v>2030</v>
      </c>
      <c r="E63" s="36">
        <v>2040</v>
      </c>
      <c r="F63" s="36">
        <v>2050</v>
      </c>
    </row>
    <row r="64" spans="2:6">
      <c r="B64" s="52">
        <v>0.18117418747455799</v>
      </c>
      <c r="C64" s="53">
        <v>43323.557002863803</v>
      </c>
      <c r="D64" s="53">
        <v>42722.785401156798</v>
      </c>
      <c r="E64" s="53">
        <v>42722.785401156798</v>
      </c>
      <c r="F64" s="53">
        <v>42722.785401156798</v>
      </c>
    </row>
    <row r="65" spans="2:6">
      <c r="B65" s="52">
        <v>0.28117418747455702</v>
      </c>
      <c r="C65" s="53">
        <v>45065.867227937801</v>
      </c>
      <c r="D65" s="53">
        <v>43554.306443046298</v>
      </c>
      <c r="E65" s="53">
        <v>43554.306443046298</v>
      </c>
      <c r="F65" s="53">
        <v>43554.306443046298</v>
      </c>
    </row>
    <row r="66" spans="2:6">
      <c r="B66" s="52">
        <v>0.33117418747455801</v>
      </c>
      <c r="C66" s="53">
        <v>46536.114023637398</v>
      </c>
      <c r="D66" s="53">
        <v>44274.696044980003</v>
      </c>
      <c r="E66" s="53">
        <v>44274.696044980003</v>
      </c>
      <c r="F66" s="53">
        <v>44274.696044980003</v>
      </c>
    </row>
    <row r="67" spans="2:6">
      <c r="B67" s="52">
        <v>0.381174187474558</v>
      </c>
      <c r="C67" s="53">
        <v>50470.017411963498</v>
      </c>
      <c r="D67" s="53">
        <v>45260.770200842097</v>
      </c>
      <c r="E67" s="53">
        <v>45260.770200842097</v>
      </c>
      <c r="F67" s="53">
        <v>45260.770200842097</v>
      </c>
    </row>
    <row r="68" spans="2:6">
      <c r="B68" s="52">
        <v>0.43117418747455699</v>
      </c>
      <c r="C68" s="53">
        <v>71223.764291323605</v>
      </c>
      <c r="D68" s="53">
        <v>47971.372086640302</v>
      </c>
      <c r="E68" s="53">
        <v>47971.372086640302</v>
      </c>
      <c r="F68" s="53">
        <v>47971.372086640302</v>
      </c>
    </row>
    <row r="69" spans="2:6">
      <c r="C69" s="61"/>
      <c r="D69" s="61"/>
      <c r="E69" s="61"/>
      <c r="F69" s="61"/>
    </row>
    <row r="73" spans="2:6" ht="15" customHeight="1">
      <c r="B73" s="254" t="s">
        <v>21</v>
      </c>
      <c r="C73" s="254" t="s">
        <v>37</v>
      </c>
      <c r="D73" s="254"/>
      <c r="E73" s="254"/>
      <c r="F73" s="254"/>
    </row>
    <row r="74" spans="2:6">
      <c r="B74" s="254"/>
      <c r="C74" s="254"/>
      <c r="D74" s="254"/>
      <c r="E74" s="254"/>
      <c r="F74" s="254"/>
    </row>
    <row r="75" spans="2:6">
      <c r="B75" s="254"/>
      <c r="C75" s="254"/>
      <c r="D75" s="254"/>
      <c r="E75" s="254"/>
      <c r="F75" s="254"/>
    </row>
    <row r="76" spans="2:6">
      <c r="B76" s="55"/>
      <c r="C76" s="36">
        <v>2020</v>
      </c>
      <c r="D76" s="36">
        <v>2030</v>
      </c>
      <c r="E76" s="36">
        <v>2040</v>
      </c>
      <c r="F76" s="36">
        <v>2050</v>
      </c>
    </row>
    <row r="77" spans="2:6">
      <c r="B77" s="52">
        <v>0.19867418747455701</v>
      </c>
      <c r="C77" s="53">
        <v>46595.728972283403</v>
      </c>
      <c r="D77" s="53">
        <v>45231.9289722834</v>
      </c>
      <c r="E77" s="53">
        <v>45231.9289722834</v>
      </c>
      <c r="F77" s="53">
        <v>45231.9289722834</v>
      </c>
    </row>
    <row r="78" spans="2:6">
      <c r="B78" s="52">
        <v>0.29867418747455798</v>
      </c>
      <c r="C78" s="53">
        <v>46781.208972283399</v>
      </c>
      <c r="D78" s="53">
        <v>45333.648972283401</v>
      </c>
      <c r="E78" s="53">
        <v>45333.648972283401</v>
      </c>
      <c r="F78" s="53">
        <v>45333.648972283401</v>
      </c>
    </row>
    <row r="79" spans="2:6">
      <c r="B79" s="52">
        <v>0.34867418747455697</v>
      </c>
      <c r="C79" s="53">
        <v>46979.6089722834</v>
      </c>
      <c r="D79" s="53">
        <v>45448.658972283403</v>
      </c>
      <c r="E79" s="53">
        <v>45448.658972283403</v>
      </c>
      <c r="F79" s="53">
        <v>45448.658972283403</v>
      </c>
    </row>
    <row r="80" spans="2:6">
      <c r="B80" s="52">
        <v>0.39867418747455802</v>
      </c>
      <c r="C80" s="53">
        <v>47323.988972283398</v>
      </c>
      <c r="D80" s="53">
        <v>45639.798972283403</v>
      </c>
      <c r="E80" s="53">
        <v>45639.798972283403</v>
      </c>
      <c r="F80" s="53">
        <v>45639.798972283403</v>
      </c>
    </row>
    <row r="81" spans="2:6">
      <c r="B81" s="52">
        <v>0.44867418747455801</v>
      </c>
      <c r="C81" s="53">
        <v>48053.098972283398</v>
      </c>
      <c r="D81" s="53">
        <v>45910.378972283397</v>
      </c>
      <c r="E81" s="53">
        <v>45910.378972283397</v>
      </c>
      <c r="F81" s="53">
        <v>45910.378972283397</v>
      </c>
    </row>
    <row r="82" spans="2:6">
      <c r="B82" s="52">
        <v>0.498674187474557</v>
      </c>
      <c r="C82" s="53">
        <v>60232.278972283399</v>
      </c>
      <c r="D82" s="53">
        <v>46323.458972283399</v>
      </c>
      <c r="E82" s="53">
        <v>46323.458972283399</v>
      </c>
      <c r="F82" s="53">
        <v>46323.458972283399</v>
      </c>
    </row>
    <row r="83" spans="2:6">
      <c r="B83" s="52">
        <v>0.54867418747455798</v>
      </c>
      <c r="C83" s="53">
        <v>142867.62897228301</v>
      </c>
      <c r="D83" s="53">
        <v>58030.008972283402</v>
      </c>
      <c r="E83" s="53">
        <v>58030.008972283402</v>
      </c>
      <c r="F83" s="53">
        <v>58030.008972283402</v>
      </c>
    </row>
    <row r="84" spans="2:6">
      <c r="C84" s="61"/>
      <c r="D84" s="61"/>
      <c r="E84" s="61"/>
      <c r="F84" s="61"/>
    </row>
    <row r="88" spans="2:6" ht="15" customHeight="1">
      <c r="B88" s="254" t="s">
        <v>21</v>
      </c>
      <c r="C88" s="254" t="s">
        <v>38</v>
      </c>
      <c r="D88" s="254"/>
      <c r="E88" s="254"/>
      <c r="F88" s="254"/>
    </row>
    <row r="89" spans="2:6">
      <c r="B89" s="254"/>
      <c r="C89" s="254"/>
      <c r="D89" s="254"/>
      <c r="E89" s="254"/>
      <c r="F89" s="254"/>
    </row>
    <row r="90" spans="2:6">
      <c r="B90" s="254"/>
      <c r="C90" s="254"/>
      <c r="D90" s="254"/>
      <c r="E90" s="254"/>
      <c r="F90" s="254"/>
    </row>
    <row r="91" spans="2:6">
      <c r="B91" s="55"/>
      <c r="C91" s="36">
        <v>2020</v>
      </c>
      <c r="D91" s="36">
        <v>2030</v>
      </c>
      <c r="E91" s="36">
        <v>2040</v>
      </c>
      <c r="F91" s="36">
        <v>2050</v>
      </c>
    </row>
    <row r="92" spans="2:6">
      <c r="B92" s="222">
        <v>0.68117418747455705</v>
      </c>
      <c r="C92" s="53">
        <v>51440.745931385398</v>
      </c>
      <c r="D92" s="53">
        <v>46706.708018452198</v>
      </c>
      <c r="E92" s="53">
        <v>45580.134091483102</v>
      </c>
      <c r="F92" s="53">
        <v>45251.562335442701</v>
      </c>
    </row>
    <row r="93" spans="2:6">
      <c r="B93" s="222">
        <v>0.69117418747455694</v>
      </c>
      <c r="C93" s="53">
        <v>51577.4854864152</v>
      </c>
      <c r="D93" s="53">
        <v>46741.389535865899</v>
      </c>
      <c r="E93" s="53">
        <v>45593.929849081498</v>
      </c>
      <c r="F93" s="53">
        <v>45258.217133066399</v>
      </c>
    </row>
    <row r="94" spans="2:6">
      <c r="B94" s="222">
        <v>0.70117418747455795</v>
      </c>
      <c r="C94" s="53">
        <v>51744.738589336099</v>
      </c>
      <c r="D94" s="53">
        <v>46767.8651887659</v>
      </c>
      <c r="E94" s="53">
        <v>45609.605533149101</v>
      </c>
      <c r="F94" s="53">
        <v>45270.445912952498</v>
      </c>
    </row>
    <row r="95" spans="2:6">
      <c r="B95" s="222">
        <v>0.71117418747455796</v>
      </c>
      <c r="C95" s="53">
        <v>52142.2598779451</v>
      </c>
      <c r="D95" s="53">
        <v>46815.239050171404</v>
      </c>
      <c r="E95" s="53">
        <v>45655.127519658097</v>
      </c>
      <c r="F95" s="53">
        <v>45316.608767651604</v>
      </c>
    </row>
    <row r="96" spans="2:6">
      <c r="B96" s="222">
        <v>0.72117418747455797</v>
      </c>
      <c r="C96" s="53">
        <v>89000.576989093097</v>
      </c>
      <c r="D96" s="53">
        <v>46947.331111241198</v>
      </c>
      <c r="E96" s="53">
        <v>45791.821035017398</v>
      </c>
      <c r="F96" s="53">
        <v>45458.894273128302</v>
      </c>
    </row>
    <row r="97" spans="2:6">
      <c r="B97" s="222">
        <v>0.76367418747455795</v>
      </c>
      <c r="C97" s="53">
        <v>132026.04481386801</v>
      </c>
      <c r="D97" s="53">
        <v>49050.9346681268</v>
      </c>
      <c r="E97" s="53">
        <v>47340.132727936099</v>
      </c>
      <c r="F97" s="53">
        <v>46851.329171985897</v>
      </c>
    </row>
    <row r="98" spans="2:6">
      <c r="B98" s="222">
        <v>0.76867418747455796</v>
      </c>
      <c r="C98" s="53"/>
      <c r="D98" s="53">
        <v>73908.589759623806</v>
      </c>
      <c r="E98" s="53">
        <v>71226.085997330796</v>
      </c>
      <c r="F98" s="53">
        <v>71073.553962268095</v>
      </c>
    </row>
    <row r="99" spans="2:6">
      <c r="C99" s="61"/>
      <c r="D99" s="61"/>
      <c r="E99" s="61"/>
      <c r="F99" s="61"/>
    </row>
    <row r="103" spans="2:6" ht="15" customHeight="1">
      <c r="B103" s="250">
        <v>2020</v>
      </c>
      <c r="C103" s="250"/>
      <c r="D103" s="250"/>
    </row>
    <row r="104" spans="2:6">
      <c r="B104" s="31" t="s">
        <v>39</v>
      </c>
      <c r="C104" s="32" t="s">
        <v>26</v>
      </c>
      <c r="D104" s="47">
        <v>0.18</v>
      </c>
    </row>
    <row r="106" spans="2:6">
      <c r="B106" s="254" t="s">
        <v>27</v>
      </c>
      <c r="C106" s="254" t="s">
        <v>40</v>
      </c>
      <c r="D106" s="254"/>
      <c r="E106" s="254"/>
      <c r="F106" s="254"/>
    </row>
    <row r="107" spans="2:6">
      <c r="B107" s="254"/>
      <c r="C107" s="254"/>
      <c r="D107" s="254"/>
      <c r="E107" s="254"/>
      <c r="F107" s="254"/>
    </row>
    <row r="108" spans="2:6">
      <c r="B108" s="254"/>
      <c r="C108" s="254"/>
      <c r="D108" s="254"/>
      <c r="E108" s="254"/>
      <c r="F108" s="254"/>
    </row>
    <row r="109" spans="2:6">
      <c r="B109" s="55"/>
      <c r="C109" s="36">
        <v>2020</v>
      </c>
      <c r="D109" s="36">
        <v>2030</v>
      </c>
      <c r="E109" s="36">
        <v>2040</v>
      </c>
      <c r="F109" s="36">
        <v>2050</v>
      </c>
    </row>
    <row r="110" spans="2:6">
      <c r="B110" s="42">
        <v>120</v>
      </c>
      <c r="C110" s="53">
        <v>42701.458789204597</v>
      </c>
      <c r="D110" s="53">
        <v>38806.664437532003</v>
      </c>
      <c r="E110" s="53">
        <v>38236.182398995603</v>
      </c>
      <c r="F110" s="53">
        <v>38038.624282007098</v>
      </c>
    </row>
    <row r="111" spans="2:6">
      <c r="B111" s="42">
        <v>160</v>
      </c>
      <c r="C111" s="53">
        <v>45139.259285201697</v>
      </c>
      <c r="D111" s="53">
        <v>39153.770470746596</v>
      </c>
      <c r="E111" s="53">
        <v>38470.0613304664</v>
      </c>
      <c r="F111" s="53">
        <v>38233.292631020398</v>
      </c>
    </row>
    <row r="112" spans="2:6">
      <c r="B112" s="42">
        <v>200</v>
      </c>
      <c r="C112" s="53">
        <v>47577.059781198797</v>
      </c>
      <c r="D112" s="53">
        <v>39967.9019017014</v>
      </c>
      <c r="E112" s="53">
        <v>39018.620476457298</v>
      </c>
      <c r="F112" s="53">
        <v>38689.884007655499</v>
      </c>
    </row>
    <row r="113" spans="2:6">
      <c r="B113" s="42">
        <v>250</v>
      </c>
      <c r="C113" s="53">
        <v>50737.378455646998</v>
      </c>
      <c r="D113" s="53">
        <v>40844.313524237397</v>
      </c>
      <c r="E113" s="53">
        <v>39609.1438157062</v>
      </c>
      <c r="F113" s="53">
        <v>39181.404140668099</v>
      </c>
    </row>
    <row r="114" spans="2:6">
      <c r="B114" s="42">
        <v>300</v>
      </c>
      <c r="C114" s="53">
        <v>53897.697130095097</v>
      </c>
      <c r="D114" s="53">
        <v>41720.725146773402</v>
      </c>
      <c r="E114" s="53">
        <v>40199.667154955001</v>
      </c>
      <c r="F114" s="53">
        <v>39672.924273680801</v>
      </c>
    </row>
    <row r="115" spans="2:6">
      <c r="B115" s="42">
        <v>350</v>
      </c>
      <c r="C115" s="53">
        <v>58161.013632919603</v>
      </c>
      <c r="D115" s="53">
        <v>42772.7938941518</v>
      </c>
      <c r="E115" s="53">
        <v>40796.390282744302</v>
      </c>
      <c r="F115" s="53">
        <v>40169.604780019101</v>
      </c>
    </row>
    <row r="116" spans="2:6">
      <c r="B116" s="42">
        <v>400</v>
      </c>
      <c r="C116" s="53">
        <v>62750.1703385539</v>
      </c>
      <c r="D116" s="53">
        <v>43877.999415290396</v>
      </c>
      <c r="E116" s="53">
        <v>41393.113410533697</v>
      </c>
      <c r="F116" s="53">
        <v>40666.285286357503</v>
      </c>
    </row>
    <row r="117" spans="2:6">
      <c r="B117" s="42">
        <v>500</v>
      </c>
      <c r="C117" s="53">
        <v>72906.004358251696</v>
      </c>
      <c r="D117" s="53">
        <v>46493.981790862701</v>
      </c>
      <c r="E117" s="53">
        <v>42807.709666210503</v>
      </c>
      <c r="F117" s="53">
        <v>41659.646299034197</v>
      </c>
    </row>
    <row r="119" spans="2:6">
      <c r="B119"/>
    </row>
    <row r="121" spans="2:6" ht="15" customHeight="1">
      <c r="B121" s="254" t="s">
        <v>29</v>
      </c>
      <c r="C121" s="254" t="s">
        <v>41</v>
      </c>
      <c r="D121" s="254"/>
      <c r="E121" s="254"/>
      <c r="F121" s="254"/>
    </row>
    <row r="122" spans="2:6" ht="15.75" customHeight="1">
      <c r="B122" s="254"/>
      <c r="C122" s="254"/>
      <c r="D122" s="254"/>
      <c r="E122" s="254"/>
      <c r="F122" s="254"/>
    </row>
    <row r="123" spans="2:6" ht="21.75" customHeight="1">
      <c r="B123" s="254"/>
      <c r="C123" s="254"/>
      <c r="D123" s="254"/>
      <c r="E123" s="254"/>
      <c r="F123" s="254"/>
    </row>
    <row r="124" spans="2:6" ht="18" customHeight="1">
      <c r="B124" s="55"/>
      <c r="C124" s="36">
        <v>2020</v>
      </c>
      <c r="D124" s="36">
        <v>2030</v>
      </c>
      <c r="E124" s="36">
        <v>2040</v>
      </c>
      <c r="F124" s="36">
        <v>2050</v>
      </c>
    </row>
    <row r="125" spans="2:6">
      <c r="B125" s="225">
        <v>1.2112765416323601</v>
      </c>
      <c r="C125" s="53">
        <v>79718.090980969399</v>
      </c>
      <c r="D125" s="53">
        <v>61463.5157484667</v>
      </c>
      <c r="E125" s="53">
        <v>52764.062450494603</v>
      </c>
      <c r="F125" s="53">
        <v>50622.402695489502</v>
      </c>
    </row>
    <row r="126" spans="2:6">
      <c r="B126" s="225">
        <v>1.15936468984812</v>
      </c>
      <c r="C126" s="53">
        <v>80087.344293878195</v>
      </c>
      <c r="D126" s="53">
        <v>61762.0523338325</v>
      </c>
      <c r="E126" s="53">
        <v>53019.323774536402</v>
      </c>
      <c r="F126" s="53">
        <v>50870.765064827501</v>
      </c>
    </row>
    <row r="127" spans="2:6">
      <c r="B127" s="225">
        <v>1.10745283806388</v>
      </c>
      <c r="C127" s="53">
        <v>80720.834557216498</v>
      </c>
      <c r="D127" s="53">
        <v>62060.588919198402</v>
      </c>
      <c r="E127" s="53">
        <v>53274.585098578202</v>
      </c>
      <c r="F127" s="53">
        <v>51119.127434165501</v>
      </c>
    </row>
    <row r="128" spans="2:6">
      <c r="B128" s="225">
        <v>1.0555409862796299</v>
      </c>
      <c r="C128" s="53">
        <v>83856.453280431393</v>
      </c>
      <c r="D128" s="53">
        <v>62359.125504564203</v>
      </c>
      <c r="E128" s="53">
        <v>53529.846422620001</v>
      </c>
      <c r="F128" s="53">
        <v>51367.489803503398</v>
      </c>
    </row>
    <row r="129" spans="2:6">
      <c r="B129" s="225">
        <v>1.00362913449539</v>
      </c>
      <c r="C129" s="53">
        <v>84556.535176001198</v>
      </c>
      <c r="D129" s="53">
        <v>64439.8011173345</v>
      </c>
      <c r="E129" s="53">
        <v>53785.107746661801</v>
      </c>
      <c r="F129" s="53">
        <v>51615.852172841398</v>
      </c>
    </row>
    <row r="130" spans="2:6">
      <c r="B130" s="225">
        <v>0.95171728271114298</v>
      </c>
      <c r="C130" s="53">
        <v>84956.292020154797</v>
      </c>
      <c r="D130" s="53">
        <v>64754.509843202599</v>
      </c>
      <c r="E130" s="53">
        <v>54040.3690707036</v>
      </c>
      <c r="F130" s="53">
        <v>51864.214542179398</v>
      </c>
    </row>
    <row r="131" spans="2:6">
      <c r="B131" s="225">
        <v>0.89980543092689902</v>
      </c>
      <c r="C131" s="53">
        <v>85356.048864308395</v>
      </c>
      <c r="D131" s="53">
        <v>65069.218569070603</v>
      </c>
      <c r="E131" s="53">
        <v>54295.6303947454</v>
      </c>
      <c r="F131" s="53">
        <v>52112.576911517397</v>
      </c>
    </row>
    <row r="132" spans="2:6">
      <c r="B132" s="225">
        <v>0.84789357914265395</v>
      </c>
      <c r="C132" s="53">
        <v>85755.805708461994</v>
      </c>
      <c r="D132" s="53">
        <v>65383.9272949386</v>
      </c>
      <c r="E132" s="53">
        <v>54550.891718787199</v>
      </c>
      <c r="F132" s="53">
        <v>52360.939280855302</v>
      </c>
    </row>
  </sheetData>
  <mergeCells count="21">
    <mergeCell ref="B106:B108"/>
    <mergeCell ref="B121:B123"/>
    <mergeCell ref="C10:F12"/>
    <mergeCell ref="C39:F41"/>
    <mergeCell ref="C106:F108"/>
    <mergeCell ref="C121:F123"/>
    <mergeCell ref="C60:F62"/>
    <mergeCell ref="C88:F90"/>
    <mergeCell ref="C73:F75"/>
    <mergeCell ref="C24:F26"/>
    <mergeCell ref="B1:F1"/>
    <mergeCell ref="B2:F2"/>
    <mergeCell ref="B6:D6"/>
    <mergeCell ref="B56:D56"/>
    <mergeCell ref="B103:D103"/>
    <mergeCell ref="B10:B12"/>
    <mergeCell ref="B24:B26"/>
    <mergeCell ref="B39:B41"/>
    <mergeCell ref="B60:B62"/>
    <mergeCell ref="B73:B75"/>
    <mergeCell ref="B88:B90"/>
  </mergeCells>
  <pageMargins left="0.7" right="0.7" top="0.75" bottom="0.75" header="0.3" footer="0.3"/>
  <pageSetup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B050"/>
  </sheetPr>
  <dimension ref="B1:W199"/>
  <sheetViews>
    <sheetView showGridLines="0" workbookViewId="0">
      <selection activeCell="H16" sqref="H16"/>
    </sheetView>
  </sheetViews>
  <sheetFormatPr defaultColWidth="9" defaultRowHeight="14.25"/>
  <cols>
    <col min="1" max="1" width="7.59765625" customWidth="1"/>
    <col min="2" max="2" width="38.265625" style="61" customWidth="1"/>
    <col min="3" max="3" width="9.73046875" customWidth="1"/>
    <col min="4" max="6" width="6.265625" customWidth="1"/>
    <col min="10" max="10" width="15.06640625" customWidth="1"/>
    <col min="11" max="11" width="18.265625" customWidth="1"/>
    <col min="12" max="12" width="11.06640625" customWidth="1"/>
    <col min="13" max="13" width="7" customWidth="1"/>
    <col min="14" max="16" width="6" customWidth="1"/>
    <col min="18" max="18" width="62.9296875" customWidth="1"/>
    <col min="20" max="20" width="18.265625" customWidth="1"/>
    <col min="21" max="21" width="21.9296875" customWidth="1"/>
  </cols>
  <sheetData>
    <row r="1" spans="2:23" ht="15.75">
      <c r="B1" s="169" t="s">
        <v>10</v>
      </c>
      <c r="C1" s="170"/>
      <c r="D1" s="170"/>
      <c r="E1" s="170"/>
      <c r="F1" s="171"/>
      <c r="Q1" t="s">
        <v>42</v>
      </c>
      <c r="R1" t="s">
        <v>43</v>
      </c>
      <c r="S1" t="str">
        <f>"Trd_car_"&amp;Q1</f>
        <v>Trd_car_gsl</v>
      </c>
    </row>
    <row r="2" spans="2:23">
      <c r="B2" s="192" t="s">
        <v>9</v>
      </c>
      <c r="C2" s="193"/>
      <c r="D2" s="193"/>
      <c r="E2" s="193"/>
      <c r="F2" s="193"/>
      <c r="I2" s="181">
        <v>5.2009937889998699E-2</v>
      </c>
      <c r="J2" s="180" t="s">
        <v>44</v>
      </c>
      <c r="Q2" t="s">
        <v>45</v>
      </c>
      <c r="R2" t="s">
        <v>46</v>
      </c>
      <c r="S2" t="str">
        <f t="shared" ref="S2:S11" si="0">"Trd_car_"&amp;Q2</f>
        <v>Trd_car_gsl-hyb</v>
      </c>
    </row>
    <row r="3" spans="2:23">
      <c r="I3" s="195">
        <f>31536000/10^9</f>
        <v>3.1536000000000002E-2</v>
      </c>
      <c r="J3" s="180" t="s">
        <v>47</v>
      </c>
      <c r="Q3" t="s">
        <v>48</v>
      </c>
      <c r="R3" t="s">
        <v>49</v>
      </c>
      <c r="S3" t="str">
        <f t="shared" si="0"/>
        <v>Trd_car_gsl-pih</v>
      </c>
    </row>
    <row r="4" spans="2:23">
      <c r="I4" s="180">
        <v>3.7999999999999999E-2</v>
      </c>
      <c r="J4" s="180" t="s">
        <v>50</v>
      </c>
      <c r="Q4" t="s">
        <v>51</v>
      </c>
      <c r="R4" t="s">
        <v>52</v>
      </c>
      <c r="S4" t="str">
        <f t="shared" si="0"/>
        <v>Trd_car_dsl</v>
      </c>
    </row>
    <row r="5" spans="2:23">
      <c r="I5" s="181">
        <f>1.406/26.137</f>
        <v>5.3793472854573997E-2</v>
      </c>
      <c r="J5" s="180" t="s">
        <v>53</v>
      </c>
      <c r="Q5" t="s">
        <v>54</v>
      </c>
      <c r="R5" t="s">
        <v>55</v>
      </c>
      <c r="S5" t="str">
        <f t="shared" si="0"/>
        <v>Trd_car_dsl-hyb</v>
      </c>
    </row>
    <row r="6" spans="2:23">
      <c r="I6" s="181">
        <v>2.5590000000000002E-2</v>
      </c>
      <c r="J6" s="180" t="s">
        <v>56</v>
      </c>
      <c r="Q6" t="s">
        <v>57</v>
      </c>
      <c r="R6" t="s">
        <v>58</v>
      </c>
      <c r="S6" t="str">
        <f t="shared" si="0"/>
        <v>Trd_car_dsl-pih</v>
      </c>
    </row>
    <row r="7" spans="2:23">
      <c r="Q7" t="s">
        <v>59</v>
      </c>
      <c r="R7" t="s">
        <v>60</v>
      </c>
      <c r="S7" t="str">
        <f t="shared" si="0"/>
        <v>Trd_car_cng</v>
      </c>
    </row>
    <row r="8" spans="2:23">
      <c r="Q8" t="s">
        <v>61</v>
      </c>
      <c r="R8" t="s">
        <v>62</v>
      </c>
      <c r="S8" t="str">
        <f>"\I:Trd_car_"&amp;Q8</f>
        <v>\I:Trd_car_lpg</v>
      </c>
    </row>
    <row r="9" spans="2:23" ht="15" customHeight="1">
      <c r="Q9" t="s">
        <v>63</v>
      </c>
      <c r="R9" t="s">
        <v>64</v>
      </c>
      <c r="S9" t="str">
        <f>"\I:Trd_car_"&amp;Q9</f>
        <v>\I:Trd_car_E85</v>
      </c>
    </row>
    <row r="10" spans="2:23">
      <c r="B10" s="29" t="s">
        <v>65</v>
      </c>
      <c r="Q10" t="s">
        <v>66</v>
      </c>
      <c r="R10" t="s">
        <v>67</v>
      </c>
      <c r="S10" t="str">
        <f t="shared" si="0"/>
        <v>Trd_car_elc</v>
      </c>
    </row>
    <row r="11" spans="2:23" ht="15" customHeight="1">
      <c r="B11" s="177">
        <v>2015</v>
      </c>
      <c r="C11" s="177"/>
      <c r="D11" s="177"/>
      <c r="Q11" t="s">
        <v>68</v>
      </c>
      <c r="R11" t="s">
        <v>69</v>
      </c>
      <c r="S11" t="str">
        <f t="shared" si="0"/>
        <v>Trd_car_hh2</v>
      </c>
    </row>
    <row r="12" spans="2:23" ht="15.75" customHeight="1">
      <c r="B12" s="31" t="s">
        <v>12</v>
      </c>
      <c r="C12" s="32" t="s">
        <v>13</v>
      </c>
      <c r="D12" s="33">
        <v>6.8039044838531799</v>
      </c>
      <c r="G12" s="50">
        <f>D12*$I$3/100*10^9/10^6</f>
        <v>2.1456793180279399</v>
      </c>
      <c r="H12" s="50"/>
      <c r="I12" s="227">
        <f>1/G12</f>
        <v>0.46605286801155599</v>
      </c>
    </row>
    <row r="13" spans="2:23" ht="15.4">
      <c r="B13" s="31" t="s">
        <v>14</v>
      </c>
      <c r="C13" s="32" t="s">
        <v>15</v>
      </c>
      <c r="D13" s="44">
        <v>19114.1080717123</v>
      </c>
      <c r="I13" s="190" t="s">
        <v>70</v>
      </c>
      <c r="S13" s="228">
        <v>0.90149999999999997</v>
      </c>
    </row>
    <row r="14" spans="2:23">
      <c r="B14" s="202"/>
      <c r="C14" s="203"/>
      <c r="D14" s="204"/>
      <c r="I14" s="190"/>
    </row>
    <row r="15" spans="2:23">
      <c r="B15" s="202"/>
      <c r="C15" s="203"/>
      <c r="D15" s="204"/>
      <c r="I15" s="190"/>
      <c r="K15" s="183" t="s">
        <v>71</v>
      </c>
      <c r="S15" s="183" t="s">
        <v>72</v>
      </c>
      <c r="T15" s="187"/>
      <c r="U15" s="187"/>
      <c r="V15" s="187"/>
      <c r="W15" s="187"/>
    </row>
    <row r="16" spans="2:23">
      <c r="I16" t="s">
        <v>73</v>
      </c>
      <c r="J16" t="s">
        <v>74</v>
      </c>
      <c r="K16" t="s">
        <v>75</v>
      </c>
      <c r="L16" t="s">
        <v>76</v>
      </c>
      <c r="M16">
        <f>C20</f>
        <v>2020</v>
      </c>
      <c r="N16">
        <f>D20</f>
        <v>2030</v>
      </c>
      <c r="O16">
        <f>E20</f>
        <v>2040</v>
      </c>
      <c r="P16">
        <f>F20</f>
        <v>2050</v>
      </c>
      <c r="Q16" t="s">
        <v>77</v>
      </c>
      <c r="S16" s="187" t="s">
        <v>78</v>
      </c>
      <c r="T16" s="187" t="s">
        <v>79</v>
      </c>
      <c r="U16" s="187" t="s">
        <v>80</v>
      </c>
      <c r="V16" s="187" t="s">
        <v>81</v>
      </c>
      <c r="W16" s="187" t="s">
        <v>82</v>
      </c>
    </row>
    <row r="17" spans="2:23" ht="15" customHeight="1">
      <c r="B17" s="179" t="s">
        <v>16</v>
      </c>
      <c r="C17" s="179" t="s">
        <v>43</v>
      </c>
      <c r="D17" s="179"/>
      <c r="E17" s="179"/>
      <c r="F17" s="179"/>
      <c r="J17" t="str">
        <f>IFERROR(VLOOKUP(C17,$R$1:$S$11,2,FALSE),J16)</f>
        <v>Trd_car_gsl</v>
      </c>
      <c r="K17" t="str">
        <f>IFERROR(IF(VALUE(C17)&gt;2020,J17&amp;"_"&amp;TEXT(B17*100,"00"),"\I:"),"\I:")</f>
        <v>\I:</v>
      </c>
      <c r="L17" t="str">
        <f>LEFT(K17,7)</f>
        <v>\I:</v>
      </c>
      <c r="M17" s="185" t="str">
        <f>IF($K17="\I:","",C17)</f>
        <v/>
      </c>
      <c r="N17" s="185" t="str">
        <f>IF($K17="\I:","",D17)</f>
        <v/>
      </c>
      <c r="O17" s="185" t="str">
        <f>IF($K17="\I:","",E17)</f>
        <v/>
      </c>
      <c r="P17" s="185" t="str">
        <f>IF($K17="\I:","",F17)</f>
        <v/>
      </c>
      <c r="S17" t="s">
        <v>83</v>
      </c>
      <c r="T17" t="str">
        <f t="shared" ref="T17:T48" si="1">K17</f>
        <v>\I:</v>
      </c>
      <c r="U17" t="str">
        <f t="shared" ref="U17:U48" ca="1" si="2">OFFSET($S$1,MATCH(J17,$S$1:$S$11,0)-1,-1)&amp;" -- "&amp;TEXT(B17,"00%")</f>
        <v>ICE medium size gasoline car -- Reduction of specific energy consumption relative to 2015 gasoline vehicle (%)</v>
      </c>
      <c r="V17" s="188" t="s">
        <v>84</v>
      </c>
      <c r="W17" s="188" t="s">
        <v>85</v>
      </c>
    </row>
    <row r="18" spans="2:23">
      <c r="B18" s="179"/>
      <c r="C18" s="179"/>
      <c r="D18" s="179"/>
      <c r="E18" s="179"/>
      <c r="F18" s="179"/>
      <c r="J18" t="str">
        <f t="shared" ref="J18:J81" si="3">IFERROR(VLOOKUP(C18,$R$1:$S$11,2,FALSE),J17)</f>
        <v>Trd_car_gsl</v>
      </c>
      <c r="K18" t="str">
        <f t="shared" ref="K18:K81" si="4">IFERROR(IF(VALUE(C18)&gt;2020,J18&amp;"_"&amp;TEXT(B18*100,"00"),"\I:"),"\I:")</f>
        <v>\I:</v>
      </c>
      <c r="L18" t="str">
        <f t="shared" ref="L18:L81" si="5">LEFT(K18,7)</f>
        <v>\I:</v>
      </c>
      <c r="M18" s="185" t="str">
        <f t="shared" ref="M18:M81" si="6">IF($K18="\I:","",C18)</f>
        <v/>
      </c>
      <c r="N18" s="185" t="str">
        <f t="shared" ref="N18:N81" si="7">IF($K18="\I:","",D18)</f>
        <v/>
      </c>
      <c r="O18" s="185" t="str">
        <f t="shared" ref="O18:O81" si="8">IF($K18="\I:","",E18)</f>
        <v/>
      </c>
      <c r="P18" s="185" t="str">
        <f t="shared" ref="P18:P81" si="9">IF($K18="\I:","",F18)</f>
        <v/>
      </c>
      <c r="S18" t="s">
        <v>83</v>
      </c>
      <c r="T18" t="str">
        <f t="shared" si="1"/>
        <v>\I:</v>
      </c>
      <c r="U18" t="str">
        <f t="shared" ca="1" si="2"/>
        <v>ICE medium size gasoline car -- 00%</v>
      </c>
      <c r="V18" s="188" t="s">
        <v>84</v>
      </c>
      <c r="W18" s="188" t="s">
        <v>85</v>
      </c>
    </row>
    <row r="19" spans="2:23">
      <c r="B19" s="179"/>
      <c r="C19" s="179"/>
      <c r="D19" s="179"/>
      <c r="E19" s="179"/>
      <c r="F19" s="179"/>
      <c r="J19" t="str">
        <f t="shared" si="3"/>
        <v>Trd_car_gsl</v>
      </c>
      <c r="K19" t="str">
        <f t="shared" si="4"/>
        <v>\I:</v>
      </c>
      <c r="L19" t="str">
        <f t="shared" si="5"/>
        <v>\I:</v>
      </c>
      <c r="M19" s="185" t="str">
        <f t="shared" si="6"/>
        <v/>
      </c>
      <c r="N19" s="185" t="str">
        <f t="shared" si="7"/>
        <v/>
      </c>
      <c r="O19" s="185" t="str">
        <f t="shared" si="8"/>
        <v/>
      </c>
      <c r="P19" s="185" t="str">
        <f t="shared" si="9"/>
        <v/>
      </c>
      <c r="S19" t="s">
        <v>83</v>
      </c>
      <c r="T19" t="str">
        <f t="shared" si="1"/>
        <v>\I:</v>
      </c>
      <c r="U19" t="str">
        <f t="shared" ca="1" si="2"/>
        <v>ICE medium size gasoline car -- 00%</v>
      </c>
      <c r="V19" s="188" t="s">
        <v>84</v>
      </c>
      <c r="W19" s="188" t="s">
        <v>85</v>
      </c>
    </row>
    <row r="20" spans="2:23">
      <c r="B20" s="55">
        <v>0</v>
      </c>
      <c r="C20" s="36">
        <v>2020</v>
      </c>
      <c r="D20" s="36">
        <v>2030</v>
      </c>
      <c r="E20" s="36">
        <v>2040</v>
      </c>
      <c r="F20" s="36">
        <v>2050</v>
      </c>
      <c r="I20" s="178">
        <v>1</v>
      </c>
      <c r="J20" s="29" t="str">
        <f t="shared" si="3"/>
        <v>Trd_car_gsl</v>
      </c>
      <c r="K20" s="29" t="str">
        <f>IFERROR(IF(VALUE(C20)&gt;200,J20&amp;"_"&amp;TEXT(B20*100,"00"),"\I:"),"\I:")</f>
        <v>Trd_car_gsl_00</v>
      </c>
      <c r="L20" t="str">
        <f t="shared" si="5"/>
        <v>Trd_car</v>
      </c>
      <c r="M20" s="223">
        <f>D13</f>
        <v>19114.1080717123</v>
      </c>
      <c r="N20" s="185"/>
      <c r="O20" s="185"/>
      <c r="P20" s="185"/>
      <c r="S20" t="s">
        <v>83</v>
      </c>
      <c r="T20" t="str">
        <f t="shared" si="1"/>
        <v>Trd_car_gsl_00</v>
      </c>
      <c r="U20" t="str">
        <f t="shared" ca="1" si="2"/>
        <v>ICE medium size gasoline car -- 00%</v>
      </c>
      <c r="V20" s="188" t="s">
        <v>84</v>
      </c>
      <c r="W20" s="188" t="s">
        <v>85</v>
      </c>
    </row>
    <row r="21" spans="2:23">
      <c r="B21" s="52">
        <v>0.13362395894197199</v>
      </c>
      <c r="C21" s="53">
        <v>19378.328890127399</v>
      </c>
      <c r="D21" s="53">
        <v>19184.953531911</v>
      </c>
      <c r="E21" s="53">
        <v>19184.953531911</v>
      </c>
      <c r="F21" s="53">
        <v>19184.953531911</v>
      </c>
      <c r="I21" s="50">
        <f>(1+B21)</f>
        <v>1.1336239589419701</v>
      </c>
      <c r="J21" t="str">
        <f t="shared" si="3"/>
        <v>Trd_car_gsl</v>
      </c>
      <c r="K21" t="str">
        <f t="shared" si="4"/>
        <v>Trd_car_gsl_13</v>
      </c>
      <c r="L21" t="str">
        <f t="shared" si="5"/>
        <v>Trd_car</v>
      </c>
      <c r="M21" s="185">
        <f t="shared" si="6"/>
        <v>19378.328890127399</v>
      </c>
      <c r="N21" s="185">
        <f t="shared" si="7"/>
        <v>19184.953531911</v>
      </c>
      <c r="O21" s="185">
        <f t="shared" si="8"/>
        <v>19184.953531911</v>
      </c>
      <c r="P21" s="185">
        <f t="shared" si="9"/>
        <v>19184.953531911</v>
      </c>
      <c r="S21" t="s">
        <v>83</v>
      </c>
      <c r="T21" t="str">
        <f t="shared" si="1"/>
        <v>Trd_car_gsl_13</v>
      </c>
      <c r="U21" t="str">
        <f t="shared" ca="1" si="2"/>
        <v>ICE medium size gasoline car -- 13%</v>
      </c>
      <c r="V21" s="188" t="s">
        <v>84</v>
      </c>
      <c r="W21" s="188" t="s">
        <v>85</v>
      </c>
    </row>
    <row r="22" spans="2:23">
      <c r="B22" s="52">
        <v>0.23362395894197199</v>
      </c>
      <c r="C22" s="53">
        <v>20194.1761225306</v>
      </c>
      <c r="D22" s="53">
        <v>19445.906034547199</v>
      </c>
      <c r="E22" s="53">
        <v>19445.906034547199</v>
      </c>
      <c r="F22" s="53">
        <v>19445.906034547199</v>
      </c>
      <c r="I22" s="50">
        <f t="shared" ref="I22:I26" si="10">(1+B22)</f>
        <v>1.23362395894197</v>
      </c>
      <c r="J22" t="str">
        <f t="shared" si="3"/>
        <v>Trd_car_gsl</v>
      </c>
      <c r="K22" t="str">
        <f t="shared" si="4"/>
        <v>Trd_car_gsl_23</v>
      </c>
      <c r="L22" t="str">
        <f t="shared" si="5"/>
        <v>Trd_car</v>
      </c>
      <c r="M22" s="185">
        <f t="shared" si="6"/>
        <v>20194.1761225306</v>
      </c>
      <c r="N22" s="185">
        <f t="shared" si="7"/>
        <v>19445.906034547199</v>
      </c>
      <c r="O22" s="185">
        <f t="shared" si="8"/>
        <v>19445.906034547199</v>
      </c>
      <c r="P22" s="185">
        <f t="shared" si="9"/>
        <v>19445.906034547199</v>
      </c>
      <c r="S22" t="s">
        <v>83</v>
      </c>
      <c r="T22" t="str">
        <f t="shared" si="1"/>
        <v>Trd_car_gsl_23</v>
      </c>
      <c r="U22" t="str">
        <f t="shared" ca="1" si="2"/>
        <v>ICE medium size gasoline car -- 23%</v>
      </c>
      <c r="V22" s="188" t="s">
        <v>84</v>
      </c>
      <c r="W22" s="188" t="s">
        <v>85</v>
      </c>
    </row>
    <row r="23" spans="2:23">
      <c r="B23" s="52">
        <v>0.333623958941972</v>
      </c>
      <c r="C23" s="53">
        <v>21957.3236536115</v>
      </c>
      <c r="D23" s="53">
        <v>20077.205248729999</v>
      </c>
      <c r="E23" s="53">
        <v>20077.205248729999</v>
      </c>
      <c r="F23" s="53">
        <v>20077.205248729999</v>
      </c>
      <c r="I23" s="50">
        <f t="shared" si="10"/>
        <v>1.3336239589419701</v>
      </c>
      <c r="J23" t="str">
        <f t="shared" si="3"/>
        <v>Trd_car_gsl</v>
      </c>
      <c r="K23" t="str">
        <f t="shared" si="4"/>
        <v>Trd_car_gsl_33</v>
      </c>
      <c r="L23" t="str">
        <f t="shared" si="5"/>
        <v>Trd_car</v>
      </c>
      <c r="M23" s="185">
        <f t="shared" si="6"/>
        <v>21957.3236536115</v>
      </c>
      <c r="N23" s="185">
        <f t="shared" si="7"/>
        <v>20077.205248729999</v>
      </c>
      <c r="O23" s="185">
        <f t="shared" si="8"/>
        <v>20077.205248729999</v>
      </c>
      <c r="P23" s="185">
        <f t="shared" si="9"/>
        <v>20077.205248729999</v>
      </c>
      <c r="S23" t="s">
        <v>83</v>
      </c>
      <c r="T23" t="str">
        <f t="shared" si="1"/>
        <v>Trd_car_gsl_33</v>
      </c>
      <c r="U23" t="str">
        <f t="shared" ca="1" si="2"/>
        <v>ICE medium size gasoline car -- 33%</v>
      </c>
      <c r="V23" s="188" t="s">
        <v>84</v>
      </c>
      <c r="W23" s="188" t="s">
        <v>85</v>
      </c>
    </row>
    <row r="24" spans="2:23">
      <c r="B24" s="52">
        <v>0.38362395894197199</v>
      </c>
      <c r="C24" s="53">
        <v>24470.648285245101</v>
      </c>
      <c r="D24" s="53">
        <v>20810.3469623741</v>
      </c>
      <c r="E24" s="53">
        <v>20810.3469623741</v>
      </c>
      <c r="F24" s="53">
        <v>20810.3469623741</v>
      </c>
      <c r="I24" s="50">
        <f t="shared" si="10"/>
        <v>1.3836239589419701</v>
      </c>
      <c r="J24" t="str">
        <f t="shared" si="3"/>
        <v>Trd_car_gsl</v>
      </c>
      <c r="K24" t="str">
        <f t="shared" si="4"/>
        <v>Trd_car_gsl_38</v>
      </c>
      <c r="L24" t="str">
        <f t="shared" si="5"/>
        <v>Trd_car</v>
      </c>
      <c r="M24" s="185">
        <f t="shared" si="6"/>
        <v>24470.648285245101</v>
      </c>
      <c r="N24" s="185">
        <f t="shared" si="7"/>
        <v>20810.3469623741</v>
      </c>
      <c r="O24" s="185">
        <f t="shared" si="8"/>
        <v>20810.3469623741</v>
      </c>
      <c r="P24" s="185">
        <f t="shared" si="9"/>
        <v>20810.3469623741</v>
      </c>
      <c r="S24" t="s">
        <v>83</v>
      </c>
      <c r="T24" t="str">
        <f t="shared" si="1"/>
        <v>Trd_car_gsl_38</v>
      </c>
      <c r="U24" t="str">
        <f t="shared" ca="1" si="2"/>
        <v>ICE medium size gasoline car -- 38%</v>
      </c>
      <c r="V24" s="188" t="s">
        <v>84</v>
      </c>
      <c r="W24" s="188" t="s">
        <v>85</v>
      </c>
    </row>
    <row r="25" spans="2:23">
      <c r="B25" s="52">
        <v>0.43362395894197198</v>
      </c>
      <c r="C25" s="53">
        <v>53739.803456475704</v>
      </c>
      <c r="D25" s="53">
        <v>22623.261096116599</v>
      </c>
      <c r="E25" s="53">
        <v>22623.261096116599</v>
      </c>
      <c r="F25" s="53">
        <v>22623.261096116599</v>
      </c>
      <c r="I25" s="50">
        <f t="shared" si="10"/>
        <v>1.4336239589419699</v>
      </c>
      <c r="J25" t="str">
        <f t="shared" si="3"/>
        <v>Trd_car_gsl</v>
      </c>
      <c r="K25" t="str">
        <f t="shared" si="4"/>
        <v>Trd_car_gsl_43</v>
      </c>
      <c r="L25" t="str">
        <f t="shared" si="5"/>
        <v>Trd_car</v>
      </c>
      <c r="M25" s="185">
        <f t="shared" si="6"/>
        <v>53739.803456475704</v>
      </c>
      <c r="N25" s="185">
        <f t="shared" si="7"/>
        <v>22623.261096116599</v>
      </c>
      <c r="O25" s="185">
        <f t="shared" si="8"/>
        <v>22623.261096116599</v>
      </c>
      <c r="P25" s="185">
        <f t="shared" si="9"/>
        <v>22623.261096116599</v>
      </c>
      <c r="S25" t="s">
        <v>83</v>
      </c>
      <c r="T25" t="str">
        <f t="shared" si="1"/>
        <v>Trd_car_gsl_43</v>
      </c>
      <c r="U25" t="str">
        <f t="shared" ca="1" si="2"/>
        <v>ICE medium size gasoline car -- 43%</v>
      </c>
      <c r="V25" s="188" t="s">
        <v>84</v>
      </c>
      <c r="W25" s="188" t="s">
        <v>85</v>
      </c>
    </row>
    <row r="26" spans="2:23">
      <c r="B26" s="52">
        <v>0.48362395894197202</v>
      </c>
      <c r="C26" s="53">
        <v>118918.12</v>
      </c>
      <c r="D26" s="53">
        <v>41097.305493603701</v>
      </c>
      <c r="E26" s="53">
        <v>41097.305493603701</v>
      </c>
      <c r="F26" s="53">
        <v>41097.305493603701</v>
      </c>
      <c r="I26" s="50">
        <f t="shared" si="10"/>
        <v>1.48362395894197</v>
      </c>
      <c r="J26" t="str">
        <f t="shared" si="3"/>
        <v>Trd_car_gsl</v>
      </c>
      <c r="K26" t="str">
        <f t="shared" si="4"/>
        <v>Trd_car_gsl_48</v>
      </c>
      <c r="L26" t="str">
        <f t="shared" si="5"/>
        <v>Trd_car</v>
      </c>
      <c r="M26" s="185">
        <f t="shared" si="6"/>
        <v>118918.12</v>
      </c>
      <c r="N26" s="185">
        <f t="shared" si="7"/>
        <v>41097.305493603701</v>
      </c>
      <c r="O26" s="185">
        <f t="shared" si="8"/>
        <v>41097.305493603701</v>
      </c>
      <c r="P26" s="185">
        <f t="shared" si="9"/>
        <v>41097.305493603701</v>
      </c>
      <c r="S26" t="s">
        <v>83</v>
      </c>
      <c r="T26" t="str">
        <f t="shared" si="1"/>
        <v>Trd_car_gsl_48</v>
      </c>
      <c r="U26" t="str">
        <f t="shared" ca="1" si="2"/>
        <v>ICE medium size gasoline car -- 48%</v>
      </c>
      <c r="V26" s="188" t="s">
        <v>84</v>
      </c>
      <c r="W26" s="188" t="s">
        <v>85</v>
      </c>
    </row>
    <row r="27" spans="2:23">
      <c r="C27" s="61"/>
      <c r="D27" s="61"/>
      <c r="E27" s="61"/>
      <c r="F27" s="61"/>
      <c r="J27" t="str">
        <f t="shared" si="3"/>
        <v>Trd_car_gsl</v>
      </c>
      <c r="K27" t="str">
        <f t="shared" si="4"/>
        <v>\I:</v>
      </c>
      <c r="L27" t="str">
        <f t="shared" si="5"/>
        <v>\I:</v>
      </c>
      <c r="M27" s="185" t="str">
        <f t="shared" si="6"/>
        <v/>
      </c>
      <c r="N27" s="185" t="str">
        <f t="shared" si="7"/>
        <v/>
      </c>
      <c r="O27" s="185" t="str">
        <f t="shared" si="8"/>
        <v/>
      </c>
      <c r="P27" s="185" t="str">
        <f t="shared" si="9"/>
        <v/>
      </c>
      <c r="T27" t="str">
        <f t="shared" si="1"/>
        <v>\I:</v>
      </c>
      <c r="U27" t="str">
        <f t="shared" ca="1" si="2"/>
        <v>ICE medium size gasoline car -- 00%</v>
      </c>
      <c r="V27" s="188" t="s">
        <v>84</v>
      </c>
      <c r="W27" s="188" t="s">
        <v>85</v>
      </c>
    </row>
    <row r="28" spans="2:23">
      <c r="J28" t="str">
        <f t="shared" si="3"/>
        <v>Trd_car_gsl</v>
      </c>
      <c r="K28" t="str">
        <f t="shared" si="4"/>
        <v>\I:</v>
      </c>
      <c r="L28" t="str">
        <f t="shared" si="5"/>
        <v>\I:</v>
      </c>
      <c r="M28" s="185" t="str">
        <f t="shared" si="6"/>
        <v/>
      </c>
      <c r="N28" s="185" t="str">
        <f t="shared" si="7"/>
        <v/>
      </c>
      <c r="O28" s="185" t="str">
        <f t="shared" si="8"/>
        <v/>
      </c>
      <c r="P28" s="185" t="str">
        <f t="shared" si="9"/>
        <v/>
      </c>
      <c r="T28" t="str">
        <f t="shared" si="1"/>
        <v>\I:</v>
      </c>
      <c r="U28" t="str">
        <f t="shared" ca="1" si="2"/>
        <v>ICE medium size gasoline car -- 00%</v>
      </c>
      <c r="V28" s="188" t="s">
        <v>84</v>
      </c>
      <c r="W28" s="188" t="s">
        <v>85</v>
      </c>
    </row>
    <row r="29" spans="2:23">
      <c r="J29" t="str">
        <f t="shared" si="3"/>
        <v>Trd_car_gsl</v>
      </c>
      <c r="K29" t="str">
        <f t="shared" si="4"/>
        <v>\I:</v>
      </c>
      <c r="L29" t="str">
        <f t="shared" si="5"/>
        <v>\I:</v>
      </c>
      <c r="M29" s="185" t="str">
        <f t="shared" si="6"/>
        <v/>
      </c>
      <c r="N29" s="185" t="str">
        <f t="shared" si="7"/>
        <v/>
      </c>
      <c r="O29" s="185" t="str">
        <f t="shared" si="8"/>
        <v/>
      </c>
      <c r="P29" s="185" t="str">
        <f t="shared" si="9"/>
        <v/>
      </c>
      <c r="T29" t="str">
        <f t="shared" si="1"/>
        <v>\I:</v>
      </c>
      <c r="U29" t="str">
        <f t="shared" ca="1" si="2"/>
        <v>ICE medium size gasoline car -- 00%</v>
      </c>
      <c r="V29" s="188" t="s">
        <v>84</v>
      </c>
      <c r="W29" s="188" t="s">
        <v>85</v>
      </c>
    </row>
    <row r="30" spans="2:23">
      <c r="J30" t="str">
        <f t="shared" si="3"/>
        <v>Trd_car_gsl</v>
      </c>
      <c r="K30" t="str">
        <f t="shared" si="4"/>
        <v>\I:</v>
      </c>
      <c r="L30" t="str">
        <f t="shared" si="5"/>
        <v>\I:</v>
      </c>
      <c r="M30" s="185" t="str">
        <f t="shared" si="6"/>
        <v/>
      </c>
      <c r="N30" s="185" t="str">
        <f t="shared" si="7"/>
        <v/>
      </c>
      <c r="O30" s="185" t="str">
        <f t="shared" si="8"/>
        <v/>
      </c>
      <c r="P30" s="185" t="str">
        <f t="shared" si="9"/>
        <v/>
      </c>
      <c r="T30" t="str">
        <f t="shared" si="1"/>
        <v>\I:</v>
      </c>
      <c r="U30" t="str">
        <f t="shared" ca="1" si="2"/>
        <v>ICE medium size gasoline car -- 00%</v>
      </c>
      <c r="V30" s="188" t="s">
        <v>84</v>
      </c>
      <c r="W30" s="188" t="s">
        <v>85</v>
      </c>
    </row>
    <row r="31" spans="2:23" ht="15" customHeight="1">
      <c r="B31" s="179" t="s">
        <v>16</v>
      </c>
      <c r="C31" s="179" t="s">
        <v>46</v>
      </c>
      <c r="D31" s="179"/>
      <c r="E31" s="179"/>
      <c r="F31" s="179"/>
      <c r="J31" t="str">
        <f t="shared" si="3"/>
        <v>Trd_car_gsl-hyb</v>
      </c>
      <c r="K31" t="str">
        <f t="shared" si="4"/>
        <v>\I:</v>
      </c>
      <c r="L31" t="str">
        <f t="shared" si="5"/>
        <v>\I:</v>
      </c>
      <c r="M31" s="185" t="str">
        <f t="shared" si="6"/>
        <v/>
      </c>
      <c r="N31" s="185" t="str">
        <f t="shared" si="7"/>
        <v/>
      </c>
      <c r="O31" s="185" t="str">
        <f t="shared" si="8"/>
        <v/>
      </c>
      <c r="P31" s="185" t="str">
        <f t="shared" si="9"/>
        <v/>
      </c>
      <c r="T31" t="str">
        <f t="shared" si="1"/>
        <v>\I:</v>
      </c>
      <c r="U31" t="str">
        <f t="shared" ca="1" si="2"/>
        <v>ICE medium size hybrid gasoline car -- Reduction of specific energy consumption relative to 2015 gasoline vehicle (%)</v>
      </c>
      <c r="V31" s="188" t="s">
        <v>84</v>
      </c>
      <c r="W31" s="188" t="s">
        <v>85</v>
      </c>
    </row>
    <row r="32" spans="2:23">
      <c r="B32" s="179"/>
      <c r="C32" s="179"/>
      <c r="D32" s="179"/>
      <c r="E32" s="179"/>
      <c r="F32" s="179"/>
      <c r="J32" t="str">
        <f t="shared" si="3"/>
        <v>Trd_car_gsl-hyb</v>
      </c>
      <c r="K32" t="str">
        <f t="shared" si="4"/>
        <v>\I:</v>
      </c>
      <c r="L32" t="str">
        <f t="shared" si="5"/>
        <v>\I:</v>
      </c>
      <c r="M32" s="185" t="str">
        <f t="shared" si="6"/>
        <v/>
      </c>
      <c r="N32" s="185" t="str">
        <f t="shared" si="7"/>
        <v/>
      </c>
      <c r="O32" s="185" t="str">
        <f t="shared" si="8"/>
        <v/>
      </c>
      <c r="P32" s="185" t="str">
        <f t="shared" si="9"/>
        <v/>
      </c>
      <c r="T32" t="str">
        <f t="shared" si="1"/>
        <v>\I:</v>
      </c>
      <c r="U32" t="str">
        <f t="shared" ca="1" si="2"/>
        <v>ICE medium size hybrid gasoline car -- 00%</v>
      </c>
      <c r="V32" s="188" t="s">
        <v>84</v>
      </c>
      <c r="W32" s="188" t="s">
        <v>85</v>
      </c>
    </row>
    <row r="33" spans="2:23">
      <c r="B33" s="179"/>
      <c r="C33" s="179"/>
      <c r="D33" s="179"/>
      <c r="E33" s="179"/>
      <c r="F33" s="179"/>
      <c r="J33" t="str">
        <f t="shared" si="3"/>
        <v>Trd_car_gsl-hyb</v>
      </c>
      <c r="K33" t="str">
        <f t="shared" si="4"/>
        <v>\I:</v>
      </c>
      <c r="L33" t="str">
        <f t="shared" si="5"/>
        <v>\I:</v>
      </c>
      <c r="M33" s="185" t="str">
        <f t="shared" si="6"/>
        <v/>
      </c>
      <c r="N33" s="185" t="str">
        <f t="shared" si="7"/>
        <v/>
      </c>
      <c r="O33" s="185" t="str">
        <f t="shared" si="8"/>
        <v/>
      </c>
      <c r="P33" s="185" t="str">
        <f t="shared" si="9"/>
        <v/>
      </c>
      <c r="T33" t="str">
        <f t="shared" si="1"/>
        <v>\I:</v>
      </c>
      <c r="U33" t="str">
        <f t="shared" ca="1" si="2"/>
        <v>ICE medium size hybrid gasoline car -- 00%</v>
      </c>
      <c r="V33" s="188" t="s">
        <v>84</v>
      </c>
      <c r="W33" s="188" t="s">
        <v>85</v>
      </c>
    </row>
    <row r="34" spans="2:23">
      <c r="B34" s="55"/>
      <c r="C34" s="36">
        <v>2020</v>
      </c>
      <c r="D34" s="36">
        <v>2030</v>
      </c>
      <c r="E34" s="36">
        <v>2040</v>
      </c>
      <c r="F34" s="36">
        <v>2050</v>
      </c>
      <c r="J34" t="str">
        <f t="shared" si="3"/>
        <v>Trd_car_gsl-hyb</v>
      </c>
      <c r="K34" t="str">
        <f t="shared" si="4"/>
        <v>\I:</v>
      </c>
      <c r="L34" t="str">
        <f t="shared" si="5"/>
        <v>\I:</v>
      </c>
      <c r="M34" s="185" t="str">
        <f t="shared" si="6"/>
        <v/>
      </c>
      <c r="N34" s="185" t="str">
        <f t="shared" si="7"/>
        <v/>
      </c>
      <c r="O34" s="185" t="str">
        <f t="shared" si="8"/>
        <v/>
      </c>
      <c r="P34" s="185" t="str">
        <f t="shared" si="9"/>
        <v/>
      </c>
      <c r="T34" t="str">
        <f t="shared" si="1"/>
        <v>\I:</v>
      </c>
      <c r="U34" t="str">
        <f t="shared" ca="1" si="2"/>
        <v>ICE medium size hybrid gasoline car -- 00%</v>
      </c>
      <c r="V34" s="188" t="s">
        <v>84</v>
      </c>
      <c r="W34" s="188" t="s">
        <v>85</v>
      </c>
    </row>
    <row r="35" spans="2:23">
      <c r="B35" s="52">
        <v>0.23611493530451899</v>
      </c>
      <c r="C35" s="53">
        <v>21857.343729148801</v>
      </c>
      <c r="D35" s="53">
        <v>20782.1308961293</v>
      </c>
      <c r="E35" s="53">
        <v>20782.1308961293</v>
      </c>
      <c r="F35" s="53">
        <v>20782.1308961293</v>
      </c>
      <c r="I35" s="50">
        <f>(1+B35)</f>
        <v>1.23611493530452</v>
      </c>
      <c r="J35" t="str">
        <f t="shared" si="3"/>
        <v>Trd_car_gsl-hyb</v>
      </c>
      <c r="K35" t="str">
        <f t="shared" si="4"/>
        <v>Trd_car_gsl-hyb_24</v>
      </c>
      <c r="L35" t="str">
        <f t="shared" si="5"/>
        <v>Trd_car</v>
      </c>
      <c r="M35" s="185">
        <f t="shared" si="6"/>
        <v>21857.343729148801</v>
      </c>
      <c r="N35" s="185">
        <f t="shared" si="7"/>
        <v>20782.1308961293</v>
      </c>
      <c r="O35" s="185">
        <f t="shared" si="8"/>
        <v>20782.1308961293</v>
      </c>
      <c r="P35" s="185">
        <f t="shared" si="9"/>
        <v>20782.1308961293</v>
      </c>
      <c r="T35" t="str">
        <f t="shared" si="1"/>
        <v>Trd_car_gsl-hyb_24</v>
      </c>
      <c r="U35" t="str">
        <f t="shared" ca="1" si="2"/>
        <v>ICE medium size hybrid gasoline car -- 24%</v>
      </c>
      <c r="V35" s="188" t="s">
        <v>84</v>
      </c>
      <c r="W35" s="188" t="s">
        <v>85</v>
      </c>
    </row>
    <row r="36" spans="2:23">
      <c r="B36" s="52">
        <v>0.33611493530451902</v>
      </c>
      <c r="C36" s="53">
        <v>22033.116899234701</v>
      </c>
      <c r="D36" s="53">
        <v>20950.891433475699</v>
      </c>
      <c r="E36" s="53">
        <v>20950.891433475699</v>
      </c>
      <c r="F36" s="53">
        <v>20950.891433475699</v>
      </c>
      <c r="I36" s="50">
        <f t="shared" ref="I36:I41" si="11">(1+B36)</f>
        <v>1.3361149353045201</v>
      </c>
      <c r="J36" t="str">
        <f t="shared" si="3"/>
        <v>Trd_car_gsl-hyb</v>
      </c>
      <c r="K36" t="str">
        <f t="shared" si="4"/>
        <v>Trd_car_gsl-hyb_34</v>
      </c>
      <c r="L36" t="str">
        <f t="shared" si="5"/>
        <v>Trd_car</v>
      </c>
      <c r="M36" s="185">
        <f t="shared" si="6"/>
        <v>22033.116899234701</v>
      </c>
      <c r="N36" s="185">
        <f t="shared" si="7"/>
        <v>20950.891433475699</v>
      </c>
      <c r="O36" s="185">
        <f t="shared" si="8"/>
        <v>20950.891433475699</v>
      </c>
      <c r="P36" s="185">
        <f t="shared" si="9"/>
        <v>20950.891433475699</v>
      </c>
      <c r="T36" t="str">
        <f t="shared" si="1"/>
        <v>Trd_car_gsl-hyb_34</v>
      </c>
      <c r="U36" t="str">
        <f t="shared" ca="1" si="2"/>
        <v>ICE medium size hybrid gasoline car -- 34%</v>
      </c>
      <c r="V36" s="188" t="s">
        <v>84</v>
      </c>
      <c r="W36" s="188" t="s">
        <v>85</v>
      </c>
    </row>
    <row r="37" spans="2:23">
      <c r="B37" s="52">
        <v>0.38611493530451901</v>
      </c>
      <c r="C37" s="53">
        <v>22246.228333162799</v>
      </c>
      <c r="D37" s="53">
        <v>21100.820486873701</v>
      </c>
      <c r="E37" s="53">
        <v>21100.820486873701</v>
      </c>
      <c r="F37" s="53">
        <v>21100.820486873701</v>
      </c>
      <c r="I37" s="50">
        <f t="shared" si="11"/>
        <v>1.3861149353045199</v>
      </c>
      <c r="J37" t="str">
        <f t="shared" si="3"/>
        <v>Trd_car_gsl-hyb</v>
      </c>
      <c r="K37" t="str">
        <f t="shared" si="4"/>
        <v>Trd_car_gsl-hyb_39</v>
      </c>
      <c r="L37" t="str">
        <f t="shared" si="5"/>
        <v>Trd_car</v>
      </c>
      <c r="M37" s="185">
        <f t="shared" si="6"/>
        <v>22246.228333162799</v>
      </c>
      <c r="N37" s="185">
        <f t="shared" si="7"/>
        <v>21100.820486873701</v>
      </c>
      <c r="O37" s="185">
        <f t="shared" si="8"/>
        <v>21100.820486873701</v>
      </c>
      <c r="P37" s="185">
        <f t="shared" si="9"/>
        <v>21100.820486873701</v>
      </c>
      <c r="T37" t="str">
        <f t="shared" si="1"/>
        <v>Trd_car_gsl-hyb_39</v>
      </c>
      <c r="U37" t="str">
        <f t="shared" ca="1" si="2"/>
        <v>ICE medium size hybrid gasoline car -- 39%</v>
      </c>
      <c r="V37" s="188" t="s">
        <v>84</v>
      </c>
      <c r="W37" s="188" t="s">
        <v>85</v>
      </c>
    </row>
    <row r="38" spans="2:23">
      <c r="B38" s="52">
        <v>0.436114935304519</v>
      </c>
      <c r="C38" s="53">
        <v>22681.2653604884</v>
      </c>
      <c r="D38" s="53">
        <v>21227.4251408085</v>
      </c>
      <c r="E38" s="53">
        <v>21227.4251408085</v>
      </c>
      <c r="F38" s="53">
        <v>21227.4251408085</v>
      </c>
      <c r="I38" s="50">
        <f t="shared" si="11"/>
        <v>1.4361149353045199</v>
      </c>
      <c r="J38" t="str">
        <f t="shared" si="3"/>
        <v>Trd_car_gsl-hyb</v>
      </c>
      <c r="K38" t="str">
        <f t="shared" si="4"/>
        <v>Trd_car_gsl-hyb_44</v>
      </c>
      <c r="L38" t="str">
        <f t="shared" si="5"/>
        <v>Trd_car</v>
      </c>
      <c r="M38" s="185">
        <f t="shared" si="6"/>
        <v>22681.2653604884</v>
      </c>
      <c r="N38" s="185">
        <f t="shared" si="7"/>
        <v>21227.4251408085</v>
      </c>
      <c r="O38" s="185">
        <f t="shared" si="8"/>
        <v>21227.4251408085</v>
      </c>
      <c r="P38" s="185">
        <f t="shared" si="9"/>
        <v>21227.4251408085</v>
      </c>
      <c r="T38" t="str">
        <f t="shared" si="1"/>
        <v>Trd_car_gsl-hyb_44</v>
      </c>
      <c r="U38" t="str">
        <f t="shared" ca="1" si="2"/>
        <v>ICE medium size hybrid gasoline car -- 44%</v>
      </c>
      <c r="V38" s="188" t="s">
        <v>84</v>
      </c>
      <c r="W38" s="188" t="s">
        <v>85</v>
      </c>
    </row>
    <row r="39" spans="2:23">
      <c r="B39" s="52">
        <v>0.48611493530451899</v>
      </c>
      <c r="C39" s="53">
        <v>23657.6075827596</v>
      </c>
      <c r="D39" s="53">
        <v>21496.8410810268</v>
      </c>
      <c r="E39" s="53">
        <v>21496.8410810268</v>
      </c>
      <c r="F39" s="53">
        <v>21496.8410810268</v>
      </c>
      <c r="I39" s="50">
        <f t="shared" si="11"/>
        <v>1.48611493530452</v>
      </c>
      <c r="J39" t="str">
        <f t="shared" si="3"/>
        <v>Trd_car_gsl-hyb</v>
      </c>
      <c r="K39" t="str">
        <f t="shared" si="4"/>
        <v>Trd_car_gsl-hyb_49</v>
      </c>
      <c r="L39" t="str">
        <f t="shared" si="5"/>
        <v>Trd_car</v>
      </c>
      <c r="M39" s="185">
        <f t="shared" si="6"/>
        <v>23657.6075827596</v>
      </c>
      <c r="N39" s="185">
        <f t="shared" si="7"/>
        <v>21496.8410810268</v>
      </c>
      <c r="O39" s="185">
        <f t="shared" si="8"/>
        <v>21496.8410810268</v>
      </c>
      <c r="P39" s="185">
        <f t="shared" si="9"/>
        <v>21496.8410810268</v>
      </c>
      <c r="T39" t="str">
        <f t="shared" si="1"/>
        <v>Trd_car_gsl-hyb_49</v>
      </c>
      <c r="U39" t="str">
        <f t="shared" ca="1" si="2"/>
        <v>ICE medium size hybrid gasoline car -- 49%</v>
      </c>
      <c r="V39" s="188" t="s">
        <v>84</v>
      </c>
      <c r="W39" s="188" t="s">
        <v>85</v>
      </c>
    </row>
    <row r="40" spans="2:23">
      <c r="B40" s="52">
        <v>0.53611493530451904</v>
      </c>
      <c r="C40" s="53">
        <v>45787.585164558099</v>
      </c>
      <c r="D40" s="53">
        <v>22147.350054544499</v>
      </c>
      <c r="E40" s="53">
        <v>22147.350054544499</v>
      </c>
      <c r="F40" s="53">
        <v>22147.350054544499</v>
      </c>
      <c r="I40" s="50">
        <f t="shared" si="11"/>
        <v>1.53611493530452</v>
      </c>
      <c r="J40" t="str">
        <f t="shared" si="3"/>
        <v>Trd_car_gsl-hyb</v>
      </c>
      <c r="K40" t="str">
        <f t="shared" si="4"/>
        <v>Trd_car_gsl-hyb_54</v>
      </c>
      <c r="L40" t="str">
        <f t="shared" si="5"/>
        <v>Trd_car</v>
      </c>
      <c r="M40" s="185">
        <f t="shared" si="6"/>
        <v>45787.585164558099</v>
      </c>
      <c r="N40" s="185">
        <f t="shared" si="7"/>
        <v>22147.350054544499</v>
      </c>
      <c r="O40" s="185">
        <f t="shared" si="8"/>
        <v>22147.350054544499</v>
      </c>
      <c r="P40" s="185">
        <f t="shared" si="9"/>
        <v>22147.350054544499</v>
      </c>
      <c r="T40" t="str">
        <f t="shared" si="1"/>
        <v>Trd_car_gsl-hyb_54</v>
      </c>
      <c r="U40" t="str">
        <f t="shared" ca="1" si="2"/>
        <v>ICE medium size hybrid gasoline car -- 54%</v>
      </c>
      <c r="V40" s="188" t="s">
        <v>84</v>
      </c>
      <c r="W40" s="188" t="s">
        <v>85</v>
      </c>
    </row>
    <row r="41" spans="2:23">
      <c r="B41" s="52">
        <v>0.58611493530451897</v>
      </c>
      <c r="C41" s="53">
        <v>118918.12</v>
      </c>
      <c r="D41" s="53">
        <v>34938.660619353701</v>
      </c>
      <c r="E41" s="53">
        <v>34938.660619353701</v>
      </c>
      <c r="F41" s="53">
        <v>34938.660619353701</v>
      </c>
      <c r="I41" s="50">
        <f t="shared" si="11"/>
        <v>1.5861149353045201</v>
      </c>
      <c r="J41" t="str">
        <f t="shared" si="3"/>
        <v>Trd_car_gsl-hyb</v>
      </c>
      <c r="K41" t="str">
        <f t="shared" si="4"/>
        <v>Trd_car_gsl-hyb_59</v>
      </c>
      <c r="L41" t="str">
        <f t="shared" si="5"/>
        <v>Trd_car</v>
      </c>
      <c r="M41" s="185">
        <f t="shared" si="6"/>
        <v>118918.12</v>
      </c>
      <c r="N41" s="185">
        <f t="shared" si="7"/>
        <v>34938.660619353701</v>
      </c>
      <c r="O41" s="185">
        <f t="shared" si="8"/>
        <v>34938.660619353701</v>
      </c>
      <c r="P41" s="185">
        <f t="shared" si="9"/>
        <v>34938.660619353701</v>
      </c>
      <c r="T41" t="str">
        <f t="shared" si="1"/>
        <v>Trd_car_gsl-hyb_59</v>
      </c>
      <c r="U41" t="str">
        <f t="shared" ca="1" si="2"/>
        <v>ICE medium size hybrid gasoline car -- 59%</v>
      </c>
      <c r="V41" s="188" t="s">
        <v>84</v>
      </c>
      <c r="W41" s="188" t="s">
        <v>85</v>
      </c>
    </row>
    <row r="42" spans="2:23">
      <c r="C42" s="61"/>
      <c r="D42" s="61"/>
      <c r="E42" s="61"/>
      <c r="F42" s="61"/>
      <c r="J42" t="str">
        <f t="shared" si="3"/>
        <v>Trd_car_gsl-hyb</v>
      </c>
      <c r="K42" t="str">
        <f t="shared" si="4"/>
        <v>\I:</v>
      </c>
      <c r="L42" t="str">
        <f t="shared" si="5"/>
        <v>\I:</v>
      </c>
      <c r="M42" s="185" t="str">
        <f t="shared" si="6"/>
        <v/>
      </c>
      <c r="N42" s="185" t="str">
        <f t="shared" si="7"/>
        <v/>
      </c>
      <c r="O42" s="185" t="str">
        <f t="shared" si="8"/>
        <v/>
      </c>
      <c r="P42" s="185" t="str">
        <f t="shared" si="9"/>
        <v/>
      </c>
      <c r="T42" t="str">
        <f t="shared" si="1"/>
        <v>\I:</v>
      </c>
      <c r="U42" t="str">
        <f t="shared" ca="1" si="2"/>
        <v>ICE medium size hybrid gasoline car -- 00%</v>
      </c>
      <c r="V42" s="188" t="s">
        <v>84</v>
      </c>
      <c r="W42" s="188" t="s">
        <v>85</v>
      </c>
    </row>
    <row r="43" spans="2:23">
      <c r="J43" t="str">
        <f t="shared" si="3"/>
        <v>Trd_car_gsl-hyb</v>
      </c>
      <c r="K43" t="str">
        <f t="shared" si="4"/>
        <v>\I:</v>
      </c>
      <c r="L43" t="str">
        <f t="shared" si="5"/>
        <v>\I:</v>
      </c>
      <c r="M43" s="185" t="str">
        <f t="shared" si="6"/>
        <v/>
      </c>
      <c r="N43" s="185" t="str">
        <f t="shared" si="7"/>
        <v/>
      </c>
      <c r="O43" s="185" t="str">
        <f t="shared" si="8"/>
        <v/>
      </c>
      <c r="P43" s="185" t="str">
        <f t="shared" si="9"/>
        <v/>
      </c>
      <c r="T43" t="str">
        <f t="shared" si="1"/>
        <v>\I:</v>
      </c>
      <c r="U43" t="str">
        <f t="shared" ca="1" si="2"/>
        <v>ICE medium size hybrid gasoline car -- 00%</v>
      </c>
      <c r="V43" s="188" t="s">
        <v>84</v>
      </c>
      <c r="W43" s="188" t="s">
        <v>85</v>
      </c>
    </row>
    <row r="44" spans="2:23">
      <c r="J44" t="str">
        <f t="shared" si="3"/>
        <v>Trd_car_gsl-hyb</v>
      </c>
      <c r="K44" t="str">
        <f t="shared" si="4"/>
        <v>\I:</v>
      </c>
      <c r="L44" t="str">
        <f t="shared" si="5"/>
        <v>\I:</v>
      </c>
      <c r="M44" s="185" t="str">
        <f t="shared" si="6"/>
        <v/>
      </c>
      <c r="N44" s="185" t="str">
        <f t="shared" si="7"/>
        <v/>
      </c>
      <c r="O44" s="185" t="str">
        <f t="shared" si="8"/>
        <v/>
      </c>
      <c r="P44" s="185" t="str">
        <f t="shared" si="9"/>
        <v/>
      </c>
      <c r="T44" t="str">
        <f t="shared" si="1"/>
        <v>\I:</v>
      </c>
      <c r="U44" t="str">
        <f t="shared" ca="1" si="2"/>
        <v>ICE medium size hybrid gasoline car -- 00%</v>
      </c>
      <c r="V44" s="188" t="s">
        <v>84</v>
      </c>
      <c r="W44" s="188" t="s">
        <v>85</v>
      </c>
    </row>
    <row r="45" spans="2:23">
      <c r="J45" t="str">
        <f t="shared" si="3"/>
        <v>Trd_car_gsl-hyb</v>
      </c>
      <c r="K45" t="str">
        <f t="shared" si="4"/>
        <v>\I:</v>
      </c>
      <c r="L45" t="str">
        <f t="shared" si="5"/>
        <v>\I:</v>
      </c>
      <c r="M45" s="185" t="str">
        <f t="shared" si="6"/>
        <v/>
      </c>
      <c r="N45" s="185" t="str">
        <f t="shared" si="7"/>
        <v/>
      </c>
      <c r="O45" s="185" t="str">
        <f t="shared" si="8"/>
        <v/>
      </c>
      <c r="P45" s="185" t="str">
        <f t="shared" si="9"/>
        <v/>
      </c>
      <c r="T45" t="str">
        <f t="shared" si="1"/>
        <v>\I:</v>
      </c>
      <c r="U45" t="str">
        <f t="shared" ca="1" si="2"/>
        <v>ICE medium size hybrid gasoline car -- 00%</v>
      </c>
      <c r="V45" s="188" t="s">
        <v>84</v>
      </c>
      <c r="W45" s="188" t="s">
        <v>85</v>
      </c>
    </row>
    <row r="46" spans="2:23" ht="15" customHeight="1">
      <c r="B46" s="179" t="s">
        <v>16</v>
      </c>
      <c r="C46" s="179" t="s">
        <v>49</v>
      </c>
      <c r="D46" s="179"/>
      <c r="E46" s="179"/>
      <c r="F46" s="179"/>
      <c r="J46" t="str">
        <f t="shared" si="3"/>
        <v>Trd_car_gsl-pih</v>
      </c>
      <c r="K46" t="str">
        <f t="shared" si="4"/>
        <v>\I:</v>
      </c>
      <c r="L46" t="str">
        <f t="shared" si="5"/>
        <v>\I:</v>
      </c>
      <c r="M46" s="185" t="str">
        <f t="shared" si="6"/>
        <v/>
      </c>
      <c r="N46" s="185" t="str">
        <f t="shared" si="7"/>
        <v/>
      </c>
      <c r="O46" s="185" t="str">
        <f t="shared" si="8"/>
        <v/>
      </c>
      <c r="P46" s="185" t="str">
        <f t="shared" si="9"/>
        <v/>
      </c>
      <c r="T46" t="str">
        <f t="shared" si="1"/>
        <v>\I:</v>
      </c>
      <c r="U46" t="str">
        <f t="shared" ca="1" si="2"/>
        <v>ICE medium size plug-in hybrid gasoline car -- Reduction of specific energy consumption relative to 2015 gasoline vehicle (%)</v>
      </c>
      <c r="V46" s="188" t="s">
        <v>84</v>
      </c>
      <c r="W46" s="188" t="s">
        <v>85</v>
      </c>
    </row>
    <row r="47" spans="2:23">
      <c r="B47" s="179"/>
      <c r="C47" s="179"/>
      <c r="D47" s="179"/>
      <c r="E47" s="179"/>
      <c r="F47" s="179"/>
      <c r="J47" t="str">
        <f t="shared" si="3"/>
        <v>Trd_car_gsl-pih</v>
      </c>
      <c r="K47" t="str">
        <f t="shared" si="4"/>
        <v>\I:</v>
      </c>
      <c r="L47" t="str">
        <f t="shared" si="5"/>
        <v>\I:</v>
      </c>
      <c r="M47" s="185" t="str">
        <f t="shared" si="6"/>
        <v/>
      </c>
      <c r="N47" s="185" t="str">
        <f t="shared" si="7"/>
        <v/>
      </c>
      <c r="O47" s="185" t="str">
        <f t="shared" si="8"/>
        <v/>
      </c>
      <c r="P47" s="185" t="str">
        <f t="shared" si="9"/>
        <v/>
      </c>
      <c r="T47" t="str">
        <f t="shared" si="1"/>
        <v>\I:</v>
      </c>
      <c r="U47" t="str">
        <f t="shared" ca="1" si="2"/>
        <v>ICE medium size plug-in hybrid gasoline car -- 00%</v>
      </c>
      <c r="V47" s="188" t="s">
        <v>84</v>
      </c>
      <c r="W47" s="188" t="s">
        <v>85</v>
      </c>
    </row>
    <row r="48" spans="2:23">
      <c r="B48" s="179"/>
      <c r="C48" s="179"/>
      <c r="D48" s="179"/>
      <c r="E48" s="179"/>
      <c r="F48" s="179"/>
      <c r="J48" t="str">
        <f t="shared" si="3"/>
        <v>Trd_car_gsl-pih</v>
      </c>
      <c r="K48" t="str">
        <f t="shared" si="4"/>
        <v>\I:</v>
      </c>
      <c r="L48" t="str">
        <f t="shared" si="5"/>
        <v>\I:</v>
      </c>
      <c r="M48" s="185" t="str">
        <f t="shared" si="6"/>
        <v/>
      </c>
      <c r="N48" s="185" t="str">
        <f t="shared" si="7"/>
        <v/>
      </c>
      <c r="O48" s="185" t="str">
        <f t="shared" si="8"/>
        <v/>
      </c>
      <c r="P48" s="185" t="str">
        <f t="shared" si="9"/>
        <v/>
      </c>
      <c r="T48" t="str">
        <f t="shared" si="1"/>
        <v>\I:</v>
      </c>
      <c r="U48" t="str">
        <f t="shared" ca="1" si="2"/>
        <v>ICE medium size plug-in hybrid gasoline car -- 00%</v>
      </c>
      <c r="V48" s="188" t="s">
        <v>84</v>
      </c>
      <c r="W48" s="188" t="s">
        <v>85</v>
      </c>
    </row>
    <row r="49" spans="2:23">
      <c r="B49" s="55"/>
      <c r="C49" s="36">
        <v>2020</v>
      </c>
      <c r="D49" s="36">
        <v>2030</v>
      </c>
      <c r="E49" s="36">
        <v>2040</v>
      </c>
      <c r="F49" s="36">
        <v>2050</v>
      </c>
      <c r="J49" t="str">
        <f t="shared" si="3"/>
        <v>Trd_car_gsl-pih</v>
      </c>
      <c r="K49" t="str">
        <f t="shared" si="4"/>
        <v>\I:</v>
      </c>
      <c r="L49" t="str">
        <f t="shared" si="5"/>
        <v>\I:</v>
      </c>
      <c r="M49" s="185" t="str">
        <f t="shared" si="6"/>
        <v/>
      </c>
      <c r="N49" s="185" t="str">
        <f t="shared" si="7"/>
        <v/>
      </c>
      <c r="O49" s="185" t="str">
        <f t="shared" si="8"/>
        <v/>
      </c>
      <c r="P49" s="185" t="str">
        <f t="shared" si="9"/>
        <v/>
      </c>
      <c r="T49" t="str">
        <f t="shared" ref="T49:T80" si="12">K49</f>
        <v>\I:</v>
      </c>
      <c r="U49" t="str">
        <f t="shared" ref="U49:U80" ca="1" si="13">OFFSET($S$1,MATCH(J49,$S$1:$S$11,0)-1,-1)&amp;" -- "&amp;TEXT(B49,"00%")</f>
        <v>ICE medium size plug-in hybrid gasoline car -- 00%</v>
      </c>
      <c r="V49" s="188" t="s">
        <v>84</v>
      </c>
      <c r="W49" s="188" t="s">
        <v>85</v>
      </c>
    </row>
    <row r="50" spans="2:23">
      <c r="B50" s="222">
        <v>0.70862395894197205</v>
      </c>
      <c r="C50" s="53">
        <v>26539.477699302901</v>
      </c>
      <c r="D50" s="53">
        <v>22587.577940412499</v>
      </c>
      <c r="E50" s="53">
        <v>21510.779158187899</v>
      </c>
      <c r="F50" s="53">
        <v>21196.7246089853</v>
      </c>
      <c r="I50" s="50">
        <f t="shared" ref="I50:I57" si="14">(1+B50)</f>
        <v>1.7086239589419701</v>
      </c>
      <c r="J50" t="str">
        <f t="shared" si="3"/>
        <v>Trd_car_gsl-pih</v>
      </c>
      <c r="K50" t="str">
        <f t="shared" si="4"/>
        <v>Trd_car_gsl-pih_71</v>
      </c>
      <c r="L50" t="str">
        <f t="shared" si="5"/>
        <v>Trd_car</v>
      </c>
      <c r="M50" s="185">
        <f t="shared" si="6"/>
        <v>26539.477699302901</v>
      </c>
      <c r="N50" s="185">
        <f t="shared" si="7"/>
        <v>22587.577940412499</v>
      </c>
      <c r="O50" s="185">
        <f t="shared" si="8"/>
        <v>21510.779158187899</v>
      </c>
      <c r="P50" s="185">
        <f t="shared" si="9"/>
        <v>21196.7246089853</v>
      </c>
      <c r="T50" t="str">
        <f t="shared" si="12"/>
        <v>Trd_car_gsl-pih_71</v>
      </c>
      <c r="U50" t="str">
        <f t="shared" ca="1" si="13"/>
        <v>ICE medium size plug-in hybrid gasoline car -- 71%</v>
      </c>
      <c r="V50" s="188" t="s">
        <v>84</v>
      </c>
      <c r="W50" s="188" t="s">
        <v>85</v>
      </c>
    </row>
    <row r="51" spans="2:23">
      <c r="B51" s="222">
        <v>0.71862395894197195</v>
      </c>
      <c r="C51" s="53">
        <v>26628.2779926644</v>
      </c>
      <c r="D51" s="53">
        <v>22611.9323485899</v>
      </c>
      <c r="E51" s="53">
        <v>21520.181177336501</v>
      </c>
      <c r="F51" s="53">
        <v>21201.000673426999</v>
      </c>
      <c r="I51" s="50">
        <f t="shared" si="14"/>
        <v>1.7186239589419701</v>
      </c>
      <c r="J51" t="str">
        <f t="shared" si="3"/>
        <v>Trd_car_gsl-pih</v>
      </c>
      <c r="K51" t="str">
        <f t="shared" si="4"/>
        <v>Trd_car_gsl-pih_72</v>
      </c>
      <c r="L51" t="str">
        <f t="shared" si="5"/>
        <v>Trd_car</v>
      </c>
      <c r="M51" s="185">
        <f t="shared" si="6"/>
        <v>26628.2779926644</v>
      </c>
      <c r="N51" s="185">
        <f t="shared" si="7"/>
        <v>22611.9323485899</v>
      </c>
      <c r="O51" s="185">
        <f t="shared" si="8"/>
        <v>21520.181177336501</v>
      </c>
      <c r="P51" s="185">
        <f t="shared" si="9"/>
        <v>21201.000673426999</v>
      </c>
      <c r="T51" t="str">
        <f t="shared" si="12"/>
        <v>Trd_car_gsl-pih_72</v>
      </c>
      <c r="U51" t="str">
        <f t="shared" ca="1" si="13"/>
        <v>ICE medium size plug-in hybrid gasoline car -- 72%</v>
      </c>
      <c r="V51" s="188" t="s">
        <v>84</v>
      </c>
      <c r="W51" s="188" t="s">
        <v>85</v>
      </c>
    </row>
    <row r="52" spans="2:23">
      <c r="B52" s="222">
        <v>0.73112395894197202</v>
      </c>
      <c r="C52" s="53">
        <v>26773.522519624999</v>
      </c>
      <c r="D52" s="53">
        <v>22633.653718043301</v>
      </c>
      <c r="E52" s="53">
        <v>21527.053084948599</v>
      </c>
      <c r="F52" s="53">
        <v>21202.711006884801</v>
      </c>
      <c r="I52" s="50">
        <f t="shared" si="14"/>
        <v>1.73112395894197</v>
      </c>
      <c r="J52" t="str">
        <f t="shared" si="3"/>
        <v>Trd_car_gsl-pih</v>
      </c>
      <c r="K52" t="str">
        <f t="shared" si="4"/>
        <v>Trd_car_gsl-pih_73</v>
      </c>
      <c r="L52" t="str">
        <f t="shared" si="5"/>
        <v>Trd_car</v>
      </c>
      <c r="M52" s="185">
        <f t="shared" si="6"/>
        <v>26773.522519624999</v>
      </c>
      <c r="N52" s="185">
        <f t="shared" si="7"/>
        <v>22633.653718043301</v>
      </c>
      <c r="O52" s="185">
        <f t="shared" si="8"/>
        <v>21527.053084948599</v>
      </c>
      <c r="P52" s="185">
        <f t="shared" si="9"/>
        <v>21202.711006884801</v>
      </c>
      <c r="T52" t="str">
        <f t="shared" si="12"/>
        <v>Trd_car_gsl-pih_73</v>
      </c>
      <c r="U52" t="str">
        <f t="shared" ca="1" si="13"/>
        <v>ICE medium size plug-in hybrid gasoline car -- 73%</v>
      </c>
      <c r="V52" s="188" t="s">
        <v>84</v>
      </c>
      <c r="W52" s="188" t="s">
        <v>85</v>
      </c>
    </row>
    <row r="53" spans="2:23">
      <c r="B53" s="222">
        <v>0.74112395894197203</v>
      </c>
      <c r="C53" s="53">
        <v>26989.674469047201</v>
      </c>
      <c r="D53" s="53">
        <v>22654.2157331532</v>
      </c>
      <c r="E53" s="53">
        <v>21537.477744613301</v>
      </c>
      <c r="F53" s="53">
        <v>21209.776881569102</v>
      </c>
      <c r="I53" s="50">
        <f t="shared" si="14"/>
        <v>1.74112395894197</v>
      </c>
      <c r="J53" t="str">
        <f t="shared" si="3"/>
        <v>Trd_car_gsl-pih</v>
      </c>
      <c r="K53" t="str">
        <f t="shared" si="4"/>
        <v>Trd_car_gsl-pih_74</v>
      </c>
      <c r="L53" t="str">
        <f t="shared" si="5"/>
        <v>Trd_car</v>
      </c>
      <c r="M53" s="185">
        <f t="shared" si="6"/>
        <v>26989.674469047201</v>
      </c>
      <c r="N53" s="185">
        <f t="shared" si="7"/>
        <v>22654.2157331532</v>
      </c>
      <c r="O53" s="185">
        <f t="shared" si="8"/>
        <v>21537.477744613301</v>
      </c>
      <c r="P53" s="185">
        <f t="shared" si="9"/>
        <v>21209.776881569102</v>
      </c>
      <c r="T53" t="str">
        <f t="shared" si="12"/>
        <v>Trd_car_gsl-pih_74</v>
      </c>
      <c r="U53" t="str">
        <f t="shared" ca="1" si="13"/>
        <v>ICE medium size plug-in hybrid gasoline car -- 74%</v>
      </c>
      <c r="V53" s="188" t="s">
        <v>84</v>
      </c>
      <c r="W53" s="188" t="s">
        <v>85</v>
      </c>
    </row>
    <row r="54" spans="2:23">
      <c r="B54" s="222">
        <v>0.75112395894197204</v>
      </c>
      <c r="C54" s="53">
        <v>27401.4001530307</v>
      </c>
      <c r="D54" s="53">
        <v>22660.396865068698</v>
      </c>
      <c r="E54" s="53">
        <v>21543.4172520826</v>
      </c>
      <c r="F54" s="53">
        <v>21215.8000066854</v>
      </c>
      <c r="I54" s="50">
        <f t="shared" si="14"/>
        <v>1.75112395894197</v>
      </c>
      <c r="J54" t="str">
        <f t="shared" si="3"/>
        <v>Trd_car_gsl-pih</v>
      </c>
      <c r="K54" t="str">
        <f t="shared" si="4"/>
        <v>Trd_car_gsl-pih_75</v>
      </c>
      <c r="L54" t="str">
        <f t="shared" si="5"/>
        <v>Trd_car</v>
      </c>
      <c r="M54" s="185">
        <f t="shared" si="6"/>
        <v>27401.4001530307</v>
      </c>
      <c r="N54" s="185">
        <f t="shared" si="7"/>
        <v>22660.396865068698</v>
      </c>
      <c r="O54" s="185">
        <f t="shared" si="8"/>
        <v>21543.4172520826</v>
      </c>
      <c r="P54" s="185">
        <f t="shared" si="9"/>
        <v>21215.8000066854</v>
      </c>
      <c r="T54" t="str">
        <f t="shared" si="12"/>
        <v>Trd_car_gsl-pih_75</v>
      </c>
      <c r="U54" t="str">
        <f t="shared" ca="1" si="13"/>
        <v>ICE medium size plug-in hybrid gasoline car -- 75%</v>
      </c>
      <c r="V54" s="188" t="s">
        <v>84</v>
      </c>
      <c r="W54" s="188" t="s">
        <v>85</v>
      </c>
    </row>
    <row r="55" spans="2:23">
      <c r="B55" s="222">
        <v>0.79862395894197202</v>
      </c>
      <c r="C55" s="53">
        <v>73086.775286881704</v>
      </c>
      <c r="D55" s="53">
        <v>23523.784503699801</v>
      </c>
      <c r="E55" s="53">
        <v>22095.434254087198</v>
      </c>
      <c r="F55" s="53">
        <v>21671.3185501023</v>
      </c>
      <c r="I55" s="50">
        <f t="shared" si="14"/>
        <v>1.7986239589419699</v>
      </c>
      <c r="J55" t="str">
        <f t="shared" si="3"/>
        <v>Trd_car_gsl-pih</v>
      </c>
      <c r="K55" t="str">
        <f t="shared" si="4"/>
        <v>Trd_car_gsl-pih_80</v>
      </c>
      <c r="L55" t="str">
        <f t="shared" si="5"/>
        <v>Trd_car</v>
      </c>
      <c r="M55" s="185">
        <f t="shared" si="6"/>
        <v>73086.775286881704</v>
      </c>
      <c r="N55" s="185">
        <f t="shared" si="7"/>
        <v>23523.784503699801</v>
      </c>
      <c r="O55" s="185">
        <f t="shared" si="8"/>
        <v>22095.434254087198</v>
      </c>
      <c r="P55" s="185">
        <f t="shared" si="9"/>
        <v>21671.3185501023</v>
      </c>
      <c r="T55" t="str">
        <f t="shared" si="12"/>
        <v>Trd_car_gsl-pih_80</v>
      </c>
      <c r="U55" t="str">
        <f t="shared" ca="1" si="13"/>
        <v>ICE medium size plug-in hybrid gasoline car -- 80%</v>
      </c>
      <c r="V55" s="188" t="s">
        <v>84</v>
      </c>
      <c r="W55" s="188" t="s">
        <v>85</v>
      </c>
    </row>
    <row r="56" spans="2:23">
      <c r="B56" s="222">
        <v>0.80612395894197197</v>
      </c>
      <c r="C56" s="53">
        <v>108076.535841584</v>
      </c>
      <c r="D56" s="53">
        <v>23678.9935851968</v>
      </c>
      <c r="E56" s="53">
        <v>22244.5761121578</v>
      </c>
      <c r="F56" s="53">
        <v>21822.560058912099</v>
      </c>
      <c r="I56" s="50">
        <f t="shared" si="14"/>
        <v>1.80612395894197</v>
      </c>
      <c r="J56" t="str">
        <f t="shared" si="3"/>
        <v>Trd_car_gsl-pih</v>
      </c>
      <c r="K56" t="str">
        <f t="shared" si="4"/>
        <v>Trd_car_gsl-pih_81</v>
      </c>
      <c r="L56" t="str">
        <f t="shared" si="5"/>
        <v>Trd_car</v>
      </c>
      <c r="M56" s="185">
        <f t="shared" si="6"/>
        <v>108076.535841584</v>
      </c>
      <c r="N56" s="185">
        <f t="shared" si="7"/>
        <v>23678.9935851968</v>
      </c>
      <c r="O56" s="185">
        <f t="shared" si="8"/>
        <v>22244.5761121578</v>
      </c>
      <c r="P56" s="185">
        <f t="shared" si="9"/>
        <v>21822.560058912099</v>
      </c>
      <c r="T56" t="str">
        <f t="shared" si="12"/>
        <v>Trd_car_gsl-pih_81</v>
      </c>
      <c r="U56" t="str">
        <f t="shared" ca="1" si="13"/>
        <v>ICE medium size plug-in hybrid gasoline car -- 81%</v>
      </c>
      <c r="V56" s="188" t="s">
        <v>84</v>
      </c>
      <c r="W56" s="188" t="s">
        <v>85</v>
      </c>
    </row>
    <row r="57" spans="2:23">
      <c r="B57" s="226">
        <v>0.81562395894197204</v>
      </c>
      <c r="C57" s="53">
        <f>C56</f>
        <v>108076.535841584</v>
      </c>
      <c r="D57" s="53">
        <v>42903.229309944902</v>
      </c>
      <c r="E57" s="53">
        <v>40717.324023050998</v>
      </c>
      <c r="F57" s="53">
        <v>40555.371236483901</v>
      </c>
      <c r="I57" s="50">
        <f t="shared" si="14"/>
        <v>1.81562395894197</v>
      </c>
      <c r="J57" t="str">
        <f t="shared" si="3"/>
        <v>Trd_car_gsl-pih</v>
      </c>
      <c r="K57" t="str">
        <f t="shared" si="4"/>
        <v>Trd_car_gsl-pih_82</v>
      </c>
      <c r="L57" t="str">
        <f t="shared" si="5"/>
        <v>Trd_car</v>
      </c>
      <c r="M57" s="185">
        <f t="shared" si="6"/>
        <v>108076.535841584</v>
      </c>
      <c r="N57" s="185">
        <f t="shared" si="7"/>
        <v>42903.229309944902</v>
      </c>
      <c r="O57" s="185">
        <f t="shared" si="8"/>
        <v>40717.324023050998</v>
      </c>
      <c r="P57" s="185">
        <f t="shared" si="9"/>
        <v>40555.371236483901</v>
      </c>
      <c r="T57" t="str">
        <f t="shared" si="12"/>
        <v>Trd_car_gsl-pih_82</v>
      </c>
      <c r="U57" t="str">
        <f t="shared" ca="1" si="13"/>
        <v>ICE medium size plug-in hybrid gasoline car -- 82%</v>
      </c>
      <c r="V57" s="188" t="s">
        <v>84</v>
      </c>
      <c r="W57" s="188" t="s">
        <v>85</v>
      </c>
    </row>
    <row r="58" spans="2:23">
      <c r="J58" t="str">
        <f t="shared" si="3"/>
        <v>Trd_car_gsl-pih</v>
      </c>
      <c r="K58" t="str">
        <f t="shared" si="4"/>
        <v>\I:</v>
      </c>
      <c r="L58" t="str">
        <f t="shared" si="5"/>
        <v>\I:</v>
      </c>
      <c r="M58" s="185" t="str">
        <f t="shared" si="6"/>
        <v/>
      </c>
      <c r="N58" s="185" t="str">
        <f t="shared" si="7"/>
        <v/>
      </c>
      <c r="O58" s="185" t="str">
        <f t="shared" si="8"/>
        <v/>
      </c>
      <c r="P58" s="185" t="str">
        <f t="shared" si="9"/>
        <v/>
      </c>
      <c r="T58" t="str">
        <f t="shared" si="12"/>
        <v>\I:</v>
      </c>
      <c r="U58" t="str">
        <f t="shared" ca="1" si="13"/>
        <v>ICE medium size plug-in hybrid gasoline car -- 00%</v>
      </c>
      <c r="V58" s="188" t="s">
        <v>84</v>
      </c>
      <c r="W58" s="188" t="s">
        <v>85</v>
      </c>
    </row>
    <row r="59" spans="2:23">
      <c r="J59" t="str">
        <f t="shared" si="3"/>
        <v>Trd_car_gsl-pih</v>
      </c>
      <c r="K59" t="str">
        <f t="shared" si="4"/>
        <v>\I:</v>
      </c>
      <c r="L59" t="str">
        <f t="shared" si="5"/>
        <v>\I:</v>
      </c>
      <c r="M59" s="185" t="str">
        <f t="shared" si="6"/>
        <v/>
      </c>
      <c r="N59" s="185" t="str">
        <f t="shared" si="7"/>
        <v/>
      </c>
      <c r="O59" s="185" t="str">
        <f t="shared" si="8"/>
        <v/>
      </c>
      <c r="P59" s="185" t="str">
        <f t="shared" si="9"/>
        <v/>
      </c>
      <c r="T59" t="str">
        <f t="shared" si="12"/>
        <v>\I:</v>
      </c>
      <c r="U59" t="str">
        <f t="shared" ca="1" si="13"/>
        <v>ICE medium size plug-in hybrid gasoline car -- 00%</v>
      </c>
      <c r="V59" s="188" t="s">
        <v>84</v>
      </c>
      <c r="W59" s="188" t="s">
        <v>85</v>
      </c>
    </row>
    <row r="60" spans="2:23">
      <c r="J60" t="str">
        <f t="shared" si="3"/>
        <v>Trd_car_gsl-pih</v>
      </c>
      <c r="K60" t="str">
        <f t="shared" si="4"/>
        <v>\I:</v>
      </c>
      <c r="L60" t="str">
        <f t="shared" si="5"/>
        <v>\I:</v>
      </c>
      <c r="M60" s="185" t="str">
        <f t="shared" si="6"/>
        <v/>
      </c>
      <c r="N60" s="185" t="str">
        <f t="shared" si="7"/>
        <v/>
      </c>
      <c r="O60" s="185" t="str">
        <f t="shared" si="8"/>
        <v/>
      </c>
      <c r="P60" s="185" t="str">
        <f t="shared" si="9"/>
        <v/>
      </c>
      <c r="T60" t="str">
        <f t="shared" si="12"/>
        <v>\I:</v>
      </c>
      <c r="U60" t="str">
        <f t="shared" ca="1" si="13"/>
        <v>ICE medium size plug-in hybrid gasoline car -- 00%</v>
      </c>
      <c r="V60" s="188" t="s">
        <v>84</v>
      </c>
      <c r="W60" s="188" t="s">
        <v>85</v>
      </c>
    </row>
    <row r="61" spans="2:23">
      <c r="J61" t="str">
        <f t="shared" si="3"/>
        <v>Trd_car_gsl-pih</v>
      </c>
      <c r="K61" t="str">
        <f t="shared" si="4"/>
        <v>\I:</v>
      </c>
      <c r="L61" t="str">
        <f t="shared" si="5"/>
        <v>\I:</v>
      </c>
      <c r="M61" s="185" t="str">
        <f t="shared" si="6"/>
        <v/>
      </c>
      <c r="N61" s="185" t="str">
        <f t="shared" si="7"/>
        <v/>
      </c>
      <c r="O61" s="185" t="str">
        <f t="shared" si="8"/>
        <v/>
      </c>
      <c r="P61" s="185" t="str">
        <f t="shared" si="9"/>
        <v/>
      </c>
      <c r="T61" t="str">
        <f t="shared" si="12"/>
        <v>\I:</v>
      </c>
      <c r="U61" t="str">
        <f t="shared" ca="1" si="13"/>
        <v>ICE medium size plug-in hybrid gasoline car -- 00%</v>
      </c>
      <c r="V61" s="188" t="s">
        <v>84</v>
      </c>
      <c r="W61" s="188" t="s">
        <v>85</v>
      </c>
    </row>
    <row r="62" spans="2:23">
      <c r="B62" s="29" t="s">
        <v>86</v>
      </c>
      <c r="J62" t="str">
        <f t="shared" si="3"/>
        <v>Trd_car_gsl-pih</v>
      </c>
      <c r="K62" t="str">
        <f t="shared" si="4"/>
        <v>\I:</v>
      </c>
      <c r="L62" t="str">
        <f t="shared" si="5"/>
        <v>\I:</v>
      </c>
      <c r="M62" s="185" t="str">
        <f t="shared" si="6"/>
        <v/>
      </c>
      <c r="N62" s="185" t="str">
        <f t="shared" si="7"/>
        <v/>
      </c>
      <c r="O62" s="185" t="str">
        <f t="shared" si="8"/>
        <v/>
      </c>
      <c r="P62" s="185" t="str">
        <f t="shared" si="9"/>
        <v/>
      </c>
      <c r="T62" t="str">
        <f t="shared" si="12"/>
        <v>\I:</v>
      </c>
      <c r="U62" t="str">
        <f t="shared" ca="1" si="13"/>
        <v xml:space="preserve">ICE medium size plug-in hybrid gasoline car -- Reference values for medium size ICE diesel </v>
      </c>
      <c r="V62" s="188" t="s">
        <v>84</v>
      </c>
      <c r="W62" s="188" t="s">
        <v>85</v>
      </c>
    </row>
    <row r="63" spans="2:23">
      <c r="B63" s="177">
        <v>2015</v>
      </c>
      <c r="C63" s="177"/>
      <c r="D63" s="177"/>
      <c r="J63" t="str">
        <f t="shared" si="3"/>
        <v>Trd_car_gsl-pih</v>
      </c>
      <c r="K63" t="str">
        <f t="shared" si="4"/>
        <v>\I:</v>
      </c>
      <c r="L63" t="str">
        <f t="shared" si="5"/>
        <v>\I:</v>
      </c>
      <c r="M63" s="185" t="str">
        <f t="shared" si="6"/>
        <v/>
      </c>
      <c r="N63" s="185" t="str">
        <f t="shared" si="7"/>
        <v/>
      </c>
      <c r="O63" s="185" t="str">
        <f t="shared" si="8"/>
        <v/>
      </c>
      <c r="P63" s="185" t="str">
        <f t="shared" si="9"/>
        <v/>
      </c>
      <c r="T63" t="str">
        <f t="shared" si="12"/>
        <v>\I:</v>
      </c>
      <c r="U63" t="str">
        <f t="shared" ca="1" si="13"/>
        <v>ICE medium size plug-in hybrid gasoline car -- 201500%</v>
      </c>
      <c r="V63" s="188" t="s">
        <v>84</v>
      </c>
      <c r="W63" s="188" t="s">
        <v>85</v>
      </c>
    </row>
    <row r="64" spans="2:23">
      <c r="B64" s="31" t="s">
        <v>12</v>
      </c>
      <c r="C64" s="32" t="s">
        <v>13</v>
      </c>
      <c r="D64" s="33">
        <v>4.9866689728482303</v>
      </c>
      <c r="G64" s="50">
        <f>D64*$I$4/100*10^9/10^6</f>
        <v>1.8949342096823301</v>
      </c>
      <c r="H64" s="50"/>
      <c r="I64" s="227">
        <f>1/G64</f>
        <v>0.52772280688712803</v>
      </c>
      <c r="J64" t="str">
        <f t="shared" si="3"/>
        <v>Trd_car_gsl-pih</v>
      </c>
      <c r="K64" t="str">
        <f t="shared" si="4"/>
        <v>\I:</v>
      </c>
      <c r="L64" t="str">
        <f t="shared" si="5"/>
        <v>\I:</v>
      </c>
      <c r="M64" s="185" t="str">
        <f t="shared" si="6"/>
        <v/>
      </c>
      <c r="N64" s="185" t="str">
        <f t="shared" si="7"/>
        <v/>
      </c>
      <c r="O64" s="185" t="str">
        <f t="shared" si="8"/>
        <v/>
      </c>
      <c r="P64" s="185" t="str">
        <f t="shared" si="9"/>
        <v/>
      </c>
      <c r="T64" t="str">
        <f t="shared" si="12"/>
        <v>\I:</v>
      </c>
      <c r="U64" t="str">
        <f t="shared" ca="1" si="13"/>
        <v>ICE medium size plug-in hybrid gasoline car -- Energy consumption</v>
      </c>
      <c r="V64" s="188" t="s">
        <v>84</v>
      </c>
      <c r="W64" s="188" t="s">
        <v>85</v>
      </c>
    </row>
    <row r="65" spans="2:23">
      <c r="B65" s="31" t="s">
        <v>14</v>
      </c>
      <c r="C65" s="32" t="s">
        <v>15</v>
      </c>
      <c r="D65" s="44">
        <v>21914.264791052101</v>
      </c>
      <c r="I65" s="190" t="s">
        <v>70</v>
      </c>
      <c r="J65" t="str">
        <f t="shared" si="3"/>
        <v>Trd_car_gsl-pih</v>
      </c>
      <c r="K65" t="str">
        <f t="shared" si="4"/>
        <v>\I:</v>
      </c>
      <c r="L65" t="str">
        <f t="shared" si="5"/>
        <v>\I:</v>
      </c>
      <c r="M65" s="185" t="str">
        <f t="shared" si="6"/>
        <v/>
      </c>
      <c r="N65" s="185" t="str">
        <f t="shared" si="7"/>
        <v/>
      </c>
      <c r="O65" s="185" t="str">
        <f t="shared" si="8"/>
        <v/>
      </c>
      <c r="P65" s="185" t="str">
        <f t="shared" si="9"/>
        <v/>
      </c>
      <c r="T65" t="str">
        <f t="shared" si="12"/>
        <v>\I:</v>
      </c>
      <c r="U65" t="str">
        <f t="shared" ca="1" si="13"/>
        <v>ICE medium size plug-in hybrid gasoline car -- Capital cost</v>
      </c>
      <c r="V65" s="188" t="s">
        <v>84</v>
      </c>
      <c r="W65" s="188" t="s">
        <v>85</v>
      </c>
    </row>
    <row r="66" spans="2:23">
      <c r="J66" t="str">
        <f t="shared" si="3"/>
        <v>Trd_car_gsl-pih</v>
      </c>
      <c r="K66" t="str">
        <f t="shared" si="4"/>
        <v>\I:</v>
      </c>
      <c r="L66" t="str">
        <f t="shared" si="5"/>
        <v>\I:</v>
      </c>
      <c r="M66" s="185" t="str">
        <f t="shared" si="6"/>
        <v/>
      </c>
      <c r="N66" s="185" t="str">
        <f t="shared" si="7"/>
        <v/>
      </c>
      <c r="O66" s="185" t="str">
        <f t="shared" si="8"/>
        <v/>
      </c>
      <c r="P66" s="185" t="str">
        <f t="shared" si="9"/>
        <v/>
      </c>
      <c r="T66" t="str">
        <f t="shared" si="12"/>
        <v>\I:</v>
      </c>
      <c r="U66" t="str">
        <f t="shared" ca="1" si="13"/>
        <v>ICE medium size plug-in hybrid gasoline car -- 00%</v>
      </c>
      <c r="V66" s="188" t="s">
        <v>84</v>
      </c>
      <c r="W66" s="188" t="s">
        <v>85</v>
      </c>
    </row>
    <row r="67" spans="2:23" ht="15" customHeight="1">
      <c r="B67" s="179" t="s">
        <v>21</v>
      </c>
      <c r="C67" s="179" t="s">
        <v>52</v>
      </c>
      <c r="D67" s="179"/>
      <c r="E67" s="179"/>
      <c r="F67" s="179"/>
      <c r="J67" t="str">
        <f t="shared" si="3"/>
        <v>Trd_car_dsl</v>
      </c>
      <c r="K67" t="str">
        <f t="shared" si="4"/>
        <v>\I:</v>
      </c>
      <c r="L67" t="str">
        <f t="shared" si="5"/>
        <v>\I:</v>
      </c>
      <c r="M67" s="185" t="str">
        <f t="shared" si="6"/>
        <v/>
      </c>
      <c r="N67" s="185" t="str">
        <f t="shared" si="7"/>
        <v/>
      </c>
      <c r="O67" s="185" t="str">
        <f t="shared" si="8"/>
        <v/>
      </c>
      <c r="P67" s="185" t="str">
        <f t="shared" si="9"/>
        <v/>
      </c>
      <c r="T67" t="str">
        <f t="shared" si="12"/>
        <v>\I:</v>
      </c>
      <c r="U67" t="str">
        <f t="shared" ca="1" si="13"/>
        <v>ICE medium size diesel car -- Reduction of specific energy consumption relative to 2015 diesel vehicle (%)</v>
      </c>
      <c r="V67" s="188" t="s">
        <v>84</v>
      </c>
      <c r="W67" s="188" t="s">
        <v>85</v>
      </c>
    </row>
    <row r="68" spans="2:23">
      <c r="B68" s="179"/>
      <c r="C68" s="179"/>
      <c r="D68" s="179"/>
      <c r="E68" s="179"/>
      <c r="F68" s="179"/>
      <c r="J68" t="str">
        <f t="shared" si="3"/>
        <v>Trd_car_dsl</v>
      </c>
      <c r="K68" t="str">
        <f t="shared" si="4"/>
        <v>\I:</v>
      </c>
      <c r="L68" t="str">
        <f t="shared" si="5"/>
        <v>\I:</v>
      </c>
      <c r="M68" s="185" t="str">
        <f t="shared" si="6"/>
        <v/>
      </c>
      <c r="N68" s="185" t="str">
        <f t="shared" si="7"/>
        <v/>
      </c>
      <c r="O68" s="185" t="str">
        <f t="shared" si="8"/>
        <v/>
      </c>
      <c r="P68" s="185" t="str">
        <f t="shared" si="9"/>
        <v/>
      </c>
      <c r="T68" t="str">
        <f t="shared" si="12"/>
        <v>\I:</v>
      </c>
      <c r="U68" t="str">
        <f t="shared" ca="1" si="13"/>
        <v>ICE medium size diesel car -- 00%</v>
      </c>
      <c r="V68" s="188" t="s">
        <v>84</v>
      </c>
      <c r="W68" s="188" t="s">
        <v>85</v>
      </c>
    </row>
    <row r="69" spans="2:23">
      <c r="B69" s="179"/>
      <c r="C69" s="179"/>
      <c r="D69" s="179"/>
      <c r="E69" s="179"/>
      <c r="F69" s="179"/>
      <c r="J69" t="str">
        <f t="shared" si="3"/>
        <v>Trd_car_dsl</v>
      </c>
      <c r="K69" t="str">
        <f t="shared" si="4"/>
        <v>\I:</v>
      </c>
      <c r="L69" t="str">
        <f t="shared" si="5"/>
        <v>\I:</v>
      </c>
      <c r="M69" s="185" t="str">
        <f t="shared" si="6"/>
        <v/>
      </c>
      <c r="N69" s="185" t="str">
        <f t="shared" si="7"/>
        <v/>
      </c>
      <c r="O69" s="185" t="str">
        <f t="shared" si="8"/>
        <v/>
      </c>
      <c r="P69" s="185" t="str">
        <f t="shared" si="9"/>
        <v/>
      </c>
      <c r="T69" t="str">
        <f t="shared" si="12"/>
        <v>\I:</v>
      </c>
      <c r="U69" t="str">
        <f t="shared" ca="1" si="13"/>
        <v>ICE medium size diesel car -- 00%</v>
      </c>
      <c r="V69" s="188" t="s">
        <v>84</v>
      </c>
      <c r="W69" s="188" t="s">
        <v>85</v>
      </c>
    </row>
    <row r="70" spans="2:23">
      <c r="B70" s="55"/>
      <c r="C70" s="36">
        <v>2020</v>
      </c>
      <c r="D70" s="36">
        <v>2030</v>
      </c>
      <c r="E70" s="36">
        <v>2040</v>
      </c>
      <c r="F70" s="36">
        <v>2050</v>
      </c>
      <c r="I70" s="178">
        <v>1</v>
      </c>
      <c r="J70" s="29" t="str">
        <f t="shared" ref="J70" si="15">IFERROR(VLOOKUP(C70,$R$1:$S$11,2,FALSE),J69)</f>
        <v>Trd_car_dsl</v>
      </c>
      <c r="K70" s="29" t="str">
        <f>IFERROR(IF(VALUE(C70)&gt;200,J70&amp;"_"&amp;TEXT(B70*100,"00"),"\I:"),"\I:")</f>
        <v>Trd_car_dsl_00</v>
      </c>
      <c r="L70" t="str">
        <f t="shared" si="5"/>
        <v>Trd_car</v>
      </c>
      <c r="M70" s="223">
        <f>D65</f>
        <v>21914.264791052101</v>
      </c>
      <c r="N70" s="185"/>
      <c r="O70" s="185"/>
      <c r="P70" s="185"/>
      <c r="T70" t="str">
        <f t="shared" si="12"/>
        <v>Trd_car_dsl_00</v>
      </c>
      <c r="U70" t="str">
        <f t="shared" ca="1" si="13"/>
        <v>ICE medium size diesel car -- 00%</v>
      </c>
      <c r="V70" s="188" t="s">
        <v>84</v>
      </c>
      <c r="W70" s="188" t="s">
        <v>85</v>
      </c>
    </row>
    <row r="71" spans="2:23">
      <c r="B71" s="52">
        <v>0.19519813099122499</v>
      </c>
      <c r="C71" s="53">
        <v>22692.999133187499</v>
      </c>
      <c r="D71" s="53">
        <v>22131.478965665599</v>
      </c>
      <c r="E71" s="53">
        <v>22131.478965665599</v>
      </c>
      <c r="F71" s="53">
        <v>22131.478965665599</v>
      </c>
      <c r="I71" s="50">
        <f>$I$64*(1+B71)/$I$12</f>
        <v>1.35335142376444</v>
      </c>
      <c r="J71" t="str">
        <f t="shared" si="3"/>
        <v>Trd_car_dsl</v>
      </c>
      <c r="K71" t="str">
        <f t="shared" si="4"/>
        <v>Trd_car_dsl_20</v>
      </c>
      <c r="L71" t="str">
        <f t="shared" si="5"/>
        <v>Trd_car</v>
      </c>
      <c r="M71" s="185">
        <f t="shared" si="6"/>
        <v>22692.999133187499</v>
      </c>
      <c r="N71" s="185">
        <f t="shared" si="7"/>
        <v>22131.478965665599</v>
      </c>
      <c r="O71" s="185">
        <f t="shared" si="8"/>
        <v>22131.478965665599</v>
      </c>
      <c r="P71" s="185">
        <f t="shared" si="9"/>
        <v>22131.478965665599</v>
      </c>
      <c r="T71" t="str">
        <f t="shared" si="12"/>
        <v>Trd_car_dsl_20</v>
      </c>
      <c r="U71" t="str">
        <f t="shared" ca="1" si="13"/>
        <v>ICE medium size diesel car -- 20%</v>
      </c>
      <c r="V71" s="188" t="s">
        <v>84</v>
      </c>
      <c r="W71" s="188" t="s">
        <v>85</v>
      </c>
    </row>
    <row r="72" spans="2:23">
      <c r="B72" s="52">
        <v>0.29519813099122499</v>
      </c>
      <c r="C72" s="53">
        <v>24299.038082045699</v>
      </c>
      <c r="D72" s="53">
        <v>22868.830794944399</v>
      </c>
      <c r="E72" s="53">
        <v>22868.830794944399</v>
      </c>
      <c r="F72" s="53">
        <v>22868.830794944399</v>
      </c>
      <c r="I72" s="50">
        <f>$I$64*(1+B72)/$I$12</f>
        <v>1.4665838150033701</v>
      </c>
      <c r="J72" t="str">
        <f t="shared" si="3"/>
        <v>Trd_car_dsl</v>
      </c>
      <c r="K72" t="str">
        <f t="shared" si="4"/>
        <v>Trd_car_dsl_30</v>
      </c>
      <c r="L72" t="str">
        <f t="shared" si="5"/>
        <v>Trd_car</v>
      </c>
      <c r="M72" s="185">
        <f t="shared" si="6"/>
        <v>24299.038082045699</v>
      </c>
      <c r="N72" s="185">
        <f t="shared" si="7"/>
        <v>22868.830794944399</v>
      </c>
      <c r="O72" s="185">
        <f t="shared" si="8"/>
        <v>22868.830794944399</v>
      </c>
      <c r="P72" s="185">
        <f t="shared" si="9"/>
        <v>22868.830794944399</v>
      </c>
      <c r="T72" t="str">
        <f t="shared" si="12"/>
        <v>Trd_car_dsl_30</v>
      </c>
      <c r="U72" t="str">
        <f t="shared" ca="1" si="13"/>
        <v>ICE medium size diesel car -- 30%</v>
      </c>
      <c r="V72" s="188" t="s">
        <v>84</v>
      </c>
      <c r="W72" s="188" t="s">
        <v>85</v>
      </c>
    </row>
    <row r="73" spans="2:23">
      <c r="B73" s="52">
        <v>0.34519813099122498</v>
      </c>
      <c r="C73" s="53">
        <v>26423.116538509101</v>
      </c>
      <c r="D73" s="53">
        <v>23526.512191850001</v>
      </c>
      <c r="E73" s="53">
        <v>23526.512191850001</v>
      </c>
      <c r="F73" s="53">
        <v>23526.512191850001</v>
      </c>
      <c r="I73" s="50">
        <f>$I$64*(1+B73)/$I$12</f>
        <v>1.5232000106228401</v>
      </c>
      <c r="J73" t="str">
        <f t="shared" si="3"/>
        <v>Trd_car_dsl</v>
      </c>
      <c r="K73" t="str">
        <f t="shared" si="4"/>
        <v>Trd_car_dsl_35</v>
      </c>
      <c r="L73" t="str">
        <f t="shared" si="5"/>
        <v>Trd_car</v>
      </c>
      <c r="M73" s="185">
        <f t="shared" si="6"/>
        <v>26423.116538509101</v>
      </c>
      <c r="N73" s="185">
        <f t="shared" si="7"/>
        <v>23526.512191850001</v>
      </c>
      <c r="O73" s="185">
        <f t="shared" si="8"/>
        <v>23526.512191850001</v>
      </c>
      <c r="P73" s="185">
        <f t="shared" si="9"/>
        <v>23526.512191850001</v>
      </c>
      <c r="T73" t="str">
        <f t="shared" si="12"/>
        <v>Trd_car_dsl_35</v>
      </c>
      <c r="U73" t="str">
        <f t="shared" ca="1" si="13"/>
        <v>ICE medium size diesel car -- 35%</v>
      </c>
      <c r="V73" s="188" t="s">
        <v>84</v>
      </c>
      <c r="W73" s="188" t="s">
        <v>85</v>
      </c>
    </row>
    <row r="74" spans="2:23">
      <c r="B74" s="52">
        <v>0.39519813099122503</v>
      </c>
      <c r="C74" s="53">
        <v>39644.745949074</v>
      </c>
      <c r="D74" s="53">
        <v>24942.2235642788</v>
      </c>
      <c r="E74" s="53">
        <v>24942.2235642788</v>
      </c>
      <c r="F74" s="53">
        <v>24942.2235642788</v>
      </c>
      <c r="I74" s="50">
        <f>$I$64*(1+B74)/$I$12</f>
        <v>1.57981620624231</v>
      </c>
      <c r="J74" t="str">
        <f t="shared" si="3"/>
        <v>Trd_car_dsl</v>
      </c>
      <c r="K74" t="str">
        <f t="shared" si="4"/>
        <v>Trd_car_dsl_40</v>
      </c>
      <c r="L74" t="str">
        <f t="shared" si="5"/>
        <v>Trd_car</v>
      </c>
      <c r="M74" s="185">
        <f t="shared" si="6"/>
        <v>39644.745949074</v>
      </c>
      <c r="N74" s="185">
        <f t="shared" si="7"/>
        <v>24942.2235642788</v>
      </c>
      <c r="O74" s="185">
        <f t="shared" si="8"/>
        <v>24942.2235642788</v>
      </c>
      <c r="P74" s="185">
        <f t="shared" si="9"/>
        <v>24942.2235642788</v>
      </c>
      <c r="T74" t="str">
        <f t="shared" si="12"/>
        <v>Trd_car_dsl_40</v>
      </c>
      <c r="U74" t="str">
        <f t="shared" ca="1" si="13"/>
        <v>ICE medium size diesel car -- 40%</v>
      </c>
      <c r="V74" s="188" t="s">
        <v>84</v>
      </c>
      <c r="W74" s="188" t="s">
        <v>85</v>
      </c>
    </row>
    <row r="75" spans="2:23">
      <c r="B75" s="52">
        <v>0.44519813099122502</v>
      </c>
      <c r="C75" s="53">
        <v>122116.432</v>
      </c>
      <c r="D75" s="53">
        <v>33656.295380864198</v>
      </c>
      <c r="E75" s="53">
        <v>33656.295380864198</v>
      </c>
      <c r="F75" s="53">
        <v>33656.295380864198</v>
      </c>
      <c r="I75" s="50">
        <f>$I$64*(1+B75)/$I$12</f>
        <v>1.63643240186178</v>
      </c>
      <c r="J75" t="str">
        <f t="shared" si="3"/>
        <v>Trd_car_dsl</v>
      </c>
      <c r="K75" t="str">
        <f t="shared" si="4"/>
        <v>Trd_car_dsl_45</v>
      </c>
      <c r="L75" t="str">
        <f t="shared" si="5"/>
        <v>Trd_car</v>
      </c>
      <c r="M75" s="185">
        <f t="shared" si="6"/>
        <v>122116.432</v>
      </c>
      <c r="N75" s="185">
        <f t="shared" si="7"/>
        <v>33656.295380864198</v>
      </c>
      <c r="O75" s="185">
        <f t="shared" si="8"/>
        <v>33656.295380864198</v>
      </c>
      <c r="P75" s="185">
        <f t="shared" si="9"/>
        <v>33656.295380864198</v>
      </c>
      <c r="T75" t="str">
        <f t="shared" si="12"/>
        <v>Trd_car_dsl_45</v>
      </c>
      <c r="U75" t="str">
        <f t="shared" ca="1" si="13"/>
        <v>ICE medium size diesel car -- 45%</v>
      </c>
      <c r="V75" s="188" t="s">
        <v>84</v>
      </c>
      <c r="W75" s="188" t="s">
        <v>85</v>
      </c>
    </row>
    <row r="76" spans="2:23">
      <c r="C76" s="61"/>
      <c r="D76" s="61"/>
      <c r="E76" s="61"/>
      <c r="F76" s="61"/>
      <c r="J76" t="str">
        <f t="shared" si="3"/>
        <v>Trd_car_dsl</v>
      </c>
      <c r="K76" t="str">
        <f t="shared" si="4"/>
        <v>\I:</v>
      </c>
      <c r="L76" t="str">
        <f t="shared" si="5"/>
        <v>\I:</v>
      </c>
      <c r="M76" s="185" t="str">
        <f t="shared" si="6"/>
        <v/>
      </c>
      <c r="N76" s="185" t="str">
        <f t="shared" si="7"/>
        <v/>
      </c>
      <c r="O76" s="185" t="str">
        <f t="shared" si="8"/>
        <v/>
      </c>
      <c r="P76" s="185" t="str">
        <f t="shared" si="9"/>
        <v/>
      </c>
      <c r="T76" t="str">
        <f t="shared" si="12"/>
        <v>\I:</v>
      </c>
      <c r="U76" t="str">
        <f t="shared" ca="1" si="13"/>
        <v>ICE medium size diesel car -- 00%</v>
      </c>
      <c r="V76" s="188" t="s">
        <v>84</v>
      </c>
      <c r="W76" s="188" t="s">
        <v>85</v>
      </c>
    </row>
    <row r="77" spans="2:23">
      <c r="J77" t="str">
        <f t="shared" si="3"/>
        <v>Trd_car_dsl</v>
      </c>
      <c r="K77" t="str">
        <f t="shared" si="4"/>
        <v>\I:</v>
      </c>
      <c r="L77" t="str">
        <f t="shared" si="5"/>
        <v>\I:</v>
      </c>
      <c r="M77" s="185" t="str">
        <f t="shared" si="6"/>
        <v/>
      </c>
      <c r="N77" s="185" t="str">
        <f t="shared" si="7"/>
        <v/>
      </c>
      <c r="O77" s="185" t="str">
        <f t="shared" si="8"/>
        <v/>
      </c>
      <c r="P77" s="185" t="str">
        <f t="shared" si="9"/>
        <v/>
      </c>
      <c r="T77" t="str">
        <f t="shared" si="12"/>
        <v>\I:</v>
      </c>
      <c r="U77" t="str">
        <f t="shared" ca="1" si="13"/>
        <v>ICE medium size diesel car -- 00%</v>
      </c>
      <c r="V77" s="188" t="s">
        <v>84</v>
      </c>
      <c r="W77" s="188" t="s">
        <v>85</v>
      </c>
    </row>
    <row r="78" spans="2:23">
      <c r="J78" t="str">
        <f t="shared" si="3"/>
        <v>Trd_car_dsl</v>
      </c>
      <c r="K78" t="str">
        <f t="shared" si="4"/>
        <v>\I:</v>
      </c>
      <c r="L78" t="str">
        <f t="shared" si="5"/>
        <v>\I:</v>
      </c>
      <c r="M78" s="185" t="str">
        <f t="shared" si="6"/>
        <v/>
      </c>
      <c r="N78" s="185" t="str">
        <f t="shared" si="7"/>
        <v/>
      </c>
      <c r="O78" s="185" t="str">
        <f t="shared" si="8"/>
        <v/>
      </c>
      <c r="P78" s="185" t="str">
        <f t="shared" si="9"/>
        <v/>
      </c>
      <c r="T78" t="str">
        <f t="shared" si="12"/>
        <v>\I:</v>
      </c>
      <c r="U78" t="str">
        <f t="shared" ca="1" si="13"/>
        <v>ICE medium size diesel car -- 00%</v>
      </c>
      <c r="V78" s="188" t="s">
        <v>84</v>
      </c>
      <c r="W78" s="188" t="s">
        <v>85</v>
      </c>
    </row>
    <row r="79" spans="2:23">
      <c r="J79" t="str">
        <f t="shared" si="3"/>
        <v>Trd_car_dsl</v>
      </c>
      <c r="K79" t="str">
        <f t="shared" si="4"/>
        <v>\I:</v>
      </c>
      <c r="L79" t="str">
        <f t="shared" si="5"/>
        <v>\I:</v>
      </c>
      <c r="M79" s="185" t="str">
        <f t="shared" si="6"/>
        <v/>
      </c>
      <c r="N79" s="185" t="str">
        <f t="shared" si="7"/>
        <v/>
      </c>
      <c r="O79" s="185" t="str">
        <f t="shared" si="8"/>
        <v/>
      </c>
      <c r="P79" s="185" t="str">
        <f t="shared" si="9"/>
        <v/>
      </c>
      <c r="T79" t="str">
        <f t="shared" si="12"/>
        <v>\I:</v>
      </c>
      <c r="U79" t="str">
        <f t="shared" ca="1" si="13"/>
        <v>ICE medium size diesel car -- 00%</v>
      </c>
      <c r="V79" s="188" t="s">
        <v>84</v>
      </c>
      <c r="W79" s="188" t="s">
        <v>85</v>
      </c>
    </row>
    <row r="80" spans="2:23" ht="15" customHeight="1">
      <c r="B80" s="179" t="s">
        <v>21</v>
      </c>
      <c r="C80" s="179" t="s">
        <v>55</v>
      </c>
      <c r="D80" s="179"/>
      <c r="E80" s="179"/>
      <c r="F80" s="179"/>
      <c r="J80" t="str">
        <f t="shared" si="3"/>
        <v>Trd_car_dsl-hyb</v>
      </c>
      <c r="K80" t="str">
        <f t="shared" si="4"/>
        <v>\I:</v>
      </c>
      <c r="L80" t="str">
        <f t="shared" si="5"/>
        <v>\I:</v>
      </c>
      <c r="M80" s="185" t="str">
        <f t="shared" si="6"/>
        <v/>
      </c>
      <c r="N80" s="185" t="str">
        <f t="shared" si="7"/>
        <v/>
      </c>
      <c r="O80" s="185" t="str">
        <f t="shared" si="8"/>
        <v/>
      </c>
      <c r="P80" s="185" t="str">
        <f t="shared" si="9"/>
        <v/>
      </c>
      <c r="T80" t="str">
        <f t="shared" si="12"/>
        <v>\I:</v>
      </c>
      <c r="U80" t="str">
        <f t="shared" ca="1" si="13"/>
        <v>ICE medium size hybrid diesel car -- Reduction of specific energy consumption relative to 2015 diesel vehicle (%)</v>
      </c>
      <c r="V80" s="188" t="s">
        <v>84</v>
      </c>
      <c r="W80" s="188" t="s">
        <v>85</v>
      </c>
    </row>
    <row r="81" spans="2:23">
      <c r="B81" s="179"/>
      <c r="C81" s="179"/>
      <c r="D81" s="179"/>
      <c r="E81" s="179"/>
      <c r="F81" s="179"/>
      <c r="J81" t="str">
        <f t="shared" si="3"/>
        <v>Trd_car_dsl-hyb</v>
      </c>
      <c r="K81" t="str">
        <f t="shared" si="4"/>
        <v>\I:</v>
      </c>
      <c r="L81" t="str">
        <f t="shared" si="5"/>
        <v>\I:</v>
      </c>
      <c r="M81" s="185" t="str">
        <f t="shared" si="6"/>
        <v/>
      </c>
      <c r="N81" s="185" t="str">
        <f t="shared" si="7"/>
        <v/>
      </c>
      <c r="O81" s="185" t="str">
        <f t="shared" si="8"/>
        <v/>
      </c>
      <c r="P81" s="185" t="str">
        <f t="shared" si="9"/>
        <v/>
      </c>
      <c r="T81" t="str">
        <f t="shared" ref="T81:T112" si="16">K81</f>
        <v>\I:</v>
      </c>
      <c r="U81" t="str">
        <f t="shared" ref="U81:U112" ca="1" si="17">OFFSET($S$1,MATCH(J81,$S$1:$S$11,0)-1,-1)&amp;" -- "&amp;TEXT(B81,"00%")</f>
        <v>ICE medium size hybrid diesel car -- 00%</v>
      </c>
      <c r="V81" s="188" t="s">
        <v>84</v>
      </c>
      <c r="W81" s="188" t="s">
        <v>85</v>
      </c>
    </row>
    <row r="82" spans="2:23">
      <c r="B82" s="179"/>
      <c r="C82" s="179"/>
      <c r="D82" s="179"/>
      <c r="E82" s="179"/>
      <c r="F82" s="179"/>
      <c r="J82" t="str">
        <f t="shared" ref="J82:J145" si="18">IFERROR(VLOOKUP(C82,$R$1:$S$11,2,FALSE),J81)</f>
        <v>Trd_car_dsl-hyb</v>
      </c>
      <c r="K82" t="str">
        <f t="shared" ref="K82:K145" si="19">IFERROR(IF(VALUE(C82)&gt;2020,J82&amp;"_"&amp;TEXT(B82*100,"00"),"\I:"),"\I:")</f>
        <v>\I:</v>
      </c>
      <c r="L82" t="str">
        <f t="shared" ref="L82:L145" si="20">LEFT(K82,7)</f>
        <v>\I:</v>
      </c>
      <c r="M82" s="185" t="str">
        <f t="shared" ref="M82:M145" si="21">IF($K82="\I:","",C82)</f>
        <v/>
      </c>
      <c r="N82" s="185" t="str">
        <f t="shared" ref="N82:N145" si="22">IF($K82="\I:","",D82)</f>
        <v/>
      </c>
      <c r="O82" s="185" t="str">
        <f t="shared" ref="O82:O145" si="23">IF($K82="\I:","",E82)</f>
        <v/>
      </c>
      <c r="P82" s="185" t="str">
        <f t="shared" ref="P82:P145" si="24">IF($K82="\I:","",F82)</f>
        <v/>
      </c>
      <c r="T82" t="str">
        <f t="shared" si="16"/>
        <v>\I:</v>
      </c>
      <c r="U82" t="str">
        <f t="shared" ca="1" si="17"/>
        <v>ICE medium size hybrid diesel car -- 00%</v>
      </c>
      <c r="V82" s="188" t="s">
        <v>84</v>
      </c>
      <c r="W82" s="188" t="s">
        <v>85</v>
      </c>
    </row>
    <row r="83" spans="2:23">
      <c r="B83" s="55"/>
      <c r="C83" s="36">
        <v>2020</v>
      </c>
      <c r="D83" s="36">
        <v>2030</v>
      </c>
      <c r="E83" s="36">
        <v>2040</v>
      </c>
      <c r="F83" s="36">
        <v>2050</v>
      </c>
      <c r="J83" t="str">
        <f t="shared" si="18"/>
        <v>Trd_car_dsl-hyb</v>
      </c>
      <c r="K83" t="str">
        <f t="shared" si="19"/>
        <v>\I:</v>
      </c>
      <c r="L83" t="str">
        <f t="shared" si="20"/>
        <v>\I:</v>
      </c>
      <c r="M83" s="185" t="str">
        <f t="shared" si="21"/>
        <v/>
      </c>
      <c r="N83" s="185" t="str">
        <f t="shared" si="22"/>
        <v/>
      </c>
      <c r="O83" s="185" t="str">
        <f t="shared" si="23"/>
        <v/>
      </c>
      <c r="P83" s="185" t="str">
        <f t="shared" si="24"/>
        <v/>
      </c>
      <c r="T83" t="str">
        <f t="shared" si="16"/>
        <v>\I:</v>
      </c>
      <c r="U83" t="str">
        <f t="shared" ca="1" si="17"/>
        <v>ICE medium size hybrid diesel car -- 00%</v>
      </c>
      <c r="V83" s="188" t="s">
        <v>84</v>
      </c>
      <c r="W83" s="188" t="s">
        <v>85</v>
      </c>
    </row>
    <row r="84" spans="2:23">
      <c r="B84" s="52">
        <v>0.17706636326313599</v>
      </c>
      <c r="C84" s="53">
        <v>25058.749446887399</v>
      </c>
      <c r="D84" s="53">
        <v>23982.688094196899</v>
      </c>
      <c r="E84" s="53">
        <v>23982.688094196899</v>
      </c>
      <c r="F84" s="53">
        <v>23982.688094196899</v>
      </c>
      <c r="I84" s="50">
        <f t="shared" ref="I84:I90" si="25">$I$64*(1+B84)/$I$12</f>
        <v>1.3328203895920301</v>
      </c>
      <c r="J84" t="str">
        <f t="shared" si="18"/>
        <v>Trd_car_dsl-hyb</v>
      </c>
      <c r="K84" t="str">
        <f t="shared" si="19"/>
        <v>Trd_car_dsl-hyb_18</v>
      </c>
      <c r="L84" t="str">
        <f t="shared" si="20"/>
        <v>Trd_car</v>
      </c>
      <c r="M84" s="185">
        <f t="shared" si="21"/>
        <v>25058.749446887399</v>
      </c>
      <c r="N84" s="185">
        <f t="shared" si="22"/>
        <v>23982.688094196899</v>
      </c>
      <c r="O84" s="185">
        <f t="shared" si="23"/>
        <v>23982.688094196899</v>
      </c>
      <c r="P84" s="185">
        <f t="shared" si="24"/>
        <v>23982.688094196899</v>
      </c>
      <c r="T84" t="str">
        <f t="shared" si="16"/>
        <v>Trd_car_dsl-hyb_18</v>
      </c>
      <c r="U84" t="str">
        <f t="shared" ca="1" si="17"/>
        <v>ICE medium size hybrid diesel car -- 18%</v>
      </c>
      <c r="V84" s="188" t="s">
        <v>84</v>
      </c>
      <c r="W84" s="188" t="s">
        <v>85</v>
      </c>
    </row>
    <row r="85" spans="2:23">
      <c r="B85" s="52">
        <v>0.277066363263136</v>
      </c>
      <c r="C85" s="53">
        <v>25136.228037390199</v>
      </c>
      <c r="D85" s="53">
        <v>24097.051052592698</v>
      </c>
      <c r="E85" s="53">
        <v>24097.051052592698</v>
      </c>
      <c r="F85" s="53">
        <v>24097.051052592698</v>
      </c>
      <c r="I85" s="50">
        <f t="shared" si="25"/>
        <v>1.44605278083097</v>
      </c>
      <c r="J85" t="str">
        <f t="shared" si="18"/>
        <v>Trd_car_dsl-hyb</v>
      </c>
      <c r="K85" t="str">
        <f t="shared" si="19"/>
        <v>Trd_car_dsl-hyb_28</v>
      </c>
      <c r="L85" t="str">
        <f t="shared" si="20"/>
        <v>Trd_car</v>
      </c>
      <c r="M85" s="185">
        <f t="shared" si="21"/>
        <v>25136.228037390199</v>
      </c>
      <c r="N85" s="185">
        <f t="shared" si="22"/>
        <v>24097.051052592698</v>
      </c>
      <c r="O85" s="185">
        <f t="shared" si="23"/>
        <v>24097.051052592698</v>
      </c>
      <c r="P85" s="185">
        <f t="shared" si="24"/>
        <v>24097.051052592698</v>
      </c>
      <c r="T85" t="str">
        <f t="shared" si="16"/>
        <v>Trd_car_dsl-hyb_28</v>
      </c>
      <c r="U85" t="str">
        <f t="shared" ca="1" si="17"/>
        <v>ICE medium size hybrid diesel car -- 28%</v>
      </c>
      <c r="V85" s="188" t="s">
        <v>84</v>
      </c>
      <c r="W85" s="188" t="s">
        <v>85</v>
      </c>
    </row>
    <row r="86" spans="2:23">
      <c r="B86" s="52">
        <v>0.32706636326313598</v>
      </c>
      <c r="C86" s="53">
        <v>25231.536594060701</v>
      </c>
      <c r="D86" s="53">
        <v>24214.514158081201</v>
      </c>
      <c r="E86" s="53">
        <v>24214.514158081201</v>
      </c>
      <c r="F86" s="53">
        <v>24214.514158081201</v>
      </c>
      <c r="I86" s="50">
        <f t="shared" si="25"/>
        <v>1.50266897645044</v>
      </c>
      <c r="J86" t="str">
        <f t="shared" si="18"/>
        <v>Trd_car_dsl-hyb</v>
      </c>
      <c r="K86" t="str">
        <f t="shared" si="19"/>
        <v>Trd_car_dsl-hyb_33</v>
      </c>
      <c r="L86" t="str">
        <f t="shared" si="20"/>
        <v>Trd_car</v>
      </c>
      <c r="M86" s="185">
        <f t="shared" si="21"/>
        <v>25231.536594060701</v>
      </c>
      <c r="N86" s="185">
        <f t="shared" si="22"/>
        <v>24214.514158081201</v>
      </c>
      <c r="O86" s="185">
        <f t="shared" si="23"/>
        <v>24214.514158081201</v>
      </c>
      <c r="P86" s="185">
        <f t="shared" si="24"/>
        <v>24214.514158081201</v>
      </c>
      <c r="T86" t="str">
        <f t="shared" si="16"/>
        <v>Trd_car_dsl-hyb_33</v>
      </c>
      <c r="U86" t="str">
        <f t="shared" ca="1" si="17"/>
        <v>ICE medium size hybrid diesel car -- 33%</v>
      </c>
      <c r="V86" s="188" t="s">
        <v>84</v>
      </c>
      <c r="W86" s="188" t="s">
        <v>85</v>
      </c>
    </row>
    <row r="87" spans="2:23">
      <c r="B87" s="52">
        <v>0.37706636326313597</v>
      </c>
      <c r="C87" s="53">
        <v>25440.787752253302</v>
      </c>
      <c r="D87" s="53">
        <v>24383.7215565591</v>
      </c>
      <c r="E87" s="53">
        <v>24383.7215565591</v>
      </c>
      <c r="F87" s="53">
        <v>24383.7215565591</v>
      </c>
      <c r="I87" s="50">
        <f t="shared" si="25"/>
        <v>1.5592851720699099</v>
      </c>
      <c r="J87" t="str">
        <f t="shared" si="18"/>
        <v>Trd_car_dsl-hyb</v>
      </c>
      <c r="K87" t="str">
        <f t="shared" si="19"/>
        <v>Trd_car_dsl-hyb_38</v>
      </c>
      <c r="L87" t="str">
        <f t="shared" si="20"/>
        <v>Trd_car</v>
      </c>
      <c r="M87" s="185">
        <f t="shared" si="21"/>
        <v>25440.787752253302</v>
      </c>
      <c r="N87" s="185">
        <f t="shared" si="22"/>
        <v>24383.7215565591</v>
      </c>
      <c r="O87" s="185">
        <f t="shared" si="23"/>
        <v>24383.7215565591</v>
      </c>
      <c r="P87" s="185">
        <f t="shared" si="24"/>
        <v>24383.7215565591</v>
      </c>
      <c r="T87" t="str">
        <f t="shared" si="16"/>
        <v>Trd_car_dsl-hyb_38</v>
      </c>
      <c r="U87" t="str">
        <f t="shared" ca="1" si="17"/>
        <v>ICE medium size hybrid diesel car -- 38%</v>
      </c>
      <c r="V87" s="188" t="s">
        <v>84</v>
      </c>
      <c r="W87" s="188" t="s">
        <v>85</v>
      </c>
    </row>
    <row r="88" spans="2:23">
      <c r="B88" s="52">
        <v>0.42706636326313602</v>
      </c>
      <c r="C88" s="53">
        <v>25786.587067361699</v>
      </c>
      <c r="D88" s="53">
        <v>24612.878998370299</v>
      </c>
      <c r="E88" s="53">
        <v>24612.878998370299</v>
      </c>
      <c r="F88" s="53">
        <v>24612.878998370299</v>
      </c>
      <c r="I88" s="50">
        <f t="shared" si="25"/>
        <v>1.6159013676893701</v>
      </c>
      <c r="J88" t="str">
        <f t="shared" si="18"/>
        <v>Trd_car_dsl-hyb</v>
      </c>
      <c r="K88" t="str">
        <f t="shared" si="19"/>
        <v>Trd_car_dsl-hyb_43</v>
      </c>
      <c r="L88" t="str">
        <f t="shared" si="20"/>
        <v>Trd_car</v>
      </c>
      <c r="M88" s="185">
        <f t="shared" si="21"/>
        <v>25786.587067361699</v>
      </c>
      <c r="N88" s="185">
        <f t="shared" si="22"/>
        <v>24612.878998370299</v>
      </c>
      <c r="O88" s="185">
        <f t="shared" si="23"/>
        <v>24612.878998370299</v>
      </c>
      <c r="P88" s="185">
        <f t="shared" si="24"/>
        <v>24612.878998370299</v>
      </c>
      <c r="T88" t="str">
        <f t="shared" si="16"/>
        <v>Trd_car_dsl-hyb_43</v>
      </c>
      <c r="U88" t="str">
        <f t="shared" ca="1" si="17"/>
        <v>ICE medium size hybrid diesel car -- 43%</v>
      </c>
      <c r="V88" s="188" t="s">
        <v>84</v>
      </c>
      <c r="W88" s="188" t="s">
        <v>85</v>
      </c>
    </row>
    <row r="89" spans="2:23">
      <c r="B89" s="52">
        <v>0.47706636326313601</v>
      </c>
      <c r="C89" s="53">
        <v>35085.421704049797</v>
      </c>
      <c r="D89" s="53">
        <v>25042.6899697562</v>
      </c>
      <c r="E89" s="53">
        <v>25042.6899697562</v>
      </c>
      <c r="F89" s="53">
        <v>25042.6899697562</v>
      </c>
      <c r="I89" s="50">
        <f t="shared" si="25"/>
        <v>1.67251756330884</v>
      </c>
      <c r="J89" t="str">
        <f t="shared" si="18"/>
        <v>Trd_car_dsl-hyb</v>
      </c>
      <c r="K89" t="str">
        <f t="shared" si="19"/>
        <v>Trd_car_dsl-hyb_48</v>
      </c>
      <c r="L89" t="str">
        <f t="shared" si="20"/>
        <v>Trd_car</v>
      </c>
      <c r="M89" s="185">
        <f t="shared" si="21"/>
        <v>35085.421704049797</v>
      </c>
      <c r="N89" s="185">
        <f t="shared" si="22"/>
        <v>25042.6899697562</v>
      </c>
      <c r="O89" s="185">
        <f t="shared" si="23"/>
        <v>25042.6899697562</v>
      </c>
      <c r="P89" s="185">
        <f t="shared" si="24"/>
        <v>25042.6899697562</v>
      </c>
      <c r="T89" t="str">
        <f t="shared" si="16"/>
        <v>Trd_car_dsl-hyb_48</v>
      </c>
      <c r="U89" t="str">
        <f t="shared" ca="1" si="17"/>
        <v>ICE medium size hybrid diesel car -- 48%</v>
      </c>
      <c r="V89" s="188" t="s">
        <v>84</v>
      </c>
      <c r="W89" s="188" t="s">
        <v>85</v>
      </c>
    </row>
    <row r="90" spans="2:23">
      <c r="B90" s="52">
        <v>0.52706636326313605</v>
      </c>
      <c r="C90" s="53">
        <v>117946.536011697</v>
      </c>
      <c r="D90" s="53">
        <v>32577.2698197311</v>
      </c>
      <c r="E90" s="53">
        <v>32577.2698197311</v>
      </c>
      <c r="F90" s="53">
        <v>32577.2698197311</v>
      </c>
      <c r="I90" s="50">
        <f t="shared" si="25"/>
        <v>1.72913375892831</v>
      </c>
      <c r="J90" t="str">
        <f t="shared" si="18"/>
        <v>Trd_car_dsl-hyb</v>
      </c>
      <c r="K90" t="str">
        <f t="shared" si="19"/>
        <v>Trd_car_dsl-hyb_53</v>
      </c>
      <c r="L90" t="str">
        <f t="shared" si="20"/>
        <v>Trd_car</v>
      </c>
      <c r="M90" s="185">
        <f t="shared" si="21"/>
        <v>117946.536011697</v>
      </c>
      <c r="N90" s="185">
        <f t="shared" si="22"/>
        <v>32577.2698197311</v>
      </c>
      <c r="O90" s="185">
        <f t="shared" si="23"/>
        <v>32577.2698197311</v>
      </c>
      <c r="P90" s="185">
        <f t="shared" si="24"/>
        <v>32577.2698197311</v>
      </c>
      <c r="T90" t="str">
        <f t="shared" si="16"/>
        <v>Trd_car_dsl-hyb_53</v>
      </c>
      <c r="U90" t="str">
        <f t="shared" ca="1" si="17"/>
        <v>ICE medium size hybrid diesel car -- 53%</v>
      </c>
      <c r="V90" s="188" t="s">
        <v>84</v>
      </c>
      <c r="W90" s="188" t="s">
        <v>85</v>
      </c>
    </row>
    <row r="91" spans="2:23">
      <c r="C91" s="61"/>
      <c r="D91" s="61"/>
      <c r="E91" s="61"/>
      <c r="F91" s="61"/>
      <c r="J91" t="str">
        <f t="shared" si="18"/>
        <v>Trd_car_dsl-hyb</v>
      </c>
      <c r="K91" t="str">
        <f t="shared" si="19"/>
        <v>\I:</v>
      </c>
      <c r="L91" t="str">
        <f t="shared" si="20"/>
        <v>\I:</v>
      </c>
      <c r="M91" s="185" t="str">
        <f t="shared" si="21"/>
        <v/>
      </c>
      <c r="N91" s="185" t="str">
        <f t="shared" si="22"/>
        <v/>
      </c>
      <c r="O91" s="185" t="str">
        <f t="shared" si="23"/>
        <v/>
      </c>
      <c r="P91" s="185" t="str">
        <f t="shared" si="24"/>
        <v/>
      </c>
      <c r="T91" t="str">
        <f t="shared" si="16"/>
        <v>\I:</v>
      </c>
      <c r="U91" t="str">
        <f t="shared" ca="1" si="17"/>
        <v>ICE medium size hybrid diesel car -- 00%</v>
      </c>
      <c r="V91" s="188" t="s">
        <v>84</v>
      </c>
      <c r="W91" s="188" t="s">
        <v>85</v>
      </c>
    </row>
    <row r="92" spans="2:23">
      <c r="J92" t="str">
        <f t="shared" si="18"/>
        <v>Trd_car_dsl-hyb</v>
      </c>
      <c r="K92" t="str">
        <f t="shared" si="19"/>
        <v>\I:</v>
      </c>
      <c r="L92" t="str">
        <f t="shared" si="20"/>
        <v>\I:</v>
      </c>
      <c r="M92" s="185" t="str">
        <f t="shared" si="21"/>
        <v/>
      </c>
      <c r="N92" s="185" t="str">
        <f t="shared" si="22"/>
        <v/>
      </c>
      <c r="O92" s="185" t="str">
        <f t="shared" si="23"/>
        <v/>
      </c>
      <c r="P92" s="185" t="str">
        <f t="shared" si="24"/>
        <v/>
      </c>
      <c r="T92" t="str">
        <f t="shared" si="16"/>
        <v>\I:</v>
      </c>
      <c r="U92" t="str">
        <f t="shared" ca="1" si="17"/>
        <v>ICE medium size hybrid diesel car -- 00%</v>
      </c>
      <c r="V92" s="188" t="s">
        <v>84</v>
      </c>
      <c r="W92" s="188" t="s">
        <v>85</v>
      </c>
    </row>
    <row r="93" spans="2:23">
      <c r="J93" t="str">
        <f t="shared" si="18"/>
        <v>Trd_car_dsl-hyb</v>
      </c>
      <c r="K93" t="str">
        <f t="shared" si="19"/>
        <v>\I:</v>
      </c>
      <c r="L93" t="str">
        <f t="shared" si="20"/>
        <v>\I:</v>
      </c>
      <c r="M93" s="185" t="str">
        <f t="shared" si="21"/>
        <v/>
      </c>
      <c r="N93" s="185" t="str">
        <f t="shared" si="22"/>
        <v/>
      </c>
      <c r="O93" s="185" t="str">
        <f t="shared" si="23"/>
        <v/>
      </c>
      <c r="P93" s="185" t="str">
        <f t="shared" si="24"/>
        <v/>
      </c>
      <c r="T93" t="str">
        <f t="shared" si="16"/>
        <v>\I:</v>
      </c>
      <c r="U93" t="str">
        <f t="shared" ca="1" si="17"/>
        <v>ICE medium size hybrid diesel car -- 00%</v>
      </c>
      <c r="V93" s="188" t="s">
        <v>84</v>
      </c>
      <c r="W93" s="188" t="s">
        <v>85</v>
      </c>
    </row>
    <row r="94" spans="2:23">
      <c r="J94" t="str">
        <f t="shared" si="18"/>
        <v>Trd_car_dsl-hyb</v>
      </c>
      <c r="K94" t="str">
        <f t="shared" si="19"/>
        <v>\I:</v>
      </c>
      <c r="L94" t="str">
        <f t="shared" si="20"/>
        <v>\I:</v>
      </c>
      <c r="M94" s="185" t="str">
        <f t="shared" si="21"/>
        <v/>
      </c>
      <c r="N94" s="185" t="str">
        <f t="shared" si="22"/>
        <v/>
      </c>
      <c r="O94" s="185" t="str">
        <f t="shared" si="23"/>
        <v/>
      </c>
      <c r="P94" s="185" t="str">
        <f t="shared" si="24"/>
        <v/>
      </c>
      <c r="T94" t="str">
        <f t="shared" si="16"/>
        <v>\I:</v>
      </c>
      <c r="U94" t="str">
        <f t="shared" ca="1" si="17"/>
        <v>ICE medium size hybrid diesel car -- 00%</v>
      </c>
      <c r="V94" s="188" t="s">
        <v>84</v>
      </c>
      <c r="W94" s="188" t="s">
        <v>85</v>
      </c>
    </row>
    <row r="95" spans="2:23" ht="15" customHeight="1">
      <c r="B95" s="179" t="s">
        <v>21</v>
      </c>
      <c r="C95" s="179" t="s">
        <v>58</v>
      </c>
      <c r="D95" s="179"/>
      <c r="E95" s="179"/>
      <c r="F95" s="179"/>
      <c r="J95" t="str">
        <f t="shared" si="18"/>
        <v>Trd_car_dsl-pih</v>
      </c>
      <c r="K95" t="str">
        <f t="shared" si="19"/>
        <v>\I:</v>
      </c>
      <c r="L95" t="str">
        <f t="shared" si="20"/>
        <v>\I:</v>
      </c>
      <c r="M95" s="185" t="str">
        <f t="shared" si="21"/>
        <v/>
      </c>
      <c r="N95" s="185" t="str">
        <f t="shared" si="22"/>
        <v/>
      </c>
      <c r="O95" s="185" t="str">
        <f t="shared" si="23"/>
        <v/>
      </c>
      <c r="P95" s="185" t="str">
        <f t="shared" si="24"/>
        <v/>
      </c>
      <c r="T95" t="str">
        <f t="shared" si="16"/>
        <v>\I:</v>
      </c>
      <c r="U95" t="str">
        <f t="shared" ca="1" si="17"/>
        <v>ICE medium size plug-in hybrid diesel car -- Reduction of specific energy consumption relative to 2015 diesel vehicle (%)</v>
      </c>
      <c r="V95" s="188" t="s">
        <v>84</v>
      </c>
      <c r="W95" s="188" t="s">
        <v>85</v>
      </c>
    </row>
    <row r="96" spans="2:23">
      <c r="B96" s="179"/>
      <c r="C96" s="179"/>
      <c r="D96" s="179"/>
      <c r="E96" s="179"/>
      <c r="F96" s="179"/>
      <c r="J96" t="str">
        <f t="shared" si="18"/>
        <v>Trd_car_dsl-pih</v>
      </c>
      <c r="K96" t="str">
        <f t="shared" si="19"/>
        <v>\I:</v>
      </c>
      <c r="L96" t="str">
        <f t="shared" si="20"/>
        <v>\I:</v>
      </c>
      <c r="M96" s="185" t="str">
        <f t="shared" si="21"/>
        <v/>
      </c>
      <c r="N96" s="185" t="str">
        <f t="shared" si="22"/>
        <v/>
      </c>
      <c r="O96" s="185" t="str">
        <f t="shared" si="23"/>
        <v/>
      </c>
      <c r="P96" s="185" t="str">
        <f t="shared" si="24"/>
        <v/>
      </c>
      <c r="T96" t="str">
        <f t="shared" si="16"/>
        <v>\I:</v>
      </c>
      <c r="U96" t="str">
        <f t="shared" ca="1" si="17"/>
        <v>ICE medium size plug-in hybrid diesel car -- 00%</v>
      </c>
      <c r="V96" s="188" t="s">
        <v>84</v>
      </c>
      <c r="W96" s="188" t="s">
        <v>85</v>
      </c>
    </row>
    <row r="97" spans="2:23">
      <c r="B97" s="179"/>
      <c r="C97" s="179"/>
      <c r="D97" s="179"/>
      <c r="E97" s="179"/>
      <c r="F97" s="179"/>
      <c r="J97" t="str">
        <f t="shared" si="18"/>
        <v>Trd_car_dsl-pih</v>
      </c>
      <c r="K97" t="str">
        <f t="shared" si="19"/>
        <v>\I:</v>
      </c>
      <c r="L97" t="str">
        <f t="shared" si="20"/>
        <v>\I:</v>
      </c>
      <c r="M97" s="185" t="str">
        <f t="shared" si="21"/>
        <v/>
      </c>
      <c r="N97" s="185" t="str">
        <f t="shared" si="22"/>
        <v/>
      </c>
      <c r="O97" s="185" t="str">
        <f t="shared" si="23"/>
        <v/>
      </c>
      <c r="P97" s="185" t="str">
        <f t="shared" si="24"/>
        <v/>
      </c>
      <c r="T97" t="str">
        <f t="shared" si="16"/>
        <v>\I:</v>
      </c>
      <c r="U97" t="str">
        <f t="shared" ca="1" si="17"/>
        <v>ICE medium size plug-in hybrid diesel car -- 00%</v>
      </c>
      <c r="V97" s="188" t="s">
        <v>84</v>
      </c>
      <c r="W97" s="188" t="s">
        <v>85</v>
      </c>
    </row>
    <row r="98" spans="2:23">
      <c r="B98" s="55"/>
      <c r="C98" s="36">
        <v>2020</v>
      </c>
      <c r="D98" s="36">
        <v>2030</v>
      </c>
      <c r="E98" s="36">
        <v>2040</v>
      </c>
      <c r="F98" s="36">
        <v>2050</v>
      </c>
      <c r="J98" t="str">
        <f t="shared" si="18"/>
        <v>Trd_car_dsl-pih</v>
      </c>
      <c r="K98" t="str">
        <f t="shared" si="19"/>
        <v>\I:</v>
      </c>
      <c r="L98" t="str">
        <f t="shared" si="20"/>
        <v>\I:</v>
      </c>
      <c r="M98" s="185" t="str">
        <f t="shared" si="21"/>
        <v/>
      </c>
      <c r="N98" s="185" t="str">
        <f t="shared" si="22"/>
        <v/>
      </c>
      <c r="O98" s="185" t="str">
        <f t="shared" si="23"/>
        <v/>
      </c>
      <c r="P98" s="185" t="str">
        <f t="shared" si="24"/>
        <v/>
      </c>
      <c r="T98" t="str">
        <f t="shared" si="16"/>
        <v>\I:</v>
      </c>
      <c r="U98" t="str">
        <f t="shared" ca="1" si="17"/>
        <v>ICE medium size plug-in hybrid diesel car -- 00%</v>
      </c>
      <c r="V98" s="188" t="s">
        <v>84</v>
      </c>
      <c r="W98" s="188" t="s">
        <v>85</v>
      </c>
    </row>
    <row r="99" spans="2:23">
      <c r="B99" s="222">
        <v>0.69519813099122496</v>
      </c>
      <c r="C99" s="53">
        <v>29170.689298335801</v>
      </c>
      <c r="D99" s="53">
        <v>25403.452965457302</v>
      </c>
      <c r="E99" s="53">
        <v>24438.879933083699</v>
      </c>
      <c r="F99" s="53">
        <v>24157.556668370002</v>
      </c>
      <c r="I99" s="50">
        <f t="shared" ref="I99:I105" si="26">$I$64*(1+B99)/$I$12</f>
        <v>1.91951337995912</v>
      </c>
      <c r="J99" t="str">
        <f t="shared" si="18"/>
        <v>Trd_car_dsl-pih</v>
      </c>
      <c r="K99" t="str">
        <f t="shared" si="19"/>
        <v>Trd_car_dsl-pih_70</v>
      </c>
      <c r="L99" t="str">
        <f t="shared" si="20"/>
        <v>Trd_car</v>
      </c>
      <c r="M99" s="185">
        <f t="shared" si="21"/>
        <v>29170.689298335801</v>
      </c>
      <c r="N99" s="185">
        <f t="shared" si="22"/>
        <v>25403.452965457302</v>
      </c>
      <c r="O99" s="185">
        <f t="shared" si="23"/>
        <v>24438.879933083699</v>
      </c>
      <c r="P99" s="185">
        <f t="shared" si="24"/>
        <v>24157.556668370002</v>
      </c>
      <c r="T99" t="str">
        <f t="shared" si="16"/>
        <v>Trd_car_dsl-pih_70</v>
      </c>
      <c r="U99" t="str">
        <f t="shared" ca="1" si="17"/>
        <v>ICE medium size plug-in hybrid diesel car -- 70%</v>
      </c>
      <c r="V99" s="188" t="s">
        <v>84</v>
      </c>
      <c r="W99" s="188" t="s">
        <v>85</v>
      </c>
    </row>
    <row r="100" spans="2:23">
      <c r="B100" s="222">
        <v>0.70519813099122497</v>
      </c>
      <c r="C100" s="53">
        <v>29227.3194893523</v>
      </c>
      <c r="D100" s="53">
        <v>25418.579002756502</v>
      </c>
      <c r="E100" s="53">
        <v>24443.381708726301</v>
      </c>
      <c r="F100" s="53">
        <v>24158.3535908089</v>
      </c>
      <c r="I100" s="50">
        <f t="shared" si="26"/>
        <v>1.93083661908301</v>
      </c>
      <c r="J100" t="str">
        <f t="shared" si="18"/>
        <v>Trd_car_dsl-pih</v>
      </c>
      <c r="K100" t="str">
        <f t="shared" si="19"/>
        <v>Trd_car_dsl-pih_71</v>
      </c>
      <c r="L100" t="str">
        <f t="shared" si="20"/>
        <v>Trd_car</v>
      </c>
      <c r="M100" s="185">
        <f t="shared" si="21"/>
        <v>29227.3194893523</v>
      </c>
      <c r="N100" s="185">
        <f t="shared" si="22"/>
        <v>25418.579002756502</v>
      </c>
      <c r="O100" s="185">
        <f t="shared" si="23"/>
        <v>24443.381708726301</v>
      </c>
      <c r="P100" s="185">
        <f t="shared" si="24"/>
        <v>24158.3535908089</v>
      </c>
      <c r="T100" t="str">
        <f t="shared" si="16"/>
        <v>Trd_car_dsl-pih_71</v>
      </c>
      <c r="U100" t="str">
        <f t="shared" ca="1" si="17"/>
        <v>ICE medium size plug-in hybrid diesel car -- 71%</v>
      </c>
      <c r="V100" s="188" t="s">
        <v>84</v>
      </c>
      <c r="W100" s="188" t="s">
        <v>85</v>
      </c>
    </row>
    <row r="101" spans="2:23">
      <c r="B101" s="222">
        <v>0.71519813099122498</v>
      </c>
      <c r="C101" s="53">
        <v>29350.9249451451</v>
      </c>
      <c r="D101" s="53">
        <v>25446.4476084895</v>
      </c>
      <c r="E101" s="53">
        <v>24463.472262581101</v>
      </c>
      <c r="F101" s="53">
        <v>24176.214830307901</v>
      </c>
      <c r="I101" s="50">
        <f t="shared" si="26"/>
        <v>1.94215985820691</v>
      </c>
      <c r="J101" t="str">
        <f t="shared" si="18"/>
        <v>Trd_car_dsl-pih</v>
      </c>
      <c r="K101" t="str">
        <f t="shared" si="19"/>
        <v>Trd_car_dsl-pih_72</v>
      </c>
      <c r="L101" t="str">
        <f t="shared" si="20"/>
        <v>Trd_car</v>
      </c>
      <c r="M101" s="185">
        <f t="shared" si="21"/>
        <v>29350.9249451451</v>
      </c>
      <c r="N101" s="185">
        <f t="shared" si="22"/>
        <v>25446.4476084895</v>
      </c>
      <c r="O101" s="185">
        <f t="shared" si="23"/>
        <v>24463.472262581101</v>
      </c>
      <c r="P101" s="185">
        <f t="shared" si="24"/>
        <v>24176.214830307901</v>
      </c>
      <c r="T101" t="str">
        <f t="shared" si="16"/>
        <v>Trd_car_dsl-pih_72</v>
      </c>
      <c r="U101" t="str">
        <f t="shared" ca="1" si="17"/>
        <v>ICE medium size plug-in hybrid diesel car -- 72%</v>
      </c>
      <c r="V101" s="188" t="s">
        <v>84</v>
      </c>
      <c r="W101" s="188" t="s">
        <v>85</v>
      </c>
    </row>
    <row r="102" spans="2:23">
      <c r="B102" s="222">
        <v>0.72519813099122499</v>
      </c>
      <c r="C102" s="53">
        <v>29732.605591661799</v>
      </c>
      <c r="D102" s="53">
        <v>25529.097039739201</v>
      </c>
      <c r="E102" s="53">
        <v>24534.530061524401</v>
      </c>
      <c r="F102" s="53">
        <v>24245.1328042321</v>
      </c>
      <c r="I102" s="50">
        <f t="shared" si="26"/>
        <v>1.9534830973307999</v>
      </c>
      <c r="J102" t="str">
        <f t="shared" si="18"/>
        <v>Trd_car_dsl-pih</v>
      </c>
      <c r="K102" t="str">
        <f t="shared" si="19"/>
        <v>Trd_car_dsl-pih_73</v>
      </c>
      <c r="L102" t="str">
        <f t="shared" si="20"/>
        <v>Trd_car</v>
      </c>
      <c r="M102" s="185">
        <f t="shared" si="21"/>
        <v>29732.605591661799</v>
      </c>
      <c r="N102" s="185">
        <f t="shared" si="22"/>
        <v>25529.097039739201</v>
      </c>
      <c r="O102" s="185">
        <f t="shared" si="23"/>
        <v>24534.530061524401</v>
      </c>
      <c r="P102" s="185">
        <f t="shared" si="24"/>
        <v>24245.1328042321</v>
      </c>
      <c r="T102" t="str">
        <f t="shared" si="16"/>
        <v>Trd_car_dsl-pih_73</v>
      </c>
      <c r="U102" t="str">
        <f t="shared" ca="1" si="17"/>
        <v>ICE medium size plug-in hybrid diesel car -- 73%</v>
      </c>
      <c r="V102" s="188" t="s">
        <v>84</v>
      </c>
      <c r="W102" s="188" t="s">
        <v>85</v>
      </c>
    </row>
    <row r="103" spans="2:23">
      <c r="B103" s="222">
        <v>0.735198130991225</v>
      </c>
      <c r="C103" s="53">
        <v>30854.8981288947</v>
      </c>
      <c r="D103" s="53">
        <v>25641.180824584699</v>
      </c>
      <c r="E103" s="53">
        <v>24650.593231253599</v>
      </c>
      <c r="F103" s="53">
        <v>24365.970127701399</v>
      </c>
      <c r="I103" s="50">
        <f t="shared" si="26"/>
        <v>1.9648063364546899</v>
      </c>
      <c r="J103" t="str">
        <f t="shared" si="18"/>
        <v>Trd_car_dsl-pih</v>
      </c>
      <c r="K103" t="str">
        <f t="shared" si="19"/>
        <v>Trd_car_dsl-pih_74</v>
      </c>
      <c r="L103" t="str">
        <f t="shared" si="20"/>
        <v>Trd_car</v>
      </c>
      <c r="M103" s="185">
        <f t="shared" si="21"/>
        <v>30854.8981288947</v>
      </c>
      <c r="N103" s="185">
        <f t="shared" si="22"/>
        <v>25641.180824584699</v>
      </c>
      <c r="O103" s="185">
        <f t="shared" si="23"/>
        <v>24650.593231253599</v>
      </c>
      <c r="P103" s="185">
        <f t="shared" si="24"/>
        <v>24365.970127701399</v>
      </c>
      <c r="T103" t="str">
        <f t="shared" si="16"/>
        <v>Trd_car_dsl-pih_74</v>
      </c>
      <c r="U103" t="str">
        <f t="shared" ca="1" si="17"/>
        <v>ICE medium size plug-in hybrid diesel car -- 74%</v>
      </c>
      <c r="V103" s="188" t="s">
        <v>84</v>
      </c>
      <c r="W103" s="188" t="s">
        <v>85</v>
      </c>
    </row>
    <row r="104" spans="2:23">
      <c r="B104" s="222">
        <v>0.77769813099122498</v>
      </c>
      <c r="C104" s="53">
        <v>103823.332049919</v>
      </c>
      <c r="D104" s="53">
        <v>26945.9567365033</v>
      </c>
      <c r="E104" s="53">
        <v>25607.479304299799</v>
      </c>
      <c r="F104" s="53">
        <v>25224.8219206379</v>
      </c>
      <c r="I104" s="50">
        <f t="shared" si="26"/>
        <v>2.0129301027312398</v>
      </c>
      <c r="J104" t="str">
        <f t="shared" si="18"/>
        <v>Trd_car_dsl-pih</v>
      </c>
      <c r="K104" t="str">
        <f t="shared" si="19"/>
        <v>Trd_car_dsl-pih_78</v>
      </c>
      <c r="L104" t="str">
        <f t="shared" si="20"/>
        <v>Trd_car</v>
      </c>
      <c r="M104" s="185">
        <f t="shared" si="21"/>
        <v>103823.332049919</v>
      </c>
      <c r="N104" s="185">
        <f t="shared" si="22"/>
        <v>26945.9567365033</v>
      </c>
      <c r="O104" s="185">
        <f t="shared" si="23"/>
        <v>25607.479304299799</v>
      </c>
      <c r="P104" s="185">
        <f t="shared" si="24"/>
        <v>25224.8219206379</v>
      </c>
      <c r="T104" t="str">
        <f t="shared" si="16"/>
        <v>Trd_car_dsl-pih_78</v>
      </c>
      <c r="U104" t="str">
        <f t="shared" ca="1" si="17"/>
        <v>ICE medium size plug-in hybrid diesel car -- 78%</v>
      </c>
      <c r="V104" s="188" t="s">
        <v>84</v>
      </c>
      <c r="W104" s="188" t="s">
        <v>85</v>
      </c>
    </row>
    <row r="105" spans="2:23">
      <c r="B105" s="222">
        <v>0.78269813099122498</v>
      </c>
      <c r="C105" s="53">
        <v>111274.84784158401</v>
      </c>
      <c r="D105" s="53">
        <v>46386.230083078801</v>
      </c>
      <c r="E105" s="53">
        <v>44287.819786592401</v>
      </c>
      <c r="F105" s="53">
        <v>44168.148201899101</v>
      </c>
      <c r="I105" s="50">
        <f t="shared" si="26"/>
        <v>2.0185917222931899</v>
      </c>
      <c r="J105" t="str">
        <f t="shared" si="18"/>
        <v>Trd_car_dsl-pih</v>
      </c>
      <c r="K105" t="str">
        <f t="shared" si="19"/>
        <v>Trd_car_dsl-pih_78</v>
      </c>
      <c r="L105" t="str">
        <f t="shared" si="20"/>
        <v>Trd_car</v>
      </c>
      <c r="M105" s="185">
        <f t="shared" si="21"/>
        <v>111274.84784158401</v>
      </c>
      <c r="N105" s="185">
        <f t="shared" si="22"/>
        <v>46386.230083078801</v>
      </c>
      <c r="O105" s="185">
        <f t="shared" si="23"/>
        <v>44287.819786592401</v>
      </c>
      <c r="P105" s="185">
        <f t="shared" si="24"/>
        <v>44168.148201899101</v>
      </c>
      <c r="T105" t="str">
        <f t="shared" si="16"/>
        <v>Trd_car_dsl-pih_78</v>
      </c>
      <c r="U105" t="str">
        <f t="shared" ca="1" si="17"/>
        <v>ICE medium size plug-in hybrid diesel car -- 78%</v>
      </c>
      <c r="V105" s="188" t="s">
        <v>84</v>
      </c>
      <c r="W105" s="188" t="s">
        <v>85</v>
      </c>
    </row>
    <row r="106" spans="2:23">
      <c r="C106" s="61"/>
      <c r="D106" s="61"/>
      <c r="E106" s="61"/>
      <c r="F106" s="61"/>
      <c r="J106" t="str">
        <f t="shared" si="18"/>
        <v>Trd_car_dsl-pih</v>
      </c>
      <c r="K106" t="str">
        <f t="shared" si="19"/>
        <v>\I:</v>
      </c>
      <c r="L106" t="str">
        <f t="shared" si="20"/>
        <v>\I:</v>
      </c>
      <c r="M106" s="185" t="str">
        <f t="shared" si="21"/>
        <v/>
      </c>
      <c r="N106" s="185" t="str">
        <f t="shared" si="22"/>
        <v/>
      </c>
      <c r="O106" s="185" t="str">
        <f t="shared" si="23"/>
        <v/>
      </c>
      <c r="P106" s="185" t="str">
        <f t="shared" si="24"/>
        <v/>
      </c>
      <c r="T106" t="str">
        <f t="shared" si="16"/>
        <v>\I:</v>
      </c>
      <c r="U106" t="str">
        <f t="shared" ca="1" si="17"/>
        <v>ICE medium size plug-in hybrid diesel car -- 00%</v>
      </c>
      <c r="V106" s="188" t="s">
        <v>84</v>
      </c>
      <c r="W106" s="188" t="s">
        <v>85</v>
      </c>
    </row>
    <row r="107" spans="2:23">
      <c r="J107" t="str">
        <f t="shared" si="18"/>
        <v>Trd_car_dsl-pih</v>
      </c>
      <c r="K107" t="str">
        <f t="shared" si="19"/>
        <v>\I:</v>
      </c>
      <c r="L107" t="str">
        <f t="shared" si="20"/>
        <v>\I:</v>
      </c>
      <c r="M107" s="185" t="str">
        <f t="shared" si="21"/>
        <v/>
      </c>
      <c r="N107" s="185" t="str">
        <f t="shared" si="22"/>
        <v/>
      </c>
      <c r="O107" s="185" t="str">
        <f t="shared" si="23"/>
        <v/>
      </c>
      <c r="P107" s="185" t="str">
        <f t="shared" si="24"/>
        <v/>
      </c>
      <c r="T107" t="str">
        <f t="shared" si="16"/>
        <v>\I:</v>
      </c>
      <c r="U107" t="str">
        <f t="shared" ca="1" si="17"/>
        <v>ICE medium size plug-in hybrid diesel car -- 00%</v>
      </c>
      <c r="V107" s="188" t="s">
        <v>84</v>
      </c>
      <c r="W107" s="188" t="s">
        <v>85</v>
      </c>
    </row>
    <row r="108" spans="2:23">
      <c r="J108" t="str">
        <f t="shared" si="18"/>
        <v>Trd_car_dsl-pih</v>
      </c>
      <c r="K108" t="str">
        <f t="shared" si="19"/>
        <v>\I:</v>
      </c>
      <c r="L108" t="str">
        <f t="shared" si="20"/>
        <v>\I:</v>
      </c>
      <c r="M108" s="185" t="str">
        <f t="shared" si="21"/>
        <v/>
      </c>
      <c r="N108" s="185" t="str">
        <f t="shared" si="22"/>
        <v/>
      </c>
      <c r="O108" s="185" t="str">
        <f t="shared" si="23"/>
        <v/>
      </c>
      <c r="P108" s="185" t="str">
        <f t="shared" si="24"/>
        <v/>
      </c>
      <c r="T108" t="str">
        <f t="shared" si="16"/>
        <v>\I:</v>
      </c>
      <c r="U108" t="str">
        <f t="shared" ca="1" si="17"/>
        <v>ICE medium size plug-in hybrid diesel car -- 00%</v>
      </c>
      <c r="V108" s="188" t="s">
        <v>84</v>
      </c>
      <c r="W108" s="188" t="s">
        <v>85</v>
      </c>
    </row>
    <row r="109" spans="2:23">
      <c r="J109" t="str">
        <f t="shared" si="18"/>
        <v>Trd_car_dsl-pih</v>
      </c>
      <c r="K109" t="str">
        <f t="shared" si="19"/>
        <v>\I:</v>
      </c>
      <c r="L109" t="str">
        <f t="shared" si="20"/>
        <v>\I:</v>
      </c>
      <c r="M109" s="185" t="str">
        <f t="shared" si="21"/>
        <v/>
      </c>
      <c r="N109" s="185" t="str">
        <f t="shared" si="22"/>
        <v/>
      </c>
      <c r="O109" s="185" t="str">
        <f t="shared" si="23"/>
        <v/>
      </c>
      <c r="P109" s="185" t="str">
        <f t="shared" si="24"/>
        <v/>
      </c>
      <c r="T109" t="str">
        <f t="shared" si="16"/>
        <v>\I:</v>
      </c>
      <c r="U109" t="str">
        <f t="shared" ca="1" si="17"/>
        <v>ICE medium size plug-in hybrid diesel car -- 00%</v>
      </c>
      <c r="V109" s="188" t="s">
        <v>84</v>
      </c>
      <c r="W109" s="188" t="s">
        <v>85</v>
      </c>
    </row>
    <row r="110" spans="2:23">
      <c r="J110" t="str">
        <f t="shared" si="18"/>
        <v>Trd_car_dsl-pih</v>
      </c>
      <c r="K110" t="str">
        <f t="shared" si="19"/>
        <v>\I:</v>
      </c>
      <c r="L110" t="str">
        <f t="shared" si="20"/>
        <v>\I:</v>
      </c>
      <c r="M110" s="185" t="str">
        <f t="shared" si="21"/>
        <v/>
      </c>
      <c r="N110" s="185" t="str">
        <f t="shared" si="22"/>
        <v/>
      </c>
      <c r="O110" s="185" t="str">
        <f t="shared" si="23"/>
        <v/>
      </c>
      <c r="P110" s="185" t="str">
        <f t="shared" si="24"/>
        <v/>
      </c>
      <c r="T110" t="str">
        <f t="shared" si="16"/>
        <v>\I:</v>
      </c>
      <c r="U110" t="str">
        <f t="shared" ca="1" si="17"/>
        <v>ICE medium size plug-in hybrid diesel car -- 00%</v>
      </c>
      <c r="V110" s="188" t="s">
        <v>84</v>
      </c>
      <c r="W110" s="188" t="s">
        <v>85</v>
      </c>
    </row>
    <row r="111" spans="2:23">
      <c r="B111" s="29" t="s">
        <v>87</v>
      </c>
      <c r="J111" t="str">
        <f t="shared" si="18"/>
        <v>Trd_car_dsl-pih</v>
      </c>
      <c r="K111" t="str">
        <f t="shared" si="19"/>
        <v>\I:</v>
      </c>
      <c r="L111" t="str">
        <f t="shared" si="20"/>
        <v>\I:</v>
      </c>
      <c r="M111" s="185" t="str">
        <f t="shared" si="21"/>
        <v/>
      </c>
      <c r="N111" s="185" t="str">
        <f t="shared" si="22"/>
        <v/>
      </c>
      <c r="O111" s="185" t="str">
        <f t="shared" si="23"/>
        <v/>
      </c>
      <c r="P111" s="185" t="str">
        <f t="shared" si="24"/>
        <v/>
      </c>
      <c r="T111" t="str">
        <f t="shared" si="16"/>
        <v>\I:</v>
      </c>
      <c r="U111" t="str">
        <f t="shared" ca="1" si="17"/>
        <v>ICE medium size plug-in hybrid diesel car -- Reference values for medium size CNG</v>
      </c>
      <c r="V111" s="188" t="s">
        <v>84</v>
      </c>
      <c r="W111" s="188" t="s">
        <v>85</v>
      </c>
    </row>
    <row r="112" spans="2:23">
      <c r="B112" s="177">
        <v>2015</v>
      </c>
      <c r="C112" s="177"/>
      <c r="D112" s="177"/>
      <c r="J112" t="str">
        <f t="shared" si="18"/>
        <v>Trd_car_dsl-pih</v>
      </c>
      <c r="K112" t="str">
        <f t="shared" si="19"/>
        <v>\I:</v>
      </c>
      <c r="L112" t="str">
        <f t="shared" si="20"/>
        <v>\I:</v>
      </c>
      <c r="M112" s="185" t="str">
        <f t="shared" si="21"/>
        <v/>
      </c>
      <c r="N112" s="185" t="str">
        <f t="shared" si="22"/>
        <v/>
      </c>
      <c r="O112" s="185" t="str">
        <f t="shared" si="23"/>
        <v/>
      </c>
      <c r="P112" s="185" t="str">
        <f t="shared" si="24"/>
        <v/>
      </c>
      <c r="T112" t="str">
        <f t="shared" si="16"/>
        <v>\I:</v>
      </c>
      <c r="U112" t="str">
        <f t="shared" ca="1" si="17"/>
        <v>ICE medium size plug-in hybrid diesel car -- 201500%</v>
      </c>
      <c r="V112" s="188" t="s">
        <v>84</v>
      </c>
      <c r="W112" s="188" t="s">
        <v>85</v>
      </c>
    </row>
    <row r="113" spans="2:23">
      <c r="B113" s="31" t="s">
        <v>12</v>
      </c>
      <c r="C113" s="32" t="s">
        <v>88</v>
      </c>
      <c r="D113" s="33">
        <v>4.3297573988156604</v>
      </c>
      <c r="G113" s="50">
        <f>D113*$I$5/100*10^9/10^6</f>
        <v>2.3291268710008102</v>
      </c>
      <c r="H113" s="50"/>
      <c r="I113" s="227">
        <f>1/G113</f>
        <v>0.429345439465179</v>
      </c>
      <c r="J113" t="str">
        <f t="shared" si="18"/>
        <v>Trd_car_dsl-pih</v>
      </c>
      <c r="K113" t="str">
        <f t="shared" si="19"/>
        <v>\I:</v>
      </c>
      <c r="L113" t="str">
        <f t="shared" si="20"/>
        <v>\I:</v>
      </c>
      <c r="M113" s="185" t="str">
        <f t="shared" si="21"/>
        <v/>
      </c>
      <c r="N113" s="185" t="str">
        <f t="shared" si="22"/>
        <v/>
      </c>
      <c r="O113" s="185" t="str">
        <f t="shared" si="23"/>
        <v/>
      </c>
      <c r="P113" s="185" t="str">
        <f t="shared" si="24"/>
        <v/>
      </c>
      <c r="T113" t="str">
        <f t="shared" ref="T113:T144" si="27">K113</f>
        <v>\I:</v>
      </c>
      <c r="U113" t="str">
        <f t="shared" ref="U113:U144" ca="1" si="28">OFFSET($S$1,MATCH(J113,$S$1:$S$11,0)-1,-1)&amp;" -- "&amp;TEXT(B113,"00%")</f>
        <v>ICE medium size plug-in hybrid diesel car -- Energy consumption</v>
      </c>
      <c r="V113" s="188" t="s">
        <v>84</v>
      </c>
      <c r="W113" s="188" t="s">
        <v>85</v>
      </c>
    </row>
    <row r="114" spans="2:23">
      <c r="B114" s="31" t="s">
        <v>14</v>
      </c>
      <c r="C114" s="32" t="s">
        <v>15</v>
      </c>
      <c r="D114" s="44">
        <v>21195.101271712301</v>
      </c>
      <c r="I114" s="190" t="s">
        <v>70</v>
      </c>
      <c r="J114" t="str">
        <f t="shared" si="18"/>
        <v>Trd_car_dsl-pih</v>
      </c>
      <c r="K114" t="str">
        <f t="shared" si="19"/>
        <v>\I:</v>
      </c>
      <c r="L114" t="str">
        <f t="shared" si="20"/>
        <v>\I:</v>
      </c>
      <c r="M114" s="185" t="str">
        <f t="shared" si="21"/>
        <v/>
      </c>
      <c r="N114" s="185" t="str">
        <f t="shared" si="22"/>
        <v/>
      </c>
      <c r="O114" s="185" t="str">
        <f t="shared" si="23"/>
        <v/>
      </c>
      <c r="P114" s="185" t="str">
        <f t="shared" si="24"/>
        <v/>
      </c>
      <c r="T114" t="str">
        <f t="shared" si="27"/>
        <v>\I:</v>
      </c>
      <c r="U114" t="str">
        <f t="shared" ca="1" si="28"/>
        <v>ICE medium size plug-in hybrid diesel car -- Capital cost</v>
      </c>
      <c r="V114" s="188" t="s">
        <v>84</v>
      </c>
      <c r="W114" s="188" t="s">
        <v>85</v>
      </c>
    </row>
    <row r="115" spans="2:23">
      <c r="J115" t="str">
        <f t="shared" si="18"/>
        <v>Trd_car_dsl-pih</v>
      </c>
      <c r="K115" t="str">
        <f t="shared" si="19"/>
        <v>\I:</v>
      </c>
      <c r="L115" t="str">
        <f t="shared" si="20"/>
        <v>\I:</v>
      </c>
      <c r="M115" s="185" t="str">
        <f t="shared" si="21"/>
        <v/>
      </c>
      <c r="N115" s="185" t="str">
        <f t="shared" si="22"/>
        <v/>
      </c>
      <c r="O115" s="185" t="str">
        <f t="shared" si="23"/>
        <v/>
      </c>
      <c r="P115" s="185" t="str">
        <f t="shared" si="24"/>
        <v/>
      </c>
      <c r="T115" t="str">
        <f t="shared" si="27"/>
        <v>\I:</v>
      </c>
      <c r="U115" t="str">
        <f t="shared" ca="1" si="28"/>
        <v>ICE medium size plug-in hybrid diesel car -- 00%</v>
      </c>
      <c r="V115" s="188" t="s">
        <v>84</v>
      </c>
      <c r="W115" s="188" t="s">
        <v>85</v>
      </c>
    </row>
    <row r="116" spans="2:23" ht="15" customHeight="1">
      <c r="B116" s="179" t="s">
        <v>89</v>
      </c>
      <c r="C116" s="179" t="s">
        <v>60</v>
      </c>
      <c r="D116" s="179"/>
      <c r="E116" s="179"/>
      <c r="F116" s="179"/>
      <c r="J116" t="str">
        <f t="shared" si="18"/>
        <v>Trd_car_cng</v>
      </c>
      <c r="K116" t="str">
        <f t="shared" si="19"/>
        <v>\I:</v>
      </c>
      <c r="L116" t="str">
        <f t="shared" si="20"/>
        <v>\I:</v>
      </c>
      <c r="M116" s="185" t="str">
        <f t="shared" si="21"/>
        <v/>
      </c>
      <c r="N116" s="185" t="str">
        <f t="shared" si="22"/>
        <v/>
      </c>
      <c r="O116" s="185" t="str">
        <f t="shared" si="23"/>
        <v/>
      </c>
      <c r="P116" s="185" t="str">
        <f t="shared" si="24"/>
        <v/>
      </c>
      <c r="T116" t="str">
        <f t="shared" si="27"/>
        <v>\I:</v>
      </c>
      <c r="U116" t="str">
        <f t="shared" ca="1" si="28"/>
        <v>ICE medium size CNG car -- Reduction of specific energy consumption relative to 2015 CNG vehicle (%)</v>
      </c>
      <c r="V116" s="188" t="s">
        <v>84</v>
      </c>
      <c r="W116" s="188" t="s">
        <v>85</v>
      </c>
    </row>
    <row r="117" spans="2:23">
      <c r="B117" s="179"/>
      <c r="C117" s="179"/>
      <c r="D117" s="179"/>
      <c r="E117" s="179"/>
      <c r="F117" s="179"/>
      <c r="J117" t="str">
        <f t="shared" si="18"/>
        <v>Trd_car_cng</v>
      </c>
      <c r="K117" t="str">
        <f t="shared" si="19"/>
        <v>\I:</v>
      </c>
      <c r="L117" t="str">
        <f t="shared" si="20"/>
        <v>\I:</v>
      </c>
      <c r="M117" s="185" t="str">
        <f t="shared" si="21"/>
        <v/>
      </c>
      <c r="N117" s="185" t="str">
        <f t="shared" si="22"/>
        <v/>
      </c>
      <c r="O117" s="185" t="str">
        <f t="shared" si="23"/>
        <v/>
      </c>
      <c r="P117" s="185" t="str">
        <f t="shared" si="24"/>
        <v/>
      </c>
      <c r="T117" t="str">
        <f t="shared" si="27"/>
        <v>\I:</v>
      </c>
      <c r="U117" t="str">
        <f t="shared" ca="1" si="28"/>
        <v>ICE medium size CNG car -- 00%</v>
      </c>
      <c r="V117" s="188" t="s">
        <v>84</v>
      </c>
      <c r="W117" s="188" t="s">
        <v>85</v>
      </c>
    </row>
    <row r="118" spans="2:23">
      <c r="B118" s="179"/>
      <c r="C118" s="179"/>
      <c r="D118" s="179"/>
      <c r="E118" s="179"/>
      <c r="F118" s="179"/>
      <c r="J118" t="str">
        <f t="shared" si="18"/>
        <v>Trd_car_cng</v>
      </c>
      <c r="K118" t="str">
        <f t="shared" si="19"/>
        <v>\I:</v>
      </c>
      <c r="L118" t="str">
        <f t="shared" si="20"/>
        <v>\I:</v>
      </c>
      <c r="M118" s="185" t="str">
        <f t="shared" si="21"/>
        <v/>
      </c>
      <c r="N118" s="185" t="str">
        <f t="shared" si="22"/>
        <v/>
      </c>
      <c r="O118" s="185" t="str">
        <f t="shared" si="23"/>
        <v/>
      </c>
      <c r="P118" s="185" t="str">
        <f t="shared" si="24"/>
        <v/>
      </c>
      <c r="T118" t="str">
        <f t="shared" si="27"/>
        <v>\I:</v>
      </c>
      <c r="U118" t="str">
        <f t="shared" ca="1" si="28"/>
        <v>ICE medium size CNG car -- 00%</v>
      </c>
      <c r="V118" s="188" t="s">
        <v>84</v>
      </c>
      <c r="W118" s="188" t="s">
        <v>85</v>
      </c>
    </row>
    <row r="119" spans="2:23">
      <c r="B119" s="55"/>
      <c r="C119" s="36">
        <v>2020</v>
      </c>
      <c r="D119" s="36">
        <v>2030</v>
      </c>
      <c r="E119" s="36">
        <v>2040</v>
      </c>
      <c r="F119" s="36">
        <v>2050</v>
      </c>
      <c r="I119" s="178">
        <v>1</v>
      </c>
      <c r="J119" s="29" t="str">
        <f t="shared" si="18"/>
        <v>Trd_car_cng</v>
      </c>
      <c r="K119" s="29" t="str">
        <f>IFERROR(IF(VALUE(C119)&gt;200,J119&amp;"_"&amp;TEXT(B119*100,"00"),"\I:"),"\I:")</f>
        <v>Trd_car_cng_00</v>
      </c>
      <c r="L119" t="str">
        <f t="shared" si="20"/>
        <v>Trd_car</v>
      </c>
      <c r="M119" s="223">
        <f>D114</f>
        <v>21195.101271712301</v>
      </c>
      <c r="N119" s="185"/>
      <c r="O119" s="185"/>
      <c r="P119" s="185"/>
      <c r="T119" t="str">
        <f t="shared" si="27"/>
        <v>Trd_car_cng_00</v>
      </c>
      <c r="U119" t="str">
        <f t="shared" ca="1" si="28"/>
        <v>ICE medium size CNG car -- 00%</v>
      </c>
      <c r="V119" s="188" t="s">
        <v>84</v>
      </c>
      <c r="W119" s="188" t="s">
        <v>85</v>
      </c>
    </row>
    <row r="120" spans="2:23">
      <c r="B120" s="52">
        <v>0.13362395894197199</v>
      </c>
      <c r="C120" s="53">
        <v>21459.3220901274</v>
      </c>
      <c r="D120" s="53">
        <v>21265.946731911001</v>
      </c>
      <c r="E120" s="53">
        <v>21265.946731911001</v>
      </c>
      <c r="F120" s="53">
        <v>21265.946731911001</v>
      </c>
      <c r="I120" s="50">
        <f t="shared" ref="I120:I125" si="29">$I$113*(1+B120)/$I$12</f>
        <v>1.0443370489635699</v>
      </c>
      <c r="J120" t="str">
        <f t="shared" si="18"/>
        <v>Trd_car_cng</v>
      </c>
      <c r="K120" t="str">
        <f t="shared" si="19"/>
        <v>Trd_car_cng_13</v>
      </c>
      <c r="L120" t="str">
        <f t="shared" si="20"/>
        <v>Trd_car</v>
      </c>
      <c r="M120" s="185">
        <f t="shared" si="21"/>
        <v>21459.3220901274</v>
      </c>
      <c r="N120" s="185">
        <f t="shared" si="22"/>
        <v>21265.946731911001</v>
      </c>
      <c r="O120" s="185">
        <f t="shared" si="23"/>
        <v>21265.946731911001</v>
      </c>
      <c r="P120" s="185">
        <f t="shared" si="24"/>
        <v>21265.946731911001</v>
      </c>
      <c r="T120" t="str">
        <f t="shared" si="27"/>
        <v>Trd_car_cng_13</v>
      </c>
      <c r="U120" t="str">
        <f t="shared" ca="1" si="28"/>
        <v>ICE medium size CNG car -- 13%</v>
      </c>
      <c r="V120" s="188" t="s">
        <v>84</v>
      </c>
      <c r="W120" s="188" t="s">
        <v>85</v>
      </c>
    </row>
    <row r="121" spans="2:23">
      <c r="B121" s="52">
        <v>0.23362395894197199</v>
      </c>
      <c r="C121" s="53">
        <v>22275.169322530601</v>
      </c>
      <c r="D121" s="53">
        <v>21526.8992345472</v>
      </c>
      <c r="E121" s="53">
        <v>21526.8992345472</v>
      </c>
      <c r="F121" s="53">
        <v>21526.8992345472</v>
      </c>
      <c r="I121" s="50">
        <f t="shared" si="29"/>
        <v>1.13646081193858</v>
      </c>
      <c r="J121" t="str">
        <f t="shared" si="18"/>
        <v>Trd_car_cng</v>
      </c>
      <c r="K121" t="str">
        <f t="shared" si="19"/>
        <v>Trd_car_cng_23</v>
      </c>
      <c r="L121" t="str">
        <f t="shared" si="20"/>
        <v>Trd_car</v>
      </c>
      <c r="M121" s="185">
        <f t="shared" si="21"/>
        <v>22275.169322530601</v>
      </c>
      <c r="N121" s="185">
        <f t="shared" si="22"/>
        <v>21526.8992345472</v>
      </c>
      <c r="O121" s="185">
        <f t="shared" si="23"/>
        <v>21526.8992345472</v>
      </c>
      <c r="P121" s="185">
        <f t="shared" si="24"/>
        <v>21526.8992345472</v>
      </c>
      <c r="T121" t="str">
        <f t="shared" si="27"/>
        <v>Trd_car_cng_23</v>
      </c>
      <c r="U121" t="str">
        <f t="shared" ca="1" si="28"/>
        <v>ICE medium size CNG car -- 23%</v>
      </c>
      <c r="V121" s="188" t="s">
        <v>84</v>
      </c>
      <c r="W121" s="188" t="s">
        <v>85</v>
      </c>
    </row>
    <row r="122" spans="2:23">
      <c r="B122" s="52">
        <v>0.333623958941972</v>
      </c>
      <c r="C122" s="53">
        <v>24038.316853611501</v>
      </c>
      <c r="D122" s="53">
        <v>22158.19844873</v>
      </c>
      <c r="E122" s="53">
        <v>22158.19844873</v>
      </c>
      <c r="F122" s="53">
        <v>22158.19844873</v>
      </c>
      <c r="I122" s="50">
        <f t="shared" si="29"/>
        <v>1.22858457491358</v>
      </c>
      <c r="J122" t="str">
        <f t="shared" si="18"/>
        <v>Trd_car_cng</v>
      </c>
      <c r="K122" t="str">
        <f t="shared" si="19"/>
        <v>Trd_car_cng_33</v>
      </c>
      <c r="L122" t="str">
        <f t="shared" si="20"/>
        <v>Trd_car</v>
      </c>
      <c r="M122" s="185">
        <f t="shared" si="21"/>
        <v>24038.316853611501</v>
      </c>
      <c r="N122" s="185">
        <f t="shared" si="22"/>
        <v>22158.19844873</v>
      </c>
      <c r="O122" s="185">
        <f t="shared" si="23"/>
        <v>22158.19844873</v>
      </c>
      <c r="P122" s="185">
        <f t="shared" si="24"/>
        <v>22158.19844873</v>
      </c>
      <c r="T122" t="str">
        <f t="shared" si="27"/>
        <v>Trd_car_cng_33</v>
      </c>
      <c r="U122" t="str">
        <f t="shared" ca="1" si="28"/>
        <v>ICE medium size CNG car -- 33%</v>
      </c>
      <c r="V122" s="188" t="s">
        <v>84</v>
      </c>
      <c r="W122" s="188" t="s">
        <v>85</v>
      </c>
    </row>
    <row r="123" spans="2:23">
      <c r="B123" s="52">
        <v>0.38362395894197199</v>
      </c>
      <c r="C123" s="53">
        <v>26551.641485245102</v>
      </c>
      <c r="D123" s="53">
        <v>22891.340162374101</v>
      </c>
      <c r="E123" s="53">
        <v>22891.340162374101</v>
      </c>
      <c r="F123" s="53">
        <v>22891.340162374101</v>
      </c>
      <c r="I123" s="50">
        <f t="shared" si="29"/>
        <v>1.27464645640108</v>
      </c>
      <c r="J123" t="str">
        <f t="shared" si="18"/>
        <v>Trd_car_cng</v>
      </c>
      <c r="K123" t="str">
        <f t="shared" si="19"/>
        <v>Trd_car_cng_38</v>
      </c>
      <c r="L123" t="str">
        <f t="shared" si="20"/>
        <v>Trd_car</v>
      </c>
      <c r="M123" s="185">
        <f t="shared" si="21"/>
        <v>26551.641485245102</v>
      </c>
      <c r="N123" s="185">
        <f t="shared" si="22"/>
        <v>22891.340162374101</v>
      </c>
      <c r="O123" s="185">
        <f t="shared" si="23"/>
        <v>22891.340162374101</v>
      </c>
      <c r="P123" s="185">
        <f t="shared" si="24"/>
        <v>22891.340162374101</v>
      </c>
      <c r="T123" t="str">
        <f t="shared" si="27"/>
        <v>Trd_car_cng_38</v>
      </c>
      <c r="U123" t="str">
        <f t="shared" ca="1" si="28"/>
        <v>ICE medium size CNG car -- 38%</v>
      </c>
      <c r="V123" s="188" t="s">
        <v>84</v>
      </c>
      <c r="W123" s="188" t="s">
        <v>85</v>
      </c>
    </row>
    <row r="124" spans="2:23">
      <c r="B124" s="52">
        <v>0.43362395894197198</v>
      </c>
      <c r="C124" s="53">
        <v>55820.796656475701</v>
      </c>
      <c r="D124" s="53">
        <v>24704.2542961166</v>
      </c>
      <c r="E124" s="53">
        <v>24704.2542961166</v>
      </c>
      <c r="F124" s="53">
        <v>24704.2542961166</v>
      </c>
      <c r="I124" s="50">
        <f t="shared" si="29"/>
        <v>1.32070833788859</v>
      </c>
      <c r="J124" t="str">
        <f t="shared" si="18"/>
        <v>Trd_car_cng</v>
      </c>
      <c r="K124" t="str">
        <f t="shared" si="19"/>
        <v>Trd_car_cng_43</v>
      </c>
      <c r="L124" t="str">
        <f t="shared" si="20"/>
        <v>Trd_car</v>
      </c>
      <c r="M124" s="185">
        <f t="shared" si="21"/>
        <v>55820.796656475701</v>
      </c>
      <c r="N124" s="185">
        <f t="shared" si="22"/>
        <v>24704.2542961166</v>
      </c>
      <c r="O124" s="185">
        <f t="shared" si="23"/>
        <v>24704.2542961166</v>
      </c>
      <c r="P124" s="185">
        <f t="shared" si="24"/>
        <v>24704.2542961166</v>
      </c>
      <c r="T124" t="str">
        <f t="shared" si="27"/>
        <v>Trd_car_cng_43</v>
      </c>
      <c r="U124" t="str">
        <f t="shared" ca="1" si="28"/>
        <v>ICE medium size CNG car -- 43%</v>
      </c>
      <c r="V124" s="188" t="s">
        <v>84</v>
      </c>
      <c r="W124" s="188" t="s">
        <v>85</v>
      </c>
    </row>
    <row r="125" spans="2:23">
      <c r="B125" s="52">
        <v>0.48362395894197202</v>
      </c>
      <c r="C125" s="53">
        <v>120999.11320000001</v>
      </c>
      <c r="D125" s="53">
        <v>43178.298693603698</v>
      </c>
      <c r="E125" s="53">
        <v>43178.298693603698</v>
      </c>
      <c r="F125" s="53">
        <v>43178.298693603698</v>
      </c>
      <c r="I125" s="50">
        <f t="shared" si="29"/>
        <v>1.36677021937609</v>
      </c>
      <c r="J125" t="str">
        <f t="shared" si="18"/>
        <v>Trd_car_cng</v>
      </c>
      <c r="K125" t="str">
        <f t="shared" si="19"/>
        <v>Trd_car_cng_48</v>
      </c>
      <c r="L125" t="str">
        <f t="shared" si="20"/>
        <v>Trd_car</v>
      </c>
      <c r="M125" s="185">
        <f t="shared" si="21"/>
        <v>120999.11320000001</v>
      </c>
      <c r="N125" s="185">
        <f t="shared" si="22"/>
        <v>43178.298693603698</v>
      </c>
      <c r="O125" s="185">
        <f t="shared" si="23"/>
        <v>43178.298693603698</v>
      </c>
      <c r="P125" s="185">
        <f t="shared" si="24"/>
        <v>43178.298693603698</v>
      </c>
      <c r="T125" t="str">
        <f t="shared" si="27"/>
        <v>Trd_car_cng_48</v>
      </c>
      <c r="U125" t="str">
        <f t="shared" ca="1" si="28"/>
        <v>ICE medium size CNG car -- 48%</v>
      </c>
      <c r="V125" s="188" t="s">
        <v>84</v>
      </c>
      <c r="W125" s="188" t="s">
        <v>85</v>
      </c>
    </row>
    <row r="126" spans="2:23">
      <c r="C126" s="61"/>
      <c r="D126" s="61"/>
      <c r="E126" s="61"/>
      <c r="F126" s="61"/>
      <c r="J126" t="str">
        <f t="shared" si="18"/>
        <v>Trd_car_cng</v>
      </c>
      <c r="K126" t="str">
        <f t="shared" si="19"/>
        <v>\I:</v>
      </c>
      <c r="L126" t="str">
        <f t="shared" si="20"/>
        <v>\I:</v>
      </c>
      <c r="M126" s="185" t="str">
        <f t="shared" si="21"/>
        <v/>
      </c>
      <c r="N126" s="185" t="str">
        <f t="shared" si="22"/>
        <v/>
      </c>
      <c r="O126" s="185" t="str">
        <f t="shared" si="23"/>
        <v/>
      </c>
      <c r="P126" s="185" t="str">
        <f t="shared" si="24"/>
        <v/>
      </c>
      <c r="T126" t="str">
        <f t="shared" si="27"/>
        <v>\I:</v>
      </c>
      <c r="U126" t="str">
        <f t="shared" ca="1" si="28"/>
        <v>ICE medium size CNG car -- 00%</v>
      </c>
      <c r="V126" s="188" t="s">
        <v>84</v>
      </c>
      <c r="W126" s="188" t="s">
        <v>85</v>
      </c>
    </row>
    <row r="127" spans="2:23">
      <c r="J127" t="str">
        <f t="shared" si="18"/>
        <v>Trd_car_cng</v>
      </c>
      <c r="K127" t="str">
        <f t="shared" si="19"/>
        <v>\I:</v>
      </c>
      <c r="L127" t="str">
        <f t="shared" si="20"/>
        <v>\I:</v>
      </c>
      <c r="M127" s="185" t="str">
        <f t="shared" si="21"/>
        <v/>
      </c>
      <c r="N127" s="185" t="str">
        <f t="shared" si="22"/>
        <v/>
      </c>
      <c r="O127" s="185" t="str">
        <f t="shared" si="23"/>
        <v/>
      </c>
      <c r="P127" s="185" t="str">
        <f t="shared" si="24"/>
        <v/>
      </c>
      <c r="T127" t="str">
        <f t="shared" si="27"/>
        <v>\I:</v>
      </c>
      <c r="U127" t="str">
        <f t="shared" ca="1" si="28"/>
        <v>ICE medium size CNG car -- 00%</v>
      </c>
      <c r="V127" s="188" t="s">
        <v>84</v>
      </c>
      <c r="W127" s="188" t="s">
        <v>85</v>
      </c>
    </row>
    <row r="128" spans="2:23">
      <c r="J128" t="str">
        <f t="shared" si="18"/>
        <v>Trd_car_cng</v>
      </c>
      <c r="K128" t="str">
        <f t="shared" si="19"/>
        <v>\I:</v>
      </c>
      <c r="L128" t="str">
        <f t="shared" si="20"/>
        <v>\I:</v>
      </c>
      <c r="M128" s="185" t="str">
        <f t="shared" si="21"/>
        <v/>
      </c>
      <c r="N128" s="185" t="str">
        <f t="shared" si="22"/>
        <v/>
      </c>
      <c r="O128" s="185" t="str">
        <f t="shared" si="23"/>
        <v/>
      </c>
      <c r="P128" s="185" t="str">
        <f t="shared" si="24"/>
        <v/>
      </c>
      <c r="T128" t="str">
        <f t="shared" si="27"/>
        <v>\I:</v>
      </c>
      <c r="U128" t="str">
        <f t="shared" ca="1" si="28"/>
        <v>ICE medium size CNG car -- 00%</v>
      </c>
      <c r="V128" s="188" t="s">
        <v>84</v>
      </c>
      <c r="W128" s="188" t="s">
        <v>85</v>
      </c>
    </row>
    <row r="129" spans="2:23">
      <c r="J129" t="str">
        <f t="shared" si="18"/>
        <v>Trd_car_cng</v>
      </c>
      <c r="K129" t="str">
        <f t="shared" si="19"/>
        <v>\I:</v>
      </c>
      <c r="L129" t="str">
        <f t="shared" si="20"/>
        <v>\I:</v>
      </c>
      <c r="M129" s="185" t="str">
        <f t="shared" si="21"/>
        <v/>
      </c>
      <c r="N129" s="185" t="str">
        <f t="shared" si="22"/>
        <v/>
      </c>
      <c r="O129" s="185" t="str">
        <f t="shared" si="23"/>
        <v/>
      </c>
      <c r="P129" s="185" t="str">
        <f t="shared" si="24"/>
        <v/>
      </c>
      <c r="T129" t="str">
        <f t="shared" si="27"/>
        <v>\I:</v>
      </c>
      <c r="U129" t="str">
        <f t="shared" ca="1" si="28"/>
        <v>ICE medium size CNG car -- 00%</v>
      </c>
      <c r="V129" s="188" t="s">
        <v>84</v>
      </c>
      <c r="W129" s="188" t="s">
        <v>85</v>
      </c>
    </row>
    <row r="130" spans="2:23">
      <c r="J130" t="str">
        <f t="shared" si="18"/>
        <v>Trd_car_cng</v>
      </c>
      <c r="K130" t="str">
        <f t="shared" si="19"/>
        <v>\I:</v>
      </c>
      <c r="L130" t="str">
        <f t="shared" si="20"/>
        <v>\I:</v>
      </c>
      <c r="M130" s="185" t="str">
        <f t="shared" si="21"/>
        <v/>
      </c>
      <c r="N130" s="185" t="str">
        <f t="shared" si="22"/>
        <v/>
      </c>
      <c r="O130" s="185" t="str">
        <f t="shared" si="23"/>
        <v/>
      </c>
      <c r="P130" s="185" t="str">
        <f t="shared" si="24"/>
        <v/>
      </c>
      <c r="T130" t="str">
        <f t="shared" si="27"/>
        <v>\I:</v>
      </c>
      <c r="U130" t="str">
        <f t="shared" ca="1" si="28"/>
        <v>ICE medium size CNG car -- 00%</v>
      </c>
      <c r="V130" s="188" t="s">
        <v>84</v>
      </c>
      <c r="W130" s="188" t="s">
        <v>85</v>
      </c>
    </row>
    <row r="131" spans="2:23">
      <c r="B131" s="29" t="s">
        <v>90</v>
      </c>
      <c r="J131" t="str">
        <f t="shared" si="18"/>
        <v>Trd_car_cng</v>
      </c>
      <c r="K131" t="str">
        <f t="shared" si="19"/>
        <v>\I:</v>
      </c>
      <c r="L131" t="str">
        <f t="shared" si="20"/>
        <v>\I:</v>
      </c>
      <c r="M131" s="185" t="str">
        <f t="shared" si="21"/>
        <v/>
      </c>
      <c r="N131" s="185" t="str">
        <f t="shared" si="22"/>
        <v/>
      </c>
      <c r="O131" s="185" t="str">
        <f t="shared" si="23"/>
        <v/>
      </c>
      <c r="P131" s="185" t="str">
        <f t="shared" si="24"/>
        <v/>
      </c>
      <c r="T131" t="str">
        <f t="shared" si="27"/>
        <v>\I:</v>
      </c>
      <c r="U131" t="str">
        <f t="shared" ca="1" si="28"/>
        <v>ICE medium size CNG car -- Reference values for medium size LPG</v>
      </c>
      <c r="V131" s="188" t="s">
        <v>84</v>
      </c>
      <c r="W131" s="188" t="s">
        <v>85</v>
      </c>
    </row>
    <row r="132" spans="2:23">
      <c r="B132" s="177">
        <v>2015</v>
      </c>
      <c r="C132" s="177"/>
      <c r="D132" s="177"/>
      <c r="J132" t="str">
        <f t="shared" si="18"/>
        <v>Trd_car_cng</v>
      </c>
      <c r="K132" t="str">
        <f t="shared" si="19"/>
        <v>\I:</v>
      </c>
      <c r="L132" t="str">
        <f t="shared" si="20"/>
        <v>\I:</v>
      </c>
      <c r="M132" s="185" t="str">
        <f t="shared" si="21"/>
        <v/>
      </c>
      <c r="N132" s="185" t="str">
        <f t="shared" si="22"/>
        <v/>
      </c>
      <c r="O132" s="185" t="str">
        <f t="shared" si="23"/>
        <v/>
      </c>
      <c r="P132" s="185" t="str">
        <f t="shared" si="24"/>
        <v/>
      </c>
      <c r="T132" t="str">
        <f t="shared" si="27"/>
        <v>\I:</v>
      </c>
      <c r="U132" t="str">
        <f t="shared" ca="1" si="28"/>
        <v>ICE medium size CNG car -- 201500%</v>
      </c>
      <c r="V132" s="188" t="s">
        <v>84</v>
      </c>
      <c r="W132" s="188" t="s">
        <v>85</v>
      </c>
    </row>
    <row r="133" spans="2:23">
      <c r="B133" s="31" t="s">
        <v>12</v>
      </c>
      <c r="C133" s="32" t="s">
        <v>13</v>
      </c>
      <c r="D133" s="33">
        <v>8.2177028181603404</v>
      </c>
      <c r="G133" s="50">
        <f>D133*$I$6/100*10^9/10^6</f>
        <v>2.1029101511672299</v>
      </c>
      <c r="H133" s="50"/>
      <c r="I133" s="227">
        <f>1/G133</f>
        <v>0.47553149117899501</v>
      </c>
      <c r="J133" t="str">
        <f t="shared" si="18"/>
        <v>Trd_car_cng</v>
      </c>
      <c r="K133" t="str">
        <f t="shared" si="19"/>
        <v>\I:</v>
      </c>
      <c r="L133" t="str">
        <f t="shared" si="20"/>
        <v>\I:</v>
      </c>
      <c r="M133" s="185" t="str">
        <f t="shared" si="21"/>
        <v/>
      </c>
      <c r="N133" s="185" t="str">
        <f t="shared" si="22"/>
        <v/>
      </c>
      <c r="O133" s="185" t="str">
        <f t="shared" si="23"/>
        <v/>
      </c>
      <c r="P133" s="185" t="str">
        <f t="shared" si="24"/>
        <v/>
      </c>
      <c r="T133" t="str">
        <f t="shared" si="27"/>
        <v>\I:</v>
      </c>
      <c r="U133" t="str">
        <f t="shared" ca="1" si="28"/>
        <v>ICE medium size CNG car -- Energy consumption</v>
      </c>
      <c r="V133" s="188" t="s">
        <v>84</v>
      </c>
      <c r="W133" s="188" t="s">
        <v>85</v>
      </c>
    </row>
    <row r="134" spans="2:23">
      <c r="B134" s="31" t="s">
        <v>14</v>
      </c>
      <c r="C134" s="32" t="s">
        <v>15</v>
      </c>
      <c r="D134" s="44">
        <v>20627.5576717123</v>
      </c>
      <c r="I134" s="190" t="s">
        <v>70</v>
      </c>
      <c r="J134" t="str">
        <f t="shared" si="18"/>
        <v>Trd_car_cng</v>
      </c>
      <c r="K134" t="str">
        <f t="shared" si="19"/>
        <v>\I:</v>
      </c>
      <c r="L134" t="str">
        <f t="shared" si="20"/>
        <v>\I:</v>
      </c>
      <c r="M134" s="185" t="str">
        <f t="shared" si="21"/>
        <v/>
      </c>
      <c r="N134" s="185" t="str">
        <f t="shared" si="22"/>
        <v/>
      </c>
      <c r="O134" s="185" t="str">
        <f t="shared" si="23"/>
        <v/>
      </c>
      <c r="P134" s="185" t="str">
        <f t="shared" si="24"/>
        <v/>
      </c>
      <c r="T134" t="str">
        <f t="shared" si="27"/>
        <v>\I:</v>
      </c>
      <c r="U134" t="str">
        <f t="shared" ca="1" si="28"/>
        <v>ICE medium size CNG car -- Capital cost</v>
      </c>
      <c r="V134" s="188" t="s">
        <v>84</v>
      </c>
      <c r="W134" s="188" t="s">
        <v>85</v>
      </c>
    </row>
    <row r="135" spans="2:23">
      <c r="J135" t="str">
        <f t="shared" si="18"/>
        <v>Trd_car_cng</v>
      </c>
      <c r="K135" t="str">
        <f t="shared" si="19"/>
        <v>\I:</v>
      </c>
      <c r="L135" t="str">
        <f t="shared" si="20"/>
        <v>\I:</v>
      </c>
      <c r="M135" s="185" t="str">
        <f t="shared" si="21"/>
        <v/>
      </c>
      <c r="N135" s="185" t="str">
        <f t="shared" si="22"/>
        <v/>
      </c>
      <c r="O135" s="185" t="str">
        <f t="shared" si="23"/>
        <v/>
      </c>
      <c r="P135" s="185" t="str">
        <f t="shared" si="24"/>
        <v/>
      </c>
      <c r="T135" t="str">
        <f t="shared" si="27"/>
        <v>\I:</v>
      </c>
      <c r="U135" t="str">
        <f t="shared" ca="1" si="28"/>
        <v>ICE medium size CNG car -- 00%</v>
      </c>
      <c r="V135" s="188" t="s">
        <v>84</v>
      </c>
      <c r="W135" s="188" t="s">
        <v>85</v>
      </c>
    </row>
    <row r="136" spans="2:23" ht="15" customHeight="1">
      <c r="B136" s="179" t="s">
        <v>91</v>
      </c>
      <c r="C136" s="179" t="s">
        <v>62</v>
      </c>
      <c r="D136" s="179"/>
      <c r="E136" s="179"/>
      <c r="F136" s="179"/>
      <c r="J136" t="str">
        <f t="shared" si="18"/>
        <v>\I:Trd_car_lpg</v>
      </c>
      <c r="K136" t="str">
        <f t="shared" si="19"/>
        <v>\I:</v>
      </c>
      <c r="L136" t="str">
        <f t="shared" si="20"/>
        <v>\I:</v>
      </c>
      <c r="M136" s="185" t="str">
        <f t="shared" si="21"/>
        <v/>
      </c>
      <c r="N136" s="185" t="str">
        <f t="shared" si="22"/>
        <v/>
      </c>
      <c r="O136" s="185" t="str">
        <f t="shared" si="23"/>
        <v/>
      </c>
      <c r="P136" s="185" t="str">
        <f t="shared" si="24"/>
        <v/>
      </c>
      <c r="T136" t="str">
        <f t="shared" si="27"/>
        <v>\I:</v>
      </c>
      <c r="U136" t="str">
        <f t="shared" ca="1" si="28"/>
        <v>ICE medium size LPG car -- Reduction of specific energy consumption relative to 2015 LPG vehicle (%)</v>
      </c>
      <c r="V136" s="188" t="s">
        <v>84</v>
      </c>
      <c r="W136" s="188" t="s">
        <v>85</v>
      </c>
    </row>
    <row r="137" spans="2:23">
      <c r="B137" s="179"/>
      <c r="C137" s="179"/>
      <c r="D137" s="179"/>
      <c r="E137" s="179"/>
      <c r="F137" s="179"/>
      <c r="J137" t="str">
        <f t="shared" si="18"/>
        <v>\I:Trd_car_lpg</v>
      </c>
      <c r="K137" t="str">
        <f t="shared" si="19"/>
        <v>\I:</v>
      </c>
      <c r="L137" t="str">
        <f t="shared" si="20"/>
        <v>\I:</v>
      </c>
      <c r="M137" s="185" t="str">
        <f t="shared" si="21"/>
        <v/>
      </c>
      <c r="N137" s="185" t="str">
        <f t="shared" si="22"/>
        <v/>
      </c>
      <c r="O137" s="185" t="str">
        <f t="shared" si="23"/>
        <v/>
      </c>
      <c r="P137" s="185" t="str">
        <f t="shared" si="24"/>
        <v/>
      </c>
      <c r="T137" t="str">
        <f t="shared" si="27"/>
        <v>\I:</v>
      </c>
      <c r="U137" t="str">
        <f t="shared" ca="1" si="28"/>
        <v>ICE medium size LPG car -- 00%</v>
      </c>
      <c r="V137" s="188" t="s">
        <v>84</v>
      </c>
      <c r="W137" s="188" t="s">
        <v>85</v>
      </c>
    </row>
    <row r="138" spans="2:23">
      <c r="B138" s="179"/>
      <c r="C138" s="179"/>
      <c r="D138" s="179"/>
      <c r="E138" s="179"/>
      <c r="F138" s="179"/>
      <c r="J138" t="str">
        <f t="shared" si="18"/>
        <v>\I:Trd_car_lpg</v>
      </c>
      <c r="K138" t="str">
        <f t="shared" si="19"/>
        <v>\I:</v>
      </c>
      <c r="L138" t="str">
        <f t="shared" si="20"/>
        <v>\I:</v>
      </c>
      <c r="M138" s="185" t="str">
        <f t="shared" si="21"/>
        <v/>
      </c>
      <c r="N138" s="185" t="str">
        <f t="shared" si="22"/>
        <v/>
      </c>
      <c r="O138" s="185" t="str">
        <f t="shared" si="23"/>
        <v/>
      </c>
      <c r="P138" s="185" t="str">
        <f t="shared" si="24"/>
        <v/>
      </c>
      <c r="T138" t="str">
        <f t="shared" si="27"/>
        <v>\I:</v>
      </c>
      <c r="U138" t="str">
        <f t="shared" ca="1" si="28"/>
        <v>ICE medium size LPG car -- 00%</v>
      </c>
      <c r="V138" s="188" t="s">
        <v>84</v>
      </c>
      <c r="W138" s="188" t="s">
        <v>85</v>
      </c>
    </row>
    <row r="139" spans="2:23">
      <c r="B139" s="55"/>
      <c r="C139" s="36">
        <v>2020</v>
      </c>
      <c r="D139" s="36">
        <v>2030</v>
      </c>
      <c r="E139" s="36">
        <v>2040</v>
      </c>
      <c r="F139" s="36">
        <v>2050</v>
      </c>
      <c r="J139" t="str">
        <f t="shared" si="18"/>
        <v>\I:Trd_car_lpg</v>
      </c>
      <c r="K139" t="str">
        <f t="shared" si="19"/>
        <v>\I:</v>
      </c>
      <c r="L139" t="str">
        <f t="shared" si="20"/>
        <v>\I:</v>
      </c>
      <c r="M139" s="185" t="str">
        <f t="shared" si="21"/>
        <v/>
      </c>
      <c r="N139" s="185" t="str">
        <f t="shared" si="22"/>
        <v/>
      </c>
      <c r="O139" s="185" t="str">
        <f t="shared" si="23"/>
        <v/>
      </c>
      <c r="P139" s="185" t="str">
        <f t="shared" si="24"/>
        <v/>
      </c>
      <c r="T139" t="str">
        <f t="shared" si="27"/>
        <v>\I:</v>
      </c>
      <c r="U139" t="str">
        <f t="shared" ca="1" si="28"/>
        <v>ICE medium size LPG car -- 00%</v>
      </c>
      <c r="V139" s="188" t="s">
        <v>84</v>
      </c>
      <c r="W139" s="188" t="s">
        <v>85</v>
      </c>
    </row>
    <row r="140" spans="2:23">
      <c r="B140" s="52">
        <v>0.13362395894197199</v>
      </c>
      <c r="C140" s="53">
        <v>20891.778490127399</v>
      </c>
      <c r="D140" s="53">
        <v>20698.403131911</v>
      </c>
      <c r="E140" s="53">
        <v>20698.403131911</v>
      </c>
      <c r="F140" s="53">
        <v>20698.403131911</v>
      </c>
      <c r="I140" s="50">
        <f t="shared" ref="I140:I145" si="30">$I$133*(1+B140)/$I$12</f>
        <v>1.1566797001634299</v>
      </c>
      <c r="J140" t="str">
        <f t="shared" si="18"/>
        <v>\I:Trd_car_lpg</v>
      </c>
      <c r="K140" t="str">
        <f t="shared" si="19"/>
        <v>\I:Trd_car_lpg_13</v>
      </c>
      <c r="L140" t="str">
        <f t="shared" si="20"/>
        <v>\I:Trd_</v>
      </c>
      <c r="M140" s="185">
        <f t="shared" si="21"/>
        <v>20891.778490127399</v>
      </c>
      <c r="N140" s="185">
        <f t="shared" si="22"/>
        <v>20698.403131911</v>
      </c>
      <c r="O140" s="185">
        <f t="shared" si="23"/>
        <v>20698.403131911</v>
      </c>
      <c r="P140" s="185">
        <f t="shared" si="24"/>
        <v>20698.403131911</v>
      </c>
      <c r="T140" t="str">
        <f t="shared" si="27"/>
        <v>\I:Trd_car_lpg_13</v>
      </c>
      <c r="U140" t="str">
        <f t="shared" ca="1" si="28"/>
        <v>ICE medium size LPG car -- 13%</v>
      </c>
      <c r="V140" s="188" t="s">
        <v>84</v>
      </c>
      <c r="W140" s="188" t="s">
        <v>85</v>
      </c>
    </row>
    <row r="141" spans="2:23">
      <c r="B141" s="52">
        <v>0.23362395894197199</v>
      </c>
      <c r="C141" s="53">
        <v>21707.6257225306</v>
      </c>
      <c r="D141" s="53">
        <v>20959.355634547199</v>
      </c>
      <c r="E141" s="53">
        <v>20959.355634547199</v>
      </c>
      <c r="F141" s="53">
        <v>20959.355634547199</v>
      </c>
      <c r="I141" s="50">
        <f t="shared" si="30"/>
        <v>1.2587135087328001</v>
      </c>
      <c r="J141" t="str">
        <f t="shared" si="18"/>
        <v>\I:Trd_car_lpg</v>
      </c>
      <c r="K141" t="str">
        <f t="shared" si="19"/>
        <v>\I:Trd_car_lpg_23</v>
      </c>
      <c r="L141" t="str">
        <f t="shared" si="20"/>
        <v>\I:Trd_</v>
      </c>
      <c r="M141" s="185">
        <f t="shared" si="21"/>
        <v>21707.6257225306</v>
      </c>
      <c r="N141" s="185">
        <f t="shared" si="22"/>
        <v>20959.355634547199</v>
      </c>
      <c r="O141" s="185">
        <f t="shared" si="23"/>
        <v>20959.355634547199</v>
      </c>
      <c r="P141" s="185">
        <f t="shared" si="24"/>
        <v>20959.355634547199</v>
      </c>
      <c r="T141" t="str">
        <f t="shared" si="27"/>
        <v>\I:Trd_car_lpg_23</v>
      </c>
      <c r="U141" t="str">
        <f t="shared" ca="1" si="28"/>
        <v>ICE medium size LPG car -- 23%</v>
      </c>
      <c r="V141" s="188" t="s">
        <v>84</v>
      </c>
      <c r="W141" s="188" t="s">
        <v>85</v>
      </c>
    </row>
    <row r="142" spans="2:23">
      <c r="B142" s="52">
        <v>0.333623958941972</v>
      </c>
      <c r="C142" s="53">
        <v>23470.7732536115</v>
      </c>
      <c r="D142" s="53">
        <v>21590.654848729999</v>
      </c>
      <c r="E142" s="53">
        <v>21590.654848729999</v>
      </c>
      <c r="F142" s="53">
        <v>21590.654848729999</v>
      </c>
      <c r="I142" s="50">
        <f t="shared" si="30"/>
        <v>1.36074731730218</v>
      </c>
      <c r="J142" t="str">
        <f t="shared" si="18"/>
        <v>\I:Trd_car_lpg</v>
      </c>
      <c r="K142" t="str">
        <f t="shared" si="19"/>
        <v>\I:Trd_car_lpg_33</v>
      </c>
      <c r="L142" t="str">
        <f t="shared" si="20"/>
        <v>\I:Trd_</v>
      </c>
      <c r="M142" s="185">
        <f t="shared" si="21"/>
        <v>23470.7732536115</v>
      </c>
      <c r="N142" s="185">
        <f t="shared" si="22"/>
        <v>21590.654848729999</v>
      </c>
      <c r="O142" s="185">
        <f t="shared" si="23"/>
        <v>21590.654848729999</v>
      </c>
      <c r="P142" s="185">
        <f t="shared" si="24"/>
        <v>21590.654848729999</v>
      </c>
      <c r="T142" t="str">
        <f t="shared" si="27"/>
        <v>\I:Trd_car_lpg_33</v>
      </c>
      <c r="U142" t="str">
        <f t="shared" ca="1" si="28"/>
        <v>ICE medium size LPG car -- 33%</v>
      </c>
      <c r="V142" s="188" t="s">
        <v>84</v>
      </c>
      <c r="W142" s="188" t="s">
        <v>85</v>
      </c>
    </row>
    <row r="143" spans="2:23">
      <c r="B143" s="52">
        <v>0.38362395894197199</v>
      </c>
      <c r="C143" s="53">
        <v>25984.097885245101</v>
      </c>
      <c r="D143" s="53">
        <v>22323.7965623741</v>
      </c>
      <c r="E143" s="53">
        <v>22323.7965623741</v>
      </c>
      <c r="F143" s="53">
        <v>22323.7965623741</v>
      </c>
      <c r="I143" s="50">
        <f t="shared" si="30"/>
        <v>1.41176422158687</v>
      </c>
      <c r="J143" t="str">
        <f t="shared" si="18"/>
        <v>\I:Trd_car_lpg</v>
      </c>
      <c r="K143" t="str">
        <f t="shared" si="19"/>
        <v>\I:Trd_car_lpg_38</v>
      </c>
      <c r="L143" t="str">
        <f t="shared" si="20"/>
        <v>\I:Trd_</v>
      </c>
      <c r="M143" s="185">
        <f t="shared" si="21"/>
        <v>25984.097885245101</v>
      </c>
      <c r="N143" s="185">
        <f t="shared" si="22"/>
        <v>22323.7965623741</v>
      </c>
      <c r="O143" s="185">
        <f t="shared" si="23"/>
        <v>22323.7965623741</v>
      </c>
      <c r="P143" s="185">
        <f t="shared" si="24"/>
        <v>22323.7965623741</v>
      </c>
      <c r="T143" t="str">
        <f t="shared" si="27"/>
        <v>\I:Trd_car_lpg_38</v>
      </c>
      <c r="U143" t="str">
        <f t="shared" ca="1" si="28"/>
        <v>ICE medium size LPG car -- 38%</v>
      </c>
      <c r="V143" s="188" t="s">
        <v>84</v>
      </c>
      <c r="W143" s="188" t="s">
        <v>85</v>
      </c>
    </row>
    <row r="144" spans="2:23">
      <c r="B144" s="52">
        <v>0.43362395894197198</v>
      </c>
      <c r="C144" s="53">
        <v>55253.253056475703</v>
      </c>
      <c r="D144" s="53">
        <v>24136.710696116599</v>
      </c>
      <c r="E144" s="53">
        <v>24136.710696116599</v>
      </c>
      <c r="F144" s="53">
        <v>24136.710696116599</v>
      </c>
      <c r="I144" s="50">
        <f t="shared" si="30"/>
        <v>1.46278112587155</v>
      </c>
      <c r="J144" t="str">
        <f t="shared" si="18"/>
        <v>\I:Trd_car_lpg</v>
      </c>
      <c r="K144" t="str">
        <f t="shared" si="19"/>
        <v>\I:Trd_car_lpg_43</v>
      </c>
      <c r="L144" t="str">
        <f t="shared" si="20"/>
        <v>\I:Trd_</v>
      </c>
      <c r="M144" s="185">
        <f t="shared" si="21"/>
        <v>55253.253056475703</v>
      </c>
      <c r="N144" s="185">
        <f t="shared" si="22"/>
        <v>24136.710696116599</v>
      </c>
      <c r="O144" s="185">
        <f t="shared" si="23"/>
        <v>24136.710696116599</v>
      </c>
      <c r="P144" s="185">
        <f t="shared" si="24"/>
        <v>24136.710696116599</v>
      </c>
      <c r="T144" t="str">
        <f t="shared" si="27"/>
        <v>\I:Trd_car_lpg_43</v>
      </c>
      <c r="U144" t="str">
        <f t="shared" ca="1" si="28"/>
        <v>ICE medium size LPG car -- 43%</v>
      </c>
      <c r="V144" s="188" t="s">
        <v>84</v>
      </c>
      <c r="W144" s="188" t="s">
        <v>85</v>
      </c>
    </row>
    <row r="145" spans="2:23">
      <c r="B145" s="52">
        <v>0.48362395894197202</v>
      </c>
      <c r="C145" s="53">
        <v>120431.5696</v>
      </c>
      <c r="D145" s="53">
        <v>42610.755093603701</v>
      </c>
      <c r="E145" s="53">
        <v>42610.755093603701</v>
      </c>
      <c r="F145" s="53">
        <v>42610.755093603701</v>
      </c>
      <c r="I145" s="50">
        <f t="shared" si="30"/>
        <v>1.5137980301562399</v>
      </c>
      <c r="J145" t="str">
        <f t="shared" si="18"/>
        <v>\I:Trd_car_lpg</v>
      </c>
      <c r="K145" t="str">
        <f t="shared" si="19"/>
        <v>\I:Trd_car_lpg_48</v>
      </c>
      <c r="L145" t="str">
        <f t="shared" si="20"/>
        <v>\I:Trd_</v>
      </c>
      <c r="M145" s="185">
        <f t="shared" si="21"/>
        <v>120431.5696</v>
      </c>
      <c r="N145" s="185">
        <f t="shared" si="22"/>
        <v>42610.755093603701</v>
      </c>
      <c r="O145" s="185">
        <f t="shared" si="23"/>
        <v>42610.755093603701</v>
      </c>
      <c r="P145" s="185">
        <f t="shared" si="24"/>
        <v>42610.755093603701</v>
      </c>
      <c r="T145" t="str">
        <f t="shared" ref="T145:T176" si="31">K145</f>
        <v>\I:Trd_car_lpg_48</v>
      </c>
      <c r="U145" t="str">
        <f t="shared" ref="U145:U176" ca="1" si="32">OFFSET($S$1,MATCH(J145,$S$1:$S$11,0)-1,-1)&amp;" -- "&amp;TEXT(B145,"00%")</f>
        <v>ICE medium size LPG car -- 48%</v>
      </c>
      <c r="V145" s="188" t="s">
        <v>84</v>
      </c>
      <c r="W145" s="188" t="s">
        <v>85</v>
      </c>
    </row>
    <row r="146" spans="2:23">
      <c r="C146" s="61"/>
      <c r="D146" s="61"/>
      <c r="E146" s="61"/>
      <c r="F146" s="61"/>
      <c r="J146" t="str">
        <f t="shared" ref="J146:J199" si="33">IFERROR(VLOOKUP(C146,$R$1:$S$11,2,FALSE),J145)</f>
        <v>\I:Trd_car_lpg</v>
      </c>
      <c r="K146" t="str">
        <f t="shared" ref="K146:K199" si="34">IFERROR(IF(VALUE(C146)&gt;2020,J146&amp;"_"&amp;TEXT(B146*100,"00"),"\I:"),"\I:")</f>
        <v>\I:</v>
      </c>
      <c r="L146" t="str">
        <f t="shared" ref="L146:L199" si="35">LEFT(K146,7)</f>
        <v>\I:</v>
      </c>
      <c r="M146" s="185" t="str">
        <f t="shared" ref="M146:M199" si="36">IF($K146="\I:","",C146)</f>
        <v/>
      </c>
      <c r="N146" s="185" t="str">
        <f t="shared" ref="N146:N199" si="37">IF($K146="\I:","",D146)</f>
        <v/>
      </c>
      <c r="O146" s="185" t="str">
        <f t="shared" ref="O146:O199" si="38">IF($K146="\I:","",E146)</f>
        <v/>
      </c>
      <c r="P146" s="185" t="str">
        <f t="shared" ref="P146:P199" si="39">IF($K146="\I:","",F146)</f>
        <v/>
      </c>
      <c r="T146" t="str">
        <f t="shared" si="31"/>
        <v>\I:</v>
      </c>
      <c r="U146" t="str">
        <f t="shared" ca="1" si="32"/>
        <v>ICE medium size LPG car -- 00%</v>
      </c>
      <c r="V146" s="188" t="s">
        <v>84</v>
      </c>
      <c r="W146" s="188" t="s">
        <v>85</v>
      </c>
    </row>
    <row r="147" spans="2:23">
      <c r="J147" t="str">
        <f t="shared" si="33"/>
        <v>\I:Trd_car_lpg</v>
      </c>
      <c r="K147" t="str">
        <f t="shared" si="34"/>
        <v>\I:</v>
      </c>
      <c r="L147" t="str">
        <f t="shared" si="35"/>
        <v>\I:</v>
      </c>
      <c r="M147" s="185" t="str">
        <f t="shared" si="36"/>
        <v/>
      </c>
      <c r="N147" s="185" t="str">
        <f t="shared" si="37"/>
        <v/>
      </c>
      <c r="O147" s="185" t="str">
        <f t="shared" si="38"/>
        <v/>
      </c>
      <c r="P147" s="185" t="str">
        <f t="shared" si="39"/>
        <v/>
      </c>
      <c r="T147" t="str">
        <f t="shared" si="31"/>
        <v>\I:</v>
      </c>
      <c r="U147" t="str">
        <f t="shared" ca="1" si="32"/>
        <v>ICE medium size LPG car -- 00%</v>
      </c>
      <c r="V147" s="188" t="s">
        <v>84</v>
      </c>
      <c r="W147" s="188" t="s">
        <v>85</v>
      </c>
    </row>
    <row r="148" spans="2:23">
      <c r="J148" t="str">
        <f t="shared" si="33"/>
        <v>\I:Trd_car_lpg</v>
      </c>
      <c r="K148" t="str">
        <f t="shared" si="34"/>
        <v>\I:</v>
      </c>
      <c r="L148" t="str">
        <f t="shared" si="35"/>
        <v>\I:</v>
      </c>
      <c r="M148" s="185" t="str">
        <f t="shared" si="36"/>
        <v/>
      </c>
      <c r="N148" s="185" t="str">
        <f t="shared" si="37"/>
        <v/>
      </c>
      <c r="O148" s="185" t="str">
        <f t="shared" si="38"/>
        <v/>
      </c>
      <c r="P148" s="185" t="str">
        <f t="shared" si="39"/>
        <v/>
      </c>
      <c r="T148" t="str">
        <f t="shared" si="31"/>
        <v>\I:</v>
      </c>
      <c r="U148" t="str">
        <f t="shared" ca="1" si="32"/>
        <v>ICE medium size LPG car -- 00%</v>
      </c>
      <c r="V148" s="188" t="s">
        <v>84</v>
      </c>
      <c r="W148" s="188" t="s">
        <v>85</v>
      </c>
    </row>
    <row r="149" spans="2:23">
      <c r="J149" t="str">
        <f t="shared" si="33"/>
        <v>\I:Trd_car_lpg</v>
      </c>
      <c r="K149" t="str">
        <f t="shared" si="34"/>
        <v>\I:</v>
      </c>
      <c r="L149" t="str">
        <f t="shared" si="35"/>
        <v>\I:</v>
      </c>
      <c r="M149" s="185" t="str">
        <f t="shared" si="36"/>
        <v/>
      </c>
      <c r="N149" s="185" t="str">
        <f t="shared" si="37"/>
        <v/>
      </c>
      <c r="O149" s="185" t="str">
        <f t="shared" si="38"/>
        <v/>
      </c>
      <c r="P149" s="185" t="str">
        <f t="shared" si="39"/>
        <v/>
      </c>
      <c r="T149" t="str">
        <f t="shared" si="31"/>
        <v>\I:</v>
      </c>
      <c r="U149" t="str">
        <f t="shared" ca="1" si="32"/>
        <v>ICE medium size LPG car -- 00%</v>
      </c>
      <c r="V149" s="188" t="s">
        <v>84</v>
      </c>
      <c r="W149" s="188" t="s">
        <v>85</v>
      </c>
    </row>
    <row r="150" spans="2:23">
      <c r="J150" t="str">
        <f t="shared" si="33"/>
        <v>\I:Trd_car_lpg</v>
      </c>
      <c r="K150" t="str">
        <f t="shared" si="34"/>
        <v>\I:</v>
      </c>
      <c r="L150" t="str">
        <f t="shared" si="35"/>
        <v>\I:</v>
      </c>
      <c r="M150" s="185" t="str">
        <f t="shared" si="36"/>
        <v/>
      </c>
      <c r="N150" s="185" t="str">
        <f t="shared" si="37"/>
        <v/>
      </c>
      <c r="O150" s="185" t="str">
        <f t="shared" si="38"/>
        <v/>
      </c>
      <c r="P150" s="185" t="str">
        <f t="shared" si="39"/>
        <v/>
      </c>
      <c r="T150" t="str">
        <f t="shared" si="31"/>
        <v>\I:</v>
      </c>
      <c r="U150" t="str">
        <f t="shared" ca="1" si="32"/>
        <v>ICE medium size LPG car -- 00%</v>
      </c>
      <c r="V150" s="188" t="s">
        <v>84</v>
      </c>
      <c r="W150" s="188" t="s">
        <v>85</v>
      </c>
    </row>
    <row r="151" spans="2:23">
      <c r="B151" s="29" t="s">
        <v>92</v>
      </c>
      <c r="J151" t="str">
        <f t="shared" si="33"/>
        <v>\I:Trd_car_lpg</v>
      </c>
      <c r="K151" t="str">
        <f t="shared" si="34"/>
        <v>\I:</v>
      </c>
      <c r="L151" t="str">
        <f t="shared" si="35"/>
        <v>\I:</v>
      </c>
      <c r="M151" s="185" t="str">
        <f t="shared" si="36"/>
        <v/>
      </c>
      <c r="N151" s="185" t="str">
        <f t="shared" si="37"/>
        <v/>
      </c>
      <c r="O151" s="185" t="str">
        <f t="shared" si="38"/>
        <v/>
      </c>
      <c r="P151" s="185" t="str">
        <f t="shared" si="39"/>
        <v/>
      </c>
      <c r="T151" t="str">
        <f t="shared" si="31"/>
        <v>\I:</v>
      </c>
      <c r="U151" t="str">
        <f t="shared" ca="1" si="32"/>
        <v>ICE medium size LPG car -- Reference values for medium size E85 flex fuel</v>
      </c>
      <c r="V151" s="188" t="s">
        <v>84</v>
      </c>
      <c r="W151" s="188" t="s">
        <v>85</v>
      </c>
    </row>
    <row r="152" spans="2:23">
      <c r="B152" s="177">
        <v>2015</v>
      </c>
      <c r="C152" s="177"/>
      <c r="D152" s="177"/>
      <c r="J152" t="str">
        <f t="shared" si="33"/>
        <v>\I:Trd_car_lpg</v>
      </c>
      <c r="K152" t="str">
        <f t="shared" si="34"/>
        <v>\I:</v>
      </c>
      <c r="L152" t="str">
        <f t="shared" si="35"/>
        <v>\I:</v>
      </c>
      <c r="M152" s="185" t="str">
        <f t="shared" si="36"/>
        <v/>
      </c>
      <c r="N152" s="185" t="str">
        <f t="shared" si="37"/>
        <v/>
      </c>
      <c r="O152" s="185" t="str">
        <f t="shared" si="38"/>
        <v/>
      </c>
      <c r="P152" s="185" t="str">
        <f t="shared" si="39"/>
        <v/>
      </c>
      <c r="T152" t="str">
        <f t="shared" si="31"/>
        <v>\I:</v>
      </c>
      <c r="U152" t="str">
        <f t="shared" ca="1" si="32"/>
        <v>ICE medium size LPG car -- 201500%</v>
      </c>
      <c r="V152" s="188" t="s">
        <v>84</v>
      </c>
      <c r="W152" s="188" t="s">
        <v>85</v>
      </c>
    </row>
    <row r="153" spans="2:23">
      <c r="B153" s="31" t="s">
        <v>12</v>
      </c>
      <c r="C153" s="32" t="s">
        <v>13</v>
      </c>
      <c r="D153" s="33">
        <v>9.1999999999999993</v>
      </c>
      <c r="J153" t="str">
        <f t="shared" si="33"/>
        <v>\I:Trd_car_lpg</v>
      </c>
      <c r="K153" t="str">
        <f t="shared" si="34"/>
        <v>\I:</v>
      </c>
      <c r="L153" t="str">
        <f t="shared" si="35"/>
        <v>\I:</v>
      </c>
      <c r="M153" s="185" t="str">
        <f t="shared" si="36"/>
        <v/>
      </c>
      <c r="N153" s="185" t="str">
        <f t="shared" si="37"/>
        <v/>
      </c>
      <c r="O153" s="185" t="str">
        <f t="shared" si="38"/>
        <v/>
      </c>
      <c r="P153" s="185" t="str">
        <f t="shared" si="39"/>
        <v/>
      </c>
      <c r="T153" t="str">
        <f t="shared" si="31"/>
        <v>\I:</v>
      </c>
      <c r="U153" t="str">
        <f t="shared" ca="1" si="32"/>
        <v>ICE medium size LPG car -- Energy consumption</v>
      </c>
      <c r="V153" s="188" t="s">
        <v>84</v>
      </c>
      <c r="W153" s="188" t="s">
        <v>85</v>
      </c>
    </row>
    <row r="154" spans="2:23">
      <c r="B154" s="31" t="s">
        <v>14</v>
      </c>
      <c r="C154" s="32" t="s">
        <v>15</v>
      </c>
      <c r="D154" s="44">
        <v>19587.047999999999</v>
      </c>
      <c r="J154" t="str">
        <f t="shared" si="33"/>
        <v>\I:Trd_car_lpg</v>
      </c>
      <c r="K154" t="str">
        <f t="shared" si="34"/>
        <v>\I:</v>
      </c>
      <c r="L154" t="str">
        <f t="shared" si="35"/>
        <v>\I:</v>
      </c>
      <c r="M154" s="185" t="str">
        <f t="shared" si="36"/>
        <v/>
      </c>
      <c r="N154" s="185" t="str">
        <f t="shared" si="37"/>
        <v/>
      </c>
      <c r="O154" s="185" t="str">
        <f t="shared" si="38"/>
        <v/>
      </c>
      <c r="P154" s="185" t="str">
        <f t="shared" si="39"/>
        <v/>
      </c>
      <c r="T154" t="str">
        <f t="shared" si="31"/>
        <v>\I:</v>
      </c>
      <c r="U154" t="str">
        <f t="shared" ca="1" si="32"/>
        <v>ICE medium size LPG car -- Capital cost</v>
      </c>
      <c r="V154" s="188" t="s">
        <v>84</v>
      </c>
      <c r="W154" s="188" t="s">
        <v>85</v>
      </c>
    </row>
    <row r="155" spans="2:23">
      <c r="J155" t="str">
        <f t="shared" si="33"/>
        <v>\I:Trd_car_lpg</v>
      </c>
      <c r="K155" t="str">
        <f t="shared" si="34"/>
        <v>\I:</v>
      </c>
      <c r="L155" t="str">
        <f t="shared" si="35"/>
        <v>\I:</v>
      </c>
      <c r="M155" s="185" t="str">
        <f t="shared" si="36"/>
        <v/>
      </c>
      <c r="N155" s="185" t="str">
        <f t="shared" si="37"/>
        <v/>
      </c>
      <c r="O155" s="185" t="str">
        <f t="shared" si="38"/>
        <v/>
      </c>
      <c r="P155" s="185" t="str">
        <f t="shared" si="39"/>
        <v/>
      </c>
      <c r="T155" t="str">
        <f t="shared" si="31"/>
        <v>\I:</v>
      </c>
      <c r="U155" t="str">
        <f t="shared" ca="1" si="32"/>
        <v>ICE medium size LPG car -- 00%</v>
      </c>
      <c r="V155" s="188" t="s">
        <v>84</v>
      </c>
      <c r="W155" s="188" t="s">
        <v>85</v>
      </c>
    </row>
    <row r="156" spans="2:23" ht="15" customHeight="1">
      <c r="B156" s="179" t="s">
        <v>93</v>
      </c>
      <c r="C156" s="179" t="s">
        <v>64</v>
      </c>
      <c r="D156" s="179"/>
      <c r="E156" s="179"/>
      <c r="F156" s="179"/>
      <c r="J156" t="str">
        <f t="shared" si="33"/>
        <v>\I:Trd_car_E85</v>
      </c>
      <c r="K156" t="str">
        <f t="shared" si="34"/>
        <v>\I:</v>
      </c>
      <c r="L156" t="str">
        <f t="shared" si="35"/>
        <v>\I:</v>
      </c>
      <c r="M156" s="185" t="str">
        <f t="shared" si="36"/>
        <v/>
      </c>
      <c r="N156" s="185" t="str">
        <f t="shared" si="37"/>
        <v/>
      </c>
      <c r="O156" s="185" t="str">
        <f t="shared" si="38"/>
        <v/>
      </c>
      <c r="P156" s="185" t="str">
        <f t="shared" si="39"/>
        <v/>
      </c>
      <c r="T156" t="str">
        <f t="shared" si="31"/>
        <v>\I:</v>
      </c>
      <c r="U156" t="str">
        <f t="shared" ca="1" si="32"/>
        <v>ICE medium size E85 flex-fuel car -- Reduction of specific energy consumption relative to 2015 E85 vehicle (%)</v>
      </c>
      <c r="V156" s="188" t="s">
        <v>84</v>
      </c>
      <c r="W156" s="188" t="s">
        <v>85</v>
      </c>
    </row>
    <row r="157" spans="2:23">
      <c r="B157" s="179"/>
      <c r="C157" s="179"/>
      <c r="D157" s="179"/>
      <c r="E157" s="179"/>
      <c r="F157" s="179"/>
      <c r="J157" t="str">
        <f t="shared" si="33"/>
        <v>\I:Trd_car_E85</v>
      </c>
      <c r="K157" t="str">
        <f t="shared" si="34"/>
        <v>\I:</v>
      </c>
      <c r="L157" t="str">
        <f t="shared" si="35"/>
        <v>\I:</v>
      </c>
      <c r="M157" s="185" t="str">
        <f t="shared" si="36"/>
        <v/>
      </c>
      <c r="N157" s="185" t="str">
        <f t="shared" si="37"/>
        <v/>
      </c>
      <c r="O157" s="185" t="str">
        <f t="shared" si="38"/>
        <v/>
      </c>
      <c r="P157" s="185" t="str">
        <f t="shared" si="39"/>
        <v/>
      </c>
      <c r="T157" t="str">
        <f t="shared" si="31"/>
        <v>\I:</v>
      </c>
      <c r="U157" t="str">
        <f t="shared" ca="1" si="32"/>
        <v>ICE medium size E85 flex-fuel car -- 00%</v>
      </c>
      <c r="V157" s="188" t="s">
        <v>84</v>
      </c>
      <c r="W157" s="188" t="s">
        <v>85</v>
      </c>
    </row>
    <row r="158" spans="2:23">
      <c r="B158" s="179"/>
      <c r="C158" s="179"/>
      <c r="D158" s="179"/>
      <c r="E158" s="179"/>
      <c r="F158" s="179"/>
      <c r="J158" t="str">
        <f t="shared" si="33"/>
        <v>\I:Trd_car_E85</v>
      </c>
      <c r="K158" t="str">
        <f t="shared" si="34"/>
        <v>\I:</v>
      </c>
      <c r="L158" t="str">
        <f t="shared" si="35"/>
        <v>\I:</v>
      </c>
      <c r="M158" s="185" t="str">
        <f t="shared" si="36"/>
        <v/>
      </c>
      <c r="N158" s="185" t="str">
        <f t="shared" si="37"/>
        <v/>
      </c>
      <c r="O158" s="185" t="str">
        <f t="shared" si="38"/>
        <v/>
      </c>
      <c r="P158" s="185" t="str">
        <f t="shared" si="39"/>
        <v/>
      </c>
      <c r="T158" t="str">
        <f t="shared" si="31"/>
        <v>\I:</v>
      </c>
      <c r="U158" t="str">
        <f t="shared" ca="1" si="32"/>
        <v>ICE medium size E85 flex-fuel car -- 00%</v>
      </c>
      <c r="V158" s="188" t="s">
        <v>84</v>
      </c>
      <c r="W158" s="188" t="s">
        <v>85</v>
      </c>
    </row>
    <row r="159" spans="2:23">
      <c r="B159" s="55"/>
      <c r="C159" s="36">
        <v>2020</v>
      </c>
      <c r="D159" s="36">
        <v>2030</v>
      </c>
      <c r="E159" s="36">
        <v>2040</v>
      </c>
      <c r="F159" s="36">
        <v>2050</v>
      </c>
      <c r="J159" t="str">
        <f t="shared" si="33"/>
        <v>\I:Trd_car_E85</v>
      </c>
      <c r="K159" t="str">
        <f t="shared" si="34"/>
        <v>\I:</v>
      </c>
      <c r="L159" t="str">
        <f t="shared" si="35"/>
        <v>\I:</v>
      </c>
      <c r="M159" s="185" t="str">
        <f t="shared" si="36"/>
        <v/>
      </c>
      <c r="N159" s="185" t="str">
        <f t="shared" si="37"/>
        <v/>
      </c>
      <c r="O159" s="185" t="str">
        <f t="shared" si="38"/>
        <v/>
      </c>
      <c r="P159" s="185" t="str">
        <f t="shared" si="39"/>
        <v/>
      </c>
      <c r="T159" t="str">
        <f t="shared" si="31"/>
        <v>\I:</v>
      </c>
      <c r="U159" t="str">
        <f t="shared" ca="1" si="32"/>
        <v>ICE medium size E85 flex-fuel car -- 00%</v>
      </c>
      <c r="V159" s="188" t="s">
        <v>84</v>
      </c>
      <c r="W159" s="188" t="s">
        <v>85</v>
      </c>
    </row>
    <row r="160" spans="2:23">
      <c r="B160" s="52">
        <v>0.13362395894197199</v>
      </c>
      <c r="C160" s="53">
        <v>19851.268818415101</v>
      </c>
      <c r="D160" s="53">
        <v>19657.8934601988</v>
      </c>
      <c r="E160" s="53">
        <v>19657.8934601988</v>
      </c>
      <c r="F160" s="53">
        <v>19657.8934601988</v>
      </c>
      <c r="I160" s="50"/>
      <c r="J160" t="str">
        <f t="shared" si="33"/>
        <v>\I:Trd_car_E85</v>
      </c>
      <c r="K160" t="str">
        <f t="shared" si="34"/>
        <v>\I:Trd_car_E85_13</v>
      </c>
      <c r="L160" t="str">
        <f t="shared" si="35"/>
        <v>\I:Trd_</v>
      </c>
      <c r="M160" s="185">
        <f t="shared" si="36"/>
        <v>19851.268818415101</v>
      </c>
      <c r="N160" s="185">
        <f t="shared" si="37"/>
        <v>19657.8934601988</v>
      </c>
      <c r="O160" s="185">
        <f t="shared" si="38"/>
        <v>19657.8934601988</v>
      </c>
      <c r="P160" s="185">
        <f t="shared" si="39"/>
        <v>19657.8934601988</v>
      </c>
      <c r="T160" t="str">
        <f t="shared" si="31"/>
        <v>\I:Trd_car_E85_13</v>
      </c>
      <c r="U160" t="str">
        <f t="shared" ca="1" si="32"/>
        <v>ICE medium size E85 flex-fuel car -- 13%</v>
      </c>
      <c r="V160" s="188" t="s">
        <v>84</v>
      </c>
      <c r="W160" s="188" t="s">
        <v>85</v>
      </c>
    </row>
    <row r="161" spans="2:23">
      <c r="B161" s="52">
        <v>0.23362395894197199</v>
      </c>
      <c r="C161" s="53">
        <v>20667.116050818298</v>
      </c>
      <c r="D161" s="53">
        <v>19918.845962834999</v>
      </c>
      <c r="E161" s="53">
        <v>19918.845962834999</v>
      </c>
      <c r="F161" s="53">
        <v>19918.845962834999</v>
      </c>
      <c r="I161" s="50"/>
      <c r="J161" t="str">
        <f t="shared" si="33"/>
        <v>\I:Trd_car_E85</v>
      </c>
      <c r="K161" t="str">
        <f t="shared" si="34"/>
        <v>\I:Trd_car_E85_23</v>
      </c>
      <c r="L161" t="str">
        <f t="shared" si="35"/>
        <v>\I:Trd_</v>
      </c>
      <c r="M161" s="185">
        <f t="shared" si="36"/>
        <v>20667.116050818298</v>
      </c>
      <c r="N161" s="185">
        <f t="shared" si="37"/>
        <v>19918.845962834999</v>
      </c>
      <c r="O161" s="185">
        <f t="shared" si="38"/>
        <v>19918.845962834999</v>
      </c>
      <c r="P161" s="185">
        <f t="shared" si="39"/>
        <v>19918.845962834999</v>
      </c>
      <c r="T161" t="str">
        <f t="shared" si="31"/>
        <v>\I:Trd_car_E85_23</v>
      </c>
      <c r="U161" t="str">
        <f t="shared" ca="1" si="32"/>
        <v>ICE medium size E85 flex-fuel car -- 23%</v>
      </c>
      <c r="V161" s="188" t="s">
        <v>84</v>
      </c>
      <c r="W161" s="188" t="s">
        <v>85</v>
      </c>
    </row>
    <row r="162" spans="2:23">
      <c r="B162" s="52">
        <v>0.333623958941972</v>
      </c>
      <c r="C162" s="53">
        <v>22430.2635818993</v>
      </c>
      <c r="D162" s="53">
        <v>20550.145177017799</v>
      </c>
      <c r="E162" s="53">
        <v>20550.145177017799</v>
      </c>
      <c r="F162" s="53">
        <v>20550.145177017799</v>
      </c>
      <c r="I162" s="50"/>
      <c r="J162" t="str">
        <f t="shared" si="33"/>
        <v>\I:Trd_car_E85</v>
      </c>
      <c r="K162" t="str">
        <f t="shared" si="34"/>
        <v>\I:Trd_car_E85_33</v>
      </c>
      <c r="L162" t="str">
        <f t="shared" si="35"/>
        <v>\I:Trd_</v>
      </c>
      <c r="M162" s="185">
        <f t="shared" si="36"/>
        <v>22430.2635818993</v>
      </c>
      <c r="N162" s="185">
        <f t="shared" si="37"/>
        <v>20550.145177017799</v>
      </c>
      <c r="O162" s="185">
        <f t="shared" si="38"/>
        <v>20550.145177017799</v>
      </c>
      <c r="P162" s="185">
        <f t="shared" si="39"/>
        <v>20550.145177017799</v>
      </c>
      <c r="T162" t="str">
        <f t="shared" si="31"/>
        <v>\I:Trd_car_E85_33</v>
      </c>
      <c r="U162" t="str">
        <f t="shared" ca="1" si="32"/>
        <v>ICE medium size E85 flex-fuel car -- 33%</v>
      </c>
      <c r="V162" s="188" t="s">
        <v>84</v>
      </c>
      <c r="W162" s="188" t="s">
        <v>85</v>
      </c>
    </row>
    <row r="163" spans="2:23">
      <c r="B163" s="52">
        <v>0.38362395894197199</v>
      </c>
      <c r="C163" s="53">
        <v>24943.588213532901</v>
      </c>
      <c r="D163" s="53">
        <v>21283.286890661799</v>
      </c>
      <c r="E163" s="53">
        <v>21283.286890661799</v>
      </c>
      <c r="F163" s="53">
        <v>21283.286890661799</v>
      </c>
      <c r="I163" s="50"/>
      <c r="J163" t="str">
        <f t="shared" si="33"/>
        <v>\I:Trd_car_E85</v>
      </c>
      <c r="K163" t="str">
        <f t="shared" si="34"/>
        <v>\I:Trd_car_E85_38</v>
      </c>
      <c r="L163" t="str">
        <f t="shared" si="35"/>
        <v>\I:Trd_</v>
      </c>
      <c r="M163" s="185">
        <f t="shared" si="36"/>
        <v>24943.588213532901</v>
      </c>
      <c r="N163" s="185">
        <f t="shared" si="37"/>
        <v>21283.286890661799</v>
      </c>
      <c r="O163" s="185">
        <f t="shared" si="38"/>
        <v>21283.286890661799</v>
      </c>
      <c r="P163" s="185">
        <f t="shared" si="39"/>
        <v>21283.286890661799</v>
      </c>
      <c r="T163" t="str">
        <f t="shared" si="31"/>
        <v>\I:Trd_car_E85_38</v>
      </c>
      <c r="U163" t="str">
        <f t="shared" ca="1" si="32"/>
        <v>ICE medium size E85 flex-fuel car -- 38%</v>
      </c>
      <c r="V163" s="188" t="s">
        <v>84</v>
      </c>
      <c r="W163" s="188" t="s">
        <v>85</v>
      </c>
    </row>
    <row r="164" spans="2:23" ht="15" customHeight="1">
      <c r="B164" s="52">
        <v>0.43362395894197198</v>
      </c>
      <c r="C164" s="53">
        <v>54212.743384763402</v>
      </c>
      <c r="D164" s="53">
        <v>23096.201024404301</v>
      </c>
      <c r="E164" s="53">
        <v>23096.201024404301</v>
      </c>
      <c r="F164" s="53">
        <v>23096.201024404301</v>
      </c>
      <c r="I164" s="50"/>
      <c r="J164" t="str">
        <f t="shared" si="33"/>
        <v>\I:Trd_car_E85</v>
      </c>
      <c r="K164" t="str">
        <f t="shared" si="34"/>
        <v>\I:Trd_car_E85_43</v>
      </c>
      <c r="L164" t="str">
        <f t="shared" si="35"/>
        <v>\I:Trd_</v>
      </c>
      <c r="M164" s="185">
        <f t="shared" si="36"/>
        <v>54212.743384763402</v>
      </c>
      <c r="N164" s="185">
        <f t="shared" si="37"/>
        <v>23096.201024404301</v>
      </c>
      <c r="O164" s="185">
        <f t="shared" si="38"/>
        <v>23096.201024404301</v>
      </c>
      <c r="P164" s="185">
        <f t="shared" si="39"/>
        <v>23096.201024404301</v>
      </c>
      <c r="T164" t="str">
        <f t="shared" si="31"/>
        <v>\I:Trd_car_E85_43</v>
      </c>
      <c r="U164" t="str">
        <f t="shared" ca="1" si="32"/>
        <v>ICE medium size E85 flex-fuel car -- 43%</v>
      </c>
      <c r="V164" s="188" t="s">
        <v>84</v>
      </c>
      <c r="W164" s="188" t="s">
        <v>85</v>
      </c>
    </row>
    <row r="165" spans="2:23">
      <c r="B165" s="52">
        <v>0.48362395894197202</v>
      </c>
      <c r="C165" s="53">
        <v>119391.059928288</v>
      </c>
      <c r="D165" s="53">
        <v>41570.245421891501</v>
      </c>
      <c r="E165" s="53">
        <v>41570.245421891501</v>
      </c>
      <c r="F165" s="53">
        <v>41570.245421891501</v>
      </c>
      <c r="I165" s="50"/>
      <c r="J165" t="str">
        <f t="shared" si="33"/>
        <v>\I:Trd_car_E85</v>
      </c>
      <c r="K165" t="str">
        <f t="shared" si="34"/>
        <v>\I:Trd_car_E85_48</v>
      </c>
      <c r="L165" t="str">
        <f t="shared" si="35"/>
        <v>\I:Trd_</v>
      </c>
      <c r="M165" s="185">
        <f t="shared" si="36"/>
        <v>119391.059928288</v>
      </c>
      <c r="N165" s="185">
        <f t="shared" si="37"/>
        <v>41570.245421891501</v>
      </c>
      <c r="O165" s="185">
        <f t="shared" si="38"/>
        <v>41570.245421891501</v>
      </c>
      <c r="P165" s="185">
        <f t="shared" si="39"/>
        <v>41570.245421891501</v>
      </c>
      <c r="T165" t="str">
        <f t="shared" si="31"/>
        <v>\I:Trd_car_E85_48</v>
      </c>
      <c r="U165" t="str">
        <f t="shared" ca="1" si="32"/>
        <v>ICE medium size E85 flex-fuel car -- 48%</v>
      </c>
      <c r="V165" s="188" t="s">
        <v>84</v>
      </c>
      <c r="W165" s="188" t="s">
        <v>85</v>
      </c>
    </row>
    <row r="166" spans="2:23">
      <c r="C166" s="61"/>
      <c r="D166" s="61"/>
      <c r="E166" s="61"/>
      <c r="F166" s="61"/>
      <c r="J166" t="str">
        <f t="shared" si="33"/>
        <v>\I:Trd_car_E85</v>
      </c>
      <c r="K166" t="str">
        <f t="shared" si="34"/>
        <v>\I:</v>
      </c>
      <c r="L166" t="str">
        <f t="shared" si="35"/>
        <v>\I:</v>
      </c>
      <c r="M166" s="185" t="str">
        <f t="shared" si="36"/>
        <v/>
      </c>
      <c r="N166" s="185" t="str">
        <f t="shared" si="37"/>
        <v/>
      </c>
      <c r="O166" s="185" t="str">
        <f t="shared" si="38"/>
        <v/>
      </c>
      <c r="P166" s="185" t="str">
        <f t="shared" si="39"/>
        <v/>
      </c>
      <c r="T166" t="str">
        <f t="shared" si="31"/>
        <v>\I:</v>
      </c>
      <c r="U166" t="str">
        <f t="shared" ca="1" si="32"/>
        <v>ICE medium size E85 flex-fuel car -- 00%</v>
      </c>
      <c r="V166" s="188" t="s">
        <v>84</v>
      </c>
      <c r="W166" s="188" t="s">
        <v>85</v>
      </c>
    </row>
    <row r="167" spans="2:23">
      <c r="J167" t="str">
        <f t="shared" si="33"/>
        <v>\I:Trd_car_E85</v>
      </c>
      <c r="K167" t="str">
        <f t="shared" si="34"/>
        <v>\I:</v>
      </c>
      <c r="L167" t="str">
        <f t="shared" si="35"/>
        <v>\I:</v>
      </c>
      <c r="M167" s="185" t="str">
        <f t="shared" si="36"/>
        <v/>
      </c>
      <c r="N167" s="185" t="str">
        <f t="shared" si="37"/>
        <v/>
      </c>
      <c r="O167" s="185" t="str">
        <f t="shared" si="38"/>
        <v/>
      </c>
      <c r="P167" s="185" t="str">
        <f t="shared" si="39"/>
        <v/>
      </c>
      <c r="T167" t="str">
        <f t="shared" si="31"/>
        <v>\I:</v>
      </c>
      <c r="U167" t="str">
        <f t="shared" ca="1" si="32"/>
        <v>ICE medium size E85 flex-fuel car -- 00%</v>
      </c>
      <c r="V167" s="188" t="s">
        <v>84</v>
      </c>
      <c r="W167" s="188" t="s">
        <v>85</v>
      </c>
    </row>
    <row r="168" spans="2:23">
      <c r="J168" t="str">
        <f t="shared" si="33"/>
        <v>\I:Trd_car_E85</v>
      </c>
      <c r="K168" t="str">
        <f t="shared" si="34"/>
        <v>\I:</v>
      </c>
      <c r="L168" t="str">
        <f t="shared" si="35"/>
        <v>\I:</v>
      </c>
      <c r="M168" s="185" t="str">
        <f t="shared" si="36"/>
        <v/>
      </c>
      <c r="N168" s="185" t="str">
        <f t="shared" si="37"/>
        <v/>
      </c>
      <c r="O168" s="185" t="str">
        <f t="shared" si="38"/>
        <v/>
      </c>
      <c r="P168" s="185" t="str">
        <f t="shared" si="39"/>
        <v/>
      </c>
      <c r="T168" t="str">
        <f t="shared" si="31"/>
        <v>\I:</v>
      </c>
      <c r="U168" t="str">
        <f t="shared" ca="1" si="32"/>
        <v>ICE medium size E85 flex-fuel car -- 00%</v>
      </c>
      <c r="V168" s="188" t="s">
        <v>84</v>
      </c>
      <c r="W168" s="188" t="s">
        <v>85</v>
      </c>
    </row>
    <row r="169" spans="2:23">
      <c r="J169" t="str">
        <f t="shared" si="33"/>
        <v>\I:Trd_car_E85</v>
      </c>
      <c r="K169" t="str">
        <f t="shared" si="34"/>
        <v>\I:</v>
      </c>
      <c r="L169" t="str">
        <f t="shared" si="35"/>
        <v>\I:</v>
      </c>
      <c r="M169" s="185" t="str">
        <f t="shared" si="36"/>
        <v/>
      </c>
      <c r="N169" s="185" t="str">
        <f t="shared" si="37"/>
        <v/>
      </c>
      <c r="O169" s="185" t="str">
        <f t="shared" si="38"/>
        <v/>
      </c>
      <c r="P169" s="185" t="str">
        <f t="shared" si="39"/>
        <v/>
      </c>
      <c r="T169" t="str">
        <f t="shared" si="31"/>
        <v>\I:</v>
      </c>
      <c r="U169" t="str">
        <f t="shared" ca="1" si="32"/>
        <v>ICE medium size E85 flex-fuel car -- 00%</v>
      </c>
      <c r="V169" s="188" t="s">
        <v>84</v>
      </c>
      <c r="W169" s="188" t="s">
        <v>85</v>
      </c>
    </row>
    <row r="170" spans="2:23" ht="15" customHeight="1">
      <c r="B170" s="177">
        <v>2020</v>
      </c>
      <c r="C170" s="177"/>
      <c r="D170" s="177"/>
      <c r="J170" t="str">
        <f t="shared" si="33"/>
        <v>\I:Trd_car_E85</v>
      </c>
      <c r="K170" t="str">
        <f t="shared" si="34"/>
        <v>\I:</v>
      </c>
      <c r="L170" t="str">
        <f t="shared" si="35"/>
        <v>\I:</v>
      </c>
      <c r="M170" s="185" t="str">
        <f t="shared" si="36"/>
        <v/>
      </c>
      <c r="N170" s="185" t="str">
        <f t="shared" si="37"/>
        <v/>
      </c>
      <c r="O170" s="185" t="str">
        <f t="shared" si="38"/>
        <v/>
      </c>
      <c r="P170" s="185" t="str">
        <f t="shared" si="39"/>
        <v/>
      </c>
      <c r="T170" t="str">
        <f t="shared" si="31"/>
        <v>\I:</v>
      </c>
      <c r="U170" t="str">
        <f t="shared" ca="1" si="32"/>
        <v>ICE medium size E85 flex-fuel car -- 202000%</v>
      </c>
      <c r="V170" s="188" t="s">
        <v>84</v>
      </c>
      <c r="W170" s="188" t="s">
        <v>85</v>
      </c>
    </row>
    <row r="171" spans="2:23">
      <c r="B171" s="31" t="s">
        <v>94</v>
      </c>
      <c r="C171" s="32" t="s">
        <v>26</v>
      </c>
      <c r="D171" s="47">
        <v>0.15</v>
      </c>
      <c r="G171" s="50">
        <f>D171/3.6/100*10^9/10^6</f>
        <v>0.41666666666666702</v>
      </c>
      <c r="H171" s="50"/>
      <c r="I171" s="217">
        <f>1/G171-0.4</f>
        <v>2</v>
      </c>
      <c r="J171" t="str">
        <f t="shared" si="33"/>
        <v>\I:Trd_car_E85</v>
      </c>
      <c r="K171" t="str">
        <f t="shared" si="34"/>
        <v>\I:</v>
      </c>
      <c r="L171" t="str">
        <f t="shared" si="35"/>
        <v>\I:</v>
      </c>
      <c r="M171" s="185" t="str">
        <f t="shared" si="36"/>
        <v/>
      </c>
      <c r="N171" s="185" t="str">
        <f t="shared" si="37"/>
        <v/>
      </c>
      <c r="O171" s="185" t="str">
        <f t="shared" si="38"/>
        <v/>
      </c>
      <c r="P171" s="185" t="str">
        <f t="shared" si="39"/>
        <v/>
      </c>
      <c r="T171" t="str">
        <f t="shared" si="31"/>
        <v>\I:</v>
      </c>
      <c r="U171" t="str">
        <f t="shared" ca="1" si="32"/>
        <v>ICE medium size E85 flex-fuel car -- Energy consumption οf Medium size battery electric car</v>
      </c>
      <c r="V171" s="188" t="s">
        <v>84</v>
      </c>
      <c r="W171" s="188" t="s">
        <v>85</v>
      </c>
    </row>
    <row r="172" spans="2:23">
      <c r="I172" s="190" t="s">
        <v>70</v>
      </c>
      <c r="J172" t="str">
        <f t="shared" si="33"/>
        <v>\I:Trd_car_E85</v>
      </c>
      <c r="K172" t="str">
        <f t="shared" si="34"/>
        <v>\I:</v>
      </c>
      <c r="L172" t="str">
        <f t="shared" si="35"/>
        <v>\I:</v>
      </c>
      <c r="M172" s="185" t="str">
        <f t="shared" si="36"/>
        <v/>
      </c>
      <c r="N172" s="185" t="str">
        <f t="shared" si="37"/>
        <v/>
      </c>
      <c r="O172" s="185" t="str">
        <f t="shared" si="38"/>
        <v/>
      </c>
      <c r="P172" s="185" t="str">
        <f t="shared" si="39"/>
        <v/>
      </c>
      <c r="T172" t="str">
        <f t="shared" si="31"/>
        <v>\I:</v>
      </c>
      <c r="U172" t="str">
        <f t="shared" ca="1" si="32"/>
        <v>ICE medium size E85 flex-fuel car -- 00%</v>
      </c>
      <c r="V172" s="188" t="s">
        <v>84</v>
      </c>
      <c r="W172" s="188" t="s">
        <v>85</v>
      </c>
    </row>
    <row r="173" spans="2:23" ht="15" customHeight="1">
      <c r="B173" s="179" t="s">
        <v>27</v>
      </c>
      <c r="C173" s="179" t="s">
        <v>67</v>
      </c>
      <c r="D173" s="179"/>
      <c r="E173" s="179"/>
      <c r="F173" s="179"/>
      <c r="J173" t="str">
        <f t="shared" si="33"/>
        <v>Trd_car_elc</v>
      </c>
      <c r="K173" t="str">
        <f t="shared" si="34"/>
        <v>\I:</v>
      </c>
      <c r="L173" t="str">
        <f t="shared" si="35"/>
        <v>\I:</v>
      </c>
      <c r="M173" s="185" t="str">
        <f t="shared" si="36"/>
        <v/>
      </c>
      <c r="N173" s="185" t="str">
        <f t="shared" si="37"/>
        <v/>
      </c>
      <c r="O173" s="185" t="str">
        <f t="shared" si="38"/>
        <v/>
      </c>
      <c r="P173" s="185" t="str">
        <f t="shared" si="39"/>
        <v/>
      </c>
      <c r="T173" t="str">
        <f t="shared" si="31"/>
        <v>\I:</v>
      </c>
      <c r="U173" t="str">
        <f t="shared" ca="1" si="32"/>
        <v>Medium size battery electric car -- Electric range (km)</v>
      </c>
      <c r="V173" s="188" t="s">
        <v>84</v>
      </c>
      <c r="W173" s="188" t="s">
        <v>85</v>
      </c>
    </row>
    <row r="174" spans="2:23">
      <c r="B174" s="179"/>
      <c r="C174" s="179"/>
      <c r="D174" s="179"/>
      <c r="E174" s="179"/>
      <c r="F174" s="179"/>
      <c r="J174" t="str">
        <f t="shared" si="33"/>
        <v>Trd_car_elc</v>
      </c>
      <c r="K174" t="str">
        <f t="shared" si="34"/>
        <v>\I:</v>
      </c>
      <c r="L174" t="str">
        <f t="shared" si="35"/>
        <v>\I:</v>
      </c>
      <c r="M174" s="185" t="str">
        <f t="shared" si="36"/>
        <v/>
      </c>
      <c r="N174" s="185" t="str">
        <f t="shared" si="37"/>
        <v/>
      </c>
      <c r="O174" s="185" t="str">
        <f t="shared" si="38"/>
        <v/>
      </c>
      <c r="P174" s="185" t="str">
        <f t="shared" si="39"/>
        <v/>
      </c>
      <c r="T174" t="str">
        <f t="shared" si="31"/>
        <v>\I:</v>
      </c>
      <c r="U174" t="str">
        <f t="shared" ca="1" si="32"/>
        <v>Medium size battery electric car -- 00%</v>
      </c>
      <c r="V174" s="188" t="s">
        <v>84</v>
      </c>
      <c r="W174" s="188" t="s">
        <v>85</v>
      </c>
    </row>
    <row r="175" spans="2:23">
      <c r="B175" s="179"/>
      <c r="C175" s="179"/>
      <c r="D175" s="179"/>
      <c r="E175" s="179"/>
      <c r="F175" s="179"/>
      <c r="J175" t="str">
        <f t="shared" si="33"/>
        <v>Trd_car_elc</v>
      </c>
      <c r="K175" t="str">
        <f t="shared" si="34"/>
        <v>\I:</v>
      </c>
      <c r="L175" t="str">
        <f t="shared" si="35"/>
        <v>\I:</v>
      </c>
      <c r="M175" s="185" t="str">
        <f t="shared" si="36"/>
        <v/>
      </c>
      <c r="N175" s="185" t="str">
        <f t="shared" si="37"/>
        <v/>
      </c>
      <c r="O175" s="185" t="str">
        <f t="shared" si="38"/>
        <v/>
      </c>
      <c r="P175" s="185" t="str">
        <f t="shared" si="39"/>
        <v/>
      </c>
      <c r="T175" t="str">
        <f t="shared" si="31"/>
        <v>\I:</v>
      </c>
      <c r="U175" t="str">
        <f t="shared" ca="1" si="32"/>
        <v>Medium size battery electric car -- 00%</v>
      </c>
      <c r="V175" s="188" t="s">
        <v>84</v>
      </c>
      <c r="W175" s="188" t="s">
        <v>85</v>
      </c>
    </row>
    <row r="176" spans="2:23">
      <c r="B176" s="55"/>
      <c r="C176" s="36">
        <v>2020</v>
      </c>
      <c r="D176" s="36">
        <v>2030</v>
      </c>
      <c r="E176" s="36">
        <v>2040</v>
      </c>
      <c r="F176" s="36">
        <v>2050</v>
      </c>
      <c r="J176" t="str">
        <f t="shared" si="33"/>
        <v>Trd_car_elc</v>
      </c>
      <c r="K176" t="str">
        <f t="shared" si="34"/>
        <v>\I:</v>
      </c>
      <c r="L176" t="str">
        <f t="shared" si="35"/>
        <v>\I:</v>
      </c>
      <c r="M176" s="185" t="str">
        <f t="shared" si="36"/>
        <v/>
      </c>
      <c r="N176" s="185" t="str">
        <f t="shared" si="37"/>
        <v/>
      </c>
      <c r="O176" s="185" t="str">
        <f t="shared" si="38"/>
        <v/>
      </c>
      <c r="P176" s="185" t="str">
        <f t="shared" si="39"/>
        <v/>
      </c>
      <c r="T176" t="str">
        <f t="shared" si="31"/>
        <v>\I:</v>
      </c>
      <c r="U176" t="str">
        <f t="shared" ca="1" si="32"/>
        <v>Medium size battery electric car -- 00%</v>
      </c>
      <c r="V176" s="188" t="s">
        <v>84</v>
      </c>
      <c r="W176" s="188" t="s">
        <v>85</v>
      </c>
    </row>
    <row r="177" spans="2:23">
      <c r="B177" s="42">
        <v>120</v>
      </c>
      <c r="C177" s="53">
        <v>23157.657581939398</v>
      </c>
      <c r="D177" s="53">
        <v>20751.720805376</v>
      </c>
      <c r="E177" s="53">
        <v>20217.526277282501</v>
      </c>
      <c r="F177" s="53">
        <v>20032.534537058</v>
      </c>
      <c r="I177" s="191">
        <f>$I$171/$I$12</f>
        <v>4.2913586360558797</v>
      </c>
      <c r="J177" t="str">
        <f t="shared" si="33"/>
        <v>Trd_car_elc</v>
      </c>
      <c r="K177" t="str">
        <f>IFERROR(IF(VALUE(C177)&gt;2020,J177&amp;"_"&amp;TEXT(B177,"000"),"\I:"),"\I:")</f>
        <v>Trd_car_elc_120</v>
      </c>
      <c r="L177" t="str">
        <f t="shared" si="35"/>
        <v>Trd_car</v>
      </c>
      <c r="M177" s="185">
        <f t="shared" si="36"/>
        <v>23157.657581939398</v>
      </c>
      <c r="N177" s="185">
        <f t="shared" si="37"/>
        <v>20751.720805376</v>
      </c>
      <c r="O177" s="185">
        <f t="shared" si="38"/>
        <v>20217.526277282501</v>
      </c>
      <c r="P177" s="185">
        <f t="shared" si="39"/>
        <v>20032.534537058</v>
      </c>
      <c r="Q177" s="29">
        <v>0.05</v>
      </c>
      <c r="T177" t="str">
        <f t="shared" ref="T177:T199" si="40">K177</f>
        <v>Trd_car_elc_120</v>
      </c>
      <c r="U177" t="str">
        <f t="shared" ref="U177:U184" ca="1" si="41">OFFSET($S$1,MATCH(J177,$S$1:$S$11,0)-1,-1)&amp;" -- "&amp;TEXT(B177,"000")</f>
        <v>Medium size battery electric car -- 120</v>
      </c>
      <c r="V177" s="188" t="s">
        <v>84</v>
      </c>
      <c r="W177" s="188" t="s">
        <v>85</v>
      </c>
    </row>
    <row r="178" spans="2:23">
      <c r="B178" s="42">
        <v>160</v>
      </c>
      <c r="C178" s="53">
        <v>24797.339088353099</v>
      </c>
      <c r="D178" s="53">
        <v>20898.326135818301</v>
      </c>
      <c r="E178" s="53">
        <v>20316.308478543098</v>
      </c>
      <c r="F178" s="53">
        <v>20114.7555730032</v>
      </c>
      <c r="I178" s="191">
        <f t="shared" ref="I178:I184" si="42">$I$171/$I$12</f>
        <v>4.2913586360558797</v>
      </c>
      <c r="J178" t="str">
        <f t="shared" si="33"/>
        <v>Trd_car_elc</v>
      </c>
      <c r="K178" t="str">
        <f t="shared" ref="K178:K184" si="43">IFERROR(IF(VALUE(C178)&gt;2020,J178&amp;"_"&amp;TEXT(B178,"000"),"\I:"),"\I:")</f>
        <v>Trd_car_elc_160</v>
      </c>
      <c r="L178" t="str">
        <f t="shared" si="35"/>
        <v>Trd_car</v>
      </c>
      <c r="M178" s="185">
        <f t="shared" si="36"/>
        <v>24797.339088353099</v>
      </c>
      <c r="N178" s="185">
        <f t="shared" si="37"/>
        <v>20898.326135818301</v>
      </c>
      <c r="O178" s="185">
        <f t="shared" si="38"/>
        <v>20316.308478543098</v>
      </c>
      <c r="P178" s="185">
        <f t="shared" si="39"/>
        <v>20114.7555730032</v>
      </c>
      <c r="Q178" s="29">
        <v>7.4999999999999997E-2</v>
      </c>
      <c r="T178" t="str">
        <f t="shared" si="40"/>
        <v>Trd_car_elc_160</v>
      </c>
      <c r="U178" t="str">
        <f t="shared" ca="1" si="41"/>
        <v>Medium size battery electric car -- 160</v>
      </c>
      <c r="V178" s="188" t="s">
        <v>84</v>
      </c>
      <c r="W178" s="188" t="s">
        <v>85</v>
      </c>
    </row>
    <row r="179" spans="2:23">
      <c r="B179" s="42">
        <v>200</v>
      </c>
      <c r="C179" s="53">
        <v>26437.020594766698</v>
      </c>
      <c r="D179" s="53">
        <v>21188.417534353001</v>
      </c>
      <c r="E179" s="53">
        <v>20511.771132101199</v>
      </c>
      <c r="F179" s="53">
        <v>20277.448261150101</v>
      </c>
      <c r="I179" s="191">
        <f t="shared" si="42"/>
        <v>4.2913586360558797</v>
      </c>
      <c r="J179" t="str">
        <f t="shared" si="33"/>
        <v>Trd_car_elc</v>
      </c>
      <c r="K179" t="str">
        <f t="shared" si="43"/>
        <v>Trd_car_elc_200</v>
      </c>
      <c r="L179" t="str">
        <f t="shared" si="35"/>
        <v>Trd_car</v>
      </c>
      <c r="M179" s="185">
        <f t="shared" si="36"/>
        <v>26437.020594766698</v>
      </c>
      <c r="N179" s="185">
        <f t="shared" si="37"/>
        <v>21188.417534353001</v>
      </c>
      <c r="O179" s="185">
        <f t="shared" si="38"/>
        <v>20511.771132101199</v>
      </c>
      <c r="P179" s="185">
        <f t="shared" si="39"/>
        <v>20277.448261150101</v>
      </c>
      <c r="Q179" s="29">
        <v>0.1</v>
      </c>
      <c r="T179" t="str">
        <f t="shared" si="40"/>
        <v>Trd_car_elc_200</v>
      </c>
      <c r="U179" t="str">
        <f t="shared" ca="1" si="41"/>
        <v>Medium size battery electric car -- 200</v>
      </c>
      <c r="V179" s="188" t="s">
        <v>84</v>
      </c>
      <c r="W179" s="188" t="s">
        <v>85</v>
      </c>
    </row>
    <row r="180" spans="2:23">
      <c r="B180" s="42">
        <v>250</v>
      </c>
      <c r="C180" s="53">
        <v>28564.010949981301</v>
      </c>
      <c r="D180" s="53">
        <v>21785.331508936801</v>
      </c>
      <c r="E180" s="53">
        <v>20913.969852943799</v>
      </c>
      <c r="F180" s="53">
        <v>20612.217025781101</v>
      </c>
      <c r="I180" s="191">
        <f t="shared" si="42"/>
        <v>4.2913586360558797</v>
      </c>
      <c r="J180" t="str">
        <f t="shared" si="33"/>
        <v>Trd_car_elc</v>
      </c>
      <c r="K180" t="str">
        <f t="shared" si="43"/>
        <v>Trd_car_elc_250</v>
      </c>
      <c r="L180" t="str">
        <f t="shared" si="35"/>
        <v>Trd_car</v>
      </c>
      <c r="M180" s="185">
        <f t="shared" si="36"/>
        <v>28564.010949981301</v>
      </c>
      <c r="N180" s="185">
        <f t="shared" si="37"/>
        <v>21785.331508936801</v>
      </c>
      <c r="O180" s="185">
        <f t="shared" si="38"/>
        <v>20913.969852943799</v>
      </c>
      <c r="P180" s="185">
        <f t="shared" si="39"/>
        <v>20612.217025781101</v>
      </c>
      <c r="Q180" s="29">
        <v>0.125</v>
      </c>
      <c r="T180" t="str">
        <f t="shared" si="40"/>
        <v>Trd_car_elc_250</v>
      </c>
      <c r="U180" t="str">
        <f t="shared" ca="1" si="41"/>
        <v>Medium size battery electric car -- 250</v>
      </c>
      <c r="V180" s="188" t="s">
        <v>84</v>
      </c>
      <c r="W180" s="188" t="s">
        <v>85</v>
      </c>
    </row>
    <row r="181" spans="2:23">
      <c r="B181" s="42">
        <v>300</v>
      </c>
      <c r="C181" s="53">
        <v>30691.001305195899</v>
      </c>
      <c r="D181" s="53">
        <v>22382.245483520699</v>
      </c>
      <c r="E181" s="53">
        <v>21316.168573786399</v>
      </c>
      <c r="F181" s="53">
        <v>20946.985790412</v>
      </c>
      <c r="I181" s="191">
        <f t="shared" si="42"/>
        <v>4.2913586360558797</v>
      </c>
      <c r="J181" t="str">
        <f t="shared" si="33"/>
        <v>Trd_car_elc</v>
      </c>
      <c r="K181" t="str">
        <f t="shared" si="43"/>
        <v>Trd_car_elc_300</v>
      </c>
      <c r="L181" t="str">
        <f t="shared" si="35"/>
        <v>Trd_car</v>
      </c>
      <c r="M181" s="185">
        <f t="shared" si="36"/>
        <v>30691.001305195899</v>
      </c>
      <c r="N181" s="185">
        <f t="shared" si="37"/>
        <v>22382.245483520699</v>
      </c>
      <c r="O181" s="185">
        <f t="shared" si="38"/>
        <v>21316.168573786399</v>
      </c>
      <c r="P181" s="185">
        <f t="shared" si="39"/>
        <v>20946.985790412</v>
      </c>
      <c r="Q181" s="29">
        <v>0.15</v>
      </c>
      <c r="T181" t="str">
        <f t="shared" si="40"/>
        <v>Trd_car_elc_300</v>
      </c>
      <c r="U181" t="str">
        <f t="shared" ca="1" si="41"/>
        <v>Medium size battery electric car -- 300</v>
      </c>
      <c r="V181" s="188" t="s">
        <v>84</v>
      </c>
      <c r="W181" s="188" t="s">
        <v>85</v>
      </c>
    </row>
    <row r="182" spans="2:23">
      <c r="B182" s="42">
        <v>350</v>
      </c>
      <c r="C182" s="53">
        <v>33572.522981949602</v>
      </c>
      <c r="D182" s="53">
        <v>23101.8629366229</v>
      </c>
      <c r="E182" s="53">
        <v>21722.784220296198</v>
      </c>
      <c r="F182" s="53">
        <v>21285.430968398901</v>
      </c>
      <c r="I182" s="191">
        <f t="shared" si="42"/>
        <v>4.2913586360558797</v>
      </c>
      <c r="J182" t="str">
        <f t="shared" si="33"/>
        <v>Trd_car_elc</v>
      </c>
      <c r="K182" t="str">
        <f t="shared" si="43"/>
        <v>Trd_car_elc_350</v>
      </c>
      <c r="L182" t="str">
        <f t="shared" si="35"/>
        <v>Trd_car</v>
      </c>
      <c r="M182" s="185">
        <f t="shared" si="36"/>
        <v>33572.522981949602</v>
      </c>
      <c r="N182" s="185">
        <f t="shared" si="37"/>
        <v>23101.8629366229</v>
      </c>
      <c r="O182" s="185">
        <f t="shared" si="38"/>
        <v>21722.784220296198</v>
      </c>
      <c r="P182" s="185">
        <f t="shared" si="39"/>
        <v>21285.430968398901</v>
      </c>
      <c r="Q182" s="29">
        <v>0.17499999999999999</v>
      </c>
      <c r="T182" t="str">
        <f t="shared" si="40"/>
        <v>Trd_car_elc_350</v>
      </c>
      <c r="U182" t="str">
        <f t="shared" ca="1" si="41"/>
        <v>Medium size battery electric car -- 350</v>
      </c>
      <c r="V182" s="188" t="s">
        <v>84</v>
      </c>
      <c r="W182" s="188" t="s">
        <v>85</v>
      </c>
    </row>
    <row r="183" spans="2:23">
      <c r="B183" s="42">
        <v>400</v>
      </c>
      <c r="C183" s="53">
        <v>36673.347231567997</v>
      </c>
      <c r="D183" s="53">
        <v>23857.688544914399</v>
      </c>
      <c r="E183" s="53">
        <v>22129.399866806001</v>
      </c>
      <c r="F183" s="53">
        <v>21623.876146385799</v>
      </c>
      <c r="I183" s="191">
        <f t="shared" si="42"/>
        <v>4.2913586360558797</v>
      </c>
      <c r="J183" t="str">
        <f t="shared" si="33"/>
        <v>Trd_car_elc</v>
      </c>
      <c r="K183" t="str">
        <f t="shared" si="43"/>
        <v>Trd_car_elc_400</v>
      </c>
      <c r="L183" t="str">
        <f t="shared" si="35"/>
        <v>Trd_car</v>
      </c>
      <c r="M183" s="185">
        <f t="shared" si="36"/>
        <v>36673.347231567997</v>
      </c>
      <c r="N183" s="185">
        <f t="shared" si="37"/>
        <v>23857.688544914399</v>
      </c>
      <c r="O183" s="185">
        <f t="shared" si="38"/>
        <v>22129.399866806001</v>
      </c>
      <c r="P183" s="185">
        <f t="shared" si="39"/>
        <v>21623.876146385799</v>
      </c>
      <c r="Q183" s="29">
        <v>0.2</v>
      </c>
      <c r="T183" t="str">
        <f t="shared" si="40"/>
        <v>Trd_car_elc_400</v>
      </c>
      <c r="U183" t="str">
        <f t="shared" ca="1" si="41"/>
        <v>Medium size battery electric car -- 400</v>
      </c>
      <c r="V183" s="188" t="s">
        <v>84</v>
      </c>
      <c r="W183" s="188" t="s">
        <v>85</v>
      </c>
    </row>
    <row r="184" spans="2:23">
      <c r="B184" s="42">
        <v>500</v>
      </c>
      <c r="C184" s="53">
        <v>43532.903449398997</v>
      </c>
      <c r="D184" s="53">
        <v>25648.4246597977</v>
      </c>
      <c r="E184" s="53">
        <v>23095.772083350101</v>
      </c>
      <c r="F184" s="53">
        <v>22300.7665023597</v>
      </c>
      <c r="I184" s="191">
        <f t="shared" si="42"/>
        <v>4.2913586360558797</v>
      </c>
      <c r="J184" t="str">
        <f t="shared" si="33"/>
        <v>Trd_car_elc</v>
      </c>
      <c r="K184" t="str">
        <f t="shared" si="43"/>
        <v>Trd_car_elc_500</v>
      </c>
      <c r="L184" t="str">
        <f t="shared" si="35"/>
        <v>Trd_car</v>
      </c>
      <c r="M184" s="185">
        <f t="shared" si="36"/>
        <v>43532.903449398997</v>
      </c>
      <c r="N184" s="185">
        <f t="shared" si="37"/>
        <v>25648.4246597977</v>
      </c>
      <c r="O184" s="185">
        <f t="shared" si="38"/>
        <v>23095.772083350101</v>
      </c>
      <c r="P184" s="185">
        <f t="shared" si="39"/>
        <v>22300.7665023597</v>
      </c>
      <c r="T184" t="str">
        <f t="shared" si="40"/>
        <v>Trd_car_elc_500</v>
      </c>
      <c r="U184" t="str">
        <f t="shared" ca="1" si="41"/>
        <v>Medium size battery electric car -- 500</v>
      </c>
      <c r="V184" s="188" t="s">
        <v>84</v>
      </c>
      <c r="W184" s="188" t="s">
        <v>85</v>
      </c>
    </row>
    <row r="185" spans="2:23">
      <c r="J185" t="str">
        <f t="shared" si="33"/>
        <v>Trd_car_elc</v>
      </c>
      <c r="K185" t="str">
        <f t="shared" si="34"/>
        <v>\I:</v>
      </c>
      <c r="L185" t="str">
        <f t="shared" si="35"/>
        <v>\I:</v>
      </c>
      <c r="M185" s="185" t="str">
        <f t="shared" si="36"/>
        <v/>
      </c>
      <c r="N185" s="185" t="str">
        <f t="shared" si="37"/>
        <v/>
      </c>
      <c r="O185" s="185" t="str">
        <f t="shared" si="38"/>
        <v/>
      </c>
      <c r="P185" s="185" t="str">
        <f t="shared" si="39"/>
        <v/>
      </c>
      <c r="T185" t="str">
        <f t="shared" si="40"/>
        <v>\I:</v>
      </c>
      <c r="U185" t="str">
        <f t="shared" ref="U185:U191" ca="1" si="44">OFFSET($S$1,MATCH(J185,$S$1:$S$11,0)-1,-1)&amp;" -- "&amp;TEXT(B185,"00%")</f>
        <v>Medium size battery electric car -- 00%</v>
      </c>
      <c r="V185" s="188" t="s">
        <v>84</v>
      </c>
      <c r="W185" s="188" t="s">
        <v>85</v>
      </c>
    </row>
    <row r="186" spans="2:23">
      <c r="J186" t="str">
        <f t="shared" si="33"/>
        <v>Trd_car_elc</v>
      </c>
      <c r="K186" t="str">
        <f t="shared" si="34"/>
        <v>\I:</v>
      </c>
      <c r="L186" t="str">
        <f t="shared" si="35"/>
        <v>\I:</v>
      </c>
      <c r="M186" s="185" t="str">
        <f t="shared" si="36"/>
        <v/>
      </c>
      <c r="N186" s="185" t="str">
        <f t="shared" si="37"/>
        <v/>
      </c>
      <c r="O186" s="185" t="str">
        <f t="shared" si="38"/>
        <v/>
      </c>
      <c r="P186" s="185" t="str">
        <f t="shared" si="39"/>
        <v/>
      </c>
      <c r="T186" t="str">
        <f t="shared" si="40"/>
        <v>\I:</v>
      </c>
      <c r="U186" t="str">
        <f t="shared" ca="1" si="44"/>
        <v>Medium size battery electric car -- 00%</v>
      </c>
      <c r="V186" s="188" t="s">
        <v>84</v>
      </c>
      <c r="W186" s="188" t="s">
        <v>85</v>
      </c>
    </row>
    <row r="187" spans="2:23">
      <c r="J187" t="str">
        <f t="shared" si="33"/>
        <v>Trd_car_elc</v>
      </c>
      <c r="K187" t="str">
        <f t="shared" si="34"/>
        <v>\I:</v>
      </c>
      <c r="L187" t="str">
        <f t="shared" si="35"/>
        <v>\I:</v>
      </c>
      <c r="M187" s="185" t="str">
        <f t="shared" si="36"/>
        <v/>
      </c>
      <c r="N187" s="185" t="str">
        <f t="shared" si="37"/>
        <v/>
      </c>
      <c r="O187" s="185" t="str">
        <f t="shared" si="38"/>
        <v/>
      </c>
      <c r="P187" s="185" t="str">
        <f t="shared" si="39"/>
        <v/>
      </c>
      <c r="T187" t="str">
        <f t="shared" si="40"/>
        <v>\I:</v>
      </c>
      <c r="U187" t="str">
        <f t="shared" ca="1" si="44"/>
        <v>Medium size battery electric car -- 00%</v>
      </c>
      <c r="V187" s="188" t="s">
        <v>84</v>
      </c>
      <c r="W187" s="188" t="s">
        <v>85</v>
      </c>
    </row>
    <row r="188" spans="2:23" ht="15" customHeight="1">
      <c r="B188" s="179" t="s">
        <v>29</v>
      </c>
      <c r="C188" s="206" t="s">
        <v>69</v>
      </c>
      <c r="D188" s="229"/>
      <c r="E188" s="229"/>
      <c r="F188" s="230"/>
      <c r="J188" t="str">
        <f t="shared" si="33"/>
        <v>Trd_car_hh2</v>
      </c>
      <c r="K188" t="str">
        <f t="shared" si="34"/>
        <v>\I:</v>
      </c>
      <c r="L188" t="str">
        <f t="shared" si="35"/>
        <v>\I:</v>
      </c>
      <c r="M188" s="185" t="str">
        <f t="shared" si="36"/>
        <v/>
      </c>
      <c r="N188" s="185" t="str">
        <f t="shared" si="37"/>
        <v/>
      </c>
      <c r="O188" s="185" t="str">
        <f t="shared" si="38"/>
        <v/>
      </c>
      <c r="P188" s="185" t="str">
        <f t="shared" si="39"/>
        <v/>
      </c>
      <c r="T188" t="str">
        <f t="shared" si="40"/>
        <v>\I:</v>
      </c>
      <c r="U188" t="str">
        <f t="shared" ca="1" si="44"/>
        <v>Medium size hydrogen fuel cell -- Energy consumption (kg H2/100km)</v>
      </c>
      <c r="V188" s="188" t="s">
        <v>84</v>
      </c>
      <c r="W188" s="188" t="s">
        <v>85</v>
      </c>
    </row>
    <row r="189" spans="2:23" ht="15.75" customHeight="1">
      <c r="B189" s="179"/>
      <c r="C189" s="231"/>
      <c r="D189" s="232"/>
      <c r="E189" s="232"/>
      <c r="F189" s="233"/>
      <c r="J189" t="str">
        <f t="shared" si="33"/>
        <v>Trd_car_hh2</v>
      </c>
      <c r="K189" t="str">
        <f t="shared" si="34"/>
        <v>\I:</v>
      </c>
      <c r="L189" t="str">
        <f t="shared" si="35"/>
        <v>\I:</v>
      </c>
      <c r="M189" s="185" t="str">
        <f t="shared" si="36"/>
        <v/>
      </c>
      <c r="N189" s="185" t="str">
        <f t="shared" si="37"/>
        <v/>
      </c>
      <c r="O189" s="185" t="str">
        <f t="shared" si="38"/>
        <v/>
      </c>
      <c r="P189" s="185" t="str">
        <f t="shared" si="39"/>
        <v/>
      </c>
      <c r="T189" t="str">
        <f t="shared" si="40"/>
        <v>\I:</v>
      </c>
      <c r="U189" t="str">
        <f t="shared" ca="1" si="44"/>
        <v>Medium size hydrogen fuel cell -- 00%</v>
      </c>
      <c r="V189" s="188" t="s">
        <v>84</v>
      </c>
      <c r="W189" s="188" t="s">
        <v>85</v>
      </c>
    </row>
    <row r="190" spans="2:23" ht="21.75" customHeight="1">
      <c r="B190" s="179"/>
      <c r="C190" s="234"/>
      <c r="D190" s="235"/>
      <c r="E190" s="235"/>
      <c r="F190" s="236"/>
      <c r="J190" t="str">
        <f t="shared" si="33"/>
        <v>Trd_car_hh2</v>
      </c>
      <c r="K190" t="str">
        <f t="shared" si="34"/>
        <v>\I:</v>
      </c>
      <c r="L190" t="str">
        <f t="shared" si="35"/>
        <v>\I:</v>
      </c>
      <c r="M190" s="185" t="str">
        <f t="shared" si="36"/>
        <v/>
      </c>
      <c r="N190" s="185" t="str">
        <f t="shared" si="37"/>
        <v/>
      </c>
      <c r="O190" s="185" t="str">
        <f t="shared" si="38"/>
        <v/>
      </c>
      <c r="P190" s="185" t="str">
        <f t="shared" si="39"/>
        <v/>
      </c>
      <c r="T190" t="str">
        <f t="shared" si="40"/>
        <v>\I:</v>
      </c>
      <c r="U190" t="str">
        <f t="shared" ca="1" si="44"/>
        <v>Medium size hydrogen fuel cell -- 00%</v>
      </c>
      <c r="V190" s="188" t="s">
        <v>84</v>
      </c>
      <c r="W190" s="188" t="s">
        <v>85</v>
      </c>
    </row>
    <row r="191" spans="2:23" ht="18" customHeight="1">
      <c r="B191" s="55"/>
      <c r="C191" s="36">
        <v>2020</v>
      </c>
      <c r="D191" s="36">
        <v>2030</v>
      </c>
      <c r="E191" s="36">
        <v>2040</v>
      </c>
      <c r="F191" s="36">
        <v>2050</v>
      </c>
      <c r="J191" t="str">
        <f t="shared" si="33"/>
        <v>Trd_car_hh2</v>
      </c>
      <c r="K191" t="str">
        <f t="shared" si="34"/>
        <v>\I:</v>
      </c>
      <c r="L191" t="str">
        <f t="shared" si="35"/>
        <v>\I:</v>
      </c>
      <c r="M191" s="185" t="str">
        <f t="shared" si="36"/>
        <v/>
      </c>
      <c r="N191" s="185" t="str">
        <f t="shared" si="37"/>
        <v/>
      </c>
      <c r="O191" s="185" t="str">
        <f t="shared" si="38"/>
        <v/>
      </c>
      <c r="P191" s="185" t="str">
        <f t="shared" si="39"/>
        <v/>
      </c>
      <c r="T191" t="str">
        <f t="shared" si="40"/>
        <v>\I:</v>
      </c>
      <c r="U191" t="str">
        <f t="shared" ca="1" si="44"/>
        <v>Medium size hydrogen fuel cell -- 00%</v>
      </c>
      <c r="V191" s="188" t="s">
        <v>84</v>
      </c>
      <c r="W191" s="188" t="s">
        <v>85</v>
      </c>
    </row>
    <row r="192" spans="2:23">
      <c r="B192" s="225">
        <v>0.946734005829305</v>
      </c>
      <c r="C192" s="53">
        <v>51066.983869453601</v>
      </c>
      <c r="D192" s="53">
        <v>35844.844628029903</v>
      </c>
      <c r="E192" s="53">
        <v>29881.146597471499</v>
      </c>
      <c r="F192" s="53">
        <v>28412.9839870662</v>
      </c>
      <c r="G192" s="50">
        <f>B192*0.12/100*10^9/10^6</f>
        <v>1.13608080699517</v>
      </c>
      <c r="H192" s="50"/>
      <c r="I192" s="178">
        <f>1/G192/$I$12</f>
        <v>1.88866787011663</v>
      </c>
      <c r="J192" t="str">
        <f t="shared" si="33"/>
        <v>Trd_car_hh2</v>
      </c>
      <c r="K192" t="str">
        <f t="shared" si="34"/>
        <v>Trd_car_hh2_95</v>
      </c>
      <c r="L192" t="str">
        <f t="shared" si="35"/>
        <v>Trd_car</v>
      </c>
      <c r="M192" s="185">
        <f t="shared" si="36"/>
        <v>51066.983869453601</v>
      </c>
      <c r="N192" s="185">
        <f t="shared" si="37"/>
        <v>35844.844628029903</v>
      </c>
      <c r="O192" s="185">
        <f t="shared" si="38"/>
        <v>29881.146597471499</v>
      </c>
      <c r="P192" s="185">
        <f t="shared" si="39"/>
        <v>28412.9839870662</v>
      </c>
      <c r="T192" t="str">
        <f t="shared" si="40"/>
        <v>Trd_car_hh2_95</v>
      </c>
      <c r="U192" t="str">
        <f ca="1">OFFSET($S$1,MATCH(J192,$S$1:$S$11,0)-1,-1)&amp;" -- "&amp;TEXT(B192,"0.00")</f>
        <v>Medium size hydrogen fuel cell -- 0.95</v>
      </c>
      <c r="V192" s="188" t="s">
        <v>84</v>
      </c>
      <c r="W192" s="188" t="s">
        <v>85</v>
      </c>
    </row>
    <row r="193" spans="2:23">
      <c r="B193" s="225">
        <v>0.90615969129376295</v>
      </c>
      <c r="C193" s="53">
        <v>51333.6668176655</v>
      </c>
      <c r="D193" s="53">
        <v>36060.454384127501</v>
      </c>
      <c r="E193" s="53">
        <v>30065.501998168402</v>
      </c>
      <c r="F193" s="53">
        <v>28592.356809365901</v>
      </c>
      <c r="G193" s="50">
        <f t="shared" ref="G193:G199" si="45">B193*0.12/100*10^9/10^6</f>
        <v>1.0873916295525199</v>
      </c>
      <c r="H193" s="50"/>
      <c r="I193" s="178">
        <f t="shared" ref="I193:I199" si="46">1/G193/$I$12</f>
        <v>1.9732350881815499</v>
      </c>
      <c r="J193" t="str">
        <f t="shared" si="33"/>
        <v>Trd_car_hh2</v>
      </c>
      <c r="K193" t="str">
        <f t="shared" si="34"/>
        <v>Trd_car_hh2_91</v>
      </c>
      <c r="L193" t="str">
        <f t="shared" si="35"/>
        <v>Trd_car</v>
      </c>
      <c r="M193" s="185">
        <f t="shared" si="36"/>
        <v>51333.6668176655</v>
      </c>
      <c r="N193" s="185">
        <f t="shared" si="37"/>
        <v>36060.454384127501</v>
      </c>
      <c r="O193" s="185">
        <f t="shared" si="38"/>
        <v>30065.501998168402</v>
      </c>
      <c r="P193" s="185">
        <f t="shared" si="39"/>
        <v>28592.356809365901</v>
      </c>
      <c r="T193" t="str">
        <f t="shared" si="40"/>
        <v>Trd_car_hh2_91</v>
      </c>
      <c r="U193" t="str">
        <f t="shared" ref="U193:U199" ca="1" si="47">OFFSET($S$1,MATCH(J193,$S$1:$S$11,0)-1,-1)&amp;" -- "&amp;TEXT(B193,"0.00")</f>
        <v>Medium size hydrogen fuel cell -- 0.91</v>
      </c>
      <c r="V193" s="188" t="s">
        <v>84</v>
      </c>
      <c r="W193" s="188" t="s">
        <v>85</v>
      </c>
    </row>
    <row r="194" spans="2:23">
      <c r="B194" s="225">
        <v>0.865585376758221</v>
      </c>
      <c r="C194" s="53">
        <v>51791.401705340402</v>
      </c>
      <c r="D194" s="53">
        <v>36276.064140224997</v>
      </c>
      <c r="E194" s="53">
        <v>30249.857398865301</v>
      </c>
      <c r="F194" s="53">
        <v>28771.729631665501</v>
      </c>
      <c r="G194" s="50">
        <f t="shared" si="45"/>
        <v>1.03870245210987</v>
      </c>
      <c r="H194" s="50"/>
      <c r="I194" s="178">
        <f t="shared" si="46"/>
        <v>2.0657304829400598</v>
      </c>
      <c r="J194" t="str">
        <f t="shared" si="33"/>
        <v>Trd_car_hh2</v>
      </c>
      <c r="K194" t="str">
        <f t="shared" si="34"/>
        <v>Trd_car_hh2_87</v>
      </c>
      <c r="L194" t="str">
        <f t="shared" si="35"/>
        <v>Trd_car</v>
      </c>
      <c r="M194" s="185">
        <f t="shared" si="36"/>
        <v>51791.401705340402</v>
      </c>
      <c r="N194" s="185">
        <f t="shared" si="37"/>
        <v>36276.064140224997</v>
      </c>
      <c r="O194" s="185">
        <f t="shared" si="38"/>
        <v>30249.857398865301</v>
      </c>
      <c r="P194" s="185">
        <f t="shared" si="39"/>
        <v>28771.729631665501</v>
      </c>
      <c r="T194" t="str">
        <f t="shared" si="40"/>
        <v>Trd_car_hh2_87</v>
      </c>
      <c r="U194" t="str">
        <f t="shared" ca="1" si="47"/>
        <v>Medium size hydrogen fuel cell -- 0.87</v>
      </c>
      <c r="V194" s="188" t="s">
        <v>84</v>
      </c>
      <c r="W194" s="188" t="s">
        <v>85</v>
      </c>
    </row>
    <row r="195" spans="2:23">
      <c r="B195" s="225">
        <v>0.82501106222267995</v>
      </c>
      <c r="C195" s="53">
        <v>54058.234643581403</v>
      </c>
      <c r="D195" s="53">
        <v>36491.673896322602</v>
      </c>
      <c r="E195" s="53">
        <v>30434.212799562101</v>
      </c>
      <c r="F195" s="53">
        <v>28951.102453965199</v>
      </c>
      <c r="G195" s="50">
        <f t="shared" si="45"/>
        <v>0.990013274667216</v>
      </c>
      <c r="H195" s="50"/>
      <c r="I195" s="178">
        <f t="shared" si="46"/>
        <v>2.16732378537974</v>
      </c>
      <c r="J195" t="str">
        <f t="shared" si="33"/>
        <v>Trd_car_hh2</v>
      </c>
      <c r="K195" t="str">
        <f t="shared" si="34"/>
        <v>Trd_car_hh2_83</v>
      </c>
      <c r="L195" t="str">
        <f t="shared" si="35"/>
        <v>Trd_car</v>
      </c>
      <c r="M195" s="185">
        <f t="shared" si="36"/>
        <v>54058.234643581403</v>
      </c>
      <c r="N195" s="185">
        <f t="shared" si="37"/>
        <v>36491.673896322602</v>
      </c>
      <c r="O195" s="185">
        <f t="shared" si="38"/>
        <v>30434.212799562101</v>
      </c>
      <c r="P195" s="185">
        <f t="shared" si="39"/>
        <v>28951.102453965199</v>
      </c>
      <c r="T195" t="str">
        <f t="shared" si="40"/>
        <v>Trd_car_hh2_83</v>
      </c>
      <c r="U195" t="str">
        <f t="shared" ca="1" si="47"/>
        <v>Medium size hydrogen fuel cell -- 0.83</v>
      </c>
      <c r="V195" s="188" t="s">
        <v>84</v>
      </c>
      <c r="W195" s="188" t="s">
        <v>85</v>
      </c>
    </row>
    <row r="196" spans="2:23">
      <c r="B196" s="225">
        <v>0.78687120655927101</v>
      </c>
      <c r="C196" s="53">
        <v>54564.090505383399</v>
      </c>
      <c r="D196" s="53">
        <v>37995.802123277797</v>
      </c>
      <c r="E196" s="53">
        <v>30618.568200259</v>
      </c>
      <c r="F196" s="53">
        <v>29130.475276264799</v>
      </c>
      <c r="G196" s="50">
        <f t="shared" si="45"/>
        <v>0.94424544787112497</v>
      </c>
      <c r="H196" s="50"/>
      <c r="I196" s="178">
        <f t="shared" si="46"/>
        <v>2.2723745429385298</v>
      </c>
      <c r="J196" t="str">
        <f t="shared" si="33"/>
        <v>Trd_car_hh2</v>
      </c>
      <c r="K196" t="str">
        <f t="shared" si="34"/>
        <v>Trd_car_hh2_79</v>
      </c>
      <c r="L196" t="str">
        <f t="shared" si="35"/>
        <v>Trd_car</v>
      </c>
      <c r="M196" s="185">
        <f t="shared" si="36"/>
        <v>54564.090505383399</v>
      </c>
      <c r="N196" s="185">
        <f t="shared" si="37"/>
        <v>37995.802123277797</v>
      </c>
      <c r="O196" s="185">
        <f t="shared" si="38"/>
        <v>30618.568200259</v>
      </c>
      <c r="P196" s="185">
        <f t="shared" si="39"/>
        <v>29130.475276264799</v>
      </c>
      <c r="T196" t="str">
        <f t="shared" si="40"/>
        <v>Trd_car_hh2_79</v>
      </c>
      <c r="U196" t="str">
        <f t="shared" ca="1" si="47"/>
        <v>Medium size hydrogen fuel cell -- 0.79</v>
      </c>
      <c r="V196" s="188" t="s">
        <v>84</v>
      </c>
      <c r="W196" s="188" t="s">
        <v>85</v>
      </c>
    </row>
    <row r="197" spans="2:23">
      <c r="B197" s="225">
        <v>0.75400601178548199</v>
      </c>
      <c r="C197" s="53">
        <v>54852.803781716597</v>
      </c>
      <c r="D197" s="53">
        <v>38223.091758626899</v>
      </c>
      <c r="E197" s="53">
        <v>30802.923600955899</v>
      </c>
      <c r="F197" s="53">
        <v>29309.8480985645</v>
      </c>
      <c r="G197" s="50">
        <f t="shared" si="45"/>
        <v>0.90480721414257803</v>
      </c>
      <c r="H197" s="50"/>
      <c r="I197" s="178">
        <f t="shared" si="46"/>
        <v>2.3714215409536101</v>
      </c>
      <c r="J197" t="str">
        <f t="shared" si="33"/>
        <v>Trd_car_hh2</v>
      </c>
      <c r="K197" t="str">
        <f t="shared" si="34"/>
        <v>Trd_car_hh2_75</v>
      </c>
      <c r="L197" t="str">
        <f t="shared" si="35"/>
        <v>Trd_car</v>
      </c>
      <c r="M197" s="185">
        <f t="shared" si="36"/>
        <v>54852.803781716597</v>
      </c>
      <c r="N197" s="185">
        <f t="shared" si="37"/>
        <v>38223.091758626899</v>
      </c>
      <c r="O197" s="185">
        <f t="shared" si="38"/>
        <v>30802.923600955899</v>
      </c>
      <c r="P197" s="185">
        <f t="shared" si="39"/>
        <v>29309.8480985645</v>
      </c>
      <c r="T197" t="str">
        <f t="shared" si="40"/>
        <v>Trd_car_hh2_75</v>
      </c>
      <c r="U197" t="str">
        <f t="shared" ca="1" si="47"/>
        <v>Medium size hydrogen fuel cell -- 0.75</v>
      </c>
      <c r="V197" s="188" t="s">
        <v>84</v>
      </c>
      <c r="W197" s="188" t="s">
        <v>85</v>
      </c>
    </row>
    <row r="198" spans="2:23">
      <c r="B198" s="225">
        <v>0.72222279873264095</v>
      </c>
      <c r="C198" s="53">
        <v>55141.5170580497</v>
      </c>
      <c r="D198" s="53">
        <v>38450.381393976</v>
      </c>
      <c r="E198" s="53">
        <v>30987.2790016527</v>
      </c>
      <c r="F198" s="53">
        <v>29489.2209208641</v>
      </c>
      <c r="G198" s="50">
        <f t="shared" si="45"/>
        <v>0.86666735847916898</v>
      </c>
      <c r="H198" s="50"/>
      <c r="I198" s="178">
        <f t="shared" si="46"/>
        <v>2.4757818522128101</v>
      </c>
      <c r="J198" t="str">
        <f t="shared" si="33"/>
        <v>Trd_car_hh2</v>
      </c>
      <c r="K198" t="str">
        <f t="shared" si="34"/>
        <v>Trd_car_hh2_72</v>
      </c>
      <c r="L198" t="str">
        <f t="shared" si="35"/>
        <v>Trd_car</v>
      </c>
      <c r="M198" s="185">
        <f t="shared" si="36"/>
        <v>55141.5170580497</v>
      </c>
      <c r="N198" s="185">
        <f t="shared" si="37"/>
        <v>38450.381393976</v>
      </c>
      <c r="O198" s="185">
        <f t="shared" si="38"/>
        <v>30987.2790016527</v>
      </c>
      <c r="P198" s="185">
        <f t="shared" si="39"/>
        <v>29489.2209208641</v>
      </c>
      <c r="T198" t="str">
        <f t="shared" si="40"/>
        <v>Trd_car_hh2_72</v>
      </c>
      <c r="U198" t="str">
        <f t="shared" ca="1" si="47"/>
        <v>Medium size hydrogen fuel cell -- 0.72</v>
      </c>
      <c r="V198" s="188" t="s">
        <v>84</v>
      </c>
      <c r="W198" s="188" t="s">
        <v>85</v>
      </c>
    </row>
    <row r="199" spans="2:23">
      <c r="B199" s="225">
        <v>0.69584949428453902</v>
      </c>
      <c r="C199" s="53">
        <v>55430.230334382897</v>
      </c>
      <c r="D199" s="53">
        <v>38677.671029325204</v>
      </c>
      <c r="E199" s="53">
        <v>31171.634402349599</v>
      </c>
      <c r="F199" s="53">
        <v>29668.593743163801</v>
      </c>
      <c r="G199" s="50">
        <f t="shared" si="45"/>
        <v>0.83501939314144702</v>
      </c>
      <c r="H199" s="50"/>
      <c r="I199" s="178">
        <f t="shared" si="46"/>
        <v>2.5696161498185401</v>
      </c>
      <c r="J199" t="str">
        <f t="shared" si="33"/>
        <v>Trd_car_hh2</v>
      </c>
      <c r="K199" t="str">
        <f t="shared" si="34"/>
        <v>Trd_car_hh2_70</v>
      </c>
      <c r="L199" t="str">
        <f t="shared" si="35"/>
        <v>Trd_car</v>
      </c>
      <c r="M199" s="185">
        <f t="shared" si="36"/>
        <v>55430.230334382897</v>
      </c>
      <c r="N199" s="185">
        <f t="shared" si="37"/>
        <v>38677.671029325204</v>
      </c>
      <c r="O199" s="185">
        <f t="shared" si="38"/>
        <v>31171.634402349599</v>
      </c>
      <c r="P199" s="185">
        <f t="shared" si="39"/>
        <v>29668.593743163801</v>
      </c>
      <c r="T199" t="str">
        <f t="shared" si="40"/>
        <v>Trd_car_hh2_70</v>
      </c>
      <c r="U199" t="str">
        <f t="shared" ca="1" si="47"/>
        <v>Medium size hydrogen fuel cell -- 0.70</v>
      </c>
      <c r="V199" s="188" t="s">
        <v>84</v>
      </c>
      <c r="W199" s="188" t="s">
        <v>85</v>
      </c>
    </row>
  </sheetData>
  <pageMargins left="0.7" right="0.7" top="0.75" bottom="0.75" header="0.3" footer="0.3"/>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W179"/>
  <sheetViews>
    <sheetView showGridLines="0" workbookViewId="0">
      <selection activeCell="H15" sqref="H15"/>
    </sheetView>
  </sheetViews>
  <sheetFormatPr defaultColWidth="9" defaultRowHeight="14.25"/>
  <cols>
    <col min="1" max="1" width="7.59765625" customWidth="1"/>
    <col min="2" max="2" width="38.265625" style="61" customWidth="1"/>
    <col min="3" max="3" width="6.9296875" customWidth="1"/>
    <col min="4" max="6" width="6.33203125" customWidth="1"/>
    <col min="10" max="10" width="15" customWidth="1"/>
    <col min="11" max="11" width="18.06640625" customWidth="1"/>
    <col min="12" max="12" width="11.06640625" customWidth="1"/>
    <col min="13" max="13" width="7" customWidth="1"/>
    <col min="14" max="16" width="6" customWidth="1"/>
    <col min="18" max="18" width="51.33203125" customWidth="1"/>
    <col min="19" max="19" width="15" customWidth="1"/>
    <col min="20" max="20" width="18.06640625" customWidth="1"/>
    <col min="21" max="21" width="24" customWidth="1"/>
  </cols>
  <sheetData>
    <row r="1" spans="2:23" ht="15.75">
      <c r="B1" s="169" t="s">
        <v>10</v>
      </c>
      <c r="C1" s="170"/>
      <c r="D1" s="170"/>
      <c r="E1" s="170"/>
      <c r="F1" s="171"/>
      <c r="Q1" t="s">
        <v>42</v>
      </c>
      <c r="R1" t="s">
        <v>95</v>
      </c>
      <c r="S1" t="str">
        <f>"Trd_lcv_"&amp;Q1</f>
        <v>Trd_lcv_gsl</v>
      </c>
    </row>
    <row r="2" spans="2:23">
      <c r="B2" s="248" t="s">
        <v>9</v>
      </c>
      <c r="C2" s="249"/>
      <c r="D2" s="249"/>
      <c r="E2" s="249"/>
      <c r="F2" s="249"/>
      <c r="Q2" t="s">
        <v>45</v>
      </c>
      <c r="R2" t="s">
        <v>96</v>
      </c>
      <c r="S2" t="str">
        <f t="shared" ref="S2:S10" si="0">"Trd_lcv_"&amp;Q2</f>
        <v>Trd_lcv_gsl-hyb</v>
      </c>
    </row>
    <row r="3" spans="2:23">
      <c r="B3" s="218"/>
      <c r="C3" s="219"/>
      <c r="D3" s="218"/>
      <c r="E3" s="218"/>
      <c r="F3" s="218"/>
      <c r="Q3" t="s">
        <v>48</v>
      </c>
      <c r="R3" t="s">
        <v>97</v>
      </c>
      <c r="S3" t="str">
        <f t="shared" si="0"/>
        <v>Trd_lcv_gsl-pih</v>
      </c>
    </row>
    <row r="4" spans="2:23">
      <c r="B4" s="218"/>
      <c r="C4" s="219"/>
      <c r="D4" s="218"/>
      <c r="E4" s="218"/>
      <c r="F4" s="218"/>
      <c r="Q4" t="s">
        <v>51</v>
      </c>
      <c r="R4" t="s">
        <v>98</v>
      </c>
      <c r="S4" t="str">
        <f t="shared" si="0"/>
        <v>Trd_lcv_dsl</v>
      </c>
    </row>
    <row r="5" spans="2:23">
      <c r="B5" s="218"/>
      <c r="C5" s="219"/>
      <c r="D5" s="218"/>
      <c r="E5" s="218"/>
      <c r="F5" s="218"/>
      <c r="Q5" t="s">
        <v>54</v>
      </c>
      <c r="R5" t="s">
        <v>99</v>
      </c>
      <c r="S5" t="str">
        <f t="shared" si="0"/>
        <v>Trd_lcv_dsl-hyb</v>
      </c>
    </row>
    <row r="6" spans="2:23">
      <c r="B6" s="218"/>
      <c r="C6" s="219"/>
      <c r="D6" s="218"/>
      <c r="E6" s="218"/>
      <c r="F6" s="218"/>
      <c r="Q6" t="s">
        <v>57</v>
      </c>
      <c r="R6" t="s">
        <v>100</v>
      </c>
      <c r="S6" t="str">
        <f t="shared" si="0"/>
        <v>Trd_lcv_dsl-pih</v>
      </c>
    </row>
    <row r="7" spans="2:23">
      <c r="F7" s="195">
        <f>31536000/10^9</f>
        <v>3.1536000000000002E-2</v>
      </c>
      <c r="G7" s="180" t="s">
        <v>47</v>
      </c>
      <c r="H7" s="180"/>
      <c r="Q7" t="s">
        <v>59</v>
      </c>
      <c r="R7" t="s">
        <v>101</v>
      </c>
      <c r="S7" t="str">
        <f t="shared" si="0"/>
        <v>Trd_lcv_cng</v>
      </c>
    </row>
    <row r="8" spans="2:23">
      <c r="F8" s="180">
        <v>3.7999999999999999E-2</v>
      </c>
      <c r="G8" s="180" t="s">
        <v>50</v>
      </c>
      <c r="H8" s="180"/>
      <c r="Q8" t="s">
        <v>61</v>
      </c>
      <c r="R8" t="s">
        <v>102</v>
      </c>
      <c r="S8" t="str">
        <f>"\I:Trd_lcv_"&amp;Q8</f>
        <v>\I:Trd_lcv_lpg</v>
      </c>
    </row>
    <row r="9" spans="2:23" ht="15" customHeight="1">
      <c r="B9" s="29" t="s">
        <v>103</v>
      </c>
      <c r="F9" s="181">
        <f>1.406/26.137</f>
        <v>5.3793472854573997E-2</v>
      </c>
      <c r="G9" s="180" t="s">
        <v>53</v>
      </c>
      <c r="H9" s="180"/>
      <c r="Q9" t="s">
        <v>66</v>
      </c>
      <c r="R9" t="s">
        <v>104</v>
      </c>
      <c r="S9" t="str">
        <f t="shared" si="0"/>
        <v>Trd_lcv_elc</v>
      </c>
    </row>
    <row r="10" spans="2:23">
      <c r="B10" s="30">
        <v>2015</v>
      </c>
      <c r="C10" s="177"/>
      <c r="D10" s="30"/>
      <c r="F10" s="181">
        <v>2.5590000000000002E-2</v>
      </c>
      <c r="G10" s="180" t="s">
        <v>56</v>
      </c>
      <c r="H10" s="180"/>
      <c r="Q10" t="s">
        <v>68</v>
      </c>
      <c r="R10" t="s">
        <v>105</v>
      </c>
      <c r="S10" t="str">
        <f t="shared" si="0"/>
        <v>Trd_lcv_hh2</v>
      </c>
    </row>
    <row r="11" spans="2:23">
      <c r="B11" s="31" t="s">
        <v>12</v>
      </c>
      <c r="C11" s="32" t="s">
        <v>13</v>
      </c>
      <c r="D11" s="33">
        <v>8.5078255456573793</v>
      </c>
      <c r="G11" s="50">
        <f>D11*$F$7/100*10^9/10^6</f>
        <v>2.6830278640785101</v>
      </c>
      <c r="H11" s="50"/>
      <c r="I11" s="178">
        <f>1/G11</f>
        <v>0.37271323693220398</v>
      </c>
      <c r="J11" s="178"/>
    </row>
    <row r="12" spans="2:23">
      <c r="B12" s="31" t="s">
        <v>14</v>
      </c>
      <c r="C12" s="32" t="s">
        <v>15</v>
      </c>
      <c r="D12" s="44">
        <v>17407.9785320185</v>
      </c>
      <c r="I12" s="190" t="s">
        <v>70</v>
      </c>
      <c r="J12" s="190"/>
    </row>
    <row r="13" spans="2:23">
      <c r="B13" s="202"/>
      <c r="C13" s="203"/>
      <c r="D13" s="204"/>
      <c r="I13" s="190"/>
      <c r="J13" s="190"/>
    </row>
    <row r="14" spans="2:23">
      <c r="K14" s="183" t="s">
        <v>71</v>
      </c>
      <c r="S14" s="183" t="s">
        <v>72</v>
      </c>
      <c r="T14" s="187"/>
      <c r="U14" s="187"/>
      <c r="V14" s="187"/>
      <c r="W14" s="187"/>
    </row>
    <row r="15" spans="2:23">
      <c r="I15" t="s">
        <v>73</v>
      </c>
      <c r="J15" t="s">
        <v>74</v>
      </c>
      <c r="K15" t="s">
        <v>75</v>
      </c>
      <c r="L15" t="s">
        <v>76</v>
      </c>
      <c r="M15">
        <f>C19</f>
        <v>2020</v>
      </c>
      <c r="N15">
        <f>D19</f>
        <v>2030</v>
      </c>
      <c r="O15">
        <f>E19</f>
        <v>2040</v>
      </c>
      <c r="P15">
        <f>F19</f>
        <v>2050</v>
      </c>
      <c r="Q15" t="s">
        <v>77</v>
      </c>
      <c r="S15" s="187" t="s">
        <v>78</v>
      </c>
      <c r="T15" s="187" t="s">
        <v>79</v>
      </c>
      <c r="U15" s="187" t="s">
        <v>80</v>
      </c>
      <c r="V15" s="187" t="s">
        <v>81</v>
      </c>
      <c r="W15" s="187" t="s">
        <v>82</v>
      </c>
    </row>
    <row r="16" spans="2:23" ht="15" customHeight="1">
      <c r="B16" s="34" t="s">
        <v>16</v>
      </c>
      <c r="C16" s="179" t="s">
        <v>95</v>
      </c>
      <c r="D16" s="34"/>
      <c r="E16" s="34"/>
      <c r="F16" s="34"/>
      <c r="J16" t="str">
        <f>IFERROR(VLOOKUP(C16,$R$1:$S$10,2,FALSE),J14)</f>
        <v>Trd_lcv_gsl</v>
      </c>
      <c r="K16" t="str">
        <f>IFERROR(IF(VALUE(C16)&gt;2020,J16&amp;"_"&amp;TEXT(B16*100,"00"),"\I:"),"\I:")</f>
        <v>\I:</v>
      </c>
      <c r="L16" t="str">
        <f>LEFT(K16,7)</f>
        <v>\I:</v>
      </c>
      <c r="M16" s="185" t="str">
        <f>IF($K16="\I:","",C16)</f>
        <v/>
      </c>
      <c r="N16" s="185" t="str">
        <f>IF($K16="\I:","",D16)</f>
        <v/>
      </c>
      <c r="O16" s="185" t="str">
        <f>IF($K16="\I:","",E16)</f>
        <v/>
      </c>
      <c r="P16" s="185" t="str">
        <f>IF($K16="\I:","",F16)</f>
        <v/>
      </c>
      <c r="Q16" s="185"/>
      <c r="R16" s="224"/>
      <c r="S16" t="s">
        <v>83</v>
      </c>
      <c r="T16" t="str">
        <f t="shared" ref="T16:T47" si="1">K16</f>
        <v>\I:</v>
      </c>
      <c r="U16" t="str">
        <f t="shared" ref="U16:U47" ca="1" si="2">OFFSET($S$1,MATCH(J16,$S$1:$S$10,0)-1,-1)&amp;" -- "&amp;TEXT(B16,"00%")</f>
        <v>ICE gasoline LCV -- Reduction of specific energy consumption relative to 2015 gasoline vehicle (%)</v>
      </c>
      <c r="V16" s="188" t="s">
        <v>84</v>
      </c>
      <c r="W16" s="188" t="s">
        <v>85</v>
      </c>
    </row>
    <row r="17" spans="2:23">
      <c r="B17" s="34"/>
      <c r="C17" s="179"/>
      <c r="D17" s="34"/>
      <c r="E17" s="34"/>
      <c r="F17" s="34"/>
      <c r="J17" t="str">
        <f>IFERROR(VLOOKUP(C17,$R$1:$S$10,2,FALSE),J16)</f>
        <v>Trd_lcv_gsl</v>
      </c>
      <c r="K17" t="str">
        <f t="shared" ref="K17:K80" si="3">IFERROR(IF(VALUE(C17)&gt;2020,J17&amp;"_"&amp;TEXT(B17*100,"00"),"\I:"),"\I:")</f>
        <v>\I:</v>
      </c>
      <c r="L17" t="str">
        <f t="shared" ref="L17:L80" si="4">LEFT(K17,7)</f>
        <v>\I:</v>
      </c>
      <c r="M17" s="185" t="str">
        <f t="shared" ref="M17:M25" si="5">IF($K17="\I:","",C17)</f>
        <v/>
      </c>
      <c r="N17" s="185" t="str">
        <f t="shared" ref="N17:P18" si="6">IF($K17="\I:","",D17)</f>
        <v/>
      </c>
      <c r="O17" s="185" t="str">
        <f t="shared" si="6"/>
        <v/>
      </c>
      <c r="P17" s="185" t="str">
        <f t="shared" si="6"/>
        <v/>
      </c>
      <c r="Q17" s="185"/>
      <c r="R17" s="185"/>
      <c r="S17" t="s">
        <v>83</v>
      </c>
      <c r="T17" t="str">
        <f t="shared" si="1"/>
        <v>\I:</v>
      </c>
      <c r="U17" t="str">
        <f t="shared" ca="1" si="2"/>
        <v>ICE gasoline LCV -- 00%</v>
      </c>
      <c r="V17" s="188" t="s">
        <v>84</v>
      </c>
      <c r="W17" s="188" t="s">
        <v>85</v>
      </c>
    </row>
    <row r="18" spans="2:23">
      <c r="B18" s="34"/>
      <c r="C18" s="179"/>
      <c r="D18" s="34"/>
      <c r="E18" s="34"/>
      <c r="F18" s="34"/>
      <c r="J18" t="str">
        <f>IFERROR(VLOOKUP(C18,$R$1:$S$10,2,FALSE),J17)</f>
        <v>Trd_lcv_gsl</v>
      </c>
      <c r="K18" t="str">
        <f t="shared" si="3"/>
        <v>\I:</v>
      </c>
      <c r="L18" t="str">
        <f t="shared" si="4"/>
        <v>\I:</v>
      </c>
      <c r="M18" s="185" t="str">
        <f t="shared" si="5"/>
        <v/>
      </c>
      <c r="N18" s="185" t="str">
        <f t="shared" si="6"/>
        <v/>
      </c>
      <c r="O18" s="185" t="str">
        <f t="shared" si="6"/>
        <v/>
      </c>
      <c r="P18" s="185" t="str">
        <f t="shared" si="6"/>
        <v/>
      </c>
      <c r="Q18" s="185"/>
      <c r="R18" s="185"/>
      <c r="S18" t="s">
        <v>83</v>
      </c>
      <c r="T18" t="str">
        <f t="shared" si="1"/>
        <v>\I:</v>
      </c>
      <c r="U18" t="str">
        <f t="shared" ca="1" si="2"/>
        <v>ICE gasoline LCV -- 00%</v>
      </c>
      <c r="V18" s="188" t="s">
        <v>84</v>
      </c>
      <c r="W18" s="188" t="s">
        <v>85</v>
      </c>
    </row>
    <row r="19" spans="2:23">
      <c r="B19" s="55"/>
      <c r="C19" s="220">
        <v>2020</v>
      </c>
      <c r="D19" s="36">
        <v>2030</v>
      </c>
      <c r="E19" s="36">
        <v>2040</v>
      </c>
      <c r="F19" s="36">
        <v>2050</v>
      </c>
      <c r="I19" s="178">
        <v>1</v>
      </c>
      <c r="J19" s="29" t="str">
        <f t="shared" ref="J19" si="7">IFERROR(VLOOKUP(C19,$R$1:$S$11,2,FALSE),J18)</f>
        <v>Trd_lcv_gsl</v>
      </c>
      <c r="K19" s="29" t="str">
        <f>IFERROR(IF(VALUE(C19)&gt;200,J19&amp;"_"&amp;TEXT(B19*100,"00"),"\I:"),"\I:")</f>
        <v>Trd_lcv_gsl_00</v>
      </c>
      <c r="L19" t="str">
        <f t="shared" si="4"/>
        <v>Trd_lcv</v>
      </c>
      <c r="M19" s="223">
        <f>D12</f>
        <v>17407.9785320185</v>
      </c>
      <c r="N19" s="185"/>
      <c r="O19" s="185"/>
      <c r="P19" s="185"/>
      <c r="Q19" s="185"/>
      <c r="R19" s="185"/>
      <c r="S19" t="s">
        <v>83</v>
      </c>
      <c r="T19" t="str">
        <f t="shared" si="1"/>
        <v>Trd_lcv_gsl_00</v>
      </c>
      <c r="U19" t="str">
        <f t="shared" ca="1" si="2"/>
        <v>ICE gasoline LCV -- 00%</v>
      </c>
      <c r="V19" s="188" t="s">
        <v>84</v>
      </c>
      <c r="W19" s="188" t="s">
        <v>85</v>
      </c>
    </row>
    <row r="20" spans="2:23">
      <c r="B20" s="52">
        <v>0.145560583753408</v>
      </c>
      <c r="C20" s="221">
        <v>17878.597813243301</v>
      </c>
      <c r="D20" s="53">
        <v>17417.4266041105</v>
      </c>
      <c r="E20" s="53">
        <v>17417.4266041105</v>
      </c>
      <c r="F20" s="53">
        <v>17417.4266041105</v>
      </c>
      <c r="I20" s="50">
        <f>(1+B20)</f>
        <v>1.14556058375341</v>
      </c>
      <c r="J20" t="str">
        <f t="shared" ref="J20:J83" si="8">IFERROR(VLOOKUP(C20,$R$1:$S$10,2,FALSE),J19)</f>
        <v>Trd_lcv_gsl</v>
      </c>
      <c r="K20" t="str">
        <f t="shared" si="3"/>
        <v>Trd_lcv_gsl_15</v>
      </c>
      <c r="L20" t="str">
        <f t="shared" si="4"/>
        <v>Trd_lcv</v>
      </c>
      <c r="M20" s="185">
        <f t="shared" si="5"/>
        <v>17878.597813243301</v>
      </c>
      <c r="N20" s="185">
        <f t="shared" ref="N20:P25" si="9">IF($K20="\I:","",D20)</f>
        <v>17417.4266041105</v>
      </c>
      <c r="O20" s="185">
        <f t="shared" si="9"/>
        <v>17417.4266041105</v>
      </c>
      <c r="P20" s="185">
        <f t="shared" si="9"/>
        <v>17417.4266041105</v>
      </c>
      <c r="Q20" s="185"/>
      <c r="R20" s="185"/>
      <c r="S20" t="s">
        <v>83</v>
      </c>
      <c r="T20" t="str">
        <f t="shared" si="1"/>
        <v>Trd_lcv_gsl_15</v>
      </c>
      <c r="U20" t="str">
        <f t="shared" ca="1" si="2"/>
        <v>ICE gasoline LCV -- 15%</v>
      </c>
      <c r="V20" s="188" t="s">
        <v>84</v>
      </c>
      <c r="W20" s="188" t="s">
        <v>85</v>
      </c>
    </row>
    <row r="21" spans="2:23">
      <c r="B21" s="52">
        <v>0.245560583753408</v>
      </c>
      <c r="C21" s="221">
        <v>19243.4316461009</v>
      </c>
      <c r="D21" s="53">
        <v>17966.6005607638</v>
      </c>
      <c r="E21" s="53">
        <v>17966.6005607638</v>
      </c>
      <c r="F21" s="53">
        <v>17966.6005607638</v>
      </c>
      <c r="I21" s="50">
        <f t="shared" ref="I21:I25" si="10">(1+B21)</f>
        <v>1.2455605837534101</v>
      </c>
      <c r="J21" t="str">
        <f t="shared" si="8"/>
        <v>Trd_lcv_gsl</v>
      </c>
      <c r="K21" t="str">
        <f t="shared" si="3"/>
        <v>Trd_lcv_gsl_25</v>
      </c>
      <c r="L21" t="str">
        <f t="shared" si="4"/>
        <v>Trd_lcv</v>
      </c>
      <c r="M21" s="185">
        <f t="shared" si="5"/>
        <v>19243.4316461009</v>
      </c>
      <c r="N21" s="185">
        <f t="shared" si="9"/>
        <v>17966.6005607638</v>
      </c>
      <c r="O21" s="185">
        <f t="shared" si="9"/>
        <v>17966.6005607638</v>
      </c>
      <c r="P21" s="185">
        <f t="shared" si="9"/>
        <v>17966.6005607638</v>
      </c>
      <c r="Q21" s="185"/>
      <c r="R21" s="185"/>
      <c r="S21" t="s">
        <v>83</v>
      </c>
      <c r="T21" t="str">
        <f t="shared" si="1"/>
        <v>Trd_lcv_gsl_25</v>
      </c>
      <c r="U21" t="str">
        <f t="shared" ca="1" si="2"/>
        <v>ICE gasoline LCV -- 25%</v>
      </c>
      <c r="V21" s="188" t="s">
        <v>84</v>
      </c>
      <c r="W21" s="188" t="s">
        <v>85</v>
      </c>
    </row>
    <row r="22" spans="2:23">
      <c r="B22" s="52">
        <v>0.34556058375340798</v>
      </c>
      <c r="C22" s="221">
        <v>24327.603812032099</v>
      </c>
      <c r="D22" s="53">
        <v>19194.380760066</v>
      </c>
      <c r="E22" s="53">
        <v>19194.380760066</v>
      </c>
      <c r="F22" s="53">
        <v>19194.380760066</v>
      </c>
      <c r="I22" s="50">
        <f t="shared" si="10"/>
        <v>1.3455605837534099</v>
      </c>
      <c r="J22" t="str">
        <f t="shared" si="8"/>
        <v>Trd_lcv_gsl</v>
      </c>
      <c r="K22" t="str">
        <f t="shared" si="3"/>
        <v>Trd_lcv_gsl_35</v>
      </c>
      <c r="L22" t="str">
        <f t="shared" si="4"/>
        <v>Trd_lcv</v>
      </c>
      <c r="M22" s="185">
        <f t="shared" si="5"/>
        <v>24327.603812032099</v>
      </c>
      <c r="N22" s="185">
        <f t="shared" si="9"/>
        <v>19194.380760066</v>
      </c>
      <c r="O22" s="185">
        <f t="shared" si="9"/>
        <v>19194.380760066</v>
      </c>
      <c r="P22" s="185">
        <f t="shared" si="9"/>
        <v>19194.380760066</v>
      </c>
      <c r="Q22" s="185"/>
      <c r="R22" s="185"/>
      <c r="S22" t="s">
        <v>83</v>
      </c>
      <c r="T22" t="str">
        <f t="shared" si="1"/>
        <v>Trd_lcv_gsl_35</v>
      </c>
      <c r="U22" t="str">
        <f t="shared" ca="1" si="2"/>
        <v>ICE gasoline LCV -- 35%</v>
      </c>
      <c r="V22" s="188" t="s">
        <v>84</v>
      </c>
      <c r="W22" s="188" t="s">
        <v>85</v>
      </c>
    </row>
    <row r="23" spans="2:23">
      <c r="B23" s="52">
        <v>0.39556058375340802</v>
      </c>
      <c r="C23" s="221">
        <v>32775.022169115997</v>
      </c>
      <c r="D23" s="53">
        <v>21558.477305248802</v>
      </c>
      <c r="E23" s="53">
        <v>21558.477305248802</v>
      </c>
      <c r="F23" s="53">
        <v>21558.477305248802</v>
      </c>
      <c r="I23" s="50">
        <f t="shared" si="10"/>
        <v>1.39556058375341</v>
      </c>
      <c r="J23" t="str">
        <f t="shared" si="8"/>
        <v>Trd_lcv_gsl</v>
      </c>
      <c r="K23" t="str">
        <f t="shared" si="3"/>
        <v>Trd_lcv_gsl_40</v>
      </c>
      <c r="L23" t="str">
        <f t="shared" si="4"/>
        <v>Trd_lcv</v>
      </c>
      <c r="M23" s="185">
        <f t="shared" si="5"/>
        <v>32775.022169115997</v>
      </c>
      <c r="N23" s="185">
        <f t="shared" si="9"/>
        <v>21558.477305248802</v>
      </c>
      <c r="O23" s="185">
        <f t="shared" si="9"/>
        <v>21558.477305248802</v>
      </c>
      <c r="P23" s="185">
        <f t="shared" si="9"/>
        <v>21558.477305248802</v>
      </c>
      <c r="Q23" s="185"/>
      <c r="R23" s="185"/>
      <c r="S23" t="s">
        <v>83</v>
      </c>
      <c r="T23" t="str">
        <f t="shared" si="1"/>
        <v>Trd_lcv_gsl_40</v>
      </c>
      <c r="U23" t="str">
        <f t="shared" ca="1" si="2"/>
        <v>ICE gasoline LCV -- 40%</v>
      </c>
      <c r="V23" s="188" t="s">
        <v>84</v>
      </c>
      <c r="W23" s="188" t="s">
        <v>85</v>
      </c>
    </row>
    <row r="24" spans="2:23">
      <c r="B24" s="52">
        <v>0.44556058375340801</v>
      </c>
      <c r="C24" s="221">
        <v>99589.703315390798</v>
      </c>
      <c r="D24" s="53">
        <v>26988.330941017201</v>
      </c>
      <c r="E24" s="53">
        <v>26988.330941017201</v>
      </c>
      <c r="F24" s="53">
        <v>26988.330941017201</v>
      </c>
      <c r="I24" s="50">
        <f t="shared" si="10"/>
        <v>1.44556058375341</v>
      </c>
      <c r="J24" t="str">
        <f t="shared" si="8"/>
        <v>Trd_lcv_gsl</v>
      </c>
      <c r="K24" t="str">
        <f t="shared" si="3"/>
        <v>Trd_lcv_gsl_45</v>
      </c>
      <c r="L24" t="str">
        <f t="shared" si="4"/>
        <v>Trd_lcv</v>
      </c>
      <c r="M24" s="185">
        <f t="shared" si="5"/>
        <v>99589.703315390798</v>
      </c>
      <c r="N24" s="185">
        <f t="shared" si="9"/>
        <v>26988.330941017201</v>
      </c>
      <c r="O24" s="185">
        <f t="shared" si="9"/>
        <v>26988.330941017201</v>
      </c>
      <c r="P24" s="185">
        <f t="shared" si="9"/>
        <v>26988.330941017201</v>
      </c>
      <c r="Q24" s="185"/>
      <c r="R24" s="185"/>
      <c r="S24" t="s">
        <v>83</v>
      </c>
      <c r="T24" t="str">
        <f t="shared" si="1"/>
        <v>Trd_lcv_gsl_45</v>
      </c>
      <c r="U24" t="str">
        <f t="shared" ca="1" si="2"/>
        <v>ICE gasoline LCV -- 45%</v>
      </c>
      <c r="V24" s="188" t="s">
        <v>84</v>
      </c>
      <c r="W24" s="188" t="s">
        <v>85</v>
      </c>
    </row>
    <row r="25" spans="2:23">
      <c r="B25" s="52">
        <v>0.495560583753408</v>
      </c>
      <c r="C25" s="221">
        <v>116875.343716562</v>
      </c>
      <c r="D25" s="53">
        <v>78477.079332169204</v>
      </c>
      <c r="E25" s="53">
        <v>78477.079332169204</v>
      </c>
      <c r="F25" s="53">
        <v>78477.079332169204</v>
      </c>
      <c r="I25" s="50">
        <f t="shared" si="10"/>
        <v>1.4955605837534101</v>
      </c>
      <c r="J25" t="str">
        <f t="shared" si="8"/>
        <v>Trd_lcv_gsl</v>
      </c>
      <c r="K25" t="str">
        <f t="shared" si="3"/>
        <v>Trd_lcv_gsl_50</v>
      </c>
      <c r="L25" t="str">
        <f t="shared" si="4"/>
        <v>Trd_lcv</v>
      </c>
      <c r="M25" s="185">
        <f t="shared" si="5"/>
        <v>116875.343716562</v>
      </c>
      <c r="N25" s="185">
        <f t="shared" si="9"/>
        <v>78477.079332169204</v>
      </c>
      <c r="O25" s="185">
        <f t="shared" si="9"/>
        <v>78477.079332169204</v>
      </c>
      <c r="P25" s="185">
        <f t="shared" si="9"/>
        <v>78477.079332169204</v>
      </c>
      <c r="Q25" s="185"/>
      <c r="R25" s="185"/>
      <c r="S25" t="s">
        <v>83</v>
      </c>
      <c r="T25" t="str">
        <f t="shared" si="1"/>
        <v>Trd_lcv_gsl_50</v>
      </c>
      <c r="U25" t="str">
        <f t="shared" ca="1" si="2"/>
        <v>ICE gasoline LCV -- 50%</v>
      </c>
      <c r="V25" s="188" t="s">
        <v>84</v>
      </c>
      <c r="W25" s="188" t="s">
        <v>85</v>
      </c>
    </row>
    <row r="26" spans="2:23">
      <c r="D26" s="61"/>
      <c r="E26" s="61"/>
      <c r="F26" s="61"/>
      <c r="J26" t="str">
        <f t="shared" si="8"/>
        <v>Trd_lcv_gsl</v>
      </c>
      <c r="K26" t="str">
        <f t="shared" si="3"/>
        <v>\I:</v>
      </c>
      <c r="L26" t="str">
        <f t="shared" si="4"/>
        <v>\I:</v>
      </c>
      <c r="M26" s="185" t="str">
        <f t="shared" ref="M26:M89" si="11">IF($K26="\I:","",C26)</f>
        <v/>
      </c>
      <c r="N26" s="185" t="str">
        <f t="shared" ref="N26:N89" si="12">IF($K26="\I:","",D26)</f>
        <v/>
      </c>
      <c r="O26" s="185" t="str">
        <f t="shared" ref="O26:O89" si="13">IF($K26="\I:","",E26)</f>
        <v/>
      </c>
      <c r="P26" s="185" t="str">
        <f t="shared" ref="P26:P89" si="14">IF($K26="\I:","",F26)</f>
        <v/>
      </c>
      <c r="T26" t="str">
        <f t="shared" si="1"/>
        <v>\I:</v>
      </c>
      <c r="U26" t="str">
        <f t="shared" ca="1" si="2"/>
        <v>ICE gasoline LCV -- 00%</v>
      </c>
      <c r="V26" s="188" t="s">
        <v>84</v>
      </c>
      <c r="W26" s="188" t="s">
        <v>85</v>
      </c>
    </row>
    <row r="27" spans="2:23">
      <c r="J27" t="str">
        <f t="shared" si="8"/>
        <v>Trd_lcv_gsl</v>
      </c>
      <c r="K27" t="str">
        <f t="shared" si="3"/>
        <v>\I:</v>
      </c>
      <c r="L27" t="str">
        <f t="shared" si="4"/>
        <v>\I:</v>
      </c>
      <c r="M27" s="185" t="str">
        <f t="shared" si="11"/>
        <v/>
      </c>
      <c r="N27" s="185" t="str">
        <f t="shared" si="12"/>
        <v/>
      </c>
      <c r="O27" s="185" t="str">
        <f t="shared" si="13"/>
        <v/>
      </c>
      <c r="P27" s="185" t="str">
        <f t="shared" si="14"/>
        <v/>
      </c>
      <c r="T27" t="str">
        <f t="shared" si="1"/>
        <v>\I:</v>
      </c>
      <c r="U27" t="str">
        <f t="shared" ca="1" si="2"/>
        <v>ICE gasoline LCV -- 00%</v>
      </c>
      <c r="V27" s="188" t="s">
        <v>84</v>
      </c>
      <c r="W27" s="188" t="s">
        <v>85</v>
      </c>
    </row>
    <row r="28" spans="2:23">
      <c r="J28" t="str">
        <f t="shared" si="8"/>
        <v>Trd_lcv_gsl</v>
      </c>
      <c r="K28" t="str">
        <f t="shared" si="3"/>
        <v>\I:</v>
      </c>
      <c r="L28" t="str">
        <f t="shared" si="4"/>
        <v>\I:</v>
      </c>
      <c r="M28" s="185" t="str">
        <f t="shared" si="11"/>
        <v/>
      </c>
      <c r="N28" s="185" t="str">
        <f t="shared" si="12"/>
        <v/>
      </c>
      <c r="O28" s="185" t="str">
        <f t="shared" si="13"/>
        <v/>
      </c>
      <c r="P28" s="185" t="str">
        <f t="shared" si="14"/>
        <v/>
      </c>
      <c r="T28" t="str">
        <f t="shared" si="1"/>
        <v>\I:</v>
      </c>
      <c r="U28" t="str">
        <f t="shared" ca="1" si="2"/>
        <v>ICE gasoline LCV -- 00%</v>
      </c>
      <c r="V28" s="188" t="s">
        <v>84</v>
      </c>
      <c r="W28" s="188" t="s">
        <v>85</v>
      </c>
    </row>
    <row r="29" spans="2:23">
      <c r="J29" t="str">
        <f t="shared" si="8"/>
        <v>Trd_lcv_gsl</v>
      </c>
      <c r="K29" t="str">
        <f t="shared" si="3"/>
        <v>\I:</v>
      </c>
      <c r="L29" t="str">
        <f t="shared" si="4"/>
        <v>\I:</v>
      </c>
      <c r="M29" s="185" t="str">
        <f t="shared" si="11"/>
        <v/>
      </c>
      <c r="N29" s="185" t="str">
        <f t="shared" si="12"/>
        <v/>
      </c>
      <c r="O29" s="185" t="str">
        <f t="shared" si="13"/>
        <v/>
      </c>
      <c r="P29" s="185" t="str">
        <f t="shared" si="14"/>
        <v/>
      </c>
      <c r="T29" t="str">
        <f t="shared" si="1"/>
        <v>\I:</v>
      </c>
      <c r="U29" t="str">
        <f t="shared" ca="1" si="2"/>
        <v>ICE gasoline LCV -- 00%</v>
      </c>
      <c r="V29" s="188" t="s">
        <v>84</v>
      </c>
      <c r="W29" s="188" t="s">
        <v>85</v>
      </c>
    </row>
    <row r="30" spans="2:23" ht="15" customHeight="1">
      <c r="B30" s="34" t="s">
        <v>16</v>
      </c>
      <c r="C30" s="179" t="s">
        <v>96</v>
      </c>
      <c r="D30" s="34"/>
      <c r="E30" s="34"/>
      <c r="F30" s="34"/>
      <c r="J30" t="str">
        <f t="shared" si="8"/>
        <v>Trd_lcv_gsl-hyb</v>
      </c>
      <c r="K30" t="str">
        <f t="shared" si="3"/>
        <v>\I:</v>
      </c>
      <c r="L30" t="str">
        <f t="shared" si="4"/>
        <v>\I:</v>
      </c>
      <c r="M30" s="185" t="str">
        <f t="shared" si="11"/>
        <v/>
      </c>
      <c r="N30" s="185" t="str">
        <f t="shared" si="12"/>
        <v/>
      </c>
      <c r="O30" s="185" t="str">
        <f t="shared" si="13"/>
        <v/>
      </c>
      <c r="P30" s="185" t="str">
        <f t="shared" si="14"/>
        <v/>
      </c>
      <c r="T30" t="str">
        <f t="shared" si="1"/>
        <v>\I:</v>
      </c>
      <c r="U30" t="str">
        <f t="shared" ca="1" si="2"/>
        <v>ICE gasoline hybrid LCV -- Reduction of specific energy consumption relative to 2015 gasoline vehicle (%)</v>
      </c>
      <c r="V30" s="188" t="s">
        <v>84</v>
      </c>
      <c r="W30" s="188" t="s">
        <v>85</v>
      </c>
    </row>
    <row r="31" spans="2:23">
      <c r="B31" s="34"/>
      <c r="C31" s="179"/>
      <c r="D31" s="34"/>
      <c r="E31" s="34"/>
      <c r="F31" s="34"/>
      <c r="J31" t="str">
        <f t="shared" si="8"/>
        <v>Trd_lcv_gsl-hyb</v>
      </c>
      <c r="K31" t="str">
        <f t="shared" si="3"/>
        <v>\I:</v>
      </c>
      <c r="L31" t="str">
        <f t="shared" si="4"/>
        <v>\I:</v>
      </c>
      <c r="M31" s="185" t="str">
        <f t="shared" si="11"/>
        <v/>
      </c>
      <c r="N31" s="185" t="str">
        <f t="shared" si="12"/>
        <v/>
      </c>
      <c r="O31" s="185" t="str">
        <f t="shared" si="13"/>
        <v/>
      </c>
      <c r="P31" s="185" t="str">
        <f t="shared" si="14"/>
        <v/>
      </c>
      <c r="T31" t="str">
        <f t="shared" si="1"/>
        <v>\I:</v>
      </c>
      <c r="U31" t="str">
        <f t="shared" ca="1" si="2"/>
        <v>ICE gasoline hybrid LCV -- 00%</v>
      </c>
      <c r="V31" s="188" t="s">
        <v>84</v>
      </c>
      <c r="W31" s="188" t="s">
        <v>85</v>
      </c>
    </row>
    <row r="32" spans="2:23">
      <c r="B32" s="34"/>
      <c r="C32" s="179"/>
      <c r="D32" s="34"/>
      <c r="E32" s="34"/>
      <c r="F32" s="34"/>
      <c r="J32" t="str">
        <f t="shared" si="8"/>
        <v>Trd_lcv_gsl-hyb</v>
      </c>
      <c r="K32" t="str">
        <f t="shared" si="3"/>
        <v>\I:</v>
      </c>
      <c r="L32" t="str">
        <f t="shared" si="4"/>
        <v>\I:</v>
      </c>
      <c r="M32" s="185" t="str">
        <f t="shared" si="11"/>
        <v/>
      </c>
      <c r="N32" s="185" t="str">
        <f t="shared" si="12"/>
        <v/>
      </c>
      <c r="O32" s="185" t="str">
        <f t="shared" si="13"/>
        <v/>
      </c>
      <c r="P32" s="185" t="str">
        <f t="shared" si="14"/>
        <v/>
      </c>
      <c r="T32" t="str">
        <f t="shared" si="1"/>
        <v>\I:</v>
      </c>
      <c r="U32" t="str">
        <f t="shared" ca="1" si="2"/>
        <v>ICE gasoline hybrid LCV -- 00%</v>
      </c>
      <c r="V32" s="188" t="s">
        <v>84</v>
      </c>
      <c r="W32" s="188" t="s">
        <v>85</v>
      </c>
    </row>
    <row r="33" spans="2:23">
      <c r="B33" s="55"/>
      <c r="C33" s="220">
        <v>2020</v>
      </c>
      <c r="D33" s="36">
        <v>2030</v>
      </c>
      <c r="E33" s="36">
        <v>2040</v>
      </c>
      <c r="F33" s="36">
        <v>2050</v>
      </c>
      <c r="J33" t="str">
        <f t="shared" si="8"/>
        <v>Trd_lcv_gsl-hyb</v>
      </c>
      <c r="K33" t="str">
        <f t="shared" si="3"/>
        <v>\I:</v>
      </c>
      <c r="L33" t="str">
        <f t="shared" si="4"/>
        <v>\I:</v>
      </c>
      <c r="M33" s="185" t="str">
        <f t="shared" si="11"/>
        <v/>
      </c>
      <c r="N33" s="185" t="str">
        <f t="shared" si="12"/>
        <v/>
      </c>
      <c r="O33" s="185" t="str">
        <f t="shared" si="13"/>
        <v/>
      </c>
      <c r="P33" s="185" t="str">
        <f t="shared" si="14"/>
        <v/>
      </c>
      <c r="T33" t="str">
        <f t="shared" si="1"/>
        <v>\I:</v>
      </c>
      <c r="U33" t="str">
        <f t="shared" ca="1" si="2"/>
        <v>ICE gasoline hybrid LCV -- 00%</v>
      </c>
      <c r="V33" s="188" t="s">
        <v>84</v>
      </c>
      <c r="W33" s="188" t="s">
        <v>85</v>
      </c>
    </row>
    <row r="34" spans="2:23">
      <c r="B34" s="52">
        <v>0.14185866442085601</v>
      </c>
      <c r="C34" s="221">
        <v>20504.4559655839</v>
      </c>
      <c r="D34" s="53">
        <v>19138.749188335099</v>
      </c>
      <c r="E34" s="53">
        <v>19138.749188335099</v>
      </c>
      <c r="F34" s="53">
        <v>19138.749188335099</v>
      </c>
      <c r="I34" s="50">
        <f t="shared" ref="I34:I40" si="15">(1+B34)</f>
        <v>1.1418586644208599</v>
      </c>
      <c r="J34" t="str">
        <f t="shared" si="8"/>
        <v>Trd_lcv_gsl-hyb</v>
      </c>
      <c r="K34" t="str">
        <f t="shared" si="3"/>
        <v>Trd_lcv_gsl-hyb_14</v>
      </c>
      <c r="L34" t="str">
        <f t="shared" si="4"/>
        <v>Trd_lcv</v>
      </c>
      <c r="M34" s="185">
        <f t="shared" si="11"/>
        <v>20504.4559655839</v>
      </c>
      <c r="N34" s="185">
        <f t="shared" si="12"/>
        <v>19138.749188335099</v>
      </c>
      <c r="O34" s="185">
        <f t="shared" si="13"/>
        <v>19138.749188335099</v>
      </c>
      <c r="P34" s="185">
        <f t="shared" si="14"/>
        <v>19138.749188335099</v>
      </c>
      <c r="T34" t="str">
        <f t="shared" si="1"/>
        <v>Trd_lcv_gsl-hyb_14</v>
      </c>
      <c r="U34" t="str">
        <f t="shared" ca="1" si="2"/>
        <v>ICE gasoline hybrid LCV -- 14%</v>
      </c>
      <c r="V34" s="188" t="s">
        <v>84</v>
      </c>
      <c r="W34" s="188" t="s">
        <v>85</v>
      </c>
    </row>
    <row r="35" spans="2:23">
      <c r="B35" s="52">
        <v>0.24185866442085599</v>
      </c>
      <c r="C35" s="221">
        <v>20722.242651963399</v>
      </c>
      <c r="D35" s="53">
        <v>19390.0828167076</v>
      </c>
      <c r="E35" s="53">
        <v>19390.0828167076</v>
      </c>
      <c r="F35" s="53">
        <v>19390.0828167076</v>
      </c>
      <c r="I35" s="50">
        <f t="shared" si="15"/>
        <v>1.24185866442086</v>
      </c>
      <c r="J35" t="str">
        <f t="shared" si="8"/>
        <v>Trd_lcv_gsl-hyb</v>
      </c>
      <c r="K35" t="str">
        <f t="shared" si="3"/>
        <v>Trd_lcv_gsl-hyb_24</v>
      </c>
      <c r="L35" t="str">
        <f t="shared" si="4"/>
        <v>Trd_lcv</v>
      </c>
      <c r="M35" s="185">
        <f t="shared" si="11"/>
        <v>20722.242651963399</v>
      </c>
      <c r="N35" s="185">
        <f t="shared" si="12"/>
        <v>19390.0828167076</v>
      </c>
      <c r="O35" s="185">
        <f t="shared" si="13"/>
        <v>19390.0828167076</v>
      </c>
      <c r="P35" s="185">
        <f t="shared" si="14"/>
        <v>19390.0828167076</v>
      </c>
      <c r="T35" t="str">
        <f t="shared" si="1"/>
        <v>Trd_lcv_gsl-hyb_24</v>
      </c>
      <c r="U35" t="str">
        <f t="shared" ca="1" si="2"/>
        <v>ICE gasoline hybrid LCV -- 24%</v>
      </c>
      <c r="V35" s="188" t="s">
        <v>84</v>
      </c>
      <c r="W35" s="188" t="s">
        <v>85</v>
      </c>
    </row>
    <row r="36" spans="2:23">
      <c r="B36" s="52">
        <v>0.29185866442085601</v>
      </c>
      <c r="C36" s="221">
        <v>20967.658369759502</v>
      </c>
      <c r="D36" s="53">
        <v>19601.2088430076</v>
      </c>
      <c r="E36" s="53">
        <v>19601.2088430076</v>
      </c>
      <c r="F36" s="53">
        <v>19601.2088430076</v>
      </c>
      <c r="I36" s="50">
        <f t="shared" si="15"/>
        <v>1.2918586644208601</v>
      </c>
      <c r="J36" t="str">
        <f t="shared" si="8"/>
        <v>Trd_lcv_gsl-hyb</v>
      </c>
      <c r="K36" t="str">
        <f t="shared" si="3"/>
        <v>Trd_lcv_gsl-hyb_29</v>
      </c>
      <c r="L36" t="str">
        <f t="shared" si="4"/>
        <v>Trd_lcv</v>
      </c>
      <c r="M36" s="185">
        <f t="shared" si="11"/>
        <v>20967.658369759502</v>
      </c>
      <c r="N36" s="185">
        <f t="shared" si="12"/>
        <v>19601.2088430076</v>
      </c>
      <c r="O36" s="185">
        <f t="shared" si="13"/>
        <v>19601.2088430076</v>
      </c>
      <c r="P36" s="185">
        <f t="shared" si="14"/>
        <v>19601.2088430076</v>
      </c>
      <c r="T36" t="str">
        <f t="shared" si="1"/>
        <v>Trd_lcv_gsl-hyb_29</v>
      </c>
      <c r="U36" t="str">
        <f t="shared" ca="1" si="2"/>
        <v>ICE gasoline hybrid LCV -- 29%</v>
      </c>
      <c r="V36" s="188" t="s">
        <v>84</v>
      </c>
      <c r="W36" s="188" t="s">
        <v>85</v>
      </c>
    </row>
    <row r="37" spans="2:23">
      <c r="B37" s="52">
        <v>0.341858664420856</v>
      </c>
      <c r="C37" s="221">
        <v>21437.621658378699</v>
      </c>
      <c r="D37" s="53">
        <v>19855.904059578901</v>
      </c>
      <c r="E37" s="53">
        <v>19855.904059578901</v>
      </c>
      <c r="F37" s="53">
        <v>19855.904059578901</v>
      </c>
      <c r="I37" s="50">
        <f t="shared" si="15"/>
        <v>1.3418586644208601</v>
      </c>
      <c r="J37" t="str">
        <f t="shared" si="8"/>
        <v>Trd_lcv_gsl-hyb</v>
      </c>
      <c r="K37" t="str">
        <f t="shared" si="3"/>
        <v>Trd_lcv_gsl-hyb_34</v>
      </c>
      <c r="L37" t="str">
        <f t="shared" si="4"/>
        <v>Trd_lcv</v>
      </c>
      <c r="M37" s="185">
        <f t="shared" si="11"/>
        <v>21437.621658378699</v>
      </c>
      <c r="N37" s="185">
        <f t="shared" si="12"/>
        <v>19855.904059578901</v>
      </c>
      <c r="O37" s="185">
        <f t="shared" si="13"/>
        <v>19855.904059578901</v>
      </c>
      <c r="P37" s="185">
        <f t="shared" si="14"/>
        <v>19855.904059578901</v>
      </c>
      <c r="T37" t="str">
        <f t="shared" si="1"/>
        <v>Trd_lcv_gsl-hyb_34</v>
      </c>
      <c r="U37" t="str">
        <f t="shared" ca="1" si="2"/>
        <v>ICE gasoline hybrid LCV -- 34%</v>
      </c>
      <c r="V37" s="188" t="s">
        <v>84</v>
      </c>
      <c r="W37" s="188" t="s">
        <v>85</v>
      </c>
    </row>
    <row r="38" spans="2:23">
      <c r="B38" s="52">
        <v>0.39185866442085598</v>
      </c>
      <c r="C38" s="221">
        <v>22211.008703413401</v>
      </c>
      <c r="D38" s="53">
        <v>20325.563062563899</v>
      </c>
      <c r="E38" s="53">
        <v>20325.563062563899</v>
      </c>
      <c r="F38" s="53">
        <v>20325.563062563899</v>
      </c>
      <c r="I38" s="50">
        <f t="shared" si="15"/>
        <v>1.3918586644208599</v>
      </c>
      <c r="J38" t="str">
        <f t="shared" si="8"/>
        <v>Trd_lcv_gsl-hyb</v>
      </c>
      <c r="K38" t="str">
        <f t="shared" si="3"/>
        <v>Trd_lcv_gsl-hyb_39</v>
      </c>
      <c r="L38" t="str">
        <f t="shared" si="4"/>
        <v>Trd_lcv</v>
      </c>
      <c r="M38" s="185">
        <f t="shared" si="11"/>
        <v>22211.008703413401</v>
      </c>
      <c r="N38" s="185">
        <f t="shared" si="12"/>
        <v>20325.563062563899</v>
      </c>
      <c r="O38" s="185">
        <f t="shared" si="13"/>
        <v>20325.563062563899</v>
      </c>
      <c r="P38" s="185">
        <f t="shared" si="14"/>
        <v>20325.563062563899</v>
      </c>
      <c r="T38" t="str">
        <f t="shared" si="1"/>
        <v>Trd_lcv_gsl-hyb_39</v>
      </c>
      <c r="U38" t="str">
        <f t="shared" ca="1" si="2"/>
        <v>ICE gasoline hybrid LCV -- 39%</v>
      </c>
      <c r="V38" s="188" t="s">
        <v>84</v>
      </c>
      <c r="W38" s="188" t="s">
        <v>85</v>
      </c>
    </row>
    <row r="39" spans="2:23">
      <c r="B39" s="52">
        <v>0.44185866442085597</v>
      </c>
      <c r="C39" s="221">
        <v>46471.148840110996</v>
      </c>
      <c r="D39" s="53">
        <v>26131.898294072998</v>
      </c>
      <c r="E39" s="53">
        <v>26131.898294072998</v>
      </c>
      <c r="F39" s="53">
        <v>26131.898294072998</v>
      </c>
      <c r="I39" s="50">
        <f t="shared" si="15"/>
        <v>1.44185866442086</v>
      </c>
      <c r="J39" t="str">
        <f t="shared" si="8"/>
        <v>Trd_lcv_gsl-hyb</v>
      </c>
      <c r="K39" t="str">
        <f t="shared" si="3"/>
        <v>Trd_lcv_gsl-hyb_44</v>
      </c>
      <c r="L39" t="str">
        <f t="shared" si="4"/>
        <v>Trd_lcv</v>
      </c>
      <c r="M39" s="185">
        <f t="shared" si="11"/>
        <v>46471.148840110996</v>
      </c>
      <c r="N39" s="185">
        <f t="shared" si="12"/>
        <v>26131.898294072998</v>
      </c>
      <c r="O39" s="185">
        <f t="shared" si="13"/>
        <v>26131.898294072998</v>
      </c>
      <c r="P39" s="185">
        <f t="shared" si="14"/>
        <v>26131.898294072998</v>
      </c>
      <c r="T39" t="str">
        <f t="shared" si="1"/>
        <v>Trd_lcv_gsl-hyb_44</v>
      </c>
      <c r="U39" t="str">
        <f t="shared" ca="1" si="2"/>
        <v>ICE gasoline hybrid LCV -- 44%</v>
      </c>
      <c r="V39" s="188" t="s">
        <v>84</v>
      </c>
      <c r="W39" s="188" t="s">
        <v>85</v>
      </c>
    </row>
    <row r="40" spans="2:23">
      <c r="B40" s="52">
        <v>0.49185866442085602</v>
      </c>
      <c r="C40" s="221">
        <v>108265.756276503</v>
      </c>
      <c r="D40" s="53">
        <v>77485.562366273094</v>
      </c>
      <c r="E40" s="53">
        <v>77485.562366273094</v>
      </c>
      <c r="F40" s="53">
        <v>77485.562366273094</v>
      </c>
      <c r="I40" s="50">
        <f t="shared" si="15"/>
        <v>1.49185866442086</v>
      </c>
      <c r="J40" t="str">
        <f t="shared" si="8"/>
        <v>Trd_lcv_gsl-hyb</v>
      </c>
      <c r="K40" t="str">
        <f t="shared" si="3"/>
        <v>Trd_lcv_gsl-hyb_49</v>
      </c>
      <c r="L40" t="str">
        <f t="shared" si="4"/>
        <v>Trd_lcv</v>
      </c>
      <c r="M40" s="185">
        <f t="shared" si="11"/>
        <v>108265.756276503</v>
      </c>
      <c r="N40" s="185">
        <f t="shared" si="12"/>
        <v>77485.562366273094</v>
      </c>
      <c r="O40" s="185">
        <f t="shared" si="13"/>
        <v>77485.562366273094</v>
      </c>
      <c r="P40" s="185">
        <f t="shared" si="14"/>
        <v>77485.562366273094</v>
      </c>
      <c r="T40" t="str">
        <f t="shared" si="1"/>
        <v>Trd_lcv_gsl-hyb_49</v>
      </c>
      <c r="U40" t="str">
        <f t="shared" ca="1" si="2"/>
        <v>ICE gasoline hybrid LCV -- 49%</v>
      </c>
      <c r="V40" s="188" t="s">
        <v>84</v>
      </c>
      <c r="W40" s="188" t="s">
        <v>85</v>
      </c>
    </row>
    <row r="41" spans="2:23">
      <c r="D41" s="61"/>
      <c r="E41" s="61"/>
      <c r="F41" s="61"/>
      <c r="I41" s="50"/>
      <c r="J41" t="str">
        <f t="shared" si="8"/>
        <v>Trd_lcv_gsl-hyb</v>
      </c>
      <c r="K41" t="str">
        <f t="shared" si="3"/>
        <v>\I:</v>
      </c>
      <c r="L41" t="str">
        <f t="shared" si="4"/>
        <v>\I:</v>
      </c>
      <c r="M41" s="185" t="str">
        <f t="shared" si="11"/>
        <v/>
      </c>
      <c r="N41" s="185" t="str">
        <f t="shared" si="12"/>
        <v/>
      </c>
      <c r="O41" s="185" t="str">
        <f t="shared" si="13"/>
        <v/>
      </c>
      <c r="P41" s="185" t="str">
        <f t="shared" si="14"/>
        <v/>
      </c>
      <c r="T41" t="str">
        <f t="shared" si="1"/>
        <v>\I:</v>
      </c>
      <c r="U41" t="str">
        <f t="shared" ca="1" si="2"/>
        <v>ICE gasoline hybrid LCV -- 00%</v>
      </c>
      <c r="V41" s="188" t="s">
        <v>84</v>
      </c>
      <c r="W41" s="188" t="s">
        <v>85</v>
      </c>
    </row>
    <row r="42" spans="2:23">
      <c r="I42" s="50"/>
      <c r="J42" t="str">
        <f t="shared" si="8"/>
        <v>Trd_lcv_gsl-hyb</v>
      </c>
      <c r="K42" t="str">
        <f t="shared" si="3"/>
        <v>\I:</v>
      </c>
      <c r="L42" t="str">
        <f t="shared" si="4"/>
        <v>\I:</v>
      </c>
      <c r="M42" s="185" t="str">
        <f t="shared" si="11"/>
        <v/>
      </c>
      <c r="N42" s="185" t="str">
        <f t="shared" si="12"/>
        <v/>
      </c>
      <c r="O42" s="185" t="str">
        <f t="shared" si="13"/>
        <v/>
      </c>
      <c r="P42" s="185" t="str">
        <f t="shared" si="14"/>
        <v/>
      </c>
      <c r="T42" t="str">
        <f t="shared" si="1"/>
        <v>\I:</v>
      </c>
      <c r="U42" t="str">
        <f t="shared" ca="1" si="2"/>
        <v>ICE gasoline hybrid LCV -- 00%</v>
      </c>
      <c r="V42" s="188" t="s">
        <v>84</v>
      </c>
      <c r="W42" s="188" t="s">
        <v>85</v>
      </c>
    </row>
    <row r="43" spans="2:23">
      <c r="I43" s="50"/>
      <c r="J43" t="str">
        <f t="shared" si="8"/>
        <v>Trd_lcv_gsl-hyb</v>
      </c>
      <c r="K43" t="str">
        <f t="shared" si="3"/>
        <v>\I:</v>
      </c>
      <c r="L43" t="str">
        <f t="shared" si="4"/>
        <v>\I:</v>
      </c>
      <c r="M43" s="185" t="str">
        <f t="shared" si="11"/>
        <v/>
      </c>
      <c r="N43" s="185" t="str">
        <f t="shared" si="12"/>
        <v/>
      </c>
      <c r="O43" s="185" t="str">
        <f t="shared" si="13"/>
        <v/>
      </c>
      <c r="P43" s="185" t="str">
        <f t="shared" si="14"/>
        <v/>
      </c>
      <c r="T43" t="str">
        <f t="shared" si="1"/>
        <v>\I:</v>
      </c>
      <c r="U43" t="str">
        <f t="shared" ca="1" si="2"/>
        <v>ICE gasoline hybrid LCV -- 00%</v>
      </c>
      <c r="V43" s="188" t="s">
        <v>84</v>
      </c>
      <c r="W43" s="188" t="s">
        <v>85</v>
      </c>
    </row>
    <row r="44" spans="2:23">
      <c r="I44" s="50"/>
      <c r="J44" t="str">
        <f t="shared" si="8"/>
        <v>Trd_lcv_gsl-hyb</v>
      </c>
      <c r="K44" t="str">
        <f t="shared" si="3"/>
        <v>\I:</v>
      </c>
      <c r="L44" t="str">
        <f t="shared" si="4"/>
        <v>\I:</v>
      </c>
      <c r="M44" s="185" t="str">
        <f t="shared" si="11"/>
        <v/>
      </c>
      <c r="N44" s="185" t="str">
        <f t="shared" si="12"/>
        <v/>
      </c>
      <c r="O44" s="185" t="str">
        <f t="shared" si="13"/>
        <v/>
      </c>
      <c r="P44" s="185" t="str">
        <f t="shared" si="14"/>
        <v/>
      </c>
      <c r="T44" t="str">
        <f t="shared" si="1"/>
        <v>\I:</v>
      </c>
      <c r="U44" t="str">
        <f t="shared" ca="1" si="2"/>
        <v>ICE gasoline hybrid LCV -- 00%</v>
      </c>
      <c r="V44" s="188" t="s">
        <v>84</v>
      </c>
      <c r="W44" s="188" t="s">
        <v>85</v>
      </c>
    </row>
    <row r="45" spans="2:23" ht="15" customHeight="1">
      <c r="B45" s="34" t="s">
        <v>16</v>
      </c>
      <c r="C45" s="179" t="s">
        <v>97</v>
      </c>
      <c r="D45" s="34"/>
      <c r="E45" s="34"/>
      <c r="F45" s="34"/>
      <c r="I45" s="50"/>
      <c r="J45" t="str">
        <f t="shared" si="8"/>
        <v>Trd_lcv_gsl-pih</v>
      </c>
      <c r="K45" t="str">
        <f t="shared" si="3"/>
        <v>\I:</v>
      </c>
      <c r="L45" t="str">
        <f t="shared" si="4"/>
        <v>\I:</v>
      </c>
      <c r="M45" s="185" t="str">
        <f t="shared" si="11"/>
        <v/>
      </c>
      <c r="N45" s="185" t="str">
        <f t="shared" si="12"/>
        <v/>
      </c>
      <c r="O45" s="185" t="str">
        <f t="shared" si="13"/>
        <v/>
      </c>
      <c r="P45" s="185" t="str">
        <f t="shared" si="14"/>
        <v/>
      </c>
      <c r="T45" t="str">
        <f t="shared" si="1"/>
        <v>\I:</v>
      </c>
      <c r="U45" t="str">
        <f t="shared" ca="1" si="2"/>
        <v>ICE gasoline plug-in hybrid LCV -- Reduction of specific energy consumption relative to 2015 gasoline vehicle (%)</v>
      </c>
      <c r="V45" s="188" t="s">
        <v>84</v>
      </c>
      <c r="W45" s="188" t="s">
        <v>85</v>
      </c>
    </row>
    <row r="46" spans="2:23">
      <c r="B46" s="34"/>
      <c r="C46" s="179"/>
      <c r="D46" s="34"/>
      <c r="E46" s="34"/>
      <c r="F46" s="34"/>
      <c r="J46" t="str">
        <f t="shared" si="8"/>
        <v>Trd_lcv_gsl-pih</v>
      </c>
      <c r="K46" t="str">
        <f t="shared" si="3"/>
        <v>\I:</v>
      </c>
      <c r="L46" t="str">
        <f t="shared" si="4"/>
        <v>\I:</v>
      </c>
      <c r="M46" s="185" t="str">
        <f t="shared" si="11"/>
        <v/>
      </c>
      <c r="N46" s="185" t="str">
        <f t="shared" si="12"/>
        <v/>
      </c>
      <c r="O46" s="185" t="str">
        <f t="shared" si="13"/>
        <v/>
      </c>
      <c r="P46" s="185" t="str">
        <f t="shared" si="14"/>
        <v/>
      </c>
      <c r="T46" t="str">
        <f t="shared" si="1"/>
        <v>\I:</v>
      </c>
      <c r="U46" t="str">
        <f t="shared" ca="1" si="2"/>
        <v>ICE gasoline plug-in hybrid LCV -- 00%</v>
      </c>
      <c r="V46" s="188" t="s">
        <v>84</v>
      </c>
      <c r="W46" s="188" t="s">
        <v>85</v>
      </c>
    </row>
    <row r="47" spans="2:23">
      <c r="B47" s="34"/>
      <c r="C47" s="179"/>
      <c r="D47" s="34"/>
      <c r="E47" s="34"/>
      <c r="F47" s="34"/>
      <c r="J47" t="str">
        <f t="shared" si="8"/>
        <v>Trd_lcv_gsl-pih</v>
      </c>
      <c r="K47" t="str">
        <f t="shared" si="3"/>
        <v>\I:</v>
      </c>
      <c r="L47" t="str">
        <f t="shared" si="4"/>
        <v>\I:</v>
      </c>
      <c r="M47" s="185" t="str">
        <f t="shared" si="11"/>
        <v/>
      </c>
      <c r="N47" s="185" t="str">
        <f t="shared" si="12"/>
        <v/>
      </c>
      <c r="O47" s="185" t="str">
        <f t="shared" si="13"/>
        <v/>
      </c>
      <c r="P47" s="185" t="str">
        <f t="shared" si="14"/>
        <v/>
      </c>
      <c r="T47" t="str">
        <f t="shared" si="1"/>
        <v>\I:</v>
      </c>
      <c r="U47" t="str">
        <f t="shared" ca="1" si="2"/>
        <v>ICE gasoline plug-in hybrid LCV -- 00%</v>
      </c>
      <c r="V47" s="188" t="s">
        <v>84</v>
      </c>
      <c r="W47" s="188" t="s">
        <v>85</v>
      </c>
    </row>
    <row r="48" spans="2:23">
      <c r="B48" s="55"/>
      <c r="C48" s="220">
        <v>2020</v>
      </c>
      <c r="D48" s="36">
        <v>2030</v>
      </c>
      <c r="E48" s="36">
        <v>2040</v>
      </c>
      <c r="F48" s="36">
        <v>2050</v>
      </c>
      <c r="J48" t="str">
        <f t="shared" si="8"/>
        <v>Trd_lcv_gsl-pih</v>
      </c>
      <c r="K48" t="str">
        <f t="shared" si="3"/>
        <v>\I:</v>
      </c>
      <c r="L48" t="str">
        <f t="shared" si="4"/>
        <v>\I:</v>
      </c>
      <c r="M48" s="185" t="str">
        <f t="shared" si="11"/>
        <v/>
      </c>
      <c r="N48" s="185" t="str">
        <f t="shared" si="12"/>
        <v/>
      </c>
      <c r="O48" s="185" t="str">
        <f t="shared" si="13"/>
        <v/>
      </c>
      <c r="P48" s="185" t="str">
        <f t="shared" si="14"/>
        <v/>
      </c>
      <c r="T48" t="str">
        <f t="shared" ref="T48:T79" si="16">K48</f>
        <v>\I:</v>
      </c>
      <c r="U48" t="str">
        <f t="shared" ref="U48:U79" ca="1" si="17">OFFSET($S$1,MATCH(J48,$S$1:$S$10,0)-1,-1)&amp;" -- "&amp;TEXT(B48,"00%")</f>
        <v>ICE gasoline plug-in hybrid LCV -- 00%</v>
      </c>
      <c r="V48" s="188" t="s">
        <v>84</v>
      </c>
      <c r="W48" s="188" t="s">
        <v>85</v>
      </c>
    </row>
    <row r="49" spans="2:23">
      <c r="B49" s="222">
        <v>0.82499999999999996</v>
      </c>
      <c r="C49" s="221">
        <v>25855.416272903301</v>
      </c>
      <c r="D49" s="53">
        <v>20946.0136101116</v>
      </c>
      <c r="E49" s="53">
        <v>19751.479579365801</v>
      </c>
      <c r="F49" s="53">
        <v>19403.086868744402</v>
      </c>
      <c r="I49" s="50">
        <f t="shared" ref="I49:I56" si="18">(1+B49)</f>
        <v>1.825</v>
      </c>
      <c r="J49" t="str">
        <f t="shared" si="8"/>
        <v>Trd_lcv_gsl-pih</v>
      </c>
      <c r="K49" t="str">
        <f t="shared" si="3"/>
        <v>Trd_lcv_gsl-pih_83</v>
      </c>
      <c r="L49" t="str">
        <f t="shared" si="4"/>
        <v>Trd_lcv</v>
      </c>
      <c r="M49" s="185">
        <f t="shared" si="11"/>
        <v>25855.416272903301</v>
      </c>
      <c r="N49" s="185">
        <f t="shared" si="12"/>
        <v>20946.0136101116</v>
      </c>
      <c r="O49" s="185">
        <f t="shared" si="13"/>
        <v>19751.479579365801</v>
      </c>
      <c r="P49" s="185">
        <f t="shared" si="14"/>
        <v>19403.086868744402</v>
      </c>
      <c r="T49" t="str">
        <f t="shared" si="16"/>
        <v>Trd_lcv_gsl-pih_83</v>
      </c>
      <c r="U49" t="str">
        <f t="shared" ca="1" si="17"/>
        <v>ICE gasoline plug-in hybrid LCV -- 83%</v>
      </c>
      <c r="V49" s="188" t="s">
        <v>84</v>
      </c>
      <c r="W49" s="188" t="s">
        <v>85</v>
      </c>
    </row>
    <row r="50" spans="2:23">
      <c r="B50" s="222">
        <v>0.83499999999999996</v>
      </c>
      <c r="C50" s="221">
        <v>25936.733954082301</v>
      </c>
      <c r="D50" s="53">
        <v>20972.5685484446</v>
      </c>
      <c r="E50" s="53">
        <v>19766.6423788705</v>
      </c>
      <c r="F50" s="53">
        <v>19414.574297740699</v>
      </c>
      <c r="I50" s="50">
        <f t="shared" si="18"/>
        <v>1.835</v>
      </c>
      <c r="J50" t="str">
        <f t="shared" si="8"/>
        <v>Trd_lcv_gsl-pih</v>
      </c>
      <c r="K50" t="str">
        <f t="shared" si="3"/>
        <v>Trd_lcv_gsl-pih_84</v>
      </c>
      <c r="L50" t="str">
        <f t="shared" si="4"/>
        <v>Trd_lcv</v>
      </c>
      <c r="M50" s="185">
        <f t="shared" si="11"/>
        <v>25936.733954082301</v>
      </c>
      <c r="N50" s="185">
        <f t="shared" si="12"/>
        <v>20972.5685484446</v>
      </c>
      <c r="O50" s="185">
        <f t="shared" si="13"/>
        <v>19766.6423788705</v>
      </c>
      <c r="P50" s="185">
        <f t="shared" si="14"/>
        <v>19414.574297740699</v>
      </c>
      <c r="T50" t="str">
        <f t="shared" si="16"/>
        <v>Trd_lcv_gsl-pih_84</v>
      </c>
      <c r="U50" t="str">
        <f t="shared" ca="1" si="17"/>
        <v>ICE gasoline plug-in hybrid LCV -- 84%</v>
      </c>
      <c r="V50" s="188" t="s">
        <v>84</v>
      </c>
      <c r="W50" s="188" t="s">
        <v>85</v>
      </c>
    </row>
    <row r="51" spans="2:23">
      <c r="B51" s="222">
        <v>0.84750000000000003</v>
      </c>
      <c r="C51" s="221">
        <v>26068.064146587902</v>
      </c>
      <c r="D51" s="53">
        <v>20983.7357684659</v>
      </c>
      <c r="E51" s="53">
        <v>19772.196020482101</v>
      </c>
      <c r="F51" s="53">
        <v>19418.261706888599</v>
      </c>
      <c r="I51" s="50">
        <f t="shared" si="18"/>
        <v>1.8474999999999999</v>
      </c>
      <c r="J51" t="str">
        <f t="shared" si="8"/>
        <v>Trd_lcv_gsl-pih</v>
      </c>
      <c r="K51" t="str">
        <f t="shared" si="3"/>
        <v>Trd_lcv_gsl-pih_85</v>
      </c>
      <c r="L51" t="str">
        <f t="shared" si="4"/>
        <v>Trd_lcv</v>
      </c>
      <c r="M51" s="185">
        <f t="shared" si="11"/>
        <v>26068.064146587902</v>
      </c>
      <c r="N51" s="185">
        <f t="shared" si="12"/>
        <v>20983.7357684659</v>
      </c>
      <c r="O51" s="185">
        <f t="shared" si="13"/>
        <v>19772.196020482101</v>
      </c>
      <c r="P51" s="185">
        <f t="shared" si="14"/>
        <v>19418.261706888599</v>
      </c>
      <c r="T51" t="str">
        <f t="shared" si="16"/>
        <v>Trd_lcv_gsl-pih_85</v>
      </c>
      <c r="U51" t="str">
        <f t="shared" ca="1" si="17"/>
        <v>ICE gasoline plug-in hybrid LCV -- 85%</v>
      </c>
      <c r="V51" s="188" t="s">
        <v>84</v>
      </c>
      <c r="W51" s="188" t="s">
        <v>85</v>
      </c>
    </row>
    <row r="52" spans="2:23">
      <c r="B52" s="222">
        <v>0.85750000000000004</v>
      </c>
      <c r="C52" s="221">
        <v>29189.2099676658</v>
      </c>
      <c r="D52" s="53">
        <v>21014.1005815479</v>
      </c>
      <c r="E52" s="53">
        <v>19796.196808819699</v>
      </c>
      <c r="F52" s="53">
        <v>19440.655965610102</v>
      </c>
      <c r="I52" s="50">
        <f t="shared" si="18"/>
        <v>1.8574999999999999</v>
      </c>
      <c r="J52" t="str">
        <f t="shared" si="8"/>
        <v>Trd_lcv_gsl-pih</v>
      </c>
      <c r="K52" t="str">
        <f t="shared" si="3"/>
        <v>Trd_lcv_gsl-pih_86</v>
      </c>
      <c r="L52" t="str">
        <f t="shared" si="4"/>
        <v>Trd_lcv</v>
      </c>
      <c r="M52" s="185">
        <f t="shared" si="11"/>
        <v>29189.2099676658</v>
      </c>
      <c r="N52" s="185">
        <f t="shared" si="12"/>
        <v>21014.1005815479</v>
      </c>
      <c r="O52" s="185">
        <f t="shared" si="13"/>
        <v>19796.196808819699</v>
      </c>
      <c r="P52" s="185">
        <f t="shared" si="14"/>
        <v>19440.655965610102</v>
      </c>
      <c r="T52" t="str">
        <f t="shared" si="16"/>
        <v>Trd_lcv_gsl-pih_86</v>
      </c>
      <c r="U52" t="str">
        <f t="shared" ca="1" si="17"/>
        <v>ICE gasoline plug-in hybrid LCV -- 86%</v>
      </c>
      <c r="V52" s="188" t="s">
        <v>84</v>
      </c>
      <c r="W52" s="188" t="s">
        <v>85</v>
      </c>
    </row>
    <row r="53" spans="2:23">
      <c r="B53" s="222">
        <v>0.86750000000000005</v>
      </c>
      <c r="C53" s="221">
        <v>44989.854316765202</v>
      </c>
      <c r="D53" s="53">
        <v>21032.520406179399</v>
      </c>
      <c r="E53" s="53">
        <v>19824.250679693501</v>
      </c>
      <c r="F53" s="53">
        <v>19472.993620452398</v>
      </c>
      <c r="I53" s="50">
        <f t="shared" si="18"/>
        <v>1.8674999999999999</v>
      </c>
      <c r="J53" t="str">
        <f t="shared" si="8"/>
        <v>Trd_lcv_gsl-pih</v>
      </c>
      <c r="K53" t="str">
        <f t="shared" si="3"/>
        <v>Trd_lcv_gsl-pih_87</v>
      </c>
      <c r="L53" t="str">
        <f t="shared" si="4"/>
        <v>Trd_lcv</v>
      </c>
      <c r="M53" s="185">
        <f t="shared" si="11"/>
        <v>44989.854316765202</v>
      </c>
      <c r="N53" s="185">
        <f t="shared" si="12"/>
        <v>21032.520406179399</v>
      </c>
      <c r="O53" s="185">
        <f t="shared" si="13"/>
        <v>19824.250679693501</v>
      </c>
      <c r="P53" s="185">
        <f t="shared" si="14"/>
        <v>19472.993620452398</v>
      </c>
      <c r="T53" t="str">
        <f t="shared" si="16"/>
        <v>Trd_lcv_gsl-pih_87</v>
      </c>
      <c r="U53" t="str">
        <f t="shared" ca="1" si="17"/>
        <v>ICE gasoline plug-in hybrid LCV -- 87%</v>
      </c>
      <c r="V53" s="188" t="s">
        <v>84</v>
      </c>
      <c r="W53" s="188" t="s">
        <v>85</v>
      </c>
    </row>
    <row r="54" spans="2:23">
      <c r="B54" s="222">
        <v>0.91500000000000004</v>
      </c>
      <c r="C54" s="221">
        <v>61078.702608949199</v>
      </c>
      <c r="D54" s="53">
        <v>24620.922874606102</v>
      </c>
      <c r="E54" s="53">
        <v>22831.784905328899</v>
      </c>
      <c r="F54" s="53">
        <v>22357.3877876521</v>
      </c>
      <c r="I54" s="50">
        <f t="shared" si="18"/>
        <v>1.915</v>
      </c>
      <c r="J54" t="str">
        <f t="shared" si="8"/>
        <v>Trd_lcv_gsl-pih</v>
      </c>
      <c r="K54" t="str">
        <f t="shared" si="3"/>
        <v>Trd_lcv_gsl-pih_92</v>
      </c>
      <c r="L54" t="str">
        <f t="shared" si="4"/>
        <v>Trd_lcv</v>
      </c>
      <c r="M54" s="185">
        <f t="shared" si="11"/>
        <v>61078.702608949199</v>
      </c>
      <c r="N54" s="185">
        <f t="shared" si="12"/>
        <v>24620.922874606102</v>
      </c>
      <c r="O54" s="185">
        <f t="shared" si="13"/>
        <v>22831.784905328899</v>
      </c>
      <c r="P54" s="185">
        <f t="shared" si="14"/>
        <v>22357.3877876521</v>
      </c>
      <c r="T54" t="str">
        <f t="shared" si="16"/>
        <v>Trd_lcv_gsl-pih_92</v>
      </c>
      <c r="U54" t="str">
        <f t="shared" ca="1" si="17"/>
        <v>ICE gasoline plug-in hybrid LCV -- 92%</v>
      </c>
      <c r="V54" s="188" t="s">
        <v>84</v>
      </c>
      <c r="W54" s="188" t="s">
        <v>85</v>
      </c>
    </row>
    <row r="55" spans="2:23">
      <c r="B55" s="222">
        <v>0.92249999999999999</v>
      </c>
      <c r="C55" s="221">
        <v>61658.5569109629</v>
      </c>
      <c r="D55" s="53">
        <v>36662.685826395398</v>
      </c>
      <c r="E55" s="53">
        <v>34512.214644488296</v>
      </c>
      <c r="F55" s="53">
        <v>34243.3411954732</v>
      </c>
      <c r="I55" s="50">
        <f t="shared" si="18"/>
        <v>1.9225000000000001</v>
      </c>
      <c r="J55" t="str">
        <f t="shared" si="8"/>
        <v>Trd_lcv_gsl-pih</v>
      </c>
      <c r="K55" t="str">
        <f t="shared" si="3"/>
        <v>Trd_lcv_gsl-pih_92</v>
      </c>
      <c r="L55" t="str">
        <f t="shared" si="4"/>
        <v>Trd_lcv</v>
      </c>
      <c r="M55" s="185">
        <f t="shared" si="11"/>
        <v>61658.5569109629</v>
      </c>
      <c r="N55" s="185">
        <f t="shared" si="12"/>
        <v>36662.685826395398</v>
      </c>
      <c r="O55" s="185">
        <f t="shared" si="13"/>
        <v>34512.214644488296</v>
      </c>
      <c r="P55" s="185">
        <f t="shared" si="14"/>
        <v>34243.3411954732</v>
      </c>
      <c r="T55" t="str">
        <f t="shared" si="16"/>
        <v>Trd_lcv_gsl-pih_92</v>
      </c>
      <c r="U55" t="str">
        <f t="shared" ca="1" si="17"/>
        <v>ICE gasoline plug-in hybrid LCV -- 92%</v>
      </c>
      <c r="V55" s="188" t="s">
        <v>84</v>
      </c>
      <c r="W55" s="188" t="s">
        <v>85</v>
      </c>
    </row>
    <row r="56" spans="2:23">
      <c r="B56" s="222">
        <v>0.93</v>
      </c>
      <c r="C56" s="221">
        <v>99213.7185822678</v>
      </c>
      <c r="D56" s="53">
        <v>52428.018226086002</v>
      </c>
      <c r="E56" s="53">
        <v>50000.3633152236</v>
      </c>
      <c r="F56" s="53">
        <v>50076.893512465504</v>
      </c>
      <c r="I56" s="50">
        <f t="shared" si="18"/>
        <v>1.93</v>
      </c>
      <c r="J56" t="str">
        <f t="shared" si="8"/>
        <v>Trd_lcv_gsl-pih</v>
      </c>
      <c r="K56" t="str">
        <f t="shared" si="3"/>
        <v>Trd_lcv_gsl-pih_93</v>
      </c>
      <c r="L56" t="str">
        <f t="shared" si="4"/>
        <v>Trd_lcv</v>
      </c>
      <c r="M56" s="185">
        <f t="shared" si="11"/>
        <v>99213.7185822678</v>
      </c>
      <c r="N56" s="185">
        <f t="shared" si="12"/>
        <v>52428.018226086002</v>
      </c>
      <c r="O56" s="185">
        <f t="shared" si="13"/>
        <v>50000.3633152236</v>
      </c>
      <c r="P56" s="185">
        <f t="shared" si="14"/>
        <v>50076.893512465504</v>
      </c>
      <c r="T56" t="str">
        <f t="shared" si="16"/>
        <v>Trd_lcv_gsl-pih_93</v>
      </c>
      <c r="U56" t="str">
        <f t="shared" ca="1" si="17"/>
        <v>ICE gasoline plug-in hybrid LCV -- 93%</v>
      </c>
      <c r="V56" s="188" t="s">
        <v>84</v>
      </c>
      <c r="W56" s="188" t="s">
        <v>85</v>
      </c>
    </row>
    <row r="57" spans="2:23">
      <c r="J57" t="str">
        <f t="shared" si="8"/>
        <v>Trd_lcv_gsl-pih</v>
      </c>
      <c r="K57" t="str">
        <f t="shared" si="3"/>
        <v>\I:</v>
      </c>
      <c r="L57" t="str">
        <f t="shared" si="4"/>
        <v>\I:</v>
      </c>
      <c r="M57" s="185" t="str">
        <f t="shared" si="11"/>
        <v/>
      </c>
      <c r="N57" s="185" t="str">
        <f t="shared" si="12"/>
        <v/>
      </c>
      <c r="O57" s="185" t="str">
        <f t="shared" si="13"/>
        <v/>
      </c>
      <c r="P57" s="185" t="str">
        <f t="shared" si="14"/>
        <v/>
      </c>
      <c r="T57" t="str">
        <f t="shared" si="16"/>
        <v>\I:</v>
      </c>
      <c r="U57" t="str">
        <f t="shared" ca="1" si="17"/>
        <v>ICE gasoline plug-in hybrid LCV -- 00%</v>
      </c>
      <c r="V57" s="188" t="s">
        <v>84</v>
      </c>
      <c r="W57" s="188" t="s">
        <v>85</v>
      </c>
    </row>
    <row r="58" spans="2:23">
      <c r="J58" t="str">
        <f t="shared" si="8"/>
        <v>Trd_lcv_gsl-pih</v>
      </c>
      <c r="K58" t="str">
        <f t="shared" si="3"/>
        <v>\I:</v>
      </c>
      <c r="L58" t="str">
        <f t="shared" si="4"/>
        <v>\I:</v>
      </c>
      <c r="M58" s="185" t="str">
        <f t="shared" si="11"/>
        <v/>
      </c>
      <c r="N58" s="185" t="str">
        <f t="shared" si="12"/>
        <v/>
      </c>
      <c r="O58" s="185" t="str">
        <f t="shared" si="13"/>
        <v/>
      </c>
      <c r="P58" s="185" t="str">
        <f t="shared" si="14"/>
        <v/>
      </c>
      <c r="T58" t="str">
        <f t="shared" si="16"/>
        <v>\I:</v>
      </c>
      <c r="U58" t="str">
        <f t="shared" ca="1" si="17"/>
        <v>ICE gasoline plug-in hybrid LCV -- 00%</v>
      </c>
      <c r="V58" s="188" t="s">
        <v>84</v>
      </c>
      <c r="W58" s="188" t="s">
        <v>85</v>
      </c>
    </row>
    <row r="59" spans="2:23">
      <c r="J59" t="str">
        <f t="shared" si="8"/>
        <v>Trd_lcv_gsl-pih</v>
      </c>
      <c r="K59" t="str">
        <f t="shared" si="3"/>
        <v>\I:</v>
      </c>
      <c r="L59" t="str">
        <f t="shared" si="4"/>
        <v>\I:</v>
      </c>
      <c r="M59" s="185" t="str">
        <f t="shared" si="11"/>
        <v/>
      </c>
      <c r="N59" s="185" t="str">
        <f t="shared" si="12"/>
        <v/>
      </c>
      <c r="O59" s="185" t="str">
        <f t="shared" si="13"/>
        <v/>
      </c>
      <c r="P59" s="185" t="str">
        <f t="shared" si="14"/>
        <v/>
      </c>
      <c r="T59" t="str">
        <f t="shared" si="16"/>
        <v>\I:</v>
      </c>
      <c r="U59" t="str">
        <f t="shared" ca="1" si="17"/>
        <v>ICE gasoline plug-in hybrid LCV -- 00%</v>
      </c>
      <c r="V59" s="188" t="s">
        <v>84</v>
      </c>
      <c r="W59" s="188" t="s">
        <v>85</v>
      </c>
    </row>
    <row r="60" spans="2:23">
      <c r="J60" t="str">
        <f t="shared" si="8"/>
        <v>Trd_lcv_gsl-pih</v>
      </c>
      <c r="K60" t="str">
        <f t="shared" si="3"/>
        <v>\I:</v>
      </c>
      <c r="L60" t="str">
        <f t="shared" si="4"/>
        <v>\I:</v>
      </c>
      <c r="M60" s="185" t="str">
        <f t="shared" si="11"/>
        <v/>
      </c>
      <c r="N60" s="185" t="str">
        <f t="shared" si="12"/>
        <v/>
      </c>
      <c r="O60" s="185" t="str">
        <f t="shared" si="13"/>
        <v/>
      </c>
      <c r="P60" s="185" t="str">
        <f t="shared" si="14"/>
        <v/>
      </c>
      <c r="T60" t="str">
        <f t="shared" si="16"/>
        <v>\I:</v>
      </c>
      <c r="U60" t="str">
        <f t="shared" ca="1" si="17"/>
        <v>ICE gasoline plug-in hybrid LCV -- 00%</v>
      </c>
      <c r="V60" s="188" t="s">
        <v>84</v>
      </c>
      <c r="W60" s="188" t="s">
        <v>85</v>
      </c>
    </row>
    <row r="61" spans="2:23">
      <c r="B61" s="29" t="s">
        <v>106</v>
      </c>
      <c r="J61" t="str">
        <f t="shared" si="8"/>
        <v>Trd_lcv_gsl-pih</v>
      </c>
      <c r="K61" t="str">
        <f t="shared" si="3"/>
        <v>\I:</v>
      </c>
      <c r="L61" t="str">
        <f t="shared" si="4"/>
        <v>\I:</v>
      </c>
      <c r="M61" s="185" t="str">
        <f t="shared" si="11"/>
        <v/>
      </c>
      <c r="N61" s="185" t="str">
        <f t="shared" si="12"/>
        <v/>
      </c>
      <c r="O61" s="185" t="str">
        <f t="shared" si="13"/>
        <v/>
      </c>
      <c r="P61" s="185" t="str">
        <f t="shared" si="14"/>
        <v/>
      </c>
      <c r="T61" t="str">
        <f t="shared" si="16"/>
        <v>\I:</v>
      </c>
      <c r="U61" t="str">
        <f t="shared" ca="1" si="17"/>
        <v>ICE gasoline plug-in hybrid LCV -- Reference values for diesel LCV</v>
      </c>
      <c r="V61" s="188" t="s">
        <v>84</v>
      </c>
      <c r="W61" s="188" t="s">
        <v>85</v>
      </c>
    </row>
    <row r="62" spans="2:23">
      <c r="B62" s="30">
        <v>2015</v>
      </c>
      <c r="C62" s="177"/>
      <c r="D62" s="30"/>
      <c r="J62" t="str">
        <f t="shared" si="8"/>
        <v>Trd_lcv_gsl-pih</v>
      </c>
      <c r="K62" t="str">
        <f t="shared" si="3"/>
        <v>\I:</v>
      </c>
      <c r="L62" t="str">
        <f t="shared" si="4"/>
        <v>\I:</v>
      </c>
      <c r="M62" s="185" t="str">
        <f t="shared" si="11"/>
        <v/>
      </c>
      <c r="N62" s="185" t="str">
        <f t="shared" si="12"/>
        <v/>
      </c>
      <c r="O62" s="185" t="str">
        <f t="shared" si="13"/>
        <v/>
      </c>
      <c r="P62" s="185" t="str">
        <f t="shared" si="14"/>
        <v/>
      </c>
      <c r="T62" t="str">
        <f t="shared" si="16"/>
        <v>\I:</v>
      </c>
      <c r="U62" t="str">
        <f t="shared" ca="1" si="17"/>
        <v>ICE gasoline plug-in hybrid LCV -- 201500%</v>
      </c>
      <c r="V62" s="188" t="s">
        <v>84</v>
      </c>
      <c r="W62" s="188" t="s">
        <v>85</v>
      </c>
    </row>
    <row r="63" spans="2:23">
      <c r="B63" s="31" t="s">
        <v>12</v>
      </c>
      <c r="C63" s="32" t="s">
        <v>13</v>
      </c>
      <c r="D63" s="33">
        <v>6.9320298837929899</v>
      </c>
      <c r="G63" s="50">
        <f>D63*F8/100*10^9/10^6</f>
        <v>2.6341713558413402</v>
      </c>
      <c r="H63" s="50"/>
      <c r="I63" s="178">
        <f>1/G63</f>
        <v>0.379626024625345</v>
      </c>
      <c r="J63" t="str">
        <f t="shared" si="8"/>
        <v>Trd_lcv_gsl-pih</v>
      </c>
      <c r="K63" t="str">
        <f t="shared" si="3"/>
        <v>\I:</v>
      </c>
      <c r="L63" t="str">
        <f t="shared" si="4"/>
        <v>\I:</v>
      </c>
      <c r="M63" s="185" t="str">
        <f t="shared" si="11"/>
        <v/>
      </c>
      <c r="N63" s="185" t="str">
        <f t="shared" si="12"/>
        <v/>
      </c>
      <c r="O63" s="185" t="str">
        <f t="shared" si="13"/>
        <v/>
      </c>
      <c r="P63" s="185" t="str">
        <f t="shared" si="14"/>
        <v/>
      </c>
      <c r="T63" t="str">
        <f t="shared" si="16"/>
        <v>\I:</v>
      </c>
      <c r="U63" t="str">
        <f t="shared" ca="1" si="17"/>
        <v>ICE gasoline plug-in hybrid LCV -- Energy consumption</v>
      </c>
      <c r="V63" s="188" t="s">
        <v>84</v>
      </c>
      <c r="W63" s="188" t="s">
        <v>85</v>
      </c>
    </row>
    <row r="64" spans="2:23">
      <c r="B64" s="31" t="s">
        <v>14</v>
      </c>
      <c r="C64" s="32" t="s">
        <v>15</v>
      </c>
      <c r="D64" s="44">
        <v>21231.360783026299</v>
      </c>
      <c r="I64" s="190" t="s">
        <v>70</v>
      </c>
      <c r="J64" t="str">
        <f t="shared" si="8"/>
        <v>Trd_lcv_gsl-pih</v>
      </c>
      <c r="K64" t="str">
        <f t="shared" si="3"/>
        <v>\I:</v>
      </c>
      <c r="L64" t="str">
        <f t="shared" si="4"/>
        <v>\I:</v>
      </c>
      <c r="M64" s="185" t="str">
        <f t="shared" si="11"/>
        <v/>
      </c>
      <c r="N64" s="185" t="str">
        <f t="shared" si="12"/>
        <v/>
      </c>
      <c r="O64" s="185" t="str">
        <f t="shared" si="13"/>
        <v/>
      </c>
      <c r="P64" s="185" t="str">
        <f t="shared" si="14"/>
        <v/>
      </c>
      <c r="T64" t="str">
        <f t="shared" si="16"/>
        <v>\I:</v>
      </c>
      <c r="U64" t="str">
        <f t="shared" ca="1" si="17"/>
        <v>ICE gasoline plug-in hybrid LCV -- Capital cost</v>
      </c>
      <c r="V64" s="188" t="s">
        <v>84</v>
      </c>
      <c r="W64" s="188" t="s">
        <v>85</v>
      </c>
    </row>
    <row r="65" spans="2:23">
      <c r="J65" t="str">
        <f t="shared" si="8"/>
        <v>Trd_lcv_gsl-pih</v>
      </c>
      <c r="K65" t="str">
        <f t="shared" si="3"/>
        <v>\I:</v>
      </c>
      <c r="L65" t="str">
        <f t="shared" si="4"/>
        <v>\I:</v>
      </c>
      <c r="M65" s="185" t="str">
        <f t="shared" si="11"/>
        <v/>
      </c>
      <c r="N65" s="185" t="str">
        <f t="shared" si="12"/>
        <v/>
      </c>
      <c r="O65" s="185" t="str">
        <f t="shared" si="13"/>
        <v/>
      </c>
      <c r="P65" s="185" t="str">
        <f t="shared" si="14"/>
        <v/>
      </c>
      <c r="T65" t="str">
        <f t="shared" si="16"/>
        <v>\I:</v>
      </c>
      <c r="U65" t="str">
        <f t="shared" ca="1" si="17"/>
        <v>ICE gasoline plug-in hybrid LCV -- 00%</v>
      </c>
      <c r="V65" s="188" t="s">
        <v>84</v>
      </c>
      <c r="W65" s="188" t="s">
        <v>85</v>
      </c>
    </row>
    <row r="66" spans="2:23" ht="15" customHeight="1">
      <c r="B66" s="34" t="s">
        <v>21</v>
      </c>
      <c r="C66" s="179" t="s">
        <v>98</v>
      </c>
      <c r="D66" s="34"/>
      <c r="E66" s="34"/>
      <c r="F66" s="34"/>
      <c r="J66" t="str">
        <f t="shared" si="8"/>
        <v>Trd_lcv_dsl</v>
      </c>
      <c r="K66" t="str">
        <f t="shared" si="3"/>
        <v>\I:</v>
      </c>
      <c r="L66" t="str">
        <f t="shared" si="4"/>
        <v>\I:</v>
      </c>
      <c r="M66" s="185" t="str">
        <f t="shared" si="11"/>
        <v/>
      </c>
      <c r="N66" s="185" t="str">
        <f t="shared" si="12"/>
        <v/>
      </c>
      <c r="O66" s="185" t="str">
        <f t="shared" si="13"/>
        <v/>
      </c>
      <c r="P66" s="185" t="str">
        <f t="shared" si="14"/>
        <v/>
      </c>
      <c r="T66" t="str">
        <f t="shared" si="16"/>
        <v>\I:</v>
      </c>
      <c r="U66" t="str">
        <f t="shared" ca="1" si="17"/>
        <v>ICE diesel LCV -- Reduction of specific energy consumption relative to 2015 diesel vehicle (%)</v>
      </c>
      <c r="V66" s="188" t="s">
        <v>84</v>
      </c>
      <c r="W66" s="188" t="s">
        <v>85</v>
      </c>
    </row>
    <row r="67" spans="2:23">
      <c r="B67" s="34"/>
      <c r="C67" s="179"/>
      <c r="D67" s="34"/>
      <c r="E67" s="34"/>
      <c r="F67" s="34"/>
      <c r="J67" t="str">
        <f t="shared" si="8"/>
        <v>Trd_lcv_dsl</v>
      </c>
      <c r="K67" t="str">
        <f t="shared" si="3"/>
        <v>\I:</v>
      </c>
      <c r="L67" t="str">
        <f t="shared" si="4"/>
        <v>\I:</v>
      </c>
      <c r="M67" s="185" t="str">
        <f t="shared" si="11"/>
        <v/>
      </c>
      <c r="N67" s="185" t="str">
        <f t="shared" si="12"/>
        <v/>
      </c>
      <c r="O67" s="185" t="str">
        <f t="shared" si="13"/>
        <v/>
      </c>
      <c r="P67" s="185" t="str">
        <f t="shared" si="14"/>
        <v/>
      </c>
      <c r="T67" t="str">
        <f t="shared" si="16"/>
        <v>\I:</v>
      </c>
      <c r="U67" t="str">
        <f t="shared" ca="1" si="17"/>
        <v>ICE diesel LCV -- 00%</v>
      </c>
      <c r="V67" s="188" t="s">
        <v>84</v>
      </c>
      <c r="W67" s="188" t="s">
        <v>85</v>
      </c>
    </row>
    <row r="68" spans="2:23">
      <c r="B68" s="34"/>
      <c r="C68" s="179"/>
      <c r="D68" s="34"/>
      <c r="E68" s="34"/>
      <c r="F68" s="34"/>
      <c r="J68" t="str">
        <f t="shared" si="8"/>
        <v>Trd_lcv_dsl</v>
      </c>
      <c r="K68" t="str">
        <f t="shared" si="3"/>
        <v>\I:</v>
      </c>
      <c r="L68" t="str">
        <f t="shared" si="4"/>
        <v>\I:</v>
      </c>
      <c r="M68" s="185" t="str">
        <f t="shared" si="11"/>
        <v/>
      </c>
      <c r="N68" s="185" t="str">
        <f t="shared" si="12"/>
        <v/>
      </c>
      <c r="O68" s="185" t="str">
        <f t="shared" si="13"/>
        <v/>
      </c>
      <c r="P68" s="185" t="str">
        <f t="shared" si="14"/>
        <v/>
      </c>
      <c r="T68" t="str">
        <f t="shared" si="16"/>
        <v>\I:</v>
      </c>
      <c r="U68" t="str">
        <f t="shared" ca="1" si="17"/>
        <v>ICE diesel LCV -- 00%</v>
      </c>
      <c r="V68" s="188" t="s">
        <v>84</v>
      </c>
      <c r="W68" s="188" t="s">
        <v>85</v>
      </c>
    </row>
    <row r="69" spans="2:23">
      <c r="B69" s="55"/>
      <c r="C69" s="220">
        <v>2020</v>
      </c>
      <c r="D69" s="36">
        <v>2030</v>
      </c>
      <c r="E69" s="36">
        <v>2040</v>
      </c>
      <c r="F69" s="36">
        <v>2050</v>
      </c>
      <c r="I69" s="178">
        <v>1</v>
      </c>
      <c r="J69" s="29" t="str">
        <f t="shared" ref="J69" si="19">IFERROR(VLOOKUP(C69,$R$1:$S$11,2,FALSE),J68)</f>
        <v>Trd_lcv_dsl</v>
      </c>
      <c r="K69" s="29" t="str">
        <f>IFERROR(IF(VALUE(C69)&gt;200,J69&amp;"_"&amp;TEXT(B69*100,"00"),"\I:"),"\I:")</f>
        <v>Trd_lcv_dsl_00</v>
      </c>
      <c r="L69" t="str">
        <f t="shared" si="4"/>
        <v>Trd_lcv</v>
      </c>
      <c r="M69" s="223">
        <f>D64</f>
        <v>21231.360783026299</v>
      </c>
      <c r="N69" s="185"/>
      <c r="O69" s="185"/>
      <c r="P69" s="185"/>
      <c r="T69" t="str">
        <f t="shared" si="16"/>
        <v>Trd_lcv_dsl_00</v>
      </c>
      <c r="U69" t="str">
        <f t="shared" ca="1" si="17"/>
        <v>ICE diesel LCV -- 00%</v>
      </c>
      <c r="V69" s="188" t="s">
        <v>84</v>
      </c>
      <c r="W69" s="188" t="s">
        <v>85</v>
      </c>
    </row>
    <row r="70" spans="2:23">
      <c r="B70" s="52">
        <v>0.26210919523592002</v>
      </c>
      <c r="C70" s="221">
        <v>22474.228309435701</v>
      </c>
      <c r="D70" s="53">
        <v>21602.192306141798</v>
      </c>
      <c r="E70" s="53">
        <v>21602.192306141798</v>
      </c>
      <c r="F70" s="53">
        <v>21602.192306141798</v>
      </c>
      <c r="I70" s="50">
        <f>$I$63*(1+B70)/$I$11</f>
        <v>1.2855177894249501</v>
      </c>
      <c r="J70" t="str">
        <f t="shared" si="8"/>
        <v>Trd_lcv_dsl</v>
      </c>
      <c r="K70" t="str">
        <f t="shared" si="3"/>
        <v>Trd_lcv_dsl_26</v>
      </c>
      <c r="L70" t="str">
        <f t="shared" si="4"/>
        <v>Trd_lcv</v>
      </c>
      <c r="M70" s="185">
        <f t="shared" si="11"/>
        <v>22474.228309435701</v>
      </c>
      <c r="N70" s="185">
        <f t="shared" si="12"/>
        <v>21602.192306141798</v>
      </c>
      <c r="O70" s="185">
        <f t="shared" si="13"/>
        <v>21602.192306141798</v>
      </c>
      <c r="P70" s="185">
        <f t="shared" si="14"/>
        <v>21602.192306141798</v>
      </c>
      <c r="T70" t="str">
        <f t="shared" si="16"/>
        <v>Trd_lcv_dsl_26</v>
      </c>
      <c r="U70" t="str">
        <f t="shared" ca="1" si="17"/>
        <v>ICE diesel LCV -- 26%</v>
      </c>
      <c r="V70" s="188" t="s">
        <v>84</v>
      </c>
      <c r="W70" s="188" t="s">
        <v>85</v>
      </c>
    </row>
    <row r="71" spans="2:23">
      <c r="B71" s="52">
        <v>0.36210919523592</v>
      </c>
      <c r="C71" s="221">
        <v>26916.5341573593</v>
      </c>
      <c r="D71" s="53">
        <v>22758.940052897899</v>
      </c>
      <c r="E71" s="53">
        <v>22758.940052897899</v>
      </c>
      <c r="F71" s="53">
        <v>22758.940052897899</v>
      </c>
      <c r="I71" s="50">
        <f>$I$63*(1+B71)/$I$11</f>
        <v>1.3873725096248699</v>
      </c>
      <c r="J71" t="str">
        <f t="shared" si="8"/>
        <v>Trd_lcv_dsl</v>
      </c>
      <c r="K71" t="str">
        <f t="shared" si="3"/>
        <v>Trd_lcv_dsl_36</v>
      </c>
      <c r="L71" t="str">
        <f t="shared" si="4"/>
        <v>Trd_lcv</v>
      </c>
      <c r="M71" s="185">
        <f t="shared" si="11"/>
        <v>26916.5341573593</v>
      </c>
      <c r="N71" s="185">
        <f t="shared" si="12"/>
        <v>22758.940052897899</v>
      </c>
      <c r="O71" s="185">
        <f t="shared" si="13"/>
        <v>22758.940052897899</v>
      </c>
      <c r="P71" s="185">
        <f t="shared" si="14"/>
        <v>22758.940052897899</v>
      </c>
      <c r="T71" t="str">
        <f t="shared" si="16"/>
        <v>Trd_lcv_dsl_36</v>
      </c>
      <c r="U71" t="str">
        <f t="shared" ca="1" si="17"/>
        <v>ICE diesel LCV -- 36%</v>
      </c>
      <c r="V71" s="188" t="s">
        <v>84</v>
      </c>
      <c r="W71" s="188" t="s">
        <v>85</v>
      </c>
    </row>
    <row r="72" spans="2:23">
      <c r="B72" s="52">
        <v>0.41210919523591999</v>
      </c>
      <c r="C72" s="221">
        <v>36866.503754957797</v>
      </c>
      <c r="D72" s="53">
        <v>24797.898231430201</v>
      </c>
      <c r="E72" s="53">
        <v>24797.898231430201</v>
      </c>
      <c r="F72" s="53">
        <v>24797.898231430201</v>
      </c>
      <c r="I72" s="50">
        <f>$I$63*(1+B72)/$I$11</f>
        <v>1.4382998697248199</v>
      </c>
      <c r="J72" t="str">
        <f t="shared" si="8"/>
        <v>Trd_lcv_dsl</v>
      </c>
      <c r="K72" t="str">
        <f t="shared" si="3"/>
        <v>Trd_lcv_dsl_41</v>
      </c>
      <c r="L72" t="str">
        <f t="shared" si="4"/>
        <v>Trd_lcv</v>
      </c>
      <c r="M72" s="185">
        <f t="shared" si="11"/>
        <v>36866.503754957797</v>
      </c>
      <c r="N72" s="185">
        <f t="shared" si="12"/>
        <v>24797.898231430201</v>
      </c>
      <c r="O72" s="185">
        <f t="shared" si="13"/>
        <v>24797.898231430201</v>
      </c>
      <c r="P72" s="185">
        <f t="shared" si="14"/>
        <v>24797.898231430201</v>
      </c>
      <c r="T72" t="str">
        <f t="shared" si="16"/>
        <v>Trd_lcv_dsl_41</v>
      </c>
      <c r="U72" t="str">
        <f t="shared" ca="1" si="17"/>
        <v>ICE diesel LCV -- 41%</v>
      </c>
      <c r="V72" s="188" t="s">
        <v>84</v>
      </c>
      <c r="W72" s="188" t="s">
        <v>85</v>
      </c>
    </row>
    <row r="73" spans="2:23">
      <c r="B73" s="52">
        <v>0.46210919523591998</v>
      </c>
      <c r="C73" s="221">
        <v>111418.87654898599</v>
      </c>
      <c r="D73" s="53">
        <v>30833.758986095101</v>
      </c>
      <c r="E73" s="53">
        <v>30833.758986095101</v>
      </c>
      <c r="F73" s="53">
        <v>30833.758986095101</v>
      </c>
      <c r="I73" s="50">
        <f>$I$63*(1+B73)/$I$11</f>
        <v>1.48922722982478</v>
      </c>
      <c r="J73" t="str">
        <f t="shared" si="8"/>
        <v>Trd_lcv_dsl</v>
      </c>
      <c r="K73" t="str">
        <f t="shared" si="3"/>
        <v>Trd_lcv_dsl_46</v>
      </c>
      <c r="L73" t="str">
        <f t="shared" si="4"/>
        <v>Trd_lcv</v>
      </c>
      <c r="M73" s="185">
        <f t="shared" si="11"/>
        <v>111418.87654898599</v>
      </c>
      <c r="N73" s="185">
        <f t="shared" si="12"/>
        <v>30833.758986095101</v>
      </c>
      <c r="O73" s="185">
        <f t="shared" si="13"/>
        <v>30833.758986095101</v>
      </c>
      <c r="P73" s="185">
        <f t="shared" si="14"/>
        <v>30833.758986095101</v>
      </c>
      <c r="T73" t="str">
        <f t="shared" si="16"/>
        <v>Trd_lcv_dsl_46</v>
      </c>
      <c r="U73" t="str">
        <f t="shared" ca="1" si="17"/>
        <v>ICE diesel LCV -- 46%</v>
      </c>
      <c r="V73" s="188" t="s">
        <v>84</v>
      </c>
      <c r="W73" s="188" t="s">
        <v>85</v>
      </c>
    </row>
    <row r="74" spans="2:23">
      <c r="B74" s="52">
        <v>0.51210919523592002</v>
      </c>
      <c r="C74" s="221"/>
      <c r="D74" s="53">
        <v>86441.801143076402</v>
      </c>
      <c r="E74" s="53">
        <v>86441.801143076402</v>
      </c>
      <c r="F74" s="53">
        <v>86441.801143076402</v>
      </c>
      <c r="I74" s="50">
        <f>$I$63*(1+B74)/$I$11</f>
        <v>1.54015458992474</v>
      </c>
      <c r="J74" t="str">
        <f t="shared" si="8"/>
        <v>Trd_lcv_dsl</v>
      </c>
      <c r="K74" t="str">
        <f t="shared" si="3"/>
        <v>\I:</v>
      </c>
      <c r="L74" t="str">
        <f t="shared" si="4"/>
        <v>\I:</v>
      </c>
      <c r="M74" s="185" t="str">
        <f t="shared" si="11"/>
        <v/>
      </c>
      <c r="N74" s="185" t="str">
        <f t="shared" si="12"/>
        <v/>
      </c>
      <c r="O74" s="185" t="str">
        <f t="shared" si="13"/>
        <v/>
      </c>
      <c r="P74" s="185" t="str">
        <f t="shared" si="14"/>
        <v/>
      </c>
      <c r="T74" t="str">
        <f t="shared" si="16"/>
        <v>\I:</v>
      </c>
      <c r="U74" t="str">
        <f t="shared" ca="1" si="17"/>
        <v>ICE diesel LCV -- 51%</v>
      </c>
      <c r="V74" s="188" t="s">
        <v>84</v>
      </c>
      <c r="W74" s="188" t="s">
        <v>85</v>
      </c>
    </row>
    <row r="75" spans="2:23">
      <c r="D75" s="61"/>
      <c r="E75" s="61"/>
      <c r="F75" s="61"/>
      <c r="J75" t="str">
        <f t="shared" si="8"/>
        <v>Trd_lcv_dsl</v>
      </c>
      <c r="K75" t="str">
        <f t="shared" si="3"/>
        <v>\I:</v>
      </c>
      <c r="L75" t="str">
        <f t="shared" si="4"/>
        <v>\I:</v>
      </c>
      <c r="M75" s="185" t="str">
        <f t="shared" si="11"/>
        <v/>
      </c>
      <c r="N75" s="185" t="str">
        <f t="shared" si="12"/>
        <v/>
      </c>
      <c r="O75" s="185" t="str">
        <f t="shared" si="13"/>
        <v/>
      </c>
      <c r="P75" s="185" t="str">
        <f t="shared" si="14"/>
        <v/>
      </c>
      <c r="T75" t="str">
        <f t="shared" si="16"/>
        <v>\I:</v>
      </c>
      <c r="U75" t="str">
        <f t="shared" ca="1" si="17"/>
        <v>ICE diesel LCV -- 00%</v>
      </c>
      <c r="V75" s="188" t="s">
        <v>84</v>
      </c>
      <c r="W75" s="188" t="s">
        <v>85</v>
      </c>
    </row>
    <row r="76" spans="2:23">
      <c r="J76" t="str">
        <f t="shared" si="8"/>
        <v>Trd_lcv_dsl</v>
      </c>
      <c r="K76" t="str">
        <f t="shared" si="3"/>
        <v>\I:</v>
      </c>
      <c r="L76" t="str">
        <f t="shared" si="4"/>
        <v>\I:</v>
      </c>
      <c r="M76" s="185" t="str">
        <f t="shared" si="11"/>
        <v/>
      </c>
      <c r="N76" s="185" t="str">
        <f t="shared" si="12"/>
        <v/>
      </c>
      <c r="O76" s="185" t="str">
        <f t="shared" si="13"/>
        <v/>
      </c>
      <c r="P76" s="185" t="str">
        <f t="shared" si="14"/>
        <v/>
      </c>
      <c r="T76" t="str">
        <f t="shared" si="16"/>
        <v>\I:</v>
      </c>
      <c r="U76" t="str">
        <f t="shared" ca="1" si="17"/>
        <v>ICE diesel LCV -- 00%</v>
      </c>
      <c r="V76" s="188" t="s">
        <v>84</v>
      </c>
      <c r="W76" s="188" t="s">
        <v>85</v>
      </c>
    </row>
    <row r="77" spans="2:23">
      <c r="J77" t="str">
        <f t="shared" si="8"/>
        <v>Trd_lcv_dsl</v>
      </c>
      <c r="K77" t="str">
        <f t="shared" si="3"/>
        <v>\I:</v>
      </c>
      <c r="L77" t="str">
        <f t="shared" si="4"/>
        <v>\I:</v>
      </c>
      <c r="M77" s="185" t="str">
        <f t="shared" si="11"/>
        <v/>
      </c>
      <c r="N77" s="185" t="str">
        <f t="shared" si="12"/>
        <v/>
      </c>
      <c r="O77" s="185" t="str">
        <f t="shared" si="13"/>
        <v/>
      </c>
      <c r="P77" s="185" t="str">
        <f t="shared" si="14"/>
        <v/>
      </c>
      <c r="T77" t="str">
        <f t="shared" si="16"/>
        <v>\I:</v>
      </c>
      <c r="U77" t="str">
        <f t="shared" ca="1" si="17"/>
        <v>ICE diesel LCV -- 00%</v>
      </c>
      <c r="V77" s="188" t="s">
        <v>84</v>
      </c>
      <c r="W77" s="188" t="s">
        <v>85</v>
      </c>
    </row>
    <row r="78" spans="2:23">
      <c r="J78" t="str">
        <f t="shared" si="8"/>
        <v>Trd_lcv_dsl</v>
      </c>
      <c r="K78" t="str">
        <f t="shared" si="3"/>
        <v>\I:</v>
      </c>
      <c r="L78" t="str">
        <f t="shared" si="4"/>
        <v>\I:</v>
      </c>
      <c r="M78" s="185" t="str">
        <f t="shared" si="11"/>
        <v/>
      </c>
      <c r="N78" s="185" t="str">
        <f t="shared" si="12"/>
        <v/>
      </c>
      <c r="O78" s="185" t="str">
        <f t="shared" si="13"/>
        <v/>
      </c>
      <c r="P78" s="185" t="str">
        <f t="shared" si="14"/>
        <v/>
      </c>
      <c r="T78" t="str">
        <f t="shared" si="16"/>
        <v>\I:</v>
      </c>
      <c r="U78" t="str">
        <f t="shared" ca="1" si="17"/>
        <v>ICE diesel LCV -- 00%</v>
      </c>
      <c r="V78" s="188" t="s">
        <v>84</v>
      </c>
      <c r="W78" s="188" t="s">
        <v>85</v>
      </c>
    </row>
    <row r="79" spans="2:23" ht="15" customHeight="1">
      <c r="B79" s="34" t="s">
        <v>21</v>
      </c>
      <c r="C79" s="179" t="s">
        <v>99</v>
      </c>
      <c r="D79" s="34"/>
      <c r="E79" s="34"/>
      <c r="F79" s="34"/>
      <c r="J79" t="str">
        <f t="shared" si="8"/>
        <v>Trd_lcv_dsl-hyb</v>
      </c>
      <c r="K79" t="str">
        <f t="shared" si="3"/>
        <v>\I:</v>
      </c>
      <c r="L79" t="str">
        <f t="shared" si="4"/>
        <v>\I:</v>
      </c>
      <c r="M79" s="185" t="str">
        <f t="shared" si="11"/>
        <v/>
      </c>
      <c r="N79" s="185" t="str">
        <f t="shared" si="12"/>
        <v/>
      </c>
      <c r="O79" s="185" t="str">
        <f t="shared" si="13"/>
        <v/>
      </c>
      <c r="P79" s="185" t="str">
        <f t="shared" si="14"/>
        <v/>
      </c>
      <c r="T79" t="str">
        <f t="shared" si="16"/>
        <v>\I:</v>
      </c>
      <c r="U79" t="str">
        <f t="shared" ca="1" si="17"/>
        <v>ICE hybrid diesel LCV -- Reduction of specific energy consumption relative to 2015 diesel vehicle (%)</v>
      </c>
      <c r="V79" s="188" t="s">
        <v>84</v>
      </c>
      <c r="W79" s="188" t="s">
        <v>85</v>
      </c>
    </row>
    <row r="80" spans="2:23">
      <c r="B80" s="34"/>
      <c r="C80" s="179"/>
      <c r="D80" s="34"/>
      <c r="E80" s="34"/>
      <c r="F80" s="34"/>
      <c r="J80" t="str">
        <f t="shared" si="8"/>
        <v>Trd_lcv_dsl-hyb</v>
      </c>
      <c r="K80" t="str">
        <f t="shared" si="3"/>
        <v>\I:</v>
      </c>
      <c r="L80" t="str">
        <f t="shared" si="4"/>
        <v>\I:</v>
      </c>
      <c r="M80" s="185" t="str">
        <f t="shared" si="11"/>
        <v/>
      </c>
      <c r="N80" s="185" t="str">
        <f t="shared" si="12"/>
        <v/>
      </c>
      <c r="O80" s="185" t="str">
        <f t="shared" si="13"/>
        <v/>
      </c>
      <c r="P80" s="185" t="str">
        <f t="shared" si="14"/>
        <v/>
      </c>
      <c r="T80" t="str">
        <f t="shared" ref="T80:T111" si="20">K80</f>
        <v>\I:</v>
      </c>
      <c r="U80" t="str">
        <f t="shared" ref="U80:U111" ca="1" si="21">OFFSET($S$1,MATCH(J80,$S$1:$S$10,0)-1,-1)&amp;" -- "&amp;TEXT(B80,"00%")</f>
        <v>ICE hybrid diesel LCV -- 00%</v>
      </c>
      <c r="V80" s="188" t="s">
        <v>84</v>
      </c>
      <c r="W80" s="188" t="s">
        <v>85</v>
      </c>
    </row>
    <row r="81" spans="2:23">
      <c r="B81" s="34"/>
      <c r="C81" s="179"/>
      <c r="D81" s="34"/>
      <c r="E81" s="34"/>
      <c r="F81" s="34"/>
      <c r="J81" t="str">
        <f t="shared" si="8"/>
        <v>Trd_lcv_dsl-hyb</v>
      </c>
      <c r="K81" t="str">
        <f t="shared" ref="K81:K144" si="22">IFERROR(IF(VALUE(C81)&gt;2020,J81&amp;"_"&amp;TEXT(B81*100,"00"),"\I:"),"\I:")</f>
        <v>\I:</v>
      </c>
      <c r="L81" t="str">
        <f t="shared" ref="L81:L144" si="23">LEFT(K81,7)</f>
        <v>\I:</v>
      </c>
      <c r="M81" s="185" t="str">
        <f t="shared" si="11"/>
        <v/>
      </c>
      <c r="N81" s="185" t="str">
        <f t="shared" si="12"/>
        <v/>
      </c>
      <c r="O81" s="185" t="str">
        <f t="shared" si="13"/>
        <v/>
      </c>
      <c r="P81" s="185" t="str">
        <f t="shared" si="14"/>
        <v/>
      </c>
      <c r="T81" t="str">
        <f t="shared" si="20"/>
        <v>\I:</v>
      </c>
      <c r="U81" t="str">
        <f t="shared" ca="1" si="21"/>
        <v>ICE hybrid diesel LCV -- 00%</v>
      </c>
      <c r="V81" s="188" t="s">
        <v>84</v>
      </c>
      <c r="W81" s="188" t="s">
        <v>85</v>
      </c>
    </row>
    <row r="82" spans="2:23">
      <c r="B82" s="55"/>
      <c r="C82" s="220">
        <v>2020</v>
      </c>
      <c r="D82" s="36">
        <v>2030</v>
      </c>
      <c r="E82" s="36">
        <v>2040</v>
      </c>
      <c r="F82" s="36">
        <v>2050</v>
      </c>
      <c r="J82" t="str">
        <f t="shared" si="8"/>
        <v>Trd_lcv_dsl-hyb</v>
      </c>
      <c r="K82" t="str">
        <f t="shared" si="22"/>
        <v>\I:</v>
      </c>
      <c r="L82" t="str">
        <f t="shared" si="23"/>
        <v>\I:</v>
      </c>
      <c r="M82" s="185" t="str">
        <f t="shared" si="11"/>
        <v/>
      </c>
      <c r="N82" s="185" t="str">
        <f t="shared" si="12"/>
        <v/>
      </c>
      <c r="O82" s="185" t="str">
        <f t="shared" si="13"/>
        <v/>
      </c>
      <c r="P82" s="185" t="str">
        <f t="shared" si="14"/>
        <v/>
      </c>
      <c r="T82" t="str">
        <f t="shared" si="20"/>
        <v>\I:</v>
      </c>
      <c r="U82" t="str">
        <f t="shared" ca="1" si="21"/>
        <v>ICE hybrid diesel LCV -- 00%</v>
      </c>
      <c r="V82" s="188" t="s">
        <v>84</v>
      </c>
      <c r="W82" s="188" t="s">
        <v>85</v>
      </c>
    </row>
    <row r="83" spans="2:23">
      <c r="B83" s="52">
        <v>0.110724303558803</v>
      </c>
      <c r="C83" s="221">
        <v>24678.666866183299</v>
      </c>
      <c r="D83" s="53">
        <v>23366.068600119499</v>
      </c>
      <c r="E83" s="53">
        <v>23366.068600119499</v>
      </c>
      <c r="F83" s="53">
        <v>23366.068600119499</v>
      </c>
      <c r="I83" s="50">
        <f t="shared" ref="I83:I89" si="24">$I$63*(1+B83)/$I$11</f>
        <v>1.1313251315822801</v>
      </c>
      <c r="J83" t="str">
        <f t="shared" si="8"/>
        <v>Trd_lcv_dsl-hyb</v>
      </c>
      <c r="K83" t="str">
        <f t="shared" si="22"/>
        <v>Trd_lcv_dsl-hyb_11</v>
      </c>
      <c r="L83" t="str">
        <f t="shared" si="23"/>
        <v>Trd_lcv</v>
      </c>
      <c r="M83" s="185">
        <f t="shared" si="11"/>
        <v>24678.666866183299</v>
      </c>
      <c r="N83" s="185">
        <f t="shared" si="12"/>
        <v>23366.068600119499</v>
      </c>
      <c r="O83" s="185">
        <f t="shared" si="13"/>
        <v>23366.068600119499</v>
      </c>
      <c r="P83" s="185">
        <f t="shared" si="14"/>
        <v>23366.068600119499</v>
      </c>
      <c r="T83" t="str">
        <f t="shared" si="20"/>
        <v>Trd_lcv_dsl-hyb_11</v>
      </c>
      <c r="U83" t="str">
        <f t="shared" ca="1" si="21"/>
        <v>ICE hybrid diesel LCV -- 11%</v>
      </c>
      <c r="V83" s="188" t="s">
        <v>84</v>
      </c>
      <c r="W83" s="188" t="s">
        <v>85</v>
      </c>
    </row>
    <row r="84" spans="2:23">
      <c r="B84" s="52">
        <v>0.21072430355880301</v>
      </c>
      <c r="C84" s="221">
        <v>24878.6334447431</v>
      </c>
      <c r="D84" s="53">
        <v>23501.121720949101</v>
      </c>
      <c r="E84" s="53">
        <v>23501.121720949101</v>
      </c>
      <c r="F84" s="53">
        <v>23501.121720949101</v>
      </c>
      <c r="I84" s="50">
        <f t="shared" si="24"/>
        <v>1.2331798517821899</v>
      </c>
      <c r="J84" t="str">
        <f t="shared" ref="J84:J147" si="25">IFERROR(VLOOKUP(C84,$R$1:$S$10,2,FALSE),J83)</f>
        <v>Trd_lcv_dsl-hyb</v>
      </c>
      <c r="K84" t="str">
        <f t="shared" si="22"/>
        <v>Trd_lcv_dsl-hyb_21</v>
      </c>
      <c r="L84" t="str">
        <f t="shared" si="23"/>
        <v>Trd_lcv</v>
      </c>
      <c r="M84" s="185">
        <f t="shared" si="11"/>
        <v>24878.6334447431</v>
      </c>
      <c r="N84" s="185">
        <f t="shared" si="12"/>
        <v>23501.121720949101</v>
      </c>
      <c r="O84" s="185">
        <f t="shared" si="13"/>
        <v>23501.121720949101</v>
      </c>
      <c r="P84" s="185">
        <f t="shared" si="14"/>
        <v>23501.121720949101</v>
      </c>
      <c r="T84" t="str">
        <f t="shared" si="20"/>
        <v>Trd_lcv_dsl-hyb_21</v>
      </c>
      <c r="U84" t="str">
        <f t="shared" ca="1" si="21"/>
        <v>ICE hybrid diesel LCV -- 21%</v>
      </c>
      <c r="V84" s="188" t="s">
        <v>84</v>
      </c>
      <c r="W84" s="188" t="s">
        <v>85</v>
      </c>
    </row>
    <row r="85" spans="2:23">
      <c r="B85" s="52">
        <v>0.26072430355880299</v>
      </c>
      <c r="C85" s="221">
        <v>25028.9645658107</v>
      </c>
      <c r="D85" s="53">
        <v>23634.9946579313</v>
      </c>
      <c r="E85" s="53">
        <v>23634.9946579313</v>
      </c>
      <c r="F85" s="53">
        <v>23634.9946579313</v>
      </c>
      <c r="I85" s="50">
        <f t="shared" si="24"/>
        <v>1.2841072118821499</v>
      </c>
      <c r="J85" t="str">
        <f t="shared" si="25"/>
        <v>Trd_lcv_dsl-hyb</v>
      </c>
      <c r="K85" t="str">
        <f t="shared" si="22"/>
        <v>Trd_lcv_dsl-hyb_26</v>
      </c>
      <c r="L85" t="str">
        <f t="shared" si="23"/>
        <v>Trd_lcv</v>
      </c>
      <c r="M85" s="185">
        <f t="shared" si="11"/>
        <v>25028.9645658107</v>
      </c>
      <c r="N85" s="185">
        <f t="shared" si="12"/>
        <v>23634.9946579313</v>
      </c>
      <c r="O85" s="185">
        <f t="shared" si="13"/>
        <v>23634.9946579313</v>
      </c>
      <c r="P85" s="185">
        <f t="shared" si="14"/>
        <v>23634.9946579313</v>
      </c>
      <c r="T85" t="str">
        <f t="shared" si="20"/>
        <v>Trd_lcv_dsl-hyb_26</v>
      </c>
      <c r="U85" t="str">
        <f t="shared" ca="1" si="21"/>
        <v>ICE hybrid diesel LCV -- 26%</v>
      </c>
      <c r="V85" s="188" t="s">
        <v>84</v>
      </c>
      <c r="W85" s="188" t="s">
        <v>85</v>
      </c>
    </row>
    <row r="86" spans="2:23">
      <c r="B86" s="52">
        <v>0.31072430355880298</v>
      </c>
      <c r="C86" s="221">
        <v>25273.029299096801</v>
      </c>
      <c r="D86" s="53">
        <v>23801.075211556399</v>
      </c>
      <c r="E86" s="53">
        <v>23801.075211556399</v>
      </c>
      <c r="F86" s="53">
        <v>23801.075211556399</v>
      </c>
      <c r="I86" s="50">
        <f t="shared" si="24"/>
        <v>1.33503457198211</v>
      </c>
      <c r="J86" t="str">
        <f t="shared" si="25"/>
        <v>Trd_lcv_dsl-hyb</v>
      </c>
      <c r="K86" t="str">
        <f t="shared" si="22"/>
        <v>Trd_lcv_dsl-hyb_31</v>
      </c>
      <c r="L86" t="str">
        <f t="shared" si="23"/>
        <v>Trd_lcv</v>
      </c>
      <c r="M86" s="185">
        <f t="shared" si="11"/>
        <v>25273.029299096801</v>
      </c>
      <c r="N86" s="185">
        <f t="shared" si="12"/>
        <v>23801.075211556399</v>
      </c>
      <c r="O86" s="185">
        <f t="shared" si="13"/>
        <v>23801.075211556399</v>
      </c>
      <c r="P86" s="185">
        <f t="shared" si="14"/>
        <v>23801.075211556399</v>
      </c>
      <c r="T86" t="str">
        <f t="shared" si="20"/>
        <v>Trd_lcv_dsl-hyb_31</v>
      </c>
      <c r="U86" t="str">
        <f t="shared" ca="1" si="21"/>
        <v>ICE hybrid diesel LCV -- 31%</v>
      </c>
      <c r="V86" s="188" t="s">
        <v>84</v>
      </c>
      <c r="W86" s="188" t="s">
        <v>85</v>
      </c>
    </row>
    <row r="87" spans="2:23">
      <c r="B87" s="52">
        <v>0.36072430355880297</v>
      </c>
      <c r="C87" s="221">
        <v>25690.6061397019</v>
      </c>
      <c r="D87" s="53">
        <v>24014.758635910599</v>
      </c>
      <c r="E87" s="53">
        <v>24014.758635910599</v>
      </c>
      <c r="F87" s="53">
        <v>24014.758635910599</v>
      </c>
      <c r="I87" s="50">
        <f t="shared" si="24"/>
        <v>1.38596193208207</v>
      </c>
      <c r="J87" t="str">
        <f t="shared" si="25"/>
        <v>Trd_lcv_dsl-hyb</v>
      </c>
      <c r="K87" t="str">
        <f t="shared" si="22"/>
        <v>Trd_lcv_dsl-hyb_36</v>
      </c>
      <c r="L87" t="str">
        <f t="shared" si="23"/>
        <v>Trd_lcv</v>
      </c>
      <c r="M87" s="185">
        <f t="shared" si="11"/>
        <v>25690.6061397019</v>
      </c>
      <c r="N87" s="185">
        <f t="shared" si="12"/>
        <v>24014.758635910599</v>
      </c>
      <c r="O87" s="185">
        <f t="shared" si="13"/>
        <v>24014.758635910599</v>
      </c>
      <c r="P87" s="185">
        <f t="shared" si="14"/>
        <v>24014.758635910599</v>
      </c>
      <c r="T87" t="str">
        <f t="shared" si="20"/>
        <v>Trd_lcv_dsl-hyb_36</v>
      </c>
      <c r="U87" t="str">
        <f t="shared" ca="1" si="21"/>
        <v>ICE hybrid diesel LCV -- 36%</v>
      </c>
      <c r="V87" s="188" t="s">
        <v>84</v>
      </c>
      <c r="W87" s="188" t="s">
        <v>85</v>
      </c>
    </row>
    <row r="88" spans="2:23">
      <c r="B88" s="52">
        <v>0.41072430355880302</v>
      </c>
      <c r="C88" s="221">
        <v>35262.655053804097</v>
      </c>
      <c r="D88" s="53">
        <v>24332.1326255198</v>
      </c>
      <c r="E88" s="53">
        <v>24332.1326255198</v>
      </c>
      <c r="F88" s="53">
        <v>24332.1326255198</v>
      </c>
      <c r="I88" s="50">
        <f t="shared" si="24"/>
        <v>1.43688929218202</v>
      </c>
      <c r="J88" t="str">
        <f t="shared" si="25"/>
        <v>Trd_lcv_dsl-hyb</v>
      </c>
      <c r="K88" t="str">
        <f t="shared" si="22"/>
        <v>Trd_lcv_dsl-hyb_41</v>
      </c>
      <c r="L88" t="str">
        <f t="shared" si="23"/>
        <v>Trd_lcv</v>
      </c>
      <c r="M88" s="185">
        <f t="shared" si="11"/>
        <v>35262.655053804097</v>
      </c>
      <c r="N88" s="185">
        <f t="shared" si="12"/>
        <v>24332.1326255198</v>
      </c>
      <c r="O88" s="185">
        <f t="shared" si="13"/>
        <v>24332.1326255198</v>
      </c>
      <c r="P88" s="185">
        <f t="shared" si="14"/>
        <v>24332.1326255198</v>
      </c>
      <c r="T88" t="str">
        <f t="shared" si="20"/>
        <v>Trd_lcv_dsl-hyb_41</v>
      </c>
      <c r="U88" t="str">
        <f t="shared" ca="1" si="21"/>
        <v>ICE hybrid diesel LCV -- 41%</v>
      </c>
      <c r="V88" s="188" t="s">
        <v>84</v>
      </c>
      <c r="W88" s="188" t="s">
        <v>85</v>
      </c>
    </row>
    <row r="89" spans="2:23">
      <c r="B89" s="52">
        <v>0.46072430355880301</v>
      </c>
      <c r="C89" s="221">
        <v>114071.886949746</v>
      </c>
      <c r="D89" s="53">
        <v>33470.311797624403</v>
      </c>
      <c r="E89" s="53">
        <v>33470.311797624403</v>
      </c>
      <c r="F89" s="53">
        <v>33470.311797624403</v>
      </c>
      <c r="I89" s="50">
        <f t="shared" si="24"/>
        <v>1.48781665228198</v>
      </c>
      <c r="J89" t="str">
        <f t="shared" si="25"/>
        <v>Trd_lcv_dsl-hyb</v>
      </c>
      <c r="K89" t="str">
        <f t="shared" si="22"/>
        <v>Trd_lcv_dsl-hyb_46</v>
      </c>
      <c r="L89" t="str">
        <f t="shared" si="23"/>
        <v>Trd_lcv</v>
      </c>
      <c r="M89" s="185">
        <f t="shared" si="11"/>
        <v>114071.886949746</v>
      </c>
      <c r="N89" s="185">
        <f t="shared" si="12"/>
        <v>33470.311797624403</v>
      </c>
      <c r="O89" s="185">
        <f t="shared" si="13"/>
        <v>33470.311797624403</v>
      </c>
      <c r="P89" s="185">
        <f t="shared" si="14"/>
        <v>33470.311797624403</v>
      </c>
      <c r="T89" t="str">
        <f t="shared" si="20"/>
        <v>Trd_lcv_dsl-hyb_46</v>
      </c>
      <c r="U89" t="str">
        <f t="shared" ca="1" si="21"/>
        <v>ICE hybrid diesel LCV -- 46%</v>
      </c>
      <c r="V89" s="188" t="s">
        <v>84</v>
      </c>
      <c r="W89" s="188" t="s">
        <v>85</v>
      </c>
    </row>
    <row r="90" spans="2:23">
      <c r="D90" s="61"/>
      <c r="E90" s="61"/>
      <c r="F90" s="61"/>
      <c r="I90" s="50"/>
      <c r="J90" t="str">
        <f t="shared" si="25"/>
        <v>Trd_lcv_dsl-hyb</v>
      </c>
      <c r="K90" t="str">
        <f t="shared" si="22"/>
        <v>\I:</v>
      </c>
      <c r="L90" t="str">
        <f t="shared" si="23"/>
        <v>\I:</v>
      </c>
      <c r="M90" s="185" t="str">
        <f t="shared" ref="M90:M153" si="26">IF($K90="\I:","",C90)</f>
        <v/>
      </c>
      <c r="N90" s="185" t="str">
        <f t="shared" ref="N90:N153" si="27">IF($K90="\I:","",D90)</f>
        <v/>
      </c>
      <c r="O90" s="185" t="str">
        <f t="shared" ref="O90:O153" si="28">IF($K90="\I:","",E90)</f>
        <v/>
      </c>
      <c r="P90" s="185" t="str">
        <f t="shared" ref="P90:P153" si="29">IF($K90="\I:","",F90)</f>
        <v/>
      </c>
      <c r="T90" t="str">
        <f t="shared" si="20"/>
        <v>\I:</v>
      </c>
      <c r="U90" t="str">
        <f t="shared" ca="1" si="21"/>
        <v>ICE hybrid diesel LCV -- 00%</v>
      </c>
      <c r="V90" s="188" t="s">
        <v>84</v>
      </c>
      <c r="W90" s="188" t="s">
        <v>85</v>
      </c>
    </row>
    <row r="91" spans="2:23">
      <c r="J91" t="str">
        <f t="shared" si="25"/>
        <v>Trd_lcv_dsl-hyb</v>
      </c>
      <c r="K91" t="str">
        <f t="shared" si="22"/>
        <v>\I:</v>
      </c>
      <c r="L91" t="str">
        <f t="shared" si="23"/>
        <v>\I:</v>
      </c>
      <c r="M91" s="185" t="str">
        <f t="shared" si="26"/>
        <v/>
      </c>
      <c r="N91" s="185" t="str">
        <f t="shared" si="27"/>
        <v/>
      </c>
      <c r="O91" s="185" t="str">
        <f t="shared" si="28"/>
        <v/>
      </c>
      <c r="P91" s="185" t="str">
        <f t="shared" si="29"/>
        <v/>
      </c>
      <c r="T91" t="str">
        <f t="shared" si="20"/>
        <v>\I:</v>
      </c>
      <c r="U91" t="str">
        <f t="shared" ca="1" si="21"/>
        <v>ICE hybrid diesel LCV -- 00%</v>
      </c>
      <c r="V91" s="188" t="s">
        <v>84</v>
      </c>
      <c r="W91" s="188" t="s">
        <v>85</v>
      </c>
    </row>
    <row r="92" spans="2:23">
      <c r="J92" t="str">
        <f t="shared" si="25"/>
        <v>Trd_lcv_dsl-hyb</v>
      </c>
      <c r="K92" t="str">
        <f t="shared" si="22"/>
        <v>\I:</v>
      </c>
      <c r="L92" t="str">
        <f t="shared" si="23"/>
        <v>\I:</v>
      </c>
      <c r="M92" s="185" t="str">
        <f t="shared" si="26"/>
        <v/>
      </c>
      <c r="N92" s="185" t="str">
        <f t="shared" si="27"/>
        <v/>
      </c>
      <c r="O92" s="185" t="str">
        <f t="shared" si="28"/>
        <v/>
      </c>
      <c r="P92" s="185" t="str">
        <f t="shared" si="29"/>
        <v/>
      </c>
      <c r="T92" t="str">
        <f t="shared" si="20"/>
        <v>\I:</v>
      </c>
      <c r="U92" t="str">
        <f t="shared" ca="1" si="21"/>
        <v>ICE hybrid diesel LCV -- 00%</v>
      </c>
      <c r="V92" s="188" t="s">
        <v>84</v>
      </c>
      <c r="W92" s="188" t="s">
        <v>85</v>
      </c>
    </row>
    <row r="93" spans="2:23">
      <c r="J93" t="str">
        <f t="shared" si="25"/>
        <v>Trd_lcv_dsl-hyb</v>
      </c>
      <c r="K93" t="str">
        <f t="shared" si="22"/>
        <v>\I:</v>
      </c>
      <c r="L93" t="str">
        <f t="shared" si="23"/>
        <v>\I:</v>
      </c>
      <c r="M93" s="185" t="str">
        <f t="shared" si="26"/>
        <v/>
      </c>
      <c r="N93" s="185" t="str">
        <f t="shared" si="27"/>
        <v/>
      </c>
      <c r="O93" s="185" t="str">
        <f t="shared" si="28"/>
        <v/>
      </c>
      <c r="P93" s="185" t="str">
        <f t="shared" si="29"/>
        <v/>
      </c>
      <c r="T93" t="str">
        <f t="shared" si="20"/>
        <v>\I:</v>
      </c>
      <c r="U93" t="str">
        <f t="shared" ca="1" si="21"/>
        <v>ICE hybrid diesel LCV -- 00%</v>
      </c>
      <c r="V93" s="188" t="s">
        <v>84</v>
      </c>
      <c r="W93" s="188" t="s">
        <v>85</v>
      </c>
    </row>
    <row r="94" spans="2:23" ht="15" customHeight="1">
      <c r="B94" s="34" t="s">
        <v>21</v>
      </c>
      <c r="C94" s="179" t="s">
        <v>100</v>
      </c>
      <c r="D94" s="34"/>
      <c r="E94" s="34"/>
      <c r="F94" s="34"/>
      <c r="J94" t="str">
        <f t="shared" si="25"/>
        <v>Trd_lcv_dsl-pih</v>
      </c>
      <c r="K94" t="str">
        <f t="shared" si="22"/>
        <v>\I:</v>
      </c>
      <c r="L94" t="str">
        <f t="shared" si="23"/>
        <v>\I:</v>
      </c>
      <c r="M94" s="185" t="str">
        <f t="shared" si="26"/>
        <v/>
      </c>
      <c r="N94" s="185" t="str">
        <f t="shared" si="27"/>
        <v/>
      </c>
      <c r="O94" s="185" t="str">
        <f t="shared" si="28"/>
        <v/>
      </c>
      <c r="P94" s="185" t="str">
        <f t="shared" si="29"/>
        <v/>
      </c>
      <c r="T94" t="str">
        <f t="shared" si="20"/>
        <v>\I:</v>
      </c>
      <c r="U94" t="str">
        <f t="shared" ca="1" si="21"/>
        <v>ICE plug-in hybrid diesel LCV -- Reduction of specific energy consumption relative to 2015 diesel vehicle (%)</v>
      </c>
      <c r="V94" s="188" t="s">
        <v>84</v>
      </c>
      <c r="W94" s="188" t="s">
        <v>85</v>
      </c>
    </row>
    <row r="95" spans="2:23">
      <c r="B95" s="34"/>
      <c r="C95" s="179"/>
      <c r="D95" s="34"/>
      <c r="E95" s="34"/>
      <c r="F95" s="34"/>
      <c r="J95" t="str">
        <f t="shared" si="25"/>
        <v>Trd_lcv_dsl-pih</v>
      </c>
      <c r="K95" t="str">
        <f t="shared" si="22"/>
        <v>\I:</v>
      </c>
      <c r="L95" t="str">
        <f t="shared" si="23"/>
        <v>\I:</v>
      </c>
      <c r="M95" s="185" t="str">
        <f t="shared" si="26"/>
        <v/>
      </c>
      <c r="N95" s="185" t="str">
        <f t="shared" si="27"/>
        <v/>
      </c>
      <c r="O95" s="185" t="str">
        <f t="shared" si="28"/>
        <v/>
      </c>
      <c r="P95" s="185" t="str">
        <f t="shared" si="29"/>
        <v/>
      </c>
      <c r="T95" t="str">
        <f t="shared" si="20"/>
        <v>\I:</v>
      </c>
      <c r="U95" t="str">
        <f t="shared" ca="1" si="21"/>
        <v>ICE plug-in hybrid diesel LCV -- 00%</v>
      </c>
      <c r="V95" s="188" t="s">
        <v>84</v>
      </c>
      <c r="W95" s="188" t="s">
        <v>85</v>
      </c>
    </row>
    <row r="96" spans="2:23">
      <c r="B96" s="34"/>
      <c r="C96" s="179"/>
      <c r="D96" s="34"/>
      <c r="E96" s="34"/>
      <c r="F96" s="34"/>
      <c r="J96" t="str">
        <f t="shared" si="25"/>
        <v>Trd_lcv_dsl-pih</v>
      </c>
      <c r="K96" t="str">
        <f t="shared" si="22"/>
        <v>\I:</v>
      </c>
      <c r="L96" t="str">
        <f t="shared" si="23"/>
        <v>\I:</v>
      </c>
      <c r="M96" s="185" t="str">
        <f t="shared" si="26"/>
        <v/>
      </c>
      <c r="N96" s="185" t="str">
        <f t="shared" si="27"/>
        <v/>
      </c>
      <c r="O96" s="185" t="str">
        <f t="shared" si="28"/>
        <v/>
      </c>
      <c r="P96" s="185" t="str">
        <f t="shared" si="29"/>
        <v/>
      </c>
      <c r="T96" t="str">
        <f t="shared" si="20"/>
        <v>\I:</v>
      </c>
      <c r="U96" t="str">
        <f t="shared" ca="1" si="21"/>
        <v>ICE plug-in hybrid diesel LCV -- 00%</v>
      </c>
      <c r="V96" s="188" t="s">
        <v>84</v>
      </c>
      <c r="W96" s="188" t="s">
        <v>85</v>
      </c>
    </row>
    <row r="97" spans="2:23">
      <c r="B97" s="55"/>
      <c r="C97" s="220">
        <v>2020</v>
      </c>
      <c r="D97" s="36">
        <v>2030</v>
      </c>
      <c r="E97" s="36">
        <v>2040</v>
      </c>
      <c r="F97" s="36">
        <v>2050</v>
      </c>
      <c r="J97" t="str">
        <f t="shared" si="25"/>
        <v>Trd_lcv_dsl-pih</v>
      </c>
      <c r="K97" t="str">
        <f t="shared" si="22"/>
        <v>\I:</v>
      </c>
      <c r="L97" t="str">
        <f t="shared" si="23"/>
        <v>\I:</v>
      </c>
      <c r="M97" s="185" t="str">
        <f t="shared" si="26"/>
        <v/>
      </c>
      <c r="N97" s="185" t="str">
        <f t="shared" si="27"/>
        <v/>
      </c>
      <c r="O97" s="185" t="str">
        <f t="shared" si="28"/>
        <v/>
      </c>
      <c r="P97" s="185" t="str">
        <f t="shared" si="29"/>
        <v/>
      </c>
      <c r="T97" t="str">
        <f t="shared" si="20"/>
        <v>\I:</v>
      </c>
      <c r="U97" t="str">
        <f t="shared" ca="1" si="21"/>
        <v>ICE plug-in hybrid diesel LCV -- 00%</v>
      </c>
      <c r="V97" s="188" t="s">
        <v>84</v>
      </c>
      <c r="W97" s="188" t="s">
        <v>85</v>
      </c>
    </row>
    <row r="98" spans="2:23">
      <c r="B98" s="222">
        <v>0.85</v>
      </c>
      <c r="C98" s="221">
        <v>29234.486903687601</v>
      </c>
      <c r="D98" s="53">
        <v>24721.623397505598</v>
      </c>
      <c r="E98" s="53">
        <v>23657.1536371324</v>
      </c>
      <c r="F98" s="53">
        <v>23346.694917961901</v>
      </c>
      <c r="I98" s="50">
        <f t="shared" ref="I98:I104" si="30">$I$63*(1+B98)/$I$11</f>
        <v>1.88431232369844</v>
      </c>
      <c r="J98" t="str">
        <f t="shared" si="25"/>
        <v>Trd_lcv_dsl-pih</v>
      </c>
      <c r="K98" t="str">
        <f t="shared" si="22"/>
        <v>Trd_lcv_dsl-pih_85</v>
      </c>
      <c r="L98" t="str">
        <f t="shared" si="23"/>
        <v>Trd_lcv</v>
      </c>
      <c r="M98" s="185">
        <f t="shared" si="26"/>
        <v>29234.486903687601</v>
      </c>
      <c r="N98" s="185">
        <f t="shared" si="27"/>
        <v>24721.623397505598</v>
      </c>
      <c r="O98" s="185">
        <f t="shared" si="28"/>
        <v>23657.1536371324</v>
      </c>
      <c r="P98" s="185">
        <f t="shared" si="29"/>
        <v>23346.694917961901</v>
      </c>
      <c r="T98" t="str">
        <f t="shared" si="20"/>
        <v>Trd_lcv_dsl-pih_85</v>
      </c>
      <c r="U98" t="str">
        <f t="shared" ca="1" si="21"/>
        <v>ICE plug-in hybrid diesel LCV -- 85%</v>
      </c>
      <c r="V98" s="188" t="s">
        <v>84</v>
      </c>
      <c r="W98" s="188" t="s">
        <v>85</v>
      </c>
    </row>
    <row r="99" spans="2:23">
      <c r="B99" s="222">
        <v>0.86</v>
      </c>
      <c r="C99" s="221">
        <v>29248.700988013999</v>
      </c>
      <c r="D99" s="53">
        <v>24735.564463051898</v>
      </c>
      <c r="E99" s="53">
        <v>23661.3230310365</v>
      </c>
      <c r="F99" s="53">
        <v>23347.4576013673</v>
      </c>
      <c r="I99" s="50">
        <f t="shared" si="30"/>
        <v>1.8944977957184299</v>
      </c>
      <c r="J99" t="str">
        <f t="shared" si="25"/>
        <v>Trd_lcv_dsl-pih</v>
      </c>
      <c r="K99" t="str">
        <f t="shared" si="22"/>
        <v>Trd_lcv_dsl-pih_86</v>
      </c>
      <c r="L99" t="str">
        <f t="shared" si="23"/>
        <v>Trd_lcv</v>
      </c>
      <c r="M99" s="185">
        <f t="shared" si="26"/>
        <v>29248.700988013999</v>
      </c>
      <c r="N99" s="185">
        <f t="shared" si="27"/>
        <v>24735.564463051898</v>
      </c>
      <c r="O99" s="185">
        <f t="shared" si="28"/>
        <v>23661.3230310365</v>
      </c>
      <c r="P99" s="185">
        <f t="shared" si="29"/>
        <v>23347.4576013673</v>
      </c>
      <c r="T99" t="str">
        <f t="shared" si="20"/>
        <v>Trd_lcv_dsl-pih_86</v>
      </c>
      <c r="U99" t="str">
        <f t="shared" ca="1" si="21"/>
        <v>ICE plug-in hybrid diesel LCV -- 86%</v>
      </c>
      <c r="V99" s="188" t="s">
        <v>84</v>
      </c>
      <c r="W99" s="188" t="s">
        <v>85</v>
      </c>
    </row>
    <row r="100" spans="2:23">
      <c r="B100" s="222">
        <v>0.87</v>
      </c>
      <c r="C100" s="221">
        <v>29375.518342424199</v>
      </c>
      <c r="D100" s="53">
        <v>24752.508685406599</v>
      </c>
      <c r="E100" s="53">
        <v>23672.991539590701</v>
      </c>
      <c r="F100" s="53">
        <v>23357.557677606499</v>
      </c>
      <c r="I100" s="50">
        <f t="shared" si="30"/>
        <v>1.90468326773842</v>
      </c>
      <c r="J100" t="str">
        <f t="shared" si="25"/>
        <v>Trd_lcv_dsl-pih</v>
      </c>
      <c r="K100" t="str">
        <f t="shared" si="22"/>
        <v>Trd_lcv_dsl-pih_87</v>
      </c>
      <c r="L100" t="str">
        <f t="shared" si="23"/>
        <v>Trd_lcv</v>
      </c>
      <c r="M100" s="185">
        <f t="shared" si="26"/>
        <v>29375.518342424199</v>
      </c>
      <c r="N100" s="185">
        <f t="shared" si="27"/>
        <v>24752.508685406599</v>
      </c>
      <c r="O100" s="185">
        <f t="shared" si="28"/>
        <v>23672.991539590701</v>
      </c>
      <c r="P100" s="185">
        <f t="shared" si="29"/>
        <v>23357.557677606499</v>
      </c>
      <c r="T100" t="str">
        <f t="shared" si="20"/>
        <v>Trd_lcv_dsl-pih_87</v>
      </c>
      <c r="U100" t="str">
        <f t="shared" ca="1" si="21"/>
        <v>ICE plug-in hybrid diesel LCV -- 87%</v>
      </c>
      <c r="V100" s="188" t="s">
        <v>84</v>
      </c>
      <c r="W100" s="188" t="s">
        <v>85</v>
      </c>
    </row>
    <row r="101" spans="2:23">
      <c r="B101" s="222">
        <v>0.88</v>
      </c>
      <c r="C101" s="221">
        <v>29852.3977032646</v>
      </c>
      <c r="D101" s="53">
        <v>24778.290892921199</v>
      </c>
      <c r="E101" s="53">
        <v>23702.379257115401</v>
      </c>
      <c r="F101" s="53">
        <v>23389.0918257128</v>
      </c>
      <c r="I101" s="50">
        <f t="shared" si="30"/>
        <v>1.9148687397584101</v>
      </c>
      <c r="J101" t="str">
        <f t="shared" si="25"/>
        <v>Trd_lcv_dsl-pih</v>
      </c>
      <c r="K101" t="str">
        <f t="shared" si="22"/>
        <v>Trd_lcv_dsl-pih_88</v>
      </c>
      <c r="L101" t="str">
        <f t="shared" si="23"/>
        <v>Trd_lcv</v>
      </c>
      <c r="M101" s="185">
        <f t="shared" si="26"/>
        <v>29852.3977032646</v>
      </c>
      <c r="N101" s="185">
        <f t="shared" si="27"/>
        <v>24778.290892921199</v>
      </c>
      <c r="O101" s="185">
        <f t="shared" si="28"/>
        <v>23702.379257115401</v>
      </c>
      <c r="P101" s="185">
        <f t="shared" si="29"/>
        <v>23389.0918257128</v>
      </c>
      <c r="T101" t="str">
        <f t="shared" si="20"/>
        <v>Trd_lcv_dsl-pih_88</v>
      </c>
      <c r="U101" t="str">
        <f t="shared" ca="1" si="21"/>
        <v>ICE plug-in hybrid diesel LCV -- 88%</v>
      </c>
      <c r="V101" s="188" t="s">
        <v>84</v>
      </c>
      <c r="W101" s="188" t="s">
        <v>85</v>
      </c>
    </row>
    <row r="102" spans="2:23">
      <c r="B102" s="222">
        <v>0.89</v>
      </c>
      <c r="C102" s="221">
        <v>34743.079083495999</v>
      </c>
      <c r="D102" s="53">
        <v>24899.214790617101</v>
      </c>
      <c r="E102" s="53">
        <v>23827.8028677736</v>
      </c>
      <c r="F102" s="53">
        <v>23519.746584699202</v>
      </c>
      <c r="I102" s="50">
        <f t="shared" si="30"/>
        <v>1.9250542117784</v>
      </c>
      <c r="J102" t="str">
        <f t="shared" si="25"/>
        <v>Trd_lcv_dsl-pih</v>
      </c>
      <c r="K102" t="str">
        <f t="shared" si="22"/>
        <v>Trd_lcv_dsl-pih_89</v>
      </c>
      <c r="L102" t="str">
        <f t="shared" si="23"/>
        <v>Trd_lcv</v>
      </c>
      <c r="M102" s="185">
        <f t="shared" si="26"/>
        <v>34743.079083495999</v>
      </c>
      <c r="N102" s="185">
        <f t="shared" si="27"/>
        <v>24899.214790617101</v>
      </c>
      <c r="O102" s="185">
        <f t="shared" si="28"/>
        <v>23827.8028677736</v>
      </c>
      <c r="P102" s="185">
        <f t="shared" si="29"/>
        <v>23519.746584699202</v>
      </c>
      <c r="T102" t="str">
        <f t="shared" si="20"/>
        <v>Trd_lcv_dsl-pih_89</v>
      </c>
      <c r="U102" t="str">
        <f t="shared" ca="1" si="21"/>
        <v>ICE plug-in hybrid diesel LCV -- 89%</v>
      </c>
      <c r="V102" s="188" t="s">
        <v>84</v>
      </c>
      <c r="W102" s="188" t="s">
        <v>85</v>
      </c>
    </row>
    <row r="103" spans="2:23">
      <c r="B103" s="222">
        <v>0.9325</v>
      </c>
      <c r="C103" s="221">
        <v>110252.595487286</v>
      </c>
      <c r="D103" s="53">
        <v>29030.4336706465</v>
      </c>
      <c r="E103" s="53">
        <v>27383.939922588201</v>
      </c>
      <c r="F103" s="53">
        <v>26970.6097618657</v>
      </c>
      <c r="I103" s="50">
        <f t="shared" si="30"/>
        <v>1.9683424678633701</v>
      </c>
      <c r="J103" t="str">
        <f t="shared" si="25"/>
        <v>Trd_lcv_dsl-pih</v>
      </c>
      <c r="K103" t="str">
        <f t="shared" si="22"/>
        <v>Trd_lcv_dsl-pih_93</v>
      </c>
      <c r="L103" t="str">
        <f t="shared" si="23"/>
        <v>Trd_lcv</v>
      </c>
      <c r="M103" s="185">
        <f t="shared" si="26"/>
        <v>110252.595487286</v>
      </c>
      <c r="N103" s="185">
        <f t="shared" si="27"/>
        <v>29030.4336706465</v>
      </c>
      <c r="O103" s="185">
        <f t="shared" si="28"/>
        <v>27383.939922588201</v>
      </c>
      <c r="P103" s="185">
        <f t="shared" si="29"/>
        <v>26970.6097618657</v>
      </c>
      <c r="T103" t="str">
        <f t="shared" si="20"/>
        <v>Trd_lcv_dsl-pih_93</v>
      </c>
      <c r="U103" t="str">
        <f t="shared" ca="1" si="21"/>
        <v>ICE plug-in hybrid diesel LCV -- 93%</v>
      </c>
      <c r="V103" s="188" t="s">
        <v>84</v>
      </c>
      <c r="W103" s="188" t="s">
        <v>85</v>
      </c>
    </row>
    <row r="104" spans="2:23">
      <c r="B104" s="222">
        <v>0.9375</v>
      </c>
      <c r="C104" s="221"/>
      <c r="D104" s="53">
        <v>58730.632498926803</v>
      </c>
      <c r="E104" s="53">
        <v>56027.523687450499</v>
      </c>
      <c r="F104" s="53">
        <v>56056.649342680998</v>
      </c>
      <c r="I104" s="50">
        <f t="shared" si="30"/>
        <v>1.97343520387336</v>
      </c>
      <c r="J104" t="str">
        <f t="shared" si="25"/>
        <v>Trd_lcv_dsl-pih</v>
      </c>
      <c r="K104" t="str">
        <f t="shared" si="22"/>
        <v>\I:</v>
      </c>
      <c r="L104" t="str">
        <f t="shared" si="23"/>
        <v>\I:</v>
      </c>
      <c r="M104" s="185" t="str">
        <f t="shared" si="26"/>
        <v/>
      </c>
      <c r="N104" s="185" t="str">
        <f t="shared" si="27"/>
        <v/>
      </c>
      <c r="O104" s="185" t="str">
        <f t="shared" si="28"/>
        <v/>
      </c>
      <c r="P104" s="185" t="str">
        <f t="shared" si="29"/>
        <v/>
      </c>
      <c r="T104" t="str">
        <f t="shared" si="20"/>
        <v>\I:</v>
      </c>
      <c r="U104" t="str">
        <f t="shared" ca="1" si="21"/>
        <v>ICE plug-in hybrid diesel LCV -- 94%</v>
      </c>
      <c r="V104" s="188" t="s">
        <v>84</v>
      </c>
      <c r="W104" s="188" t="s">
        <v>85</v>
      </c>
    </row>
    <row r="105" spans="2:23">
      <c r="D105" s="61"/>
      <c r="E105" s="61"/>
      <c r="F105" s="61"/>
      <c r="J105" t="str">
        <f t="shared" si="25"/>
        <v>Trd_lcv_dsl-pih</v>
      </c>
      <c r="K105" t="str">
        <f t="shared" si="22"/>
        <v>\I:</v>
      </c>
      <c r="L105" t="str">
        <f t="shared" si="23"/>
        <v>\I:</v>
      </c>
      <c r="M105" s="185" t="str">
        <f t="shared" si="26"/>
        <v/>
      </c>
      <c r="N105" s="185" t="str">
        <f t="shared" si="27"/>
        <v/>
      </c>
      <c r="O105" s="185" t="str">
        <f t="shared" si="28"/>
        <v/>
      </c>
      <c r="P105" s="185" t="str">
        <f t="shared" si="29"/>
        <v/>
      </c>
      <c r="T105" t="str">
        <f t="shared" si="20"/>
        <v>\I:</v>
      </c>
      <c r="U105" t="str">
        <f t="shared" ca="1" si="21"/>
        <v>ICE plug-in hybrid diesel LCV -- 00%</v>
      </c>
      <c r="V105" s="188" t="s">
        <v>84</v>
      </c>
      <c r="W105" s="188" t="s">
        <v>85</v>
      </c>
    </row>
    <row r="106" spans="2:23">
      <c r="J106" t="str">
        <f t="shared" si="25"/>
        <v>Trd_lcv_dsl-pih</v>
      </c>
      <c r="K106" t="str">
        <f t="shared" si="22"/>
        <v>\I:</v>
      </c>
      <c r="L106" t="str">
        <f t="shared" si="23"/>
        <v>\I:</v>
      </c>
      <c r="M106" s="185" t="str">
        <f t="shared" si="26"/>
        <v/>
      </c>
      <c r="N106" s="185" t="str">
        <f t="shared" si="27"/>
        <v/>
      </c>
      <c r="O106" s="185" t="str">
        <f t="shared" si="28"/>
        <v/>
      </c>
      <c r="P106" s="185" t="str">
        <f t="shared" si="29"/>
        <v/>
      </c>
      <c r="T106" t="str">
        <f t="shared" si="20"/>
        <v>\I:</v>
      </c>
      <c r="U106" t="str">
        <f t="shared" ca="1" si="21"/>
        <v>ICE plug-in hybrid diesel LCV -- 00%</v>
      </c>
      <c r="V106" s="188" t="s">
        <v>84</v>
      </c>
      <c r="W106" s="188" t="s">
        <v>85</v>
      </c>
    </row>
    <row r="107" spans="2:23">
      <c r="J107" t="str">
        <f t="shared" si="25"/>
        <v>Trd_lcv_dsl-pih</v>
      </c>
      <c r="K107" t="str">
        <f t="shared" si="22"/>
        <v>\I:</v>
      </c>
      <c r="L107" t="str">
        <f t="shared" si="23"/>
        <v>\I:</v>
      </c>
      <c r="M107" s="185" t="str">
        <f t="shared" si="26"/>
        <v/>
      </c>
      <c r="N107" s="185" t="str">
        <f t="shared" si="27"/>
        <v/>
      </c>
      <c r="O107" s="185" t="str">
        <f t="shared" si="28"/>
        <v/>
      </c>
      <c r="P107" s="185" t="str">
        <f t="shared" si="29"/>
        <v/>
      </c>
      <c r="T107" t="str">
        <f t="shared" si="20"/>
        <v>\I:</v>
      </c>
      <c r="U107" t="str">
        <f t="shared" ca="1" si="21"/>
        <v>ICE plug-in hybrid diesel LCV -- 00%</v>
      </c>
      <c r="V107" s="188" t="s">
        <v>84</v>
      </c>
      <c r="W107" s="188" t="s">
        <v>85</v>
      </c>
    </row>
    <row r="108" spans="2:23">
      <c r="J108" t="str">
        <f t="shared" si="25"/>
        <v>Trd_lcv_dsl-pih</v>
      </c>
      <c r="K108" t="str">
        <f t="shared" si="22"/>
        <v>\I:</v>
      </c>
      <c r="L108" t="str">
        <f t="shared" si="23"/>
        <v>\I:</v>
      </c>
      <c r="M108" s="185" t="str">
        <f t="shared" si="26"/>
        <v/>
      </c>
      <c r="N108" s="185" t="str">
        <f t="shared" si="27"/>
        <v/>
      </c>
      <c r="O108" s="185" t="str">
        <f t="shared" si="28"/>
        <v/>
      </c>
      <c r="P108" s="185" t="str">
        <f t="shared" si="29"/>
        <v/>
      </c>
      <c r="T108" t="str">
        <f t="shared" si="20"/>
        <v>\I:</v>
      </c>
      <c r="U108" t="str">
        <f t="shared" ca="1" si="21"/>
        <v>ICE plug-in hybrid diesel LCV -- 00%</v>
      </c>
      <c r="V108" s="188" t="s">
        <v>84</v>
      </c>
      <c r="W108" s="188" t="s">
        <v>85</v>
      </c>
    </row>
    <row r="109" spans="2:23">
      <c r="J109" t="str">
        <f t="shared" si="25"/>
        <v>Trd_lcv_dsl-pih</v>
      </c>
      <c r="K109" t="str">
        <f t="shared" si="22"/>
        <v>\I:</v>
      </c>
      <c r="L109" t="str">
        <f t="shared" si="23"/>
        <v>\I:</v>
      </c>
      <c r="M109" s="185" t="str">
        <f t="shared" si="26"/>
        <v/>
      </c>
      <c r="N109" s="185" t="str">
        <f t="shared" si="27"/>
        <v/>
      </c>
      <c r="O109" s="185" t="str">
        <f t="shared" si="28"/>
        <v/>
      </c>
      <c r="P109" s="185" t="str">
        <f t="shared" si="29"/>
        <v/>
      </c>
      <c r="T109" t="str">
        <f t="shared" si="20"/>
        <v>\I:</v>
      </c>
      <c r="U109" t="str">
        <f t="shared" ca="1" si="21"/>
        <v>ICE plug-in hybrid diesel LCV -- 00%</v>
      </c>
      <c r="V109" s="188" t="s">
        <v>84</v>
      </c>
      <c r="W109" s="188" t="s">
        <v>85</v>
      </c>
    </row>
    <row r="110" spans="2:23">
      <c r="B110" s="29" t="s">
        <v>107</v>
      </c>
      <c r="J110" t="str">
        <f t="shared" si="25"/>
        <v>Trd_lcv_dsl-pih</v>
      </c>
      <c r="K110" t="str">
        <f t="shared" si="22"/>
        <v>\I:</v>
      </c>
      <c r="L110" t="str">
        <f t="shared" si="23"/>
        <v>\I:</v>
      </c>
      <c r="M110" s="185" t="str">
        <f t="shared" si="26"/>
        <v/>
      </c>
      <c r="N110" s="185" t="str">
        <f t="shared" si="27"/>
        <v/>
      </c>
      <c r="O110" s="185" t="str">
        <f t="shared" si="28"/>
        <v/>
      </c>
      <c r="P110" s="185" t="str">
        <f t="shared" si="29"/>
        <v/>
      </c>
      <c r="T110" t="str">
        <f t="shared" si="20"/>
        <v>\I:</v>
      </c>
      <c r="U110" t="str">
        <f t="shared" ca="1" si="21"/>
        <v>ICE plug-in hybrid diesel LCV -- Reference values for CNG LCV</v>
      </c>
      <c r="V110" s="188" t="s">
        <v>84</v>
      </c>
      <c r="W110" s="188" t="s">
        <v>85</v>
      </c>
    </row>
    <row r="111" spans="2:23">
      <c r="B111" s="30">
        <v>2015</v>
      </c>
      <c r="C111" s="177"/>
      <c r="D111" s="30"/>
      <c r="J111" t="str">
        <f t="shared" si="25"/>
        <v>Trd_lcv_dsl-pih</v>
      </c>
      <c r="K111" t="str">
        <f t="shared" si="22"/>
        <v>\I:</v>
      </c>
      <c r="L111" t="str">
        <f t="shared" si="23"/>
        <v>\I:</v>
      </c>
      <c r="M111" s="185" t="str">
        <f t="shared" si="26"/>
        <v/>
      </c>
      <c r="N111" s="185" t="str">
        <f t="shared" si="27"/>
        <v/>
      </c>
      <c r="O111" s="185" t="str">
        <f t="shared" si="28"/>
        <v/>
      </c>
      <c r="P111" s="185" t="str">
        <f t="shared" si="29"/>
        <v/>
      </c>
      <c r="T111" t="str">
        <f t="shared" si="20"/>
        <v>\I:</v>
      </c>
      <c r="U111" t="str">
        <f t="shared" ca="1" si="21"/>
        <v>ICE plug-in hybrid diesel LCV -- 201500%</v>
      </c>
      <c r="V111" s="188" t="s">
        <v>84</v>
      </c>
      <c r="W111" s="188" t="s">
        <v>85</v>
      </c>
    </row>
    <row r="112" spans="2:23">
      <c r="B112" s="31" t="s">
        <v>12</v>
      </c>
      <c r="C112" s="32" t="s">
        <v>88</v>
      </c>
      <c r="D112" s="33">
        <v>5.6420316776464698</v>
      </c>
      <c r="G112" s="50">
        <f>D112*$F$9/100*10^9/10^6</f>
        <v>3.03504477896122</v>
      </c>
      <c r="H112" s="50"/>
      <c r="I112" s="178">
        <f>1/G112</f>
        <v>0.32948443032272601</v>
      </c>
      <c r="J112" t="str">
        <f t="shared" si="25"/>
        <v>Trd_lcv_dsl-pih</v>
      </c>
      <c r="K112" t="str">
        <f t="shared" si="22"/>
        <v>\I:</v>
      </c>
      <c r="L112" t="str">
        <f t="shared" si="23"/>
        <v>\I:</v>
      </c>
      <c r="M112" s="185" t="str">
        <f t="shared" si="26"/>
        <v/>
      </c>
      <c r="N112" s="185" t="str">
        <f t="shared" si="27"/>
        <v/>
      </c>
      <c r="O112" s="185" t="str">
        <f t="shared" si="28"/>
        <v/>
      </c>
      <c r="P112" s="185" t="str">
        <f t="shared" si="29"/>
        <v/>
      </c>
      <c r="T112" t="str">
        <f t="shared" ref="T112:T143" si="31">K112</f>
        <v>\I:</v>
      </c>
      <c r="U112" t="str">
        <f t="shared" ref="U112:U143" ca="1" si="32">OFFSET($S$1,MATCH(J112,$S$1:$S$10,0)-1,-1)&amp;" -- "&amp;TEXT(B112,"00%")</f>
        <v>ICE plug-in hybrid diesel LCV -- Energy consumption</v>
      </c>
      <c r="V112" s="188" t="s">
        <v>84</v>
      </c>
      <c r="W112" s="188" t="s">
        <v>85</v>
      </c>
    </row>
    <row r="113" spans="2:23">
      <c r="B113" s="31" t="s">
        <v>14</v>
      </c>
      <c r="C113" s="32" t="s">
        <v>15</v>
      </c>
      <c r="D113" s="44">
        <v>19499.376698018499</v>
      </c>
      <c r="I113" s="190" t="s">
        <v>70</v>
      </c>
      <c r="J113" t="str">
        <f t="shared" si="25"/>
        <v>Trd_lcv_dsl-pih</v>
      </c>
      <c r="K113" t="str">
        <f t="shared" si="22"/>
        <v>\I:</v>
      </c>
      <c r="L113" t="str">
        <f t="shared" si="23"/>
        <v>\I:</v>
      </c>
      <c r="M113" s="185" t="str">
        <f t="shared" si="26"/>
        <v/>
      </c>
      <c r="N113" s="185" t="str">
        <f t="shared" si="27"/>
        <v/>
      </c>
      <c r="O113" s="185" t="str">
        <f t="shared" si="28"/>
        <v/>
      </c>
      <c r="P113" s="185" t="str">
        <f t="shared" si="29"/>
        <v/>
      </c>
      <c r="T113" t="str">
        <f t="shared" si="31"/>
        <v>\I:</v>
      </c>
      <c r="U113" t="str">
        <f t="shared" ca="1" si="32"/>
        <v>ICE plug-in hybrid diesel LCV -- Capital cost</v>
      </c>
      <c r="V113" s="188" t="s">
        <v>84</v>
      </c>
      <c r="W113" s="188" t="s">
        <v>85</v>
      </c>
    </row>
    <row r="114" spans="2:23">
      <c r="J114" t="str">
        <f t="shared" si="25"/>
        <v>Trd_lcv_dsl-pih</v>
      </c>
      <c r="K114" t="str">
        <f t="shared" si="22"/>
        <v>\I:</v>
      </c>
      <c r="L114" t="str">
        <f t="shared" si="23"/>
        <v>\I:</v>
      </c>
      <c r="M114" s="185" t="str">
        <f t="shared" si="26"/>
        <v/>
      </c>
      <c r="N114" s="185" t="str">
        <f t="shared" si="27"/>
        <v/>
      </c>
      <c r="O114" s="185" t="str">
        <f t="shared" si="28"/>
        <v/>
      </c>
      <c r="P114" s="185" t="str">
        <f t="shared" si="29"/>
        <v/>
      </c>
      <c r="T114" t="str">
        <f t="shared" si="31"/>
        <v>\I:</v>
      </c>
      <c r="U114" t="str">
        <f t="shared" ca="1" si="32"/>
        <v>ICE plug-in hybrid diesel LCV -- 00%</v>
      </c>
      <c r="V114" s="188" t="s">
        <v>84</v>
      </c>
      <c r="W114" s="188" t="s">
        <v>85</v>
      </c>
    </row>
    <row r="115" spans="2:23" ht="15" customHeight="1">
      <c r="B115" s="34" t="s">
        <v>89</v>
      </c>
      <c r="C115" s="179" t="s">
        <v>101</v>
      </c>
      <c r="D115" s="34"/>
      <c r="E115" s="34"/>
      <c r="F115" s="34"/>
      <c r="J115" t="str">
        <f t="shared" si="25"/>
        <v>Trd_lcv_cng</v>
      </c>
      <c r="K115" t="str">
        <f t="shared" si="22"/>
        <v>\I:</v>
      </c>
      <c r="L115" t="str">
        <f t="shared" si="23"/>
        <v>\I:</v>
      </c>
      <c r="M115" s="185" t="str">
        <f t="shared" si="26"/>
        <v/>
      </c>
      <c r="N115" s="185" t="str">
        <f t="shared" si="27"/>
        <v/>
      </c>
      <c r="O115" s="185" t="str">
        <f t="shared" si="28"/>
        <v/>
      </c>
      <c r="P115" s="185" t="str">
        <f t="shared" si="29"/>
        <v/>
      </c>
      <c r="T115" t="str">
        <f t="shared" si="31"/>
        <v>\I:</v>
      </c>
      <c r="U115" t="str">
        <f t="shared" ca="1" si="32"/>
        <v>ICE CNG LCV -- Reduction of specific energy consumption relative to 2015 CNG vehicle (%)</v>
      </c>
      <c r="V115" s="188" t="s">
        <v>84</v>
      </c>
      <c r="W115" s="188" t="s">
        <v>85</v>
      </c>
    </row>
    <row r="116" spans="2:23">
      <c r="B116" s="34"/>
      <c r="C116" s="179"/>
      <c r="D116" s="34"/>
      <c r="E116" s="34"/>
      <c r="F116" s="34"/>
      <c r="J116" t="str">
        <f t="shared" si="25"/>
        <v>Trd_lcv_cng</v>
      </c>
      <c r="K116" t="str">
        <f t="shared" si="22"/>
        <v>\I:</v>
      </c>
      <c r="L116" t="str">
        <f t="shared" si="23"/>
        <v>\I:</v>
      </c>
      <c r="M116" s="185" t="str">
        <f t="shared" si="26"/>
        <v/>
      </c>
      <c r="N116" s="185" t="str">
        <f t="shared" si="27"/>
        <v/>
      </c>
      <c r="O116" s="185" t="str">
        <f t="shared" si="28"/>
        <v/>
      </c>
      <c r="P116" s="185" t="str">
        <f t="shared" si="29"/>
        <v/>
      </c>
      <c r="T116" t="str">
        <f t="shared" si="31"/>
        <v>\I:</v>
      </c>
      <c r="U116" t="str">
        <f t="shared" ca="1" si="32"/>
        <v>ICE CNG LCV -- 00%</v>
      </c>
      <c r="V116" s="188" t="s">
        <v>84</v>
      </c>
      <c r="W116" s="188" t="s">
        <v>85</v>
      </c>
    </row>
    <row r="117" spans="2:23">
      <c r="B117" s="34"/>
      <c r="C117" s="179"/>
      <c r="D117" s="34"/>
      <c r="E117" s="34"/>
      <c r="F117" s="34"/>
      <c r="J117" t="str">
        <f t="shared" si="25"/>
        <v>Trd_lcv_cng</v>
      </c>
      <c r="K117" t="str">
        <f t="shared" si="22"/>
        <v>\I:</v>
      </c>
      <c r="L117" t="str">
        <f t="shared" si="23"/>
        <v>\I:</v>
      </c>
      <c r="M117" s="185" t="str">
        <f t="shared" si="26"/>
        <v/>
      </c>
      <c r="N117" s="185" t="str">
        <f t="shared" si="27"/>
        <v/>
      </c>
      <c r="O117" s="185" t="str">
        <f t="shared" si="28"/>
        <v/>
      </c>
      <c r="P117" s="185" t="str">
        <f t="shared" si="29"/>
        <v/>
      </c>
      <c r="T117" t="str">
        <f t="shared" si="31"/>
        <v>\I:</v>
      </c>
      <c r="U117" t="str">
        <f t="shared" ca="1" si="32"/>
        <v>ICE CNG LCV -- 00%</v>
      </c>
      <c r="V117" s="188" t="s">
        <v>84</v>
      </c>
      <c r="W117" s="188" t="s">
        <v>85</v>
      </c>
    </row>
    <row r="118" spans="2:23">
      <c r="B118" s="55"/>
      <c r="C118" s="220">
        <v>2020</v>
      </c>
      <c r="D118" s="36">
        <v>2030</v>
      </c>
      <c r="E118" s="36">
        <v>2040</v>
      </c>
      <c r="F118" s="36">
        <v>2050</v>
      </c>
      <c r="I118" s="178">
        <v>1</v>
      </c>
      <c r="J118" s="29" t="str">
        <f t="shared" ref="J118" si="33">IFERROR(VLOOKUP(C118,$R$1:$S$11,2,FALSE),J117)</f>
        <v>Trd_lcv_cng</v>
      </c>
      <c r="K118" s="29" t="str">
        <f>IFERROR(IF(VALUE(C118)&gt;200,J118&amp;"_"&amp;TEXT(B118*100,"00"),"\I:"),"\I:")</f>
        <v>Trd_lcv_cng_00</v>
      </c>
      <c r="L118" t="str">
        <f t="shared" si="23"/>
        <v>Trd_lcv</v>
      </c>
      <c r="M118" s="223">
        <f>D113</f>
        <v>19499.376698018499</v>
      </c>
      <c r="N118" s="185"/>
      <c r="O118" s="185"/>
      <c r="P118" s="185"/>
      <c r="T118" t="str">
        <f t="shared" si="31"/>
        <v>Trd_lcv_cng_00</v>
      </c>
      <c r="U118" t="str">
        <f t="shared" ca="1" si="32"/>
        <v>ICE CNG LCV -- 00%</v>
      </c>
      <c r="V118" s="188" t="s">
        <v>84</v>
      </c>
      <c r="W118" s="188" t="s">
        <v>85</v>
      </c>
    </row>
    <row r="119" spans="2:23">
      <c r="B119" s="52">
        <v>0.145560583753408</v>
      </c>
      <c r="C119" s="221">
        <v>19969.9959792433</v>
      </c>
      <c r="D119" s="53">
        <v>19508.824770110499</v>
      </c>
      <c r="E119" s="53">
        <v>19508.824770110499</v>
      </c>
      <c r="F119" s="53">
        <v>19508.824770110499</v>
      </c>
      <c r="I119" s="50">
        <f>$I$112*(1+B119)/$I$11</f>
        <v>1.0126937788550201</v>
      </c>
      <c r="J119" t="str">
        <f t="shared" si="25"/>
        <v>Trd_lcv_cng</v>
      </c>
      <c r="K119" t="str">
        <f t="shared" si="22"/>
        <v>Trd_lcv_cng_15</v>
      </c>
      <c r="L119" t="str">
        <f t="shared" si="23"/>
        <v>Trd_lcv</v>
      </c>
      <c r="M119" s="185">
        <f t="shared" si="26"/>
        <v>19969.9959792433</v>
      </c>
      <c r="N119" s="185">
        <f t="shared" si="27"/>
        <v>19508.824770110499</v>
      </c>
      <c r="O119" s="185">
        <f t="shared" si="28"/>
        <v>19508.824770110499</v>
      </c>
      <c r="P119" s="185">
        <f t="shared" si="29"/>
        <v>19508.824770110499</v>
      </c>
      <c r="T119" t="str">
        <f t="shared" si="31"/>
        <v>Trd_lcv_cng_15</v>
      </c>
      <c r="U119" t="str">
        <f t="shared" ca="1" si="32"/>
        <v>ICE CNG LCV -- 15%</v>
      </c>
      <c r="V119" s="188" t="s">
        <v>84</v>
      </c>
      <c r="W119" s="188" t="s">
        <v>85</v>
      </c>
    </row>
    <row r="120" spans="2:23">
      <c r="B120" s="52">
        <v>0.245560583753408</v>
      </c>
      <c r="C120" s="221">
        <v>21334.829812100899</v>
      </c>
      <c r="D120" s="53">
        <v>20057.998726763799</v>
      </c>
      <c r="E120" s="53">
        <v>20057.998726763799</v>
      </c>
      <c r="F120" s="53">
        <v>20057.998726763799</v>
      </c>
      <c r="I120" s="50">
        <f>$I$112*(1+B120)/$I$11</f>
        <v>1.1010953695886101</v>
      </c>
      <c r="J120" t="str">
        <f t="shared" si="25"/>
        <v>Trd_lcv_cng</v>
      </c>
      <c r="K120" t="str">
        <f t="shared" si="22"/>
        <v>Trd_lcv_cng_25</v>
      </c>
      <c r="L120" t="str">
        <f t="shared" si="23"/>
        <v>Trd_lcv</v>
      </c>
      <c r="M120" s="185">
        <f t="shared" si="26"/>
        <v>21334.829812100899</v>
      </c>
      <c r="N120" s="185">
        <f t="shared" si="27"/>
        <v>20057.998726763799</v>
      </c>
      <c r="O120" s="185">
        <f t="shared" si="28"/>
        <v>20057.998726763799</v>
      </c>
      <c r="P120" s="185">
        <f t="shared" si="29"/>
        <v>20057.998726763799</v>
      </c>
      <c r="T120" t="str">
        <f t="shared" si="31"/>
        <v>Trd_lcv_cng_25</v>
      </c>
      <c r="U120" t="str">
        <f t="shared" ca="1" si="32"/>
        <v>ICE CNG LCV -- 25%</v>
      </c>
      <c r="V120" s="188" t="s">
        <v>84</v>
      </c>
      <c r="W120" s="188" t="s">
        <v>85</v>
      </c>
    </row>
    <row r="121" spans="2:23">
      <c r="B121" s="52">
        <v>0.34556058375340798</v>
      </c>
      <c r="C121" s="221">
        <v>26419.001978032102</v>
      </c>
      <c r="D121" s="53">
        <v>21285.778926065999</v>
      </c>
      <c r="E121" s="53">
        <v>21285.778926065999</v>
      </c>
      <c r="F121" s="53">
        <v>21285.778926065999</v>
      </c>
      <c r="I121" s="50">
        <f>$I$112*(1+B121)/$I$11</f>
        <v>1.1894969603222001</v>
      </c>
      <c r="J121" t="str">
        <f t="shared" si="25"/>
        <v>Trd_lcv_cng</v>
      </c>
      <c r="K121" t="str">
        <f t="shared" si="22"/>
        <v>Trd_lcv_cng_35</v>
      </c>
      <c r="L121" t="str">
        <f t="shared" si="23"/>
        <v>Trd_lcv</v>
      </c>
      <c r="M121" s="185">
        <f t="shared" si="26"/>
        <v>26419.001978032102</v>
      </c>
      <c r="N121" s="185">
        <f t="shared" si="27"/>
        <v>21285.778926065999</v>
      </c>
      <c r="O121" s="185">
        <f t="shared" si="28"/>
        <v>21285.778926065999</v>
      </c>
      <c r="P121" s="185">
        <f t="shared" si="29"/>
        <v>21285.778926065999</v>
      </c>
      <c r="T121" t="str">
        <f t="shared" si="31"/>
        <v>Trd_lcv_cng_35</v>
      </c>
      <c r="U121" t="str">
        <f t="shared" ca="1" si="32"/>
        <v>ICE CNG LCV -- 35%</v>
      </c>
      <c r="V121" s="188" t="s">
        <v>84</v>
      </c>
      <c r="W121" s="188" t="s">
        <v>85</v>
      </c>
    </row>
    <row r="122" spans="2:23">
      <c r="B122" s="52">
        <v>0.39556058375340802</v>
      </c>
      <c r="C122" s="221">
        <v>34866.420335116003</v>
      </c>
      <c r="D122" s="53">
        <v>23649.875471248801</v>
      </c>
      <c r="E122" s="53">
        <v>23649.875471248801</v>
      </c>
      <c r="F122" s="53">
        <v>23649.875471248801</v>
      </c>
      <c r="I122" s="50">
        <f>$I$112*(1+B122)/$I$11</f>
        <v>1.2336977556890001</v>
      </c>
      <c r="J122" t="str">
        <f t="shared" si="25"/>
        <v>Trd_lcv_cng</v>
      </c>
      <c r="K122" t="str">
        <f t="shared" si="22"/>
        <v>Trd_lcv_cng_40</v>
      </c>
      <c r="L122" t="str">
        <f t="shared" si="23"/>
        <v>Trd_lcv</v>
      </c>
      <c r="M122" s="185">
        <f t="shared" si="26"/>
        <v>34866.420335116003</v>
      </c>
      <c r="N122" s="185">
        <f t="shared" si="27"/>
        <v>23649.875471248801</v>
      </c>
      <c r="O122" s="185">
        <f t="shared" si="28"/>
        <v>23649.875471248801</v>
      </c>
      <c r="P122" s="185">
        <f t="shared" si="29"/>
        <v>23649.875471248801</v>
      </c>
      <c r="T122" t="str">
        <f t="shared" si="31"/>
        <v>Trd_lcv_cng_40</v>
      </c>
      <c r="U122" t="str">
        <f t="shared" ca="1" si="32"/>
        <v>ICE CNG LCV -- 40%</v>
      </c>
      <c r="V122" s="188" t="s">
        <v>84</v>
      </c>
      <c r="W122" s="188" t="s">
        <v>85</v>
      </c>
    </row>
    <row r="123" spans="2:23">
      <c r="B123" s="52">
        <v>0.44556058375340801</v>
      </c>
      <c r="C123" s="221">
        <v>101681.101481391</v>
      </c>
      <c r="D123" s="53">
        <v>29079.7291070172</v>
      </c>
      <c r="E123" s="53">
        <v>29079.7291070172</v>
      </c>
      <c r="F123" s="53">
        <v>29079.7291070172</v>
      </c>
      <c r="I123" s="50">
        <f>$I$112*(1+B123)/$I$11</f>
        <v>1.2778985510557901</v>
      </c>
      <c r="J123" t="str">
        <f t="shared" si="25"/>
        <v>Trd_lcv_cng</v>
      </c>
      <c r="K123" t="str">
        <f t="shared" si="22"/>
        <v>Trd_lcv_cng_45</v>
      </c>
      <c r="L123" t="str">
        <f t="shared" si="23"/>
        <v>Trd_lcv</v>
      </c>
      <c r="M123" s="185">
        <f t="shared" si="26"/>
        <v>101681.101481391</v>
      </c>
      <c r="N123" s="185">
        <f t="shared" si="27"/>
        <v>29079.7291070172</v>
      </c>
      <c r="O123" s="185">
        <f t="shared" si="28"/>
        <v>29079.7291070172</v>
      </c>
      <c r="P123" s="185">
        <f t="shared" si="29"/>
        <v>29079.7291070172</v>
      </c>
      <c r="T123" t="str">
        <f t="shared" si="31"/>
        <v>Trd_lcv_cng_45</v>
      </c>
      <c r="U123" t="str">
        <f t="shared" ca="1" si="32"/>
        <v>ICE CNG LCV -- 45%</v>
      </c>
      <c r="V123" s="188" t="s">
        <v>84</v>
      </c>
      <c r="W123" s="188" t="s">
        <v>85</v>
      </c>
    </row>
    <row r="124" spans="2:23">
      <c r="D124" s="61"/>
      <c r="E124" s="61"/>
      <c r="F124" s="61"/>
      <c r="I124" s="50"/>
      <c r="J124" t="str">
        <f t="shared" si="25"/>
        <v>Trd_lcv_cng</v>
      </c>
      <c r="K124" t="str">
        <f t="shared" si="22"/>
        <v>\I:</v>
      </c>
      <c r="L124" t="str">
        <f t="shared" si="23"/>
        <v>\I:</v>
      </c>
      <c r="M124" s="185" t="str">
        <f t="shared" si="26"/>
        <v/>
      </c>
      <c r="N124" s="185" t="str">
        <f t="shared" si="27"/>
        <v/>
      </c>
      <c r="O124" s="185" t="str">
        <f t="shared" si="28"/>
        <v/>
      </c>
      <c r="P124" s="185" t="str">
        <f t="shared" si="29"/>
        <v/>
      </c>
      <c r="T124" t="str">
        <f t="shared" si="31"/>
        <v>\I:</v>
      </c>
      <c r="U124" t="str">
        <f t="shared" ca="1" si="32"/>
        <v>ICE CNG LCV -- 00%</v>
      </c>
      <c r="V124" s="188" t="s">
        <v>84</v>
      </c>
      <c r="W124" s="188" t="s">
        <v>85</v>
      </c>
    </row>
    <row r="125" spans="2:23">
      <c r="D125" s="61"/>
      <c r="E125" s="61"/>
      <c r="F125" s="61"/>
      <c r="I125" s="50"/>
      <c r="J125" t="str">
        <f t="shared" si="25"/>
        <v>Trd_lcv_cng</v>
      </c>
      <c r="K125" t="str">
        <f t="shared" si="22"/>
        <v>\I:</v>
      </c>
      <c r="L125" t="str">
        <f t="shared" si="23"/>
        <v>\I:</v>
      </c>
      <c r="M125" s="185" t="str">
        <f t="shared" si="26"/>
        <v/>
      </c>
      <c r="N125" s="185" t="str">
        <f t="shared" si="27"/>
        <v/>
      </c>
      <c r="O125" s="185" t="str">
        <f t="shared" si="28"/>
        <v/>
      </c>
      <c r="P125" s="185" t="str">
        <f t="shared" si="29"/>
        <v/>
      </c>
      <c r="T125" t="str">
        <f t="shared" si="31"/>
        <v>\I:</v>
      </c>
      <c r="U125" t="str">
        <f t="shared" ca="1" si="32"/>
        <v>ICE CNG LCV -- 00%</v>
      </c>
      <c r="V125" s="188" t="s">
        <v>84</v>
      </c>
      <c r="W125" s="188" t="s">
        <v>85</v>
      </c>
    </row>
    <row r="126" spans="2:23">
      <c r="J126" t="str">
        <f t="shared" si="25"/>
        <v>Trd_lcv_cng</v>
      </c>
      <c r="K126" t="str">
        <f t="shared" si="22"/>
        <v>\I:</v>
      </c>
      <c r="L126" t="str">
        <f t="shared" si="23"/>
        <v>\I:</v>
      </c>
      <c r="M126" s="185" t="str">
        <f t="shared" si="26"/>
        <v/>
      </c>
      <c r="N126" s="185" t="str">
        <f t="shared" si="27"/>
        <v/>
      </c>
      <c r="O126" s="185" t="str">
        <f t="shared" si="28"/>
        <v/>
      </c>
      <c r="P126" s="185" t="str">
        <f t="shared" si="29"/>
        <v/>
      </c>
      <c r="T126" t="str">
        <f t="shared" si="31"/>
        <v>\I:</v>
      </c>
      <c r="U126" t="str">
        <f t="shared" ca="1" si="32"/>
        <v>ICE CNG LCV -- 00%</v>
      </c>
      <c r="V126" s="188" t="s">
        <v>84</v>
      </c>
      <c r="W126" s="188" t="s">
        <v>85</v>
      </c>
    </row>
    <row r="127" spans="2:23">
      <c r="J127" t="str">
        <f t="shared" si="25"/>
        <v>Trd_lcv_cng</v>
      </c>
      <c r="K127" t="str">
        <f t="shared" si="22"/>
        <v>\I:</v>
      </c>
      <c r="L127" t="str">
        <f t="shared" si="23"/>
        <v>\I:</v>
      </c>
      <c r="M127" s="185" t="str">
        <f t="shared" si="26"/>
        <v/>
      </c>
      <c r="N127" s="185" t="str">
        <f t="shared" si="27"/>
        <v/>
      </c>
      <c r="O127" s="185" t="str">
        <f t="shared" si="28"/>
        <v/>
      </c>
      <c r="P127" s="185" t="str">
        <f t="shared" si="29"/>
        <v/>
      </c>
      <c r="T127" t="str">
        <f t="shared" si="31"/>
        <v>\I:</v>
      </c>
      <c r="U127" t="str">
        <f t="shared" ca="1" si="32"/>
        <v>ICE CNG LCV -- 00%</v>
      </c>
      <c r="V127" s="188" t="s">
        <v>84</v>
      </c>
      <c r="W127" s="188" t="s">
        <v>85</v>
      </c>
    </row>
    <row r="128" spans="2:23">
      <c r="J128" t="str">
        <f t="shared" si="25"/>
        <v>Trd_lcv_cng</v>
      </c>
      <c r="K128" t="str">
        <f t="shared" si="22"/>
        <v>\I:</v>
      </c>
      <c r="L128" t="str">
        <f t="shared" si="23"/>
        <v>\I:</v>
      </c>
      <c r="M128" s="185" t="str">
        <f t="shared" si="26"/>
        <v/>
      </c>
      <c r="N128" s="185" t="str">
        <f t="shared" si="27"/>
        <v/>
      </c>
      <c r="O128" s="185" t="str">
        <f t="shared" si="28"/>
        <v/>
      </c>
      <c r="P128" s="185" t="str">
        <f t="shared" si="29"/>
        <v/>
      </c>
      <c r="T128" t="str">
        <f t="shared" si="31"/>
        <v>\I:</v>
      </c>
      <c r="U128" t="str">
        <f t="shared" ca="1" si="32"/>
        <v>ICE CNG LCV -- 00%</v>
      </c>
      <c r="V128" s="188" t="s">
        <v>84</v>
      </c>
      <c r="W128" s="188" t="s">
        <v>85</v>
      </c>
    </row>
    <row r="129" spans="2:23">
      <c r="J129" t="str">
        <f t="shared" si="25"/>
        <v>Trd_lcv_cng</v>
      </c>
      <c r="K129" t="str">
        <f t="shared" si="22"/>
        <v>\I:</v>
      </c>
      <c r="L129" t="str">
        <f t="shared" si="23"/>
        <v>\I:</v>
      </c>
      <c r="M129" s="185" t="str">
        <f t="shared" si="26"/>
        <v/>
      </c>
      <c r="N129" s="185" t="str">
        <f t="shared" si="27"/>
        <v/>
      </c>
      <c r="O129" s="185" t="str">
        <f t="shared" si="28"/>
        <v/>
      </c>
      <c r="P129" s="185" t="str">
        <f t="shared" si="29"/>
        <v/>
      </c>
      <c r="T129" t="str">
        <f t="shared" si="31"/>
        <v>\I:</v>
      </c>
      <c r="U129" t="str">
        <f t="shared" ca="1" si="32"/>
        <v>ICE CNG LCV -- 00%</v>
      </c>
      <c r="V129" s="188" t="s">
        <v>84</v>
      </c>
      <c r="W129" s="188" t="s">
        <v>85</v>
      </c>
    </row>
    <row r="130" spans="2:23">
      <c r="B130" s="29" t="s">
        <v>108</v>
      </c>
      <c r="J130" t="str">
        <f t="shared" si="25"/>
        <v>Trd_lcv_cng</v>
      </c>
      <c r="K130" t="str">
        <f t="shared" si="22"/>
        <v>\I:</v>
      </c>
      <c r="L130" t="str">
        <f t="shared" si="23"/>
        <v>\I:</v>
      </c>
      <c r="M130" s="185" t="str">
        <f t="shared" si="26"/>
        <v/>
      </c>
      <c r="N130" s="185" t="str">
        <f t="shared" si="27"/>
        <v/>
      </c>
      <c r="O130" s="185" t="str">
        <f t="shared" si="28"/>
        <v/>
      </c>
      <c r="P130" s="185" t="str">
        <f t="shared" si="29"/>
        <v/>
      </c>
      <c r="T130" t="str">
        <f t="shared" si="31"/>
        <v>\I:</v>
      </c>
      <c r="U130" t="str">
        <f t="shared" ca="1" si="32"/>
        <v>ICE CNG LCV -- Reference values for LPG LCV</v>
      </c>
      <c r="V130" s="188" t="s">
        <v>84</v>
      </c>
      <c r="W130" s="188" t="s">
        <v>85</v>
      </c>
    </row>
    <row r="131" spans="2:23">
      <c r="B131" s="30">
        <v>2015</v>
      </c>
      <c r="C131" s="177"/>
      <c r="D131" s="30"/>
      <c r="J131" t="str">
        <f t="shared" si="25"/>
        <v>Trd_lcv_cng</v>
      </c>
      <c r="K131" t="str">
        <f t="shared" si="22"/>
        <v>\I:</v>
      </c>
      <c r="L131" t="str">
        <f t="shared" si="23"/>
        <v>\I:</v>
      </c>
      <c r="M131" s="185" t="str">
        <f t="shared" si="26"/>
        <v/>
      </c>
      <c r="N131" s="185" t="str">
        <f t="shared" si="27"/>
        <v/>
      </c>
      <c r="O131" s="185" t="str">
        <f t="shared" si="28"/>
        <v/>
      </c>
      <c r="P131" s="185" t="str">
        <f t="shared" si="29"/>
        <v/>
      </c>
      <c r="T131" t="str">
        <f t="shared" si="31"/>
        <v>\I:</v>
      </c>
      <c r="U131" t="str">
        <f t="shared" ca="1" si="32"/>
        <v>ICE CNG LCV -- 201500%</v>
      </c>
      <c r="V131" s="188" t="s">
        <v>84</v>
      </c>
      <c r="W131" s="188" t="s">
        <v>85</v>
      </c>
    </row>
    <row r="132" spans="2:23">
      <c r="B132" s="31" t="s">
        <v>12</v>
      </c>
      <c r="C132" s="32" t="s">
        <v>13</v>
      </c>
      <c r="D132" s="33">
        <v>8.8660497791587396</v>
      </c>
      <c r="G132" s="50">
        <f>D132*$F$10/100*10^9/10^6</f>
        <v>2.26882213848672</v>
      </c>
      <c r="H132" s="50"/>
      <c r="I132" s="178">
        <f>1/G132</f>
        <v>0.44075733528719402</v>
      </c>
      <c r="J132" t="str">
        <f t="shared" si="25"/>
        <v>Trd_lcv_cng</v>
      </c>
      <c r="K132" t="str">
        <f t="shared" si="22"/>
        <v>\I:</v>
      </c>
      <c r="L132" t="str">
        <f t="shared" si="23"/>
        <v>\I:</v>
      </c>
      <c r="M132" s="185" t="str">
        <f t="shared" si="26"/>
        <v/>
      </c>
      <c r="N132" s="185" t="str">
        <f t="shared" si="27"/>
        <v/>
      </c>
      <c r="O132" s="185" t="str">
        <f t="shared" si="28"/>
        <v/>
      </c>
      <c r="P132" s="185" t="str">
        <f t="shared" si="29"/>
        <v/>
      </c>
      <c r="T132" t="str">
        <f t="shared" si="31"/>
        <v>\I:</v>
      </c>
      <c r="U132" t="str">
        <f t="shared" ca="1" si="32"/>
        <v>ICE CNG LCV -- Energy consumption</v>
      </c>
      <c r="V132" s="188" t="s">
        <v>84</v>
      </c>
      <c r="W132" s="188" t="s">
        <v>85</v>
      </c>
    </row>
    <row r="133" spans="2:23">
      <c r="B133" s="31" t="s">
        <v>14</v>
      </c>
      <c r="C133" s="32" t="s">
        <v>15</v>
      </c>
      <c r="D133" s="44">
        <v>18928.995380018499</v>
      </c>
      <c r="I133" s="190" t="s">
        <v>70</v>
      </c>
      <c r="J133" t="str">
        <f t="shared" si="25"/>
        <v>Trd_lcv_cng</v>
      </c>
      <c r="K133" t="str">
        <f t="shared" si="22"/>
        <v>\I:</v>
      </c>
      <c r="L133" t="str">
        <f t="shared" si="23"/>
        <v>\I:</v>
      </c>
      <c r="M133" s="185" t="str">
        <f t="shared" si="26"/>
        <v/>
      </c>
      <c r="N133" s="185" t="str">
        <f t="shared" si="27"/>
        <v/>
      </c>
      <c r="O133" s="185" t="str">
        <f t="shared" si="28"/>
        <v/>
      </c>
      <c r="P133" s="185" t="str">
        <f t="shared" si="29"/>
        <v/>
      </c>
      <c r="T133" t="str">
        <f t="shared" si="31"/>
        <v>\I:</v>
      </c>
      <c r="U133" t="str">
        <f t="shared" ca="1" si="32"/>
        <v>ICE CNG LCV -- Capital cost</v>
      </c>
      <c r="V133" s="188" t="s">
        <v>84</v>
      </c>
      <c r="W133" s="188" t="s">
        <v>85</v>
      </c>
    </row>
    <row r="134" spans="2:23">
      <c r="J134" t="str">
        <f t="shared" si="25"/>
        <v>Trd_lcv_cng</v>
      </c>
      <c r="K134" t="str">
        <f t="shared" si="22"/>
        <v>\I:</v>
      </c>
      <c r="L134" t="str">
        <f t="shared" si="23"/>
        <v>\I:</v>
      </c>
      <c r="M134" s="185" t="str">
        <f t="shared" si="26"/>
        <v/>
      </c>
      <c r="N134" s="185" t="str">
        <f t="shared" si="27"/>
        <v/>
      </c>
      <c r="O134" s="185" t="str">
        <f t="shared" si="28"/>
        <v/>
      </c>
      <c r="P134" s="185" t="str">
        <f t="shared" si="29"/>
        <v/>
      </c>
      <c r="T134" t="str">
        <f t="shared" si="31"/>
        <v>\I:</v>
      </c>
      <c r="U134" t="str">
        <f t="shared" ca="1" si="32"/>
        <v>ICE CNG LCV -- 00%</v>
      </c>
      <c r="V134" s="188" t="s">
        <v>84</v>
      </c>
      <c r="W134" s="188" t="s">
        <v>85</v>
      </c>
    </row>
    <row r="135" spans="2:23" ht="15" customHeight="1">
      <c r="B135" s="34" t="s">
        <v>91</v>
      </c>
      <c r="C135" s="179" t="s">
        <v>102</v>
      </c>
      <c r="D135" s="34"/>
      <c r="E135" s="34"/>
      <c r="F135" s="34"/>
      <c r="J135" t="str">
        <f t="shared" si="25"/>
        <v>\I:Trd_lcv_lpg</v>
      </c>
      <c r="K135" t="str">
        <f t="shared" si="22"/>
        <v>\I:</v>
      </c>
      <c r="L135" t="str">
        <f t="shared" si="23"/>
        <v>\I:</v>
      </c>
      <c r="M135" s="185" t="str">
        <f t="shared" si="26"/>
        <v/>
      </c>
      <c r="N135" s="185" t="str">
        <f t="shared" si="27"/>
        <v/>
      </c>
      <c r="O135" s="185" t="str">
        <f t="shared" si="28"/>
        <v/>
      </c>
      <c r="P135" s="185" t="str">
        <f t="shared" si="29"/>
        <v/>
      </c>
      <c r="T135" t="str">
        <f t="shared" si="31"/>
        <v>\I:</v>
      </c>
      <c r="U135" t="str">
        <f t="shared" ca="1" si="32"/>
        <v>ICE LPG LCV -- Reduction of specific energy consumption relative to 2015 LPG vehicle (%)</v>
      </c>
      <c r="V135" s="188" t="s">
        <v>84</v>
      </c>
      <c r="W135" s="188" t="s">
        <v>85</v>
      </c>
    </row>
    <row r="136" spans="2:23">
      <c r="B136" s="34"/>
      <c r="C136" s="179"/>
      <c r="D136" s="34"/>
      <c r="E136" s="34"/>
      <c r="F136" s="34"/>
      <c r="J136" t="str">
        <f t="shared" si="25"/>
        <v>\I:Trd_lcv_lpg</v>
      </c>
      <c r="K136" t="str">
        <f t="shared" si="22"/>
        <v>\I:</v>
      </c>
      <c r="L136" t="str">
        <f t="shared" si="23"/>
        <v>\I:</v>
      </c>
      <c r="M136" s="185" t="str">
        <f t="shared" si="26"/>
        <v/>
      </c>
      <c r="N136" s="185" t="str">
        <f t="shared" si="27"/>
        <v/>
      </c>
      <c r="O136" s="185" t="str">
        <f t="shared" si="28"/>
        <v/>
      </c>
      <c r="P136" s="185" t="str">
        <f t="shared" si="29"/>
        <v/>
      </c>
      <c r="T136" t="str">
        <f t="shared" si="31"/>
        <v>\I:</v>
      </c>
      <c r="U136" t="str">
        <f t="shared" ca="1" si="32"/>
        <v>ICE LPG LCV -- 00%</v>
      </c>
      <c r="V136" s="188" t="s">
        <v>84</v>
      </c>
      <c r="W136" s="188" t="s">
        <v>85</v>
      </c>
    </row>
    <row r="137" spans="2:23">
      <c r="B137" s="34"/>
      <c r="C137" s="179"/>
      <c r="D137" s="34"/>
      <c r="E137" s="34"/>
      <c r="F137" s="34"/>
      <c r="J137" t="str">
        <f t="shared" si="25"/>
        <v>\I:Trd_lcv_lpg</v>
      </c>
      <c r="K137" t="str">
        <f t="shared" si="22"/>
        <v>\I:</v>
      </c>
      <c r="L137" t="str">
        <f t="shared" si="23"/>
        <v>\I:</v>
      </c>
      <c r="M137" s="185" t="str">
        <f t="shared" si="26"/>
        <v/>
      </c>
      <c r="N137" s="185" t="str">
        <f t="shared" si="27"/>
        <v/>
      </c>
      <c r="O137" s="185" t="str">
        <f t="shared" si="28"/>
        <v/>
      </c>
      <c r="P137" s="185" t="str">
        <f t="shared" si="29"/>
        <v/>
      </c>
      <c r="T137" t="str">
        <f t="shared" si="31"/>
        <v>\I:</v>
      </c>
      <c r="U137" t="str">
        <f t="shared" ca="1" si="32"/>
        <v>ICE LPG LCV -- 00%</v>
      </c>
      <c r="V137" s="188" t="s">
        <v>84</v>
      </c>
      <c r="W137" s="188" t="s">
        <v>85</v>
      </c>
    </row>
    <row r="138" spans="2:23">
      <c r="B138" s="55"/>
      <c r="C138" s="220">
        <v>2020</v>
      </c>
      <c r="D138" s="36">
        <v>2030</v>
      </c>
      <c r="E138" s="36">
        <v>2040</v>
      </c>
      <c r="F138" s="36">
        <v>2050</v>
      </c>
      <c r="J138" t="str">
        <f t="shared" si="25"/>
        <v>\I:Trd_lcv_lpg</v>
      </c>
      <c r="K138" t="str">
        <f t="shared" si="22"/>
        <v>\I:</v>
      </c>
      <c r="L138" t="str">
        <f t="shared" si="23"/>
        <v>\I:</v>
      </c>
      <c r="M138" s="185" t="str">
        <f t="shared" si="26"/>
        <v/>
      </c>
      <c r="N138" s="185" t="str">
        <f t="shared" si="27"/>
        <v/>
      </c>
      <c r="O138" s="185" t="str">
        <f t="shared" si="28"/>
        <v/>
      </c>
      <c r="P138" s="185" t="str">
        <f t="shared" si="29"/>
        <v/>
      </c>
      <c r="T138" t="str">
        <f t="shared" si="31"/>
        <v>\I:</v>
      </c>
      <c r="U138" t="str">
        <f t="shared" ca="1" si="32"/>
        <v>ICE LPG LCV -- 00%</v>
      </c>
      <c r="V138" s="188" t="s">
        <v>84</v>
      </c>
      <c r="W138" s="188" t="s">
        <v>85</v>
      </c>
    </row>
    <row r="139" spans="2:23">
      <c r="B139" s="52">
        <v>0.145560583753408</v>
      </c>
      <c r="C139" s="221">
        <v>19399.6146612433</v>
      </c>
      <c r="D139" s="53">
        <v>18938.443452110499</v>
      </c>
      <c r="E139" s="53">
        <v>18938.443452110499</v>
      </c>
      <c r="F139" s="53">
        <v>18938.443452110499</v>
      </c>
      <c r="I139" s="50">
        <f>$I$132*(1+B139)/$I$11</f>
        <v>1.3546989488785901</v>
      </c>
      <c r="J139" t="str">
        <f t="shared" si="25"/>
        <v>\I:Trd_lcv_lpg</v>
      </c>
      <c r="K139" t="str">
        <f t="shared" si="22"/>
        <v>\I:Trd_lcv_lpg_15</v>
      </c>
      <c r="L139" t="str">
        <f t="shared" si="23"/>
        <v>\I:Trd_</v>
      </c>
      <c r="M139" s="185">
        <f t="shared" si="26"/>
        <v>19399.6146612433</v>
      </c>
      <c r="N139" s="185">
        <f t="shared" si="27"/>
        <v>18938.443452110499</v>
      </c>
      <c r="O139" s="185">
        <f t="shared" si="28"/>
        <v>18938.443452110499</v>
      </c>
      <c r="P139" s="185">
        <f t="shared" si="29"/>
        <v>18938.443452110499</v>
      </c>
      <c r="T139" t="str">
        <f t="shared" si="31"/>
        <v>\I:Trd_lcv_lpg_15</v>
      </c>
      <c r="U139" t="str">
        <f t="shared" ca="1" si="32"/>
        <v>ICE LPG LCV -- 15%</v>
      </c>
      <c r="V139" s="188" t="s">
        <v>84</v>
      </c>
      <c r="W139" s="188" t="s">
        <v>85</v>
      </c>
    </row>
    <row r="140" spans="2:23">
      <c r="B140" s="52">
        <v>0.245560583753408</v>
      </c>
      <c r="C140" s="221">
        <v>20764.4484941009</v>
      </c>
      <c r="D140" s="53">
        <v>19487.617408763799</v>
      </c>
      <c r="E140" s="53">
        <v>19487.617408763799</v>
      </c>
      <c r="F140" s="53">
        <v>19487.617408763799</v>
      </c>
      <c r="I140" s="50">
        <f>$I$132*(1+B140)/$I$11</f>
        <v>1.47295537006584</v>
      </c>
      <c r="J140" t="str">
        <f t="shared" si="25"/>
        <v>\I:Trd_lcv_lpg</v>
      </c>
      <c r="K140" t="str">
        <f t="shared" si="22"/>
        <v>\I:Trd_lcv_lpg_25</v>
      </c>
      <c r="L140" t="str">
        <f t="shared" si="23"/>
        <v>\I:Trd_</v>
      </c>
      <c r="M140" s="185">
        <f t="shared" si="26"/>
        <v>20764.4484941009</v>
      </c>
      <c r="N140" s="185">
        <f t="shared" si="27"/>
        <v>19487.617408763799</v>
      </c>
      <c r="O140" s="185">
        <f t="shared" si="28"/>
        <v>19487.617408763799</v>
      </c>
      <c r="P140" s="185">
        <f t="shared" si="29"/>
        <v>19487.617408763799</v>
      </c>
      <c r="T140" t="str">
        <f t="shared" si="31"/>
        <v>\I:Trd_lcv_lpg_25</v>
      </c>
      <c r="U140" t="str">
        <f t="shared" ca="1" si="32"/>
        <v>ICE LPG LCV -- 25%</v>
      </c>
      <c r="V140" s="188" t="s">
        <v>84</v>
      </c>
      <c r="W140" s="188" t="s">
        <v>85</v>
      </c>
    </row>
    <row r="141" spans="2:23">
      <c r="B141" s="52">
        <v>0.34556058375340798</v>
      </c>
      <c r="C141" s="221">
        <v>25848.620660032098</v>
      </c>
      <c r="D141" s="53">
        <v>20715.397608066</v>
      </c>
      <c r="E141" s="53">
        <v>20715.397608066</v>
      </c>
      <c r="F141" s="53">
        <v>20715.397608066</v>
      </c>
      <c r="I141" s="50">
        <f>$I$132*(1+B141)/$I$11</f>
        <v>1.5912117912531001</v>
      </c>
      <c r="J141" t="str">
        <f t="shared" si="25"/>
        <v>\I:Trd_lcv_lpg</v>
      </c>
      <c r="K141" t="str">
        <f t="shared" si="22"/>
        <v>\I:Trd_lcv_lpg_35</v>
      </c>
      <c r="L141" t="str">
        <f t="shared" si="23"/>
        <v>\I:Trd_</v>
      </c>
      <c r="M141" s="185">
        <f t="shared" si="26"/>
        <v>25848.620660032098</v>
      </c>
      <c r="N141" s="185">
        <f t="shared" si="27"/>
        <v>20715.397608066</v>
      </c>
      <c r="O141" s="185">
        <f t="shared" si="28"/>
        <v>20715.397608066</v>
      </c>
      <c r="P141" s="185">
        <f t="shared" si="29"/>
        <v>20715.397608066</v>
      </c>
      <c r="T141" t="str">
        <f t="shared" si="31"/>
        <v>\I:Trd_lcv_lpg_35</v>
      </c>
      <c r="U141" t="str">
        <f t="shared" ca="1" si="32"/>
        <v>ICE LPG LCV -- 35%</v>
      </c>
      <c r="V141" s="188" t="s">
        <v>84</v>
      </c>
      <c r="W141" s="188" t="s">
        <v>85</v>
      </c>
    </row>
    <row r="142" spans="2:23">
      <c r="B142" s="52">
        <v>0.39556058375340802</v>
      </c>
      <c r="C142" s="221">
        <v>34296.039017116003</v>
      </c>
      <c r="D142" s="53">
        <v>23079.494153248801</v>
      </c>
      <c r="E142" s="53">
        <v>23079.494153248801</v>
      </c>
      <c r="F142" s="53">
        <v>23079.494153248801</v>
      </c>
      <c r="I142" s="50">
        <f>$I$132*(1+B142)/$I$11</f>
        <v>1.65034000184672</v>
      </c>
      <c r="J142" t="str">
        <f t="shared" si="25"/>
        <v>\I:Trd_lcv_lpg</v>
      </c>
      <c r="K142" t="str">
        <f t="shared" si="22"/>
        <v>\I:Trd_lcv_lpg_40</v>
      </c>
      <c r="L142" t="str">
        <f t="shared" si="23"/>
        <v>\I:Trd_</v>
      </c>
      <c r="M142" s="185">
        <f t="shared" si="26"/>
        <v>34296.039017116003</v>
      </c>
      <c r="N142" s="185">
        <f t="shared" si="27"/>
        <v>23079.494153248801</v>
      </c>
      <c r="O142" s="185">
        <f t="shared" si="28"/>
        <v>23079.494153248801</v>
      </c>
      <c r="P142" s="185">
        <f t="shared" si="29"/>
        <v>23079.494153248801</v>
      </c>
      <c r="T142" t="str">
        <f t="shared" si="31"/>
        <v>\I:Trd_lcv_lpg_40</v>
      </c>
      <c r="U142" t="str">
        <f t="shared" ca="1" si="32"/>
        <v>ICE LPG LCV -- 40%</v>
      </c>
      <c r="V142" s="188" t="s">
        <v>84</v>
      </c>
      <c r="W142" s="188" t="s">
        <v>85</v>
      </c>
    </row>
    <row r="143" spans="2:23">
      <c r="B143" s="52">
        <v>0.44556058375340801</v>
      </c>
      <c r="C143" s="221">
        <v>101110.720163391</v>
      </c>
      <c r="D143" s="53">
        <v>28509.3477890172</v>
      </c>
      <c r="E143" s="53">
        <v>28509.3477890172</v>
      </c>
      <c r="F143" s="53">
        <v>28509.3477890172</v>
      </c>
      <c r="I143" s="50">
        <f>$I$132*(1+B143)/$I$11</f>
        <v>1.70946821244035</v>
      </c>
      <c r="J143" t="str">
        <f t="shared" si="25"/>
        <v>\I:Trd_lcv_lpg</v>
      </c>
      <c r="K143" t="str">
        <f t="shared" si="22"/>
        <v>\I:Trd_lcv_lpg_45</v>
      </c>
      <c r="L143" t="str">
        <f t="shared" si="23"/>
        <v>\I:Trd_</v>
      </c>
      <c r="M143" s="185">
        <f t="shared" si="26"/>
        <v>101110.720163391</v>
      </c>
      <c r="N143" s="185">
        <f t="shared" si="27"/>
        <v>28509.3477890172</v>
      </c>
      <c r="O143" s="185">
        <f t="shared" si="28"/>
        <v>28509.3477890172</v>
      </c>
      <c r="P143" s="185">
        <f t="shared" si="29"/>
        <v>28509.3477890172</v>
      </c>
      <c r="T143" t="str">
        <f t="shared" si="31"/>
        <v>\I:Trd_lcv_lpg_45</v>
      </c>
      <c r="U143" t="str">
        <f t="shared" ca="1" si="32"/>
        <v>ICE LPG LCV -- 45%</v>
      </c>
      <c r="V143" s="188" t="s">
        <v>84</v>
      </c>
      <c r="W143" s="188" t="s">
        <v>85</v>
      </c>
    </row>
    <row r="144" spans="2:23">
      <c r="D144" s="61"/>
      <c r="E144" s="61"/>
      <c r="F144" s="61"/>
      <c r="J144" t="str">
        <f t="shared" si="25"/>
        <v>\I:Trd_lcv_lpg</v>
      </c>
      <c r="K144" t="str">
        <f t="shared" si="22"/>
        <v>\I:</v>
      </c>
      <c r="L144" t="str">
        <f t="shared" si="23"/>
        <v>\I:</v>
      </c>
      <c r="M144" s="185" t="str">
        <f t="shared" si="26"/>
        <v/>
      </c>
      <c r="N144" s="185" t="str">
        <f t="shared" si="27"/>
        <v/>
      </c>
      <c r="O144" s="185" t="str">
        <f t="shared" si="28"/>
        <v/>
      </c>
      <c r="P144" s="185" t="str">
        <f t="shared" si="29"/>
        <v/>
      </c>
      <c r="T144" t="str">
        <f t="shared" ref="T144:T178" si="34">K144</f>
        <v>\I:</v>
      </c>
      <c r="U144" t="str">
        <f t="shared" ref="U144:U155" ca="1" si="35">OFFSET($S$1,MATCH(J144,$S$1:$S$10,0)-1,-1)&amp;" -- "&amp;TEXT(B144,"00%")</f>
        <v>ICE LPG LCV -- 00%</v>
      </c>
      <c r="V144" s="188" t="s">
        <v>84</v>
      </c>
      <c r="W144" s="188" t="s">
        <v>85</v>
      </c>
    </row>
    <row r="145" spans="2:23">
      <c r="D145" s="61"/>
      <c r="E145" s="61"/>
      <c r="F145" s="61"/>
      <c r="J145" t="str">
        <f t="shared" si="25"/>
        <v>\I:Trd_lcv_lpg</v>
      </c>
      <c r="K145" t="str">
        <f t="shared" ref="K145:K170" si="36">IFERROR(IF(VALUE(C145)&gt;2020,J145&amp;"_"&amp;TEXT(B145*100,"00"),"\I:"),"\I:")</f>
        <v>\I:</v>
      </c>
      <c r="L145" t="str">
        <f t="shared" ref="L145:L178" si="37">LEFT(K145,7)</f>
        <v>\I:</v>
      </c>
      <c r="M145" s="185" t="str">
        <f t="shared" si="26"/>
        <v/>
      </c>
      <c r="N145" s="185" t="str">
        <f t="shared" si="27"/>
        <v/>
      </c>
      <c r="O145" s="185" t="str">
        <f t="shared" si="28"/>
        <v/>
      </c>
      <c r="P145" s="185" t="str">
        <f t="shared" si="29"/>
        <v/>
      </c>
      <c r="T145" t="str">
        <f t="shared" si="34"/>
        <v>\I:</v>
      </c>
      <c r="U145" t="str">
        <f t="shared" ca="1" si="35"/>
        <v>ICE LPG LCV -- 00%</v>
      </c>
      <c r="V145" s="188" t="s">
        <v>84</v>
      </c>
      <c r="W145" s="188" t="s">
        <v>85</v>
      </c>
    </row>
    <row r="146" spans="2:23">
      <c r="J146" t="str">
        <f t="shared" si="25"/>
        <v>\I:Trd_lcv_lpg</v>
      </c>
      <c r="K146" t="str">
        <f t="shared" si="36"/>
        <v>\I:</v>
      </c>
      <c r="L146" t="str">
        <f t="shared" si="37"/>
        <v>\I:</v>
      </c>
      <c r="M146" s="185" t="str">
        <f t="shared" si="26"/>
        <v/>
      </c>
      <c r="N146" s="185" t="str">
        <f t="shared" si="27"/>
        <v/>
      </c>
      <c r="O146" s="185" t="str">
        <f t="shared" si="28"/>
        <v/>
      </c>
      <c r="P146" s="185" t="str">
        <f t="shared" si="29"/>
        <v/>
      </c>
      <c r="T146" t="str">
        <f t="shared" si="34"/>
        <v>\I:</v>
      </c>
      <c r="U146" t="str">
        <f t="shared" ca="1" si="35"/>
        <v>ICE LPG LCV -- 00%</v>
      </c>
      <c r="V146" s="188" t="s">
        <v>84</v>
      </c>
      <c r="W146" s="188" t="s">
        <v>85</v>
      </c>
    </row>
    <row r="147" spans="2:23">
      <c r="J147" t="str">
        <f t="shared" si="25"/>
        <v>\I:Trd_lcv_lpg</v>
      </c>
      <c r="K147" t="str">
        <f t="shared" si="36"/>
        <v>\I:</v>
      </c>
      <c r="L147" t="str">
        <f t="shared" si="37"/>
        <v>\I:</v>
      </c>
      <c r="M147" s="185" t="str">
        <f t="shared" si="26"/>
        <v/>
      </c>
      <c r="N147" s="185" t="str">
        <f t="shared" si="27"/>
        <v/>
      </c>
      <c r="O147" s="185" t="str">
        <f t="shared" si="28"/>
        <v/>
      </c>
      <c r="P147" s="185" t="str">
        <f t="shared" si="29"/>
        <v/>
      </c>
      <c r="T147" t="str">
        <f t="shared" si="34"/>
        <v>\I:</v>
      </c>
      <c r="U147" t="str">
        <f t="shared" ca="1" si="35"/>
        <v>ICE LPG LCV -- 00%</v>
      </c>
      <c r="V147" s="188" t="s">
        <v>84</v>
      </c>
      <c r="W147" s="188" t="s">
        <v>85</v>
      </c>
    </row>
    <row r="148" spans="2:23">
      <c r="J148" t="str">
        <f t="shared" ref="J148:J178" si="38">IFERROR(VLOOKUP(C148,$R$1:$S$10,2,FALSE),J147)</f>
        <v>\I:Trd_lcv_lpg</v>
      </c>
      <c r="K148" t="str">
        <f t="shared" si="36"/>
        <v>\I:</v>
      </c>
      <c r="L148" t="str">
        <f t="shared" si="37"/>
        <v>\I:</v>
      </c>
      <c r="M148" s="185" t="str">
        <f t="shared" si="26"/>
        <v/>
      </c>
      <c r="N148" s="185" t="str">
        <f t="shared" si="27"/>
        <v/>
      </c>
      <c r="O148" s="185" t="str">
        <f t="shared" si="28"/>
        <v/>
      </c>
      <c r="P148" s="185" t="str">
        <f t="shared" si="29"/>
        <v/>
      </c>
      <c r="T148" t="str">
        <f t="shared" si="34"/>
        <v>\I:</v>
      </c>
      <c r="U148" t="str">
        <f t="shared" ca="1" si="35"/>
        <v>ICE LPG LCV -- 00%</v>
      </c>
      <c r="V148" s="188" t="s">
        <v>84</v>
      </c>
      <c r="W148" s="188" t="s">
        <v>85</v>
      </c>
    </row>
    <row r="149" spans="2:23">
      <c r="B149" s="30">
        <v>2020</v>
      </c>
      <c r="C149" s="177"/>
      <c r="D149" s="30"/>
      <c r="J149" t="str">
        <f t="shared" si="38"/>
        <v>\I:Trd_lcv_lpg</v>
      </c>
      <c r="K149" t="str">
        <f t="shared" si="36"/>
        <v>\I:</v>
      </c>
      <c r="L149" t="str">
        <f t="shared" si="37"/>
        <v>\I:</v>
      </c>
      <c r="M149" s="185" t="str">
        <f t="shared" si="26"/>
        <v/>
      </c>
      <c r="N149" s="185" t="str">
        <f t="shared" si="27"/>
        <v/>
      </c>
      <c r="O149" s="185" t="str">
        <f t="shared" si="28"/>
        <v/>
      </c>
      <c r="P149" s="185" t="str">
        <f t="shared" si="29"/>
        <v/>
      </c>
      <c r="T149" t="str">
        <f t="shared" si="34"/>
        <v>\I:</v>
      </c>
      <c r="U149" t="str">
        <f t="shared" ca="1" si="35"/>
        <v>ICE LPG LCV -- 202000%</v>
      </c>
      <c r="V149" s="188" t="s">
        <v>84</v>
      </c>
      <c r="W149" s="188" t="s">
        <v>85</v>
      </c>
    </row>
    <row r="150" spans="2:23">
      <c r="B150" s="31" t="s">
        <v>109</v>
      </c>
      <c r="C150" s="32" t="s">
        <v>26</v>
      </c>
      <c r="D150" s="47">
        <v>0.17</v>
      </c>
      <c r="G150" s="50">
        <f>D150/3.6/100*10^9/10^6</f>
        <v>0.47222222222222199</v>
      </c>
      <c r="H150" s="50"/>
      <c r="I150" s="217">
        <f>1/G150-1</f>
        <v>1.1176470588235301</v>
      </c>
      <c r="J150" t="str">
        <f t="shared" si="38"/>
        <v>\I:Trd_lcv_lpg</v>
      </c>
      <c r="K150" t="str">
        <f t="shared" si="36"/>
        <v>\I:</v>
      </c>
      <c r="L150" t="str">
        <f t="shared" si="37"/>
        <v>\I:</v>
      </c>
      <c r="M150" s="185" t="str">
        <f t="shared" si="26"/>
        <v/>
      </c>
      <c r="N150" s="185" t="str">
        <f t="shared" si="27"/>
        <v/>
      </c>
      <c r="O150" s="185" t="str">
        <f t="shared" si="28"/>
        <v/>
      </c>
      <c r="P150" s="185" t="str">
        <f t="shared" si="29"/>
        <v/>
      </c>
      <c r="T150" t="str">
        <f t="shared" si="34"/>
        <v>\I:</v>
      </c>
      <c r="U150" t="str">
        <f t="shared" ca="1" si="35"/>
        <v>ICE LPG LCV -- Energy consumption of Battery electric LCV</v>
      </c>
      <c r="V150" s="188" t="s">
        <v>84</v>
      </c>
      <c r="W150" s="188" t="s">
        <v>85</v>
      </c>
    </row>
    <row r="151" spans="2:23">
      <c r="I151" s="190" t="s">
        <v>70</v>
      </c>
      <c r="J151" t="str">
        <f t="shared" si="38"/>
        <v>\I:Trd_lcv_lpg</v>
      </c>
      <c r="K151" t="str">
        <f t="shared" si="36"/>
        <v>\I:</v>
      </c>
      <c r="L151" t="str">
        <f t="shared" si="37"/>
        <v>\I:</v>
      </c>
      <c r="M151" s="185" t="str">
        <f t="shared" si="26"/>
        <v/>
      </c>
      <c r="N151" s="185" t="str">
        <f t="shared" si="27"/>
        <v/>
      </c>
      <c r="O151" s="185" t="str">
        <f t="shared" si="28"/>
        <v/>
      </c>
      <c r="P151" s="185" t="str">
        <f t="shared" si="29"/>
        <v/>
      </c>
      <c r="T151" t="str">
        <f t="shared" si="34"/>
        <v>\I:</v>
      </c>
      <c r="U151" t="str">
        <f t="shared" ca="1" si="35"/>
        <v>ICE LPG LCV -- 00%</v>
      </c>
      <c r="V151" s="188" t="s">
        <v>84</v>
      </c>
      <c r="W151" s="188" t="s">
        <v>85</v>
      </c>
    </row>
    <row r="152" spans="2:23" ht="15" customHeight="1">
      <c r="B152" s="34" t="s">
        <v>27</v>
      </c>
      <c r="C152" s="179" t="s">
        <v>104</v>
      </c>
      <c r="D152" s="34"/>
      <c r="E152" s="34"/>
      <c r="F152" s="34"/>
      <c r="J152" t="str">
        <f t="shared" si="38"/>
        <v>Trd_lcv_elc</v>
      </c>
      <c r="K152" t="str">
        <f t="shared" si="36"/>
        <v>\I:</v>
      </c>
      <c r="L152" t="str">
        <f t="shared" si="37"/>
        <v>\I:</v>
      </c>
      <c r="M152" s="185" t="str">
        <f t="shared" si="26"/>
        <v/>
      </c>
      <c r="N152" s="185" t="str">
        <f t="shared" si="27"/>
        <v/>
      </c>
      <c r="O152" s="185" t="str">
        <f t="shared" si="28"/>
        <v/>
      </c>
      <c r="P152" s="185" t="str">
        <f t="shared" si="29"/>
        <v/>
      </c>
      <c r="T152" t="str">
        <f t="shared" si="34"/>
        <v>\I:</v>
      </c>
      <c r="U152" t="str">
        <f t="shared" ca="1" si="35"/>
        <v>Battery electric LCV -- Electric range (km)</v>
      </c>
      <c r="V152" s="188" t="s">
        <v>84</v>
      </c>
      <c r="W152" s="188" t="s">
        <v>85</v>
      </c>
    </row>
    <row r="153" spans="2:23">
      <c r="B153" s="34"/>
      <c r="C153" s="179"/>
      <c r="D153" s="34"/>
      <c r="E153" s="34"/>
      <c r="F153" s="34"/>
      <c r="J153" t="str">
        <f t="shared" si="38"/>
        <v>Trd_lcv_elc</v>
      </c>
      <c r="K153" t="str">
        <f t="shared" si="36"/>
        <v>\I:</v>
      </c>
      <c r="L153" t="str">
        <f t="shared" si="37"/>
        <v>\I:</v>
      </c>
      <c r="M153" s="185" t="str">
        <f t="shared" si="26"/>
        <v/>
      </c>
      <c r="N153" s="185" t="str">
        <f t="shared" si="27"/>
        <v/>
      </c>
      <c r="O153" s="185" t="str">
        <f t="shared" si="28"/>
        <v/>
      </c>
      <c r="P153" s="185" t="str">
        <f t="shared" si="29"/>
        <v/>
      </c>
      <c r="T153" t="str">
        <f t="shared" si="34"/>
        <v>\I:</v>
      </c>
      <c r="U153" t="str">
        <f t="shared" ca="1" si="35"/>
        <v>Battery electric LCV -- 00%</v>
      </c>
      <c r="V153" s="188" t="s">
        <v>84</v>
      </c>
      <c r="W153" s="188" t="s">
        <v>85</v>
      </c>
    </row>
    <row r="154" spans="2:23">
      <c r="B154" s="34"/>
      <c r="C154" s="179"/>
      <c r="D154" s="34"/>
      <c r="E154" s="34"/>
      <c r="F154" s="34"/>
      <c r="J154" t="str">
        <f t="shared" si="38"/>
        <v>Trd_lcv_elc</v>
      </c>
      <c r="K154" t="str">
        <f t="shared" si="36"/>
        <v>\I:</v>
      </c>
      <c r="L154" t="str">
        <f t="shared" si="37"/>
        <v>\I:</v>
      </c>
      <c r="M154" s="185" t="str">
        <f t="shared" ref="M154:M178" si="39">IF($K154="\I:","",C154)</f>
        <v/>
      </c>
      <c r="N154" s="185" t="str">
        <f t="shared" ref="N154:N178" si="40">IF($K154="\I:","",D154)</f>
        <v/>
      </c>
      <c r="O154" s="185" t="str">
        <f t="shared" ref="O154:O178" si="41">IF($K154="\I:","",E154)</f>
        <v/>
      </c>
      <c r="P154" s="185" t="str">
        <f t="shared" ref="P154:P178" si="42">IF($K154="\I:","",F154)</f>
        <v/>
      </c>
      <c r="T154" t="str">
        <f t="shared" si="34"/>
        <v>\I:</v>
      </c>
      <c r="U154" t="str">
        <f t="shared" ca="1" si="35"/>
        <v>Battery electric LCV -- 00%</v>
      </c>
      <c r="V154" s="188" t="s">
        <v>84</v>
      </c>
      <c r="W154" s="188" t="s">
        <v>85</v>
      </c>
    </row>
    <row r="155" spans="2:23">
      <c r="B155" s="55"/>
      <c r="C155" s="220">
        <v>2020</v>
      </c>
      <c r="D155" s="36">
        <v>2030</v>
      </c>
      <c r="E155" s="36">
        <v>2040</v>
      </c>
      <c r="F155" s="36">
        <v>2050</v>
      </c>
      <c r="J155" t="str">
        <f t="shared" si="38"/>
        <v>Trd_lcv_elc</v>
      </c>
      <c r="K155" t="str">
        <f t="shared" si="36"/>
        <v>\I:</v>
      </c>
      <c r="L155" t="str">
        <f t="shared" si="37"/>
        <v>\I:</v>
      </c>
      <c r="M155" s="185" t="str">
        <f t="shared" si="39"/>
        <v/>
      </c>
      <c r="N155" s="185" t="str">
        <f t="shared" si="40"/>
        <v/>
      </c>
      <c r="O155" s="185" t="str">
        <f t="shared" si="41"/>
        <v/>
      </c>
      <c r="P155" s="185" t="str">
        <f t="shared" si="42"/>
        <v/>
      </c>
      <c r="T155" t="str">
        <f t="shared" si="34"/>
        <v>\I:</v>
      </c>
      <c r="U155" t="str">
        <f t="shared" ca="1" si="35"/>
        <v>Battery electric LCV -- 00%</v>
      </c>
      <c r="V155" s="188" t="s">
        <v>84</v>
      </c>
      <c r="W155" s="188" t="s">
        <v>85</v>
      </c>
    </row>
    <row r="156" spans="2:23" ht="15" customHeight="1">
      <c r="B156" s="42">
        <v>120</v>
      </c>
      <c r="C156" s="221">
        <v>22060.8898906779</v>
      </c>
      <c r="D156" s="53">
        <v>18978.019875382401</v>
      </c>
      <c r="E156" s="53">
        <v>18465.867351611301</v>
      </c>
      <c r="F156" s="53">
        <v>18288.508764710499</v>
      </c>
      <c r="I156" s="191">
        <f>$I$150/$I$11</f>
        <v>2.9986782010289201</v>
      </c>
      <c r="J156" t="str">
        <f t="shared" si="38"/>
        <v>Trd_lcv_elc</v>
      </c>
      <c r="K156" t="str">
        <f>IFERROR(IF(VALUE(C156)&gt;2020,J156&amp;"_"&amp;TEXT(B156,"000"),"\I:"),"\I:")</f>
        <v>Trd_lcv_elc_120</v>
      </c>
      <c r="L156" t="str">
        <f t="shared" si="37"/>
        <v>Trd_lcv</v>
      </c>
      <c r="M156" s="185">
        <f t="shared" si="39"/>
        <v>22060.8898906779</v>
      </c>
      <c r="N156" s="185">
        <f t="shared" si="40"/>
        <v>18978.019875382401</v>
      </c>
      <c r="O156" s="185">
        <f t="shared" si="41"/>
        <v>18465.867351611301</v>
      </c>
      <c r="P156" s="185">
        <f t="shared" si="42"/>
        <v>18288.508764710499</v>
      </c>
      <c r="Q156" s="29">
        <v>0.05</v>
      </c>
      <c r="T156" t="str">
        <f t="shared" si="34"/>
        <v>Trd_lcv_elc_120</v>
      </c>
      <c r="U156" t="str">
        <f t="shared" ref="U156:U163" ca="1" si="43">OFFSET($S$1,MATCH(J156,$S$1:$S$10,0)-1,-1)&amp;" -- "&amp;TEXT(B156,"000")</f>
        <v>Battery electric LCV -- 120</v>
      </c>
      <c r="V156" s="188" t="s">
        <v>84</v>
      </c>
      <c r="W156" s="188" t="s">
        <v>85</v>
      </c>
    </row>
    <row r="157" spans="2:23">
      <c r="B157" s="42">
        <v>160</v>
      </c>
      <c r="C157" s="221">
        <v>23847.653615178599</v>
      </c>
      <c r="D157" s="53">
        <v>20088.935131092599</v>
      </c>
      <c r="E157" s="53">
        <v>19214.3984864749</v>
      </c>
      <c r="F157" s="53">
        <v>18911.5461597104</v>
      </c>
      <c r="I157" s="191">
        <f t="shared" ref="I157:I163" si="44">$I$150/$I$11</f>
        <v>2.9986782010289201</v>
      </c>
      <c r="J157" t="str">
        <f t="shared" si="38"/>
        <v>Trd_lcv_elc</v>
      </c>
      <c r="K157" t="str">
        <f t="shared" ref="K157:K163" si="45">IFERROR(IF(VALUE(C157)&gt;2020,J157&amp;"_"&amp;TEXT(B157,"000"),"\I:"),"\I:")</f>
        <v>Trd_lcv_elc_160</v>
      </c>
      <c r="L157" t="str">
        <f t="shared" si="37"/>
        <v>Trd_lcv</v>
      </c>
      <c r="M157" s="185">
        <f t="shared" si="39"/>
        <v>23847.653615178599</v>
      </c>
      <c r="N157" s="185">
        <f t="shared" si="40"/>
        <v>20088.935131092599</v>
      </c>
      <c r="O157" s="185">
        <f t="shared" si="41"/>
        <v>19214.3984864749</v>
      </c>
      <c r="P157" s="185">
        <f t="shared" si="42"/>
        <v>18911.5461597104</v>
      </c>
      <c r="Q157" s="29">
        <v>0.05</v>
      </c>
      <c r="T157" t="str">
        <f t="shared" si="34"/>
        <v>Trd_lcv_elc_160</v>
      </c>
      <c r="U157" t="str">
        <f t="shared" ca="1" si="43"/>
        <v>Battery electric LCV -- 160</v>
      </c>
      <c r="V157" s="188" t="s">
        <v>84</v>
      </c>
      <c r="W157" s="188" t="s">
        <v>85</v>
      </c>
    </row>
    <row r="158" spans="2:23">
      <c r="B158" s="42">
        <v>200</v>
      </c>
      <c r="C158" s="221">
        <v>25634.417339679301</v>
      </c>
      <c r="D158" s="53">
        <v>20759.426269412899</v>
      </c>
      <c r="E158" s="53">
        <v>19666.173264166599</v>
      </c>
      <c r="F158" s="53">
        <v>19287.579390006202</v>
      </c>
      <c r="I158" s="191">
        <f t="shared" si="44"/>
        <v>2.9986782010289201</v>
      </c>
      <c r="J158" t="str">
        <f t="shared" si="38"/>
        <v>Trd_lcv_elc</v>
      </c>
      <c r="K158" t="str">
        <f t="shared" si="45"/>
        <v>Trd_lcv_elc_200</v>
      </c>
      <c r="L158" t="str">
        <f t="shared" si="37"/>
        <v>Trd_lcv</v>
      </c>
      <c r="M158" s="185">
        <f t="shared" si="39"/>
        <v>25634.417339679301</v>
      </c>
      <c r="N158" s="185">
        <f t="shared" si="40"/>
        <v>20759.426269412899</v>
      </c>
      <c r="O158" s="185">
        <f t="shared" si="41"/>
        <v>19666.173264166599</v>
      </c>
      <c r="P158" s="185">
        <f t="shared" si="42"/>
        <v>19287.579390006202</v>
      </c>
      <c r="Q158" s="29">
        <v>0.05</v>
      </c>
      <c r="T158" t="str">
        <f t="shared" si="34"/>
        <v>Trd_lcv_elc_200</v>
      </c>
      <c r="U158" t="str">
        <f t="shared" ca="1" si="43"/>
        <v>Battery electric LCV -- 200</v>
      </c>
      <c r="V158" s="188" t="s">
        <v>84</v>
      </c>
      <c r="W158" s="188" t="s">
        <v>85</v>
      </c>
    </row>
    <row r="159" spans="2:23">
      <c r="B159" s="42">
        <v>250</v>
      </c>
      <c r="C159" s="221">
        <v>27948.352368939901</v>
      </c>
      <c r="D159" s="53">
        <v>21676.726793381102</v>
      </c>
      <c r="E159" s="53">
        <v>20284.247414006099</v>
      </c>
      <c r="F159" s="53">
        <v>19802.031348378001</v>
      </c>
      <c r="I159" s="191">
        <f t="shared" si="44"/>
        <v>2.9986782010289201</v>
      </c>
      <c r="J159" t="str">
        <f t="shared" si="38"/>
        <v>Trd_lcv_elc</v>
      </c>
      <c r="K159" t="str">
        <f t="shared" si="45"/>
        <v>Trd_lcv_elc_250</v>
      </c>
      <c r="L159" t="str">
        <f t="shared" si="37"/>
        <v>Trd_lcv</v>
      </c>
      <c r="M159" s="185">
        <f t="shared" si="39"/>
        <v>27948.352368939901</v>
      </c>
      <c r="N159" s="185">
        <f t="shared" si="40"/>
        <v>21676.726793381102</v>
      </c>
      <c r="O159" s="185">
        <f t="shared" si="41"/>
        <v>20284.247414006099</v>
      </c>
      <c r="P159" s="185">
        <f t="shared" si="42"/>
        <v>19802.031348378001</v>
      </c>
      <c r="Q159" s="29">
        <v>0.125</v>
      </c>
      <c r="T159" t="str">
        <f t="shared" si="34"/>
        <v>Trd_lcv_elc_250</v>
      </c>
      <c r="U159" t="str">
        <f t="shared" ca="1" si="43"/>
        <v>Battery electric LCV -- 250</v>
      </c>
      <c r="V159" s="188" t="s">
        <v>84</v>
      </c>
      <c r="W159" s="188" t="s">
        <v>85</v>
      </c>
    </row>
    <row r="160" spans="2:23">
      <c r="B160" s="42">
        <v>300</v>
      </c>
      <c r="C160" s="221">
        <v>30262.2873982005</v>
      </c>
      <c r="D160" s="53">
        <v>22594.027317349399</v>
      </c>
      <c r="E160" s="53">
        <v>20902.3215638457</v>
      </c>
      <c r="F160" s="53">
        <v>20316.4833067498</v>
      </c>
      <c r="I160" s="191">
        <f t="shared" si="44"/>
        <v>2.9986782010289201</v>
      </c>
      <c r="J160" t="str">
        <f t="shared" si="38"/>
        <v>Trd_lcv_elc</v>
      </c>
      <c r="K160" t="str">
        <f t="shared" si="45"/>
        <v>Trd_lcv_elc_300</v>
      </c>
      <c r="L160" t="str">
        <f t="shared" si="37"/>
        <v>Trd_lcv</v>
      </c>
      <c r="M160" s="185">
        <f t="shared" si="39"/>
        <v>30262.2873982005</v>
      </c>
      <c r="N160" s="185">
        <f t="shared" si="40"/>
        <v>22594.027317349399</v>
      </c>
      <c r="O160" s="185">
        <f t="shared" si="41"/>
        <v>20902.3215638457</v>
      </c>
      <c r="P160" s="185">
        <f t="shared" si="42"/>
        <v>20316.4833067498</v>
      </c>
      <c r="Q160" s="29">
        <v>0.15</v>
      </c>
      <c r="T160" t="str">
        <f t="shared" si="34"/>
        <v>Trd_lcv_elc_300</v>
      </c>
      <c r="U160" t="str">
        <f t="shared" ca="1" si="43"/>
        <v>Battery electric LCV -- 300</v>
      </c>
      <c r="V160" s="188" t="s">
        <v>84</v>
      </c>
      <c r="W160" s="188" t="s">
        <v>85</v>
      </c>
    </row>
    <row r="161" spans="1:23">
      <c r="B161" s="42">
        <v>350</v>
      </c>
      <c r="C161" s="221">
        <v>33408.281428926399</v>
      </c>
      <c r="D161" s="53">
        <v>23702.968450877601</v>
      </c>
      <c r="E161" s="53">
        <v>21525.982424735601</v>
      </c>
      <c r="F161" s="53">
        <v>20835.585345441999</v>
      </c>
      <c r="I161" s="191">
        <f t="shared" si="44"/>
        <v>2.9986782010289201</v>
      </c>
      <c r="J161" t="str">
        <f t="shared" si="38"/>
        <v>Trd_lcv_elc</v>
      </c>
      <c r="K161" t="str">
        <f t="shared" si="45"/>
        <v>Trd_lcv_elc_350</v>
      </c>
      <c r="L161" t="str">
        <f t="shared" si="37"/>
        <v>Trd_lcv</v>
      </c>
      <c r="M161" s="185">
        <f t="shared" si="39"/>
        <v>33408.281428926399</v>
      </c>
      <c r="N161" s="185">
        <f t="shared" si="40"/>
        <v>23702.968450877601</v>
      </c>
      <c r="O161" s="185">
        <f t="shared" si="41"/>
        <v>21525.982424735601</v>
      </c>
      <c r="P161" s="185">
        <f t="shared" si="42"/>
        <v>20835.585345441999</v>
      </c>
      <c r="Q161" s="29">
        <v>0.17499999999999999</v>
      </c>
      <c r="T161" t="str">
        <f t="shared" si="34"/>
        <v>Trd_lcv_elc_350</v>
      </c>
      <c r="U161" t="str">
        <f t="shared" ca="1" si="43"/>
        <v>Battery electric LCV -- 350</v>
      </c>
      <c r="V161" s="188" t="s">
        <v>84</v>
      </c>
      <c r="W161" s="188" t="s">
        <v>85</v>
      </c>
    </row>
    <row r="162" spans="1:23">
      <c r="B162" s="42">
        <v>400</v>
      </c>
      <c r="C162" s="221">
        <v>36792.682944168198</v>
      </c>
      <c r="D162" s="53">
        <v>24867.445099161301</v>
      </c>
      <c r="E162" s="53">
        <v>22149.643285625501</v>
      </c>
      <c r="F162" s="53">
        <v>21354.6873841341</v>
      </c>
      <c r="I162" s="191">
        <f t="shared" si="44"/>
        <v>2.9986782010289201</v>
      </c>
      <c r="J162" t="str">
        <f t="shared" si="38"/>
        <v>Trd_lcv_elc</v>
      </c>
      <c r="K162" t="str">
        <f t="shared" si="45"/>
        <v>Trd_lcv_elc_400</v>
      </c>
      <c r="L162" t="str">
        <f t="shared" si="37"/>
        <v>Trd_lcv</v>
      </c>
      <c r="M162" s="185">
        <f t="shared" si="39"/>
        <v>36792.682944168198</v>
      </c>
      <c r="N162" s="185">
        <f t="shared" si="40"/>
        <v>24867.445099161301</v>
      </c>
      <c r="O162" s="185">
        <f t="shared" si="41"/>
        <v>22149.643285625501</v>
      </c>
      <c r="P162" s="185">
        <f t="shared" si="42"/>
        <v>21354.6873841341</v>
      </c>
      <c r="Q162" s="29">
        <v>0.2</v>
      </c>
      <c r="T162" t="str">
        <f t="shared" si="34"/>
        <v>Trd_lcv_elc_400</v>
      </c>
      <c r="U162" t="str">
        <f t="shared" ca="1" si="43"/>
        <v>Battery electric LCV -- 400</v>
      </c>
      <c r="V162" s="188" t="s">
        <v>84</v>
      </c>
      <c r="W162" s="188" t="s">
        <v>85</v>
      </c>
    </row>
    <row r="163" spans="1:23">
      <c r="B163" s="42">
        <v>500</v>
      </c>
      <c r="C163" s="221">
        <v>44276.708428199403</v>
      </c>
      <c r="D163" s="53">
        <v>27629.657433065699</v>
      </c>
      <c r="E163" s="53">
        <v>23636.5244664208</v>
      </c>
      <c r="F163" s="53">
        <v>22392.891461518499</v>
      </c>
      <c r="I163" s="191">
        <f t="shared" si="44"/>
        <v>2.9986782010289201</v>
      </c>
      <c r="J163" t="str">
        <f t="shared" si="38"/>
        <v>Trd_lcv_elc</v>
      </c>
      <c r="K163" t="str">
        <f t="shared" si="45"/>
        <v>Trd_lcv_elc_500</v>
      </c>
      <c r="L163" t="str">
        <f t="shared" si="37"/>
        <v>Trd_lcv</v>
      </c>
      <c r="M163" s="185">
        <f t="shared" si="39"/>
        <v>44276.708428199403</v>
      </c>
      <c r="N163" s="185">
        <f t="shared" si="40"/>
        <v>27629.657433065699</v>
      </c>
      <c r="O163" s="185">
        <f t="shared" si="41"/>
        <v>23636.5244664208</v>
      </c>
      <c r="P163" s="185">
        <f t="shared" si="42"/>
        <v>22392.891461518499</v>
      </c>
      <c r="T163" t="str">
        <f t="shared" si="34"/>
        <v>Trd_lcv_elc_500</v>
      </c>
      <c r="U163" t="str">
        <f t="shared" ca="1" si="43"/>
        <v>Battery electric LCV -- 500</v>
      </c>
      <c r="V163" s="188" t="s">
        <v>84</v>
      </c>
      <c r="W163" s="188" t="s">
        <v>85</v>
      </c>
    </row>
    <row r="164" spans="1:23">
      <c r="J164" t="str">
        <f t="shared" si="38"/>
        <v>Trd_lcv_elc</v>
      </c>
      <c r="K164" t="str">
        <f t="shared" si="36"/>
        <v>\I:</v>
      </c>
      <c r="L164" t="str">
        <f t="shared" si="37"/>
        <v>\I:</v>
      </c>
      <c r="M164" s="185" t="str">
        <f t="shared" si="39"/>
        <v/>
      </c>
      <c r="N164" s="185" t="str">
        <f t="shared" si="40"/>
        <v/>
      </c>
      <c r="O164" s="185" t="str">
        <f t="shared" si="41"/>
        <v/>
      </c>
      <c r="P164" s="185" t="str">
        <f t="shared" si="42"/>
        <v/>
      </c>
      <c r="T164" t="str">
        <f t="shared" si="34"/>
        <v>\I:</v>
      </c>
      <c r="U164" t="str">
        <f t="shared" ref="U164:U170" ca="1" si="46">OFFSET($S$1,MATCH(J164,$S$1:$S$10,0)-1,-1)&amp;" -- "&amp;TEXT(B164,"00%")</f>
        <v>Battery electric LCV -- 00%</v>
      </c>
      <c r="V164" s="188" t="s">
        <v>84</v>
      </c>
      <c r="W164" s="188" t="s">
        <v>85</v>
      </c>
    </row>
    <row r="165" spans="1:23">
      <c r="J165" t="str">
        <f t="shared" si="38"/>
        <v>Trd_lcv_elc</v>
      </c>
      <c r="K165" t="str">
        <f t="shared" si="36"/>
        <v>\I:</v>
      </c>
      <c r="L165" t="str">
        <f t="shared" si="37"/>
        <v>\I:</v>
      </c>
      <c r="M165" s="185" t="str">
        <f t="shared" si="39"/>
        <v/>
      </c>
      <c r="N165" s="185" t="str">
        <f t="shared" si="40"/>
        <v/>
      </c>
      <c r="O165" s="185" t="str">
        <f t="shared" si="41"/>
        <v/>
      </c>
      <c r="P165" s="185" t="str">
        <f t="shared" si="42"/>
        <v/>
      </c>
      <c r="T165" t="str">
        <f t="shared" si="34"/>
        <v>\I:</v>
      </c>
      <c r="U165" t="str">
        <f t="shared" ca="1" si="46"/>
        <v>Battery electric LCV -- 00%</v>
      </c>
      <c r="V165" s="188" t="s">
        <v>84</v>
      </c>
      <c r="W165" s="188" t="s">
        <v>85</v>
      </c>
    </row>
    <row r="166" spans="1:23">
      <c r="J166" t="str">
        <f t="shared" si="38"/>
        <v>Trd_lcv_elc</v>
      </c>
      <c r="K166" t="str">
        <f t="shared" si="36"/>
        <v>\I:</v>
      </c>
      <c r="L166" t="str">
        <f t="shared" si="37"/>
        <v>\I:</v>
      </c>
      <c r="M166" s="185" t="str">
        <f t="shared" si="39"/>
        <v/>
      </c>
      <c r="N166" s="185" t="str">
        <f t="shared" si="40"/>
        <v/>
      </c>
      <c r="O166" s="185" t="str">
        <f t="shared" si="41"/>
        <v/>
      </c>
      <c r="P166" s="185" t="str">
        <f t="shared" si="42"/>
        <v/>
      </c>
      <c r="T166" t="str">
        <f t="shared" si="34"/>
        <v>\I:</v>
      </c>
      <c r="U166" t="str">
        <f t="shared" ca="1" si="46"/>
        <v>Battery electric LCV -- 00%</v>
      </c>
      <c r="V166" s="188" t="s">
        <v>84</v>
      </c>
      <c r="W166" s="188" t="s">
        <v>85</v>
      </c>
    </row>
    <row r="167" spans="1:23" ht="15" customHeight="1">
      <c r="B167" s="34" t="s">
        <v>29</v>
      </c>
      <c r="C167" s="179" t="s">
        <v>105</v>
      </c>
      <c r="D167" s="34"/>
      <c r="E167" s="34"/>
      <c r="F167" s="34"/>
      <c r="J167" t="str">
        <f t="shared" si="38"/>
        <v>Trd_lcv_hh2</v>
      </c>
      <c r="K167" t="str">
        <f t="shared" si="36"/>
        <v>\I:</v>
      </c>
      <c r="L167" t="str">
        <f t="shared" si="37"/>
        <v>\I:</v>
      </c>
      <c r="M167" s="185" t="str">
        <f t="shared" si="39"/>
        <v/>
      </c>
      <c r="N167" s="185" t="str">
        <f t="shared" si="40"/>
        <v/>
      </c>
      <c r="O167" s="185" t="str">
        <f t="shared" si="41"/>
        <v/>
      </c>
      <c r="P167" s="185" t="str">
        <f t="shared" si="42"/>
        <v/>
      </c>
      <c r="T167" t="str">
        <f t="shared" si="34"/>
        <v>\I:</v>
      </c>
      <c r="U167" t="str">
        <f t="shared" ca="1" si="46"/>
        <v>Hydrogen fuel cell LCV -- Energy consumption (kg H2/100km)</v>
      </c>
      <c r="V167" s="188" t="s">
        <v>84</v>
      </c>
      <c r="W167" s="188" t="s">
        <v>85</v>
      </c>
    </row>
    <row r="168" spans="1:23">
      <c r="B168" s="34"/>
      <c r="C168" s="179"/>
      <c r="D168" s="34"/>
      <c r="E168" s="34"/>
      <c r="F168" s="34"/>
      <c r="J168" t="str">
        <f t="shared" si="38"/>
        <v>Trd_lcv_hh2</v>
      </c>
      <c r="K168" t="str">
        <f t="shared" si="36"/>
        <v>\I:</v>
      </c>
      <c r="L168" t="str">
        <f t="shared" si="37"/>
        <v>\I:</v>
      </c>
      <c r="M168" s="185" t="str">
        <f t="shared" si="39"/>
        <v/>
      </c>
      <c r="N168" s="185" t="str">
        <f t="shared" si="40"/>
        <v/>
      </c>
      <c r="O168" s="185" t="str">
        <f t="shared" si="41"/>
        <v/>
      </c>
      <c r="P168" s="185" t="str">
        <f t="shared" si="42"/>
        <v/>
      </c>
      <c r="T168" t="str">
        <f t="shared" si="34"/>
        <v>\I:</v>
      </c>
      <c r="U168" t="str">
        <f t="shared" ca="1" si="46"/>
        <v>Hydrogen fuel cell LCV -- 00%</v>
      </c>
      <c r="V168" s="188" t="s">
        <v>84</v>
      </c>
      <c r="W168" s="188" t="s">
        <v>85</v>
      </c>
    </row>
    <row r="169" spans="1:23">
      <c r="B169" s="34"/>
      <c r="C169" s="179"/>
      <c r="D169" s="34"/>
      <c r="E169" s="34"/>
      <c r="F169" s="34"/>
      <c r="J169" t="str">
        <f t="shared" si="38"/>
        <v>Trd_lcv_hh2</v>
      </c>
      <c r="K169" t="str">
        <f t="shared" si="36"/>
        <v>\I:</v>
      </c>
      <c r="L169" t="str">
        <f t="shared" si="37"/>
        <v>\I:</v>
      </c>
      <c r="M169" s="185" t="str">
        <f t="shared" si="39"/>
        <v/>
      </c>
      <c r="N169" s="185" t="str">
        <f t="shared" si="40"/>
        <v/>
      </c>
      <c r="O169" s="185" t="str">
        <f t="shared" si="41"/>
        <v/>
      </c>
      <c r="P169" s="185" t="str">
        <f t="shared" si="42"/>
        <v/>
      </c>
      <c r="T169" t="str">
        <f t="shared" si="34"/>
        <v>\I:</v>
      </c>
      <c r="U169" t="str">
        <f t="shared" ca="1" si="46"/>
        <v>Hydrogen fuel cell LCV -- 00%</v>
      </c>
      <c r="V169" s="188" t="s">
        <v>84</v>
      </c>
      <c r="W169" s="188" t="s">
        <v>85</v>
      </c>
    </row>
    <row r="170" spans="1:23">
      <c r="B170" s="55"/>
      <c r="C170" s="220">
        <v>2020</v>
      </c>
      <c r="D170" s="36">
        <v>2030</v>
      </c>
      <c r="E170" s="36">
        <v>2040</v>
      </c>
      <c r="F170" s="36">
        <v>2050</v>
      </c>
      <c r="J170" t="str">
        <f t="shared" si="38"/>
        <v>Trd_lcv_hh2</v>
      </c>
      <c r="K170" t="str">
        <f t="shared" si="36"/>
        <v>\I:</v>
      </c>
      <c r="L170" t="str">
        <f t="shared" si="37"/>
        <v>\I:</v>
      </c>
      <c r="M170" s="185" t="str">
        <f t="shared" si="39"/>
        <v/>
      </c>
      <c r="N170" s="185" t="str">
        <f t="shared" si="40"/>
        <v/>
      </c>
      <c r="O170" s="185" t="str">
        <f t="shared" si="41"/>
        <v/>
      </c>
      <c r="P170" s="185" t="str">
        <f t="shared" si="42"/>
        <v/>
      </c>
      <c r="T170" t="str">
        <f t="shared" si="34"/>
        <v>\I:</v>
      </c>
      <c r="U170" t="str">
        <f t="shared" ca="1" si="46"/>
        <v>Hydrogen fuel cell LCV -- 00%</v>
      </c>
      <c r="V170" s="188" t="s">
        <v>84</v>
      </c>
      <c r="W170" s="188" t="s">
        <v>85</v>
      </c>
    </row>
    <row r="171" spans="1:23">
      <c r="A171" s="50"/>
      <c r="B171" s="225">
        <v>1.20554299239837</v>
      </c>
      <c r="C171" s="221">
        <v>45848.166076892703</v>
      </c>
      <c r="D171" s="53">
        <v>33512.298513278503</v>
      </c>
      <c r="E171" s="53">
        <v>27771.8876812487</v>
      </c>
      <c r="F171" s="53">
        <v>26358.6946408287</v>
      </c>
      <c r="G171" s="50">
        <f>B171*0.12/100*10^9/10^6</f>
        <v>1.44665159087804</v>
      </c>
      <c r="H171" s="50"/>
      <c r="I171" s="178">
        <f>1/G171/$I$11</f>
        <v>1.8546468831863301</v>
      </c>
      <c r="J171" t="str">
        <f t="shared" si="38"/>
        <v>Trd_lcv_hh2</v>
      </c>
      <c r="K171" t="str">
        <f>IFERROR(IF(VALUE(C171)&gt;2020,J171&amp;"_"&amp;TEXT(1/B171*100,"00"),"\I:"),"\I:")</f>
        <v>Trd_lcv_hh2_83</v>
      </c>
      <c r="L171" t="str">
        <f t="shared" si="37"/>
        <v>Trd_lcv</v>
      </c>
      <c r="M171" s="185">
        <f t="shared" si="39"/>
        <v>45848.166076892703</v>
      </c>
      <c r="N171" s="185">
        <f t="shared" si="40"/>
        <v>33512.298513278503</v>
      </c>
      <c r="O171" s="185">
        <f t="shared" si="41"/>
        <v>27771.8876812487</v>
      </c>
      <c r="P171" s="185">
        <f t="shared" si="42"/>
        <v>26358.6946408287</v>
      </c>
      <c r="T171" t="str">
        <f t="shared" si="34"/>
        <v>Trd_lcv_hh2_83</v>
      </c>
      <c r="U171" t="str">
        <f ca="1">OFFSET($S$1,MATCH(J171,$S$1:$S$10,0)-1,-1)&amp;" -- "&amp;TEXT(B171,"0.0")</f>
        <v>Hydrogen fuel cell LCV -- 1.2</v>
      </c>
      <c r="V171" s="188" t="s">
        <v>84</v>
      </c>
      <c r="W171" s="188" t="s">
        <v>85</v>
      </c>
    </row>
    <row r="172" spans="1:23">
      <c r="A172" s="50"/>
      <c r="B172" s="225">
        <v>1.1538768641527199</v>
      </c>
      <c r="C172" s="221">
        <v>46326.827778811501</v>
      </c>
      <c r="D172" s="53">
        <v>33899.2903831972</v>
      </c>
      <c r="E172" s="53">
        <v>28102.781990191801</v>
      </c>
      <c r="F172" s="53">
        <v>26680.645860340901</v>
      </c>
      <c r="G172" s="50">
        <f t="shared" ref="G172:G178" si="47">B172*0.12/100*10^9/10^6</f>
        <v>1.3846522369832599</v>
      </c>
      <c r="H172" s="50"/>
      <c r="I172" s="178">
        <f t="shared" ref="I172:I178" si="48">1/G172/$I$11</f>
        <v>1.93769077347827</v>
      </c>
      <c r="J172" t="str">
        <f t="shared" si="38"/>
        <v>Trd_lcv_hh2</v>
      </c>
      <c r="K172" t="str">
        <f t="shared" ref="K172:K178" si="49">IFERROR(IF(VALUE(C172)&gt;2020,J172&amp;"_"&amp;TEXT(1/B172*100,"00"),"\I:"),"\I:")</f>
        <v>Trd_lcv_hh2_87</v>
      </c>
      <c r="L172" t="str">
        <f t="shared" si="37"/>
        <v>Trd_lcv</v>
      </c>
      <c r="M172" s="185">
        <f t="shared" si="39"/>
        <v>46326.827778811501</v>
      </c>
      <c r="N172" s="185">
        <f t="shared" si="40"/>
        <v>33899.2903831972</v>
      </c>
      <c r="O172" s="185">
        <f t="shared" si="41"/>
        <v>28102.781990191801</v>
      </c>
      <c r="P172" s="185">
        <f t="shared" si="42"/>
        <v>26680.645860340901</v>
      </c>
      <c r="T172" t="str">
        <f t="shared" si="34"/>
        <v>Trd_lcv_hh2_87</v>
      </c>
      <c r="U172" t="str">
        <f t="shared" ref="U172:U178" ca="1" si="50">OFFSET($S$1,MATCH(J172,$S$1:$S$10,0)-1,-1)&amp;" -- "&amp;TEXT(B172,"0.0")</f>
        <v>Hydrogen fuel cell LCV -- 1.2</v>
      </c>
      <c r="V172" s="188" t="s">
        <v>84</v>
      </c>
      <c r="W172" s="188" t="s">
        <v>85</v>
      </c>
    </row>
    <row r="173" spans="1:23">
      <c r="A173" s="50"/>
      <c r="B173" s="225">
        <v>1.1022107359070801</v>
      </c>
      <c r="C173" s="221">
        <v>47015.174189296602</v>
      </c>
      <c r="D173" s="53">
        <v>34286.282253115904</v>
      </c>
      <c r="E173" s="53">
        <v>28433.676299134899</v>
      </c>
      <c r="F173" s="53">
        <v>27002.597079853102</v>
      </c>
      <c r="G173" s="50">
        <f t="shared" si="47"/>
        <v>1.3226528830885</v>
      </c>
      <c r="H173" s="50"/>
      <c r="I173" s="178">
        <f t="shared" si="48"/>
        <v>2.0285200284850502</v>
      </c>
      <c r="J173" t="str">
        <f t="shared" si="38"/>
        <v>Trd_lcv_hh2</v>
      </c>
      <c r="K173" t="str">
        <f t="shared" si="49"/>
        <v>Trd_lcv_hh2_91</v>
      </c>
      <c r="L173" t="str">
        <f t="shared" si="37"/>
        <v>Trd_lcv</v>
      </c>
      <c r="M173" s="185">
        <f t="shared" si="39"/>
        <v>47015.174189296602</v>
      </c>
      <c r="N173" s="185">
        <f t="shared" si="40"/>
        <v>34286.282253115904</v>
      </c>
      <c r="O173" s="185">
        <f t="shared" si="41"/>
        <v>28433.676299134899</v>
      </c>
      <c r="P173" s="185">
        <f t="shared" si="42"/>
        <v>27002.597079853102</v>
      </c>
      <c r="T173" t="str">
        <f t="shared" si="34"/>
        <v>Trd_lcv_hh2_91</v>
      </c>
      <c r="U173" t="str">
        <f t="shared" ca="1" si="50"/>
        <v>Hydrogen fuel cell LCV -- 1.1</v>
      </c>
      <c r="V173" s="188" t="s">
        <v>84</v>
      </c>
      <c r="W173" s="188" t="s">
        <v>85</v>
      </c>
    </row>
    <row r="174" spans="1:23">
      <c r="A174" s="50"/>
      <c r="B174" s="225">
        <v>1.05054460766144</v>
      </c>
      <c r="C174" s="221">
        <v>49703.0325829883</v>
      </c>
      <c r="D174" s="53">
        <v>34673.2741230346</v>
      </c>
      <c r="E174" s="53">
        <v>28764.570608078</v>
      </c>
      <c r="F174" s="53">
        <v>27324.548299365299</v>
      </c>
      <c r="G174" s="50">
        <f t="shared" si="47"/>
        <v>1.26065352919373</v>
      </c>
      <c r="H174" s="50"/>
      <c r="I174" s="178">
        <f t="shared" si="48"/>
        <v>2.1282833085744701</v>
      </c>
      <c r="J174" t="str">
        <f t="shared" si="38"/>
        <v>Trd_lcv_hh2</v>
      </c>
      <c r="K174" t="str">
        <f t="shared" si="49"/>
        <v>Trd_lcv_hh2_95</v>
      </c>
      <c r="L174" t="str">
        <f t="shared" si="37"/>
        <v>Trd_lcv</v>
      </c>
      <c r="M174" s="185">
        <f t="shared" si="39"/>
        <v>49703.0325829883</v>
      </c>
      <c r="N174" s="185">
        <f t="shared" si="40"/>
        <v>34673.2741230346</v>
      </c>
      <c r="O174" s="185">
        <f t="shared" si="41"/>
        <v>28764.570608078</v>
      </c>
      <c r="P174" s="185">
        <f t="shared" si="42"/>
        <v>27324.548299365299</v>
      </c>
      <c r="T174" t="str">
        <f t="shared" si="34"/>
        <v>Trd_lcv_hh2_95</v>
      </c>
      <c r="U174" t="str">
        <f t="shared" ca="1" si="50"/>
        <v>Hydrogen fuel cell LCV -- 1.1</v>
      </c>
      <c r="V174" s="188" t="s">
        <v>84</v>
      </c>
      <c r="W174" s="188" t="s">
        <v>85</v>
      </c>
    </row>
    <row r="175" spans="1:23">
      <c r="A175" s="50"/>
      <c r="B175" s="225">
        <v>0.998878479415791</v>
      </c>
      <c r="C175" s="221">
        <v>50460.9409463544</v>
      </c>
      <c r="D175" s="53">
        <v>36490.739919330001</v>
      </c>
      <c r="E175" s="53">
        <v>29095.464917021101</v>
      </c>
      <c r="F175" s="53">
        <v>27646.499518877499</v>
      </c>
      <c r="G175" s="50">
        <f t="shared" si="47"/>
        <v>1.1986541752989499</v>
      </c>
      <c r="H175" s="50"/>
      <c r="I175" s="178">
        <f t="shared" si="48"/>
        <v>2.2383669279835101</v>
      </c>
      <c r="J175" t="str">
        <f t="shared" si="38"/>
        <v>Trd_lcv_hh2</v>
      </c>
      <c r="K175" t="str">
        <f t="shared" si="49"/>
        <v>Trd_lcv_hh2_100</v>
      </c>
      <c r="L175" t="str">
        <f t="shared" si="37"/>
        <v>Trd_lcv</v>
      </c>
      <c r="M175" s="185">
        <f t="shared" si="39"/>
        <v>50460.9409463544</v>
      </c>
      <c r="N175" s="185">
        <f t="shared" si="40"/>
        <v>36490.739919330001</v>
      </c>
      <c r="O175" s="185">
        <f t="shared" si="41"/>
        <v>29095.464917021101</v>
      </c>
      <c r="P175" s="185">
        <f t="shared" si="42"/>
        <v>27646.499518877499</v>
      </c>
      <c r="T175" t="str">
        <f t="shared" si="34"/>
        <v>Trd_lcv_hh2_100</v>
      </c>
      <c r="U175" t="str">
        <f t="shared" ca="1" si="50"/>
        <v>Hydrogen fuel cell LCV -- 1.0</v>
      </c>
      <c r="V175" s="188" t="s">
        <v>84</v>
      </c>
      <c r="W175" s="188" t="s">
        <v>85</v>
      </c>
    </row>
    <row r="176" spans="1:23">
      <c r="A176" s="50"/>
      <c r="B176" s="225">
        <v>0.94721235117014602</v>
      </c>
      <c r="C176" s="221">
        <v>50979.144262849797</v>
      </c>
      <c r="D176" s="53">
        <v>36898.695675084899</v>
      </c>
      <c r="E176" s="53">
        <v>29426.359225964199</v>
      </c>
      <c r="F176" s="53">
        <v>27968.4507383897</v>
      </c>
      <c r="G176" s="50">
        <f t="shared" si="47"/>
        <v>1.1366548214041801</v>
      </c>
      <c r="H176" s="50"/>
      <c r="I176" s="178">
        <f t="shared" si="48"/>
        <v>2.3604596695098801</v>
      </c>
      <c r="J176" t="str">
        <f t="shared" si="38"/>
        <v>Trd_lcv_hh2</v>
      </c>
      <c r="K176" t="str">
        <f t="shared" si="49"/>
        <v>Trd_lcv_hh2_106</v>
      </c>
      <c r="L176" t="str">
        <f t="shared" si="37"/>
        <v>Trd_lcv</v>
      </c>
      <c r="M176" s="185">
        <f t="shared" si="39"/>
        <v>50979.144262849797</v>
      </c>
      <c r="N176" s="185">
        <f t="shared" si="40"/>
        <v>36898.695675084899</v>
      </c>
      <c r="O176" s="185">
        <f t="shared" si="41"/>
        <v>29426.359225964199</v>
      </c>
      <c r="P176" s="185">
        <f t="shared" si="42"/>
        <v>27968.4507383897</v>
      </c>
      <c r="T176" t="str">
        <f t="shared" si="34"/>
        <v>Trd_lcv_hh2_106</v>
      </c>
      <c r="U176" t="str">
        <f t="shared" ca="1" si="50"/>
        <v>Hydrogen fuel cell LCV -- 0.9</v>
      </c>
      <c r="V176" s="188" t="s">
        <v>84</v>
      </c>
      <c r="W176" s="188" t="s">
        <v>85</v>
      </c>
    </row>
    <row r="177" spans="1:23" ht="15.75" customHeight="1">
      <c r="A177" s="50"/>
      <c r="B177" s="225">
        <v>0.89554622292450203</v>
      </c>
      <c r="C177" s="221">
        <v>51497.347579345202</v>
      </c>
      <c r="D177" s="53">
        <v>37306.651430839702</v>
      </c>
      <c r="E177" s="53">
        <v>29757.2535349073</v>
      </c>
      <c r="F177" s="53">
        <v>28290.401957901799</v>
      </c>
      <c r="G177" s="50">
        <f t="shared" si="47"/>
        <v>1.0746554675094</v>
      </c>
      <c r="H177" s="50"/>
      <c r="I177" s="178">
        <f t="shared" si="48"/>
        <v>2.49664003505853</v>
      </c>
      <c r="J177" t="str">
        <f t="shared" si="38"/>
        <v>Trd_lcv_hh2</v>
      </c>
      <c r="K177" t="str">
        <f t="shared" si="49"/>
        <v>Trd_lcv_hh2_112</v>
      </c>
      <c r="L177" t="str">
        <f t="shared" si="37"/>
        <v>Trd_lcv</v>
      </c>
      <c r="M177" s="185">
        <f t="shared" si="39"/>
        <v>51497.347579345202</v>
      </c>
      <c r="N177" s="185">
        <f t="shared" si="40"/>
        <v>37306.651430839702</v>
      </c>
      <c r="O177" s="185">
        <f t="shared" si="41"/>
        <v>29757.2535349073</v>
      </c>
      <c r="P177" s="185">
        <f t="shared" si="42"/>
        <v>28290.401957901799</v>
      </c>
      <c r="T177" t="str">
        <f t="shared" si="34"/>
        <v>Trd_lcv_hh2_112</v>
      </c>
      <c r="U177" t="str">
        <f t="shared" ca="1" si="50"/>
        <v>Hydrogen fuel cell LCV -- 0.9</v>
      </c>
      <c r="V177" s="188" t="s">
        <v>84</v>
      </c>
      <c r="W177" s="188" t="s">
        <v>85</v>
      </c>
    </row>
    <row r="178" spans="1:23" ht="15.75" customHeight="1">
      <c r="A178" s="50"/>
      <c r="B178" s="225">
        <v>0.84388009467885805</v>
      </c>
      <c r="C178" s="221">
        <v>52015.550895840599</v>
      </c>
      <c r="D178" s="53">
        <v>37714.6071865946</v>
      </c>
      <c r="E178" s="53">
        <v>30088.147843850398</v>
      </c>
      <c r="F178" s="53">
        <v>28612.353177414101</v>
      </c>
      <c r="G178" s="50">
        <f t="shared" si="47"/>
        <v>1.0126561136146299</v>
      </c>
      <c r="H178" s="50"/>
      <c r="I178" s="178">
        <f t="shared" si="48"/>
        <v>2.64949554740905</v>
      </c>
      <c r="J178" t="str">
        <f t="shared" si="38"/>
        <v>Trd_lcv_hh2</v>
      </c>
      <c r="K178" t="str">
        <f t="shared" si="49"/>
        <v>Trd_lcv_hh2_119</v>
      </c>
      <c r="L178" t="str">
        <f t="shared" si="37"/>
        <v>Trd_lcv</v>
      </c>
      <c r="M178" s="185">
        <f t="shared" si="39"/>
        <v>52015.550895840599</v>
      </c>
      <c r="N178" s="185">
        <f t="shared" si="40"/>
        <v>37714.6071865946</v>
      </c>
      <c r="O178" s="185">
        <f t="shared" si="41"/>
        <v>30088.147843850398</v>
      </c>
      <c r="P178" s="185">
        <f t="shared" si="42"/>
        <v>28612.353177414101</v>
      </c>
      <c r="T178" t="str">
        <f t="shared" si="34"/>
        <v>Trd_lcv_hh2_119</v>
      </c>
      <c r="U178" t="str">
        <f t="shared" ca="1" si="50"/>
        <v>Hydrogen fuel cell LCV -- 0.8</v>
      </c>
      <c r="V178" s="188" t="s">
        <v>84</v>
      </c>
      <c r="W178" s="188" t="s">
        <v>85</v>
      </c>
    </row>
    <row r="179" spans="1:23" ht="24.75" customHeight="1"/>
  </sheetData>
  <mergeCells count="1">
    <mergeCell ref="B2:F2"/>
  </mergeCells>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50"/>
  </sheetPr>
  <dimension ref="A1:W344"/>
  <sheetViews>
    <sheetView showGridLines="0" workbookViewId="0">
      <selection activeCell="H11" sqref="H11"/>
    </sheetView>
  </sheetViews>
  <sheetFormatPr defaultColWidth="9" defaultRowHeight="14.25"/>
  <cols>
    <col min="1" max="1" width="7.59765625" customWidth="1"/>
    <col min="2" max="2" width="38.265625" style="61" customWidth="1"/>
    <col min="3" max="6" width="7.06640625" customWidth="1"/>
    <col min="10" max="10" width="15.59765625" customWidth="1"/>
    <col min="11" max="11" width="18.73046875" customWidth="1"/>
    <col min="12" max="12" width="11.06640625" customWidth="1"/>
    <col min="13" max="16" width="7" customWidth="1"/>
    <col min="18" max="18" width="51.73046875" customWidth="1"/>
  </cols>
  <sheetData>
    <row r="1" spans="2:23" ht="15.75">
      <c r="B1" s="169" t="s">
        <v>10</v>
      </c>
      <c r="C1" s="170"/>
      <c r="D1" s="199"/>
      <c r="E1" s="199"/>
      <c r="F1" s="200"/>
      <c r="Q1" t="s">
        <v>51</v>
      </c>
      <c r="R1" t="s">
        <v>110</v>
      </c>
      <c r="S1" t="str">
        <f>"Trd_hdt_"&amp;Q1</f>
        <v>Trd_hdt_dsl</v>
      </c>
    </row>
    <row r="2" spans="2:23" ht="15.75" customHeight="1">
      <c r="B2" s="172" t="s">
        <v>9</v>
      </c>
      <c r="C2" s="173"/>
      <c r="D2" s="173"/>
      <c r="E2" s="173"/>
      <c r="F2" s="173"/>
      <c r="I2" s="181">
        <v>5.2009937889998699E-2</v>
      </c>
      <c r="J2" s="180" t="s">
        <v>44</v>
      </c>
      <c r="Q2" t="s">
        <v>54</v>
      </c>
      <c r="R2" t="s">
        <v>111</v>
      </c>
      <c r="S2" t="str">
        <f t="shared" ref="S2:S6" si="0">"Trd_hdt_"&amp;Q2</f>
        <v>Trd_hdt_dsl-hyb</v>
      </c>
    </row>
    <row r="3" spans="2:23" ht="18">
      <c r="B3" s="201" t="s">
        <v>112</v>
      </c>
      <c r="C3" s="175"/>
      <c r="D3" s="175"/>
      <c r="E3" s="175"/>
      <c r="F3" s="176"/>
      <c r="I3" s="195">
        <f>31536000/10^9</f>
        <v>3.1536000000000002E-2</v>
      </c>
      <c r="J3" s="180" t="s">
        <v>47</v>
      </c>
      <c r="M3" s="56"/>
      <c r="Q3" t="s">
        <v>113</v>
      </c>
      <c r="R3" t="s">
        <v>114</v>
      </c>
      <c r="S3" t="str">
        <f t="shared" si="0"/>
        <v>Trd_hdt_lng</v>
      </c>
    </row>
    <row r="4" spans="2:23">
      <c r="I4" s="180">
        <v>3.7999999999999999E-2</v>
      </c>
      <c r="J4" s="180" t="s">
        <v>50</v>
      </c>
      <c r="M4" s="56"/>
      <c r="Q4" t="s">
        <v>61</v>
      </c>
      <c r="R4" t="s">
        <v>115</v>
      </c>
      <c r="S4" t="str">
        <f>"\I:Trd_hdt_"&amp;Q4</f>
        <v>\I:Trd_hdt_lpg</v>
      </c>
    </row>
    <row r="5" spans="2:23">
      <c r="B5" s="29" t="s">
        <v>116</v>
      </c>
      <c r="I5" s="181">
        <f>1.406/26.137</f>
        <v>5.3793472854573997E-2</v>
      </c>
      <c r="J5" s="180" t="s">
        <v>53</v>
      </c>
      <c r="Q5" t="s">
        <v>66</v>
      </c>
      <c r="R5" t="s">
        <v>117</v>
      </c>
      <c r="S5" t="str">
        <f t="shared" si="0"/>
        <v>Trd_hdt_elc</v>
      </c>
    </row>
    <row r="6" spans="2:23" ht="15" customHeight="1">
      <c r="B6" s="177">
        <v>2015</v>
      </c>
      <c r="C6" s="177"/>
      <c r="D6" s="177"/>
      <c r="I6" s="181">
        <v>2.5590000000000002E-2</v>
      </c>
      <c r="J6" s="180" t="s">
        <v>56</v>
      </c>
      <c r="Q6" t="s">
        <v>68</v>
      </c>
      <c r="R6" t="s">
        <v>118</v>
      </c>
      <c r="S6" t="str">
        <f t="shared" si="0"/>
        <v>Trd_hdt_hh2</v>
      </c>
    </row>
    <row r="7" spans="2:23">
      <c r="B7" s="31" t="s">
        <v>12</v>
      </c>
      <c r="C7" s="32" t="s">
        <v>13</v>
      </c>
      <c r="D7" s="33">
        <v>18.882516284290599</v>
      </c>
      <c r="G7" s="178">
        <f>D7*$I$4/100*10^9/10^6</f>
        <v>7.1753561880304302</v>
      </c>
      <c r="H7" s="178"/>
      <c r="I7" s="178">
        <f>1/G7</f>
        <v>0.139365903767697</v>
      </c>
    </row>
    <row r="8" spans="2:23">
      <c r="B8" s="31" t="s">
        <v>14</v>
      </c>
      <c r="C8" s="32" t="s">
        <v>15</v>
      </c>
      <c r="D8" s="44">
        <v>79045.068459135495</v>
      </c>
      <c r="I8" s="29" t="s">
        <v>70</v>
      </c>
    </row>
    <row r="9" spans="2:23">
      <c r="B9" s="202"/>
      <c r="C9" s="203"/>
      <c r="D9" s="204"/>
      <c r="I9" s="29"/>
    </row>
    <row r="10" spans="2:23">
      <c r="K10" s="183" t="s">
        <v>71</v>
      </c>
      <c r="S10" s="183" t="s">
        <v>72</v>
      </c>
      <c r="T10" s="187"/>
      <c r="U10" s="187"/>
      <c r="V10" s="187"/>
      <c r="W10" s="187"/>
    </row>
    <row r="11" spans="2:23">
      <c r="I11" t="s">
        <v>73</v>
      </c>
      <c r="J11" t="s">
        <v>74</v>
      </c>
      <c r="K11" t="s">
        <v>75</v>
      </c>
      <c r="L11" t="s">
        <v>76</v>
      </c>
      <c r="M11">
        <f>C15</f>
        <v>2020</v>
      </c>
      <c r="N11">
        <f>D15</f>
        <v>2030</v>
      </c>
      <c r="O11">
        <f>E15</f>
        <v>2040</v>
      </c>
      <c r="P11">
        <f>F15</f>
        <v>2050</v>
      </c>
      <c r="Q11" t="s">
        <v>77</v>
      </c>
      <c r="S11" s="187" t="s">
        <v>78</v>
      </c>
      <c r="T11" s="187" t="s">
        <v>79</v>
      </c>
      <c r="U11" s="187" t="s">
        <v>80</v>
      </c>
      <c r="V11" s="187" t="s">
        <v>81</v>
      </c>
      <c r="W11" s="187" t="s">
        <v>82</v>
      </c>
    </row>
    <row r="12" spans="2:23" ht="15" customHeight="1">
      <c r="B12" s="194" t="s">
        <v>119</v>
      </c>
      <c r="C12" s="179" t="s">
        <v>110</v>
      </c>
      <c r="D12" s="194"/>
      <c r="E12" s="194"/>
      <c r="F12" s="194"/>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188" t="s">
        <v>84</v>
      </c>
      <c r="W12" s="188" t="s">
        <v>85</v>
      </c>
    </row>
    <row r="13" spans="2:23">
      <c r="B13" s="194"/>
      <c r="C13" s="179"/>
      <c r="D13" s="194"/>
      <c r="E13" s="194"/>
      <c r="F13" s="19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188" t="s">
        <v>84</v>
      </c>
      <c r="W13" s="188" t="s">
        <v>85</v>
      </c>
    </row>
    <row r="14" spans="2:23">
      <c r="B14" s="194"/>
      <c r="C14" s="179"/>
      <c r="D14" s="194"/>
      <c r="E14" s="194"/>
      <c r="F14" s="194"/>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188" t="s">
        <v>84</v>
      </c>
      <c r="W14" s="188" t="s">
        <v>85</v>
      </c>
    </row>
    <row r="15" spans="2:23">
      <c r="B15" s="55"/>
      <c r="C15" s="36">
        <v>2020</v>
      </c>
      <c r="D15" s="36">
        <v>2030</v>
      </c>
      <c r="E15" s="36">
        <v>2040</v>
      </c>
      <c r="F15" s="36">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t="shared" ref="U15:U78" ca="1" si="7">OFFSET($S$1,MATCH(J15,$S$1:$S$11,0)-1,-1)&amp;" -- "&amp;TEXT(B15,"00%")</f>
        <v>7.5-16t diesel truck -- 00%</v>
      </c>
      <c r="V15" s="188" t="s">
        <v>84</v>
      </c>
      <c r="W15" s="188" t="s">
        <v>85</v>
      </c>
    </row>
    <row r="16" spans="2:23">
      <c r="B16" s="52">
        <v>4.4125814214529803E-2</v>
      </c>
      <c r="C16" s="53">
        <v>79927.7536460642</v>
      </c>
      <c r="D16" s="53">
        <v>79927.7536460642</v>
      </c>
      <c r="E16" s="53">
        <v>79927.7536460642</v>
      </c>
      <c r="F16" s="53">
        <v>79927.7536460642</v>
      </c>
      <c r="I16" s="184">
        <f>(1+B16)</f>
        <v>1.04412581421453</v>
      </c>
      <c r="J16" t="str">
        <f t="shared" si="1"/>
        <v>Trd_hdt_dsl</v>
      </c>
      <c r="K16" t="str">
        <f t="shared" si="2"/>
        <v>Trd_hdt_dsl_04</v>
      </c>
      <c r="L16" t="str">
        <f t="shared" si="3"/>
        <v>Trd_hdt</v>
      </c>
      <c r="M16" s="185">
        <f t="shared" si="4"/>
        <v>79927.7536460642</v>
      </c>
      <c r="N16" s="185">
        <f t="shared" si="5"/>
        <v>79927.7536460642</v>
      </c>
      <c r="O16" s="185">
        <f t="shared" si="5"/>
        <v>79927.7536460642</v>
      </c>
      <c r="P16" s="185">
        <f t="shared" si="5"/>
        <v>79927.7536460642</v>
      </c>
      <c r="S16" t="s">
        <v>83</v>
      </c>
      <c r="T16" t="str">
        <f t="shared" si="6"/>
        <v>Trd_hdt_dsl_04</v>
      </c>
      <c r="U16" t="str">
        <f t="shared" ca="1" si="7"/>
        <v>7.5-16t diesel truck -- 04%</v>
      </c>
      <c r="V16" s="188" t="s">
        <v>84</v>
      </c>
      <c r="W16" s="188" t="s">
        <v>85</v>
      </c>
    </row>
    <row r="17" spans="2:23">
      <c r="B17" s="52">
        <v>9.4125814214529799E-2</v>
      </c>
      <c r="C17" s="53">
        <v>81360.186406757202</v>
      </c>
      <c r="D17" s="53">
        <v>80873.237867395306</v>
      </c>
      <c r="E17" s="53">
        <v>80873.237867395306</v>
      </c>
      <c r="F17" s="53">
        <v>80873.237867395306</v>
      </c>
      <c r="I17" s="18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185">
        <f t="shared" ref="M17:M37" si="11">IF($K17="\I:","",C17)</f>
        <v>81360.186406757202</v>
      </c>
      <c r="N17" s="185">
        <f t="shared" ref="N17:N37" si="12">IF($K17="\I:","",D17)</f>
        <v>80873.237867395306</v>
      </c>
      <c r="O17" s="185">
        <f t="shared" ref="O17:O37" si="13">IF($K17="\I:","",E17)</f>
        <v>80873.237867395306</v>
      </c>
      <c r="P17" s="185">
        <f t="shared" ref="P17:P37" si="14">IF($K17="\I:","",F17)</f>
        <v>80873.237867395306</v>
      </c>
      <c r="S17" t="s">
        <v>83</v>
      </c>
      <c r="T17" t="str">
        <f t="shared" si="6"/>
        <v>Trd_hdt_dsl_09</v>
      </c>
      <c r="U17" t="str">
        <f t="shared" ca="1" si="7"/>
        <v>7.5-16t diesel truck -- 09%</v>
      </c>
      <c r="V17" s="188" t="s">
        <v>84</v>
      </c>
      <c r="W17" s="188" t="s">
        <v>85</v>
      </c>
    </row>
    <row r="18" spans="2:23">
      <c r="B18" s="52">
        <v>0.14412581421453</v>
      </c>
      <c r="C18" s="53">
        <v>82659.162648323705</v>
      </c>
      <c r="D18" s="53">
        <v>82265.6067669513</v>
      </c>
      <c r="E18" s="53">
        <v>82265.6067669513</v>
      </c>
      <c r="F18" s="53">
        <v>82265.6067669513</v>
      </c>
      <c r="I18" s="184">
        <f t="shared" si="8"/>
        <v>1.1441258142145301</v>
      </c>
      <c r="J18" t="str">
        <f t="shared" si="9"/>
        <v>Trd_hdt_dsl</v>
      </c>
      <c r="K18" t="str">
        <f t="shared" si="10"/>
        <v>Trd_hdt_dsl_14</v>
      </c>
      <c r="L18" t="str">
        <f t="shared" si="3"/>
        <v>Trd_hdt</v>
      </c>
      <c r="M18" s="185">
        <f t="shared" si="11"/>
        <v>82659.162648323705</v>
      </c>
      <c r="N18" s="185">
        <f t="shared" si="12"/>
        <v>82265.6067669513</v>
      </c>
      <c r="O18" s="185">
        <f t="shared" si="13"/>
        <v>82265.6067669513</v>
      </c>
      <c r="P18" s="185">
        <f t="shared" si="14"/>
        <v>82265.6067669513</v>
      </c>
      <c r="S18" t="s">
        <v>83</v>
      </c>
      <c r="T18" t="str">
        <f t="shared" si="6"/>
        <v>Trd_hdt_dsl_14</v>
      </c>
      <c r="U18" t="str">
        <f t="shared" ca="1" si="7"/>
        <v>7.5-16t diesel truck -- 14%</v>
      </c>
      <c r="V18" s="188" t="s">
        <v>84</v>
      </c>
      <c r="W18" s="188" t="s">
        <v>85</v>
      </c>
    </row>
    <row r="19" spans="2:23">
      <c r="B19" s="52">
        <v>0.19412581421453001</v>
      </c>
      <c r="C19" s="53">
        <v>88191.029771246598</v>
      </c>
      <c r="D19" s="53">
        <v>84316.081125710494</v>
      </c>
      <c r="E19" s="53">
        <v>84316.081125710494</v>
      </c>
      <c r="F19" s="53">
        <v>84316.081125710494</v>
      </c>
      <c r="I19" s="184">
        <f t="shared" si="8"/>
        <v>1.1941258142145299</v>
      </c>
      <c r="J19" t="str">
        <f t="shared" si="9"/>
        <v>Trd_hdt_dsl</v>
      </c>
      <c r="K19" t="str">
        <f t="shared" si="10"/>
        <v>Trd_hdt_dsl_19</v>
      </c>
      <c r="L19" t="str">
        <f t="shared" si="3"/>
        <v>Trd_hdt</v>
      </c>
      <c r="M19" s="185">
        <f t="shared" si="11"/>
        <v>88191.029771246598</v>
      </c>
      <c r="N19" s="185">
        <f t="shared" si="12"/>
        <v>84316.081125710494</v>
      </c>
      <c r="O19" s="185">
        <f t="shared" si="13"/>
        <v>84316.081125710494</v>
      </c>
      <c r="P19" s="185">
        <f t="shared" si="14"/>
        <v>84316.081125710494</v>
      </c>
      <c r="S19" t="s">
        <v>83</v>
      </c>
      <c r="T19" t="str">
        <f t="shared" si="6"/>
        <v>Trd_hdt_dsl_19</v>
      </c>
      <c r="U19" t="str">
        <f t="shared" ca="1" si="7"/>
        <v>7.5-16t diesel truck -- 19%</v>
      </c>
      <c r="V19" s="188" t="s">
        <v>84</v>
      </c>
      <c r="W19" s="188" t="s">
        <v>85</v>
      </c>
    </row>
    <row r="20" spans="2:23">
      <c r="B20" s="52">
        <v>0.24412581421453</v>
      </c>
      <c r="C20" s="53">
        <v>92499.124625759607</v>
      </c>
      <c r="D20" s="53">
        <v>87335.715575510301</v>
      </c>
      <c r="E20" s="53">
        <v>87335.715575510301</v>
      </c>
      <c r="F20" s="53">
        <v>87335.715575510301</v>
      </c>
      <c r="I20" s="184">
        <f t="shared" si="8"/>
        <v>1.2441258142145299</v>
      </c>
      <c r="J20" t="str">
        <f t="shared" si="9"/>
        <v>Trd_hdt_dsl</v>
      </c>
      <c r="K20" t="str">
        <f t="shared" si="10"/>
        <v>Trd_hdt_dsl_24</v>
      </c>
      <c r="L20" t="str">
        <f t="shared" si="3"/>
        <v>Trd_hdt</v>
      </c>
      <c r="M20" s="185">
        <f t="shared" si="11"/>
        <v>92499.124625759607</v>
      </c>
      <c r="N20" s="185">
        <f t="shared" si="12"/>
        <v>87335.715575510301</v>
      </c>
      <c r="O20" s="185">
        <f t="shared" si="13"/>
        <v>87335.715575510301</v>
      </c>
      <c r="P20" s="185">
        <f t="shared" si="14"/>
        <v>87335.715575510301</v>
      </c>
      <c r="S20" t="s">
        <v>83</v>
      </c>
      <c r="T20" t="str">
        <f t="shared" si="6"/>
        <v>Trd_hdt_dsl_24</v>
      </c>
      <c r="U20" t="str">
        <f t="shared" ca="1" si="7"/>
        <v>7.5-16t diesel truck -- 24%</v>
      </c>
      <c r="V20" s="188" t="s">
        <v>84</v>
      </c>
      <c r="W20" s="188" t="s">
        <v>85</v>
      </c>
    </row>
    <row r="21" spans="2:23">
      <c r="B21" s="52">
        <v>0.26412581421453002</v>
      </c>
      <c r="C21" s="53">
        <v>115400.251045956</v>
      </c>
      <c r="D21" s="53">
        <v>91896.610142996695</v>
      </c>
      <c r="E21" s="53">
        <v>91782.585233482998</v>
      </c>
      <c r="F21" s="53">
        <v>91782.585233482998</v>
      </c>
      <c r="I21" s="184">
        <f t="shared" si="8"/>
        <v>1.26412581421453</v>
      </c>
      <c r="J21" t="str">
        <f t="shared" si="9"/>
        <v>Trd_hdt_dsl</v>
      </c>
      <c r="K21" t="str">
        <f t="shared" si="10"/>
        <v>Trd_hdt_dsl_26</v>
      </c>
      <c r="L21" t="str">
        <f t="shared" si="3"/>
        <v>Trd_hdt</v>
      </c>
      <c r="M21" s="185">
        <f t="shared" si="11"/>
        <v>115400.251045956</v>
      </c>
      <c r="N21" s="185">
        <f t="shared" si="12"/>
        <v>91896.610142996695</v>
      </c>
      <c r="O21" s="185">
        <f t="shared" si="13"/>
        <v>91782.585233482998</v>
      </c>
      <c r="P21" s="185">
        <f t="shared" si="14"/>
        <v>91782.585233482998</v>
      </c>
      <c r="S21" t="s">
        <v>83</v>
      </c>
      <c r="T21" t="str">
        <f t="shared" si="6"/>
        <v>Trd_hdt_dsl_26</v>
      </c>
      <c r="U21" t="str">
        <f t="shared" ca="1" si="7"/>
        <v>7.5-16t diesel truck -- 26%</v>
      </c>
      <c r="V21" s="188" t="s">
        <v>84</v>
      </c>
      <c r="W21" s="188" t="s">
        <v>85</v>
      </c>
    </row>
    <row r="22" spans="2:23">
      <c r="B22" s="52">
        <v>0.29412581421452999</v>
      </c>
      <c r="C22" s="53">
        <v>189775.230098575</v>
      </c>
      <c r="D22" s="53">
        <v>105837.45209105199</v>
      </c>
      <c r="E22" s="53">
        <v>98331.275177164702</v>
      </c>
      <c r="F22" s="53">
        <v>98331.275177164702</v>
      </c>
      <c r="I22" s="184">
        <f t="shared" si="8"/>
        <v>1.29412581421453</v>
      </c>
      <c r="J22" t="str">
        <f t="shared" si="9"/>
        <v>Trd_hdt_dsl</v>
      </c>
      <c r="K22" t="str">
        <f t="shared" si="10"/>
        <v>Trd_hdt_dsl_29</v>
      </c>
      <c r="L22" t="str">
        <f t="shared" si="3"/>
        <v>Trd_hdt</v>
      </c>
      <c r="M22" s="185">
        <f t="shared" si="11"/>
        <v>189775.230098575</v>
      </c>
      <c r="N22" s="185">
        <f t="shared" si="12"/>
        <v>105837.45209105199</v>
      </c>
      <c r="O22" s="185">
        <f t="shared" si="13"/>
        <v>98331.275177164702</v>
      </c>
      <c r="P22" s="185">
        <f t="shared" si="14"/>
        <v>98331.275177164702</v>
      </c>
      <c r="S22" t="s">
        <v>83</v>
      </c>
      <c r="T22" t="str">
        <f t="shared" si="6"/>
        <v>Trd_hdt_dsl_29</v>
      </c>
      <c r="U22" t="str">
        <f t="shared" ca="1" si="7"/>
        <v>7.5-16t diesel truck -- 29%</v>
      </c>
      <c r="V22" s="188" t="s">
        <v>84</v>
      </c>
      <c r="W22" s="188" t="s">
        <v>85</v>
      </c>
    </row>
    <row r="23" spans="2:23">
      <c r="I23" s="184"/>
      <c r="J23" t="str">
        <f t="shared" si="9"/>
        <v>Trd_hdt_dsl</v>
      </c>
      <c r="K23" t="str">
        <f t="shared" si="10"/>
        <v>\I:</v>
      </c>
      <c r="L23" t="str">
        <f t="shared" si="3"/>
        <v>\I:</v>
      </c>
      <c r="M23" s="185" t="str">
        <f t="shared" si="11"/>
        <v/>
      </c>
      <c r="N23" s="185" t="str">
        <f t="shared" si="12"/>
        <v/>
      </c>
      <c r="O23" s="185" t="str">
        <f t="shared" si="13"/>
        <v/>
      </c>
      <c r="P23" s="185" t="str">
        <f t="shared" si="14"/>
        <v/>
      </c>
      <c r="T23" t="str">
        <f t="shared" si="6"/>
        <v>\I:</v>
      </c>
      <c r="U23" t="str">
        <f t="shared" ca="1" si="7"/>
        <v>7.5-16t diesel truck -- 00%</v>
      </c>
      <c r="V23" s="188" t="s">
        <v>84</v>
      </c>
      <c r="W23" s="188" t="s">
        <v>85</v>
      </c>
    </row>
    <row r="24" spans="2:23">
      <c r="I24" s="184"/>
      <c r="J24" t="str">
        <f t="shared" si="9"/>
        <v>Trd_hdt_dsl</v>
      </c>
      <c r="K24" t="str">
        <f t="shared" si="10"/>
        <v>\I:</v>
      </c>
      <c r="L24" t="str">
        <f t="shared" si="3"/>
        <v>\I:</v>
      </c>
      <c r="M24" s="185" t="str">
        <f t="shared" si="11"/>
        <v/>
      </c>
      <c r="N24" s="185" t="str">
        <f t="shared" si="12"/>
        <v/>
      </c>
      <c r="O24" s="185" t="str">
        <f t="shared" si="13"/>
        <v/>
      </c>
      <c r="P24" s="185" t="str">
        <f t="shared" si="14"/>
        <v/>
      </c>
      <c r="T24" t="str">
        <f t="shared" si="6"/>
        <v>\I:</v>
      </c>
      <c r="U24" t="str">
        <f t="shared" ca="1" si="7"/>
        <v>7.5-16t diesel truck -- 00%</v>
      </c>
      <c r="V24" s="188" t="s">
        <v>84</v>
      </c>
      <c r="W24" s="188" t="s">
        <v>85</v>
      </c>
    </row>
    <row r="25" spans="2:23">
      <c r="I25" s="184"/>
      <c r="J25" t="str">
        <f t="shared" si="9"/>
        <v>Trd_hdt_dsl</v>
      </c>
      <c r="K25" t="str">
        <f t="shared" si="10"/>
        <v>\I:</v>
      </c>
      <c r="L25" t="str">
        <f t="shared" si="3"/>
        <v>\I:</v>
      </c>
      <c r="M25" s="185" t="str">
        <f t="shared" si="11"/>
        <v/>
      </c>
      <c r="N25" s="185" t="str">
        <f t="shared" si="12"/>
        <v/>
      </c>
      <c r="O25" s="185" t="str">
        <f t="shared" si="13"/>
        <v/>
      </c>
      <c r="P25" s="185" t="str">
        <f t="shared" si="14"/>
        <v/>
      </c>
      <c r="T25" t="str">
        <f t="shared" si="6"/>
        <v>\I:</v>
      </c>
      <c r="U25" t="str">
        <f t="shared" ca="1" si="7"/>
        <v>7.5-16t diesel truck -- 00%</v>
      </c>
      <c r="V25" s="188" t="s">
        <v>84</v>
      </c>
      <c r="W25" s="188" t="s">
        <v>85</v>
      </c>
    </row>
    <row r="26" spans="2:23" ht="15" customHeight="1">
      <c r="B26" s="194" t="s">
        <v>119</v>
      </c>
      <c r="C26" s="179" t="s">
        <v>111</v>
      </c>
      <c r="D26" s="194"/>
      <c r="E26" s="194"/>
      <c r="F26" s="194"/>
      <c r="I26" s="184"/>
      <c r="J26" t="str">
        <f t="shared" si="9"/>
        <v>Trd_hdt_dsl-hyb</v>
      </c>
      <c r="K26" t="str">
        <f t="shared" si="10"/>
        <v>\I:</v>
      </c>
      <c r="L26" t="str">
        <f t="shared" si="3"/>
        <v>\I:</v>
      </c>
      <c r="M26" s="185" t="str">
        <f t="shared" si="11"/>
        <v/>
      </c>
      <c r="N26" s="185" t="str">
        <f t="shared" si="12"/>
        <v/>
      </c>
      <c r="O26" s="185" t="str">
        <f t="shared" si="13"/>
        <v/>
      </c>
      <c r="P26" s="185" t="str">
        <f t="shared" si="14"/>
        <v/>
      </c>
      <c r="T26" t="str">
        <f t="shared" si="6"/>
        <v>\I:</v>
      </c>
      <c r="U26" t="str">
        <f t="shared" ca="1" si="7"/>
        <v>7.5-16t diesel hybrid truck -- Reduction of specific energy consumption relative to 2015 diesel vehicle(%)</v>
      </c>
      <c r="V26" s="188" t="s">
        <v>84</v>
      </c>
      <c r="W26" s="188" t="s">
        <v>85</v>
      </c>
    </row>
    <row r="27" spans="2:23">
      <c r="B27" s="194"/>
      <c r="C27" s="179"/>
      <c r="D27" s="194"/>
      <c r="E27" s="194"/>
      <c r="F27" s="194"/>
      <c r="I27" s="184"/>
      <c r="J27" t="str">
        <f t="shared" si="9"/>
        <v>Trd_hdt_dsl-hyb</v>
      </c>
      <c r="K27" t="str">
        <f t="shared" si="10"/>
        <v>\I:</v>
      </c>
      <c r="L27" t="str">
        <f t="shared" si="3"/>
        <v>\I:</v>
      </c>
      <c r="M27" s="185" t="str">
        <f t="shared" si="11"/>
        <v/>
      </c>
      <c r="N27" s="185" t="str">
        <f t="shared" si="12"/>
        <v/>
      </c>
      <c r="O27" s="185" t="str">
        <f t="shared" si="13"/>
        <v/>
      </c>
      <c r="P27" s="185" t="str">
        <f t="shared" si="14"/>
        <v/>
      </c>
      <c r="T27" t="str">
        <f t="shared" si="6"/>
        <v>\I:</v>
      </c>
      <c r="U27" t="str">
        <f t="shared" ca="1" si="7"/>
        <v>7.5-16t diesel hybrid truck -- 00%</v>
      </c>
      <c r="V27" s="188" t="s">
        <v>84</v>
      </c>
      <c r="W27" s="188" t="s">
        <v>85</v>
      </c>
    </row>
    <row r="28" spans="2:23">
      <c r="B28" s="194"/>
      <c r="C28" s="179"/>
      <c r="D28" s="194"/>
      <c r="E28" s="194"/>
      <c r="F28" s="194"/>
      <c r="I28" s="184"/>
      <c r="J28" t="str">
        <f t="shared" si="9"/>
        <v>Trd_hdt_dsl-hyb</v>
      </c>
      <c r="K28" t="str">
        <f t="shared" si="10"/>
        <v>\I:</v>
      </c>
      <c r="L28" t="str">
        <f t="shared" si="3"/>
        <v>\I:</v>
      </c>
      <c r="M28" s="185" t="str">
        <f t="shared" si="11"/>
        <v/>
      </c>
      <c r="N28" s="185" t="str">
        <f t="shared" si="12"/>
        <v/>
      </c>
      <c r="O28" s="185" t="str">
        <f t="shared" si="13"/>
        <v/>
      </c>
      <c r="P28" s="185" t="str">
        <f t="shared" si="14"/>
        <v/>
      </c>
      <c r="T28" t="str">
        <f t="shared" si="6"/>
        <v>\I:</v>
      </c>
      <c r="U28" t="str">
        <f t="shared" ca="1" si="7"/>
        <v>7.5-16t diesel hybrid truck -- 00%</v>
      </c>
      <c r="V28" s="188" t="s">
        <v>84</v>
      </c>
      <c r="W28" s="188" t="s">
        <v>85</v>
      </c>
    </row>
    <row r="29" spans="2:23">
      <c r="B29" s="55"/>
      <c r="C29" s="36">
        <v>2020</v>
      </c>
      <c r="D29" s="36">
        <v>2030</v>
      </c>
      <c r="E29" s="36">
        <v>2040</v>
      </c>
      <c r="F29" s="36">
        <v>2050</v>
      </c>
      <c r="I29" s="184"/>
      <c r="J29" t="str">
        <f t="shared" si="9"/>
        <v>Trd_hdt_dsl-hyb</v>
      </c>
      <c r="K29" t="str">
        <f t="shared" si="10"/>
        <v>\I:</v>
      </c>
      <c r="L29" t="str">
        <f t="shared" si="3"/>
        <v>\I:</v>
      </c>
      <c r="M29" s="185" t="str">
        <f t="shared" si="11"/>
        <v/>
      </c>
      <c r="N29" s="185" t="str">
        <f t="shared" si="12"/>
        <v/>
      </c>
      <c r="O29" s="185" t="str">
        <f t="shared" si="13"/>
        <v/>
      </c>
      <c r="P29" s="185" t="str">
        <f t="shared" si="14"/>
        <v/>
      </c>
      <c r="T29" t="str">
        <f t="shared" si="6"/>
        <v>\I:</v>
      </c>
      <c r="U29" t="str">
        <f t="shared" ca="1" si="7"/>
        <v>7.5-16t diesel hybrid truck -- 00%</v>
      </c>
      <c r="V29" s="188" t="s">
        <v>84</v>
      </c>
      <c r="W29" s="188" t="s">
        <v>85</v>
      </c>
    </row>
    <row r="30" spans="2:23">
      <c r="B30" s="52">
        <v>0.1</v>
      </c>
      <c r="C30" s="53">
        <v>88920.665109853202</v>
      </c>
      <c r="D30" s="53">
        <v>85723.707215116301</v>
      </c>
      <c r="E30" s="53">
        <v>84520.588844308804</v>
      </c>
      <c r="F30" s="53">
        <v>83595.636305434993</v>
      </c>
      <c r="I30" s="184">
        <f t="shared" ref="I30:I37" si="15">(1+B30)</f>
        <v>1.1000000000000001</v>
      </c>
      <c r="J30" t="str">
        <f t="shared" si="9"/>
        <v>Trd_hdt_dsl-hyb</v>
      </c>
      <c r="K30" t="str">
        <f t="shared" si="10"/>
        <v>Trd_hdt_dsl-hyb_10</v>
      </c>
      <c r="L30" t="str">
        <f t="shared" si="3"/>
        <v>Trd_hdt</v>
      </c>
      <c r="M30" s="185">
        <f t="shared" si="11"/>
        <v>88920.665109853202</v>
      </c>
      <c r="N30" s="185">
        <f t="shared" si="12"/>
        <v>85723.707215116301</v>
      </c>
      <c r="O30" s="185">
        <f t="shared" si="13"/>
        <v>84520.588844308804</v>
      </c>
      <c r="P30" s="185">
        <f t="shared" si="14"/>
        <v>83595.636305434993</v>
      </c>
      <c r="T30" t="str">
        <f t="shared" si="6"/>
        <v>Trd_hdt_dsl-hyb_10</v>
      </c>
      <c r="U30" t="str">
        <f t="shared" ca="1" si="7"/>
        <v>7.5-16t diesel hybrid truck -- 10%</v>
      </c>
      <c r="V30" s="188" t="s">
        <v>84</v>
      </c>
      <c r="W30" s="188" t="s">
        <v>85</v>
      </c>
    </row>
    <row r="31" spans="2:23">
      <c r="B31" s="52">
        <v>0.15</v>
      </c>
      <c r="C31" s="53">
        <v>90395.020492628304</v>
      </c>
      <c r="D31" s="53">
        <v>85866.889033298095</v>
      </c>
      <c r="E31" s="53">
        <v>84742.075203955304</v>
      </c>
      <c r="F31" s="53">
        <v>83858.378597444404</v>
      </c>
      <c r="I31" s="184">
        <f t="shared" si="15"/>
        <v>1.1499999999999999</v>
      </c>
      <c r="J31" t="str">
        <f t="shared" si="9"/>
        <v>Trd_hdt_dsl-hyb</v>
      </c>
      <c r="K31" t="str">
        <f t="shared" si="10"/>
        <v>Trd_hdt_dsl-hyb_15</v>
      </c>
      <c r="L31" t="str">
        <f t="shared" si="3"/>
        <v>Trd_hdt</v>
      </c>
      <c r="M31" s="185">
        <f t="shared" si="11"/>
        <v>90395.020492628304</v>
      </c>
      <c r="N31" s="185">
        <f t="shared" si="12"/>
        <v>85866.889033298095</v>
      </c>
      <c r="O31" s="185">
        <f t="shared" si="13"/>
        <v>84742.075203955304</v>
      </c>
      <c r="P31" s="185">
        <f t="shared" si="14"/>
        <v>83858.378597444404</v>
      </c>
      <c r="T31" t="str">
        <f t="shared" si="6"/>
        <v>Trd_hdt_dsl-hyb_15</v>
      </c>
      <c r="U31" t="str">
        <f t="shared" ca="1" si="7"/>
        <v>7.5-16t diesel hybrid truck -- 15%</v>
      </c>
      <c r="V31" s="188" t="s">
        <v>84</v>
      </c>
      <c r="W31" s="188" t="s">
        <v>85</v>
      </c>
    </row>
    <row r="32" spans="2:23">
      <c r="B32" s="52">
        <v>0.2</v>
      </c>
      <c r="C32" s="53">
        <v>91869.375875403406</v>
      </c>
      <c r="D32" s="53">
        <v>86041.570851479904</v>
      </c>
      <c r="E32" s="53">
        <v>84996.503112827093</v>
      </c>
      <c r="F32" s="53">
        <v>84156.751475997007</v>
      </c>
      <c r="I32" s="184">
        <f t="shared" si="15"/>
        <v>1.2</v>
      </c>
      <c r="J32" t="str">
        <f t="shared" si="9"/>
        <v>Trd_hdt_dsl-hyb</v>
      </c>
      <c r="K32" t="str">
        <f t="shared" si="10"/>
        <v>Trd_hdt_dsl-hyb_20</v>
      </c>
      <c r="L32" t="str">
        <f t="shared" si="3"/>
        <v>Trd_hdt</v>
      </c>
      <c r="M32" s="185">
        <f t="shared" si="11"/>
        <v>91869.375875403406</v>
      </c>
      <c r="N32" s="185">
        <f t="shared" si="12"/>
        <v>86041.570851479904</v>
      </c>
      <c r="O32" s="185">
        <f t="shared" si="13"/>
        <v>84996.503112827093</v>
      </c>
      <c r="P32" s="185">
        <f t="shared" si="14"/>
        <v>84156.751475997007</v>
      </c>
      <c r="T32" t="str">
        <f t="shared" si="6"/>
        <v>Trd_hdt_dsl-hyb_20</v>
      </c>
      <c r="U32" t="str">
        <f t="shared" ca="1" si="7"/>
        <v>7.5-16t diesel hybrid truck -- 20%</v>
      </c>
      <c r="V32" s="188" t="s">
        <v>84</v>
      </c>
      <c r="W32" s="188" t="s">
        <v>85</v>
      </c>
    </row>
    <row r="33" spans="2:23">
      <c r="B33" s="52">
        <v>0.25</v>
      </c>
      <c r="C33" s="53">
        <v>93343.731258178494</v>
      </c>
      <c r="D33" s="53">
        <v>86487.444057221597</v>
      </c>
      <c r="E33" s="53">
        <v>85493.169128720794</v>
      </c>
      <c r="F33" s="53">
        <v>84675.056098298403</v>
      </c>
      <c r="I33" s="184">
        <f t="shared" si="15"/>
        <v>1.25</v>
      </c>
      <c r="J33" t="str">
        <f t="shared" si="9"/>
        <v>Trd_hdt_dsl-hyb</v>
      </c>
      <c r="K33" t="str">
        <f t="shared" si="10"/>
        <v>Trd_hdt_dsl-hyb_25</v>
      </c>
      <c r="L33" t="str">
        <f t="shared" si="3"/>
        <v>Trd_hdt</v>
      </c>
      <c r="M33" s="185">
        <f t="shared" si="11"/>
        <v>93343.731258178494</v>
      </c>
      <c r="N33" s="185">
        <f t="shared" si="12"/>
        <v>86487.444057221597</v>
      </c>
      <c r="O33" s="185">
        <f t="shared" si="13"/>
        <v>85493.169128720794</v>
      </c>
      <c r="P33" s="185">
        <f t="shared" si="14"/>
        <v>84675.056098298403</v>
      </c>
      <c r="T33" t="str">
        <f t="shared" si="6"/>
        <v>Trd_hdt_dsl-hyb_25</v>
      </c>
      <c r="U33" t="str">
        <f t="shared" ca="1" si="7"/>
        <v>7.5-16t diesel hybrid truck -- 25%</v>
      </c>
      <c r="V33" s="188" t="s">
        <v>84</v>
      </c>
      <c r="W33" s="188" t="s">
        <v>85</v>
      </c>
    </row>
    <row r="34" spans="2:23">
      <c r="B34" s="52">
        <v>0.3</v>
      </c>
      <c r="C34" s="53">
        <v>94818.086640953596</v>
      </c>
      <c r="D34" s="53">
        <v>87242.4966888005</v>
      </c>
      <c r="E34" s="53">
        <v>86278.805981622703</v>
      </c>
      <c r="F34" s="53">
        <v>85465.438469979796</v>
      </c>
      <c r="I34" s="184">
        <f t="shared" si="15"/>
        <v>1.3</v>
      </c>
      <c r="J34" t="str">
        <f t="shared" si="9"/>
        <v>Trd_hdt_dsl-hyb</v>
      </c>
      <c r="K34" t="str">
        <f t="shared" si="10"/>
        <v>Trd_hdt_dsl-hyb_30</v>
      </c>
      <c r="L34" t="str">
        <f t="shared" si="3"/>
        <v>Trd_hdt</v>
      </c>
      <c r="M34" s="185">
        <f t="shared" si="11"/>
        <v>94818.086640953596</v>
      </c>
      <c r="N34" s="185">
        <f t="shared" si="12"/>
        <v>87242.4966888005</v>
      </c>
      <c r="O34" s="185">
        <f t="shared" si="13"/>
        <v>86278.805981622703</v>
      </c>
      <c r="P34" s="185">
        <f t="shared" si="14"/>
        <v>85465.438469979796</v>
      </c>
      <c r="T34" t="str">
        <f t="shared" si="6"/>
        <v>Trd_hdt_dsl-hyb_30</v>
      </c>
      <c r="U34" t="str">
        <f t="shared" ca="1" si="7"/>
        <v>7.5-16t diesel hybrid truck -- 30%</v>
      </c>
      <c r="V34" s="188" t="s">
        <v>84</v>
      </c>
      <c r="W34" s="188" t="s">
        <v>85</v>
      </c>
    </row>
    <row r="35" spans="2:23">
      <c r="B35" s="52">
        <v>0.35</v>
      </c>
      <c r="C35" s="53">
        <v>96915.144656483404</v>
      </c>
      <c r="D35" s="53">
        <v>88296.020612245498</v>
      </c>
      <c r="E35" s="53">
        <v>87359.295217680105</v>
      </c>
      <c r="F35" s="53">
        <v>86546.241533880195</v>
      </c>
      <c r="I35" s="184">
        <f t="shared" si="15"/>
        <v>1.35</v>
      </c>
      <c r="J35" t="str">
        <f t="shared" si="9"/>
        <v>Trd_hdt_dsl-hyb</v>
      </c>
      <c r="K35" t="str">
        <f t="shared" si="10"/>
        <v>Trd_hdt_dsl-hyb_35</v>
      </c>
      <c r="L35" t="str">
        <f t="shared" si="3"/>
        <v>Trd_hdt</v>
      </c>
      <c r="M35" s="185">
        <f t="shared" si="11"/>
        <v>96915.144656483404</v>
      </c>
      <c r="N35" s="185">
        <f t="shared" si="12"/>
        <v>88296.020612245498</v>
      </c>
      <c r="O35" s="185">
        <f t="shared" si="13"/>
        <v>87359.295217680105</v>
      </c>
      <c r="P35" s="185">
        <f t="shared" si="14"/>
        <v>86546.241533880195</v>
      </c>
      <c r="T35" t="str">
        <f t="shared" si="6"/>
        <v>Trd_hdt_dsl-hyb_35</v>
      </c>
      <c r="U35" t="str">
        <f t="shared" ca="1" si="7"/>
        <v>7.5-16t diesel hybrid truck -- 35%</v>
      </c>
      <c r="V35" s="188" t="s">
        <v>84</v>
      </c>
      <c r="W35" s="188" t="s">
        <v>85</v>
      </c>
    </row>
    <row r="36" spans="2:23">
      <c r="B36" s="52">
        <v>0.4</v>
      </c>
      <c r="C36" s="53">
        <v>98758.176748228594</v>
      </c>
      <c r="D36" s="53">
        <v>91896.257454350794</v>
      </c>
      <c r="E36" s="53">
        <v>90807.971315833696</v>
      </c>
      <c r="F36" s="53">
        <v>89832.553586665497</v>
      </c>
      <c r="I36" s="184">
        <f t="shared" si="15"/>
        <v>1.4</v>
      </c>
      <c r="J36" t="str">
        <f t="shared" si="9"/>
        <v>Trd_hdt_dsl-hyb</v>
      </c>
      <c r="K36" t="str">
        <f t="shared" si="10"/>
        <v>Trd_hdt_dsl-hyb_40</v>
      </c>
      <c r="L36" t="str">
        <f t="shared" si="3"/>
        <v>Trd_hdt</v>
      </c>
      <c r="M36" s="185">
        <f t="shared" si="11"/>
        <v>98758.176748228594</v>
      </c>
      <c r="N36" s="185">
        <f t="shared" si="12"/>
        <v>91896.257454350794</v>
      </c>
      <c r="O36" s="185">
        <f t="shared" si="13"/>
        <v>90807.971315833696</v>
      </c>
      <c r="P36" s="185">
        <f t="shared" si="14"/>
        <v>89832.553586665497</v>
      </c>
      <c r="T36" t="str">
        <f t="shared" si="6"/>
        <v>Trd_hdt_dsl-hyb_40</v>
      </c>
      <c r="U36" t="str">
        <f t="shared" ca="1" si="7"/>
        <v>7.5-16t diesel hybrid truck -- 40%</v>
      </c>
      <c r="V36" s="188" t="s">
        <v>84</v>
      </c>
      <c r="W36" s="188" t="s">
        <v>85</v>
      </c>
    </row>
    <row r="37" spans="2:23">
      <c r="B37" s="52">
        <v>0.45</v>
      </c>
      <c r="C37" s="53">
        <v>104720.410736048</v>
      </c>
      <c r="D37" s="53">
        <v>97691.661760570903</v>
      </c>
      <c r="E37" s="53">
        <v>96426.757797202299</v>
      </c>
      <c r="F37" s="53">
        <v>95247.659429026404</v>
      </c>
      <c r="I37" s="184">
        <f t="shared" si="15"/>
        <v>1.45</v>
      </c>
      <c r="J37" t="str">
        <f t="shared" si="9"/>
        <v>Trd_hdt_dsl-hyb</v>
      </c>
      <c r="K37" t="str">
        <f t="shared" si="10"/>
        <v>Trd_hdt_dsl-hyb_45</v>
      </c>
      <c r="L37" t="str">
        <f t="shared" si="3"/>
        <v>Trd_hdt</v>
      </c>
      <c r="M37" s="185">
        <f t="shared" si="11"/>
        <v>104720.410736048</v>
      </c>
      <c r="N37" s="185">
        <f t="shared" si="12"/>
        <v>97691.661760570903</v>
      </c>
      <c r="O37" s="185">
        <f t="shared" si="13"/>
        <v>96426.757797202299</v>
      </c>
      <c r="P37" s="185">
        <f t="shared" si="14"/>
        <v>95247.659429026404</v>
      </c>
      <c r="T37" t="str">
        <f t="shared" si="6"/>
        <v>Trd_hdt_dsl-hyb_45</v>
      </c>
      <c r="U37" t="str">
        <f t="shared" ca="1" si="7"/>
        <v>7.5-16t diesel hybrid truck -- 45%</v>
      </c>
      <c r="V37" s="188" t="s">
        <v>84</v>
      </c>
      <c r="W37" s="188" t="s">
        <v>85</v>
      </c>
    </row>
    <row r="38" spans="2:23">
      <c r="J38" t="str">
        <f t="shared" ref="J38:J57" si="16">IFERROR(VLOOKUP(C38,$R$1:$S$7,2,FALSE),J37)</f>
        <v>Trd_hdt_dsl-hyb</v>
      </c>
      <c r="K38" t="str">
        <f t="shared" ref="K38:K57" si="17">IFERROR(IF(VALUE(C38)&gt;2020,J38&amp;"_"&amp;TEXT(B38*100,"00"),"\I:"),"\I:")</f>
        <v>\I:</v>
      </c>
      <c r="L38" t="str">
        <f t="shared" si="3"/>
        <v>\I:</v>
      </c>
      <c r="M38" s="185" t="str">
        <f t="shared" ref="M38:M57" si="18">IF($K38="\I:","",C38)</f>
        <v/>
      </c>
      <c r="N38" s="185" t="str">
        <f t="shared" ref="N38:N57" si="19">IF($K38="\I:","",D38)</f>
        <v/>
      </c>
      <c r="O38" s="185" t="str">
        <f t="shared" ref="O38:O57" si="20">IF($K38="\I:","",E38)</f>
        <v/>
      </c>
      <c r="P38" s="185" t="str">
        <f t="shared" ref="P38:P57" si="21">IF($K38="\I:","",F38)</f>
        <v/>
      </c>
      <c r="T38" t="str">
        <f t="shared" si="6"/>
        <v>\I:</v>
      </c>
      <c r="U38" t="str">
        <f t="shared" ca="1" si="7"/>
        <v>7.5-16t diesel hybrid truck -- 00%</v>
      </c>
      <c r="V38" s="188" t="s">
        <v>84</v>
      </c>
      <c r="W38" s="188" t="s">
        <v>85</v>
      </c>
    </row>
    <row r="39" spans="2:23">
      <c r="J39" t="str">
        <f t="shared" si="16"/>
        <v>Trd_hdt_dsl-hyb</v>
      </c>
      <c r="K39" t="str">
        <f t="shared" si="17"/>
        <v>\I:</v>
      </c>
      <c r="L39" t="str">
        <f t="shared" si="3"/>
        <v>\I:</v>
      </c>
      <c r="M39" s="185" t="str">
        <f t="shared" si="18"/>
        <v/>
      </c>
      <c r="N39" s="185" t="str">
        <f t="shared" si="19"/>
        <v/>
      </c>
      <c r="O39" s="185" t="str">
        <f t="shared" si="20"/>
        <v/>
      </c>
      <c r="P39" s="185" t="str">
        <f t="shared" si="21"/>
        <v/>
      </c>
      <c r="T39" t="str">
        <f t="shared" si="6"/>
        <v>\I:</v>
      </c>
      <c r="U39" t="str">
        <f t="shared" ca="1" si="7"/>
        <v>7.5-16t diesel hybrid truck -- 00%</v>
      </c>
      <c r="V39" s="188" t="s">
        <v>84</v>
      </c>
      <c r="W39" s="188" t="s">
        <v>85</v>
      </c>
    </row>
    <row r="40" spans="2:23">
      <c r="J40" t="str">
        <f t="shared" si="16"/>
        <v>Trd_hdt_dsl-hyb</v>
      </c>
      <c r="K40" t="str">
        <f t="shared" si="17"/>
        <v>\I:</v>
      </c>
      <c r="L40" t="str">
        <f t="shared" si="3"/>
        <v>\I:</v>
      </c>
      <c r="M40" s="185" t="str">
        <f t="shared" si="18"/>
        <v/>
      </c>
      <c r="N40" s="185" t="str">
        <f t="shared" si="19"/>
        <v/>
      </c>
      <c r="O40" s="185" t="str">
        <f t="shared" si="20"/>
        <v/>
      </c>
      <c r="P40" s="185" t="str">
        <f t="shared" si="21"/>
        <v/>
      </c>
      <c r="T40" t="str">
        <f t="shared" si="6"/>
        <v>\I:</v>
      </c>
      <c r="U40" t="str">
        <f t="shared" ca="1" si="7"/>
        <v>7.5-16t diesel hybrid truck -- 00%</v>
      </c>
      <c r="V40" s="188" t="s">
        <v>84</v>
      </c>
      <c r="W40" s="188" t="s">
        <v>85</v>
      </c>
    </row>
    <row r="41" spans="2:23">
      <c r="J41" t="str">
        <f t="shared" si="16"/>
        <v>Trd_hdt_dsl-hyb</v>
      </c>
      <c r="K41" t="str">
        <f t="shared" si="17"/>
        <v>\I:</v>
      </c>
      <c r="L41" t="str">
        <f t="shared" si="3"/>
        <v>\I:</v>
      </c>
      <c r="M41" s="185" t="str">
        <f t="shared" si="18"/>
        <v/>
      </c>
      <c r="N41" s="185" t="str">
        <f t="shared" si="19"/>
        <v/>
      </c>
      <c r="O41" s="185" t="str">
        <f t="shared" si="20"/>
        <v/>
      </c>
      <c r="P41" s="185" t="str">
        <f t="shared" si="21"/>
        <v/>
      </c>
      <c r="T41" t="str">
        <f t="shared" si="6"/>
        <v>\I:</v>
      </c>
      <c r="U41" t="str">
        <f t="shared" ca="1" si="7"/>
        <v>7.5-16t diesel hybrid truck -- 00%</v>
      </c>
      <c r="V41" s="188" t="s">
        <v>84</v>
      </c>
      <c r="W41" s="188" t="s">
        <v>85</v>
      </c>
    </row>
    <row r="42" spans="2:23">
      <c r="B42" s="29" t="s">
        <v>120</v>
      </c>
      <c r="J42" t="str">
        <f t="shared" si="16"/>
        <v>Trd_hdt_dsl-hyb</v>
      </c>
      <c r="K42" t="str">
        <f t="shared" si="17"/>
        <v>\I:</v>
      </c>
      <c r="L42" t="str">
        <f t="shared" si="3"/>
        <v>\I:</v>
      </c>
      <c r="M42" s="185" t="str">
        <f t="shared" si="18"/>
        <v/>
      </c>
      <c r="N42" s="185" t="str">
        <f t="shared" si="19"/>
        <v/>
      </c>
      <c r="O42" s="185" t="str">
        <f t="shared" si="20"/>
        <v/>
      </c>
      <c r="P42" s="185" t="str">
        <f t="shared" si="21"/>
        <v/>
      </c>
      <c r="T42" t="str">
        <f t="shared" si="6"/>
        <v>\I:</v>
      </c>
      <c r="U42" t="str">
        <f t="shared" ca="1" si="7"/>
        <v>7.5-16t diesel hybrid truck -- Reference values for LNG truck 7.5-16t</v>
      </c>
      <c r="V42" s="188" t="s">
        <v>84</v>
      </c>
      <c r="W42" s="188" t="s">
        <v>85</v>
      </c>
    </row>
    <row r="43" spans="2:23">
      <c r="B43" s="177">
        <v>2015</v>
      </c>
      <c r="C43" s="177"/>
      <c r="D43" s="177"/>
      <c r="J43" t="str">
        <f t="shared" si="16"/>
        <v>Trd_hdt_dsl-hyb</v>
      </c>
      <c r="K43" t="str">
        <f t="shared" si="17"/>
        <v>\I:</v>
      </c>
      <c r="L43" t="str">
        <f t="shared" si="3"/>
        <v>\I:</v>
      </c>
      <c r="M43" s="185" t="str">
        <f t="shared" si="18"/>
        <v/>
      </c>
      <c r="N43" s="185" t="str">
        <f t="shared" si="19"/>
        <v/>
      </c>
      <c r="O43" s="185" t="str">
        <f t="shared" si="20"/>
        <v/>
      </c>
      <c r="P43" s="185" t="str">
        <f t="shared" si="21"/>
        <v/>
      </c>
      <c r="T43" t="str">
        <f t="shared" si="6"/>
        <v>\I:</v>
      </c>
      <c r="U43" t="str">
        <f t="shared" ca="1" si="7"/>
        <v>7.5-16t diesel hybrid truck -- 201500%</v>
      </c>
      <c r="V43" s="188" t="s">
        <v>84</v>
      </c>
      <c r="W43" s="188" t="s">
        <v>85</v>
      </c>
    </row>
    <row r="44" spans="2:23">
      <c r="B44" s="31" t="s">
        <v>12</v>
      </c>
      <c r="C44" s="32" t="s">
        <v>88</v>
      </c>
      <c r="D44" s="33">
        <v>15.6724885159612</v>
      </c>
      <c r="G44" s="178">
        <f>D44*$I$2/100*10^9/10^6</f>
        <v>8.1512515429686001</v>
      </c>
      <c r="H44" s="178"/>
      <c r="I44" s="178">
        <f>1/G44</f>
        <v>0.122680547242174</v>
      </c>
      <c r="J44" t="str">
        <f t="shared" si="16"/>
        <v>Trd_hdt_dsl-hyb</v>
      </c>
      <c r="K44" t="str">
        <f t="shared" si="17"/>
        <v>\I:</v>
      </c>
      <c r="L44" t="str">
        <f t="shared" si="3"/>
        <v>\I:</v>
      </c>
      <c r="M44" s="185" t="str">
        <f t="shared" si="18"/>
        <v/>
      </c>
      <c r="N44" s="185" t="str">
        <f t="shared" si="19"/>
        <v/>
      </c>
      <c r="O44" s="185" t="str">
        <f t="shared" si="20"/>
        <v/>
      </c>
      <c r="P44" s="185" t="str">
        <f t="shared" si="21"/>
        <v/>
      </c>
      <c r="T44" t="str">
        <f t="shared" si="6"/>
        <v>\I:</v>
      </c>
      <c r="U44" t="str">
        <f t="shared" ca="1" si="7"/>
        <v>7.5-16t diesel hybrid truck -- Energy consumption</v>
      </c>
      <c r="V44" s="188" t="s">
        <v>84</v>
      </c>
      <c r="W44" s="188" t="s">
        <v>85</v>
      </c>
    </row>
    <row r="45" spans="2:23">
      <c r="B45" s="31" t="s">
        <v>14</v>
      </c>
      <c r="C45" s="32" t="s">
        <v>15</v>
      </c>
      <c r="D45" s="44">
        <v>97834.866707598703</v>
      </c>
      <c r="I45" s="29" t="s">
        <v>70</v>
      </c>
      <c r="J45" t="str">
        <f t="shared" si="16"/>
        <v>Trd_hdt_dsl-hyb</v>
      </c>
      <c r="K45" t="str">
        <f t="shared" si="17"/>
        <v>\I:</v>
      </c>
      <c r="L45" t="str">
        <f t="shared" si="3"/>
        <v>\I:</v>
      </c>
      <c r="M45" s="185" t="str">
        <f t="shared" si="18"/>
        <v/>
      </c>
      <c r="N45" s="185" t="str">
        <f t="shared" si="19"/>
        <v/>
      </c>
      <c r="O45" s="185" t="str">
        <f t="shared" si="20"/>
        <v/>
      </c>
      <c r="P45" s="185" t="str">
        <f t="shared" si="21"/>
        <v/>
      </c>
      <c r="T45" t="str">
        <f t="shared" si="6"/>
        <v>\I:</v>
      </c>
      <c r="U45" t="str">
        <f t="shared" ca="1" si="7"/>
        <v>7.5-16t diesel hybrid truck -- Capital cost</v>
      </c>
      <c r="V45" s="188" t="s">
        <v>84</v>
      </c>
      <c r="W45" s="188" t="s">
        <v>85</v>
      </c>
    </row>
    <row r="46" spans="2:23" ht="15" customHeight="1">
      <c r="J46" t="str">
        <f t="shared" si="16"/>
        <v>Trd_hdt_dsl-hyb</v>
      </c>
      <c r="K46" t="str">
        <f t="shared" si="17"/>
        <v>\I:</v>
      </c>
      <c r="L46" t="str">
        <f t="shared" si="3"/>
        <v>\I:</v>
      </c>
      <c r="M46" s="185" t="str">
        <f t="shared" si="18"/>
        <v/>
      </c>
      <c r="N46" s="185" t="str">
        <f t="shared" si="19"/>
        <v/>
      </c>
      <c r="O46" s="185" t="str">
        <f t="shared" si="20"/>
        <v/>
      </c>
      <c r="P46" s="185" t="str">
        <f t="shared" si="21"/>
        <v/>
      </c>
      <c r="T46" t="str">
        <f t="shared" si="6"/>
        <v>\I:</v>
      </c>
      <c r="U46" t="str">
        <f t="shared" ca="1" si="7"/>
        <v>7.5-16t diesel hybrid truck -- 00%</v>
      </c>
      <c r="V46" s="188" t="s">
        <v>84</v>
      </c>
      <c r="W46" s="188" t="s">
        <v>85</v>
      </c>
    </row>
    <row r="47" spans="2:23" ht="15" customHeight="1">
      <c r="B47" s="194" t="s">
        <v>121</v>
      </c>
      <c r="C47" s="179" t="s">
        <v>114</v>
      </c>
      <c r="D47" s="194"/>
      <c r="E47" s="194"/>
      <c r="F47" s="194"/>
      <c r="J47" t="str">
        <f t="shared" si="16"/>
        <v>Trd_hdt_lng</v>
      </c>
      <c r="K47" t="str">
        <f t="shared" si="17"/>
        <v>\I:</v>
      </c>
      <c r="L47" t="str">
        <f t="shared" si="3"/>
        <v>\I:</v>
      </c>
      <c r="M47" s="185" t="str">
        <f t="shared" si="18"/>
        <v/>
      </c>
      <c r="N47" s="185" t="str">
        <f t="shared" si="19"/>
        <v/>
      </c>
      <c r="O47" s="185" t="str">
        <f t="shared" si="20"/>
        <v/>
      </c>
      <c r="P47" s="185" t="str">
        <f t="shared" si="21"/>
        <v/>
      </c>
      <c r="T47" t="str">
        <f t="shared" si="6"/>
        <v>\I:</v>
      </c>
      <c r="U47" t="str">
        <f t="shared" ca="1" si="7"/>
        <v>7.5-16t LNG truck -- Reduction of specific energy consumption relative to 2015 LNG vehicle (%)</v>
      </c>
      <c r="V47" s="188" t="s">
        <v>84</v>
      </c>
      <c r="W47" s="188" t="s">
        <v>85</v>
      </c>
    </row>
    <row r="48" spans="2:23">
      <c r="B48" s="194"/>
      <c r="C48" s="179"/>
      <c r="D48" s="194"/>
      <c r="E48" s="194"/>
      <c r="F48" s="194"/>
      <c r="J48" t="str">
        <f t="shared" si="16"/>
        <v>Trd_hdt_lng</v>
      </c>
      <c r="K48" t="str">
        <f t="shared" si="17"/>
        <v>\I:</v>
      </c>
      <c r="L48" t="str">
        <f t="shared" si="3"/>
        <v>\I:</v>
      </c>
      <c r="M48" s="185" t="str">
        <f t="shared" si="18"/>
        <v/>
      </c>
      <c r="N48" s="185" t="str">
        <f t="shared" si="19"/>
        <v/>
      </c>
      <c r="O48" s="185" t="str">
        <f t="shared" si="20"/>
        <v/>
      </c>
      <c r="P48" s="185" t="str">
        <f t="shared" si="21"/>
        <v/>
      </c>
      <c r="T48" t="str">
        <f t="shared" si="6"/>
        <v>\I:</v>
      </c>
      <c r="U48" t="str">
        <f t="shared" ca="1" si="7"/>
        <v>7.5-16t LNG truck -- 00%</v>
      </c>
      <c r="V48" s="188" t="s">
        <v>84</v>
      </c>
      <c r="W48" s="188" t="s">
        <v>85</v>
      </c>
    </row>
    <row r="49" spans="2:23">
      <c r="B49" s="194"/>
      <c r="C49" s="179"/>
      <c r="D49" s="194"/>
      <c r="E49" s="194"/>
      <c r="F49" s="194"/>
      <c r="J49" t="str">
        <f t="shared" si="16"/>
        <v>Trd_hdt_lng</v>
      </c>
      <c r="K49" t="str">
        <f t="shared" si="17"/>
        <v>\I:</v>
      </c>
      <c r="L49" t="str">
        <f t="shared" si="3"/>
        <v>\I:</v>
      </c>
      <c r="M49" s="185" t="str">
        <f t="shared" si="18"/>
        <v/>
      </c>
      <c r="N49" s="185" t="str">
        <f t="shared" si="19"/>
        <v/>
      </c>
      <c r="O49" s="185" t="str">
        <f t="shared" si="20"/>
        <v/>
      </c>
      <c r="P49" s="185" t="str">
        <f t="shared" si="21"/>
        <v/>
      </c>
      <c r="T49" t="str">
        <f t="shared" si="6"/>
        <v>\I:</v>
      </c>
      <c r="U49" t="str">
        <f t="shared" ca="1" si="7"/>
        <v>7.5-16t LNG truck -- 00%</v>
      </c>
      <c r="V49" s="188" t="s">
        <v>84</v>
      </c>
      <c r="W49" s="188" t="s">
        <v>85</v>
      </c>
    </row>
    <row r="50" spans="2:23">
      <c r="B50" s="55"/>
      <c r="C50" s="36">
        <v>2020</v>
      </c>
      <c r="D50" s="36">
        <v>2030</v>
      </c>
      <c r="E50" s="36">
        <v>2040</v>
      </c>
      <c r="F50" s="36">
        <v>2050</v>
      </c>
      <c r="J50" t="str">
        <f t="shared" si="16"/>
        <v>Trd_hdt_lng</v>
      </c>
      <c r="K50" t="str">
        <f t="shared" si="17"/>
        <v>\I:</v>
      </c>
      <c r="L50" t="str">
        <f t="shared" si="3"/>
        <v>\I:</v>
      </c>
      <c r="M50" s="185" t="str">
        <f t="shared" si="18"/>
        <v/>
      </c>
      <c r="N50" s="185" t="str">
        <f t="shared" si="19"/>
        <v/>
      </c>
      <c r="O50" s="185" t="str">
        <f t="shared" si="20"/>
        <v/>
      </c>
      <c r="P50" s="185" t="str">
        <f t="shared" si="21"/>
        <v/>
      </c>
      <c r="T50" t="str">
        <f t="shared" si="6"/>
        <v>\I:</v>
      </c>
      <c r="U50" t="str">
        <f t="shared" ca="1" si="7"/>
        <v>7.5-16t LNG truck -- 00%</v>
      </c>
      <c r="V50" s="188" t="s">
        <v>84</v>
      </c>
      <c r="W50" s="188" t="s">
        <v>85</v>
      </c>
    </row>
    <row r="51" spans="2:23">
      <c r="B51" s="52">
        <v>4.4125814214529803E-2</v>
      </c>
      <c r="C51" s="53">
        <v>98717.551894527394</v>
      </c>
      <c r="D51" s="53">
        <v>98717.551894527394</v>
      </c>
      <c r="E51" s="53">
        <v>98717.551894527394</v>
      </c>
      <c r="F51" s="53">
        <v>98717.551894527394</v>
      </c>
      <c r="I51" s="184">
        <f t="shared" ref="I51:I57" si="22">$I$44*(1+B51)/$I$7</f>
        <v>0.91911954656450701</v>
      </c>
      <c r="J51" t="str">
        <f t="shared" si="16"/>
        <v>Trd_hdt_lng</v>
      </c>
      <c r="K51" t="str">
        <f t="shared" si="17"/>
        <v>Trd_hdt_lng_04</v>
      </c>
      <c r="L51" t="str">
        <f t="shared" si="3"/>
        <v>Trd_hdt</v>
      </c>
      <c r="M51" s="185">
        <f t="shared" si="18"/>
        <v>98717.551894527394</v>
      </c>
      <c r="N51" s="185">
        <f t="shared" si="19"/>
        <v>98717.551894527394</v>
      </c>
      <c r="O51" s="185">
        <f t="shared" si="20"/>
        <v>98717.551894527394</v>
      </c>
      <c r="P51" s="185">
        <f t="shared" si="21"/>
        <v>98717.551894527394</v>
      </c>
      <c r="T51" t="str">
        <f t="shared" si="6"/>
        <v>Trd_hdt_lng_04</v>
      </c>
      <c r="U51" t="str">
        <f t="shared" ca="1" si="7"/>
        <v>7.5-16t LNG truck -- 04%</v>
      </c>
      <c r="V51" s="188" t="s">
        <v>84</v>
      </c>
      <c r="W51" s="188" t="s">
        <v>85</v>
      </c>
    </row>
    <row r="52" spans="2:23">
      <c r="B52" s="52">
        <v>9.4125814214529799E-2</v>
      </c>
      <c r="C52" s="53">
        <v>100149.98465522</v>
      </c>
      <c r="D52" s="53">
        <v>99663.0361158585</v>
      </c>
      <c r="E52" s="53">
        <v>99663.0361158585</v>
      </c>
      <c r="F52" s="53">
        <v>99663.0361158585</v>
      </c>
      <c r="I52" s="184">
        <f t="shared" si="22"/>
        <v>0.96313337775476104</v>
      </c>
      <c r="J52" t="str">
        <f t="shared" si="16"/>
        <v>Trd_hdt_lng</v>
      </c>
      <c r="K52" t="str">
        <f t="shared" si="17"/>
        <v>Trd_hdt_lng_09</v>
      </c>
      <c r="L52" t="str">
        <f t="shared" si="3"/>
        <v>Trd_hdt</v>
      </c>
      <c r="M52" s="185">
        <f t="shared" si="18"/>
        <v>100149.98465522</v>
      </c>
      <c r="N52" s="185">
        <f t="shared" si="19"/>
        <v>99663.0361158585</v>
      </c>
      <c r="O52" s="185">
        <f t="shared" si="20"/>
        <v>99663.0361158585</v>
      </c>
      <c r="P52" s="185">
        <f t="shared" si="21"/>
        <v>99663.0361158585</v>
      </c>
      <c r="T52" t="str">
        <f t="shared" si="6"/>
        <v>Trd_hdt_lng_09</v>
      </c>
      <c r="U52" t="str">
        <f t="shared" ca="1" si="7"/>
        <v>7.5-16t LNG truck -- 09%</v>
      </c>
      <c r="V52" s="188" t="s">
        <v>84</v>
      </c>
      <c r="W52" s="188" t="s">
        <v>85</v>
      </c>
    </row>
    <row r="53" spans="2:23">
      <c r="B53" s="52">
        <v>0.14412581421453</v>
      </c>
      <c r="C53" s="53">
        <v>101448.960896787</v>
      </c>
      <c r="D53" s="53">
        <v>101055.405015415</v>
      </c>
      <c r="E53" s="53">
        <v>101055.405015415</v>
      </c>
      <c r="F53" s="53">
        <v>101055.405015415</v>
      </c>
      <c r="I53" s="184">
        <f t="shared" si="22"/>
        <v>1.00714720894502</v>
      </c>
      <c r="J53" t="str">
        <f t="shared" si="16"/>
        <v>Trd_hdt_lng</v>
      </c>
      <c r="K53" t="str">
        <f t="shared" si="17"/>
        <v>Trd_hdt_lng_14</v>
      </c>
      <c r="L53" t="str">
        <f t="shared" si="3"/>
        <v>Trd_hdt</v>
      </c>
      <c r="M53" s="185">
        <f t="shared" si="18"/>
        <v>101448.960896787</v>
      </c>
      <c r="N53" s="185">
        <f t="shared" si="19"/>
        <v>101055.405015415</v>
      </c>
      <c r="O53" s="185">
        <f t="shared" si="20"/>
        <v>101055.405015415</v>
      </c>
      <c r="P53" s="185">
        <f t="shared" si="21"/>
        <v>101055.405015415</v>
      </c>
      <c r="T53" t="str">
        <f t="shared" si="6"/>
        <v>Trd_hdt_lng_14</v>
      </c>
      <c r="U53" t="str">
        <f t="shared" ca="1" si="7"/>
        <v>7.5-16t LNG truck -- 14%</v>
      </c>
      <c r="V53" s="188" t="s">
        <v>84</v>
      </c>
      <c r="W53" s="188" t="s">
        <v>85</v>
      </c>
    </row>
    <row r="54" spans="2:23">
      <c r="B54" s="52">
        <v>0.19412581421453001</v>
      </c>
      <c r="C54" s="53">
        <v>106980.82801971</v>
      </c>
      <c r="D54" s="53">
        <v>103105.87937417399</v>
      </c>
      <c r="E54" s="53">
        <v>103105.87937417399</v>
      </c>
      <c r="F54" s="53">
        <v>103105.87937417399</v>
      </c>
      <c r="I54" s="184">
        <f t="shared" si="22"/>
        <v>1.05116104013527</v>
      </c>
      <c r="J54" t="str">
        <f t="shared" si="16"/>
        <v>Trd_hdt_lng</v>
      </c>
      <c r="K54" t="str">
        <f t="shared" si="17"/>
        <v>Trd_hdt_lng_19</v>
      </c>
      <c r="L54" t="str">
        <f t="shared" si="3"/>
        <v>Trd_hdt</v>
      </c>
      <c r="M54" s="185">
        <f t="shared" si="18"/>
        <v>106980.82801971</v>
      </c>
      <c r="N54" s="185">
        <f t="shared" si="19"/>
        <v>103105.87937417399</v>
      </c>
      <c r="O54" s="185">
        <f t="shared" si="20"/>
        <v>103105.87937417399</v>
      </c>
      <c r="P54" s="185">
        <f t="shared" si="21"/>
        <v>103105.87937417399</v>
      </c>
      <c r="T54" t="str">
        <f t="shared" si="6"/>
        <v>Trd_hdt_lng_19</v>
      </c>
      <c r="U54" t="str">
        <f t="shared" ca="1" si="7"/>
        <v>7.5-16t LNG truck -- 19%</v>
      </c>
      <c r="V54" s="188" t="s">
        <v>84</v>
      </c>
      <c r="W54" s="188" t="s">
        <v>85</v>
      </c>
    </row>
    <row r="55" spans="2:23">
      <c r="B55" s="52">
        <v>0.24412581421453</v>
      </c>
      <c r="C55" s="53">
        <v>111288.922874223</v>
      </c>
      <c r="D55" s="53">
        <v>106125.513823974</v>
      </c>
      <c r="E55" s="53">
        <v>106125.513823974</v>
      </c>
      <c r="F55" s="53">
        <v>106125.513823974</v>
      </c>
      <c r="I55" s="184">
        <f t="shared" si="22"/>
        <v>1.09517487132553</v>
      </c>
      <c r="J55" t="str">
        <f t="shared" si="16"/>
        <v>Trd_hdt_lng</v>
      </c>
      <c r="K55" t="str">
        <f t="shared" si="17"/>
        <v>Trd_hdt_lng_24</v>
      </c>
      <c r="L55" t="str">
        <f t="shared" si="3"/>
        <v>Trd_hdt</v>
      </c>
      <c r="M55" s="185">
        <f t="shared" si="18"/>
        <v>111288.922874223</v>
      </c>
      <c r="N55" s="185">
        <f t="shared" si="19"/>
        <v>106125.513823974</v>
      </c>
      <c r="O55" s="185">
        <f t="shared" si="20"/>
        <v>106125.513823974</v>
      </c>
      <c r="P55" s="185">
        <f t="shared" si="21"/>
        <v>106125.513823974</v>
      </c>
      <c r="T55" t="str">
        <f t="shared" si="6"/>
        <v>Trd_hdt_lng_24</v>
      </c>
      <c r="U55" t="str">
        <f t="shared" ca="1" si="7"/>
        <v>7.5-16t LNG truck -- 24%</v>
      </c>
      <c r="V55" s="188" t="s">
        <v>84</v>
      </c>
      <c r="W55" s="188" t="s">
        <v>85</v>
      </c>
    </row>
    <row r="56" spans="2:23">
      <c r="B56" s="52">
        <v>0.26412581421453002</v>
      </c>
      <c r="C56" s="53">
        <v>134190.049294419</v>
      </c>
      <c r="D56" s="53">
        <v>110686.40839146001</v>
      </c>
      <c r="E56" s="53">
        <v>110572.383481946</v>
      </c>
      <c r="F56" s="53">
        <v>110572.383481946</v>
      </c>
      <c r="I56" s="184">
        <f t="shared" si="22"/>
        <v>1.11278040380163</v>
      </c>
      <c r="J56" t="str">
        <f t="shared" si="16"/>
        <v>Trd_hdt_lng</v>
      </c>
      <c r="K56" t="str">
        <f t="shared" si="17"/>
        <v>Trd_hdt_lng_26</v>
      </c>
      <c r="L56" t="str">
        <f t="shared" si="3"/>
        <v>Trd_hdt</v>
      </c>
      <c r="M56" s="185">
        <f t="shared" si="18"/>
        <v>134190.049294419</v>
      </c>
      <c r="N56" s="185">
        <f t="shared" si="19"/>
        <v>110686.40839146001</v>
      </c>
      <c r="O56" s="185">
        <f t="shared" si="20"/>
        <v>110572.383481946</v>
      </c>
      <c r="P56" s="185">
        <f t="shared" si="21"/>
        <v>110572.383481946</v>
      </c>
      <c r="T56" t="str">
        <f t="shared" si="6"/>
        <v>Trd_hdt_lng_26</v>
      </c>
      <c r="U56" t="str">
        <f t="shared" ca="1" si="7"/>
        <v>7.5-16t LNG truck -- 26%</v>
      </c>
      <c r="V56" s="188" t="s">
        <v>84</v>
      </c>
      <c r="W56" s="188" t="s">
        <v>85</v>
      </c>
    </row>
    <row r="57" spans="2:23">
      <c r="B57" s="52">
        <v>0.29412581421452999</v>
      </c>
      <c r="C57" s="53">
        <v>208565.02834703799</v>
      </c>
      <c r="D57" s="53">
        <v>124627.250339516</v>
      </c>
      <c r="E57" s="53">
        <v>117121.073425628</v>
      </c>
      <c r="F57" s="53">
        <v>117121.073425628</v>
      </c>
      <c r="I57" s="184">
        <f t="shared" si="22"/>
        <v>1.1391887025157801</v>
      </c>
      <c r="J57" t="str">
        <f t="shared" si="16"/>
        <v>Trd_hdt_lng</v>
      </c>
      <c r="K57" t="str">
        <f t="shared" si="17"/>
        <v>Trd_hdt_lng_29</v>
      </c>
      <c r="L57" t="str">
        <f t="shared" si="3"/>
        <v>Trd_hdt</v>
      </c>
      <c r="M57" s="185">
        <f t="shared" si="18"/>
        <v>208565.02834703799</v>
      </c>
      <c r="N57" s="185">
        <f t="shared" si="19"/>
        <v>124627.250339516</v>
      </c>
      <c r="O57" s="185">
        <f t="shared" si="20"/>
        <v>117121.073425628</v>
      </c>
      <c r="P57" s="185">
        <f t="shared" si="21"/>
        <v>117121.073425628</v>
      </c>
      <c r="T57" t="str">
        <f t="shared" si="6"/>
        <v>Trd_hdt_lng_29</v>
      </c>
      <c r="U57" t="str">
        <f t="shared" ca="1" si="7"/>
        <v>7.5-16t LNG truck -- 29%</v>
      </c>
      <c r="V57" s="188" t="s">
        <v>84</v>
      </c>
      <c r="W57" s="188" t="s">
        <v>85</v>
      </c>
    </row>
    <row r="58" spans="2:23">
      <c r="J58" t="str">
        <f t="shared" ref="J58:J111" si="23">IFERROR(VLOOKUP(C58,$R$1:$S$7,2,FALSE),J57)</f>
        <v>Trd_hdt_lng</v>
      </c>
      <c r="K58" t="str">
        <f t="shared" ref="K58:K103" si="24">IFERROR(IF(VALUE(C58)&gt;2020,J58&amp;"_"&amp;TEXT(B58*100,"00"),"\I:"),"\I:")</f>
        <v>\I:</v>
      </c>
      <c r="L58" t="str">
        <f t="shared" si="3"/>
        <v>\I:</v>
      </c>
      <c r="M58" s="185" t="str">
        <f t="shared" ref="M58:M111" si="25">IF($K58="\I:","",C58)</f>
        <v/>
      </c>
      <c r="N58" s="185" t="str">
        <f t="shared" ref="N58:N111" si="26">IF($K58="\I:","",D58)</f>
        <v/>
      </c>
      <c r="O58" s="185" t="str">
        <f t="shared" ref="O58:O111" si="27">IF($K58="\I:","",E58)</f>
        <v/>
      </c>
      <c r="P58" s="185" t="str">
        <f t="shared" ref="P58:P111" si="28">IF($K58="\I:","",F58)</f>
        <v/>
      </c>
      <c r="T58" t="str">
        <f t="shared" si="6"/>
        <v>\I:</v>
      </c>
      <c r="U58" t="str">
        <f t="shared" ca="1" si="7"/>
        <v>7.5-16t LNG truck -- 00%</v>
      </c>
      <c r="V58" s="188" t="s">
        <v>84</v>
      </c>
      <c r="W58" s="188" t="s">
        <v>85</v>
      </c>
    </row>
    <row r="59" spans="2:23">
      <c r="J59" t="str">
        <f t="shared" si="23"/>
        <v>Trd_hdt_lng</v>
      </c>
      <c r="K59" t="str">
        <f t="shared" si="24"/>
        <v>\I:</v>
      </c>
      <c r="L59" t="str">
        <f t="shared" si="3"/>
        <v>\I:</v>
      </c>
      <c r="M59" s="185" t="str">
        <f t="shared" si="25"/>
        <v/>
      </c>
      <c r="N59" s="185" t="str">
        <f t="shared" si="26"/>
        <v/>
      </c>
      <c r="O59" s="185" t="str">
        <f t="shared" si="27"/>
        <v/>
      </c>
      <c r="P59" s="185" t="str">
        <f t="shared" si="28"/>
        <v/>
      </c>
      <c r="T59" t="str">
        <f t="shared" si="6"/>
        <v>\I:</v>
      </c>
      <c r="U59" t="str">
        <f t="shared" ca="1" si="7"/>
        <v>7.5-16t LNG truck -- 00%</v>
      </c>
      <c r="V59" s="188" t="s">
        <v>84</v>
      </c>
      <c r="W59" s="188" t="s">
        <v>85</v>
      </c>
    </row>
    <row r="60" spans="2:23">
      <c r="J60" t="str">
        <f t="shared" si="23"/>
        <v>Trd_hdt_lng</v>
      </c>
      <c r="K60" t="str">
        <f t="shared" si="24"/>
        <v>\I:</v>
      </c>
      <c r="L60" t="str">
        <f t="shared" si="3"/>
        <v>\I:</v>
      </c>
      <c r="M60" s="185" t="str">
        <f t="shared" si="25"/>
        <v/>
      </c>
      <c r="N60" s="185" t="str">
        <f t="shared" si="26"/>
        <v/>
      </c>
      <c r="O60" s="185" t="str">
        <f t="shared" si="27"/>
        <v/>
      </c>
      <c r="P60" s="185" t="str">
        <f t="shared" si="28"/>
        <v/>
      </c>
      <c r="T60" t="str">
        <f t="shared" si="6"/>
        <v>\I:</v>
      </c>
      <c r="U60" t="str">
        <f t="shared" ca="1" si="7"/>
        <v>7.5-16t LNG truck -- 00%</v>
      </c>
      <c r="V60" s="188" t="s">
        <v>84</v>
      </c>
      <c r="W60" s="188" t="s">
        <v>85</v>
      </c>
    </row>
    <row r="61" spans="2:23">
      <c r="J61" t="str">
        <f t="shared" si="23"/>
        <v>Trd_hdt_lng</v>
      </c>
      <c r="K61" t="str">
        <f t="shared" si="24"/>
        <v>\I:</v>
      </c>
      <c r="L61" t="str">
        <f t="shared" si="3"/>
        <v>\I:</v>
      </c>
      <c r="M61" s="185" t="str">
        <f t="shared" si="25"/>
        <v/>
      </c>
      <c r="N61" s="185" t="str">
        <f t="shared" si="26"/>
        <v/>
      </c>
      <c r="O61" s="185" t="str">
        <f t="shared" si="27"/>
        <v/>
      </c>
      <c r="P61" s="185" t="str">
        <f t="shared" si="28"/>
        <v/>
      </c>
      <c r="T61" t="str">
        <f t="shared" si="6"/>
        <v>\I:</v>
      </c>
      <c r="U61" t="str">
        <f t="shared" ca="1" si="7"/>
        <v>7.5-16t LNG truck -- 00%</v>
      </c>
      <c r="V61" s="188" t="s">
        <v>84</v>
      </c>
      <c r="W61" s="188" t="s">
        <v>85</v>
      </c>
    </row>
    <row r="62" spans="2:23">
      <c r="B62" s="29" t="s">
        <v>122</v>
      </c>
      <c r="J62" t="str">
        <f t="shared" si="23"/>
        <v>Trd_hdt_lng</v>
      </c>
      <c r="K62" t="str">
        <f t="shared" si="24"/>
        <v>\I:</v>
      </c>
      <c r="L62" t="str">
        <f t="shared" si="3"/>
        <v>\I:</v>
      </c>
      <c r="M62" s="185" t="str">
        <f t="shared" si="25"/>
        <v/>
      </c>
      <c r="N62" s="185" t="str">
        <f t="shared" si="26"/>
        <v/>
      </c>
      <c r="O62" s="185" t="str">
        <f t="shared" si="27"/>
        <v/>
      </c>
      <c r="P62" s="185" t="str">
        <f t="shared" si="28"/>
        <v/>
      </c>
      <c r="T62" t="str">
        <f t="shared" si="6"/>
        <v>\I:</v>
      </c>
      <c r="U62" t="str">
        <f t="shared" ca="1" si="7"/>
        <v>7.5-16t LNG truck -- Reference values for LPG truck 7.5-16t</v>
      </c>
      <c r="V62" s="188" t="s">
        <v>84</v>
      </c>
      <c r="W62" s="188" t="s">
        <v>85</v>
      </c>
    </row>
    <row r="63" spans="2:23">
      <c r="B63" s="177">
        <v>2015</v>
      </c>
      <c r="C63" s="177"/>
      <c r="D63" s="177"/>
      <c r="J63" t="str">
        <f t="shared" si="23"/>
        <v>Trd_hdt_lng</v>
      </c>
      <c r="K63" t="str">
        <f t="shared" si="24"/>
        <v>\I:</v>
      </c>
      <c r="L63" t="str">
        <f t="shared" si="3"/>
        <v>\I:</v>
      </c>
      <c r="M63" s="185" t="str">
        <f t="shared" si="25"/>
        <v/>
      </c>
      <c r="N63" s="185" t="str">
        <f t="shared" si="26"/>
        <v/>
      </c>
      <c r="O63" s="185" t="str">
        <f t="shared" si="27"/>
        <v/>
      </c>
      <c r="P63" s="185" t="str">
        <f t="shared" si="28"/>
        <v/>
      </c>
      <c r="T63" t="str">
        <f t="shared" si="6"/>
        <v>\I:</v>
      </c>
      <c r="U63" t="str">
        <f t="shared" ca="1" si="7"/>
        <v>7.5-16t LNG truck -- 201500%</v>
      </c>
      <c r="V63" s="188" t="s">
        <v>84</v>
      </c>
      <c r="W63" s="188" t="s">
        <v>85</v>
      </c>
    </row>
    <row r="64" spans="2:23">
      <c r="B64" s="31" t="s">
        <v>12</v>
      </c>
      <c r="C64" s="32" t="s">
        <v>13</v>
      </c>
      <c r="D64" s="33">
        <v>23.036669866834501</v>
      </c>
      <c r="G64" s="178">
        <f>D64*$I$6/100*10^9/10^6</f>
        <v>5.8950838189229504</v>
      </c>
      <c r="H64" s="178"/>
      <c r="I64" s="178">
        <f>1/G64</f>
        <v>0.169632872189204</v>
      </c>
      <c r="J64" t="str">
        <f t="shared" si="23"/>
        <v>Trd_hdt_lng</v>
      </c>
      <c r="K64" t="str">
        <f t="shared" si="24"/>
        <v>\I:</v>
      </c>
      <c r="L64" t="str">
        <f t="shared" si="3"/>
        <v>\I:</v>
      </c>
      <c r="M64" s="185" t="str">
        <f t="shared" si="25"/>
        <v/>
      </c>
      <c r="N64" s="185" t="str">
        <f t="shared" si="26"/>
        <v/>
      </c>
      <c r="O64" s="185" t="str">
        <f t="shared" si="27"/>
        <v/>
      </c>
      <c r="P64" s="185" t="str">
        <f t="shared" si="28"/>
        <v/>
      </c>
      <c r="T64" t="str">
        <f t="shared" si="6"/>
        <v>\I:</v>
      </c>
      <c r="U64" t="str">
        <f t="shared" ca="1" si="7"/>
        <v>7.5-16t LNG truck -- Energy consumption</v>
      </c>
      <c r="V64" s="188" t="s">
        <v>84</v>
      </c>
      <c r="W64" s="188" t="s">
        <v>85</v>
      </c>
    </row>
    <row r="65" spans="2:23" ht="15.75" customHeight="1">
      <c r="B65" s="31" t="s">
        <v>14</v>
      </c>
      <c r="C65" s="32" t="s">
        <v>15</v>
      </c>
      <c r="D65" s="44">
        <v>87115.908418815496</v>
      </c>
      <c r="I65" s="29" t="s">
        <v>70</v>
      </c>
      <c r="J65" t="str">
        <f t="shared" si="23"/>
        <v>Trd_hdt_lng</v>
      </c>
      <c r="K65" t="str">
        <f t="shared" si="24"/>
        <v>\I:</v>
      </c>
      <c r="L65" t="str">
        <f t="shared" si="3"/>
        <v>\I:</v>
      </c>
      <c r="M65" s="185" t="str">
        <f t="shared" si="25"/>
        <v/>
      </c>
      <c r="N65" s="185" t="str">
        <f t="shared" si="26"/>
        <v/>
      </c>
      <c r="O65" s="185" t="str">
        <f t="shared" si="27"/>
        <v/>
      </c>
      <c r="P65" s="185" t="str">
        <f t="shared" si="28"/>
        <v/>
      </c>
      <c r="T65" t="str">
        <f t="shared" si="6"/>
        <v>\I:</v>
      </c>
      <c r="U65" t="str">
        <f t="shared" ca="1" si="7"/>
        <v>7.5-16t LNG truck -- Capital cost</v>
      </c>
      <c r="V65" s="188" t="s">
        <v>84</v>
      </c>
      <c r="W65" s="188" t="s">
        <v>85</v>
      </c>
    </row>
    <row r="66" spans="2:23" ht="15.75" customHeight="1">
      <c r="B66"/>
      <c r="J66" t="str">
        <f t="shared" si="23"/>
        <v>Trd_hdt_lng</v>
      </c>
      <c r="K66" t="str">
        <f t="shared" si="24"/>
        <v>\I:</v>
      </c>
      <c r="L66" t="str">
        <f t="shared" si="3"/>
        <v>\I:</v>
      </c>
      <c r="M66" s="185" t="str">
        <f t="shared" si="25"/>
        <v/>
      </c>
      <c r="N66" s="185" t="str">
        <f t="shared" si="26"/>
        <v/>
      </c>
      <c r="O66" s="185" t="str">
        <f t="shared" si="27"/>
        <v/>
      </c>
      <c r="P66" s="185" t="str">
        <f t="shared" si="28"/>
        <v/>
      </c>
      <c r="T66" t="str">
        <f t="shared" si="6"/>
        <v>\I:</v>
      </c>
      <c r="U66" t="str">
        <f t="shared" ca="1" si="7"/>
        <v>7.5-16t LNG truck -- 00%</v>
      </c>
      <c r="V66" s="188" t="s">
        <v>84</v>
      </c>
      <c r="W66" s="188" t="s">
        <v>85</v>
      </c>
    </row>
    <row r="67" spans="2:23" ht="15.75" customHeight="1">
      <c r="B67" s="194" t="s">
        <v>123</v>
      </c>
      <c r="C67" s="179" t="s">
        <v>115</v>
      </c>
      <c r="D67" s="194"/>
      <c r="E67" s="194"/>
      <c r="F67" s="194"/>
      <c r="J67" t="str">
        <f t="shared" si="23"/>
        <v>\I:Trd_hdt_lpg</v>
      </c>
      <c r="K67" t="str">
        <f t="shared" si="24"/>
        <v>\I:</v>
      </c>
      <c r="L67" t="str">
        <f t="shared" si="3"/>
        <v>\I:</v>
      </c>
      <c r="M67" s="185" t="str">
        <f t="shared" si="25"/>
        <v/>
      </c>
      <c r="N67" s="185" t="str">
        <f t="shared" si="26"/>
        <v/>
      </c>
      <c r="O67" s="185" t="str">
        <f t="shared" si="27"/>
        <v/>
      </c>
      <c r="P67" s="185" t="str">
        <f t="shared" si="28"/>
        <v/>
      </c>
      <c r="T67" t="str">
        <f t="shared" si="6"/>
        <v>\I:</v>
      </c>
      <c r="U67" t="str">
        <f t="shared" ca="1" si="7"/>
        <v>7.5-16t LPG truck -- Reduction of specific energy consumption relative to 2015  LPG vehicle(%)</v>
      </c>
      <c r="V67" s="188" t="s">
        <v>84</v>
      </c>
      <c r="W67" s="188" t="s">
        <v>85</v>
      </c>
    </row>
    <row r="68" spans="2:23">
      <c r="B68" s="194"/>
      <c r="C68" s="179"/>
      <c r="D68" s="194"/>
      <c r="E68" s="194"/>
      <c r="F68" s="194"/>
      <c r="J68" t="str">
        <f t="shared" si="23"/>
        <v>\I:Trd_hdt_lpg</v>
      </c>
      <c r="K68" t="str">
        <f t="shared" si="24"/>
        <v>\I:</v>
      </c>
      <c r="L68" t="str">
        <f t="shared" si="3"/>
        <v>\I:</v>
      </c>
      <c r="M68" s="185" t="str">
        <f t="shared" si="25"/>
        <v/>
      </c>
      <c r="N68" s="185" t="str">
        <f t="shared" si="26"/>
        <v/>
      </c>
      <c r="O68" s="185" t="str">
        <f t="shared" si="27"/>
        <v/>
      </c>
      <c r="P68" s="185" t="str">
        <f t="shared" si="28"/>
        <v/>
      </c>
      <c r="T68" t="str">
        <f t="shared" si="6"/>
        <v>\I:</v>
      </c>
      <c r="U68" t="str">
        <f t="shared" ca="1" si="7"/>
        <v>7.5-16t LPG truck -- 00%</v>
      </c>
      <c r="V68" s="188" t="s">
        <v>84</v>
      </c>
      <c r="W68" s="188" t="s">
        <v>85</v>
      </c>
    </row>
    <row r="69" spans="2:23">
      <c r="B69" s="194"/>
      <c r="C69" s="179"/>
      <c r="D69" s="194"/>
      <c r="E69" s="194"/>
      <c r="F69" s="194"/>
      <c r="J69" t="str">
        <f t="shared" si="23"/>
        <v>\I:Trd_hdt_lpg</v>
      </c>
      <c r="K69" t="str">
        <f t="shared" si="24"/>
        <v>\I:</v>
      </c>
      <c r="L69" t="str">
        <f t="shared" si="3"/>
        <v>\I:</v>
      </c>
      <c r="M69" s="185" t="str">
        <f t="shared" si="25"/>
        <v/>
      </c>
      <c r="N69" s="185" t="str">
        <f t="shared" si="26"/>
        <v/>
      </c>
      <c r="O69" s="185" t="str">
        <f t="shared" si="27"/>
        <v/>
      </c>
      <c r="P69" s="185" t="str">
        <f t="shared" si="28"/>
        <v/>
      </c>
      <c r="T69" t="str">
        <f t="shared" si="6"/>
        <v>\I:</v>
      </c>
      <c r="U69" t="str">
        <f t="shared" ca="1" si="7"/>
        <v>7.5-16t LPG truck -- 00%</v>
      </c>
      <c r="V69" s="188" t="s">
        <v>84</v>
      </c>
      <c r="W69" s="188" t="s">
        <v>85</v>
      </c>
    </row>
    <row r="70" spans="2:23">
      <c r="B70" s="55"/>
      <c r="C70" s="36">
        <v>2020</v>
      </c>
      <c r="D70" s="36">
        <v>2030</v>
      </c>
      <c r="E70" s="36">
        <v>2040</v>
      </c>
      <c r="F70" s="36">
        <v>2050</v>
      </c>
      <c r="J70" t="str">
        <f t="shared" si="23"/>
        <v>\I:Trd_hdt_lpg</v>
      </c>
      <c r="K70" t="str">
        <f t="shared" si="24"/>
        <v>\I:</v>
      </c>
      <c r="L70" t="str">
        <f t="shared" si="3"/>
        <v>\I:</v>
      </c>
      <c r="M70" s="185" t="str">
        <f t="shared" si="25"/>
        <v/>
      </c>
      <c r="N70" s="185" t="str">
        <f t="shared" si="26"/>
        <v/>
      </c>
      <c r="O70" s="185" t="str">
        <f t="shared" si="27"/>
        <v/>
      </c>
      <c r="P70" s="185" t="str">
        <f t="shared" si="28"/>
        <v/>
      </c>
      <c r="T70" t="str">
        <f t="shared" si="6"/>
        <v>\I:</v>
      </c>
      <c r="U70" t="str">
        <f t="shared" ca="1" si="7"/>
        <v>7.5-16t LPG truck -- 00%</v>
      </c>
      <c r="V70" s="188" t="s">
        <v>84</v>
      </c>
      <c r="W70" s="188" t="s">
        <v>85</v>
      </c>
    </row>
    <row r="71" spans="2:23">
      <c r="B71" s="52">
        <v>4.4125814214529803E-2</v>
      </c>
      <c r="C71" s="53">
        <v>87998.593605744303</v>
      </c>
      <c r="D71" s="53">
        <v>87998.593605744303</v>
      </c>
      <c r="E71" s="53">
        <v>87998.593605744303</v>
      </c>
      <c r="F71" s="53">
        <v>87998.593605744303</v>
      </c>
      <c r="I71" s="184">
        <f t="shared" ref="I71:I77" si="29">$I$64*(1+B71)/$I$7</f>
        <v>1.2708851735165601</v>
      </c>
      <c r="J71" t="str">
        <f t="shared" si="23"/>
        <v>\I:Trd_hdt_lpg</v>
      </c>
      <c r="K71" t="str">
        <f t="shared" si="24"/>
        <v>\I:Trd_hdt_lpg_04</v>
      </c>
      <c r="L71" t="str">
        <f t="shared" si="3"/>
        <v>\I:Trd_</v>
      </c>
      <c r="M71" s="185">
        <f t="shared" si="25"/>
        <v>87998.593605744303</v>
      </c>
      <c r="N71" s="185">
        <f t="shared" si="26"/>
        <v>87998.593605744303</v>
      </c>
      <c r="O71" s="185">
        <f t="shared" si="27"/>
        <v>87998.593605744303</v>
      </c>
      <c r="P71" s="185">
        <f t="shared" si="28"/>
        <v>87998.593605744303</v>
      </c>
      <c r="T71" t="str">
        <f t="shared" si="6"/>
        <v>\I:Trd_hdt_lpg_04</v>
      </c>
      <c r="U71" t="str">
        <f t="shared" ca="1" si="7"/>
        <v>7.5-16t LPG truck -- 04%</v>
      </c>
      <c r="V71" s="188" t="s">
        <v>84</v>
      </c>
      <c r="W71" s="188" t="s">
        <v>85</v>
      </c>
    </row>
    <row r="72" spans="2:23">
      <c r="B72" s="52">
        <v>9.4125814214529799E-2</v>
      </c>
      <c r="C72" s="53">
        <v>89431.026366437305</v>
      </c>
      <c r="D72" s="53">
        <v>88944.077827075307</v>
      </c>
      <c r="E72" s="53">
        <v>88944.077827075307</v>
      </c>
      <c r="F72" s="53">
        <v>88944.077827075307</v>
      </c>
      <c r="I72" s="184">
        <f t="shared" si="29"/>
        <v>1.33174398747437</v>
      </c>
      <c r="J72" t="str">
        <f t="shared" si="23"/>
        <v>\I:Trd_hdt_lpg</v>
      </c>
      <c r="K72" t="str">
        <f t="shared" si="24"/>
        <v>\I:Trd_hdt_lpg_09</v>
      </c>
      <c r="L72" t="str">
        <f t="shared" si="3"/>
        <v>\I:Trd_</v>
      </c>
      <c r="M72" s="185">
        <f t="shared" si="25"/>
        <v>89431.026366437305</v>
      </c>
      <c r="N72" s="185">
        <f t="shared" si="26"/>
        <v>88944.077827075307</v>
      </c>
      <c r="O72" s="185">
        <f t="shared" si="27"/>
        <v>88944.077827075307</v>
      </c>
      <c r="P72" s="185">
        <f t="shared" si="28"/>
        <v>88944.077827075307</v>
      </c>
      <c r="T72" t="str">
        <f t="shared" si="6"/>
        <v>\I:Trd_hdt_lpg_09</v>
      </c>
      <c r="U72" t="str">
        <f t="shared" ca="1" si="7"/>
        <v>7.5-16t LPG truck -- 09%</v>
      </c>
      <c r="V72" s="188" t="s">
        <v>84</v>
      </c>
      <c r="W72" s="188" t="s">
        <v>85</v>
      </c>
    </row>
    <row r="73" spans="2:23">
      <c r="B73" s="52">
        <v>0.14412581421453</v>
      </c>
      <c r="C73" s="53">
        <v>90730.002608003706</v>
      </c>
      <c r="D73" s="53">
        <v>90336.446726631402</v>
      </c>
      <c r="E73" s="53">
        <v>90336.446726631402</v>
      </c>
      <c r="F73" s="53">
        <v>90336.446726631402</v>
      </c>
      <c r="I73" s="184">
        <f t="shared" si="29"/>
        <v>1.3926028014321701</v>
      </c>
      <c r="J73" t="str">
        <f t="shared" si="23"/>
        <v>\I:Trd_hdt_lpg</v>
      </c>
      <c r="K73" t="str">
        <f t="shared" si="24"/>
        <v>\I:Trd_hdt_lpg_14</v>
      </c>
      <c r="L73" t="str">
        <f t="shared" si="3"/>
        <v>\I:Trd_</v>
      </c>
      <c r="M73" s="185">
        <f t="shared" si="25"/>
        <v>90730.002608003706</v>
      </c>
      <c r="N73" s="185">
        <f t="shared" si="26"/>
        <v>90336.446726631402</v>
      </c>
      <c r="O73" s="185">
        <f t="shared" si="27"/>
        <v>90336.446726631402</v>
      </c>
      <c r="P73" s="185">
        <f t="shared" si="28"/>
        <v>90336.446726631402</v>
      </c>
      <c r="T73" t="str">
        <f t="shared" si="6"/>
        <v>\I:Trd_hdt_lpg_14</v>
      </c>
      <c r="U73" t="str">
        <f t="shared" ca="1" si="7"/>
        <v>7.5-16t LPG truck -- 14%</v>
      </c>
      <c r="V73" s="188" t="s">
        <v>84</v>
      </c>
      <c r="W73" s="188" t="s">
        <v>85</v>
      </c>
    </row>
    <row r="74" spans="2:23">
      <c r="B74" s="52">
        <v>0.19412581421453001</v>
      </c>
      <c r="C74" s="53">
        <v>96261.869730926701</v>
      </c>
      <c r="D74" s="53">
        <v>92386.921085390597</v>
      </c>
      <c r="E74" s="53">
        <v>92386.921085390597</v>
      </c>
      <c r="F74" s="53">
        <v>92386.921085390597</v>
      </c>
      <c r="I74" s="184">
        <f t="shared" si="29"/>
        <v>1.45346161538998</v>
      </c>
      <c r="J74" t="str">
        <f t="shared" si="23"/>
        <v>\I:Trd_hdt_lpg</v>
      </c>
      <c r="K74" t="str">
        <f t="shared" si="24"/>
        <v>\I:Trd_hdt_lpg_19</v>
      </c>
      <c r="L74" t="str">
        <f t="shared" si="3"/>
        <v>\I:Trd_</v>
      </c>
      <c r="M74" s="185">
        <f t="shared" si="25"/>
        <v>96261.869730926701</v>
      </c>
      <c r="N74" s="185">
        <f t="shared" si="26"/>
        <v>92386.921085390597</v>
      </c>
      <c r="O74" s="185">
        <f t="shared" si="27"/>
        <v>92386.921085390597</v>
      </c>
      <c r="P74" s="185">
        <f t="shared" si="28"/>
        <v>92386.921085390597</v>
      </c>
      <c r="T74" t="str">
        <f t="shared" si="6"/>
        <v>\I:Trd_hdt_lpg_19</v>
      </c>
      <c r="U74" t="str">
        <f t="shared" ca="1" si="7"/>
        <v>7.5-16t LPG truck -- 19%</v>
      </c>
      <c r="V74" s="188" t="s">
        <v>84</v>
      </c>
      <c r="W74" s="188" t="s">
        <v>85</v>
      </c>
    </row>
    <row r="75" spans="2:23">
      <c r="B75" s="52">
        <v>0.24412581421453</v>
      </c>
      <c r="C75" s="53">
        <v>100569.96458544</v>
      </c>
      <c r="D75" s="53">
        <v>95406.555535190404</v>
      </c>
      <c r="E75" s="53">
        <v>95406.555535190404</v>
      </c>
      <c r="F75" s="53">
        <v>95406.555535190404</v>
      </c>
      <c r="I75" s="184">
        <f t="shared" si="29"/>
        <v>1.5143204293477901</v>
      </c>
      <c r="J75" t="str">
        <f t="shared" si="23"/>
        <v>\I:Trd_hdt_lpg</v>
      </c>
      <c r="K75" t="str">
        <f t="shared" si="24"/>
        <v>\I:Trd_hdt_lpg_24</v>
      </c>
      <c r="L75" t="str">
        <f t="shared" si="3"/>
        <v>\I:Trd_</v>
      </c>
      <c r="M75" s="185">
        <f t="shared" si="25"/>
        <v>100569.96458544</v>
      </c>
      <c r="N75" s="185">
        <f t="shared" si="26"/>
        <v>95406.555535190404</v>
      </c>
      <c r="O75" s="185">
        <f t="shared" si="27"/>
        <v>95406.555535190404</v>
      </c>
      <c r="P75" s="185">
        <f t="shared" si="28"/>
        <v>95406.555535190404</v>
      </c>
      <c r="T75" t="str">
        <f t="shared" si="6"/>
        <v>\I:Trd_hdt_lpg_24</v>
      </c>
      <c r="U75" t="str">
        <f t="shared" ca="1" si="7"/>
        <v>7.5-16t LPG truck -- 24%</v>
      </c>
      <c r="V75" s="188" t="s">
        <v>84</v>
      </c>
      <c r="W75" s="188" t="s">
        <v>85</v>
      </c>
    </row>
    <row r="76" spans="2:23">
      <c r="B76" s="52">
        <v>0.26412581421453002</v>
      </c>
      <c r="C76" s="53">
        <v>123471.091005636</v>
      </c>
      <c r="D76" s="53">
        <v>99967.450102676696</v>
      </c>
      <c r="E76" s="53">
        <v>99853.425193163101</v>
      </c>
      <c r="F76" s="53">
        <v>99853.425193163101</v>
      </c>
      <c r="I76" s="184">
        <f t="shared" si="29"/>
        <v>1.53866395493092</v>
      </c>
      <c r="J76" t="str">
        <f t="shared" si="23"/>
        <v>\I:Trd_hdt_lpg</v>
      </c>
      <c r="K76" t="str">
        <f t="shared" si="24"/>
        <v>\I:Trd_hdt_lpg_26</v>
      </c>
      <c r="L76" t="str">
        <f t="shared" si="3"/>
        <v>\I:Trd_</v>
      </c>
      <c r="M76" s="185">
        <f t="shared" si="25"/>
        <v>123471.091005636</v>
      </c>
      <c r="N76" s="185">
        <f t="shared" si="26"/>
        <v>99967.450102676696</v>
      </c>
      <c r="O76" s="185">
        <f t="shared" si="27"/>
        <v>99853.425193163101</v>
      </c>
      <c r="P76" s="185">
        <f t="shared" si="28"/>
        <v>99853.425193163101</v>
      </c>
      <c r="T76" t="str">
        <f t="shared" si="6"/>
        <v>\I:Trd_hdt_lpg_26</v>
      </c>
      <c r="U76" t="str">
        <f t="shared" ca="1" si="7"/>
        <v>7.5-16t LPG truck -- 26%</v>
      </c>
      <c r="V76" s="188" t="s">
        <v>84</v>
      </c>
      <c r="W76" s="188" t="s">
        <v>85</v>
      </c>
    </row>
    <row r="77" spans="2:23">
      <c r="B77" s="52">
        <v>0.29412581421452999</v>
      </c>
      <c r="C77" s="53">
        <v>197846.07005825499</v>
      </c>
      <c r="D77" s="53">
        <v>113908.292050733</v>
      </c>
      <c r="E77" s="53">
        <v>106402.11513684499</v>
      </c>
      <c r="F77" s="53">
        <v>106402.11513684499</v>
      </c>
      <c r="I77" s="184">
        <f t="shared" si="29"/>
        <v>1.5751792433056</v>
      </c>
      <c r="J77" t="str">
        <f t="shared" si="23"/>
        <v>\I:Trd_hdt_lpg</v>
      </c>
      <c r="K77" t="str">
        <f t="shared" si="24"/>
        <v>\I:Trd_hdt_lpg_29</v>
      </c>
      <c r="L77" t="str">
        <f t="shared" ref="L77:L111" si="30">LEFT(K77,7)</f>
        <v>\I:Trd_</v>
      </c>
      <c r="M77" s="185">
        <f t="shared" si="25"/>
        <v>197846.07005825499</v>
      </c>
      <c r="N77" s="185">
        <f t="shared" si="26"/>
        <v>113908.292050733</v>
      </c>
      <c r="O77" s="185">
        <f t="shared" si="27"/>
        <v>106402.11513684499</v>
      </c>
      <c r="P77" s="185">
        <f t="shared" si="28"/>
        <v>106402.11513684499</v>
      </c>
      <c r="T77" t="str">
        <f t="shared" si="6"/>
        <v>\I:Trd_hdt_lpg_29</v>
      </c>
      <c r="U77" t="str">
        <f t="shared" ca="1" si="7"/>
        <v>7.5-16t LPG truck -- 29%</v>
      </c>
      <c r="V77" s="188" t="s">
        <v>84</v>
      </c>
      <c r="W77" s="188" t="s">
        <v>85</v>
      </c>
    </row>
    <row r="78" spans="2:23">
      <c r="J78" t="str">
        <f t="shared" si="23"/>
        <v>\I:Trd_hdt_lpg</v>
      </c>
      <c r="K78" t="str">
        <f t="shared" si="24"/>
        <v>\I:</v>
      </c>
      <c r="L78" t="str">
        <f t="shared" si="30"/>
        <v>\I:</v>
      </c>
      <c r="M78" s="185" t="str">
        <f t="shared" si="25"/>
        <v/>
      </c>
      <c r="N78" s="185" t="str">
        <f t="shared" si="26"/>
        <v/>
      </c>
      <c r="O78" s="185" t="str">
        <f t="shared" si="27"/>
        <v/>
      </c>
      <c r="P78" s="185" t="str">
        <f t="shared" si="28"/>
        <v/>
      </c>
      <c r="T78" t="str">
        <f t="shared" si="6"/>
        <v>\I:</v>
      </c>
      <c r="U78" t="str">
        <f t="shared" ca="1" si="7"/>
        <v>7.5-16t LPG truck -- 00%</v>
      </c>
      <c r="V78" s="188" t="s">
        <v>84</v>
      </c>
      <c r="W78" s="188" t="s">
        <v>85</v>
      </c>
    </row>
    <row r="79" spans="2:23">
      <c r="J79" t="str">
        <f t="shared" si="23"/>
        <v>\I:Trd_hdt_lpg</v>
      </c>
      <c r="K79" t="str">
        <f t="shared" si="24"/>
        <v>\I:</v>
      </c>
      <c r="L79" t="str">
        <f t="shared" si="30"/>
        <v>\I:</v>
      </c>
      <c r="M79" s="185" t="str">
        <f t="shared" si="25"/>
        <v/>
      </c>
      <c r="N79" s="185" t="str">
        <f t="shared" si="26"/>
        <v/>
      </c>
      <c r="O79" s="185" t="str">
        <f t="shared" si="27"/>
        <v/>
      </c>
      <c r="P79" s="185" t="str">
        <f t="shared" si="28"/>
        <v/>
      </c>
      <c r="T79" t="str">
        <f t="shared" ref="T79:T111" si="31">K79</f>
        <v>\I:</v>
      </c>
      <c r="U79" t="str">
        <f t="shared" ref="U79:U103" ca="1" si="32">OFFSET($S$1,MATCH(J79,$S$1:$S$11,0)-1,-1)&amp;" -- "&amp;TEXT(B79,"00%")</f>
        <v>7.5-16t LPG truck -- 00%</v>
      </c>
      <c r="V79" s="188" t="s">
        <v>84</v>
      </c>
      <c r="W79" s="188" t="s">
        <v>85</v>
      </c>
    </row>
    <row r="80" spans="2:23">
      <c r="J80" t="str">
        <f t="shared" si="23"/>
        <v>\I:Trd_hdt_lpg</v>
      </c>
      <c r="K80" t="str">
        <f t="shared" si="24"/>
        <v>\I:</v>
      </c>
      <c r="L80" t="str">
        <f t="shared" si="30"/>
        <v>\I:</v>
      </c>
      <c r="M80" s="185" t="str">
        <f t="shared" si="25"/>
        <v/>
      </c>
      <c r="N80" s="185" t="str">
        <f t="shared" si="26"/>
        <v/>
      </c>
      <c r="O80" s="185" t="str">
        <f t="shared" si="27"/>
        <v/>
      </c>
      <c r="P80" s="185" t="str">
        <f t="shared" si="28"/>
        <v/>
      </c>
      <c r="T80" t="str">
        <f t="shared" si="31"/>
        <v>\I:</v>
      </c>
      <c r="U80" t="str">
        <f t="shared" ca="1" si="32"/>
        <v>7.5-16t LPG truck -- 00%</v>
      </c>
      <c r="V80" s="188" t="s">
        <v>84</v>
      </c>
      <c r="W80" s="188" t="s">
        <v>85</v>
      </c>
    </row>
    <row r="81" spans="2:23">
      <c r="B81" s="177">
        <v>2020</v>
      </c>
      <c r="C81" s="177"/>
      <c r="D81" s="177"/>
      <c r="J81" t="str">
        <f t="shared" si="23"/>
        <v>\I:Trd_hdt_lpg</v>
      </c>
      <c r="K81" t="str">
        <f t="shared" si="24"/>
        <v>\I:</v>
      </c>
      <c r="L81" t="str">
        <f t="shared" si="30"/>
        <v>\I:</v>
      </c>
      <c r="M81" s="185" t="str">
        <f t="shared" si="25"/>
        <v/>
      </c>
      <c r="N81" s="185" t="str">
        <f t="shared" si="26"/>
        <v/>
      </c>
      <c r="O81" s="185" t="str">
        <f t="shared" si="27"/>
        <v/>
      </c>
      <c r="P81" s="185" t="str">
        <f t="shared" si="28"/>
        <v/>
      </c>
      <c r="T81" t="str">
        <f t="shared" si="31"/>
        <v>\I:</v>
      </c>
      <c r="U81" t="str">
        <f t="shared" ca="1" si="32"/>
        <v>7.5-16t LPG truck -- 202000%</v>
      </c>
      <c r="V81" s="188" t="s">
        <v>84</v>
      </c>
      <c r="W81" s="188" t="s">
        <v>85</v>
      </c>
    </row>
    <row r="82" spans="2:23">
      <c r="B82" s="31" t="s">
        <v>124</v>
      </c>
      <c r="C82" s="32" t="s">
        <v>26</v>
      </c>
      <c r="D82" s="47">
        <v>0.74</v>
      </c>
      <c r="G82" s="50">
        <f>D82/3.6/100*10^9/10^6</f>
        <v>2.0555555555555598</v>
      </c>
      <c r="H82" s="50"/>
      <c r="I82" s="217">
        <f>1/G82-0.15</f>
        <v>0.33648648648648599</v>
      </c>
      <c r="J82" t="str">
        <f t="shared" si="23"/>
        <v>\I:Trd_hdt_lpg</v>
      </c>
      <c r="K82" t="str">
        <f t="shared" si="24"/>
        <v>\I:</v>
      </c>
      <c r="L82" t="str">
        <f t="shared" si="30"/>
        <v>\I:</v>
      </c>
      <c r="M82" s="185" t="str">
        <f t="shared" si="25"/>
        <v/>
      </c>
      <c r="N82" s="185" t="str">
        <f t="shared" si="26"/>
        <v/>
      </c>
      <c r="O82" s="185" t="str">
        <f t="shared" si="27"/>
        <v/>
      </c>
      <c r="P82" s="185" t="str">
        <f t="shared" si="28"/>
        <v/>
      </c>
      <c r="T82" t="str">
        <f t="shared" si="31"/>
        <v>\I:</v>
      </c>
      <c r="U82" t="str">
        <f t="shared" ca="1" si="32"/>
        <v>7.5-16t LPG truck -- Energy consumption of 7.5-16t battery electric truck</v>
      </c>
      <c r="V82" s="188" t="s">
        <v>84</v>
      </c>
      <c r="W82" s="188" t="s">
        <v>85</v>
      </c>
    </row>
    <row r="83" spans="2:23">
      <c r="I83" s="190" t="s">
        <v>70</v>
      </c>
      <c r="J83" t="str">
        <f t="shared" si="23"/>
        <v>\I:Trd_hdt_lpg</v>
      </c>
      <c r="K83" t="str">
        <f t="shared" si="24"/>
        <v>\I:</v>
      </c>
      <c r="L83" t="str">
        <f t="shared" si="30"/>
        <v>\I:</v>
      </c>
      <c r="M83" s="185" t="str">
        <f t="shared" si="25"/>
        <v/>
      </c>
      <c r="N83" s="185" t="str">
        <f t="shared" si="26"/>
        <v/>
      </c>
      <c r="O83" s="185" t="str">
        <f t="shared" si="27"/>
        <v/>
      </c>
      <c r="P83" s="185" t="str">
        <f t="shared" si="28"/>
        <v/>
      </c>
      <c r="T83" t="str">
        <f t="shared" si="31"/>
        <v>\I:</v>
      </c>
      <c r="U83" t="str">
        <f t="shared" ca="1" si="32"/>
        <v>7.5-16t LPG truck -- 00%</v>
      </c>
      <c r="V83" s="188" t="s">
        <v>84</v>
      </c>
      <c r="W83" s="188" t="s">
        <v>85</v>
      </c>
    </row>
    <row r="84" spans="2:23">
      <c r="J84" t="str">
        <f t="shared" si="23"/>
        <v>\I:Trd_hdt_lpg</v>
      </c>
      <c r="K84" t="str">
        <f t="shared" si="24"/>
        <v>\I:</v>
      </c>
      <c r="L84" t="str">
        <f t="shared" si="30"/>
        <v>\I:</v>
      </c>
      <c r="M84" s="185" t="str">
        <f t="shared" si="25"/>
        <v/>
      </c>
      <c r="N84" s="185" t="str">
        <f t="shared" si="26"/>
        <v/>
      </c>
      <c r="O84" s="185" t="str">
        <f t="shared" si="27"/>
        <v/>
      </c>
      <c r="P84" s="185" t="str">
        <f t="shared" si="28"/>
        <v/>
      </c>
      <c r="T84" t="str">
        <f t="shared" si="31"/>
        <v>\I:</v>
      </c>
      <c r="U84" t="str">
        <f t="shared" ca="1" si="32"/>
        <v>7.5-16t LPG truck -- 00%</v>
      </c>
      <c r="V84" s="188" t="s">
        <v>84</v>
      </c>
      <c r="W84" s="188" t="s">
        <v>85</v>
      </c>
    </row>
    <row r="85" spans="2:23" ht="15" customHeight="1">
      <c r="B85" s="194" t="s">
        <v>27</v>
      </c>
      <c r="C85" s="179" t="s">
        <v>117</v>
      </c>
      <c r="D85" s="194"/>
      <c r="E85" s="194"/>
      <c r="F85" s="194"/>
      <c r="J85" t="str">
        <f t="shared" si="23"/>
        <v>Trd_hdt_elc</v>
      </c>
      <c r="K85" t="str">
        <f t="shared" si="24"/>
        <v>\I:</v>
      </c>
      <c r="L85" t="str">
        <f t="shared" si="30"/>
        <v>\I:</v>
      </c>
      <c r="M85" s="185" t="str">
        <f t="shared" si="25"/>
        <v/>
      </c>
      <c r="N85" s="185" t="str">
        <f t="shared" si="26"/>
        <v/>
      </c>
      <c r="O85" s="185" t="str">
        <f t="shared" si="27"/>
        <v/>
      </c>
      <c r="P85" s="185" t="str">
        <f t="shared" si="28"/>
        <v/>
      </c>
      <c r="T85" t="str">
        <f t="shared" si="31"/>
        <v>\I:</v>
      </c>
      <c r="U85" t="str">
        <f t="shared" ca="1" si="32"/>
        <v>7.5-16t battery electric truck -- Electric range (km)</v>
      </c>
      <c r="V85" s="188" t="s">
        <v>84</v>
      </c>
      <c r="W85" s="188" t="s">
        <v>85</v>
      </c>
    </row>
    <row r="86" spans="2:23">
      <c r="B86" s="194"/>
      <c r="C86" s="179"/>
      <c r="D86" s="194"/>
      <c r="E86" s="194"/>
      <c r="F86" s="194"/>
      <c r="J86" t="str">
        <f t="shared" si="23"/>
        <v>Trd_hdt_elc</v>
      </c>
      <c r="K86" t="str">
        <f t="shared" si="24"/>
        <v>\I:</v>
      </c>
      <c r="L86" t="str">
        <f t="shared" si="30"/>
        <v>\I:</v>
      </c>
      <c r="M86" s="185" t="str">
        <f t="shared" si="25"/>
        <v/>
      </c>
      <c r="N86" s="185" t="str">
        <f t="shared" si="26"/>
        <v/>
      </c>
      <c r="O86" s="185" t="str">
        <f t="shared" si="27"/>
        <v/>
      </c>
      <c r="P86" s="185" t="str">
        <f t="shared" si="28"/>
        <v/>
      </c>
      <c r="T86" t="str">
        <f t="shared" si="31"/>
        <v>\I:</v>
      </c>
      <c r="U86" t="str">
        <f t="shared" ca="1" si="32"/>
        <v>7.5-16t battery electric truck -- 00%</v>
      </c>
      <c r="V86" s="188" t="s">
        <v>84</v>
      </c>
      <c r="W86" s="188" t="s">
        <v>85</v>
      </c>
    </row>
    <row r="87" spans="2:23">
      <c r="B87" s="194"/>
      <c r="C87" s="179"/>
      <c r="D87" s="194"/>
      <c r="E87" s="194"/>
      <c r="F87" s="194"/>
      <c r="J87" t="str">
        <f t="shared" si="23"/>
        <v>Trd_hdt_elc</v>
      </c>
      <c r="K87" t="str">
        <f t="shared" si="24"/>
        <v>\I:</v>
      </c>
      <c r="L87" t="str">
        <f t="shared" si="30"/>
        <v>\I:</v>
      </c>
      <c r="M87" s="185" t="str">
        <f t="shared" si="25"/>
        <v/>
      </c>
      <c r="N87" s="185" t="str">
        <f t="shared" si="26"/>
        <v/>
      </c>
      <c r="O87" s="185" t="str">
        <f t="shared" si="27"/>
        <v/>
      </c>
      <c r="P87" s="185" t="str">
        <f t="shared" si="28"/>
        <v/>
      </c>
      <c r="T87" t="str">
        <f t="shared" si="31"/>
        <v>\I:</v>
      </c>
      <c r="U87" t="str">
        <f t="shared" ca="1" si="32"/>
        <v>7.5-16t battery electric truck -- 00%</v>
      </c>
      <c r="V87" s="188" t="s">
        <v>84</v>
      </c>
      <c r="W87" s="188" t="s">
        <v>85</v>
      </c>
    </row>
    <row r="88" spans="2:23">
      <c r="B88" s="55"/>
      <c r="C88" s="36">
        <v>2020</v>
      </c>
      <c r="D88" s="36">
        <v>2030</v>
      </c>
      <c r="E88" s="36">
        <v>2040</v>
      </c>
      <c r="F88" s="36">
        <v>2050</v>
      </c>
      <c r="J88" t="str">
        <f t="shared" si="23"/>
        <v>Trd_hdt_elc</v>
      </c>
      <c r="K88" t="str">
        <f t="shared" si="24"/>
        <v>\I:</v>
      </c>
      <c r="L88" t="str">
        <f t="shared" si="30"/>
        <v>\I:</v>
      </c>
      <c r="M88" s="185" t="str">
        <f t="shared" si="25"/>
        <v/>
      </c>
      <c r="N88" s="185" t="str">
        <f t="shared" si="26"/>
        <v/>
      </c>
      <c r="O88" s="185" t="str">
        <f t="shared" si="27"/>
        <v/>
      </c>
      <c r="P88" s="185" t="str">
        <f t="shared" si="28"/>
        <v/>
      </c>
      <c r="T88" t="str">
        <f t="shared" si="31"/>
        <v>\I:</v>
      </c>
      <c r="U88" t="str">
        <f t="shared" ca="1" si="32"/>
        <v>7.5-16t battery electric truck -- 00%</v>
      </c>
      <c r="V88" s="188" t="s">
        <v>84</v>
      </c>
      <c r="W88" s="188" t="s">
        <v>85</v>
      </c>
    </row>
    <row r="89" spans="2:23">
      <c r="B89" s="42">
        <v>150</v>
      </c>
      <c r="C89" s="53">
        <v>144373.90542346699</v>
      </c>
      <c r="D89" s="53">
        <v>95780.730297909395</v>
      </c>
      <c r="E89" s="53">
        <v>90629.907020858896</v>
      </c>
      <c r="F89" s="53">
        <v>88752.5161176525</v>
      </c>
      <c r="I89" s="191">
        <f t="shared" ref="I89:I96" si="33">$I$82/$I$7</f>
        <v>2.4144103929994301</v>
      </c>
      <c r="J89" t="str">
        <f t="shared" si="23"/>
        <v>Trd_hdt_elc</v>
      </c>
      <c r="K89" t="str">
        <f>IFERROR(IF(VALUE(C89)&gt;2020,J89&amp;"_"&amp;TEXT(B89,"00"),"\I:"),"\I:")</f>
        <v>Trd_hdt_elc_150</v>
      </c>
      <c r="L89" t="str">
        <f t="shared" si="30"/>
        <v>Trd_hdt</v>
      </c>
      <c r="M89" s="185">
        <f t="shared" si="25"/>
        <v>144373.90542346699</v>
      </c>
      <c r="N89" s="185">
        <f t="shared" si="26"/>
        <v>95780.730297909395</v>
      </c>
      <c r="O89" s="185">
        <f t="shared" si="27"/>
        <v>90629.907020858896</v>
      </c>
      <c r="P89" s="185">
        <f t="shared" si="28"/>
        <v>88752.5161176525</v>
      </c>
      <c r="Q89" s="29">
        <v>0.01</v>
      </c>
      <c r="T89" t="str">
        <f t="shared" si="31"/>
        <v>Trd_hdt_elc_150</v>
      </c>
      <c r="U89" t="str">
        <f ca="1">OFFSET($S$1,MATCH(J89,$S$1:$S$11,0)-1,-1)&amp;" -- "&amp;TEXT(B89,"000")</f>
        <v>7.5-16t battery electric truck -- 150</v>
      </c>
      <c r="V89" s="188" t="s">
        <v>84</v>
      </c>
      <c r="W89" s="188" t="s">
        <v>85</v>
      </c>
    </row>
    <row r="90" spans="2:23">
      <c r="B90" s="42">
        <v>178.57142857142901</v>
      </c>
      <c r="C90" s="53">
        <v>147802.362213157</v>
      </c>
      <c r="D90" s="53">
        <v>97793.499371096405</v>
      </c>
      <c r="E90" s="53">
        <v>92046.749266240105</v>
      </c>
      <c r="F90" s="53">
        <v>89776.922650823195</v>
      </c>
      <c r="I90" s="191">
        <f t="shared" si="33"/>
        <v>2.4144103929994301</v>
      </c>
      <c r="J90" t="str">
        <f t="shared" si="23"/>
        <v>Trd_hdt_elc</v>
      </c>
      <c r="K90" t="str">
        <f t="shared" ref="K90:K96" si="34">IFERROR(IF(VALUE(C90)&gt;2020,J90&amp;"_"&amp;TEXT(B90,"00"),"\I:"),"\I:")</f>
        <v>Trd_hdt_elc_179</v>
      </c>
      <c r="L90" t="str">
        <f t="shared" si="30"/>
        <v>Trd_hdt</v>
      </c>
      <c r="M90" s="185">
        <f t="shared" si="25"/>
        <v>147802.362213157</v>
      </c>
      <c r="N90" s="185">
        <f t="shared" si="26"/>
        <v>97793.499371096405</v>
      </c>
      <c r="O90" s="185">
        <f t="shared" si="27"/>
        <v>92046.749266240105</v>
      </c>
      <c r="P90" s="185">
        <f t="shared" si="28"/>
        <v>89776.922650823195</v>
      </c>
      <c r="Q90" s="29">
        <v>0.01</v>
      </c>
      <c r="T90" t="str">
        <f t="shared" si="31"/>
        <v>Trd_hdt_elc_179</v>
      </c>
      <c r="U90" t="str">
        <f t="shared" ref="U90:U96" ca="1" si="35">OFFSET($S$1,MATCH(J90,$S$1:$S$11,0)-1,-1)&amp;" -- "&amp;TEXT(B90,"000")</f>
        <v>7.5-16t battery electric truck -- 179</v>
      </c>
      <c r="V90" s="188" t="s">
        <v>84</v>
      </c>
      <c r="W90" s="188" t="s">
        <v>85</v>
      </c>
    </row>
    <row r="91" spans="2:23">
      <c r="B91" s="42">
        <v>207.142857142857</v>
      </c>
      <c r="C91" s="53">
        <v>149288.810561655</v>
      </c>
      <c r="D91" s="53">
        <v>100585.83371496901</v>
      </c>
      <c r="E91" s="53">
        <v>93658.438550062594</v>
      </c>
      <c r="F91" s="53">
        <v>90964.284946579603</v>
      </c>
      <c r="I91" s="191">
        <f t="shared" si="33"/>
        <v>2.4144103929994301</v>
      </c>
      <c r="J91" t="str">
        <f t="shared" si="23"/>
        <v>Trd_hdt_elc</v>
      </c>
      <c r="K91" t="str">
        <f t="shared" si="34"/>
        <v>Trd_hdt_elc_207</v>
      </c>
      <c r="L91" t="str">
        <f t="shared" si="30"/>
        <v>Trd_hdt</v>
      </c>
      <c r="M91" s="185">
        <f t="shared" si="25"/>
        <v>149288.810561655</v>
      </c>
      <c r="N91" s="185">
        <f t="shared" si="26"/>
        <v>100585.83371496901</v>
      </c>
      <c r="O91" s="185">
        <f t="shared" si="27"/>
        <v>93658.438550062594</v>
      </c>
      <c r="P91" s="185">
        <f t="shared" si="28"/>
        <v>90964.284946579603</v>
      </c>
      <c r="Q91" s="29">
        <v>0.01</v>
      </c>
      <c r="T91" t="str">
        <f t="shared" si="31"/>
        <v>Trd_hdt_elc_207</v>
      </c>
      <c r="U91" t="str">
        <f t="shared" ca="1" si="35"/>
        <v>7.5-16t battery electric truck -- 207</v>
      </c>
      <c r="V91" s="188" t="s">
        <v>84</v>
      </c>
      <c r="W91" s="188" t="s">
        <v>85</v>
      </c>
    </row>
    <row r="92" spans="2:23">
      <c r="B92" s="42">
        <v>235.71428571428601</v>
      </c>
      <c r="C92" s="53">
        <v>152494.108762408</v>
      </c>
      <c r="D92" s="53">
        <v>102554.343444586</v>
      </c>
      <c r="E92" s="53">
        <v>94660.013866599795</v>
      </c>
      <c r="F92" s="53">
        <v>92014.520490691604</v>
      </c>
      <c r="I92" s="191">
        <f t="shared" si="33"/>
        <v>2.4144103929994301</v>
      </c>
      <c r="J92" t="str">
        <f t="shared" si="23"/>
        <v>Trd_hdt_elc</v>
      </c>
      <c r="K92" t="str">
        <f t="shared" si="34"/>
        <v>Trd_hdt_elc_236</v>
      </c>
      <c r="L92" t="str">
        <f t="shared" si="30"/>
        <v>Trd_hdt</v>
      </c>
      <c r="M92" s="185">
        <f t="shared" si="25"/>
        <v>152494.108762408</v>
      </c>
      <c r="N92" s="185">
        <f t="shared" si="26"/>
        <v>102554.343444586</v>
      </c>
      <c r="O92" s="185">
        <f t="shared" si="27"/>
        <v>94660.013866599795</v>
      </c>
      <c r="P92" s="185">
        <f t="shared" si="28"/>
        <v>92014.520490691604</v>
      </c>
      <c r="Q92" s="29">
        <v>0.01</v>
      </c>
      <c r="T92" t="str">
        <f t="shared" si="31"/>
        <v>Trd_hdt_elc_236</v>
      </c>
      <c r="U92" t="str">
        <f t="shared" ca="1" si="35"/>
        <v>7.5-16t battery electric truck -- 236</v>
      </c>
      <c r="V92" s="188" t="s">
        <v>84</v>
      </c>
      <c r="W92" s="188" t="s">
        <v>85</v>
      </c>
    </row>
    <row r="93" spans="2:23">
      <c r="B93" s="42">
        <v>264.28571428571399</v>
      </c>
      <c r="C93" s="53">
        <v>155632.353081546</v>
      </c>
      <c r="D93" s="53">
        <v>104580.22891370401</v>
      </c>
      <c r="E93" s="53">
        <v>95569.822513419494</v>
      </c>
      <c r="F93" s="53">
        <v>92930.9045082581</v>
      </c>
      <c r="I93" s="191">
        <f t="shared" si="33"/>
        <v>2.4144103929994301</v>
      </c>
      <c r="J93" t="str">
        <f t="shared" si="23"/>
        <v>Trd_hdt_elc</v>
      </c>
      <c r="K93" t="str">
        <f t="shared" si="34"/>
        <v>Trd_hdt_elc_264</v>
      </c>
      <c r="L93" t="str">
        <f t="shared" si="30"/>
        <v>Trd_hdt</v>
      </c>
      <c r="M93" s="185">
        <f t="shared" si="25"/>
        <v>155632.353081546</v>
      </c>
      <c r="N93" s="185">
        <f t="shared" si="26"/>
        <v>104580.22891370401</v>
      </c>
      <c r="O93" s="185">
        <f t="shared" si="27"/>
        <v>95569.822513419494</v>
      </c>
      <c r="P93" s="185">
        <f t="shared" si="28"/>
        <v>92930.9045082581</v>
      </c>
      <c r="Q93" s="29">
        <v>0.05</v>
      </c>
      <c r="T93" t="str">
        <f t="shared" si="31"/>
        <v>Trd_hdt_elc_264</v>
      </c>
      <c r="U93" t="str">
        <f t="shared" ca="1" si="35"/>
        <v>7.5-16t battery electric truck -- 264</v>
      </c>
      <c r="V93" s="188" t="s">
        <v>84</v>
      </c>
      <c r="W93" s="188" t="s">
        <v>85</v>
      </c>
    </row>
    <row r="94" spans="2:23">
      <c r="B94" s="42">
        <v>350</v>
      </c>
      <c r="C94" s="53">
        <v>159704.765843061</v>
      </c>
      <c r="D94" s="53">
        <v>107786.20577946999</v>
      </c>
      <c r="E94" s="53">
        <v>98254.348032781607</v>
      </c>
      <c r="F94" s="53">
        <v>95331.831732680905</v>
      </c>
      <c r="I94" s="191">
        <f t="shared" si="33"/>
        <v>2.4144103929994301</v>
      </c>
      <c r="J94" t="str">
        <f t="shared" si="23"/>
        <v>Trd_hdt_elc</v>
      </c>
      <c r="K94" t="str">
        <f t="shared" si="34"/>
        <v>Trd_hdt_elc_350</v>
      </c>
      <c r="L94" t="str">
        <f t="shared" si="30"/>
        <v>Trd_hdt</v>
      </c>
      <c r="M94" s="185">
        <f t="shared" si="25"/>
        <v>159704.765843061</v>
      </c>
      <c r="N94" s="185">
        <f t="shared" si="26"/>
        <v>107786.20577946999</v>
      </c>
      <c r="O94" s="185">
        <f t="shared" si="27"/>
        <v>98254.348032781607</v>
      </c>
      <c r="P94" s="185">
        <f t="shared" si="28"/>
        <v>95331.831732680905</v>
      </c>
      <c r="Q94" s="29">
        <v>0.1</v>
      </c>
      <c r="T94" t="str">
        <f t="shared" si="31"/>
        <v>Trd_hdt_elc_350</v>
      </c>
      <c r="U94" t="str">
        <f t="shared" ca="1" si="35"/>
        <v>7.5-16t battery electric truck -- 350</v>
      </c>
      <c r="V94" s="188" t="s">
        <v>84</v>
      </c>
      <c r="W94" s="188" t="s">
        <v>85</v>
      </c>
    </row>
    <row r="95" spans="2:23">
      <c r="B95" s="42">
        <v>500</v>
      </c>
      <c r="C95" s="53">
        <v>179612.75847238299</v>
      </c>
      <c r="D95" s="53">
        <v>119565.16497781</v>
      </c>
      <c r="E95" s="53">
        <v>104086.94483959299</v>
      </c>
      <c r="F95" s="53">
        <v>100030.341013554</v>
      </c>
      <c r="I95" s="191">
        <f t="shared" si="33"/>
        <v>2.4144103929994301</v>
      </c>
      <c r="J95" t="str">
        <f t="shared" si="23"/>
        <v>Trd_hdt_elc</v>
      </c>
      <c r="K95" t="str">
        <f t="shared" si="34"/>
        <v>Trd_hdt_elc_500</v>
      </c>
      <c r="L95" t="str">
        <f t="shared" si="30"/>
        <v>Trd_hdt</v>
      </c>
      <c r="M95" s="185">
        <f t="shared" si="25"/>
        <v>179612.75847238299</v>
      </c>
      <c r="N95" s="185">
        <f t="shared" si="26"/>
        <v>119565.16497781</v>
      </c>
      <c r="O95" s="185">
        <f t="shared" si="27"/>
        <v>104086.94483959299</v>
      </c>
      <c r="P95" s="185">
        <f t="shared" si="28"/>
        <v>100030.341013554</v>
      </c>
      <c r="Q95" s="29">
        <v>0.2</v>
      </c>
      <c r="T95" t="str">
        <f t="shared" si="31"/>
        <v>Trd_hdt_elc_500</v>
      </c>
      <c r="U95" t="str">
        <f t="shared" ca="1" si="35"/>
        <v>7.5-16t battery electric truck -- 500</v>
      </c>
      <c r="V95" s="188" t="s">
        <v>84</v>
      </c>
      <c r="W95" s="188" t="s">
        <v>85</v>
      </c>
    </row>
    <row r="96" spans="2:23">
      <c r="B96" s="42">
        <v>600</v>
      </c>
      <c r="C96" s="53">
        <v>193069.495161372</v>
      </c>
      <c r="D96" s="53">
        <v>125556.819841456</v>
      </c>
      <c r="E96" s="53">
        <v>111128.241503766</v>
      </c>
      <c r="F96" s="53">
        <v>104587.124680729</v>
      </c>
      <c r="I96" s="191">
        <f t="shared" si="33"/>
        <v>2.4144103929994301</v>
      </c>
      <c r="J96" t="str">
        <f t="shared" si="23"/>
        <v>Trd_hdt_elc</v>
      </c>
      <c r="K96" t="str">
        <f t="shared" si="34"/>
        <v>Trd_hdt_elc_600</v>
      </c>
      <c r="L96" t="str">
        <f t="shared" si="30"/>
        <v>Trd_hdt</v>
      </c>
      <c r="M96" s="185">
        <f t="shared" si="25"/>
        <v>193069.495161372</v>
      </c>
      <c r="N96" s="185">
        <f t="shared" si="26"/>
        <v>125556.819841456</v>
      </c>
      <c r="O96" s="185">
        <f t="shared" si="27"/>
        <v>111128.241503766</v>
      </c>
      <c r="P96" s="185">
        <f t="shared" si="28"/>
        <v>104587.124680729</v>
      </c>
      <c r="T96" t="str">
        <f t="shared" si="31"/>
        <v>Trd_hdt_elc_600</v>
      </c>
      <c r="U96" t="str">
        <f t="shared" ca="1" si="35"/>
        <v>7.5-16t battery electric truck -- 600</v>
      </c>
      <c r="V96" s="188" t="s">
        <v>84</v>
      </c>
      <c r="W96" s="188" t="s">
        <v>85</v>
      </c>
    </row>
    <row r="97" spans="2:23">
      <c r="J97" t="str">
        <f t="shared" si="23"/>
        <v>Trd_hdt_elc</v>
      </c>
      <c r="K97" t="str">
        <f t="shared" si="24"/>
        <v>\I:</v>
      </c>
      <c r="L97" t="str">
        <f t="shared" si="30"/>
        <v>\I:</v>
      </c>
      <c r="M97" s="185" t="str">
        <f t="shared" si="25"/>
        <v/>
      </c>
      <c r="N97" s="185" t="str">
        <f t="shared" si="26"/>
        <v/>
      </c>
      <c r="O97" s="185" t="str">
        <f t="shared" si="27"/>
        <v/>
      </c>
      <c r="P97" s="185" t="str">
        <f t="shared" si="28"/>
        <v/>
      </c>
      <c r="T97" t="str">
        <f t="shared" si="31"/>
        <v>\I:</v>
      </c>
      <c r="U97" t="str">
        <f t="shared" ca="1" si="32"/>
        <v>7.5-16t battery electric truck -- 00%</v>
      </c>
      <c r="V97" s="188" t="s">
        <v>84</v>
      </c>
      <c r="W97" s="188" t="s">
        <v>85</v>
      </c>
    </row>
    <row r="98" spans="2:23">
      <c r="J98" t="str">
        <f t="shared" si="23"/>
        <v>Trd_hdt_elc</v>
      </c>
      <c r="K98" t="str">
        <f t="shared" si="24"/>
        <v>\I:</v>
      </c>
      <c r="L98" t="str">
        <f t="shared" si="30"/>
        <v>\I:</v>
      </c>
      <c r="M98" s="185" t="str">
        <f t="shared" si="25"/>
        <v/>
      </c>
      <c r="N98" s="185" t="str">
        <f t="shared" si="26"/>
        <v/>
      </c>
      <c r="O98" s="185" t="str">
        <f t="shared" si="27"/>
        <v/>
      </c>
      <c r="P98" s="185" t="str">
        <f t="shared" si="28"/>
        <v/>
      </c>
      <c r="T98" t="str">
        <f t="shared" si="31"/>
        <v>\I:</v>
      </c>
      <c r="U98" t="str">
        <f t="shared" ca="1" si="32"/>
        <v>7.5-16t battery electric truck -- 00%</v>
      </c>
      <c r="V98" s="188" t="s">
        <v>84</v>
      </c>
      <c r="W98" s="188" t="s">
        <v>85</v>
      </c>
    </row>
    <row r="99" spans="2:23" ht="15.75" customHeight="1">
      <c r="J99" t="str">
        <f t="shared" si="23"/>
        <v>Trd_hdt_elc</v>
      </c>
      <c r="K99" t="str">
        <f t="shared" si="24"/>
        <v>\I:</v>
      </c>
      <c r="L99" t="str">
        <f t="shared" si="30"/>
        <v>\I:</v>
      </c>
      <c r="M99" s="185" t="str">
        <f t="shared" si="25"/>
        <v/>
      </c>
      <c r="N99" s="185" t="str">
        <f t="shared" si="26"/>
        <v/>
      </c>
      <c r="O99" s="185" t="str">
        <f t="shared" si="27"/>
        <v/>
      </c>
      <c r="P99" s="185" t="str">
        <f t="shared" si="28"/>
        <v/>
      </c>
      <c r="T99" t="str">
        <f t="shared" si="31"/>
        <v>\I:</v>
      </c>
      <c r="U99" t="str">
        <f t="shared" ca="1" si="32"/>
        <v>7.5-16t battery electric truck -- 00%</v>
      </c>
      <c r="V99" s="188" t="s">
        <v>84</v>
      </c>
      <c r="W99" s="188" t="s">
        <v>85</v>
      </c>
    </row>
    <row r="100" spans="2:23">
      <c r="B100" s="205" t="s">
        <v>29</v>
      </c>
      <c r="C100" s="206" t="s">
        <v>118</v>
      </c>
      <c r="D100" s="207"/>
      <c r="E100" s="207"/>
      <c r="F100" s="208"/>
      <c r="J100" t="str">
        <f t="shared" si="23"/>
        <v>Trd_hdt_hh2</v>
      </c>
      <c r="K100" t="str">
        <f t="shared" si="24"/>
        <v>\I:</v>
      </c>
      <c r="L100" t="str">
        <f t="shared" si="30"/>
        <v>\I:</v>
      </c>
      <c r="M100" s="185" t="str">
        <f t="shared" si="25"/>
        <v/>
      </c>
      <c r="N100" s="185" t="str">
        <f t="shared" si="26"/>
        <v/>
      </c>
      <c r="O100" s="185" t="str">
        <f t="shared" si="27"/>
        <v/>
      </c>
      <c r="P100" s="185" t="str">
        <f t="shared" si="28"/>
        <v/>
      </c>
      <c r="T100" t="str">
        <f t="shared" si="31"/>
        <v>\I:</v>
      </c>
      <c r="U100" t="str">
        <f t="shared" ca="1" si="32"/>
        <v>7.5-16t Hydrogen fuel cell truck -- Energy consumption (kg H2/100km)</v>
      </c>
      <c r="V100" s="188" t="s">
        <v>84</v>
      </c>
      <c r="W100" s="188" t="s">
        <v>85</v>
      </c>
    </row>
    <row r="101" spans="2:23">
      <c r="B101" s="209"/>
      <c r="C101" s="210"/>
      <c r="D101" s="211"/>
      <c r="E101" s="211"/>
      <c r="F101" s="212"/>
      <c r="J101" t="str">
        <f t="shared" si="23"/>
        <v>Trd_hdt_hh2</v>
      </c>
      <c r="K101" t="str">
        <f t="shared" si="24"/>
        <v>\I:</v>
      </c>
      <c r="L101" t="str">
        <f t="shared" si="30"/>
        <v>\I:</v>
      </c>
      <c r="M101" s="185" t="str">
        <f t="shared" si="25"/>
        <v/>
      </c>
      <c r="N101" s="185" t="str">
        <f t="shared" si="26"/>
        <v/>
      </c>
      <c r="O101" s="185" t="str">
        <f t="shared" si="27"/>
        <v/>
      </c>
      <c r="P101" s="185" t="str">
        <f t="shared" si="28"/>
        <v/>
      </c>
      <c r="T101" t="str">
        <f t="shared" si="31"/>
        <v>\I:</v>
      </c>
      <c r="U101" t="str">
        <f t="shared" ca="1" si="32"/>
        <v>7.5-16t Hydrogen fuel cell truck -- 00%</v>
      </c>
      <c r="V101" s="188" t="s">
        <v>84</v>
      </c>
      <c r="W101" s="188" t="s">
        <v>85</v>
      </c>
    </row>
    <row r="102" spans="2:23">
      <c r="B102" s="213"/>
      <c r="C102" s="214"/>
      <c r="D102" s="215"/>
      <c r="E102" s="215"/>
      <c r="F102" s="216"/>
      <c r="J102" t="str">
        <f t="shared" si="23"/>
        <v>Trd_hdt_hh2</v>
      </c>
      <c r="K102" t="str">
        <f t="shared" si="24"/>
        <v>\I:</v>
      </c>
      <c r="L102" t="str">
        <f t="shared" si="30"/>
        <v>\I:</v>
      </c>
      <c r="M102" s="185" t="str">
        <f t="shared" si="25"/>
        <v/>
      </c>
      <c r="N102" s="185" t="str">
        <f t="shared" si="26"/>
        <v/>
      </c>
      <c r="O102" s="185" t="str">
        <f t="shared" si="27"/>
        <v/>
      </c>
      <c r="P102" s="185" t="str">
        <f t="shared" si="28"/>
        <v/>
      </c>
      <c r="T102" t="str">
        <f t="shared" si="31"/>
        <v>\I:</v>
      </c>
      <c r="U102" t="str">
        <f t="shared" ca="1" si="32"/>
        <v>7.5-16t Hydrogen fuel cell truck -- 00%</v>
      </c>
      <c r="V102" s="188" t="s">
        <v>84</v>
      </c>
      <c r="W102" s="188" t="s">
        <v>85</v>
      </c>
    </row>
    <row r="103" spans="2:23">
      <c r="B103" s="55"/>
      <c r="C103" s="36">
        <v>2020</v>
      </c>
      <c r="D103" s="36">
        <v>2030</v>
      </c>
      <c r="E103" s="36">
        <v>2040</v>
      </c>
      <c r="F103" s="36">
        <v>2050</v>
      </c>
      <c r="J103" t="str">
        <f t="shared" si="23"/>
        <v>Trd_hdt_hh2</v>
      </c>
      <c r="K103" t="str">
        <f t="shared" si="24"/>
        <v>\I:</v>
      </c>
      <c r="L103" t="str">
        <f t="shared" si="30"/>
        <v>\I:</v>
      </c>
      <c r="M103" s="185" t="str">
        <f t="shared" si="25"/>
        <v/>
      </c>
      <c r="N103" s="185" t="str">
        <f t="shared" si="26"/>
        <v/>
      </c>
      <c r="O103" s="185" t="str">
        <f t="shared" si="27"/>
        <v/>
      </c>
      <c r="P103" s="185" t="str">
        <f t="shared" si="28"/>
        <v/>
      </c>
      <c r="T103" t="str">
        <f t="shared" si="31"/>
        <v>\I:</v>
      </c>
      <c r="U103" t="str">
        <f t="shared" ca="1" si="32"/>
        <v>7.5-16t Hydrogen fuel cell truck -- 00%</v>
      </c>
      <c r="V103" s="188" t="s">
        <v>84</v>
      </c>
      <c r="W103" s="188" t="s">
        <v>85</v>
      </c>
    </row>
    <row r="104" spans="2:23">
      <c r="B104" s="43">
        <v>3.6</v>
      </c>
      <c r="C104" s="53">
        <v>289239.36006122199</v>
      </c>
      <c r="D104" s="53">
        <v>165331.41673984201</v>
      </c>
      <c r="E104" s="53">
        <v>126641.73154300899</v>
      </c>
      <c r="F104" s="53">
        <v>113300.50020598801</v>
      </c>
      <c r="G104" s="50">
        <f>B104*0.12/100*10^9/10^6</f>
        <v>4.32</v>
      </c>
      <c r="H104" s="50"/>
      <c r="I104" s="178">
        <f>1/G104/$I$7</f>
        <v>1.6609620805626</v>
      </c>
      <c r="J104" t="str">
        <f t="shared" si="23"/>
        <v>Trd_hdt_hh2</v>
      </c>
      <c r="K104" t="str">
        <f>IFERROR(IF(VALUE(C104)&gt;2020,J104&amp;"_"&amp;TEXT(B104,"0.0"),"\I:"),"\I:")</f>
        <v>Trd_hdt_hh2_3.6</v>
      </c>
      <c r="L104" t="str">
        <f t="shared" si="30"/>
        <v>Trd_hdt</v>
      </c>
      <c r="M104" s="185">
        <f t="shared" si="25"/>
        <v>289239.36006122199</v>
      </c>
      <c r="N104" s="185">
        <f t="shared" si="26"/>
        <v>165331.41673984201</v>
      </c>
      <c r="O104" s="185">
        <f t="shared" si="27"/>
        <v>126641.73154300899</v>
      </c>
      <c r="P104" s="185">
        <f t="shared" si="28"/>
        <v>113300.50020598801</v>
      </c>
      <c r="T104" t="str">
        <f t="shared" si="31"/>
        <v>Trd_hdt_hh2_3.6</v>
      </c>
      <c r="U104" t="str">
        <f ca="1">OFFSET($S$1,MATCH(J104,$S$1:$S$11,0)-1,-1)&amp;" -- "&amp;TEXT(B104,"0.0")</f>
        <v>7.5-16t Hydrogen fuel cell truck -- 3.6</v>
      </c>
      <c r="V104" s="188" t="s">
        <v>84</v>
      </c>
      <c r="W104" s="188" t="s">
        <v>85</v>
      </c>
    </row>
    <row r="105" spans="2:23">
      <c r="B105" s="43">
        <v>3.4910443894127399</v>
      </c>
      <c r="C105" s="53">
        <v>290124.88420977199</v>
      </c>
      <c r="D105" s="53">
        <v>165775.115926834</v>
      </c>
      <c r="E105" s="53">
        <v>127085.430730001</v>
      </c>
      <c r="F105" s="53">
        <v>113744.19939297999</v>
      </c>
      <c r="G105" s="50">
        <f t="shared" ref="G105:G111" si="36">B105*0.12/100*10^9/10^6</f>
        <v>4.1892532672952898</v>
      </c>
      <c r="H105" s="50"/>
      <c r="I105" s="178">
        <f t="shared" ref="I105:I111" si="37">1/G105/$I$7</f>
        <v>1.7128007619035801</v>
      </c>
      <c r="J105" t="str">
        <f t="shared" si="23"/>
        <v>Trd_hdt_hh2</v>
      </c>
      <c r="K105" t="str">
        <f t="shared" ref="K105:K111" si="38">IFERROR(IF(VALUE(C105)&gt;2020,J105&amp;"_"&amp;TEXT(B105,"0.0"),"\I:"),"\I:")</f>
        <v>Trd_hdt_hh2_3.5</v>
      </c>
      <c r="L105" t="str">
        <f t="shared" si="30"/>
        <v>Trd_hdt</v>
      </c>
      <c r="M105" s="185">
        <f t="shared" si="25"/>
        <v>290124.88420977199</v>
      </c>
      <c r="N105" s="185">
        <f t="shared" si="26"/>
        <v>165775.115926834</v>
      </c>
      <c r="O105" s="185">
        <f t="shared" si="27"/>
        <v>127085.430730001</v>
      </c>
      <c r="P105" s="185">
        <f t="shared" si="28"/>
        <v>113744.19939297999</v>
      </c>
      <c r="T105" t="str">
        <f t="shared" si="31"/>
        <v>Trd_hdt_hh2_3.5</v>
      </c>
      <c r="U105" t="str">
        <f t="shared" ref="U105:U111" ca="1" si="39">OFFSET($S$1,MATCH(J105,$S$1:$S$11,0)-1,-1)&amp;" -- "&amp;TEXT(B105,"0.0")</f>
        <v>7.5-16t Hydrogen fuel cell truck -- 3.5</v>
      </c>
      <c r="V105" s="188" t="s">
        <v>84</v>
      </c>
      <c r="W105" s="188" t="s">
        <v>85</v>
      </c>
    </row>
    <row r="106" spans="2:23">
      <c r="B106" s="43">
        <v>3.3820887788254801</v>
      </c>
      <c r="C106" s="53">
        <v>291607.78759882</v>
      </c>
      <c r="D106" s="53">
        <v>169260.35631295401</v>
      </c>
      <c r="E106" s="53">
        <v>127529.129916993</v>
      </c>
      <c r="F106" s="53">
        <v>114187.89857997101</v>
      </c>
      <c r="G106" s="50">
        <f t="shared" si="36"/>
        <v>4.0585065345905802</v>
      </c>
      <c r="H106" s="50"/>
      <c r="I106" s="178">
        <f t="shared" si="37"/>
        <v>1.76797945916189</v>
      </c>
      <c r="J106" t="str">
        <f t="shared" si="23"/>
        <v>Trd_hdt_hh2</v>
      </c>
      <c r="K106" t="str">
        <f t="shared" si="38"/>
        <v>Trd_hdt_hh2_3.4</v>
      </c>
      <c r="L106" t="str">
        <f t="shared" si="30"/>
        <v>Trd_hdt</v>
      </c>
      <c r="M106" s="185">
        <f t="shared" si="25"/>
        <v>291607.78759882</v>
      </c>
      <c r="N106" s="185">
        <f t="shared" si="26"/>
        <v>169260.35631295401</v>
      </c>
      <c r="O106" s="185">
        <f t="shared" si="27"/>
        <v>127529.129916993</v>
      </c>
      <c r="P106" s="185">
        <f t="shared" si="28"/>
        <v>114187.89857997101</v>
      </c>
      <c r="T106" t="str">
        <f t="shared" si="31"/>
        <v>Trd_hdt_hh2_3.4</v>
      </c>
      <c r="U106" t="str">
        <f t="shared" ca="1" si="39"/>
        <v>7.5-16t Hydrogen fuel cell truck -- 3.4</v>
      </c>
      <c r="V106" s="188" t="s">
        <v>84</v>
      </c>
      <c r="W106" s="188" t="s">
        <v>85</v>
      </c>
    </row>
    <row r="107" spans="2:23">
      <c r="B107" s="43">
        <v>3.2731331682382199</v>
      </c>
      <c r="C107" s="53">
        <v>298751.243165772</v>
      </c>
      <c r="D107" s="53">
        <v>172972.41876019101</v>
      </c>
      <c r="E107" s="53">
        <v>127972.829103985</v>
      </c>
      <c r="F107" s="53">
        <v>114631.59776696299</v>
      </c>
      <c r="G107" s="50">
        <f t="shared" si="36"/>
        <v>3.9277598018858599</v>
      </c>
      <c r="H107" s="50"/>
      <c r="I107" s="178">
        <f t="shared" si="37"/>
        <v>1.8268317183207801</v>
      </c>
      <c r="J107" t="str">
        <f t="shared" si="23"/>
        <v>Trd_hdt_hh2</v>
      </c>
      <c r="K107" t="str">
        <f t="shared" si="38"/>
        <v>Trd_hdt_hh2_3.3</v>
      </c>
      <c r="L107" t="str">
        <f t="shared" si="30"/>
        <v>Trd_hdt</v>
      </c>
      <c r="M107" s="185">
        <f t="shared" si="25"/>
        <v>298751.243165772</v>
      </c>
      <c r="N107" s="185">
        <f t="shared" si="26"/>
        <v>172972.41876019101</v>
      </c>
      <c r="O107" s="185">
        <f t="shared" si="27"/>
        <v>127972.829103985</v>
      </c>
      <c r="P107" s="185">
        <f t="shared" si="28"/>
        <v>114631.59776696299</v>
      </c>
      <c r="T107" t="str">
        <f t="shared" si="31"/>
        <v>Trd_hdt_hh2_3.3</v>
      </c>
      <c r="U107" t="str">
        <f t="shared" ca="1" si="39"/>
        <v>7.5-16t Hydrogen fuel cell truck -- 3.3</v>
      </c>
      <c r="V107" s="188" t="s">
        <v>84</v>
      </c>
      <c r="W107" s="188" t="s">
        <v>85</v>
      </c>
    </row>
    <row r="108" spans="2:23">
      <c r="B108" s="43">
        <v>3.1641775576509699</v>
      </c>
      <c r="C108" s="53">
        <v>300389.26329995401</v>
      </c>
      <c r="D108" s="53">
        <v>179433.095982914</v>
      </c>
      <c r="E108" s="53">
        <v>128416.528290977</v>
      </c>
      <c r="F108" s="53">
        <v>115075.296953955</v>
      </c>
      <c r="G108" s="50">
        <f t="shared" si="36"/>
        <v>3.7970130691811601</v>
      </c>
      <c r="H108" s="50"/>
      <c r="I108" s="178">
        <f t="shared" si="37"/>
        <v>1.8897370267882201</v>
      </c>
      <c r="J108" t="str">
        <f t="shared" si="23"/>
        <v>Trd_hdt_hh2</v>
      </c>
      <c r="K108" t="str">
        <f t="shared" si="38"/>
        <v>Trd_hdt_hh2_3.2</v>
      </c>
      <c r="L108" t="str">
        <f t="shared" si="30"/>
        <v>Trd_hdt</v>
      </c>
      <c r="M108" s="185">
        <f t="shared" si="25"/>
        <v>300389.26329995401</v>
      </c>
      <c r="N108" s="185">
        <f t="shared" si="26"/>
        <v>179433.095982914</v>
      </c>
      <c r="O108" s="185">
        <f t="shared" si="27"/>
        <v>128416.528290977</v>
      </c>
      <c r="P108" s="185">
        <f t="shared" si="28"/>
        <v>115075.296953955</v>
      </c>
      <c r="T108" t="str">
        <f t="shared" si="31"/>
        <v>Trd_hdt_hh2_3.2</v>
      </c>
      <c r="U108" t="str">
        <f t="shared" ca="1" si="39"/>
        <v>7.5-16t Hydrogen fuel cell truck -- 3.2</v>
      </c>
      <c r="V108" s="188" t="s">
        <v>84</v>
      </c>
      <c r="W108" s="188" t="s">
        <v>85</v>
      </c>
    </row>
    <row r="109" spans="2:23">
      <c r="B109" s="43">
        <v>3.0552219470637101</v>
      </c>
      <c r="C109" s="53">
        <v>301347.93943547102</v>
      </c>
      <c r="D109" s="53">
        <v>179995.32288620499</v>
      </c>
      <c r="E109" s="53">
        <v>128860.22747796901</v>
      </c>
      <c r="F109" s="53">
        <v>115518.996140947</v>
      </c>
      <c r="G109" s="50">
        <f t="shared" si="36"/>
        <v>3.6662663364764501</v>
      </c>
      <c r="H109" s="50"/>
      <c r="I109" s="178">
        <f t="shared" si="37"/>
        <v>1.9571290052338299</v>
      </c>
      <c r="J109" t="str">
        <f t="shared" si="23"/>
        <v>Trd_hdt_hh2</v>
      </c>
      <c r="K109" t="str">
        <f t="shared" si="38"/>
        <v>Trd_hdt_hh2_3.1</v>
      </c>
      <c r="L109" t="str">
        <f t="shared" si="30"/>
        <v>Trd_hdt</v>
      </c>
      <c r="M109" s="185">
        <f t="shared" si="25"/>
        <v>301347.93943547102</v>
      </c>
      <c r="N109" s="185">
        <f t="shared" si="26"/>
        <v>179995.32288620499</v>
      </c>
      <c r="O109" s="185">
        <f t="shared" si="27"/>
        <v>128860.22747796901</v>
      </c>
      <c r="P109" s="185">
        <f t="shared" si="28"/>
        <v>115518.996140947</v>
      </c>
      <c r="T109" t="str">
        <f t="shared" si="31"/>
        <v>Trd_hdt_hh2_3.1</v>
      </c>
      <c r="U109" t="str">
        <f t="shared" ca="1" si="39"/>
        <v>7.5-16t Hydrogen fuel cell truck -- 3.1</v>
      </c>
      <c r="V109" s="188" t="s">
        <v>84</v>
      </c>
      <c r="W109" s="188" t="s">
        <v>85</v>
      </c>
    </row>
    <row r="110" spans="2:23">
      <c r="B110" s="43">
        <v>2.9462663364764499</v>
      </c>
      <c r="C110" s="53">
        <v>302306.61557098699</v>
      </c>
      <c r="D110" s="53">
        <v>180557.549789496</v>
      </c>
      <c r="E110" s="53">
        <v>129303.92666496</v>
      </c>
      <c r="F110" s="53">
        <v>115962.695327939</v>
      </c>
      <c r="G110" s="50">
        <f t="shared" si="36"/>
        <v>3.53551960377174</v>
      </c>
      <c r="H110" s="50"/>
      <c r="I110" s="178">
        <f t="shared" si="37"/>
        <v>2.0295054170752298</v>
      </c>
      <c r="J110" t="str">
        <f t="shared" si="23"/>
        <v>Trd_hdt_hh2</v>
      </c>
      <c r="K110" t="str">
        <f t="shared" si="38"/>
        <v>Trd_hdt_hh2_2.9</v>
      </c>
      <c r="L110" t="str">
        <f t="shared" si="30"/>
        <v>Trd_hdt</v>
      </c>
      <c r="M110" s="185">
        <f t="shared" si="25"/>
        <v>302306.61557098699</v>
      </c>
      <c r="N110" s="185">
        <f t="shared" si="26"/>
        <v>180557.549789496</v>
      </c>
      <c r="O110" s="185">
        <f t="shared" si="27"/>
        <v>129303.92666496</v>
      </c>
      <c r="P110" s="185">
        <f t="shared" si="28"/>
        <v>115962.695327939</v>
      </c>
      <c r="T110" t="str">
        <f t="shared" si="31"/>
        <v>Trd_hdt_hh2_2.9</v>
      </c>
      <c r="U110" t="str">
        <f t="shared" ca="1" si="39"/>
        <v>7.5-16t Hydrogen fuel cell truck -- 2.9</v>
      </c>
      <c r="V110" s="188" t="s">
        <v>84</v>
      </c>
      <c r="W110" s="188" t="s">
        <v>85</v>
      </c>
    </row>
    <row r="111" spans="2:23">
      <c r="B111" s="43">
        <v>2.8373107258891901</v>
      </c>
      <c r="C111" s="53">
        <v>303265.29170650401</v>
      </c>
      <c r="D111" s="53">
        <v>181119.77669278701</v>
      </c>
      <c r="E111" s="53">
        <v>129747.62585195201</v>
      </c>
      <c r="F111" s="53">
        <v>116406.394514931</v>
      </c>
      <c r="G111" s="50">
        <f t="shared" si="36"/>
        <v>3.40477287106703</v>
      </c>
      <c r="H111" s="50"/>
      <c r="I111" s="178">
        <f t="shared" si="37"/>
        <v>2.1074404842111298</v>
      </c>
      <c r="J111" t="str">
        <f t="shared" si="23"/>
        <v>Trd_hdt_hh2</v>
      </c>
      <c r="K111" t="str">
        <f t="shared" si="38"/>
        <v>Trd_hdt_hh2_2.8</v>
      </c>
      <c r="L111" t="str">
        <f t="shared" si="30"/>
        <v>Trd_hdt</v>
      </c>
      <c r="M111" s="185">
        <f t="shared" si="25"/>
        <v>303265.29170650401</v>
      </c>
      <c r="N111" s="185">
        <f t="shared" si="26"/>
        <v>181119.77669278701</v>
      </c>
      <c r="O111" s="185">
        <f t="shared" si="27"/>
        <v>129747.62585195201</v>
      </c>
      <c r="P111" s="185">
        <f t="shared" si="28"/>
        <v>116406.394514931</v>
      </c>
      <c r="T111" t="str">
        <f t="shared" si="31"/>
        <v>Trd_hdt_hh2_2.8</v>
      </c>
      <c r="U111" t="str">
        <f t="shared" ca="1" si="39"/>
        <v>7.5-16t Hydrogen fuel cell truck -- 2.8</v>
      </c>
      <c r="V111" s="188" t="s">
        <v>84</v>
      </c>
      <c r="W111" s="188" t="s">
        <v>85</v>
      </c>
    </row>
    <row r="142" spans="1:6" s="61" customFormat="1" ht="15" customHeight="1">
      <c r="A142"/>
      <c r="C142"/>
      <c r="D142"/>
      <c r="E142"/>
      <c r="F142"/>
    </row>
    <row r="162" spans="1:6" s="61" customFormat="1" ht="15" customHeight="1">
      <c r="A162"/>
      <c r="C162"/>
      <c r="D162"/>
      <c r="E162"/>
      <c r="F162"/>
    </row>
    <row r="221" spans="1:6" s="61" customFormat="1" ht="21.75" customHeight="1">
      <c r="A221"/>
      <c r="C221"/>
      <c r="D221"/>
      <c r="E221"/>
      <c r="F221"/>
    </row>
    <row r="222" spans="1:6" s="61" customFormat="1" ht="21.75" customHeight="1">
      <c r="A222"/>
      <c r="C222"/>
      <c r="D222"/>
      <c r="E222"/>
      <c r="F222"/>
    </row>
    <row r="223" spans="1:6" s="61" customFormat="1" ht="21.75" customHeight="1">
      <c r="A223"/>
      <c r="C223"/>
      <c r="D223"/>
      <c r="E223"/>
      <c r="F223"/>
    </row>
    <row r="342" spans="1:6" s="61" customFormat="1" ht="21.75" customHeight="1">
      <c r="A342"/>
      <c r="C342"/>
      <c r="D342"/>
      <c r="E342"/>
      <c r="F342"/>
    </row>
    <row r="343" spans="1:6" s="61" customFormat="1" ht="21.75" customHeight="1">
      <c r="A343"/>
      <c r="C343"/>
      <c r="D343"/>
      <c r="E343"/>
      <c r="F343"/>
    </row>
    <row r="344" spans="1:6" s="61" customFormat="1" ht="21.75" customHeight="1">
      <c r="A344"/>
      <c r="C344"/>
      <c r="D344"/>
      <c r="E344"/>
      <c r="F344"/>
    </row>
  </sheetData>
  <pageMargins left="0.7" right="0.7" top="0.75" bottom="0.75" header="0.3" footer="0.3"/>
  <pageSetup orientation="portrait"/>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B1:W155"/>
  <sheetViews>
    <sheetView showGridLines="0" workbookViewId="0">
      <selection activeCell="H11" sqref="H11"/>
    </sheetView>
  </sheetViews>
  <sheetFormatPr defaultColWidth="9" defaultRowHeight="14.25"/>
  <cols>
    <col min="1" max="1" width="7.59765625" customWidth="1"/>
    <col min="2" max="2" width="38.265625" customWidth="1"/>
    <col min="3" max="6" width="13.73046875" customWidth="1"/>
    <col min="10" max="10" width="14.06640625" customWidth="1"/>
    <col min="11" max="11" width="18.265625" customWidth="1"/>
    <col min="12" max="12" width="11.06640625" customWidth="1"/>
    <col min="13" max="16" width="6" customWidth="1"/>
    <col min="18" max="18" width="31.59765625" customWidth="1"/>
  </cols>
  <sheetData>
    <row r="1" spans="2:23" ht="15.75">
      <c r="B1" s="169" t="s">
        <v>10</v>
      </c>
      <c r="C1" s="170"/>
      <c r="D1" s="170"/>
      <c r="E1" s="170"/>
      <c r="F1" s="171"/>
      <c r="Q1" t="s">
        <v>125</v>
      </c>
      <c r="R1" t="s">
        <v>126</v>
      </c>
      <c r="S1" t="str">
        <f>"Trd_2w_"&amp;Q1</f>
        <v>Trd_2w_gsl150</v>
      </c>
    </row>
    <row r="2" spans="2:23">
      <c r="B2" s="192" t="s">
        <v>9</v>
      </c>
      <c r="C2" s="193"/>
      <c r="D2" s="193"/>
      <c r="E2" s="193"/>
      <c r="F2" s="193"/>
      <c r="Q2" t="s">
        <v>127</v>
      </c>
      <c r="R2" t="s">
        <v>128</v>
      </c>
      <c r="S2" t="str">
        <f t="shared" ref="S2:S8" si="0">"Trd_2w_"&amp;Q2</f>
        <v>Trd_2w_gsl500</v>
      </c>
    </row>
    <row r="3" spans="2:23">
      <c r="Q3" t="s">
        <v>42</v>
      </c>
      <c r="R3" t="s">
        <v>129</v>
      </c>
      <c r="S3" t="str">
        <f>"Trd_3w_"&amp;Q3</f>
        <v>Trd_3w_gsl</v>
      </c>
    </row>
    <row r="4" spans="2:23">
      <c r="I4" s="195">
        <f>31536000/10^9</f>
        <v>3.1536000000000002E-2</v>
      </c>
      <c r="J4" s="180" t="s">
        <v>47</v>
      </c>
      <c r="Q4" t="s">
        <v>130</v>
      </c>
      <c r="R4" t="s">
        <v>131</v>
      </c>
      <c r="S4" t="str">
        <f t="shared" si="0"/>
        <v>Trd_2w_gsl50</v>
      </c>
    </row>
    <row r="5" spans="2:23">
      <c r="B5" s="29" t="s">
        <v>132</v>
      </c>
      <c r="Q5" t="s">
        <v>133</v>
      </c>
      <c r="R5" t="s">
        <v>134</v>
      </c>
      <c r="S5" t="str">
        <f t="shared" si="0"/>
        <v>Trd_2w_elc150</v>
      </c>
    </row>
    <row r="6" spans="2:23" ht="15" customHeight="1">
      <c r="B6" s="177">
        <v>2015</v>
      </c>
      <c r="C6" s="177"/>
      <c r="D6" s="177"/>
      <c r="Q6" t="s">
        <v>135</v>
      </c>
      <c r="R6" t="s">
        <v>136</v>
      </c>
      <c r="S6" t="str">
        <f t="shared" si="0"/>
        <v>Trd_2w_elc500</v>
      </c>
    </row>
    <row r="7" spans="2:23">
      <c r="B7" s="31" t="s">
        <v>12</v>
      </c>
      <c r="C7" s="32" t="s">
        <v>13</v>
      </c>
      <c r="D7" s="33">
        <v>3.2040038477468</v>
      </c>
      <c r="G7" s="178">
        <f>D7*$I$4/100*10^9/10^6</f>
        <v>1.0104146534254299</v>
      </c>
      <c r="H7" s="178"/>
      <c r="I7" s="178">
        <f>1/G7</f>
        <v>0.98969269359849099</v>
      </c>
      <c r="Q7" t="s">
        <v>66</v>
      </c>
      <c r="R7" t="s">
        <v>137</v>
      </c>
      <c r="S7" t="str">
        <f>"Trd_3w_"&amp;Q7</f>
        <v>Trd_3w_elc</v>
      </c>
    </row>
    <row r="8" spans="2:23">
      <c r="B8" s="31" t="s">
        <v>14</v>
      </c>
      <c r="C8" s="32" t="s">
        <v>15</v>
      </c>
      <c r="D8" s="44">
        <v>2532.9673348985202</v>
      </c>
      <c r="I8" s="29" t="s">
        <v>70</v>
      </c>
      <c r="Q8" t="s">
        <v>138</v>
      </c>
      <c r="R8" t="s">
        <v>139</v>
      </c>
      <c r="S8" t="str">
        <f t="shared" si="0"/>
        <v>Trd_2w_elc50</v>
      </c>
    </row>
    <row r="10" spans="2:23">
      <c r="K10" s="183" t="s">
        <v>71</v>
      </c>
      <c r="S10" s="183" t="s">
        <v>72</v>
      </c>
      <c r="T10" s="187"/>
      <c r="U10" s="187"/>
      <c r="V10" s="187"/>
      <c r="W10" s="187"/>
    </row>
    <row r="11" spans="2:23">
      <c r="I11" t="s">
        <v>73</v>
      </c>
      <c r="J11" t="s">
        <v>74</v>
      </c>
      <c r="K11" t="s">
        <v>75</v>
      </c>
      <c r="L11" t="s">
        <v>76</v>
      </c>
      <c r="M11">
        <f>C15</f>
        <v>2020</v>
      </c>
      <c r="N11">
        <f>D15</f>
        <v>2030</v>
      </c>
      <c r="O11">
        <f>E15</f>
        <v>2040</v>
      </c>
      <c r="P11">
        <f>F15</f>
        <v>2050</v>
      </c>
      <c r="Q11" t="s">
        <v>77</v>
      </c>
      <c r="S11" s="187" t="s">
        <v>78</v>
      </c>
      <c r="T11" s="187" t="s">
        <v>79</v>
      </c>
      <c r="U11" s="187" t="s">
        <v>80</v>
      </c>
      <c r="V11" s="187" t="s">
        <v>81</v>
      </c>
      <c r="W11" s="187" t="s">
        <v>82</v>
      </c>
    </row>
    <row r="12" spans="2:23" ht="15" customHeight="1">
      <c r="B12" s="194" t="s">
        <v>140</v>
      </c>
      <c r="C12" s="194" t="s">
        <v>126</v>
      </c>
      <c r="D12" s="194"/>
      <c r="E12" s="194"/>
      <c r="F12" s="19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188" t="s">
        <v>84</v>
      </c>
      <c r="W12" s="188" t="s">
        <v>85</v>
      </c>
    </row>
    <row r="13" spans="2:23">
      <c r="B13" s="194"/>
      <c r="C13" s="194"/>
      <c r="D13" s="194"/>
      <c r="E13" s="194"/>
      <c r="F13" s="19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t="shared" ref="U13:U23" ca="1" si="7">OFFSET($S$1,MATCH(J13,$S$1:$S$11,0)-1,-1)&amp;" -- "&amp;TEXT(B13,"00%")</f>
        <v>4-stroke MC 50-250 cc motorcycle -- 00%</v>
      </c>
      <c r="V13" s="188" t="s">
        <v>84</v>
      </c>
      <c r="W13" s="188" t="s">
        <v>85</v>
      </c>
    </row>
    <row r="14" spans="2:23">
      <c r="B14" s="194"/>
      <c r="C14" s="194"/>
      <c r="D14" s="194"/>
      <c r="E14" s="194"/>
      <c r="F14" s="194"/>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t="shared" ca="1" si="7"/>
        <v>4-stroke MC 50-250 cc motorcycle -- 00%</v>
      </c>
      <c r="V14" s="188" t="s">
        <v>84</v>
      </c>
      <c r="W14" s="188" t="s">
        <v>85</v>
      </c>
    </row>
    <row r="15" spans="2:23">
      <c r="B15" s="35"/>
      <c r="C15" s="36">
        <v>2020</v>
      </c>
      <c r="D15" s="36">
        <v>2030</v>
      </c>
      <c r="E15" s="36">
        <v>2040</v>
      </c>
      <c r="F15" s="36">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t="shared" ca="1" si="7"/>
        <v>4-stroke MC 50-250 cc motorcycle -- 00%</v>
      </c>
      <c r="V15" s="188" t="s">
        <v>84</v>
      </c>
      <c r="W15" s="188" t="s">
        <v>85</v>
      </c>
    </row>
    <row r="16" spans="2:23">
      <c r="B16" s="52">
        <v>1.5429670784800001E-2</v>
      </c>
      <c r="C16" s="53">
        <v>2548.3999587303601</v>
      </c>
      <c r="D16" s="53">
        <v>2548.3999587303601</v>
      </c>
      <c r="E16" s="53">
        <v>2548.3999587303601</v>
      </c>
      <c r="F16" s="53">
        <v>2548.3999587303601</v>
      </c>
      <c r="I16" s="184">
        <f>(1+B16)</f>
        <v>1.0154296707848001</v>
      </c>
      <c r="J16" t="str">
        <f t="shared" si="1"/>
        <v>Trd_2w_gsl150</v>
      </c>
      <c r="K16" t="str">
        <f t="shared" si="2"/>
        <v>Trd_2w_gsl150_02</v>
      </c>
      <c r="L16" t="str">
        <f t="shared" si="3"/>
        <v>Trd_2w</v>
      </c>
      <c r="M16" s="185">
        <f t="shared" si="4"/>
        <v>2548.3999587303601</v>
      </c>
      <c r="N16" s="185">
        <f t="shared" si="5"/>
        <v>2548.3999587303601</v>
      </c>
      <c r="O16" s="185">
        <f t="shared" si="5"/>
        <v>2548.3999587303601</v>
      </c>
      <c r="P16" s="185">
        <f t="shared" si="5"/>
        <v>2548.3999587303601</v>
      </c>
      <c r="S16" t="s">
        <v>83</v>
      </c>
      <c r="T16" t="str">
        <f t="shared" si="6"/>
        <v>Trd_2w_gsl150_02</v>
      </c>
      <c r="U16" t="str">
        <f t="shared" ca="1" si="7"/>
        <v>4-stroke MC 50-250 cc motorcycle -- 02%</v>
      </c>
      <c r="V16" s="188" t="s">
        <v>84</v>
      </c>
      <c r="W16" s="188" t="s">
        <v>85</v>
      </c>
    </row>
    <row r="17" spans="2:23">
      <c r="B17" s="52">
        <v>6.5429670784799998E-2</v>
      </c>
      <c r="C17" s="53">
        <v>2623.20910676422</v>
      </c>
      <c r="D17" s="53">
        <v>2598.4095281083501</v>
      </c>
      <c r="E17" s="53">
        <v>2598.4095281083501</v>
      </c>
      <c r="F17" s="53">
        <v>2598.4095281083501</v>
      </c>
      <c r="I17" s="184">
        <f t="shared" ref="I17:I19" si="8">(1+B17)</f>
        <v>1.0654296707848001</v>
      </c>
      <c r="J17" t="str">
        <f t="shared" si="1"/>
        <v>Trd_2w_gsl150</v>
      </c>
      <c r="K17" t="str">
        <f t="shared" si="2"/>
        <v>Trd_2w_gsl150_07</v>
      </c>
      <c r="L17" t="str">
        <f t="shared" si="3"/>
        <v>Trd_2w</v>
      </c>
      <c r="M17" s="185">
        <f t="shared" si="4"/>
        <v>2623.20910676422</v>
      </c>
      <c r="N17" s="185">
        <f t="shared" si="5"/>
        <v>2598.4095281083501</v>
      </c>
      <c r="O17" s="185">
        <f t="shared" si="5"/>
        <v>2598.4095281083501</v>
      </c>
      <c r="P17" s="185">
        <f t="shared" si="5"/>
        <v>2598.4095281083501</v>
      </c>
      <c r="S17" t="s">
        <v>83</v>
      </c>
      <c r="T17" t="str">
        <f t="shared" si="6"/>
        <v>Trd_2w_gsl150_07</v>
      </c>
      <c r="U17" t="str">
        <f t="shared" ca="1" si="7"/>
        <v>4-stroke MC 50-250 cc motorcycle -- 07%</v>
      </c>
      <c r="V17" s="188" t="s">
        <v>84</v>
      </c>
      <c r="W17" s="188" t="s">
        <v>85</v>
      </c>
    </row>
    <row r="18" spans="2:23">
      <c r="B18" s="52">
        <v>0.1154296707848</v>
      </c>
      <c r="C18" s="53">
        <v>2666.5661606017702</v>
      </c>
      <c r="D18" s="53">
        <v>2648.41909748634</v>
      </c>
      <c r="E18" s="53">
        <v>2648.41909748634</v>
      </c>
      <c r="F18" s="53">
        <v>2648.41909748634</v>
      </c>
      <c r="I18" s="184">
        <f t="shared" si="8"/>
        <v>1.1154296707847999</v>
      </c>
      <c r="J18" t="str">
        <f t="shared" si="1"/>
        <v>Trd_2w_gsl150</v>
      </c>
      <c r="K18" t="str">
        <f t="shared" si="2"/>
        <v>Trd_2w_gsl150_12</v>
      </c>
      <c r="L18" t="str">
        <f t="shared" si="3"/>
        <v>Trd_2w</v>
      </c>
      <c r="M18" s="185">
        <f t="shared" si="4"/>
        <v>2666.5661606017702</v>
      </c>
      <c r="N18" s="185">
        <f t="shared" si="5"/>
        <v>2648.41909748634</v>
      </c>
      <c r="O18" s="185">
        <f t="shared" si="5"/>
        <v>2648.41909748634</v>
      </c>
      <c r="P18" s="185">
        <f t="shared" si="5"/>
        <v>2648.41909748634</v>
      </c>
      <c r="S18" t="s">
        <v>83</v>
      </c>
      <c r="T18" t="str">
        <f t="shared" si="6"/>
        <v>Trd_2w_gsl150_12</v>
      </c>
      <c r="U18" t="str">
        <f t="shared" ca="1" si="7"/>
        <v>4-stroke MC 50-250 cc motorcycle -- 12%</v>
      </c>
      <c r="V18" s="188" t="s">
        <v>84</v>
      </c>
      <c r="W18" s="188" t="s">
        <v>85</v>
      </c>
    </row>
    <row r="19" spans="2:23">
      <c r="B19" s="52">
        <v>0.1654296707848</v>
      </c>
      <c r="C19" s="53">
        <v>2850.0903523982201</v>
      </c>
      <c r="D19" s="53">
        <v>2698.4286668643399</v>
      </c>
      <c r="E19" s="53">
        <v>2698.4286668643399</v>
      </c>
      <c r="F19" s="53">
        <v>2698.4286668643399</v>
      </c>
      <c r="I19" s="184">
        <f t="shared" si="8"/>
        <v>1.1654296707848</v>
      </c>
      <c r="J19" t="str">
        <f t="shared" si="1"/>
        <v>Trd_2w_gsl150</v>
      </c>
      <c r="K19" t="str">
        <f t="shared" si="2"/>
        <v>Trd_2w_gsl150_17</v>
      </c>
      <c r="L19" t="str">
        <f t="shared" si="3"/>
        <v>Trd_2w</v>
      </c>
      <c r="M19" s="185">
        <f t="shared" si="4"/>
        <v>2850.0903523982201</v>
      </c>
      <c r="N19" s="185">
        <f t="shared" si="5"/>
        <v>2698.4286668643399</v>
      </c>
      <c r="O19" s="185">
        <f t="shared" si="5"/>
        <v>2698.4286668643399</v>
      </c>
      <c r="P19" s="185">
        <f t="shared" si="5"/>
        <v>2698.4286668643399</v>
      </c>
      <c r="S19" t="s">
        <v>83</v>
      </c>
      <c r="T19" t="str">
        <f t="shared" si="6"/>
        <v>Trd_2w_gsl150_17</v>
      </c>
      <c r="U19" t="str">
        <f t="shared" ca="1" si="7"/>
        <v>4-stroke MC 50-250 cc motorcycle -- 17%</v>
      </c>
      <c r="V19" s="188" t="s">
        <v>84</v>
      </c>
      <c r="W19" s="188" t="s">
        <v>85</v>
      </c>
    </row>
    <row r="20" spans="2:23">
      <c r="B20" s="52">
        <v>0.21542967078479999</v>
      </c>
      <c r="C20" s="53">
        <v>2913.1132377864801</v>
      </c>
      <c r="D20" s="53">
        <v>2748.4382362423298</v>
      </c>
      <c r="E20" s="53">
        <v>2748.4382362423298</v>
      </c>
      <c r="F20" s="53">
        <v>2748.4382362423298</v>
      </c>
      <c r="J20" t="str">
        <f t="shared" si="1"/>
        <v>Trd_2w_gsl150</v>
      </c>
      <c r="K20" t="str">
        <f t="shared" ref="K20:K83" si="9">IFERROR(IF(VALUE(C20)&gt;2020,J20&amp;"_"&amp;TEXT(B20*100,"00"),"\I:"),"\I:")</f>
        <v>Trd_2w_gsl150_22</v>
      </c>
      <c r="L20" t="str">
        <f t="shared" si="3"/>
        <v>Trd_2w</v>
      </c>
      <c r="M20" s="185">
        <f t="shared" ref="M20:M83" si="10">IF($K20="\I:","",C20)</f>
        <v>2913.1132377864801</v>
      </c>
      <c r="N20" s="185">
        <f t="shared" ref="N20:N83" si="11">IF($K20="\I:","",D20)</f>
        <v>2748.4382362423298</v>
      </c>
      <c r="O20" s="185">
        <f t="shared" ref="O20:O83" si="12">IF($K20="\I:","",E20)</f>
        <v>2748.4382362423298</v>
      </c>
      <c r="P20" s="185">
        <f t="shared" ref="P20:P83" si="13">IF($K20="\I:","",F20)</f>
        <v>2748.4382362423298</v>
      </c>
      <c r="S20" t="s">
        <v>83</v>
      </c>
      <c r="T20" t="str">
        <f t="shared" si="6"/>
        <v>Trd_2w_gsl150_22</v>
      </c>
      <c r="U20" t="str">
        <f t="shared" ca="1" si="7"/>
        <v>4-stroke MC 50-250 cc motorcycle -- 22%</v>
      </c>
      <c r="V20" s="188" t="s">
        <v>84</v>
      </c>
      <c r="W20" s="188" t="s">
        <v>85</v>
      </c>
    </row>
    <row r="21" spans="2:23">
      <c r="B21" s="52">
        <v>0.26542967078480001</v>
      </c>
      <c r="C21" s="53">
        <v>3395.1736925412401</v>
      </c>
      <c r="D21" s="53">
        <v>2801.3287683623898</v>
      </c>
      <c r="E21" s="53">
        <v>2798.4478056203202</v>
      </c>
      <c r="F21" s="53">
        <v>2798.4478056203202</v>
      </c>
      <c r="J21" t="str">
        <f t="shared" si="1"/>
        <v>Trd_2w_gsl150</v>
      </c>
      <c r="K21" t="str">
        <f t="shared" si="9"/>
        <v>Trd_2w_gsl150_27</v>
      </c>
      <c r="L21" t="str">
        <f t="shared" si="3"/>
        <v>Trd_2w</v>
      </c>
      <c r="M21" s="185">
        <f t="shared" si="10"/>
        <v>3395.1736925412401</v>
      </c>
      <c r="N21" s="185">
        <f t="shared" si="11"/>
        <v>2801.3287683623898</v>
      </c>
      <c r="O21" s="185">
        <f t="shared" si="12"/>
        <v>2798.4478056203202</v>
      </c>
      <c r="P21" s="185">
        <f t="shared" si="13"/>
        <v>2798.4478056203202</v>
      </c>
      <c r="S21" t="s">
        <v>83</v>
      </c>
      <c r="T21" t="str">
        <f t="shared" si="6"/>
        <v>Trd_2w_gsl150_27</v>
      </c>
      <c r="U21" t="str">
        <f t="shared" ca="1" si="7"/>
        <v>4-stroke MC 50-250 cc motorcycle -- 27%</v>
      </c>
      <c r="V21" s="188" t="s">
        <v>84</v>
      </c>
      <c r="W21" s="188" t="s">
        <v>85</v>
      </c>
    </row>
    <row r="22" spans="2:23">
      <c r="B22" s="52">
        <v>0.3154296707848</v>
      </c>
      <c r="C22" s="53">
        <v>4641.4760989475299</v>
      </c>
      <c r="D22" s="53">
        <v>2995.6373144863001</v>
      </c>
      <c r="E22" s="53">
        <v>2848.4573749983101</v>
      </c>
      <c r="F22" s="53">
        <v>2848.4573749983101</v>
      </c>
      <c r="J22" t="str">
        <f t="shared" si="1"/>
        <v>Trd_2w_gsl150</v>
      </c>
      <c r="K22" t="str">
        <f t="shared" si="9"/>
        <v>Trd_2w_gsl150_32</v>
      </c>
      <c r="L22" t="str">
        <f t="shared" si="3"/>
        <v>Trd_2w</v>
      </c>
      <c r="M22" s="185">
        <f t="shared" si="10"/>
        <v>4641.4760989475299</v>
      </c>
      <c r="N22" s="185">
        <f t="shared" si="11"/>
        <v>2995.6373144863001</v>
      </c>
      <c r="O22" s="185">
        <f t="shared" si="12"/>
        <v>2848.4573749983101</v>
      </c>
      <c r="P22" s="185">
        <f t="shared" si="13"/>
        <v>2848.4573749983101</v>
      </c>
      <c r="S22" t="s">
        <v>83</v>
      </c>
      <c r="T22" t="str">
        <f t="shared" si="6"/>
        <v>Trd_2w_gsl150_32</v>
      </c>
      <c r="U22" t="str">
        <f t="shared" ca="1" si="7"/>
        <v>4-stroke MC 50-250 cc motorcycle -- 32%</v>
      </c>
      <c r="V22" s="188" t="s">
        <v>84</v>
      </c>
      <c r="W22" s="188" t="s">
        <v>85</v>
      </c>
    </row>
    <row r="23" spans="2:23">
      <c r="J23" t="str">
        <f t="shared" si="1"/>
        <v>Trd_2w_gsl150</v>
      </c>
      <c r="K23" t="str">
        <f t="shared" si="9"/>
        <v>\I:</v>
      </c>
      <c r="L23" t="str">
        <f t="shared" si="3"/>
        <v>\I:</v>
      </c>
      <c r="M23" s="185" t="str">
        <f t="shared" si="10"/>
        <v/>
      </c>
      <c r="N23" s="185" t="str">
        <f t="shared" si="11"/>
        <v/>
      </c>
      <c r="O23" s="185" t="str">
        <f t="shared" si="12"/>
        <v/>
      </c>
      <c r="P23" s="185" t="str">
        <f t="shared" si="13"/>
        <v/>
      </c>
      <c r="S23" t="s">
        <v>83</v>
      </c>
      <c r="T23" t="str">
        <f t="shared" si="6"/>
        <v>\I:</v>
      </c>
      <c r="U23" t="str">
        <f t="shared" ca="1" si="7"/>
        <v>4-stroke MC 50-250 cc motorcycle -- 00%</v>
      </c>
      <c r="V23" s="188" t="s">
        <v>84</v>
      </c>
      <c r="W23" s="188" t="s">
        <v>85</v>
      </c>
    </row>
    <row r="24" spans="2:23">
      <c r="J24" t="str">
        <f t="shared" si="1"/>
        <v>Trd_2w_gsl150</v>
      </c>
      <c r="K24" t="str">
        <f t="shared" si="9"/>
        <v>\I:</v>
      </c>
      <c r="L24" t="str">
        <f t="shared" si="3"/>
        <v>\I:</v>
      </c>
      <c r="M24" s="185" t="str">
        <f t="shared" si="10"/>
        <v/>
      </c>
      <c r="N24" s="185" t="str">
        <f t="shared" si="11"/>
        <v/>
      </c>
      <c r="O24" s="185" t="str">
        <f t="shared" si="12"/>
        <v/>
      </c>
      <c r="P24" s="185" t="str">
        <f t="shared" si="13"/>
        <v/>
      </c>
      <c r="T24" t="str">
        <f t="shared" ref="T24:T87" si="14">K24</f>
        <v>\I:</v>
      </c>
      <c r="U24" t="str">
        <f t="shared" ref="U24:U87" ca="1" si="15">OFFSET($S$1,MATCH(J24,$S$1:$S$11,0)-1,-1)&amp;" -- "&amp;TEXT(B24,"00%")</f>
        <v>4-stroke MC 50-250 cc motorcycle -- 00%</v>
      </c>
      <c r="V24" s="188" t="s">
        <v>84</v>
      </c>
      <c r="W24" s="188" t="s">
        <v>85</v>
      </c>
    </row>
    <row r="25" spans="2:23">
      <c r="J25" t="str">
        <f t="shared" si="1"/>
        <v>Trd_2w_gsl150</v>
      </c>
      <c r="K25" t="str">
        <f t="shared" si="9"/>
        <v>\I:</v>
      </c>
      <c r="L25" t="str">
        <f t="shared" si="3"/>
        <v>\I:</v>
      </c>
      <c r="M25" s="185" t="str">
        <f t="shared" si="10"/>
        <v/>
      </c>
      <c r="N25" s="185" t="str">
        <f t="shared" si="11"/>
        <v/>
      </c>
      <c r="O25" s="185" t="str">
        <f t="shared" si="12"/>
        <v/>
      </c>
      <c r="P25" s="185" t="str">
        <f t="shared" si="13"/>
        <v/>
      </c>
      <c r="T25" t="str">
        <f t="shared" si="14"/>
        <v>\I:</v>
      </c>
      <c r="U25" t="str">
        <f t="shared" ca="1" si="15"/>
        <v>4-stroke MC 50-250 cc motorcycle -- 00%</v>
      </c>
      <c r="V25" s="188" t="s">
        <v>84</v>
      </c>
      <c r="W25" s="188" t="s">
        <v>85</v>
      </c>
    </row>
    <row r="26" spans="2:23">
      <c r="J26" t="str">
        <f t="shared" si="1"/>
        <v>Trd_2w_gsl150</v>
      </c>
      <c r="K26" t="str">
        <f t="shared" si="9"/>
        <v>\I:</v>
      </c>
      <c r="L26" t="str">
        <f t="shared" si="3"/>
        <v>\I:</v>
      </c>
      <c r="M26" s="185" t="str">
        <f t="shared" si="10"/>
        <v/>
      </c>
      <c r="N26" s="185" t="str">
        <f t="shared" si="11"/>
        <v/>
      </c>
      <c r="O26" s="185" t="str">
        <f t="shared" si="12"/>
        <v/>
      </c>
      <c r="P26" s="185" t="str">
        <f t="shared" si="13"/>
        <v/>
      </c>
      <c r="T26" t="str">
        <f t="shared" si="14"/>
        <v>\I:</v>
      </c>
      <c r="U26" t="str">
        <f t="shared" ca="1" si="15"/>
        <v>4-stroke MC 50-250 cc motorcycle -- 00%</v>
      </c>
      <c r="V26" s="188" t="s">
        <v>84</v>
      </c>
      <c r="W26" s="188" t="s">
        <v>85</v>
      </c>
    </row>
    <row r="27" spans="2:23">
      <c r="B27" s="29" t="s">
        <v>141</v>
      </c>
      <c r="J27" t="str">
        <f t="shared" si="1"/>
        <v>Trd_2w_gsl150</v>
      </c>
      <c r="K27" t="str">
        <f t="shared" si="9"/>
        <v>\I:</v>
      </c>
      <c r="L27" t="str">
        <f t="shared" si="3"/>
        <v>\I:</v>
      </c>
      <c r="M27" s="185" t="str">
        <f t="shared" si="10"/>
        <v/>
      </c>
      <c r="N27" s="185" t="str">
        <f t="shared" si="11"/>
        <v/>
      </c>
      <c r="O27" s="185" t="str">
        <f t="shared" si="12"/>
        <v/>
      </c>
      <c r="P27" s="185" t="str">
        <f t="shared" si="13"/>
        <v/>
      </c>
      <c r="T27" t="str">
        <f t="shared" si="14"/>
        <v>\I:</v>
      </c>
      <c r="U27" t="str">
        <f t="shared" ca="1" si="15"/>
        <v>4-stroke MC 50-250 cc motorcycle -- Reference values for 4-stroke MC 250-750 cc motorcycle</v>
      </c>
      <c r="V27" s="188" t="s">
        <v>84</v>
      </c>
      <c r="W27" s="188" t="s">
        <v>85</v>
      </c>
    </row>
    <row r="28" spans="2:23" ht="15" customHeight="1">
      <c r="B28" s="177">
        <v>2015</v>
      </c>
      <c r="C28" s="177"/>
      <c r="D28" s="177"/>
      <c r="J28" t="str">
        <f t="shared" si="1"/>
        <v>Trd_2w_gsl150</v>
      </c>
      <c r="K28" t="str">
        <f t="shared" si="9"/>
        <v>\I:</v>
      </c>
      <c r="L28" t="str">
        <f t="shared" si="3"/>
        <v>\I:</v>
      </c>
      <c r="M28" s="185" t="str">
        <f t="shared" si="10"/>
        <v/>
      </c>
      <c r="N28" s="185" t="str">
        <f t="shared" si="11"/>
        <v/>
      </c>
      <c r="O28" s="185" t="str">
        <f t="shared" si="12"/>
        <v/>
      </c>
      <c r="P28" s="185" t="str">
        <f t="shared" si="13"/>
        <v/>
      </c>
      <c r="T28" t="str">
        <f t="shared" si="14"/>
        <v>\I:</v>
      </c>
      <c r="U28" t="str">
        <f t="shared" ca="1" si="15"/>
        <v>4-stroke MC 50-250 cc motorcycle -- 201500%</v>
      </c>
      <c r="V28" s="188" t="s">
        <v>84</v>
      </c>
      <c r="W28" s="188" t="s">
        <v>85</v>
      </c>
    </row>
    <row r="29" spans="2:23">
      <c r="B29" s="31" t="s">
        <v>12</v>
      </c>
      <c r="C29" s="32" t="s">
        <v>13</v>
      </c>
      <c r="D29" s="33">
        <v>4.4070545168586497</v>
      </c>
      <c r="G29" s="178">
        <f>D29*$I$4/100*10^9/10^6</f>
        <v>1.3898087124365399</v>
      </c>
      <c r="H29" s="178"/>
      <c r="I29" s="178">
        <f>1/G29</f>
        <v>0.71952347905982705</v>
      </c>
      <c r="J29" t="str">
        <f t="shared" si="1"/>
        <v>Trd_2w_gsl150</v>
      </c>
      <c r="K29" t="str">
        <f t="shared" si="9"/>
        <v>\I:</v>
      </c>
      <c r="L29" t="str">
        <f t="shared" si="3"/>
        <v>\I:</v>
      </c>
      <c r="M29" s="185" t="str">
        <f t="shared" si="10"/>
        <v/>
      </c>
      <c r="N29" s="185" t="str">
        <f t="shared" si="11"/>
        <v/>
      </c>
      <c r="O29" s="185" t="str">
        <f t="shared" si="12"/>
        <v/>
      </c>
      <c r="P29" s="185" t="str">
        <f t="shared" si="13"/>
        <v/>
      </c>
      <c r="T29" t="str">
        <f t="shared" si="14"/>
        <v>\I:</v>
      </c>
      <c r="U29" t="str">
        <f t="shared" ca="1" si="15"/>
        <v>4-stroke MC 50-250 cc motorcycle -- Energy consumption</v>
      </c>
      <c r="V29" s="188" t="s">
        <v>84</v>
      </c>
      <c r="W29" s="188" t="s">
        <v>85</v>
      </c>
    </row>
    <row r="30" spans="2:23">
      <c r="B30" s="31" t="s">
        <v>14</v>
      </c>
      <c r="C30" s="32" t="s">
        <v>15</v>
      </c>
      <c r="D30" s="44">
        <v>6006.1537284367996</v>
      </c>
      <c r="I30" s="29" t="s">
        <v>70</v>
      </c>
      <c r="J30" t="str">
        <f t="shared" si="1"/>
        <v>Trd_2w_gsl150</v>
      </c>
      <c r="K30" t="str">
        <f t="shared" si="9"/>
        <v>\I:</v>
      </c>
      <c r="L30" t="str">
        <f t="shared" si="3"/>
        <v>\I:</v>
      </c>
      <c r="M30" s="185" t="str">
        <f t="shared" si="10"/>
        <v/>
      </c>
      <c r="N30" s="185" t="str">
        <f t="shared" si="11"/>
        <v/>
      </c>
      <c r="O30" s="185" t="str">
        <f t="shared" si="12"/>
        <v/>
      </c>
      <c r="P30" s="185" t="str">
        <f t="shared" si="13"/>
        <v/>
      </c>
      <c r="T30" t="str">
        <f t="shared" si="14"/>
        <v>\I:</v>
      </c>
      <c r="U30" t="str">
        <f t="shared" ca="1" si="15"/>
        <v>4-stroke MC 50-250 cc motorcycle -- Capital cost</v>
      </c>
      <c r="V30" s="188" t="s">
        <v>84</v>
      </c>
      <c r="W30" s="188" t="s">
        <v>85</v>
      </c>
    </row>
    <row r="31" spans="2:23">
      <c r="J31" t="str">
        <f t="shared" si="1"/>
        <v>Trd_2w_gsl150</v>
      </c>
      <c r="K31" t="str">
        <f t="shared" si="9"/>
        <v>\I:</v>
      </c>
      <c r="L31" t="str">
        <f t="shared" si="3"/>
        <v>\I:</v>
      </c>
      <c r="M31" s="185" t="str">
        <f t="shared" si="10"/>
        <v/>
      </c>
      <c r="N31" s="185" t="str">
        <f t="shared" si="11"/>
        <v/>
      </c>
      <c r="O31" s="185" t="str">
        <f t="shared" si="12"/>
        <v/>
      </c>
      <c r="P31" s="185" t="str">
        <f t="shared" si="13"/>
        <v/>
      </c>
      <c r="T31" t="str">
        <f t="shared" si="14"/>
        <v>\I:</v>
      </c>
      <c r="U31" t="str">
        <f t="shared" ca="1" si="15"/>
        <v>4-stroke MC 50-250 cc motorcycle -- 00%</v>
      </c>
      <c r="V31" s="188" t="s">
        <v>84</v>
      </c>
      <c r="W31" s="188" t="s">
        <v>85</v>
      </c>
    </row>
    <row r="32" spans="2:23" ht="15" customHeight="1">
      <c r="B32" s="194" t="s">
        <v>140</v>
      </c>
      <c r="C32" s="194" t="s">
        <v>128</v>
      </c>
      <c r="D32" s="194"/>
      <c r="E32" s="194"/>
      <c r="F32" s="194"/>
      <c r="J32" t="str">
        <f t="shared" si="1"/>
        <v>Trd_2w_gsl500</v>
      </c>
      <c r="K32" t="str">
        <f t="shared" si="9"/>
        <v>\I:</v>
      </c>
      <c r="L32" t="str">
        <f t="shared" si="3"/>
        <v>\I:</v>
      </c>
      <c r="M32" s="185" t="str">
        <f t="shared" si="10"/>
        <v/>
      </c>
      <c r="N32" s="185" t="str">
        <f t="shared" si="11"/>
        <v/>
      </c>
      <c r="O32" s="185" t="str">
        <f t="shared" si="12"/>
        <v/>
      </c>
      <c r="P32" s="185" t="str">
        <f t="shared" si="13"/>
        <v/>
      </c>
      <c r="T32" t="str">
        <f t="shared" si="14"/>
        <v>\I:</v>
      </c>
      <c r="U32" t="str">
        <f t="shared" ca="1" si="15"/>
        <v>4-stroke MC 250-750 cc motorcycle -- Reduction of specific energy consumption relative to 2015 (%)</v>
      </c>
      <c r="V32" s="188" t="s">
        <v>84</v>
      </c>
      <c r="W32" s="188" t="s">
        <v>85</v>
      </c>
    </row>
    <row r="33" spans="2:23">
      <c r="B33" s="194"/>
      <c r="C33" s="194"/>
      <c r="D33" s="194"/>
      <c r="E33" s="194"/>
      <c r="F33" s="194"/>
      <c r="J33" t="str">
        <f t="shared" si="1"/>
        <v>Trd_2w_gsl500</v>
      </c>
      <c r="K33" t="str">
        <f t="shared" si="9"/>
        <v>\I:</v>
      </c>
      <c r="L33" t="str">
        <f t="shared" si="3"/>
        <v>\I:</v>
      </c>
      <c r="M33" s="185" t="str">
        <f t="shared" si="10"/>
        <v/>
      </c>
      <c r="N33" s="185" t="str">
        <f t="shared" si="11"/>
        <v/>
      </c>
      <c r="O33" s="185" t="str">
        <f t="shared" si="12"/>
        <v/>
      </c>
      <c r="P33" s="185" t="str">
        <f t="shared" si="13"/>
        <v/>
      </c>
      <c r="T33" t="str">
        <f t="shared" si="14"/>
        <v>\I:</v>
      </c>
      <c r="U33" t="str">
        <f t="shared" ca="1" si="15"/>
        <v>4-stroke MC 250-750 cc motorcycle -- 00%</v>
      </c>
      <c r="V33" s="188" t="s">
        <v>84</v>
      </c>
      <c r="W33" s="188" t="s">
        <v>85</v>
      </c>
    </row>
    <row r="34" spans="2:23">
      <c r="B34" s="194"/>
      <c r="C34" s="194"/>
      <c r="D34" s="194"/>
      <c r="E34" s="194"/>
      <c r="F34" s="194"/>
      <c r="J34" t="str">
        <f t="shared" si="1"/>
        <v>Trd_2w_gsl500</v>
      </c>
      <c r="K34" t="str">
        <f t="shared" si="9"/>
        <v>\I:</v>
      </c>
      <c r="L34" t="str">
        <f t="shared" si="3"/>
        <v>\I:</v>
      </c>
      <c r="M34" s="185" t="str">
        <f t="shared" si="10"/>
        <v/>
      </c>
      <c r="N34" s="185" t="str">
        <f t="shared" si="11"/>
        <v/>
      </c>
      <c r="O34" s="185" t="str">
        <f t="shared" si="12"/>
        <v/>
      </c>
      <c r="P34" s="185" t="str">
        <f t="shared" si="13"/>
        <v/>
      </c>
      <c r="T34" t="str">
        <f t="shared" si="14"/>
        <v>\I:</v>
      </c>
      <c r="U34" t="str">
        <f t="shared" ca="1" si="15"/>
        <v>4-stroke MC 250-750 cc motorcycle -- 00%</v>
      </c>
      <c r="V34" s="188" t="s">
        <v>84</v>
      </c>
      <c r="W34" s="188" t="s">
        <v>85</v>
      </c>
    </row>
    <row r="35" spans="2:23">
      <c r="B35" s="35"/>
      <c r="C35" s="36">
        <v>2020</v>
      </c>
      <c r="D35" s="36">
        <v>2030</v>
      </c>
      <c r="E35" s="36">
        <v>2040</v>
      </c>
      <c r="F35" s="36">
        <v>2050</v>
      </c>
      <c r="J35" t="str">
        <f t="shared" si="1"/>
        <v>Trd_2w_gsl500</v>
      </c>
      <c r="K35" t="str">
        <f t="shared" si="9"/>
        <v>\I:</v>
      </c>
      <c r="L35" t="str">
        <f t="shared" si="3"/>
        <v>\I:</v>
      </c>
      <c r="M35" s="185" t="str">
        <f t="shared" si="10"/>
        <v/>
      </c>
      <c r="N35" s="185" t="str">
        <f t="shared" si="11"/>
        <v/>
      </c>
      <c r="O35" s="185" t="str">
        <f t="shared" si="12"/>
        <v/>
      </c>
      <c r="P35" s="185" t="str">
        <f t="shared" si="13"/>
        <v/>
      </c>
      <c r="T35" t="str">
        <f t="shared" si="14"/>
        <v>\I:</v>
      </c>
      <c r="U35" t="str">
        <f t="shared" ca="1" si="15"/>
        <v>4-stroke MC 250-750 cc motorcycle -- 00%</v>
      </c>
      <c r="V35" s="188" t="s">
        <v>84</v>
      </c>
      <c r="W35" s="188" t="s">
        <v>85</v>
      </c>
    </row>
    <row r="36" spans="2:23">
      <c r="B36" s="52">
        <v>1.8136357678885402E-2</v>
      </c>
      <c r="C36" s="53">
        <v>6040.16590734703</v>
      </c>
      <c r="D36" s="53">
        <v>6040.16590734703</v>
      </c>
      <c r="E36" s="53">
        <v>6040.16590734703</v>
      </c>
      <c r="F36" s="53">
        <v>6040.16590734703</v>
      </c>
      <c r="I36" s="184">
        <f>$I$29/$I$7*(1+B36)</f>
        <v>0.74020250828648604</v>
      </c>
      <c r="J36" t="str">
        <f t="shared" si="1"/>
        <v>Trd_2w_gsl500</v>
      </c>
      <c r="K36" t="str">
        <f t="shared" si="9"/>
        <v>Trd_2w_gsl500_02</v>
      </c>
      <c r="L36" t="str">
        <f t="shared" si="3"/>
        <v>Trd_2w</v>
      </c>
      <c r="M36" s="185">
        <f t="shared" si="10"/>
        <v>6040.16590734703</v>
      </c>
      <c r="N36" s="185">
        <f t="shared" si="11"/>
        <v>6040.16590734703</v>
      </c>
      <c r="O36" s="185">
        <f t="shared" si="12"/>
        <v>6040.16590734703</v>
      </c>
      <c r="P36" s="185">
        <f t="shared" si="13"/>
        <v>6040.16590734703</v>
      </c>
      <c r="T36" t="str">
        <f t="shared" si="14"/>
        <v>Trd_2w_gsl500_02</v>
      </c>
      <c r="U36" t="str">
        <f t="shared" ca="1" si="15"/>
        <v>4-stroke MC 250-750 cc motorcycle -- 02%</v>
      </c>
      <c r="V36" s="188" t="s">
        <v>84</v>
      </c>
      <c r="W36" s="188" t="s">
        <v>85</v>
      </c>
    </row>
    <row r="37" spans="2:23">
      <c r="B37" s="52">
        <v>6.8136357678885304E-2</v>
      </c>
      <c r="C37" s="53">
        <v>6180.4330599105197</v>
      </c>
      <c r="D37" s="53">
        <v>6133.9338499307696</v>
      </c>
      <c r="E37" s="53">
        <v>6133.9338499307696</v>
      </c>
      <c r="F37" s="53">
        <v>6133.9338499307696</v>
      </c>
      <c r="I37" s="184">
        <f t="shared" ref="I37:I42" si="16">$I$29/$I$7*(1+B37)</f>
        <v>0.776553361622771</v>
      </c>
      <c r="J37" t="str">
        <f t="shared" si="1"/>
        <v>Trd_2w_gsl500</v>
      </c>
      <c r="K37" t="str">
        <f t="shared" si="9"/>
        <v>Trd_2w_gsl500_07</v>
      </c>
      <c r="L37" t="str">
        <f t="shared" si="3"/>
        <v>Trd_2w</v>
      </c>
      <c r="M37" s="185">
        <f t="shared" si="10"/>
        <v>6180.4330599105197</v>
      </c>
      <c r="N37" s="185">
        <f t="shared" si="11"/>
        <v>6133.9338499307696</v>
      </c>
      <c r="O37" s="185">
        <f t="shared" si="12"/>
        <v>6133.9338499307696</v>
      </c>
      <c r="P37" s="185">
        <f t="shared" si="13"/>
        <v>6133.9338499307696</v>
      </c>
      <c r="T37" t="str">
        <f t="shared" si="14"/>
        <v>Trd_2w_gsl500_07</v>
      </c>
      <c r="U37" t="str">
        <f t="shared" ca="1" si="15"/>
        <v>4-stroke MC 250-750 cc motorcycle -- 07%</v>
      </c>
      <c r="V37" s="188" t="s">
        <v>84</v>
      </c>
      <c r="W37" s="188" t="s">
        <v>85</v>
      </c>
    </row>
    <row r="38" spans="2:23">
      <c r="B38" s="52">
        <v>0.118136357678885</v>
      </c>
      <c r="C38" s="53">
        <v>6261.72753585592</v>
      </c>
      <c r="D38" s="53">
        <v>6227.7017925145001</v>
      </c>
      <c r="E38" s="53">
        <v>6227.7017925145001</v>
      </c>
      <c r="F38" s="53">
        <v>6227.7017925145001</v>
      </c>
      <c r="I38" s="184">
        <f t="shared" si="16"/>
        <v>0.81290421495905496</v>
      </c>
      <c r="J38" t="str">
        <f t="shared" si="1"/>
        <v>Trd_2w_gsl500</v>
      </c>
      <c r="K38" t="str">
        <f t="shared" si="9"/>
        <v>Trd_2w_gsl500_12</v>
      </c>
      <c r="L38" t="str">
        <f t="shared" si="3"/>
        <v>Trd_2w</v>
      </c>
      <c r="M38" s="185">
        <f t="shared" si="10"/>
        <v>6261.72753585592</v>
      </c>
      <c r="N38" s="185">
        <f t="shared" si="11"/>
        <v>6227.7017925145001</v>
      </c>
      <c r="O38" s="185">
        <f t="shared" si="12"/>
        <v>6227.7017925145001</v>
      </c>
      <c r="P38" s="185">
        <f t="shared" si="13"/>
        <v>6227.7017925145001</v>
      </c>
      <c r="T38" t="str">
        <f t="shared" si="14"/>
        <v>Trd_2w_gsl500_12</v>
      </c>
      <c r="U38" t="str">
        <f t="shared" ca="1" si="15"/>
        <v>4-stroke MC 250-750 cc motorcycle -- 12%</v>
      </c>
      <c r="V38" s="188" t="s">
        <v>84</v>
      </c>
      <c r="W38" s="188" t="s">
        <v>85</v>
      </c>
    </row>
    <row r="39" spans="2:23">
      <c r="B39" s="52">
        <v>0.16813635767888499</v>
      </c>
      <c r="C39" s="53">
        <v>6605.8353954742697</v>
      </c>
      <c r="D39" s="53">
        <v>6321.4697350982296</v>
      </c>
      <c r="E39" s="53">
        <v>6321.4697350982296</v>
      </c>
      <c r="F39" s="53">
        <v>6321.4697350982296</v>
      </c>
      <c r="I39" s="184">
        <f t="shared" si="16"/>
        <v>0.84925506829534003</v>
      </c>
      <c r="J39" t="str">
        <f t="shared" si="1"/>
        <v>Trd_2w_gsl500</v>
      </c>
      <c r="K39" t="str">
        <f t="shared" si="9"/>
        <v>Trd_2w_gsl500_17</v>
      </c>
      <c r="L39" t="str">
        <f t="shared" si="3"/>
        <v>Trd_2w</v>
      </c>
      <c r="M39" s="185">
        <f t="shared" si="10"/>
        <v>6605.8353954742697</v>
      </c>
      <c r="N39" s="185">
        <f t="shared" si="11"/>
        <v>6321.4697350982296</v>
      </c>
      <c r="O39" s="185">
        <f t="shared" si="12"/>
        <v>6321.4697350982296</v>
      </c>
      <c r="P39" s="185">
        <f t="shared" si="13"/>
        <v>6321.4697350982296</v>
      </c>
      <c r="T39" t="str">
        <f t="shared" si="14"/>
        <v>Trd_2w_gsl500_17</v>
      </c>
      <c r="U39" t="str">
        <f t="shared" ca="1" si="15"/>
        <v>4-stroke MC 250-750 cc motorcycle -- 17%</v>
      </c>
      <c r="V39" s="188" t="s">
        <v>84</v>
      </c>
      <c r="W39" s="188" t="s">
        <v>85</v>
      </c>
    </row>
    <row r="40" spans="2:23">
      <c r="B40" s="52">
        <v>0.21813635767888501</v>
      </c>
      <c r="C40" s="53">
        <v>6724.0033055772501</v>
      </c>
      <c r="D40" s="53">
        <v>6415.2376776819601</v>
      </c>
      <c r="E40" s="53">
        <v>6415.2376776819601</v>
      </c>
      <c r="F40" s="53">
        <v>6415.2376776819601</v>
      </c>
      <c r="I40" s="184">
        <f t="shared" si="16"/>
        <v>0.88560592163162499</v>
      </c>
      <c r="J40" t="str">
        <f t="shared" si="1"/>
        <v>Trd_2w_gsl500</v>
      </c>
      <c r="K40" t="str">
        <f t="shared" si="9"/>
        <v>Trd_2w_gsl500_22</v>
      </c>
      <c r="L40" t="str">
        <f t="shared" si="3"/>
        <v>Trd_2w</v>
      </c>
      <c r="M40" s="185">
        <f t="shared" si="10"/>
        <v>6724.0033055772501</v>
      </c>
      <c r="N40" s="185">
        <f t="shared" si="11"/>
        <v>6415.2376776819601</v>
      </c>
      <c r="O40" s="185">
        <f t="shared" si="12"/>
        <v>6415.2376776819601</v>
      </c>
      <c r="P40" s="185">
        <f t="shared" si="13"/>
        <v>6415.2376776819601</v>
      </c>
      <c r="T40" t="str">
        <f t="shared" si="14"/>
        <v>Trd_2w_gsl500_22</v>
      </c>
      <c r="U40" t="str">
        <f t="shared" ca="1" si="15"/>
        <v>4-stroke MC 250-750 cc motorcycle -- 22%</v>
      </c>
      <c r="V40" s="188" t="s">
        <v>84</v>
      </c>
      <c r="W40" s="188" t="s">
        <v>85</v>
      </c>
    </row>
    <row r="41" spans="2:23">
      <c r="B41" s="52">
        <v>0.268136357678885</v>
      </c>
      <c r="C41" s="53">
        <v>7627.8666582424303</v>
      </c>
      <c r="D41" s="53">
        <v>6514.4074254070902</v>
      </c>
      <c r="E41" s="53">
        <v>6509.0056202656897</v>
      </c>
      <c r="F41" s="53">
        <v>6509.0056202656897</v>
      </c>
      <c r="I41" s="184">
        <f t="shared" si="16"/>
        <v>0.92195677496790995</v>
      </c>
      <c r="J41" t="str">
        <f t="shared" si="1"/>
        <v>Trd_2w_gsl500</v>
      </c>
      <c r="K41" t="str">
        <f t="shared" si="9"/>
        <v>Trd_2w_gsl500_27</v>
      </c>
      <c r="L41" t="str">
        <f t="shared" si="3"/>
        <v>Trd_2w</v>
      </c>
      <c r="M41" s="185">
        <f t="shared" si="10"/>
        <v>7627.8666582424303</v>
      </c>
      <c r="N41" s="185">
        <f t="shared" si="11"/>
        <v>6514.4074254070902</v>
      </c>
      <c r="O41" s="185">
        <f t="shared" si="12"/>
        <v>6509.0056202656897</v>
      </c>
      <c r="P41" s="185">
        <f t="shared" si="13"/>
        <v>6509.0056202656897</v>
      </c>
      <c r="T41" t="str">
        <f t="shared" si="14"/>
        <v>Trd_2w_gsl500_27</v>
      </c>
      <c r="U41" t="str">
        <f t="shared" ca="1" si="15"/>
        <v>4-stroke MC 250-750 cc motorcycle -- 27%</v>
      </c>
      <c r="V41" s="188" t="s">
        <v>84</v>
      </c>
      <c r="W41" s="188" t="s">
        <v>85</v>
      </c>
    </row>
    <row r="42" spans="2:23">
      <c r="B42" s="52">
        <v>0.31813635767888498</v>
      </c>
      <c r="C42" s="53">
        <v>9964.6836702542205</v>
      </c>
      <c r="D42" s="53">
        <v>6878.7359493894201</v>
      </c>
      <c r="E42" s="53">
        <v>6602.7735628494302</v>
      </c>
      <c r="F42" s="53">
        <v>6602.7735628494302</v>
      </c>
      <c r="I42" s="184">
        <f t="shared" si="16"/>
        <v>0.95830762830419403</v>
      </c>
      <c r="J42" t="str">
        <f t="shared" si="1"/>
        <v>Trd_2w_gsl500</v>
      </c>
      <c r="K42" t="str">
        <f t="shared" si="9"/>
        <v>Trd_2w_gsl500_32</v>
      </c>
      <c r="L42" t="str">
        <f t="shared" si="3"/>
        <v>Trd_2w</v>
      </c>
      <c r="M42" s="185">
        <f t="shared" si="10"/>
        <v>9964.6836702542205</v>
      </c>
      <c r="N42" s="185">
        <f t="shared" si="11"/>
        <v>6878.7359493894201</v>
      </c>
      <c r="O42" s="185">
        <f t="shared" si="12"/>
        <v>6602.7735628494302</v>
      </c>
      <c r="P42" s="185">
        <f t="shared" si="13"/>
        <v>6602.7735628494302</v>
      </c>
      <c r="T42" t="str">
        <f t="shared" si="14"/>
        <v>Trd_2w_gsl500_32</v>
      </c>
      <c r="U42" t="str">
        <f t="shared" ca="1" si="15"/>
        <v>4-stroke MC 250-750 cc motorcycle -- 32%</v>
      </c>
      <c r="V42" s="188" t="s">
        <v>84</v>
      </c>
      <c r="W42" s="188" t="s">
        <v>85</v>
      </c>
    </row>
    <row r="43" spans="2:23">
      <c r="J43" t="str">
        <f t="shared" si="1"/>
        <v>Trd_2w_gsl500</v>
      </c>
      <c r="K43" t="str">
        <f t="shared" si="9"/>
        <v>\I:</v>
      </c>
      <c r="L43" t="str">
        <f t="shared" si="3"/>
        <v>\I:</v>
      </c>
      <c r="M43" s="185" t="str">
        <f t="shared" si="10"/>
        <v/>
      </c>
      <c r="N43" s="185" t="str">
        <f t="shared" si="11"/>
        <v/>
      </c>
      <c r="O43" s="185" t="str">
        <f t="shared" si="12"/>
        <v/>
      </c>
      <c r="P43" s="185" t="str">
        <f t="shared" si="13"/>
        <v/>
      </c>
      <c r="T43" t="str">
        <f t="shared" si="14"/>
        <v>\I:</v>
      </c>
      <c r="U43" t="str">
        <f t="shared" ca="1" si="15"/>
        <v>4-stroke MC 250-750 cc motorcycle -- 00%</v>
      </c>
      <c r="V43" s="188" t="s">
        <v>84</v>
      </c>
      <c r="W43" s="188" t="s">
        <v>85</v>
      </c>
    </row>
    <row r="44" spans="2:23">
      <c r="J44" t="str">
        <f t="shared" si="1"/>
        <v>Trd_2w_gsl500</v>
      </c>
      <c r="K44" t="str">
        <f t="shared" si="9"/>
        <v>\I:</v>
      </c>
      <c r="L44" t="str">
        <f t="shared" si="3"/>
        <v>\I:</v>
      </c>
      <c r="M44" s="185" t="str">
        <f t="shared" si="10"/>
        <v/>
      </c>
      <c r="N44" s="185" t="str">
        <f t="shared" si="11"/>
        <v/>
      </c>
      <c r="O44" s="185" t="str">
        <f t="shared" si="12"/>
        <v/>
      </c>
      <c r="P44" s="185" t="str">
        <f t="shared" si="13"/>
        <v/>
      </c>
      <c r="T44" t="str">
        <f t="shared" si="14"/>
        <v>\I:</v>
      </c>
      <c r="U44" t="str">
        <f t="shared" ca="1" si="15"/>
        <v>4-stroke MC 250-750 cc motorcycle -- 00%</v>
      </c>
      <c r="V44" s="188" t="s">
        <v>84</v>
      </c>
      <c r="W44" s="188" t="s">
        <v>85</v>
      </c>
    </row>
    <row r="45" spans="2:23">
      <c r="J45" t="str">
        <f t="shared" si="1"/>
        <v>Trd_2w_gsl500</v>
      </c>
      <c r="K45" t="str">
        <f t="shared" si="9"/>
        <v>\I:</v>
      </c>
      <c r="L45" t="str">
        <f t="shared" si="3"/>
        <v>\I:</v>
      </c>
      <c r="M45" s="185" t="str">
        <f t="shared" si="10"/>
        <v/>
      </c>
      <c r="N45" s="185" t="str">
        <f t="shared" si="11"/>
        <v/>
      </c>
      <c r="O45" s="185" t="str">
        <f t="shared" si="12"/>
        <v/>
      </c>
      <c r="P45" s="185" t="str">
        <f t="shared" si="13"/>
        <v/>
      </c>
      <c r="T45" t="str">
        <f t="shared" si="14"/>
        <v>\I:</v>
      </c>
      <c r="U45" t="str">
        <f t="shared" ca="1" si="15"/>
        <v>4-stroke MC 250-750 cc motorcycle -- 00%</v>
      </c>
      <c r="V45" s="188" t="s">
        <v>84</v>
      </c>
      <c r="W45" s="188" t="s">
        <v>85</v>
      </c>
    </row>
    <row r="46" spans="2:23">
      <c r="J46" t="str">
        <f t="shared" si="1"/>
        <v>Trd_2w_gsl500</v>
      </c>
      <c r="K46" t="str">
        <f t="shared" si="9"/>
        <v>\I:</v>
      </c>
      <c r="L46" t="str">
        <f t="shared" si="3"/>
        <v>\I:</v>
      </c>
      <c r="M46" s="185" t="str">
        <f t="shared" si="10"/>
        <v/>
      </c>
      <c r="N46" s="185" t="str">
        <f t="shared" si="11"/>
        <v/>
      </c>
      <c r="O46" s="185" t="str">
        <f t="shared" si="12"/>
        <v/>
      </c>
      <c r="P46" s="185" t="str">
        <f t="shared" si="13"/>
        <v/>
      </c>
      <c r="T46" t="str">
        <f t="shared" si="14"/>
        <v>\I:</v>
      </c>
      <c r="U46" t="str">
        <f t="shared" ca="1" si="15"/>
        <v>4-stroke MC 250-750 cc motorcycle -- 00%</v>
      </c>
      <c r="V46" s="188" t="s">
        <v>84</v>
      </c>
      <c r="W46" s="188" t="s">
        <v>85</v>
      </c>
    </row>
    <row r="47" spans="2:23">
      <c r="B47" s="29" t="s">
        <v>142</v>
      </c>
      <c r="J47" t="str">
        <f t="shared" si="1"/>
        <v>Trd_2w_gsl500</v>
      </c>
      <c r="K47" t="str">
        <f t="shared" si="9"/>
        <v>\I:</v>
      </c>
      <c r="L47" t="str">
        <f t="shared" si="3"/>
        <v>\I:</v>
      </c>
      <c r="M47" s="185" t="str">
        <f t="shared" si="10"/>
        <v/>
      </c>
      <c r="N47" s="185" t="str">
        <f t="shared" si="11"/>
        <v/>
      </c>
      <c r="O47" s="185" t="str">
        <f t="shared" si="12"/>
        <v/>
      </c>
      <c r="P47" s="185" t="str">
        <f t="shared" si="13"/>
        <v/>
      </c>
      <c r="T47" t="str">
        <f t="shared" si="14"/>
        <v>\I:</v>
      </c>
      <c r="U47" t="str">
        <f t="shared" ca="1" si="15"/>
        <v>4-stroke MC 250-750 cc motorcycle -- Reference values for 4-stroke MC &gt;750 cc motorcycle</v>
      </c>
      <c r="V47" s="188" t="s">
        <v>84</v>
      </c>
      <c r="W47" s="188" t="s">
        <v>85</v>
      </c>
    </row>
    <row r="48" spans="2:23" ht="15" customHeight="1">
      <c r="B48" s="177">
        <v>2015</v>
      </c>
      <c r="C48" s="177"/>
      <c r="D48" s="177"/>
      <c r="J48" t="str">
        <f t="shared" si="1"/>
        <v>Trd_2w_gsl500</v>
      </c>
      <c r="K48" t="str">
        <f t="shared" si="9"/>
        <v>\I:</v>
      </c>
      <c r="L48" t="str">
        <f t="shared" si="3"/>
        <v>\I:</v>
      </c>
      <c r="M48" s="185" t="str">
        <f t="shared" si="10"/>
        <v/>
      </c>
      <c r="N48" s="185" t="str">
        <f t="shared" si="11"/>
        <v/>
      </c>
      <c r="O48" s="185" t="str">
        <f t="shared" si="12"/>
        <v/>
      </c>
      <c r="P48" s="185" t="str">
        <f t="shared" si="13"/>
        <v/>
      </c>
      <c r="T48" t="str">
        <f t="shared" si="14"/>
        <v>\I:</v>
      </c>
      <c r="U48" t="str">
        <f t="shared" ca="1" si="15"/>
        <v>4-stroke MC 250-750 cc motorcycle -- 201500%</v>
      </c>
      <c r="V48" s="188" t="s">
        <v>84</v>
      </c>
      <c r="W48" s="188" t="s">
        <v>85</v>
      </c>
    </row>
    <row r="49" spans="2:23">
      <c r="B49" s="31" t="s">
        <v>12</v>
      </c>
      <c r="C49" s="32" t="s">
        <v>13</v>
      </c>
      <c r="D49" s="33">
        <v>5.4023295226594401</v>
      </c>
      <c r="G49" s="178">
        <f>D49*$I$4/100*10^9/10^6</f>
        <v>1.70367863826588</v>
      </c>
      <c r="H49" s="178"/>
      <c r="I49" s="182">
        <f>1/G49</f>
        <v>0.58696515735964605</v>
      </c>
      <c r="J49" t="str">
        <f t="shared" si="1"/>
        <v>Trd_2w_gsl500</v>
      </c>
      <c r="K49" t="str">
        <f t="shared" si="9"/>
        <v>\I:</v>
      </c>
      <c r="L49" t="str">
        <f t="shared" si="3"/>
        <v>\I:</v>
      </c>
      <c r="M49" s="185" t="str">
        <f t="shared" si="10"/>
        <v/>
      </c>
      <c r="N49" s="185" t="str">
        <f t="shared" si="11"/>
        <v/>
      </c>
      <c r="O49" s="185" t="str">
        <f t="shared" si="12"/>
        <v/>
      </c>
      <c r="P49" s="185" t="str">
        <f t="shared" si="13"/>
        <v/>
      </c>
      <c r="T49" t="str">
        <f t="shared" si="14"/>
        <v>\I:</v>
      </c>
      <c r="U49" t="str">
        <f t="shared" ca="1" si="15"/>
        <v>4-stroke MC 250-750 cc motorcycle -- Energy consumption</v>
      </c>
      <c r="V49" s="188" t="s">
        <v>84</v>
      </c>
      <c r="W49" s="188" t="s">
        <v>85</v>
      </c>
    </row>
    <row r="50" spans="2:23">
      <c r="B50" s="31" t="s">
        <v>14</v>
      </c>
      <c r="C50" s="32" t="s">
        <v>15</v>
      </c>
      <c r="D50" s="44">
        <v>11061.565129459201</v>
      </c>
      <c r="I50" s="29" t="s">
        <v>70</v>
      </c>
      <c r="J50" t="str">
        <f t="shared" si="1"/>
        <v>Trd_2w_gsl500</v>
      </c>
      <c r="K50" t="str">
        <f t="shared" si="9"/>
        <v>\I:</v>
      </c>
      <c r="L50" t="str">
        <f t="shared" si="3"/>
        <v>\I:</v>
      </c>
      <c r="M50" s="185" t="str">
        <f t="shared" si="10"/>
        <v/>
      </c>
      <c r="N50" s="185" t="str">
        <f t="shared" si="11"/>
        <v/>
      </c>
      <c r="O50" s="185" t="str">
        <f t="shared" si="12"/>
        <v/>
      </c>
      <c r="P50" s="185" t="str">
        <f t="shared" si="13"/>
        <v/>
      </c>
      <c r="T50" t="str">
        <f t="shared" si="14"/>
        <v>\I:</v>
      </c>
      <c r="U50" t="str">
        <f t="shared" ca="1" si="15"/>
        <v>4-stroke MC 250-750 cc motorcycle -- Capital cost</v>
      </c>
      <c r="V50" s="188" t="s">
        <v>84</v>
      </c>
      <c r="W50" s="188" t="s">
        <v>85</v>
      </c>
    </row>
    <row r="51" spans="2:23">
      <c r="J51" t="str">
        <f t="shared" si="1"/>
        <v>Trd_2w_gsl500</v>
      </c>
      <c r="K51" t="str">
        <f t="shared" si="9"/>
        <v>\I:</v>
      </c>
      <c r="L51" t="str">
        <f t="shared" si="3"/>
        <v>\I:</v>
      </c>
      <c r="M51" s="185" t="str">
        <f t="shared" si="10"/>
        <v/>
      </c>
      <c r="N51" s="185" t="str">
        <f t="shared" si="11"/>
        <v/>
      </c>
      <c r="O51" s="185" t="str">
        <f t="shared" si="12"/>
        <v/>
      </c>
      <c r="P51" s="185" t="str">
        <f t="shared" si="13"/>
        <v/>
      </c>
      <c r="T51" t="str">
        <f t="shared" si="14"/>
        <v>\I:</v>
      </c>
      <c r="U51" t="str">
        <f t="shared" ca="1" si="15"/>
        <v>4-stroke MC 250-750 cc motorcycle -- 00%</v>
      </c>
      <c r="V51" s="188" t="s">
        <v>84</v>
      </c>
      <c r="W51" s="188" t="s">
        <v>85</v>
      </c>
    </row>
    <row r="52" spans="2:23" ht="15" customHeight="1">
      <c r="B52" s="194" t="s">
        <v>140</v>
      </c>
      <c r="C52" s="194" t="s">
        <v>129</v>
      </c>
      <c r="D52" s="194"/>
      <c r="E52" s="194"/>
      <c r="F52" s="194"/>
      <c r="J52" t="str">
        <f t="shared" si="1"/>
        <v>Trd_3w_gsl</v>
      </c>
      <c r="K52" t="str">
        <f t="shared" si="9"/>
        <v>\I:</v>
      </c>
      <c r="L52" t="str">
        <f t="shared" si="3"/>
        <v>\I:</v>
      </c>
      <c r="M52" s="185" t="str">
        <f t="shared" si="10"/>
        <v/>
      </c>
      <c r="N52" s="185" t="str">
        <f t="shared" si="11"/>
        <v/>
      </c>
      <c r="O52" s="185" t="str">
        <f t="shared" si="12"/>
        <v/>
      </c>
      <c r="P52" s="185" t="str">
        <f t="shared" si="13"/>
        <v/>
      </c>
      <c r="T52" t="str">
        <f t="shared" si="14"/>
        <v>\I:</v>
      </c>
      <c r="U52" t="str">
        <f t="shared" ca="1" si="15"/>
        <v>4-stroke MC &gt;750 cc motorcycle -- Reduction of specific energy consumption relative to 2015 (%)</v>
      </c>
      <c r="V52" s="188" t="s">
        <v>84</v>
      </c>
      <c r="W52" s="188" t="s">
        <v>85</v>
      </c>
    </row>
    <row r="53" spans="2:23">
      <c r="B53" s="194"/>
      <c r="C53" s="194"/>
      <c r="D53" s="194"/>
      <c r="E53" s="194"/>
      <c r="F53" s="194"/>
      <c r="J53" t="str">
        <f t="shared" si="1"/>
        <v>Trd_3w_gsl</v>
      </c>
      <c r="K53" t="str">
        <f t="shared" si="9"/>
        <v>\I:</v>
      </c>
      <c r="L53" t="str">
        <f t="shared" si="3"/>
        <v>\I:</v>
      </c>
      <c r="M53" s="185" t="str">
        <f t="shared" si="10"/>
        <v/>
      </c>
      <c r="N53" s="185" t="str">
        <f t="shared" si="11"/>
        <v/>
      </c>
      <c r="O53" s="185" t="str">
        <f t="shared" si="12"/>
        <v/>
      </c>
      <c r="P53" s="185" t="str">
        <f t="shared" si="13"/>
        <v/>
      </c>
      <c r="T53" t="str">
        <f t="shared" si="14"/>
        <v>\I:</v>
      </c>
      <c r="U53" t="str">
        <f t="shared" ca="1" si="15"/>
        <v>4-stroke MC &gt;750 cc motorcycle -- 00%</v>
      </c>
      <c r="V53" s="188" t="s">
        <v>84</v>
      </c>
      <c r="W53" s="188" t="s">
        <v>85</v>
      </c>
    </row>
    <row r="54" spans="2:23">
      <c r="B54" s="194"/>
      <c r="C54" s="194"/>
      <c r="D54" s="194"/>
      <c r="E54" s="194"/>
      <c r="F54" s="194"/>
      <c r="J54" t="str">
        <f t="shared" si="1"/>
        <v>Trd_3w_gsl</v>
      </c>
      <c r="K54" t="str">
        <f t="shared" si="9"/>
        <v>\I:</v>
      </c>
      <c r="L54" t="str">
        <f t="shared" si="3"/>
        <v>\I:</v>
      </c>
      <c r="M54" s="185" t="str">
        <f t="shared" si="10"/>
        <v/>
      </c>
      <c r="N54" s="185" t="str">
        <f t="shared" si="11"/>
        <v/>
      </c>
      <c r="O54" s="185" t="str">
        <f t="shared" si="12"/>
        <v/>
      </c>
      <c r="P54" s="185" t="str">
        <f t="shared" si="13"/>
        <v/>
      </c>
      <c r="T54" t="str">
        <f t="shared" si="14"/>
        <v>\I:</v>
      </c>
      <c r="U54" t="str">
        <f t="shared" ca="1" si="15"/>
        <v>4-stroke MC &gt;750 cc motorcycle -- 00%</v>
      </c>
      <c r="V54" s="188" t="s">
        <v>84</v>
      </c>
      <c r="W54" s="188" t="s">
        <v>85</v>
      </c>
    </row>
    <row r="55" spans="2:23">
      <c r="B55" s="35"/>
      <c r="C55" s="36">
        <v>2020</v>
      </c>
      <c r="D55" s="36">
        <v>2030</v>
      </c>
      <c r="E55" s="36">
        <v>2040</v>
      </c>
      <c r="F55" s="36">
        <v>2050</v>
      </c>
      <c r="J55" t="str">
        <f t="shared" si="1"/>
        <v>Trd_3w_gsl</v>
      </c>
      <c r="K55" t="str">
        <f t="shared" si="9"/>
        <v>\I:</v>
      </c>
      <c r="L55" t="str">
        <f t="shared" si="3"/>
        <v>\I:</v>
      </c>
      <c r="M55" s="185" t="str">
        <f t="shared" si="10"/>
        <v/>
      </c>
      <c r="N55" s="185" t="str">
        <f t="shared" si="11"/>
        <v/>
      </c>
      <c r="O55" s="185" t="str">
        <f t="shared" si="12"/>
        <v/>
      </c>
      <c r="P55" s="185" t="str">
        <f t="shared" si="13"/>
        <v/>
      </c>
      <c r="T55" t="str">
        <f t="shared" si="14"/>
        <v>\I:</v>
      </c>
      <c r="U55" t="str">
        <f t="shared" ca="1" si="15"/>
        <v>4-stroke MC &gt;750 cc motorcycle -- 00%</v>
      </c>
      <c r="V55" s="188" t="s">
        <v>84</v>
      </c>
      <c r="W55" s="188" t="s">
        <v>85</v>
      </c>
    </row>
    <row r="56" spans="2:23">
      <c r="B56" s="52">
        <v>1.5649071637192698E-2</v>
      </c>
      <c r="C56" s="53">
        <v>11100.695296146299</v>
      </c>
      <c r="D56" s="53">
        <v>11100.695296146299</v>
      </c>
      <c r="E56" s="53">
        <v>11100.695296146299</v>
      </c>
      <c r="F56" s="53">
        <v>11100.695296146299</v>
      </c>
      <c r="I56" s="50">
        <f>(1+B56)</f>
        <v>1.01564907163719</v>
      </c>
      <c r="J56" t="str">
        <f t="shared" si="1"/>
        <v>Trd_3w_gsl</v>
      </c>
      <c r="K56" t="str">
        <f t="shared" si="9"/>
        <v>Trd_3w_gsl_02</v>
      </c>
      <c r="L56" t="str">
        <f t="shared" si="3"/>
        <v>Trd_3w</v>
      </c>
      <c r="M56" s="185">
        <f t="shared" si="10"/>
        <v>11100.695296146299</v>
      </c>
      <c r="N56" s="185">
        <f t="shared" si="11"/>
        <v>11100.695296146299</v>
      </c>
      <c r="O56" s="185">
        <f t="shared" si="12"/>
        <v>11100.695296146299</v>
      </c>
      <c r="P56" s="185">
        <f t="shared" si="13"/>
        <v>11100.695296146299</v>
      </c>
      <c r="T56" t="str">
        <f t="shared" si="14"/>
        <v>Trd_3w_gsl_02</v>
      </c>
      <c r="U56" t="str">
        <f t="shared" ca="1" si="15"/>
        <v>4-stroke MC &gt;750 cc motorcycle -- 02%</v>
      </c>
      <c r="V56" s="188" t="s">
        <v>84</v>
      </c>
      <c r="W56" s="188" t="s">
        <v>85</v>
      </c>
    </row>
    <row r="57" spans="2:23">
      <c r="B57" s="52">
        <v>6.5649071637192705E-2</v>
      </c>
      <c r="C57" s="53">
        <v>11287.718166230899</v>
      </c>
      <c r="D57" s="53">
        <v>11225.719219591199</v>
      </c>
      <c r="E57" s="53">
        <v>11225.719219591199</v>
      </c>
      <c r="F57" s="53">
        <v>11225.719219591199</v>
      </c>
      <c r="I57" s="50">
        <f t="shared" ref="I57:I62" si="17">(1+B57)</f>
        <v>1.06564907163719</v>
      </c>
      <c r="J57" t="str">
        <f t="shared" si="1"/>
        <v>Trd_3w_gsl</v>
      </c>
      <c r="K57" t="str">
        <f t="shared" si="9"/>
        <v>Trd_3w_gsl_07</v>
      </c>
      <c r="L57" t="str">
        <f t="shared" si="3"/>
        <v>Trd_3w</v>
      </c>
      <c r="M57" s="185">
        <f t="shared" si="10"/>
        <v>11287.718166230899</v>
      </c>
      <c r="N57" s="185">
        <f t="shared" si="11"/>
        <v>11225.719219591199</v>
      </c>
      <c r="O57" s="185">
        <f t="shared" si="12"/>
        <v>11225.719219591199</v>
      </c>
      <c r="P57" s="185">
        <f t="shared" si="13"/>
        <v>11225.719219591199</v>
      </c>
      <c r="T57" t="str">
        <f t="shared" si="14"/>
        <v>Trd_3w_gsl_07</v>
      </c>
      <c r="U57" t="str">
        <f t="shared" ca="1" si="15"/>
        <v>4-stroke MC &gt;750 cc motorcycle -- 07%</v>
      </c>
      <c r="V57" s="188" t="s">
        <v>84</v>
      </c>
      <c r="W57" s="188" t="s">
        <v>85</v>
      </c>
    </row>
    <row r="58" spans="2:23">
      <c r="B58" s="52">
        <v>0.115649071637193</v>
      </c>
      <c r="C58" s="53">
        <v>11396.110800824799</v>
      </c>
      <c r="D58" s="53">
        <v>11350.743143036199</v>
      </c>
      <c r="E58" s="53">
        <v>11350.743143036199</v>
      </c>
      <c r="F58" s="53">
        <v>11350.743143036199</v>
      </c>
      <c r="I58" s="50">
        <f t="shared" si="17"/>
        <v>1.1156490716371901</v>
      </c>
      <c r="J58" t="str">
        <f t="shared" si="1"/>
        <v>Trd_3w_gsl</v>
      </c>
      <c r="K58" t="str">
        <f t="shared" si="9"/>
        <v>Trd_3w_gsl_12</v>
      </c>
      <c r="L58" t="str">
        <f t="shared" si="3"/>
        <v>Trd_3w</v>
      </c>
      <c r="M58" s="185">
        <f t="shared" si="10"/>
        <v>11396.110800824799</v>
      </c>
      <c r="N58" s="185">
        <f t="shared" si="11"/>
        <v>11350.743143036199</v>
      </c>
      <c r="O58" s="185">
        <f t="shared" si="12"/>
        <v>11350.743143036199</v>
      </c>
      <c r="P58" s="185">
        <f t="shared" si="13"/>
        <v>11350.743143036199</v>
      </c>
      <c r="T58" t="str">
        <f t="shared" si="14"/>
        <v>Trd_3w_gsl_12</v>
      </c>
      <c r="U58" t="str">
        <f t="shared" ca="1" si="15"/>
        <v>4-stroke MC &gt;750 cc motorcycle -- 12%</v>
      </c>
      <c r="V58" s="188" t="s">
        <v>84</v>
      </c>
      <c r="W58" s="188" t="s">
        <v>85</v>
      </c>
    </row>
    <row r="59" spans="2:23">
      <c r="B59" s="52">
        <v>0.165649071637193</v>
      </c>
      <c r="C59" s="53">
        <v>11854.921280315901</v>
      </c>
      <c r="D59" s="53">
        <v>11475.767066481199</v>
      </c>
      <c r="E59" s="53">
        <v>11475.767066481199</v>
      </c>
      <c r="F59" s="53">
        <v>11475.767066481199</v>
      </c>
      <c r="I59" s="50">
        <f t="shared" si="17"/>
        <v>1.1656490716371899</v>
      </c>
      <c r="J59" t="str">
        <f t="shared" si="1"/>
        <v>Trd_3w_gsl</v>
      </c>
      <c r="K59" t="str">
        <f t="shared" si="9"/>
        <v>Trd_3w_gsl_17</v>
      </c>
      <c r="L59" t="str">
        <f t="shared" si="3"/>
        <v>Trd_3w</v>
      </c>
      <c r="M59" s="185">
        <f t="shared" si="10"/>
        <v>11854.921280315901</v>
      </c>
      <c r="N59" s="185">
        <f t="shared" si="11"/>
        <v>11475.767066481199</v>
      </c>
      <c r="O59" s="185">
        <f t="shared" si="12"/>
        <v>11475.767066481199</v>
      </c>
      <c r="P59" s="185">
        <f t="shared" si="13"/>
        <v>11475.767066481199</v>
      </c>
      <c r="T59" t="str">
        <f t="shared" si="14"/>
        <v>Trd_3w_gsl_17</v>
      </c>
      <c r="U59" t="str">
        <f t="shared" ca="1" si="15"/>
        <v>4-stroke MC &gt;750 cc motorcycle -- 17%</v>
      </c>
      <c r="V59" s="188" t="s">
        <v>84</v>
      </c>
      <c r="W59" s="188" t="s">
        <v>85</v>
      </c>
    </row>
    <row r="60" spans="2:23">
      <c r="B60" s="52">
        <v>0.21564907163719299</v>
      </c>
      <c r="C60" s="53">
        <v>12012.478493786601</v>
      </c>
      <c r="D60" s="53">
        <v>11600.790989926199</v>
      </c>
      <c r="E60" s="53">
        <v>11600.790989926199</v>
      </c>
      <c r="F60" s="53">
        <v>11600.790989926199</v>
      </c>
      <c r="I60" s="50">
        <f t="shared" si="17"/>
        <v>1.2156490716371899</v>
      </c>
      <c r="J60" t="str">
        <f t="shared" si="1"/>
        <v>Trd_3w_gsl</v>
      </c>
      <c r="K60" t="str">
        <f t="shared" si="9"/>
        <v>Trd_3w_gsl_22</v>
      </c>
      <c r="L60" t="str">
        <f t="shared" si="3"/>
        <v>Trd_3w</v>
      </c>
      <c r="M60" s="185">
        <f t="shared" si="10"/>
        <v>12012.478493786601</v>
      </c>
      <c r="N60" s="185">
        <f t="shared" si="11"/>
        <v>11600.790989926199</v>
      </c>
      <c r="O60" s="185">
        <f t="shared" si="12"/>
        <v>11600.790989926199</v>
      </c>
      <c r="P60" s="185">
        <f t="shared" si="13"/>
        <v>11600.790989926199</v>
      </c>
      <c r="T60" t="str">
        <f t="shared" si="14"/>
        <v>Trd_3w_gsl_22</v>
      </c>
      <c r="U60" t="str">
        <f t="shared" ca="1" si="15"/>
        <v>4-stroke MC &gt;750 cc motorcycle -- 22%</v>
      </c>
      <c r="V60" s="188" t="s">
        <v>84</v>
      </c>
      <c r="W60" s="188" t="s">
        <v>85</v>
      </c>
    </row>
    <row r="61" spans="2:23">
      <c r="B61" s="52">
        <v>0.26564907163719298</v>
      </c>
      <c r="C61" s="53">
        <v>13217.6296306735</v>
      </c>
      <c r="D61" s="53">
        <v>11733.017320226299</v>
      </c>
      <c r="E61" s="53">
        <v>11725.8149133712</v>
      </c>
      <c r="F61" s="53">
        <v>11725.8149133712</v>
      </c>
      <c r="I61" s="50">
        <f t="shared" si="17"/>
        <v>1.26564907163719</v>
      </c>
      <c r="J61" t="str">
        <f t="shared" si="1"/>
        <v>Trd_3w_gsl</v>
      </c>
      <c r="K61" t="str">
        <f t="shared" si="9"/>
        <v>Trd_3w_gsl_27</v>
      </c>
      <c r="L61" t="str">
        <f t="shared" si="3"/>
        <v>Trd_3w</v>
      </c>
      <c r="M61" s="185">
        <f t="shared" si="10"/>
        <v>13217.6296306735</v>
      </c>
      <c r="N61" s="185">
        <f t="shared" si="11"/>
        <v>11733.017320226299</v>
      </c>
      <c r="O61" s="185">
        <f t="shared" si="12"/>
        <v>11725.8149133712</v>
      </c>
      <c r="P61" s="185">
        <f t="shared" si="13"/>
        <v>11725.8149133712</v>
      </c>
      <c r="T61" t="str">
        <f t="shared" si="14"/>
        <v>Trd_3w_gsl_27</v>
      </c>
      <c r="U61" t="str">
        <f t="shared" ca="1" si="15"/>
        <v>4-stroke MC &gt;750 cc motorcycle -- 27%</v>
      </c>
      <c r="V61" s="188" t="s">
        <v>84</v>
      </c>
      <c r="W61" s="188" t="s">
        <v>85</v>
      </c>
    </row>
    <row r="62" spans="2:23">
      <c r="B62" s="52">
        <v>0.31564907163719302</v>
      </c>
      <c r="C62" s="53">
        <v>16333.385646689199</v>
      </c>
      <c r="D62" s="53">
        <v>12218.788685536099</v>
      </c>
      <c r="E62" s="53">
        <v>11850.8388368161</v>
      </c>
      <c r="F62" s="53">
        <v>11850.8388368161</v>
      </c>
      <c r="I62" s="50">
        <f t="shared" si="17"/>
        <v>1.31564907163719</v>
      </c>
      <c r="J62" t="str">
        <f t="shared" si="1"/>
        <v>Trd_3w_gsl</v>
      </c>
      <c r="K62" t="str">
        <f t="shared" si="9"/>
        <v>Trd_3w_gsl_32</v>
      </c>
      <c r="L62" t="str">
        <f t="shared" si="3"/>
        <v>Trd_3w</v>
      </c>
      <c r="M62" s="185">
        <f t="shared" si="10"/>
        <v>16333.385646689199</v>
      </c>
      <c r="N62" s="185">
        <f t="shared" si="11"/>
        <v>12218.788685536099</v>
      </c>
      <c r="O62" s="185">
        <f t="shared" si="12"/>
        <v>11850.8388368161</v>
      </c>
      <c r="P62" s="185">
        <f t="shared" si="13"/>
        <v>11850.8388368161</v>
      </c>
      <c r="T62" t="str">
        <f t="shared" si="14"/>
        <v>Trd_3w_gsl_32</v>
      </c>
      <c r="U62" t="str">
        <f t="shared" ca="1" si="15"/>
        <v>4-stroke MC &gt;750 cc motorcycle -- 32%</v>
      </c>
      <c r="V62" s="188" t="s">
        <v>84</v>
      </c>
      <c r="W62" s="188" t="s">
        <v>85</v>
      </c>
    </row>
    <row r="63" spans="2:23">
      <c r="J63" t="str">
        <f t="shared" si="1"/>
        <v>Trd_3w_gsl</v>
      </c>
      <c r="K63" t="str">
        <f t="shared" si="9"/>
        <v>\I:</v>
      </c>
      <c r="L63" t="str">
        <f t="shared" si="3"/>
        <v>\I:</v>
      </c>
      <c r="M63" s="185" t="str">
        <f t="shared" si="10"/>
        <v/>
      </c>
      <c r="N63" s="185" t="str">
        <f t="shared" si="11"/>
        <v/>
      </c>
      <c r="O63" s="185" t="str">
        <f t="shared" si="12"/>
        <v/>
      </c>
      <c r="P63" s="185" t="str">
        <f t="shared" si="13"/>
        <v/>
      </c>
      <c r="T63" t="str">
        <f t="shared" si="14"/>
        <v>\I:</v>
      </c>
      <c r="U63" t="str">
        <f t="shared" ca="1" si="15"/>
        <v>4-stroke MC &gt;750 cc motorcycle -- 00%</v>
      </c>
      <c r="V63" s="188" t="s">
        <v>84</v>
      </c>
      <c r="W63" s="188" t="s">
        <v>85</v>
      </c>
    </row>
    <row r="64" spans="2:23">
      <c r="J64" t="str">
        <f t="shared" si="1"/>
        <v>Trd_3w_gsl</v>
      </c>
      <c r="K64" t="str">
        <f t="shared" si="9"/>
        <v>\I:</v>
      </c>
      <c r="L64" t="str">
        <f t="shared" si="3"/>
        <v>\I:</v>
      </c>
      <c r="M64" s="185" t="str">
        <f t="shared" si="10"/>
        <v/>
      </c>
      <c r="N64" s="185" t="str">
        <f t="shared" si="11"/>
        <v/>
      </c>
      <c r="O64" s="185" t="str">
        <f t="shared" si="12"/>
        <v/>
      </c>
      <c r="P64" s="185" t="str">
        <f t="shared" si="13"/>
        <v/>
      </c>
      <c r="T64" t="str">
        <f t="shared" si="14"/>
        <v>\I:</v>
      </c>
      <c r="U64" t="str">
        <f t="shared" ca="1" si="15"/>
        <v>4-stroke MC &gt;750 cc motorcycle -- 00%</v>
      </c>
      <c r="V64" s="188" t="s">
        <v>84</v>
      </c>
      <c r="W64" s="188" t="s">
        <v>85</v>
      </c>
    </row>
    <row r="65" spans="2:23">
      <c r="J65" t="str">
        <f t="shared" si="1"/>
        <v>Trd_3w_gsl</v>
      </c>
      <c r="K65" t="str">
        <f t="shared" si="9"/>
        <v>\I:</v>
      </c>
      <c r="L65" t="str">
        <f t="shared" si="3"/>
        <v>\I:</v>
      </c>
      <c r="M65" s="185" t="str">
        <f t="shared" si="10"/>
        <v/>
      </c>
      <c r="N65" s="185" t="str">
        <f t="shared" si="11"/>
        <v/>
      </c>
      <c r="O65" s="185" t="str">
        <f t="shared" si="12"/>
        <v/>
      </c>
      <c r="P65" s="185" t="str">
        <f t="shared" si="13"/>
        <v/>
      </c>
      <c r="T65" t="str">
        <f t="shared" si="14"/>
        <v>\I:</v>
      </c>
      <c r="U65" t="str">
        <f t="shared" ca="1" si="15"/>
        <v>4-stroke MC &gt;750 cc motorcycle -- 00%</v>
      </c>
      <c r="V65" s="188" t="s">
        <v>84</v>
      </c>
      <c r="W65" s="188" t="s">
        <v>85</v>
      </c>
    </row>
    <row r="66" spans="2:23">
      <c r="J66" t="str">
        <f t="shared" si="1"/>
        <v>Trd_3w_gsl</v>
      </c>
      <c r="K66" t="str">
        <f t="shared" si="9"/>
        <v>\I:</v>
      </c>
      <c r="L66" t="str">
        <f t="shared" si="3"/>
        <v>\I:</v>
      </c>
      <c r="M66" s="185" t="str">
        <f t="shared" si="10"/>
        <v/>
      </c>
      <c r="N66" s="185" t="str">
        <f t="shared" si="11"/>
        <v/>
      </c>
      <c r="O66" s="185" t="str">
        <f t="shared" si="12"/>
        <v/>
      </c>
      <c r="P66" s="185" t="str">
        <f t="shared" si="13"/>
        <v/>
      </c>
      <c r="T66" t="str">
        <f t="shared" si="14"/>
        <v>\I:</v>
      </c>
      <c r="U66" t="str">
        <f t="shared" ca="1" si="15"/>
        <v>4-stroke MC &gt;750 cc motorcycle -- 00%</v>
      </c>
      <c r="V66" s="188" t="s">
        <v>84</v>
      </c>
      <c r="W66" s="188" t="s">
        <v>85</v>
      </c>
    </row>
    <row r="67" spans="2:23">
      <c r="B67" s="29" t="s">
        <v>143</v>
      </c>
      <c r="J67" t="str">
        <f t="shared" si="1"/>
        <v>Trd_3w_gsl</v>
      </c>
      <c r="K67" t="str">
        <f t="shared" si="9"/>
        <v>\I:</v>
      </c>
      <c r="L67" t="str">
        <f t="shared" si="3"/>
        <v>\I:</v>
      </c>
      <c r="M67" s="185" t="str">
        <f t="shared" si="10"/>
        <v/>
      </c>
      <c r="N67" s="185" t="str">
        <f t="shared" si="11"/>
        <v/>
      </c>
      <c r="O67" s="185" t="str">
        <f t="shared" si="12"/>
        <v/>
      </c>
      <c r="P67" s="185" t="str">
        <f t="shared" si="13"/>
        <v/>
      </c>
      <c r="T67" t="str">
        <f t="shared" si="14"/>
        <v>\I:</v>
      </c>
      <c r="U67" t="str">
        <f t="shared" ca="1" si="15"/>
        <v>4-stroke MC &gt;750 cc motorcycle -- Reference values for moped</v>
      </c>
      <c r="V67" s="188" t="s">
        <v>84</v>
      </c>
      <c r="W67" s="188" t="s">
        <v>85</v>
      </c>
    </row>
    <row r="68" spans="2:23" ht="15" customHeight="1">
      <c r="B68" s="177">
        <v>2015</v>
      </c>
      <c r="C68" s="177"/>
      <c r="D68" s="177"/>
      <c r="J68" t="str">
        <f t="shared" si="1"/>
        <v>Trd_3w_gsl</v>
      </c>
      <c r="K68" t="str">
        <f t="shared" si="9"/>
        <v>\I:</v>
      </c>
      <c r="L68" t="str">
        <f t="shared" si="3"/>
        <v>\I:</v>
      </c>
      <c r="M68" s="185" t="str">
        <f t="shared" si="10"/>
        <v/>
      </c>
      <c r="N68" s="185" t="str">
        <f t="shared" si="11"/>
        <v/>
      </c>
      <c r="O68" s="185" t="str">
        <f t="shared" si="12"/>
        <v/>
      </c>
      <c r="P68" s="185" t="str">
        <f t="shared" si="13"/>
        <v/>
      </c>
      <c r="T68" t="str">
        <f t="shared" si="14"/>
        <v>\I:</v>
      </c>
      <c r="U68" t="str">
        <f t="shared" ca="1" si="15"/>
        <v>4-stroke MC &gt;750 cc motorcycle -- 201500%</v>
      </c>
      <c r="V68" s="188" t="s">
        <v>84</v>
      </c>
      <c r="W68" s="188" t="s">
        <v>85</v>
      </c>
    </row>
    <row r="69" spans="2:23">
      <c r="B69" s="31" t="s">
        <v>12</v>
      </c>
      <c r="C69" s="32" t="s">
        <v>13</v>
      </c>
      <c r="D69" s="33">
        <v>2.8982296063319102</v>
      </c>
      <c r="G69" s="178">
        <f>D69*$I$4/100*10^9/10^6</f>
        <v>0.91398568865283103</v>
      </c>
      <c r="H69" s="178"/>
      <c r="I69" s="178">
        <f>1/G69</f>
        <v>1.0941090352015801</v>
      </c>
      <c r="J69" t="str">
        <f t="shared" si="1"/>
        <v>Trd_3w_gsl</v>
      </c>
      <c r="K69" t="str">
        <f t="shared" si="9"/>
        <v>\I:</v>
      </c>
      <c r="L69" t="str">
        <f t="shared" si="3"/>
        <v>\I:</v>
      </c>
      <c r="M69" s="185" t="str">
        <f t="shared" si="10"/>
        <v/>
      </c>
      <c r="N69" s="185" t="str">
        <f t="shared" si="11"/>
        <v/>
      </c>
      <c r="O69" s="185" t="str">
        <f t="shared" si="12"/>
        <v/>
      </c>
      <c r="P69" s="185" t="str">
        <f t="shared" si="13"/>
        <v/>
      </c>
      <c r="T69" t="str">
        <f t="shared" si="14"/>
        <v>\I:</v>
      </c>
      <c r="U69" t="str">
        <f t="shared" ca="1" si="15"/>
        <v>4-stroke MC &gt;750 cc motorcycle -- Energy consumption</v>
      </c>
      <c r="V69" s="188" t="s">
        <v>84</v>
      </c>
      <c r="W69" s="188" t="s">
        <v>85</v>
      </c>
    </row>
    <row r="70" spans="2:23">
      <c r="B70" s="31" t="s">
        <v>14</v>
      </c>
      <c r="C70" s="32" t="s">
        <v>15</v>
      </c>
      <c r="D70" s="44">
        <v>1789.1732417733599</v>
      </c>
      <c r="I70" s="29" t="s">
        <v>70</v>
      </c>
      <c r="J70" t="str">
        <f t="shared" si="1"/>
        <v>Trd_3w_gsl</v>
      </c>
      <c r="K70" t="str">
        <f t="shared" si="9"/>
        <v>\I:</v>
      </c>
      <c r="L70" t="str">
        <f t="shared" si="3"/>
        <v>\I:</v>
      </c>
      <c r="M70" s="185" t="str">
        <f t="shared" si="10"/>
        <v/>
      </c>
      <c r="N70" s="185" t="str">
        <f t="shared" si="11"/>
        <v/>
      </c>
      <c r="O70" s="185" t="str">
        <f t="shared" si="12"/>
        <v/>
      </c>
      <c r="P70" s="185" t="str">
        <f t="shared" si="13"/>
        <v/>
      </c>
      <c r="T70" t="str">
        <f t="shared" si="14"/>
        <v>\I:</v>
      </c>
      <c r="U70" t="str">
        <f t="shared" ca="1" si="15"/>
        <v>4-stroke MC &gt;750 cc motorcycle -- Capital cost</v>
      </c>
      <c r="V70" s="188" t="s">
        <v>84</v>
      </c>
      <c r="W70" s="188" t="s">
        <v>85</v>
      </c>
    </row>
    <row r="71" spans="2:23">
      <c r="J71" t="str">
        <f t="shared" si="1"/>
        <v>Trd_3w_gsl</v>
      </c>
      <c r="K71" t="str">
        <f t="shared" si="9"/>
        <v>\I:</v>
      </c>
      <c r="L71" t="str">
        <f t="shared" si="3"/>
        <v>\I:</v>
      </c>
      <c r="M71" s="185" t="str">
        <f t="shared" si="10"/>
        <v/>
      </c>
      <c r="N71" s="185" t="str">
        <f t="shared" si="11"/>
        <v/>
      </c>
      <c r="O71" s="185" t="str">
        <f t="shared" si="12"/>
        <v/>
      </c>
      <c r="P71" s="185" t="str">
        <f t="shared" si="13"/>
        <v/>
      </c>
      <c r="T71" t="str">
        <f t="shared" si="14"/>
        <v>\I:</v>
      </c>
      <c r="U71" t="str">
        <f t="shared" ca="1" si="15"/>
        <v>4-stroke MC &gt;750 cc motorcycle -- 00%</v>
      </c>
      <c r="V71" s="188" t="s">
        <v>84</v>
      </c>
      <c r="W71" s="188" t="s">
        <v>85</v>
      </c>
    </row>
    <row r="72" spans="2:23" ht="15" customHeight="1">
      <c r="B72" s="194" t="s">
        <v>140</v>
      </c>
      <c r="C72" s="194" t="s">
        <v>131</v>
      </c>
      <c r="D72" s="194"/>
      <c r="E72" s="194"/>
      <c r="F72" s="194"/>
      <c r="J72" t="str">
        <f t="shared" si="1"/>
        <v>Trd_2w_gsl50</v>
      </c>
      <c r="K72" t="str">
        <f t="shared" si="9"/>
        <v>\I:</v>
      </c>
      <c r="L72" t="str">
        <f t="shared" si="3"/>
        <v>\I:</v>
      </c>
      <c r="M72" s="185" t="str">
        <f t="shared" si="10"/>
        <v/>
      </c>
      <c r="N72" s="185" t="str">
        <f t="shared" si="11"/>
        <v/>
      </c>
      <c r="O72" s="185" t="str">
        <f t="shared" si="12"/>
        <v/>
      </c>
      <c r="P72" s="185" t="str">
        <f t="shared" si="13"/>
        <v/>
      </c>
      <c r="T72" t="str">
        <f t="shared" si="14"/>
        <v>\I:</v>
      </c>
      <c r="U72" t="str">
        <f t="shared" ca="1" si="15"/>
        <v>Moped -- Reduction of specific energy consumption relative to 2015 (%)</v>
      </c>
      <c r="V72" s="188" t="s">
        <v>84</v>
      </c>
      <c r="W72" s="188" t="s">
        <v>85</v>
      </c>
    </row>
    <row r="73" spans="2:23">
      <c r="B73" s="194"/>
      <c r="C73" s="194"/>
      <c r="D73" s="194"/>
      <c r="E73" s="194"/>
      <c r="F73" s="194"/>
      <c r="J73" t="str">
        <f t="shared" si="1"/>
        <v>Trd_2w_gsl50</v>
      </c>
      <c r="K73" t="str">
        <f t="shared" si="9"/>
        <v>\I:</v>
      </c>
      <c r="L73" t="str">
        <f t="shared" si="3"/>
        <v>\I:</v>
      </c>
      <c r="M73" s="185" t="str">
        <f t="shared" si="10"/>
        <v/>
      </c>
      <c r="N73" s="185" t="str">
        <f t="shared" si="11"/>
        <v/>
      </c>
      <c r="O73" s="185" t="str">
        <f t="shared" si="12"/>
        <v/>
      </c>
      <c r="P73" s="185" t="str">
        <f t="shared" si="13"/>
        <v/>
      </c>
      <c r="T73" t="str">
        <f t="shared" si="14"/>
        <v>\I:</v>
      </c>
      <c r="U73" t="str">
        <f t="shared" ca="1" si="15"/>
        <v>Moped -- 00%</v>
      </c>
      <c r="V73" s="188" t="s">
        <v>84</v>
      </c>
      <c r="W73" s="188" t="s">
        <v>85</v>
      </c>
    </row>
    <row r="74" spans="2:23">
      <c r="B74" s="194"/>
      <c r="C74" s="194"/>
      <c r="D74" s="194"/>
      <c r="E74" s="194"/>
      <c r="F74" s="194"/>
      <c r="J74" t="str">
        <f t="shared" si="1"/>
        <v>Trd_2w_gsl50</v>
      </c>
      <c r="K74" t="str">
        <f t="shared" si="9"/>
        <v>\I:</v>
      </c>
      <c r="L74" t="str">
        <f t="shared" si="3"/>
        <v>\I:</v>
      </c>
      <c r="M74" s="185" t="str">
        <f t="shared" si="10"/>
        <v/>
      </c>
      <c r="N74" s="185" t="str">
        <f t="shared" si="11"/>
        <v/>
      </c>
      <c r="O74" s="185" t="str">
        <f t="shared" si="12"/>
        <v/>
      </c>
      <c r="P74" s="185" t="str">
        <f t="shared" si="13"/>
        <v/>
      </c>
      <c r="T74" t="str">
        <f t="shared" si="14"/>
        <v>\I:</v>
      </c>
      <c r="U74" t="str">
        <f t="shared" ca="1" si="15"/>
        <v>Moped -- 00%</v>
      </c>
      <c r="V74" s="188" t="s">
        <v>84</v>
      </c>
      <c r="W74" s="188" t="s">
        <v>85</v>
      </c>
    </row>
    <row r="75" spans="2:23">
      <c r="B75" s="35"/>
      <c r="C75" s="36">
        <v>2020</v>
      </c>
      <c r="D75" s="36">
        <v>2030</v>
      </c>
      <c r="E75" s="36">
        <v>2040</v>
      </c>
      <c r="F75" s="36">
        <v>2050</v>
      </c>
      <c r="J75" t="str">
        <f t="shared" si="1"/>
        <v>Trd_2w_gsl50</v>
      </c>
      <c r="K75" t="str">
        <f t="shared" si="9"/>
        <v>\I:</v>
      </c>
      <c r="L75" t="str">
        <f t="shared" si="3"/>
        <v>\I:</v>
      </c>
      <c r="M75" s="185" t="str">
        <f t="shared" si="10"/>
        <v/>
      </c>
      <c r="N75" s="185" t="str">
        <f t="shared" si="11"/>
        <v/>
      </c>
      <c r="O75" s="185" t="str">
        <f t="shared" si="12"/>
        <v/>
      </c>
      <c r="P75" s="185" t="str">
        <f t="shared" si="13"/>
        <v/>
      </c>
      <c r="T75" t="str">
        <f t="shared" si="14"/>
        <v>\I:</v>
      </c>
      <c r="U75" t="str">
        <f t="shared" ca="1" si="15"/>
        <v>Moped -- 00%</v>
      </c>
      <c r="V75" s="188" t="s">
        <v>84</v>
      </c>
      <c r="W75" s="188" t="s">
        <v>85</v>
      </c>
    </row>
    <row r="76" spans="2:23">
      <c r="B76" s="52">
        <v>1.60765354439701E-2</v>
      </c>
      <c r="C76" s="196">
        <v>1805.2528540662199</v>
      </c>
      <c r="D76" s="53">
        <v>1805.2528540662199</v>
      </c>
      <c r="E76" s="53">
        <v>1805.2528540662199</v>
      </c>
      <c r="F76" s="53">
        <v>1805.2528540662199</v>
      </c>
      <c r="I76" s="184">
        <f>$I$69/$I$7*(1+B76)</f>
        <v>1.1232764726629101</v>
      </c>
      <c r="J76" t="str">
        <f t="shared" si="1"/>
        <v>Trd_2w_gsl50</v>
      </c>
      <c r="K76" s="197" t="str">
        <f>IFERROR(IF(VALUE(C76)&gt;202,J76&amp;"_"&amp;TEXT(B76*100,"00"),"\I:"),"\I:")</f>
        <v>Trd_2w_gsl50_02</v>
      </c>
      <c r="L76" t="str">
        <f t="shared" si="3"/>
        <v>Trd_2w</v>
      </c>
      <c r="M76" s="185">
        <f t="shared" si="10"/>
        <v>1805.2528540662199</v>
      </c>
      <c r="N76" s="185">
        <f t="shared" si="11"/>
        <v>1805.2528540662199</v>
      </c>
      <c r="O76" s="185">
        <f t="shared" si="12"/>
        <v>1805.2528540662199</v>
      </c>
      <c r="P76" s="185">
        <f t="shared" si="13"/>
        <v>1805.2528540662199</v>
      </c>
      <c r="T76" t="str">
        <f t="shared" si="14"/>
        <v>Trd_2w_gsl50_02</v>
      </c>
      <c r="U76" t="str">
        <f t="shared" ca="1" si="15"/>
        <v>Moped -- 02%</v>
      </c>
      <c r="V76" s="188" t="s">
        <v>84</v>
      </c>
      <c r="W76" s="188" t="s">
        <v>85</v>
      </c>
    </row>
    <row r="77" spans="2:23">
      <c r="B77" s="52">
        <v>6.6076535443970102E-2</v>
      </c>
      <c r="C77" s="196">
        <v>1855.2624234442101</v>
      </c>
      <c r="D77" s="53">
        <v>1855.2624234442101</v>
      </c>
      <c r="E77" s="53">
        <v>1855.2624234442101</v>
      </c>
      <c r="F77" s="53">
        <v>1855.2624234442101</v>
      </c>
      <c r="I77" s="184">
        <f t="shared" ref="I77:I83" si="18">$I$69/$I$7*(1+B77)</f>
        <v>1.1785516627435499</v>
      </c>
      <c r="J77" t="str">
        <f t="shared" ref="J77:J140" si="19">IFERROR(VLOOKUP(C77,$R$1:$S$8,2,FALSE),J76)</f>
        <v>Trd_2w_gsl50</v>
      </c>
      <c r="K77" s="197" t="str">
        <f t="shared" ref="K77:K79" si="20">IFERROR(IF(VALUE(C77)&gt;202,J77&amp;"_"&amp;TEXT(B77*100,"00"),"\I:"),"\I:")</f>
        <v>Trd_2w_gsl50_07</v>
      </c>
      <c r="L77" t="str">
        <f t="shared" ref="L77:L140" si="21">LEFT(K77,6)</f>
        <v>Trd_2w</v>
      </c>
      <c r="M77" s="185">
        <f t="shared" si="10"/>
        <v>1855.2624234442101</v>
      </c>
      <c r="N77" s="185">
        <f t="shared" si="11"/>
        <v>1855.2624234442101</v>
      </c>
      <c r="O77" s="185">
        <f t="shared" si="12"/>
        <v>1855.2624234442101</v>
      </c>
      <c r="P77" s="185">
        <f t="shared" si="13"/>
        <v>1855.2624234442101</v>
      </c>
      <c r="T77" t="str">
        <f t="shared" si="14"/>
        <v>Trd_2w_gsl50_07</v>
      </c>
      <c r="U77" t="str">
        <f t="shared" ca="1" si="15"/>
        <v>Moped -- 07%</v>
      </c>
      <c r="V77" s="188" t="s">
        <v>84</v>
      </c>
      <c r="W77" s="188" t="s">
        <v>85</v>
      </c>
    </row>
    <row r="78" spans="2:23">
      <c r="B78" s="52">
        <v>0.11607653544396999</v>
      </c>
      <c r="C78" s="196">
        <v>1930.0715714780699</v>
      </c>
      <c r="D78" s="53">
        <v>1905.2719928222</v>
      </c>
      <c r="E78" s="53">
        <v>1905.2719928222</v>
      </c>
      <c r="F78" s="53">
        <v>1905.2719928222</v>
      </c>
      <c r="I78" s="184">
        <f t="shared" si="18"/>
        <v>1.23382685282419</v>
      </c>
      <c r="J78" t="str">
        <f t="shared" si="19"/>
        <v>Trd_2w_gsl50</v>
      </c>
      <c r="K78" s="197" t="str">
        <f t="shared" si="20"/>
        <v>Trd_2w_gsl50_12</v>
      </c>
      <c r="L78" t="str">
        <f t="shared" si="21"/>
        <v>Trd_2w</v>
      </c>
      <c r="M78" s="185">
        <f t="shared" si="10"/>
        <v>1930.0715714780699</v>
      </c>
      <c r="N78" s="185">
        <f t="shared" si="11"/>
        <v>1905.2719928222</v>
      </c>
      <c r="O78" s="185">
        <f t="shared" si="12"/>
        <v>1905.2719928222</v>
      </c>
      <c r="P78" s="185">
        <f t="shared" si="13"/>
        <v>1905.2719928222</v>
      </c>
      <c r="T78" t="str">
        <f t="shared" si="14"/>
        <v>Trd_2w_gsl50_12</v>
      </c>
      <c r="U78" t="str">
        <f t="shared" ca="1" si="15"/>
        <v>Moped -- 12%</v>
      </c>
      <c r="V78" s="188" t="s">
        <v>84</v>
      </c>
      <c r="W78" s="188" t="s">
        <v>85</v>
      </c>
    </row>
    <row r="79" spans="2:23">
      <c r="B79" s="52">
        <v>0.16607653544397</v>
      </c>
      <c r="C79" s="196">
        <v>1973.4286253156199</v>
      </c>
      <c r="D79" s="53">
        <v>1955.2815622001899</v>
      </c>
      <c r="E79" s="53">
        <v>1955.2815622001899</v>
      </c>
      <c r="F79" s="53">
        <v>1955.2815622001899</v>
      </c>
      <c r="I79" s="184">
        <f t="shared" si="18"/>
        <v>1.2891020429048301</v>
      </c>
      <c r="J79" t="str">
        <f t="shared" si="19"/>
        <v>Trd_2w_gsl50</v>
      </c>
      <c r="K79" s="197" t="str">
        <f t="shared" si="20"/>
        <v>Trd_2w_gsl50_17</v>
      </c>
      <c r="L79" t="str">
        <f t="shared" si="21"/>
        <v>Trd_2w</v>
      </c>
      <c r="M79" s="185">
        <f t="shared" si="10"/>
        <v>1973.4286253156199</v>
      </c>
      <c r="N79" s="185">
        <f t="shared" si="11"/>
        <v>1955.2815622001899</v>
      </c>
      <c r="O79" s="185">
        <f t="shared" si="12"/>
        <v>1955.2815622001899</v>
      </c>
      <c r="P79" s="185">
        <f t="shared" si="13"/>
        <v>1955.2815622001899</v>
      </c>
      <c r="T79" t="str">
        <f t="shared" si="14"/>
        <v>Trd_2w_gsl50_17</v>
      </c>
      <c r="U79" t="str">
        <f t="shared" ca="1" si="15"/>
        <v>Moped -- 17%</v>
      </c>
      <c r="V79" s="188" t="s">
        <v>84</v>
      </c>
      <c r="W79" s="188" t="s">
        <v>85</v>
      </c>
    </row>
    <row r="80" spans="2:23">
      <c r="B80" s="52">
        <v>0.21607653544397001</v>
      </c>
      <c r="C80" s="53">
        <v>2156.9528171120701</v>
      </c>
      <c r="D80" s="53">
        <v>2005.2911315781801</v>
      </c>
      <c r="E80" s="53">
        <v>2005.2911315781801</v>
      </c>
      <c r="F80" s="53">
        <v>2005.2911315781801</v>
      </c>
      <c r="I80" s="184">
        <f t="shared" si="18"/>
        <v>1.34437723298548</v>
      </c>
      <c r="J80" t="str">
        <f t="shared" si="19"/>
        <v>Trd_2w_gsl50</v>
      </c>
      <c r="K80" t="str">
        <f t="shared" si="9"/>
        <v>Trd_2w_gsl50_22</v>
      </c>
      <c r="L80" t="str">
        <f t="shared" si="21"/>
        <v>Trd_2w</v>
      </c>
      <c r="M80" s="185">
        <f t="shared" si="10"/>
        <v>2156.9528171120701</v>
      </c>
      <c r="N80" s="185">
        <f t="shared" si="11"/>
        <v>2005.2911315781801</v>
      </c>
      <c r="O80" s="185">
        <f t="shared" si="12"/>
        <v>2005.2911315781801</v>
      </c>
      <c r="P80" s="185">
        <f t="shared" si="13"/>
        <v>2005.2911315781801</v>
      </c>
      <c r="T80" t="str">
        <f t="shared" si="14"/>
        <v>Trd_2w_gsl50_22</v>
      </c>
      <c r="U80" t="str">
        <f t="shared" ca="1" si="15"/>
        <v>Moped -- 22%</v>
      </c>
      <c r="V80" s="188" t="s">
        <v>84</v>
      </c>
      <c r="W80" s="188" t="s">
        <v>85</v>
      </c>
    </row>
    <row r="81" spans="2:23">
      <c r="B81" s="52">
        <v>0.26607653544396997</v>
      </c>
      <c r="C81" s="53">
        <v>2219.97570250033</v>
      </c>
      <c r="D81" s="53">
        <v>2055.3007009561702</v>
      </c>
      <c r="E81" s="53">
        <v>2055.3007009561702</v>
      </c>
      <c r="F81" s="53">
        <v>2055.3007009561702</v>
      </c>
      <c r="I81" s="184">
        <f t="shared" si="18"/>
        <v>1.39965242306612</v>
      </c>
      <c r="J81" t="str">
        <f t="shared" si="19"/>
        <v>Trd_2w_gsl50</v>
      </c>
      <c r="K81" t="str">
        <f t="shared" si="9"/>
        <v>Trd_2w_gsl50_27</v>
      </c>
      <c r="L81" t="str">
        <f t="shared" si="21"/>
        <v>Trd_2w</v>
      </c>
      <c r="M81" s="185">
        <f t="shared" si="10"/>
        <v>2219.97570250033</v>
      </c>
      <c r="N81" s="185">
        <f t="shared" si="11"/>
        <v>2055.3007009561702</v>
      </c>
      <c r="O81" s="185">
        <f t="shared" si="12"/>
        <v>2055.3007009561702</v>
      </c>
      <c r="P81" s="185">
        <f t="shared" si="13"/>
        <v>2055.3007009561702</v>
      </c>
      <c r="T81" t="str">
        <f t="shared" si="14"/>
        <v>Trd_2w_gsl50_27</v>
      </c>
      <c r="U81" t="str">
        <f t="shared" ca="1" si="15"/>
        <v>Moped -- 27%</v>
      </c>
      <c r="V81" s="188" t="s">
        <v>84</v>
      </c>
      <c r="W81" s="188" t="s">
        <v>85</v>
      </c>
    </row>
    <row r="82" spans="2:23">
      <c r="B82" s="52">
        <v>0.31607653544397002</v>
      </c>
      <c r="C82" s="53">
        <v>2702.0361572550901</v>
      </c>
      <c r="D82" s="53">
        <v>2108.1912330762402</v>
      </c>
      <c r="E82" s="53">
        <v>2105.3102703341601</v>
      </c>
      <c r="F82" s="53">
        <v>2105.3102703341601</v>
      </c>
      <c r="I82" s="184">
        <f t="shared" si="18"/>
        <v>1.4549276131467599</v>
      </c>
      <c r="J82" t="str">
        <f t="shared" si="19"/>
        <v>Trd_2w_gsl50</v>
      </c>
      <c r="K82" t="str">
        <f t="shared" si="9"/>
        <v>Trd_2w_gsl50_32</v>
      </c>
      <c r="L82" t="str">
        <f t="shared" si="21"/>
        <v>Trd_2w</v>
      </c>
      <c r="M82" s="185">
        <f t="shared" si="10"/>
        <v>2702.0361572550901</v>
      </c>
      <c r="N82" s="185">
        <f t="shared" si="11"/>
        <v>2108.1912330762402</v>
      </c>
      <c r="O82" s="185">
        <f t="shared" si="12"/>
        <v>2105.3102703341601</v>
      </c>
      <c r="P82" s="185">
        <f t="shared" si="13"/>
        <v>2105.3102703341601</v>
      </c>
      <c r="T82" t="str">
        <f t="shared" si="14"/>
        <v>Trd_2w_gsl50_32</v>
      </c>
      <c r="U82" t="str">
        <f t="shared" ca="1" si="15"/>
        <v>Moped -- 32%</v>
      </c>
      <c r="V82" s="188" t="s">
        <v>84</v>
      </c>
      <c r="W82" s="188" t="s">
        <v>85</v>
      </c>
    </row>
    <row r="83" spans="2:23">
      <c r="B83" s="52">
        <v>0.36607653544397001</v>
      </c>
      <c r="C83" s="53">
        <v>3948.3385636613798</v>
      </c>
      <c r="D83" s="53">
        <v>2302.49977920015</v>
      </c>
      <c r="E83" s="53">
        <v>2155.31983971215</v>
      </c>
      <c r="F83" s="53">
        <v>2155.31983971215</v>
      </c>
      <c r="I83" s="184">
        <f t="shared" si="18"/>
        <v>1.5102028032274</v>
      </c>
      <c r="J83" t="str">
        <f t="shared" si="19"/>
        <v>Trd_2w_gsl50</v>
      </c>
      <c r="K83" t="str">
        <f t="shared" si="9"/>
        <v>Trd_2w_gsl50_37</v>
      </c>
      <c r="L83" t="str">
        <f t="shared" si="21"/>
        <v>Trd_2w</v>
      </c>
      <c r="M83" s="185">
        <f t="shared" si="10"/>
        <v>3948.3385636613798</v>
      </c>
      <c r="N83" s="185">
        <f t="shared" si="11"/>
        <v>2302.49977920015</v>
      </c>
      <c r="O83" s="185">
        <f t="shared" si="12"/>
        <v>2155.31983971215</v>
      </c>
      <c r="P83" s="185">
        <f t="shared" si="13"/>
        <v>2155.31983971215</v>
      </c>
      <c r="T83" t="str">
        <f t="shared" si="14"/>
        <v>Trd_2w_gsl50_37</v>
      </c>
      <c r="U83" t="str">
        <f t="shared" ca="1" si="15"/>
        <v>Moped -- 37%</v>
      </c>
      <c r="V83" s="188" t="s">
        <v>84</v>
      </c>
      <c r="W83" s="188" t="s">
        <v>85</v>
      </c>
    </row>
    <row r="84" spans="2:23">
      <c r="J84" t="str">
        <f t="shared" si="19"/>
        <v>Trd_2w_gsl50</v>
      </c>
      <c r="K84" t="str">
        <f t="shared" ref="K84:K93" si="22">IFERROR(IF(VALUE(C84)&gt;2020,J84&amp;"_"&amp;TEXT(B84*100,"00"),"\I:"),"\I:")</f>
        <v>\I:</v>
      </c>
      <c r="L84" t="str">
        <f t="shared" si="21"/>
        <v>\I:</v>
      </c>
      <c r="M84" s="185" t="str">
        <f t="shared" ref="M84:M147" si="23">IF($K84="\I:","",C84)</f>
        <v/>
      </c>
      <c r="N84" s="185" t="str">
        <f t="shared" ref="N84:N147" si="24">IF($K84="\I:","",D84)</f>
        <v/>
      </c>
      <c r="O84" s="185" t="str">
        <f t="shared" ref="O84:O147" si="25">IF($K84="\I:","",E84)</f>
        <v/>
      </c>
      <c r="P84" s="185" t="str">
        <f t="shared" ref="P84:P147" si="26">IF($K84="\I:","",F84)</f>
        <v/>
      </c>
      <c r="T84" t="str">
        <f t="shared" si="14"/>
        <v>\I:</v>
      </c>
      <c r="U84" t="str">
        <f t="shared" ca="1" si="15"/>
        <v>Moped -- 00%</v>
      </c>
      <c r="V84" s="188" t="s">
        <v>84</v>
      </c>
      <c r="W84" s="188" t="s">
        <v>85</v>
      </c>
    </row>
    <row r="85" spans="2:23">
      <c r="J85" t="str">
        <f t="shared" si="19"/>
        <v>Trd_2w_gsl50</v>
      </c>
      <c r="K85" t="str">
        <f t="shared" si="22"/>
        <v>\I:</v>
      </c>
      <c r="L85" t="str">
        <f t="shared" si="21"/>
        <v>\I:</v>
      </c>
      <c r="M85" s="185" t="str">
        <f t="shared" si="23"/>
        <v/>
      </c>
      <c r="N85" s="185" t="str">
        <f t="shared" si="24"/>
        <v/>
      </c>
      <c r="O85" s="185" t="str">
        <f t="shared" si="25"/>
        <v/>
      </c>
      <c r="P85" s="185" t="str">
        <f t="shared" si="26"/>
        <v/>
      </c>
      <c r="T85" t="str">
        <f t="shared" si="14"/>
        <v>\I:</v>
      </c>
      <c r="U85" t="str">
        <f t="shared" ca="1" si="15"/>
        <v>Moped -- 00%</v>
      </c>
      <c r="V85" s="188" t="s">
        <v>84</v>
      </c>
      <c r="W85" s="188" t="s">
        <v>85</v>
      </c>
    </row>
    <row r="86" spans="2:23">
      <c r="J86" t="str">
        <f t="shared" si="19"/>
        <v>Trd_2w_gsl50</v>
      </c>
      <c r="K86" t="str">
        <f t="shared" si="22"/>
        <v>\I:</v>
      </c>
      <c r="L86" t="str">
        <f t="shared" si="21"/>
        <v>\I:</v>
      </c>
      <c r="M86" s="185" t="str">
        <f t="shared" si="23"/>
        <v/>
      </c>
      <c r="N86" s="185" t="str">
        <f t="shared" si="24"/>
        <v/>
      </c>
      <c r="O86" s="185" t="str">
        <f t="shared" si="25"/>
        <v/>
      </c>
      <c r="P86" s="185" t="str">
        <f t="shared" si="26"/>
        <v/>
      </c>
      <c r="T86" t="str">
        <f t="shared" si="14"/>
        <v>\I:</v>
      </c>
      <c r="U86" t="str">
        <f t="shared" ca="1" si="15"/>
        <v>Moped -- 00%</v>
      </c>
      <c r="V86" s="188" t="s">
        <v>84</v>
      </c>
      <c r="W86" s="188" t="s">
        <v>85</v>
      </c>
    </row>
    <row r="87" spans="2:23">
      <c r="B87" s="177">
        <v>2020</v>
      </c>
      <c r="C87" s="177"/>
      <c r="D87" s="177"/>
      <c r="J87" t="str">
        <f t="shared" si="19"/>
        <v>Trd_2w_gsl50</v>
      </c>
      <c r="K87" t="str">
        <f t="shared" si="22"/>
        <v>\I:</v>
      </c>
      <c r="L87" t="str">
        <f t="shared" si="21"/>
        <v>\I:</v>
      </c>
      <c r="M87" s="185" t="str">
        <f t="shared" si="23"/>
        <v/>
      </c>
      <c r="N87" s="185" t="str">
        <f t="shared" si="24"/>
        <v/>
      </c>
      <c r="O87" s="185" t="str">
        <f t="shared" si="25"/>
        <v/>
      </c>
      <c r="P87" s="185" t="str">
        <f t="shared" si="26"/>
        <v/>
      </c>
      <c r="T87" t="str">
        <f t="shared" si="14"/>
        <v>\I:</v>
      </c>
      <c r="U87" t="str">
        <f t="shared" ca="1" si="15"/>
        <v>Moped -- 202000%</v>
      </c>
      <c r="V87" s="188" t="s">
        <v>84</v>
      </c>
      <c r="W87" s="188" t="s">
        <v>85</v>
      </c>
    </row>
    <row r="88" spans="2:23">
      <c r="B88" s="31" t="s">
        <v>144</v>
      </c>
      <c r="C88" s="32" t="s">
        <v>26</v>
      </c>
      <c r="D88" s="47">
        <v>4.9000000000000002E-2</v>
      </c>
      <c r="G88" s="50">
        <f>D88/3.6/100*10^9/10^6</f>
        <v>0.13611111111111099</v>
      </c>
      <c r="H88" s="50"/>
      <c r="I88" s="178">
        <f>1/G88</f>
        <v>7.3469387755101998</v>
      </c>
      <c r="J88" t="str">
        <f t="shared" si="19"/>
        <v>Trd_2w_gsl50</v>
      </c>
      <c r="K88" t="str">
        <f t="shared" si="22"/>
        <v>\I:</v>
      </c>
      <c r="L88" t="str">
        <f t="shared" si="21"/>
        <v>\I:</v>
      </c>
      <c r="M88" s="185" t="str">
        <f t="shared" si="23"/>
        <v/>
      </c>
      <c r="N88" s="185" t="str">
        <f t="shared" si="24"/>
        <v/>
      </c>
      <c r="O88" s="185" t="str">
        <f t="shared" si="25"/>
        <v/>
      </c>
      <c r="P88" s="185" t="str">
        <f t="shared" si="26"/>
        <v/>
      </c>
      <c r="T88" t="str">
        <f t="shared" ref="T88:T151" si="27">K88</f>
        <v>\I:</v>
      </c>
      <c r="U88" t="str">
        <f t="shared" ref="U88:U151" ca="1" si="28">OFFSET($S$1,MATCH(J88,$S$1:$S$11,0)-1,-1)&amp;" -- "&amp;TEXT(B88,"00%")</f>
        <v>Moped -- Energy consumption of Battery electric motorcycle (equivalent to 50-250 cc motorcycle)</v>
      </c>
      <c r="V88" s="188" t="s">
        <v>84</v>
      </c>
      <c r="W88" s="188" t="s">
        <v>85</v>
      </c>
    </row>
    <row r="89" spans="2:23">
      <c r="I89" s="190" t="s">
        <v>70</v>
      </c>
      <c r="J89" t="str">
        <f t="shared" si="19"/>
        <v>Trd_2w_gsl50</v>
      </c>
      <c r="K89" t="str">
        <f t="shared" si="22"/>
        <v>\I:</v>
      </c>
      <c r="L89" t="str">
        <f t="shared" si="21"/>
        <v>\I:</v>
      </c>
      <c r="M89" s="185" t="str">
        <f t="shared" si="23"/>
        <v/>
      </c>
      <c r="N89" s="185" t="str">
        <f t="shared" si="24"/>
        <v/>
      </c>
      <c r="O89" s="185" t="str">
        <f t="shared" si="25"/>
        <v/>
      </c>
      <c r="P89" s="185" t="str">
        <f t="shared" si="26"/>
        <v/>
      </c>
      <c r="T89" t="str">
        <f t="shared" si="27"/>
        <v>\I:</v>
      </c>
      <c r="U89" t="str">
        <f t="shared" ca="1" si="28"/>
        <v>Moped -- 00%</v>
      </c>
      <c r="V89" s="188" t="s">
        <v>84</v>
      </c>
      <c r="W89" s="188" t="s">
        <v>85</v>
      </c>
    </row>
    <row r="90" spans="2:23" ht="15" customHeight="1">
      <c r="B90" s="194" t="s">
        <v>27</v>
      </c>
      <c r="C90" s="194" t="s">
        <v>134</v>
      </c>
      <c r="D90" s="194"/>
      <c r="E90" s="194"/>
      <c r="F90" s="194"/>
      <c r="J90" t="str">
        <f t="shared" si="19"/>
        <v>Trd_2w_elc150</v>
      </c>
      <c r="K90" t="str">
        <f t="shared" si="22"/>
        <v>\I:</v>
      </c>
      <c r="L90" t="str">
        <f t="shared" si="21"/>
        <v>\I:</v>
      </c>
      <c r="M90" s="185" t="str">
        <f t="shared" si="23"/>
        <v/>
      </c>
      <c r="N90" s="185" t="str">
        <f t="shared" si="24"/>
        <v/>
      </c>
      <c r="O90" s="185" t="str">
        <f t="shared" si="25"/>
        <v/>
      </c>
      <c r="P90" s="185" t="str">
        <f t="shared" si="26"/>
        <v/>
      </c>
      <c r="T90" t="str">
        <f t="shared" si="27"/>
        <v>\I:</v>
      </c>
      <c r="U90" t="str">
        <f t="shared" ca="1" si="28"/>
        <v>Battery electric motorcycle (equivalent to 50-250 cc motorcycle) -- Electric range (km)</v>
      </c>
      <c r="V90" s="188" t="s">
        <v>84</v>
      </c>
      <c r="W90" s="188" t="s">
        <v>85</v>
      </c>
    </row>
    <row r="91" spans="2:23">
      <c r="B91" s="194"/>
      <c r="C91" s="194"/>
      <c r="D91" s="194"/>
      <c r="E91" s="194"/>
      <c r="F91" s="194"/>
      <c r="J91" t="str">
        <f t="shared" si="19"/>
        <v>Trd_2w_elc150</v>
      </c>
      <c r="K91" t="str">
        <f t="shared" si="22"/>
        <v>\I:</v>
      </c>
      <c r="L91" t="str">
        <f t="shared" si="21"/>
        <v>\I:</v>
      </c>
      <c r="M91" s="185" t="str">
        <f t="shared" si="23"/>
        <v/>
      </c>
      <c r="N91" s="185" t="str">
        <f t="shared" si="24"/>
        <v/>
      </c>
      <c r="O91" s="185" t="str">
        <f t="shared" si="25"/>
        <v/>
      </c>
      <c r="P91" s="185" t="str">
        <f t="shared" si="26"/>
        <v/>
      </c>
      <c r="T91" t="str">
        <f t="shared" si="27"/>
        <v>\I:</v>
      </c>
      <c r="U91" t="str">
        <f t="shared" ca="1" si="28"/>
        <v>Battery electric motorcycle (equivalent to 50-250 cc motorcycle) -- 00%</v>
      </c>
      <c r="V91" s="188" t="s">
        <v>84</v>
      </c>
      <c r="W91" s="188" t="s">
        <v>85</v>
      </c>
    </row>
    <row r="92" spans="2:23">
      <c r="B92" s="194"/>
      <c r="C92" s="194"/>
      <c r="D92" s="194"/>
      <c r="E92" s="194"/>
      <c r="F92" s="194"/>
      <c r="J92" t="str">
        <f t="shared" si="19"/>
        <v>Trd_2w_elc150</v>
      </c>
      <c r="K92" t="str">
        <f t="shared" si="22"/>
        <v>\I:</v>
      </c>
      <c r="L92" t="str">
        <f t="shared" si="21"/>
        <v>\I:</v>
      </c>
      <c r="M92" s="185" t="str">
        <f t="shared" si="23"/>
        <v/>
      </c>
      <c r="N92" s="185" t="str">
        <f t="shared" si="24"/>
        <v/>
      </c>
      <c r="O92" s="185" t="str">
        <f t="shared" si="25"/>
        <v/>
      </c>
      <c r="P92" s="185" t="str">
        <f t="shared" si="26"/>
        <v/>
      </c>
      <c r="T92" t="str">
        <f t="shared" si="27"/>
        <v>\I:</v>
      </c>
      <c r="U92" t="str">
        <f t="shared" ca="1" si="28"/>
        <v>Battery electric motorcycle (equivalent to 50-250 cc motorcycle) -- 00%</v>
      </c>
      <c r="V92" s="188" t="s">
        <v>84</v>
      </c>
      <c r="W92" s="188" t="s">
        <v>85</v>
      </c>
    </row>
    <row r="93" spans="2:23">
      <c r="B93" s="35"/>
      <c r="C93" s="36">
        <v>2020</v>
      </c>
      <c r="D93" s="36">
        <v>2030</v>
      </c>
      <c r="E93" s="36">
        <v>2040</v>
      </c>
      <c r="F93" s="36">
        <v>2050</v>
      </c>
      <c r="J93" t="str">
        <f t="shared" si="19"/>
        <v>Trd_2w_elc150</v>
      </c>
      <c r="K93" t="str">
        <f t="shared" si="22"/>
        <v>\I:</v>
      </c>
      <c r="L93" t="str">
        <f t="shared" si="21"/>
        <v>\I:</v>
      </c>
      <c r="M93" s="185" t="str">
        <f t="shared" si="23"/>
        <v/>
      </c>
      <c r="N93" s="185" t="str">
        <f t="shared" si="24"/>
        <v/>
      </c>
      <c r="O93" s="185" t="str">
        <f t="shared" si="25"/>
        <v/>
      </c>
      <c r="P93" s="185" t="str">
        <f t="shared" si="26"/>
        <v/>
      </c>
      <c r="T93" t="str">
        <f t="shared" si="27"/>
        <v>\I:</v>
      </c>
      <c r="U93" t="str">
        <f t="shared" ca="1" si="28"/>
        <v>Battery electric motorcycle (equivalent to 50-250 cc motorcycle) -- 00%</v>
      </c>
      <c r="V93" s="188" t="s">
        <v>84</v>
      </c>
      <c r="W93" s="188" t="s">
        <v>85</v>
      </c>
    </row>
    <row r="94" spans="2:23">
      <c r="B94" s="42">
        <v>120</v>
      </c>
      <c r="C94" s="53">
        <v>5018.4647613489997</v>
      </c>
      <c r="D94" s="53">
        <v>3932.0215864444599</v>
      </c>
      <c r="E94" s="53">
        <v>3377.5952597276</v>
      </c>
      <c r="F94" s="53">
        <v>3216.1827831743899</v>
      </c>
      <c r="I94" s="50">
        <f>$I$88</f>
        <v>7.3469387755101998</v>
      </c>
      <c r="J94" t="str">
        <f t="shared" si="19"/>
        <v>Trd_2w_elc150</v>
      </c>
      <c r="K94" t="str">
        <f>IFERROR(IF(VALUE(C94)&gt;2020,J94&amp;"_"&amp;TEXT(B94,"00"),"\I:"),"\I:")</f>
        <v>Trd_2w_elc150_120</v>
      </c>
      <c r="L94" t="str">
        <f t="shared" si="21"/>
        <v>Trd_2w</v>
      </c>
      <c r="M94" s="185">
        <f t="shared" si="23"/>
        <v>5018.4647613489997</v>
      </c>
      <c r="N94" s="185">
        <f t="shared" si="24"/>
        <v>3932.0215864444599</v>
      </c>
      <c r="O94" s="185">
        <f t="shared" si="25"/>
        <v>3377.5952597276</v>
      </c>
      <c r="P94" s="185">
        <f t="shared" si="26"/>
        <v>3216.1827831743899</v>
      </c>
      <c r="Q94" s="29">
        <v>0.05</v>
      </c>
      <c r="T94" t="str">
        <f t="shared" si="27"/>
        <v>Trd_2w_elc150_120</v>
      </c>
      <c r="U94" t="str">
        <f t="shared" ca="1" si="28"/>
        <v>Battery electric motorcycle (equivalent to 50-250 cc motorcycle) -- 12000%</v>
      </c>
      <c r="V94" s="188" t="s">
        <v>84</v>
      </c>
      <c r="W94" s="188" t="s">
        <v>85</v>
      </c>
    </row>
    <row r="95" spans="2:23">
      <c r="B95" s="42">
        <v>131.42857142857099</v>
      </c>
      <c r="C95" s="53">
        <v>5255.1788019633304</v>
      </c>
      <c r="D95" s="53">
        <v>4065.2648484964602</v>
      </c>
      <c r="E95" s="53">
        <v>3458.0360144732199</v>
      </c>
      <c r="F95" s="53">
        <v>3281.2509211054198</v>
      </c>
      <c r="I95" s="50">
        <f t="shared" ref="I95:I101" si="29">$I$88</f>
        <v>7.3469387755101998</v>
      </c>
      <c r="J95" t="str">
        <f t="shared" si="19"/>
        <v>Trd_2w_elc150</v>
      </c>
      <c r="K95" t="str">
        <f t="shared" ref="K95:K155" si="30">IFERROR(IF(VALUE(C95)&gt;2020,J95&amp;"_"&amp;TEXT(B95,"00"),"\I:"),"\I:")</f>
        <v>Trd_2w_elc150_131</v>
      </c>
      <c r="L95" t="str">
        <f t="shared" si="21"/>
        <v>Trd_2w</v>
      </c>
      <c r="M95" s="185">
        <f t="shared" si="23"/>
        <v>5255.1788019633304</v>
      </c>
      <c r="N95" s="185">
        <f t="shared" si="24"/>
        <v>4065.2648484964602</v>
      </c>
      <c r="O95" s="185">
        <f t="shared" si="25"/>
        <v>3458.0360144732199</v>
      </c>
      <c r="P95" s="185">
        <f t="shared" si="26"/>
        <v>3281.2509211054198</v>
      </c>
      <c r="Q95" s="29">
        <v>7.4999999999999997E-2</v>
      </c>
      <c r="T95" t="str">
        <f t="shared" si="27"/>
        <v>Trd_2w_elc150_131</v>
      </c>
      <c r="U95" t="str">
        <f t="shared" ca="1" si="28"/>
        <v>Battery electric motorcycle (equivalent to 50-250 cc motorcycle) -- 13143%</v>
      </c>
      <c r="V95" s="188" t="s">
        <v>84</v>
      </c>
      <c r="W95" s="188" t="s">
        <v>85</v>
      </c>
    </row>
    <row r="96" spans="2:23">
      <c r="B96" s="42">
        <v>142.857142857143</v>
      </c>
      <c r="C96" s="53">
        <v>5368.6042797577002</v>
      </c>
      <c r="D96" s="53">
        <v>4129.11057822971</v>
      </c>
      <c r="E96" s="53">
        <v>3496.5805427888399</v>
      </c>
      <c r="F96" s="53">
        <v>3312.4294038640401</v>
      </c>
      <c r="I96" s="50">
        <f t="shared" si="29"/>
        <v>7.3469387755101998</v>
      </c>
      <c r="J96" t="str">
        <f t="shared" si="19"/>
        <v>Trd_2w_elc150</v>
      </c>
      <c r="K96" t="str">
        <f t="shared" si="30"/>
        <v>Trd_2w_elc150_143</v>
      </c>
      <c r="L96" t="str">
        <f t="shared" si="21"/>
        <v>Trd_2w</v>
      </c>
      <c r="M96" s="185">
        <f t="shared" si="23"/>
        <v>5368.6042797577002</v>
      </c>
      <c r="N96" s="185">
        <f t="shared" si="24"/>
        <v>4129.11057822971</v>
      </c>
      <c r="O96" s="185">
        <f t="shared" si="25"/>
        <v>3496.5805427888399</v>
      </c>
      <c r="P96" s="185">
        <f t="shared" si="26"/>
        <v>3312.4294038640401</v>
      </c>
      <c r="Q96" s="29">
        <v>0.1</v>
      </c>
      <c r="T96" t="str">
        <f t="shared" si="27"/>
        <v>Trd_2w_elc150_143</v>
      </c>
      <c r="U96" t="str">
        <f t="shared" ca="1" si="28"/>
        <v>Battery electric motorcycle (equivalent to 50-250 cc motorcycle) -- 14286%</v>
      </c>
      <c r="V96" s="188" t="s">
        <v>84</v>
      </c>
      <c r="W96" s="188" t="s">
        <v>85</v>
      </c>
    </row>
    <row r="97" spans="2:23">
      <c r="B97" s="42">
        <v>154.28571428571399</v>
      </c>
      <c r="C97" s="53">
        <v>5409.0429283626499</v>
      </c>
      <c r="D97" s="53">
        <v>4151.8729688302501</v>
      </c>
      <c r="E97" s="53">
        <v>3510.3225050578799</v>
      </c>
      <c r="F97" s="53">
        <v>3323.5452107605902</v>
      </c>
      <c r="I97" s="50">
        <f t="shared" si="29"/>
        <v>7.3469387755101998</v>
      </c>
      <c r="J97" t="str">
        <f t="shared" si="19"/>
        <v>Trd_2w_elc150</v>
      </c>
      <c r="K97" t="str">
        <f t="shared" si="30"/>
        <v>Trd_2w_elc150_154</v>
      </c>
      <c r="L97" t="str">
        <f t="shared" si="21"/>
        <v>Trd_2w</v>
      </c>
      <c r="M97" s="185">
        <f t="shared" si="23"/>
        <v>5409.0429283626499</v>
      </c>
      <c r="N97" s="185">
        <f t="shared" si="24"/>
        <v>4151.8729688302501</v>
      </c>
      <c r="O97" s="185">
        <f t="shared" si="25"/>
        <v>3510.3225050578799</v>
      </c>
      <c r="P97" s="185">
        <f t="shared" si="26"/>
        <v>3323.5452107605902</v>
      </c>
      <c r="Q97" s="29">
        <v>0.125</v>
      </c>
      <c r="T97" t="str">
        <f t="shared" si="27"/>
        <v>Trd_2w_elc150_154</v>
      </c>
      <c r="U97" t="str">
        <f t="shared" ca="1" si="28"/>
        <v>Battery electric motorcycle (equivalent to 50-250 cc motorcycle) -- 15429%</v>
      </c>
      <c r="V97" s="188" t="s">
        <v>84</v>
      </c>
      <c r="W97" s="188" t="s">
        <v>85</v>
      </c>
    </row>
    <row r="98" spans="2:23">
      <c r="B98" s="42">
        <v>165.71428571428601</v>
      </c>
      <c r="C98" s="53">
        <v>5536.2767251928499</v>
      </c>
      <c r="D98" s="53">
        <v>4223.4912221832001</v>
      </c>
      <c r="E98" s="53">
        <v>3553.5594107336601</v>
      </c>
      <c r="F98" s="53">
        <v>3358.5193348985199</v>
      </c>
      <c r="I98" s="50">
        <f t="shared" si="29"/>
        <v>7.3469387755101998</v>
      </c>
      <c r="J98" t="str">
        <f t="shared" si="19"/>
        <v>Trd_2w_elc150</v>
      </c>
      <c r="K98" t="str">
        <f t="shared" si="30"/>
        <v>Trd_2w_elc150_166</v>
      </c>
      <c r="L98" t="str">
        <f t="shared" si="21"/>
        <v>Trd_2w</v>
      </c>
      <c r="M98" s="185">
        <f t="shared" si="23"/>
        <v>5536.2767251928499</v>
      </c>
      <c r="N98" s="185">
        <f t="shared" si="24"/>
        <v>4223.4912221832001</v>
      </c>
      <c r="O98" s="185">
        <f t="shared" si="25"/>
        <v>3553.5594107336601</v>
      </c>
      <c r="P98" s="185">
        <f t="shared" si="26"/>
        <v>3358.5193348985199</v>
      </c>
      <c r="Q98" s="29">
        <v>0.15</v>
      </c>
      <c r="T98" t="str">
        <f t="shared" si="27"/>
        <v>Trd_2w_elc150_166</v>
      </c>
      <c r="U98" t="str">
        <f t="shared" ca="1" si="28"/>
        <v>Battery electric motorcycle (equivalent to 50-250 cc motorcycle) -- 16571%</v>
      </c>
      <c r="V98" s="188" t="s">
        <v>84</v>
      </c>
      <c r="W98" s="188" t="s">
        <v>85</v>
      </c>
    </row>
    <row r="99" spans="2:23">
      <c r="B99" s="42">
        <v>177.142857142857</v>
      </c>
      <c r="C99" s="53">
        <v>5651.6748199923404</v>
      </c>
      <c r="D99" s="53">
        <v>4288.44731243355</v>
      </c>
      <c r="E99" s="53">
        <v>3592.7742786721501</v>
      </c>
      <c r="F99" s="53">
        <v>3390.2400521398999</v>
      </c>
      <c r="I99" s="50">
        <f t="shared" si="29"/>
        <v>7.3469387755101998</v>
      </c>
      <c r="J99" t="str">
        <f t="shared" si="19"/>
        <v>Trd_2w_elc150</v>
      </c>
      <c r="K99" t="str">
        <f t="shared" si="30"/>
        <v>Trd_2w_elc150_177</v>
      </c>
      <c r="L99" t="str">
        <f t="shared" si="21"/>
        <v>Trd_2w</v>
      </c>
      <c r="M99" s="185">
        <f t="shared" si="23"/>
        <v>5651.6748199923404</v>
      </c>
      <c r="N99" s="185">
        <f t="shared" si="24"/>
        <v>4288.44731243355</v>
      </c>
      <c r="O99" s="185">
        <f t="shared" si="25"/>
        <v>3592.7742786721501</v>
      </c>
      <c r="P99" s="185">
        <f t="shared" si="26"/>
        <v>3390.2400521398999</v>
      </c>
      <c r="Q99" s="29">
        <v>0.17499999999999999</v>
      </c>
      <c r="T99" t="str">
        <f t="shared" si="27"/>
        <v>Trd_2w_elc150_177</v>
      </c>
      <c r="U99" t="str">
        <f t="shared" ca="1" si="28"/>
        <v>Battery electric motorcycle (equivalent to 50-250 cc motorcycle) -- 17714%</v>
      </c>
      <c r="V99" s="188" t="s">
        <v>84</v>
      </c>
      <c r="W99" s="188" t="s">
        <v>85</v>
      </c>
    </row>
    <row r="100" spans="2:23">
      <c r="B100" s="42">
        <v>188.57142857142799</v>
      </c>
      <c r="C100" s="53">
        <v>5820.3335739300501</v>
      </c>
      <c r="D100" s="53">
        <v>4383.3831366455897</v>
      </c>
      <c r="E100" s="53">
        <v>3650.0883164284101</v>
      </c>
      <c r="F100" s="53">
        <v>3436.6011004157699</v>
      </c>
      <c r="I100" s="50">
        <f t="shared" si="29"/>
        <v>7.3469387755101998</v>
      </c>
      <c r="J100" t="str">
        <f t="shared" si="19"/>
        <v>Trd_2w_elc150</v>
      </c>
      <c r="K100" t="str">
        <f t="shared" si="30"/>
        <v>Trd_2w_elc150_189</v>
      </c>
      <c r="L100" t="str">
        <f t="shared" si="21"/>
        <v>Trd_2w</v>
      </c>
      <c r="M100" s="185">
        <f t="shared" si="23"/>
        <v>5820.3335739300501</v>
      </c>
      <c r="N100" s="185">
        <f t="shared" si="24"/>
        <v>4383.3831366455897</v>
      </c>
      <c r="O100" s="185">
        <f t="shared" si="25"/>
        <v>3650.0883164284101</v>
      </c>
      <c r="P100" s="185">
        <f t="shared" si="26"/>
        <v>3436.6011004157699</v>
      </c>
      <c r="Q100" s="29">
        <v>0.2</v>
      </c>
      <c r="T100" t="str">
        <f t="shared" si="27"/>
        <v>Trd_2w_elc150_189</v>
      </c>
      <c r="U100" t="str">
        <f t="shared" ca="1" si="28"/>
        <v>Battery electric motorcycle (equivalent to 50-250 cc motorcycle) -- 18857%</v>
      </c>
      <c r="V100" s="188" t="s">
        <v>84</v>
      </c>
      <c r="W100" s="188" t="s">
        <v>85</v>
      </c>
    </row>
    <row r="101" spans="2:23">
      <c r="B101" s="42">
        <v>200</v>
      </c>
      <c r="C101" s="53">
        <v>5985.0470938575199</v>
      </c>
      <c r="D101" s="53">
        <v>4476.0982398234401</v>
      </c>
      <c r="E101" s="53">
        <v>3706.0616749389101</v>
      </c>
      <c r="F101" s="53">
        <v>3481.8776797261098</v>
      </c>
      <c r="I101" s="50">
        <f t="shared" si="29"/>
        <v>7.3469387755101998</v>
      </c>
      <c r="J101" t="str">
        <f t="shared" si="19"/>
        <v>Trd_2w_elc150</v>
      </c>
      <c r="K101" t="str">
        <f t="shared" si="30"/>
        <v>Trd_2w_elc150_200</v>
      </c>
      <c r="L101" t="str">
        <f t="shared" si="21"/>
        <v>Trd_2w</v>
      </c>
      <c r="M101" s="185">
        <f t="shared" si="23"/>
        <v>5985.0470938575199</v>
      </c>
      <c r="N101" s="185">
        <f t="shared" si="24"/>
        <v>4476.0982398234401</v>
      </c>
      <c r="O101" s="185">
        <f t="shared" si="25"/>
        <v>3706.0616749389101</v>
      </c>
      <c r="P101" s="185">
        <f t="shared" si="26"/>
        <v>3481.8776797261098</v>
      </c>
      <c r="T101" t="str">
        <f t="shared" si="27"/>
        <v>Trd_2w_elc150_200</v>
      </c>
      <c r="U101" t="str">
        <f t="shared" ca="1" si="28"/>
        <v>Battery electric motorcycle (equivalent to 50-250 cc motorcycle) -- 20000%</v>
      </c>
      <c r="V101" s="188" t="s">
        <v>84</v>
      </c>
      <c r="W101" s="188" t="s">
        <v>85</v>
      </c>
    </row>
    <row r="102" spans="2:23">
      <c r="J102" t="str">
        <f t="shared" si="19"/>
        <v>Trd_2w_elc150</v>
      </c>
      <c r="K102" t="str">
        <f t="shared" si="30"/>
        <v>\I:</v>
      </c>
      <c r="L102" t="str">
        <f t="shared" si="21"/>
        <v>\I:</v>
      </c>
      <c r="M102" s="185" t="str">
        <f t="shared" si="23"/>
        <v/>
      </c>
      <c r="N102" s="185" t="str">
        <f t="shared" si="24"/>
        <v/>
      </c>
      <c r="O102" s="185" t="str">
        <f t="shared" si="25"/>
        <v/>
      </c>
      <c r="P102" s="185" t="str">
        <f t="shared" si="26"/>
        <v/>
      </c>
      <c r="T102" t="str">
        <f t="shared" si="27"/>
        <v>\I:</v>
      </c>
      <c r="U102" t="str">
        <f t="shared" ca="1" si="28"/>
        <v>Battery electric motorcycle (equivalent to 50-250 cc motorcycle) -- 00%</v>
      </c>
      <c r="V102" s="188" t="s">
        <v>84</v>
      </c>
      <c r="W102" s="188" t="s">
        <v>85</v>
      </c>
    </row>
    <row r="103" spans="2:23">
      <c r="J103" t="str">
        <f t="shared" si="19"/>
        <v>Trd_2w_elc150</v>
      </c>
      <c r="K103" t="str">
        <f t="shared" si="30"/>
        <v>\I:</v>
      </c>
      <c r="L103" t="str">
        <f t="shared" si="21"/>
        <v>\I:</v>
      </c>
      <c r="M103" s="185" t="str">
        <f t="shared" si="23"/>
        <v/>
      </c>
      <c r="N103" s="185" t="str">
        <f t="shared" si="24"/>
        <v/>
      </c>
      <c r="O103" s="185" t="str">
        <f t="shared" si="25"/>
        <v/>
      </c>
      <c r="P103" s="185" t="str">
        <f t="shared" si="26"/>
        <v/>
      </c>
      <c r="T103" t="str">
        <f t="shared" si="27"/>
        <v>\I:</v>
      </c>
      <c r="U103" t="str">
        <f t="shared" ca="1" si="28"/>
        <v>Battery electric motorcycle (equivalent to 50-250 cc motorcycle) -- 00%</v>
      </c>
      <c r="V103" s="188" t="s">
        <v>84</v>
      </c>
      <c r="W103" s="188" t="s">
        <v>85</v>
      </c>
    </row>
    <row r="104" spans="2:23">
      <c r="J104" t="str">
        <f t="shared" si="19"/>
        <v>Trd_2w_elc150</v>
      </c>
      <c r="K104" t="str">
        <f t="shared" si="30"/>
        <v>\I:</v>
      </c>
      <c r="L104" t="str">
        <f t="shared" si="21"/>
        <v>\I:</v>
      </c>
      <c r="M104" s="185" t="str">
        <f t="shared" si="23"/>
        <v/>
      </c>
      <c r="N104" s="185" t="str">
        <f t="shared" si="24"/>
        <v/>
      </c>
      <c r="O104" s="185" t="str">
        <f t="shared" si="25"/>
        <v/>
      </c>
      <c r="P104" s="185" t="str">
        <f t="shared" si="26"/>
        <v/>
      </c>
      <c r="T104" t="str">
        <f t="shared" si="27"/>
        <v>\I:</v>
      </c>
      <c r="U104" t="str">
        <f t="shared" ca="1" si="28"/>
        <v>Battery electric motorcycle (equivalent to 50-250 cc motorcycle) -- 00%</v>
      </c>
      <c r="V104" s="188" t="s">
        <v>84</v>
      </c>
      <c r="W104" s="188" t="s">
        <v>85</v>
      </c>
    </row>
    <row r="105" spans="2:23">
      <c r="B105" s="177">
        <v>2020</v>
      </c>
      <c r="C105" s="177"/>
      <c r="D105" s="177"/>
      <c r="J105" t="str">
        <f t="shared" si="19"/>
        <v>Trd_2w_elc150</v>
      </c>
      <c r="K105" t="str">
        <f t="shared" si="30"/>
        <v>\I:</v>
      </c>
      <c r="L105" t="str">
        <f t="shared" si="21"/>
        <v>\I:</v>
      </c>
      <c r="M105" s="185" t="str">
        <f t="shared" si="23"/>
        <v/>
      </c>
      <c r="N105" s="185" t="str">
        <f t="shared" si="24"/>
        <v/>
      </c>
      <c r="O105" s="185" t="str">
        <f t="shared" si="25"/>
        <v/>
      </c>
      <c r="P105" s="185" t="str">
        <f t="shared" si="26"/>
        <v/>
      </c>
      <c r="T105" t="str">
        <f t="shared" si="27"/>
        <v>\I:</v>
      </c>
      <c r="U105" t="str">
        <f t="shared" ca="1" si="28"/>
        <v>Battery electric motorcycle (equivalent to 50-250 cc motorcycle) -- 202000%</v>
      </c>
      <c r="V105" s="188" t="s">
        <v>84</v>
      </c>
      <c r="W105" s="188" t="s">
        <v>85</v>
      </c>
    </row>
    <row r="106" spans="2:23">
      <c r="B106" s="31" t="s">
        <v>145</v>
      </c>
      <c r="C106" s="32" t="s">
        <v>26</v>
      </c>
      <c r="D106" s="47">
        <v>5.74E-2</v>
      </c>
      <c r="G106" s="50">
        <f>D106/3.6/100*10^9/10^6</f>
        <v>0.159444444444444</v>
      </c>
      <c r="H106" s="50"/>
      <c r="I106" s="178">
        <f>1/G106</f>
        <v>6.2717770034843197</v>
      </c>
      <c r="J106" t="str">
        <f t="shared" si="19"/>
        <v>Trd_2w_elc150</v>
      </c>
      <c r="K106" t="str">
        <f t="shared" si="30"/>
        <v>\I:</v>
      </c>
      <c r="L106" t="str">
        <f t="shared" si="21"/>
        <v>\I:</v>
      </c>
      <c r="M106" s="185" t="str">
        <f t="shared" si="23"/>
        <v/>
      </c>
      <c r="N106" s="185" t="str">
        <f t="shared" si="24"/>
        <v/>
      </c>
      <c r="O106" s="185" t="str">
        <f t="shared" si="25"/>
        <v/>
      </c>
      <c r="P106" s="185" t="str">
        <f t="shared" si="26"/>
        <v/>
      </c>
      <c r="T106" t="str">
        <f t="shared" si="27"/>
        <v>\I:</v>
      </c>
      <c r="U106" t="str">
        <f t="shared" ca="1" si="28"/>
        <v xml:space="preserve">Battery electric motorcycle (equivalent to 50-250 cc motorcycle) -- Energy consumption of Battery electric motorcycle (equivalent to 250-750 cc motorcycle) </v>
      </c>
      <c r="V106" s="188" t="s">
        <v>84</v>
      </c>
      <c r="W106" s="188" t="s">
        <v>85</v>
      </c>
    </row>
    <row r="107" spans="2:23">
      <c r="I107" s="190" t="s">
        <v>70</v>
      </c>
      <c r="J107" t="str">
        <f t="shared" si="19"/>
        <v>Trd_2w_elc150</v>
      </c>
      <c r="K107" t="str">
        <f t="shared" si="30"/>
        <v>\I:</v>
      </c>
      <c r="L107" t="str">
        <f t="shared" si="21"/>
        <v>\I:</v>
      </c>
      <c r="M107" s="185" t="str">
        <f t="shared" si="23"/>
        <v/>
      </c>
      <c r="N107" s="185" t="str">
        <f t="shared" si="24"/>
        <v/>
      </c>
      <c r="O107" s="185" t="str">
        <f t="shared" si="25"/>
        <v/>
      </c>
      <c r="P107" s="185" t="str">
        <f t="shared" si="26"/>
        <v/>
      </c>
      <c r="T107" t="str">
        <f t="shared" si="27"/>
        <v>\I:</v>
      </c>
      <c r="U107" t="str">
        <f t="shared" ca="1" si="28"/>
        <v>Battery electric motorcycle (equivalent to 50-250 cc motorcycle) -- 00%</v>
      </c>
      <c r="V107" s="188" t="s">
        <v>84</v>
      </c>
      <c r="W107" s="188" t="s">
        <v>85</v>
      </c>
    </row>
    <row r="108" spans="2:23" ht="15" customHeight="1">
      <c r="B108" s="194" t="s">
        <v>27</v>
      </c>
      <c r="C108" s="194" t="s">
        <v>136</v>
      </c>
      <c r="D108" s="194"/>
      <c r="E108" s="194"/>
      <c r="F108" s="194"/>
      <c r="J108" t="str">
        <f t="shared" si="19"/>
        <v>Trd_2w_elc500</v>
      </c>
      <c r="K108" t="str">
        <f t="shared" si="30"/>
        <v>\I:</v>
      </c>
      <c r="L108" t="str">
        <f t="shared" si="21"/>
        <v>\I:</v>
      </c>
      <c r="M108" s="185" t="str">
        <f t="shared" si="23"/>
        <v/>
      </c>
      <c r="N108" s="185" t="str">
        <f t="shared" si="24"/>
        <v/>
      </c>
      <c r="O108" s="185" t="str">
        <f t="shared" si="25"/>
        <v/>
      </c>
      <c r="P108" s="185" t="str">
        <f t="shared" si="26"/>
        <v/>
      </c>
      <c r="T108" t="str">
        <f t="shared" si="27"/>
        <v>\I:</v>
      </c>
      <c r="U108" t="str">
        <f t="shared" ca="1" si="28"/>
        <v>Battery electric motorcycle (equivalent to 250-750 cc motorcycle) -- Electric range (km)</v>
      </c>
      <c r="V108" s="188" t="s">
        <v>84</v>
      </c>
      <c r="W108" s="188" t="s">
        <v>85</v>
      </c>
    </row>
    <row r="109" spans="2:23">
      <c r="B109" s="194"/>
      <c r="C109" s="194"/>
      <c r="D109" s="194"/>
      <c r="E109" s="194"/>
      <c r="F109" s="194"/>
      <c r="J109" t="str">
        <f t="shared" si="19"/>
        <v>Trd_2w_elc500</v>
      </c>
      <c r="K109" t="str">
        <f t="shared" si="30"/>
        <v>\I:</v>
      </c>
      <c r="L109" t="str">
        <f t="shared" si="21"/>
        <v>\I:</v>
      </c>
      <c r="M109" s="185" t="str">
        <f t="shared" si="23"/>
        <v/>
      </c>
      <c r="N109" s="185" t="str">
        <f t="shared" si="24"/>
        <v/>
      </c>
      <c r="O109" s="185" t="str">
        <f t="shared" si="25"/>
        <v/>
      </c>
      <c r="P109" s="185" t="str">
        <f t="shared" si="26"/>
        <v/>
      </c>
      <c r="T109" t="str">
        <f t="shared" si="27"/>
        <v>\I:</v>
      </c>
      <c r="U109" t="str">
        <f t="shared" ca="1" si="28"/>
        <v>Battery electric motorcycle (equivalent to 250-750 cc motorcycle) -- 00%</v>
      </c>
      <c r="V109" s="188" t="s">
        <v>84</v>
      </c>
      <c r="W109" s="188" t="s">
        <v>85</v>
      </c>
    </row>
    <row r="110" spans="2:23">
      <c r="B110" s="194"/>
      <c r="C110" s="194"/>
      <c r="D110" s="194"/>
      <c r="E110" s="194"/>
      <c r="F110" s="194"/>
      <c r="J110" t="str">
        <f t="shared" si="19"/>
        <v>Trd_2w_elc500</v>
      </c>
      <c r="K110" t="str">
        <f t="shared" si="30"/>
        <v>\I:</v>
      </c>
      <c r="L110" t="str">
        <f t="shared" si="21"/>
        <v>\I:</v>
      </c>
      <c r="M110" s="185" t="str">
        <f t="shared" si="23"/>
        <v/>
      </c>
      <c r="N110" s="185" t="str">
        <f t="shared" si="24"/>
        <v/>
      </c>
      <c r="O110" s="185" t="str">
        <f t="shared" si="25"/>
        <v/>
      </c>
      <c r="P110" s="185" t="str">
        <f t="shared" si="26"/>
        <v/>
      </c>
      <c r="T110" t="str">
        <f t="shared" si="27"/>
        <v>\I:</v>
      </c>
      <c r="U110" t="str">
        <f t="shared" ca="1" si="28"/>
        <v>Battery electric motorcycle (equivalent to 250-750 cc motorcycle) -- 00%</v>
      </c>
      <c r="V110" s="188" t="s">
        <v>84</v>
      </c>
      <c r="W110" s="188" t="s">
        <v>85</v>
      </c>
    </row>
    <row r="111" spans="2:23">
      <c r="B111" s="35"/>
      <c r="C111" s="36">
        <v>2020</v>
      </c>
      <c r="D111" s="36">
        <v>2030</v>
      </c>
      <c r="E111" s="36">
        <v>2040</v>
      </c>
      <c r="F111" s="36">
        <v>2050</v>
      </c>
      <c r="J111" t="str">
        <f t="shared" si="19"/>
        <v>Trd_2w_elc500</v>
      </c>
      <c r="K111" t="str">
        <f t="shared" si="30"/>
        <v>\I:</v>
      </c>
      <c r="L111" t="str">
        <f t="shared" si="21"/>
        <v>\I:</v>
      </c>
      <c r="M111" s="185" t="str">
        <f t="shared" si="23"/>
        <v/>
      </c>
      <c r="N111" s="185" t="str">
        <f t="shared" si="24"/>
        <v/>
      </c>
      <c r="O111" s="185" t="str">
        <f t="shared" si="25"/>
        <v/>
      </c>
      <c r="P111" s="185" t="str">
        <f t="shared" si="26"/>
        <v/>
      </c>
      <c r="T111" t="str">
        <f t="shared" si="27"/>
        <v>\I:</v>
      </c>
      <c r="U111" t="str">
        <f t="shared" ca="1" si="28"/>
        <v>Battery electric motorcycle (equivalent to 250-750 cc motorcycle) -- 00%</v>
      </c>
      <c r="V111" s="188" t="s">
        <v>84</v>
      </c>
      <c r="W111" s="188" t="s">
        <v>85</v>
      </c>
    </row>
    <row r="112" spans="2:23">
      <c r="B112" s="42">
        <v>120</v>
      </c>
      <c r="C112" s="53">
        <v>9005.0839089797591</v>
      </c>
      <c r="D112" s="53">
        <v>7694.2126153735198</v>
      </c>
      <c r="E112" s="53">
        <v>7025.2576503091404</v>
      </c>
      <c r="F112" s="53">
        <v>6830.5019678850704</v>
      </c>
      <c r="I112" s="50">
        <f>$I$106</f>
        <v>6.2717770034843197</v>
      </c>
      <c r="J112" t="str">
        <f t="shared" si="19"/>
        <v>Trd_2w_elc500</v>
      </c>
      <c r="K112" t="str">
        <f t="shared" si="30"/>
        <v>Trd_2w_elc500_120</v>
      </c>
      <c r="L112" t="str">
        <f t="shared" si="21"/>
        <v>Trd_2w</v>
      </c>
      <c r="M112" s="185">
        <f t="shared" si="23"/>
        <v>9005.0839089797591</v>
      </c>
      <c r="N112" s="185">
        <f t="shared" si="24"/>
        <v>7694.2126153735198</v>
      </c>
      <c r="O112" s="185">
        <f t="shared" si="25"/>
        <v>7025.2576503091404</v>
      </c>
      <c r="P112" s="185">
        <f t="shared" si="26"/>
        <v>6830.5019678850704</v>
      </c>
      <c r="Q112" s="29">
        <v>0.05</v>
      </c>
      <c r="T112" t="str">
        <f t="shared" si="27"/>
        <v>Trd_2w_elc500_120</v>
      </c>
      <c r="U112" t="str">
        <f t="shared" ca="1" si="28"/>
        <v>Battery electric motorcycle (equivalent to 250-750 cc motorcycle) -- 12000%</v>
      </c>
      <c r="V112" s="188" t="s">
        <v>84</v>
      </c>
      <c r="W112" s="188" t="s">
        <v>85</v>
      </c>
    </row>
    <row r="113" spans="2:23">
      <c r="B113" s="42">
        <v>131.42857142857099</v>
      </c>
      <c r="C113" s="53">
        <v>9279.2519078978203</v>
      </c>
      <c r="D113" s="53">
        <v>7848.5382245824303</v>
      </c>
      <c r="E113" s="53">
        <v>7118.42610243319</v>
      </c>
      <c r="F113" s="53">
        <v>6905.8654787422201</v>
      </c>
      <c r="I113" s="50">
        <f t="shared" ref="I113:I119" si="31">$I$106</f>
        <v>6.2717770034843197</v>
      </c>
      <c r="J113" t="str">
        <f t="shared" si="19"/>
        <v>Trd_2w_elc500</v>
      </c>
      <c r="K113" t="str">
        <f t="shared" si="30"/>
        <v>Trd_2w_elc500_131</v>
      </c>
      <c r="L113" t="str">
        <f t="shared" si="21"/>
        <v>Trd_2w</v>
      </c>
      <c r="M113" s="185">
        <f t="shared" si="23"/>
        <v>9279.2519078978203</v>
      </c>
      <c r="N113" s="185">
        <f t="shared" si="24"/>
        <v>7848.5382245824303</v>
      </c>
      <c r="O113" s="185">
        <f t="shared" si="25"/>
        <v>7118.42610243319</v>
      </c>
      <c r="P113" s="185">
        <f t="shared" si="26"/>
        <v>6905.8654787422201</v>
      </c>
      <c r="Q113" s="29">
        <v>7.4999999999999997E-2</v>
      </c>
      <c r="T113" t="str">
        <f t="shared" si="27"/>
        <v>Trd_2w_elc500_131</v>
      </c>
      <c r="U113" t="str">
        <f t="shared" ca="1" si="28"/>
        <v>Battery electric motorcycle (equivalent to 250-750 cc motorcycle) -- 13143%</v>
      </c>
      <c r="V113" s="188" t="s">
        <v>84</v>
      </c>
      <c r="W113" s="188" t="s">
        <v>85</v>
      </c>
    </row>
    <row r="114" spans="2:23">
      <c r="B114" s="42">
        <v>142.857142857143</v>
      </c>
      <c r="C114" s="53">
        <v>9403.7097495119397</v>
      </c>
      <c r="D114" s="53">
        <v>7918.5939287627898</v>
      </c>
      <c r="E114" s="53">
        <v>7160.71967609476</v>
      </c>
      <c r="F114" s="53">
        <v>6940.0765461707897</v>
      </c>
      <c r="I114" s="50">
        <f t="shared" si="31"/>
        <v>6.2717770034843197</v>
      </c>
      <c r="J114" t="str">
        <f t="shared" si="19"/>
        <v>Trd_2w_elc500</v>
      </c>
      <c r="K114" t="str">
        <f t="shared" si="30"/>
        <v>Trd_2w_elc500_143</v>
      </c>
      <c r="L114" t="str">
        <f t="shared" si="21"/>
        <v>Trd_2w</v>
      </c>
      <c r="M114" s="185">
        <f t="shared" si="23"/>
        <v>9403.7097495119397</v>
      </c>
      <c r="N114" s="185">
        <f t="shared" si="24"/>
        <v>7918.5939287627898</v>
      </c>
      <c r="O114" s="185">
        <f t="shared" si="25"/>
        <v>7160.71967609476</v>
      </c>
      <c r="P114" s="185">
        <f t="shared" si="26"/>
        <v>6940.0765461707897</v>
      </c>
      <c r="Q114" s="29">
        <v>0.1</v>
      </c>
      <c r="T114" t="str">
        <f t="shared" si="27"/>
        <v>Trd_2w_elc500_143</v>
      </c>
      <c r="U114" t="str">
        <f t="shared" ca="1" si="28"/>
        <v>Battery electric motorcycle (equivalent to 250-750 cc motorcycle) -- 14286%</v>
      </c>
      <c r="V114" s="188" t="s">
        <v>84</v>
      </c>
      <c r="W114" s="188" t="s">
        <v>85</v>
      </c>
    </row>
    <row r="115" spans="2:23">
      <c r="B115" s="42">
        <v>154.28571428571399</v>
      </c>
      <c r="C115" s="53">
        <v>9440.0705961924104</v>
      </c>
      <c r="D115" s="53">
        <v>7939.0609775703097</v>
      </c>
      <c r="E115" s="53">
        <v>7173.0759095593103</v>
      </c>
      <c r="F115" s="53">
        <v>6950.07144373138</v>
      </c>
      <c r="I115" s="50">
        <f t="shared" si="31"/>
        <v>6.2717770034843197</v>
      </c>
      <c r="J115" t="str">
        <f t="shared" si="19"/>
        <v>Trd_2w_elc500</v>
      </c>
      <c r="K115" t="str">
        <f t="shared" si="30"/>
        <v>Trd_2w_elc500_154</v>
      </c>
      <c r="L115" t="str">
        <f t="shared" si="21"/>
        <v>Trd_2w</v>
      </c>
      <c r="M115" s="185">
        <f t="shared" si="23"/>
        <v>9440.0705961924104</v>
      </c>
      <c r="N115" s="185">
        <f t="shared" si="24"/>
        <v>7939.0609775703097</v>
      </c>
      <c r="O115" s="185">
        <f t="shared" si="25"/>
        <v>7173.0759095593103</v>
      </c>
      <c r="P115" s="185">
        <f t="shared" si="26"/>
        <v>6950.07144373138</v>
      </c>
      <c r="Q115" s="29">
        <v>0.125</v>
      </c>
      <c r="T115" t="str">
        <f t="shared" si="27"/>
        <v>Trd_2w_elc500_154</v>
      </c>
      <c r="U115" t="str">
        <f t="shared" ca="1" si="28"/>
        <v>Battery electric motorcycle (equivalent to 250-750 cc motorcycle) -- 15429%</v>
      </c>
      <c r="V115" s="188" t="s">
        <v>84</v>
      </c>
      <c r="W115" s="188" t="s">
        <v>85</v>
      </c>
    </row>
    <row r="116" spans="2:23">
      <c r="B116" s="42">
        <v>165.71428571428601</v>
      </c>
      <c r="C116" s="53">
        <v>9579.3563985465607</v>
      </c>
      <c r="D116" s="53">
        <v>8017.4631484556203</v>
      </c>
      <c r="E116" s="53">
        <v>7220.4083577640704</v>
      </c>
      <c r="F116" s="53">
        <v>6988.3584324368003</v>
      </c>
      <c r="I116" s="50">
        <f t="shared" si="31"/>
        <v>6.2717770034843197</v>
      </c>
      <c r="J116" t="str">
        <f t="shared" si="19"/>
        <v>Trd_2w_elc500</v>
      </c>
      <c r="K116" t="str">
        <f t="shared" si="30"/>
        <v>Trd_2w_elc500_166</v>
      </c>
      <c r="L116" t="str">
        <f t="shared" si="21"/>
        <v>Trd_2w</v>
      </c>
      <c r="M116" s="185">
        <f t="shared" si="23"/>
        <v>9579.3563985465607</v>
      </c>
      <c r="N116" s="185">
        <f t="shared" si="24"/>
        <v>8017.4631484556203</v>
      </c>
      <c r="O116" s="185">
        <f t="shared" si="25"/>
        <v>7220.4083577640704</v>
      </c>
      <c r="P116" s="185">
        <f t="shared" si="26"/>
        <v>6988.3584324368003</v>
      </c>
      <c r="Q116" s="29">
        <v>0.15</v>
      </c>
      <c r="T116" t="str">
        <f t="shared" si="27"/>
        <v>Trd_2w_elc500_166</v>
      </c>
      <c r="U116" t="str">
        <f t="shared" ca="1" si="28"/>
        <v>Battery electric motorcycle (equivalent to 250-750 cc motorcycle) -- 16571%</v>
      </c>
      <c r="V116" s="188" t="s">
        <v>84</v>
      </c>
      <c r="W116" s="188" t="s">
        <v>85</v>
      </c>
    </row>
    <row r="117" spans="2:23">
      <c r="B117" s="42">
        <v>177.142857142857</v>
      </c>
      <c r="C117" s="53">
        <v>9703.5405697443402</v>
      </c>
      <c r="D117" s="53">
        <v>8087.3648071095504</v>
      </c>
      <c r="E117" s="53">
        <v>7262.60893206328</v>
      </c>
      <c r="F117" s="53">
        <v>7022.49427313039</v>
      </c>
      <c r="I117" s="50">
        <f t="shared" si="31"/>
        <v>6.2717770034843197</v>
      </c>
      <c r="J117" t="str">
        <f t="shared" si="19"/>
        <v>Trd_2w_elc500</v>
      </c>
      <c r="K117" t="str">
        <f t="shared" si="30"/>
        <v>Trd_2w_elc500_177</v>
      </c>
      <c r="L117" t="str">
        <f t="shared" si="21"/>
        <v>Trd_2w</v>
      </c>
      <c r="M117" s="185">
        <f t="shared" si="23"/>
        <v>9703.5405697443402</v>
      </c>
      <c r="N117" s="185">
        <f t="shared" si="24"/>
        <v>8087.3648071095504</v>
      </c>
      <c r="O117" s="185">
        <f t="shared" si="25"/>
        <v>7262.60893206328</v>
      </c>
      <c r="P117" s="185">
        <f t="shared" si="26"/>
        <v>7022.49427313039</v>
      </c>
      <c r="Q117" s="29">
        <v>0.17499999999999999</v>
      </c>
      <c r="T117" t="str">
        <f t="shared" si="27"/>
        <v>Trd_2w_elc500_177</v>
      </c>
      <c r="U117" t="str">
        <f t="shared" ca="1" si="28"/>
        <v>Battery electric motorcycle (equivalent to 250-750 cc motorcycle) -- 17714%</v>
      </c>
      <c r="V117" s="188" t="s">
        <v>84</v>
      </c>
      <c r="W117" s="188" t="s">
        <v>85</v>
      </c>
    </row>
    <row r="118" spans="2:23" ht="15" customHeight="1">
      <c r="B118" s="42">
        <v>188.57142857142799</v>
      </c>
      <c r="C118" s="53">
        <v>9889.6737715506497</v>
      </c>
      <c r="D118" s="53">
        <v>8192.1367712925294</v>
      </c>
      <c r="E118" s="53">
        <v>7325.8611802090199</v>
      </c>
      <c r="F118" s="53">
        <v>7073.6587111047802</v>
      </c>
      <c r="I118" s="50">
        <f t="shared" si="31"/>
        <v>6.2717770034843197</v>
      </c>
      <c r="J118" t="str">
        <f t="shared" si="19"/>
        <v>Trd_2w_elc500</v>
      </c>
      <c r="K118" t="str">
        <f t="shared" si="30"/>
        <v>Trd_2w_elc500_189</v>
      </c>
      <c r="L118" t="str">
        <f t="shared" si="21"/>
        <v>Trd_2w</v>
      </c>
      <c r="M118" s="185">
        <f t="shared" si="23"/>
        <v>9889.6737715506497</v>
      </c>
      <c r="N118" s="185">
        <f t="shared" si="24"/>
        <v>8192.1367712925294</v>
      </c>
      <c r="O118" s="185">
        <f t="shared" si="25"/>
        <v>7325.8611802090199</v>
      </c>
      <c r="P118" s="185">
        <f t="shared" si="26"/>
        <v>7073.6587111047802</v>
      </c>
      <c r="Q118" s="29">
        <v>0.2</v>
      </c>
      <c r="T118" t="str">
        <f t="shared" si="27"/>
        <v>Trd_2w_elc500_189</v>
      </c>
      <c r="U118" t="str">
        <f t="shared" ca="1" si="28"/>
        <v>Battery electric motorcycle (equivalent to 250-750 cc motorcycle) -- 18857%</v>
      </c>
      <c r="V118" s="188" t="s">
        <v>84</v>
      </c>
      <c r="W118" s="188" t="s">
        <v>85</v>
      </c>
    </row>
    <row r="119" spans="2:23">
      <c r="B119" s="42">
        <v>200</v>
      </c>
      <c r="C119" s="53">
        <v>10069.744758982801</v>
      </c>
      <c r="D119" s="53">
        <v>8293.4963936626991</v>
      </c>
      <c r="E119" s="53">
        <v>7387.0533515700499</v>
      </c>
      <c r="F119" s="53">
        <v>7123.1567629195597</v>
      </c>
      <c r="I119" s="50">
        <f t="shared" si="31"/>
        <v>6.2717770034843197</v>
      </c>
      <c r="J119" t="str">
        <f t="shared" si="19"/>
        <v>Trd_2w_elc500</v>
      </c>
      <c r="K119" t="str">
        <f t="shared" si="30"/>
        <v>Trd_2w_elc500_200</v>
      </c>
      <c r="L119" t="str">
        <f t="shared" si="21"/>
        <v>Trd_2w</v>
      </c>
      <c r="M119" s="185">
        <f t="shared" si="23"/>
        <v>10069.744758982801</v>
      </c>
      <c r="N119" s="185">
        <f t="shared" si="24"/>
        <v>8293.4963936626991</v>
      </c>
      <c r="O119" s="185">
        <f t="shared" si="25"/>
        <v>7387.0533515700499</v>
      </c>
      <c r="P119" s="185">
        <f t="shared" si="26"/>
        <v>7123.1567629195597</v>
      </c>
      <c r="T119" t="str">
        <f t="shared" si="27"/>
        <v>Trd_2w_elc500_200</v>
      </c>
      <c r="U119" t="str">
        <f t="shared" ca="1" si="28"/>
        <v>Battery electric motorcycle (equivalent to 250-750 cc motorcycle) -- 20000%</v>
      </c>
      <c r="V119" s="188" t="s">
        <v>84</v>
      </c>
      <c r="W119" s="188" t="s">
        <v>85</v>
      </c>
    </row>
    <row r="120" spans="2:23">
      <c r="J120" t="str">
        <f t="shared" si="19"/>
        <v>Trd_2w_elc500</v>
      </c>
      <c r="K120" t="str">
        <f t="shared" si="30"/>
        <v>\I:</v>
      </c>
      <c r="L120" t="str">
        <f t="shared" si="21"/>
        <v>\I:</v>
      </c>
      <c r="M120" s="185" t="str">
        <f t="shared" si="23"/>
        <v/>
      </c>
      <c r="N120" s="185" t="str">
        <f t="shared" si="24"/>
        <v/>
      </c>
      <c r="O120" s="185" t="str">
        <f t="shared" si="25"/>
        <v/>
      </c>
      <c r="P120" s="185" t="str">
        <f t="shared" si="26"/>
        <v/>
      </c>
      <c r="T120" t="str">
        <f t="shared" si="27"/>
        <v>\I:</v>
      </c>
      <c r="U120" t="str">
        <f t="shared" ca="1" si="28"/>
        <v>Battery electric motorcycle (equivalent to 250-750 cc motorcycle) -- 00%</v>
      </c>
      <c r="V120" s="188" t="s">
        <v>84</v>
      </c>
      <c r="W120" s="188" t="s">
        <v>85</v>
      </c>
    </row>
    <row r="121" spans="2:23">
      <c r="J121" t="str">
        <f t="shared" si="19"/>
        <v>Trd_2w_elc500</v>
      </c>
      <c r="K121" t="str">
        <f t="shared" si="30"/>
        <v>\I:</v>
      </c>
      <c r="L121" t="str">
        <f t="shared" si="21"/>
        <v>\I:</v>
      </c>
      <c r="M121" s="185" t="str">
        <f t="shared" si="23"/>
        <v/>
      </c>
      <c r="N121" s="185" t="str">
        <f t="shared" si="24"/>
        <v/>
      </c>
      <c r="O121" s="185" t="str">
        <f t="shared" si="25"/>
        <v/>
      </c>
      <c r="P121" s="185" t="str">
        <f t="shared" si="26"/>
        <v/>
      </c>
      <c r="T121" t="str">
        <f t="shared" si="27"/>
        <v>\I:</v>
      </c>
      <c r="U121" t="str">
        <f t="shared" ca="1" si="28"/>
        <v>Battery electric motorcycle (equivalent to 250-750 cc motorcycle) -- 00%</v>
      </c>
      <c r="V121" s="188" t="s">
        <v>84</v>
      </c>
      <c r="W121" s="188" t="s">
        <v>85</v>
      </c>
    </row>
    <row r="122" spans="2:23">
      <c r="J122" t="str">
        <f t="shared" si="19"/>
        <v>Trd_2w_elc500</v>
      </c>
      <c r="K122" t="str">
        <f t="shared" si="30"/>
        <v>\I:</v>
      </c>
      <c r="L122" t="str">
        <f t="shared" si="21"/>
        <v>\I:</v>
      </c>
      <c r="M122" s="185" t="str">
        <f t="shared" si="23"/>
        <v/>
      </c>
      <c r="N122" s="185" t="str">
        <f t="shared" si="24"/>
        <v/>
      </c>
      <c r="O122" s="185" t="str">
        <f t="shared" si="25"/>
        <v/>
      </c>
      <c r="P122" s="185" t="str">
        <f t="shared" si="26"/>
        <v/>
      </c>
      <c r="T122" t="str">
        <f t="shared" si="27"/>
        <v>\I:</v>
      </c>
      <c r="U122" t="str">
        <f t="shared" ca="1" si="28"/>
        <v>Battery electric motorcycle (equivalent to 250-750 cc motorcycle) -- 00%</v>
      </c>
      <c r="V122" s="188" t="s">
        <v>84</v>
      </c>
      <c r="W122" s="188" t="s">
        <v>85</v>
      </c>
    </row>
    <row r="123" spans="2:23">
      <c r="B123" s="177">
        <v>2020</v>
      </c>
      <c r="C123" s="177"/>
      <c r="D123" s="177"/>
      <c r="J123" t="str">
        <f t="shared" si="19"/>
        <v>Trd_2w_elc500</v>
      </c>
      <c r="K123" t="str">
        <f t="shared" si="30"/>
        <v>\I:</v>
      </c>
      <c r="L123" t="str">
        <f t="shared" si="21"/>
        <v>\I:</v>
      </c>
      <c r="M123" s="185" t="str">
        <f t="shared" si="23"/>
        <v/>
      </c>
      <c r="N123" s="185" t="str">
        <f t="shared" si="24"/>
        <v/>
      </c>
      <c r="O123" s="185" t="str">
        <f t="shared" si="25"/>
        <v/>
      </c>
      <c r="P123" s="185" t="str">
        <f t="shared" si="26"/>
        <v/>
      </c>
      <c r="T123" t="str">
        <f t="shared" si="27"/>
        <v>\I:</v>
      </c>
      <c r="U123" t="str">
        <f t="shared" ca="1" si="28"/>
        <v>Battery electric motorcycle (equivalent to 250-750 cc motorcycle) -- 202000%</v>
      </c>
      <c r="V123" s="188" t="s">
        <v>84</v>
      </c>
      <c r="W123" s="188" t="s">
        <v>85</v>
      </c>
    </row>
    <row r="124" spans="2:23">
      <c r="B124" s="31" t="s">
        <v>146</v>
      </c>
      <c r="C124" s="32" t="s">
        <v>26</v>
      </c>
      <c r="D124" s="47">
        <v>6.3E-2</v>
      </c>
      <c r="G124" s="50">
        <f>D124/3.6/100*10^9/10^6</f>
        <v>0.17499999999999999</v>
      </c>
      <c r="H124" s="50"/>
      <c r="I124" s="178">
        <f>1/G124</f>
        <v>5.7142857142857197</v>
      </c>
      <c r="J124" t="str">
        <f t="shared" si="19"/>
        <v>Trd_2w_elc500</v>
      </c>
      <c r="K124" t="str">
        <f t="shared" si="30"/>
        <v>\I:</v>
      </c>
      <c r="L124" t="str">
        <f t="shared" si="21"/>
        <v>\I:</v>
      </c>
      <c r="M124" s="185" t="str">
        <f t="shared" si="23"/>
        <v/>
      </c>
      <c r="N124" s="185" t="str">
        <f t="shared" si="24"/>
        <v/>
      </c>
      <c r="O124" s="185" t="str">
        <f t="shared" si="25"/>
        <v/>
      </c>
      <c r="P124" s="185" t="str">
        <f t="shared" si="26"/>
        <v/>
      </c>
      <c r="T124" t="str">
        <f t="shared" si="27"/>
        <v>\I:</v>
      </c>
      <c r="U124" t="str">
        <f t="shared" ca="1" si="28"/>
        <v>Battery electric motorcycle (equivalent to 250-750 cc motorcycle) -- Energy consumption of Battery electric motorcycle (equivalent to &gt;750 cc motorcycle)</v>
      </c>
      <c r="V124" s="188" t="s">
        <v>84</v>
      </c>
      <c r="W124" s="188" t="s">
        <v>85</v>
      </c>
    </row>
    <row r="125" spans="2:23">
      <c r="I125" s="190" t="s">
        <v>70</v>
      </c>
      <c r="J125" t="str">
        <f t="shared" si="19"/>
        <v>Trd_2w_elc500</v>
      </c>
      <c r="K125" t="str">
        <f t="shared" si="30"/>
        <v>\I:</v>
      </c>
      <c r="L125" t="str">
        <f t="shared" si="21"/>
        <v>\I:</v>
      </c>
      <c r="M125" s="185" t="str">
        <f t="shared" si="23"/>
        <v/>
      </c>
      <c r="N125" s="185" t="str">
        <f t="shared" si="24"/>
        <v/>
      </c>
      <c r="O125" s="185" t="str">
        <f t="shared" si="25"/>
        <v/>
      </c>
      <c r="P125" s="185" t="str">
        <f t="shared" si="26"/>
        <v/>
      </c>
      <c r="T125" t="str">
        <f t="shared" si="27"/>
        <v>\I:</v>
      </c>
      <c r="U125" t="str">
        <f t="shared" ca="1" si="28"/>
        <v>Battery electric motorcycle (equivalent to 250-750 cc motorcycle) -- 00%</v>
      </c>
      <c r="V125" s="188" t="s">
        <v>84</v>
      </c>
      <c r="W125" s="188" t="s">
        <v>85</v>
      </c>
    </row>
    <row r="126" spans="2:23" ht="15" customHeight="1">
      <c r="B126" s="194" t="s">
        <v>27</v>
      </c>
      <c r="C126" s="194" t="s">
        <v>137</v>
      </c>
      <c r="D126" s="194"/>
      <c r="E126" s="194"/>
      <c r="F126" s="194"/>
      <c r="J126" t="str">
        <f t="shared" si="19"/>
        <v>Trd_3w_elc</v>
      </c>
      <c r="K126" t="str">
        <f t="shared" si="30"/>
        <v>\I:</v>
      </c>
      <c r="L126" t="str">
        <f t="shared" si="21"/>
        <v>\I:</v>
      </c>
      <c r="M126" s="185" t="str">
        <f t="shared" si="23"/>
        <v/>
      </c>
      <c r="N126" s="185" t="str">
        <f t="shared" si="24"/>
        <v/>
      </c>
      <c r="O126" s="185" t="str">
        <f t="shared" si="25"/>
        <v/>
      </c>
      <c r="P126" s="185" t="str">
        <f t="shared" si="26"/>
        <v/>
      </c>
      <c r="T126" t="str">
        <f t="shared" si="27"/>
        <v>\I:</v>
      </c>
      <c r="U126" t="str">
        <f t="shared" ca="1" si="28"/>
        <v>Battery electric motorcycle (equivalent to &gt;750 cc motorcycle) -- Electric range (km)</v>
      </c>
      <c r="V126" s="188" t="s">
        <v>84</v>
      </c>
      <c r="W126" s="188" t="s">
        <v>85</v>
      </c>
    </row>
    <row r="127" spans="2:23">
      <c r="B127" s="194"/>
      <c r="C127" s="194"/>
      <c r="D127" s="194"/>
      <c r="E127" s="194"/>
      <c r="F127" s="194"/>
      <c r="J127" t="str">
        <f t="shared" si="19"/>
        <v>Trd_3w_elc</v>
      </c>
      <c r="K127" t="str">
        <f t="shared" si="30"/>
        <v>\I:</v>
      </c>
      <c r="L127" t="str">
        <f t="shared" si="21"/>
        <v>\I:</v>
      </c>
      <c r="M127" s="185" t="str">
        <f t="shared" si="23"/>
        <v/>
      </c>
      <c r="N127" s="185" t="str">
        <f t="shared" si="24"/>
        <v/>
      </c>
      <c r="O127" s="185" t="str">
        <f t="shared" si="25"/>
        <v/>
      </c>
      <c r="P127" s="185" t="str">
        <f t="shared" si="26"/>
        <v/>
      </c>
      <c r="T127" t="str">
        <f t="shared" si="27"/>
        <v>\I:</v>
      </c>
      <c r="U127" t="str">
        <f t="shared" ca="1" si="28"/>
        <v>Battery electric motorcycle (equivalent to &gt;750 cc motorcycle) -- 00%</v>
      </c>
      <c r="V127" s="188" t="s">
        <v>84</v>
      </c>
      <c r="W127" s="188" t="s">
        <v>85</v>
      </c>
    </row>
    <row r="128" spans="2:23">
      <c r="B128" s="194"/>
      <c r="C128" s="194"/>
      <c r="D128" s="194"/>
      <c r="E128" s="194"/>
      <c r="F128" s="194"/>
      <c r="J128" t="str">
        <f t="shared" si="19"/>
        <v>Trd_3w_elc</v>
      </c>
      <c r="K128" t="str">
        <f t="shared" si="30"/>
        <v>\I:</v>
      </c>
      <c r="L128" t="str">
        <f t="shared" si="21"/>
        <v>\I:</v>
      </c>
      <c r="M128" s="185" t="str">
        <f t="shared" si="23"/>
        <v/>
      </c>
      <c r="N128" s="185" t="str">
        <f t="shared" si="24"/>
        <v/>
      </c>
      <c r="O128" s="185" t="str">
        <f t="shared" si="25"/>
        <v/>
      </c>
      <c r="P128" s="185" t="str">
        <f t="shared" si="26"/>
        <v/>
      </c>
      <c r="T128" t="str">
        <f t="shared" si="27"/>
        <v>\I:</v>
      </c>
      <c r="U128" t="str">
        <f t="shared" ca="1" si="28"/>
        <v>Battery electric motorcycle (equivalent to &gt;750 cc motorcycle) -- 00%</v>
      </c>
      <c r="V128" s="188" t="s">
        <v>84</v>
      </c>
      <c r="W128" s="188" t="s">
        <v>85</v>
      </c>
    </row>
    <row r="129" spans="2:23">
      <c r="B129" s="35"/>
      <c r="C129" s="36">
        <v>2020</v>
      </c>
      <c r="D129" s="36">
        <v>2030</v>
      </c>
      <c r="E129" s="36">
        <v>2040</v>
      </c>
      <c r="F129" s="36">
        <v>2050</v>
      </c>
      <c r="J129" t="str">
        <f t="shared" si="19"/>
        <v>Trd_3w_elc</v>
      </c>
      <c r="K129" t="str">
        <f t="shared" si="30"/>
        <v>\I:</v>
      </c>
      <c r="L129" t="str">
        <f t="shared" si="21"/>
        <v>\I:</v>
      </c>
      <c r="M129" s="185" t="str">
        <f t="shared" si="23"/>
        <v/>
      </c>
      <c r="N129" s="185" t="str">
        <f t="shared" si="24"/>
        <v/>
      </c>
      <c r="O129" s="185" t="str">
        <f t="shared" si="25"/>
        <v/>
      </c>
      <c r="P129" s="185" t="str">
        <f t="shared" si="26"/>
        <v/>
      </c>
      <c r="T129" t="str">
        <f t="shared" si="27"/>
        <v>\I:</v>
      </c>
      <c r="U129" t="str">
        <f t="shared" ca="1" si="28"/>
        <v>Battery electric motorcycle (equivalent to &gt;750 cc motorcycle) -- 00%</v>
      </c>
      <c r="V129" s="188" t="s">
        <v>84</v>
      </c>
      <c r="W129" s="188" t="s">
        <v>85</v>
      </c>
    </row>
    <row r="130" spans="2:23">
      <c r="B130" s="42">
        <v>120</v>
      </c>
      <c r="C130" s="53">
        <v>14416.9866551673</v>
      </c>
      <c r="D130" s="53">
        <v>12950.2883690462</v>
      </c>
      <c r="E130" s="53">
        <v>12201.8128279785</v>
      </c>
      <c r="F130" s="53">
        <v>11983.905984631599</v>
      </c>
      <c r="I130" s="198">
        <f>$I$124/$I$49</f>
        <v>9.7353065043764708</v>
      </c>
      <c r="J130" t="str">
        <f t="shared" si="19"/>
        <v>Trd_3w_elc</v>
      </c>
      <c r="K130" t="str">
        <f t="shared" si="30"/>
        <v>Trd_3w_elc_120</v>
      </c>
      <c r="L130" t="str">
        <f t="shared" si="21"/>
        <v>Trd_3w</v>
      </c>
      <c r="M130" s="185">
        <f t="shared" si="23"/>
        <v>14416.9866551673</v>
      </c>
      <c r="N130" s="185">
        <f t="shared" si="24"/>
        <v>12950.2883690462</v>
      </c>
      <c r="O130" s="185">
        <f t="shared" si="25"/>
        <v>12201.8128279785</v>
      </c>
      <c r="P130" s="185">
        <f t="shared" si="26"/>
        <v>11983.905984631599</v>
      </c>
      <c r="Q130" s="29">
        <v>0.05</v>
      </c>
      <c r="T130" t="str">
        <f t="shared" si="27"/>
        <v>Trd_3w_elc_120</v>
      </c>
      <c r="U130" t="str">
        <f t="shared" ca="1" si="28"/>
        <v>Battery electric motorcycle (equivalent to &gt;750 cc motorcycle) -- 12000%</v>
      </c>
      <c r="V130" s="188" t="s">
        <v>84</v>
      </c>
      <c r="W130" s="188" t="s">
        <v>85</v>
      </c>
    </row>
    <row r="131" spans="2:23">
      <c r="B131" s="42">
        <v>131.42857142857099</v>
      </c>
      <c r="C131" s="53">
        <v>14724.883989423601</v>
      </c>
      <c r="D131" s="53">
        <v>13123.5997834724</v>
      </c>
      <c r="E131" s="53">
        <v>12306.443266829699</v>
      </c>
      <c r="F131" s="53">
        <v>12068.5410411833</v>
      </c>
      <c r="I131" s="198">
        <f t="shared" ref="I131:I137" si="32">$I$124/$I$49</f>
        <v>9.7353065043764708</v>
      </c>
      <c r="J131" t="str">
        <f t="shared" si="19"/>
        <v>Trd_3w_elc</v>
      </c>
      <c r="K131" t="str">
        <f t="shared" si="30"/>
        <v>Trd_3w_elc_131</v>
      </c>
      <c r="L131" t="str">
        <f t="shared" si="21"/>
        <v>Trd_3w</v>
      </c>
      <c r="M131" s="185">
        <f t="shared" si="23"/>
        <v>14724.883989423601</v>
      </c>
      <c r="N131" s="185">
        <f t="shared" si="24"/>
        <v>13123.5997834724</v>
      </c>
      <c r="O131" s="185">
        <f t="shared" si="25"/>
        <v>12306.443266829699</v>
      </c>
      <c r="P131" s="185">
        <f t="shared" si="26"/>
        <v>12068.5410411833</v>
      </c>
      <c r="Q131" s="29">
        <v>0.05</v>
      </c>
      <c r="T131" t="str">
        <f t="shared" si="27"/>
        <v>Trd_3w_elc_131</v>
      </c>
      <c r="U131" t="str">
        <f t="shared" ca="1" si="28"/>
        <v>Battery electric motorcycle (equivalent to &gt;750 cc motorcycle) -- 13143%</v>
      </c>
      <c r="V131" s="188" t="s">
        <v>84</v>
      </c>
      <c r="W131" s="188" t="s">
        <v>85</v>
      </c>
    </row>
    <row r="132" spans="2:23">
      <c r="B132" s="42">
        <v>142.857142857143</v>
      </c>
      <c r="C132" s="53">
        <v>14865.3695454917</v>
      </c>
      <c r="D132" s="53">
        <v>13202.6772801563</v>
      </c>
      <c r="E132" s="53">
        <v>12354.183418329199</v>
      </c>
      <c r="F132" s="53">
        <v>12107.1578191144</v>
      </c>
      <c r="I132" s="198">
        <f t="shared" si="32"/>
        <v>9.7353065043764708</v>
      </c>
      <c r="J132" t="str">
        <f t="shared" si="19"/>
        <v>Trd_3w_elc</v>
      </c>
      <c r="K132" t="str">
        <f t="shared" si="30"/>
        <v>Trd_3w_elc_143</v>
      </c>
      <c r="L132" t="str">
        <f t="shared" si="21"/>
        <v>Trd_3w</v>
      </c>
      <c r="M132" s="185">
        <f t="shared" si="23"/>
        <v>14865.3695454917</v>
      </c>
      <c r="N132" s="185">
        <f t="shared" si="24"/>
        <v>13202.6772801563</v>
      </c>
      <c r="O132" s="185">
        <f t="shared" si="25"/>
        <v>12354.183418329199</v>
      </c>
      <c r="P132" s="185">
        <f t="shared" si="26"/>
        <v>12107.1578191144</v>
      </c>
      <c r="Q132" s="29">
        <v>0.05</v>
      </c>
      <c r="T132" t="str">
        <f t="shared" si="27"/>
        <v>Trd_3w_elc_143</v>
      </c>
      <c r="U132" t="str">
        <f t="shared" ca="1" si="28"/>
        <v>Battery electric motorcycle (equivalent to &gt;750 cc motorcycle) -- 14286%</v>
      </c>
      <c r="V132" s="188" t="s">
        <v>84</v>
      </c>
      <c r="W132" s="188" t="s">
        <v>85</v>
      </c>
    </row>
    <row r="133" spans="2:23">
      <c r="B133" s="42">
        <v>154.28571428571399</v>
      </c>
      <c r="C133" s="53">
        <v>14907.2890658627</v>
      </c>
      <c r="D133" s="53">
        <v>13226.273234259301</v>
      </c>
      <c r="E133" s="53">
        <v>12368.4286141294</v>
      </c>
      <c r="F133" s="53">
        <v>12118.6806891833</v>
      </c>
      <c r="I133" s="198">
        <f t="shared" si="32"/>
        <v>9.7353065043764708</v>
      </c>
      <c r="J133" t="str">
        <f t="shared" si="19"/>
        <v>Trd_3w_elc</v>
      </c>
      <c r="K133" t="str">
        <f t="shared" si="30"/>
        <v>Trd_3w_elc_154</v>
      </c>
      <c r="L133" t="str">
        <f t="shared" si="21"/>
        <v>Trd_3w</v>
      </c>
      <c r="M133" s="185">
        <f t="shared" si="23"/>
        <v>14907.2890658627</v>
      </c>
      <c r="N133" s="185">
        <f t="shared" si="24"/>
        <v>13226.273234259301</v>
      </c>
      <c r="O133" s="185">
        <f t="shared" si="25"/>
        <v>12368.4286141294</v>
      </c>
      <c r="P133" s="185">
        <f t="shared" si="26"/>
        <v>12118.6806891833</v>
      </c>
      <c r="Q133" s="29">
        <v>0.05</v>
      </c>
      <c r="T133" t="str">
        <f t="shared" si="27"/>
        <v>Trd_3w_elc_154</v>
      </c>
      <c r="U133" t="str">
        <f t="shared" ca="1" si="28"/>
        <v>Battery electric motorcycle (equivalent to &gt;750 cc motorcycle) -- 15429%</v>
      </c>
      <c r="V133" s="188" t="s">
        <v>84</v>
      </c>
      <c r="W133" s="188" t="s">
        <v>85</v>
      </c>
    </row>
    <row r="134" spans="2:23">
      <c r="B134" s="42">
        <v>165.71428571428601</v>
      </c>
      <c r="C134" s="53">
        <v>15064.547502522901</v>
      </c>
      <c r="D134" s="53">
        <v>13314.7919677972</v>
      </c>
      <c r="E134" s="53">
        <v>12421.868567679499</v>
      </c>
      <c r="F134" s="53">
        <v>12161.908009459199</v>
      </c>
      <c r="I134" s="198">
        <f t="shared" si="32"/>
        <v>9.7353065043764708</v>
      </c>
      <c r="J134" t="str">
        <f t="shared" si="19"/>
        <v>Trd_3w_elc</v>
      </c>
      <c r="K134" t="str">
        <f t="shared" si="30"/>
        <v>Trd_3w_elc_166</v>
      </c>
      <c r="L134" t="str">
        <f t="shared" si="21"/>
        <v>Trd_3w</v>
      </c>
      <c r="M134" s="185">
        <f t="shared" si="23"/>
        <v>15064.547502522901</v>
      </c>
      <c r="N134" s="185">
        <f t="shared" si="24"/>
        <v>13314.7919677972</v>
      </c>
      <c r="O134" s="185">
        <f t="shared" si="25"/>
        <v>12421.868567679499</v>
      </c>
      <c r="P134" s="185">
        <f t="shared" si="26"/>
        <v>12161.908009459199</v>
      </c>
      <c r="Q134" s="29">
        <v>0.15</v>
      </c>
      <c r="T134" t="str">
        <f t="shared" si="27"/>
        <v>Trd_3w_elc_166</v>
      </c>
      <c r="U134" t="str">
        <f t="shared" ca="1" si="28"/>
        <v>Battery electric motorcycle (equivalent to &gt;750 cc motorcycle) -- 16571%</v>
      </c>
      <c r="V134" s="188" t="s">
        <v>84</v>
      </c>
      <c r="W134" s="188" t="s">
        <v>85</v>
      </c>
    </row>
    <row r="135" spans="2:23">
      <c r="B135" s="42">
        <v>177.142857142857</v>
      </c>
      <c r="C135" s="53">
        <v>15204.9907882267</v>
      </c>
      <c r="D135" s="53">
        <v>13393.845671041499</v>
      </c>
      <c r="E135" s="53">
        <v>12469.594354758499</v>
      </c>
      <c r="F135" s="53">
        <v>12200.5131680799</v>
      </c>
      <c r="I135" s="198">
        <f t="shared" si="32"/>
        <v>9.7353065043764708</v>
      </c>
      <c r="J135" t="str">
        <f t="shared" si="19"/>
        <v>Trd_3w_elc</v>
      </c>
      <c r="K135" t="str">
        <f t="shared" si="30"/>
        <v>Trd_3w_elc_177</v>
      </c>
      <c r="L135" t="str">
        <f t="shared" si="21"/>
        <v>Trd_3w</v>
      </c>
      <c r="M135" s="185">
        <f t="shared" si="23"/>
        <v>15204.9907882267</v>
      </c>
      <c r="N135" s="185">
        <f t="shared" si="24"/>
        <v>13393.845671041499</v>
      </c>
      <c r="O135" s="185">
        <f t="shared" si="25"/>
        <v>12469.594354758499</v>
      </c>
      <c r="P135" s="185">
        <f t="shared" si="26"/>
        <v>12200.5131680799</v>
      </c>
      <c r="Q135" s="29">
        <v>0.17499999999999999</v>
      </c>
      <c r="T135" t="str">
        <f t="shared" si="27"/>
        <v>Trd_3w_elc_177</v>
      </c>
      <c r="U135" t="str">
        <f t="shared" ca="1" si="28"/>
        <v>Battery electric motorcycle (equivalent to &gt;750 cc motorcycle) -- 17714%</v>
      </c>
      <c r="V135" s="188" t="s">
        <v>84</v>
      </c>
      <c r="W135" s="188" t="s">
        <v>85</v>
      </c>
    </row>
    <row r="136" spans="2:23" ht="15" customHeight="1">
      <c r="B136" s="42">
        <v>188.57142857142799</v>
      </c>
      <c r="C136" s="53">
        <v>15414.9772774338</v>
      </c>
      <c r="D136" s="53">
        <v>13512.044341201399</v>
      </c>
      <c r="E136" s="53">
        <v>12540.952486428099</v>
      </c>
      <c r="F136" s="53">
        <v>12258.2344160799</v>
      </c>
      <c r="I136" s="198">
        <f t="shared" si="32"/>
        <v>9.7353065043764708</v>
      </c>
      <c r="J136" t="str">
        <f t="shared" si="19"/>
        <v>Trd_3w_elc</v>
      </c>
      <c r="K136" t="str">
        <f t="shared" si="30"/>
        <v>Trd_3w_elc_189</v>
      </c>
      <c r="L136" t="str">
        <f t="shared" si="21"/>
        <v>Trd_3w</v>
      </c>
      <c r="M136" s="185">
        <f t="shared" si="23"/>
        <v>15414.9772774338</v>
      </c>
      <c r="N136" s="185">
        <f t="shared" si="24"/>
        <v>13512.044341201399</v>
      </c>
      <c r="O136" s="185">
        <f t="shared" si="25"/>
        <v>12540.952486428099</v>
      </c>
      <c r="P136" s="185">
        <f t="shared" si="26"/>
        <v>12258.2344160799</v>
      </c>
      <c r="Q136" s="29">
        <v>0.2</v>
      </c>
      <c r="T136" t="str">
        <f t="shared" si="27"/>
        <v>Trd_3w_elc_189</v>
      </c>
      <c r="U136" t="str">
        <f t="shared" ca="1" si="28"/>
        <v>Battery electric motorcycle (equivalent to &gt;750 cc motorcycle) -- 18857%</v>
      </c>
      <c r="V136" s="188" t="s">
        <v>84</v>
      </c>
      <c r="W136" s="188" t="s">
        <v>85</v>
      </c>
    </row>
    <row r="137" spans="2:23">
      <c r="B137" s="42">
        <v>200</v>
      </c>
      <c r="C137" s="53">
        <v>15618.3104112851</v>
      </c>
      <c r="D137" s="53">
        <v>13626.4979239601</v>
      </c>
      <c r="E137" s="53">
        <v>12610.0496583125</v>
      </c>
      <c r="F137" s="53">
        <v>12314.1267846316</v>
      </c>
      <c r="I137" s="198">
        <f t="shared" si="32"/>
        <v>9.7353065043764708</v>
      </c>
      <c r="J137" t="str">
        <f t="shared" si="19"/>
        <v>Trd_3w_elc</v>
      </c>
      <c r="K137" t="str">
        <f t="shared" si="30"/>
        <v>Trd_3w_elc_200</v>
      </c>
      <c r="L137" t="str">
        <f t="shared" si="21"/>
        <v>Trd_3w</v>
      </c>
      <c r="M137" s="185">
        <f t="shared" si="23"/>
        <v>15618.3104112851</v>
      </c>
      <c r="N137" s="185">
        <f t="shared" si="24"/>
        <v>13626.4979239601</v>
      </c>
      <c r="O137" s="185">
        <f t="shared" si="25"/>
        <v>12610.0496583125</v>
      </c>
      <c r="P137" s="185">
        <f t="shared" si="26"/>
        <v>12314.1267846316</v>
      </c>
      <c r="T137" t="str">
        <f t="shared" si="27"/>
        <v>Trd_3w_elc_200</v>
      </c>
      <c r="U137" t="str">
        <f t="shared" ca="1" si="28"/>
        <v>Battery electric motorcycle (equivalent to &gt;750 cc motorcycle) -- 20000%</v>
      </c>
      <c r="V137" s="188" t="s">
        <v>84</v>
      </c>
      <c r="W137" s="188" t="s">
        <v>85</v>
      </c>
    </row>
    <row r="138" spans="2:23">
      <c r="J138" t="str">
        <f t="shared" si="19"/>
        <v>Trd_3w_elc</v>
      </c>
      <c r="K138" t="str">
        <f t="shared" si="30"/>
        <v>\I:</v>
      </c>
      <c r="L138" t="str">
        <f t="shared" si="21"/>
        <v>\I:</v>
      </c>
      <c r="M138" s="185" t="str">
        <f t="shared" si="23"/>
        <v/>
      </c>
      <c r="N138" s="185" t="str">
        <f t="shared" si="24"/>
        <v/>
      </c>
      <c r="O138" s="185" t="str">
        <f t="shared" si="25"/>
        <v/>
      </c>
      <c r="P138" s="185" t="str">
        <f t="shared" si="26"/>
        <v/>
      </c>
      <c r="T138" t="str">
        <f t="shared" si="27"/>
        <v>\I:</v>
      </c>
      <c r="U138" t="str">
        <f t="shared" ca="1" si="28"/>
        <v>Battery electric motorcycle (equivalent to &gt;750 cc motorcycle) -- 00%</v>
      </c>
      <c r="V138" s="188" t="s">
        <v>84</v>
      </c>
      <c r="W138" s="188" t="s">
        <v>85</v>
      </c>
    </row>
    <row r="139" spans="2:23">
      <c r="J139" t="str">
        <f t="shared" si="19"/>
        <v>Trd_3w_elc</v>
      </c>
      <c r="K139" t="str">
        <f t="shared" si="30"/>
        <v>\I:</v>
      </c>
      <c r="L139" t="str">
        <f t="shared" si="21"/>
        <v>\I:</v>
      </c>
      <c r="M139" s="185" t="str">
        <f t="shared" si="23"/>
        <v/>
      </c>
      <c r="N139" s="185" t="str">
        <f t="shared" si="24"/>
        <v/>
      </c>
      <c r="O139" s="185" t="str">
        <f t="shared" si="25"/>
        <v/>
      </c>
      <c r="P139" s="185" t="str">
        <f t="shared" si="26"/>
        <v/>
      </c>
      <c r="T139" t="str">
        <f t="shared" si="27"/>
        <v>\I:</v>
      </c>
      <c r="U139" t="str">
        <f t="shared" ca="1" si="28"/>
        <v>Battery electric motorcycle (equivalent to &gt;750 cc motorcycle) -- 00%</v>
      </c>
      <c r="V139" s="188" t="s">
        <v>84</v>
      </c>
      <c r="W139" s="188" t="s">
        <v>85</v>
      </c>
    </row>
    <row r="140" spans="2:23">
      <c r="J140" t="str">
        <f t="shared" si="19"/>
        <v>Trd_3w_elc</v>
      </c>
      <c r="K140" t="str">
        <f t="shared" si="30"/>
        <v>\I:</v>
      </c>
      <c r="L140" t="str">
        <f t="shared" si="21"/>
        <v>\I:</v>
      </c>
      <c r="M140" s="185" t="str">
        <f t="shared" si="23"/>
        <v/>
      </c>
      <c r="N140" s="185" t="str">
        <f t="shared" si="24"/>
        <v/>
      </c>
      <c r="O140" s="185" t="str">
        <f t="shared" si="25"/>
        <v/>
      </c>
      <c r="P140" s="185" t="str">
        <f t="shared" si="26"/>
        <v/>
      </c>
      <c r="T140" t="str">
        <f t="shared" si="27"/>
        <v>\I:</v>
      </c>
      <c r="U140" t="str">
        <f t="shared" ca="1" si="28"/>
        <v>Battery electric motorcycle (equivalent to &gt;750 cc motorcycle) -- 00%</v>
      </c>
      <c r="V140" s="188" t="s">
        <v>84</v>
      </c>
      <c r="W140" s="188" t="s">
        <v>85</v>
      </c>
    </row>
    <row r="141" spans="2:23">
      <c r="B141" s="177">
        <v>2020</v>
      </c>
      <c r="C141" s="177"/>
      <c r="D141" s="177"/>
      <c r="J141" t="str">
        <f t="shared" ref="J141:J155" si="33">IFERROR(VLOOKUP(C141,$R$1:$S$8,2,FALSE),J140)</f>
        <v>Trd_3w_elc</v>
      </c>
      <c r="K141" t="str">
        <f t="shared" si="30"/>
        <v>\I:</v>
      </c>
      <c r="L141" t="str">
        <f t="shared" ref="L141:L155" si="34">LEFT(K141,6)</f>
        <v>\I:</v>
      </c>
      <c r="M141" s="185" t="str">
        <f t="shared" si="23"/>
        <v/>
      </c>
      <c r="N141" s="185" t="str">
        <f t="shared" si="24"/>
        <v/>
      </c>
      <c r="O141" s="185" t="str">
        <f t="shared" si="25"/>
        <v/>
      </c>
      <c r="P141" s="185" t="str">
        <f t="shared" si="26"/>
        <v/>
      </c>
      <c r="T141" t="str">
        <f t="shared" si="27"/>
        <v>\I:</v>
      </c>
      <c r="U141" t="str">
        <f t="shared" ca="1" si="28"/>
        <v>Battery electric motorcycle (equivalent to &gt;750 cc motorcycle) -- 202000%</v>
      </c>
      <c r="V141" s="188" t="s">
        <v>84</v>
      </c>
      <c r="W141" s="188" t="s">
        <v>85</v>
      </c>
    </row>
    <row r="142" spans="2:23">
      <c r="B142" s="31" t="s">
        <v>147</v>
      </c>
      <c r="C142" s="32" t="s">
        <v>26</v>
      </c>
      <c r="D142" s="47">
        <v>4.48E-2</v>
      </c>
      <c r="G142" s="50">
        <f>D142/3.6/100*10^9/10^6</f>
        <v>0.124444444444444</v>
      </c>
      <c r="H142" s="50"/>
      <c r="I142" s="178">
        <f>1/G142</f>
        <v>8.03571428571429</v>
      </c>
      <c r="J142" t="str">
        <f t="shared" si="33"/>
        <v>Trd_3w_elc</v>
      </c>
      <c r="K142" t="str">
        <f t="shared" si="30"/>
        <v>\I:</v>
      </c>
      <c r="L142" t="str">
        <f t="shared" si="34"/>
        <v>\I:</v>
      </c>
      <c r="M142" s="185" t="str">
        <f t="shared" si="23"/>
        <v/>
      </c>
      <c r="N142" s="185" t="str">
        <f t="shared" si="24"/>
        <v/>
      </c>
      <c r="O142" s="185" t="str">
        <f t="shared" si="25"/>
        <v/>
      </c>
      <c r="P142" s="185" t="str">
        <f t="shared" si="26"/>
        <v/>
      </c>
      <c r="T142" t="str">
        <f t="shared" si="27"/>
        <v>\I:</v>
      </c>
      <c r="U142" t="str">
        <f t="shared" ca="1" si="28"/>
        <v xml:space="preserve">Battery electric motorcycle (equivalent to &gt;750 cc motorcycle) -- Energy consumption of Battery electric moped </v>
      </c>
      <c r="V142" s="188" t="s">
        <v>84</v>
      </c>
      <c r="W142" s="188" t="s">
        <v>85</v>
      </c>
    </row>
    <row r="143" spans="2:23">
      <c r="I143" s="190" t="s">
        <v>70</v>
      </c>
      <c r="J143" t="str">
        <f t="shared" si="33"/>
        <v>Trd_3w_elc</v>
      </c>
      <c r="K143" t="str">
        <f t="shared" si="30"/>
        <v>\I:</v>
      </c>
      <c r="L143" t="str">
        <f t="shared" si="34"/>
        <v>\I:</v>
      </c>
      <c r="M143" s="185" t="str">
        <f t="shared" si="23"/>
        <v/>
      </c>
      <c r="N143" s="185" t="str">
        <f t="shared" si="24"/>
        <v/>
      </c>
      <c r="O143" s="185" t="str">
        <f t="shared" si="25"/>
        <v/>
      </c>
      <c r="P143" s="185" t="str">
        <f t="shared" si="26"/>
        <v/>
      </c>
      <c r="T143" t="str">
        <f t="shared" si="27"/>
        <v>\I:</v>
      </c>
      <c r="U143" t="str">
        <f t="shared" ca="1" si="28"/>
        <v>Battery electric motorcycle (equivalent to &gt;750 cc motorcycle) -- 00%</v>
      </c>
      <c r="V143" s="188" t="s">
        <v>84</v>
      </c>
      <c r="W143" s="188" t="s">
        <v>85</v>
      </c>
    </row>
    <row r="144" spans="2:23" ht="15" customHeight="1">
      <c r="B144" s="194" t="s">
        <v>27</v>
      </c>
      <c r="C144" s="194" t="s">
        <v>139</v>
      </c>
      <c r="D144" s="194"/>
      <c r="E144" s="194"/>
      <c r="F144" s="194"/>
      <c r="J144" t="str">
        <f t="shared" si="33"/>
        <v>Trd_2w_elc50</v>
      </c>
      <c r="K144" t="str">
        <f t="shared" si="30"/>
        <v>\I:</v>
      </c>
      <c r="L144" t="str">
        <f t="shared" si="34"/>
        <v>\I:</v>
      </c>
      <c r="M144" s="185" t="str">
        <f t="shared" si="23"/>
        <v/>
      </c>
      <c r="N144" s="185" t="str">
        <f t="shared" si="24"/>
        <v/>
      </c>
      <c r="O144" s="185" t="str">
        <f t="shared" si="25"/>
        <v/>
      </c>
      <c r="P144" s="185" t="str">
        <f t="shared" si="26"/>
        <v/>
      </c>
      <c r="T144" t="str">
        <f t="shared" si="27"/>
        <v>\I:</v>
      </c>
      <c r="U144" t="str">
        <f t="shared" ca="1" si="28"/>
        <v>Battery electric moped -- Electric range (km)</v>
      </c>
      <c r="V144" s="188" t="s">
        <v>84</v>
      </c>
      <c r="W144" s="188" t="s">
        <v>85</v>
      </c>
    </row>
    <row r="145" spans="2:23">
      <c r="B145" s="194"/>
      <c r="C145" s="194"/>
      <c r="D145" s="194"/>
      <c r="E145" s="194"/>
      <c r="F145" s="194"/>
      <c r="J145" t="str">
        <f t="shared" si="33"/>
        <v>Trd_2w_elc50</v>
      </c>
      <c r="K145" t="str">
        <f t="shared" si="30"/>
        <v>\I:</v>
      </c>
      <c r="L145" t="str">
        <f t="shared" si="34"/>
        <v>\I:</v>
      </c>
      <c r="M145" s="185" t="str">
        <f t="shared" si="23"/>
        <v/>
      </c>
      <c r="N145" s="185" t="str">
        <f t="shared" si="24"/>
        <v/>
      </c>
      <c r="O145" s="185" t="str">
        <f t="shared" si="25"/>
        <v/>
      </c>
      <c r="P145" s="185" t="str">
        <f t="shared" si="26"/>
        <v/>
      </c>
      <c r="T145" t="str">
        <f t="shared" si="27"/>
        <v>\I:</v>
      </c>
      <c r="U145" t="str">
        <f t="shared" ca="1" si="28"/>
        <v>Battery electric moped -- 00%</v>
      </c>
      <c r="V145" s="188" t="s">
        <v>84</v>
      </c>
      <c r="W145" s="188" t="s">
        <v>85</v>
      </c>
    </row>
    <row r="146" spans="2:23">
      <c r="B146" s="194"/>
      <c r="C146" s="194"/>
      <c r="D146" s="194"/>
      <c r="E146" s="194"/>
      <c r="F146" s="194"/>
      <c r="J146" t="str">
        <f t="shared" si="33"/>
        <v>Trd_2w_elc50</v>
      </c>
      <c r="K146" t="str">
        <f t="shared" si="30"/>
        <v>\I:</v>
      </c>
      <c r="L146" t="str">
        <f t="shared" si="34"/>
        <v>\I:</v>
      </c>
      <c r="M146" s="185" t="str">
        <f t="shared" si="23"/>
        <v/>
      </c>
      <c r="N146" s="185" t="str">
        <f t="shared" si="24"/>
        <v/>
      </c>
      <c r="O146" s="185" t="str">
        <f t="shared" si="25"/>
        <v/>
      </c>
      <c r="P146" s="185" t="str">
        <f t="shared" si="26"/>
        <v/>
      </c>
      <c r="T146" t="str">
        <f t="shared" si="27"/>
        <v>\I:</v>
      </c>
      <c r="U146" t="str">
        <f t="shared" ca="1" si="28"/>
        <v>Battery electric moped -- 00%</v>
      </c>
      <c r="V146" s="188" t="s">
        <v>84</v>
      </c>
      <c r="W146" s="188" t="s">
        <v>85</v>
      </c>
    </row>
    <row r="147" spans="2:23">
      <c r="B147" s="35"/>
      <c r="C147" s="36">
        <v>2020</v>
      </c>
      <c r="D147" s="36">
        <v>2030</v>
      </c>
      <c r="E147" s="36">
        <v>2040</v>
      </c>
      <c r="F147" s="36">
        <v>2050</v>
      </c>
      <c r="J147" t="str">
        <f t="shared" si="33"/>
        <v>Trd_2w_elc50</v>
      </c>
      <c r="K147" t="str">
        <f t="shared" si="30"/>
        <v>\I:</v>
      </c>
      <c r="L147" t="str">
        <f t="shared" si="34"/>
        <v>\I:</v>
      </c>
      <c r="M147" s="185" t="str">
        <f t="shared" si="23"/>
        <v/>
      </c>
      <c r="N147" s="185" t="str">
        <f t="shared" si="24"/>
        <v/>
      </c>
      <c r="O147" s="185" t="str">
        <f t="shared" si="25"/>
        <v/>
      </c>
      <c r="P147" s="185" t="str">
        <f t="shared" si="26"/>
        <v/>
      </c>
      <c r="T147" t="str">
        <f t="shared" si="27"/>
        <v>\I:</v>
      </c>
      <c r="U147" t="str">
        <f t="shared" ca="1" si="28"/>
        <v>Battery electric moped -- 00%</v>
      </c>
      <c r="V147" s="188" t="s">
        <v>84</v>
      </c>
      <c r="W147" s="188" t="s">
        <v>85</v>
      </c>
    </row>
    <row r="148" spans="2:23">
      <c r="B148" s="42">
        <v>100</v>
      </c>
      <c r="C148" s="53">
        <v>4598.9293393343396</v>
      </c>
      <c r="D148" s="53">
        <v>3005.7695880779402</v>
      </c>
      <c r="E148" s="53">
        <v>2743.9915556864498</v>
      </c>
      <c r="F148" s="53">
        <v>2561.5211634859302</v>
      </c>
      <c r="I148" s="50">
        <f>$I$142</f>
        <v>8.03571428571429</v>
      </c>
      <c r="J148" t="str">
        <f t="shared" si="33"/>
        <v>Trd_2w_elc50</v>
      </c>
      <c r="K148" t="str">
        <f t="shared" si="30"/>
        <v>Trd_2w_elc50_100</v>
      </c>
      <c r="L148" t="str">
        <f t="shared" si="34"/>
        <v>Trd_2w</v>
      </c>
      <c r="M148" s="185">
        <f t="shared" ref="M148:M155" si="35">IF($K148="\I:","",C148)</f>
        <v>4598.9293393343396</v>
      </c>
      <c r="N148" s="185">
        <f t="shared" ref="N148:N155" si="36">IF($K148="\I:","",D148)</f>
        <v>3005.7695880779402</v>
      </c>
      <c r="O148" s="185">
        <f t="shared" ref="O148:O155" si="37">IF($K148="\I:","",E148)</f>
        <v>2743.9915556864498</v>
      </c>
      <c r="P148" s="185">
        <f t="shared" ref="P148:P155" si="38">IF($K148="\I:","",F148)</f>
        <v>2561.5211634859302</v>
      </c>
      <c r="Q148" s="29">
        <v>0.05</v>
      </c>
      <c r="T148" t="str">
        <f t="shared" si="27"/>
        <v>Trd_2w_elc50_100</v>
      </c>
      <c r="U148" t="str">
        <f t="shared" ca="1" si="28"/>
        <v>Battery electric moped -- 10000%</v>
      </c>
      <c r="V148" s="188" t="s">
        <v>84</v>
      </c>
      <c r="W148" s="188" t="s">
        <v>85</v>
      </c>
    </row>
    <row r="149" spans="2:23">
      <c r="B149" s="42">
        <v>108.571428571429</v>
      </c>
      <c r="C149" s="53">
        <v>4826.1468604891397</v>
      </c>
      <c r="D149" s="53">
        <v>3104.1525068989999</v>
      </c>
      <c r="E149" s="53">
        <v>2821.2051795411599</v>
      </c>
      <c r="F149" s="53">
        <v>2623.9788908285</v>
      </c>
      <c r="I149" s="50">
        <f t="shared" ref="I149:I155" si="39">$I$142</f>
        <v>8.03571428571429</v>
      </c>
      <c r="J149" t="str">
        <f t="shared" si="33"/>
        <v>Trd_2w_elc50</v>
      </c>
      <c r="K149" t="str">
        <f t="shared" si="30"/>
        <v>Trd_2w_elc50_109</v>
      </c>
      <c r="L149" t="str">
        <f t="shared" si="34"/>
        <v>Trd_2w</v>
      </c>
      <c r="M149" s="185">
        <f t="shared" si="35"/>
        <v>4826.1468604891397</v>
      </c>
      <c r="N149" s="185">
        <f t="shared" si="36"/>
        <v>3104.1525068989999</v>
      </c>
      <c r="O149" s="185">
        <f t="shared" si="37"/>
        <v>2821.2051795411599</v>
      </c>
      <c r="P149" s="185">
        <f t="shared" si="38"/>
        <v>2623.9788908285</v>
      </c>
      <c r="Q149" s="29">
        <v>7.4999999999999997E-2</v>
      </c>
      <c r="T149" t="str">
        <f t="shared" si="27"/>
        <v>Trd_2w_elc50_109</v>
      </c>
      <c r="U149" t="str">
        <f t="shared" ca="1" si="28"/>
        <v>Battery electric moped -- 10857%</v>
      </c>
      <c r="V149" s="188" t="s">
        <v>84</v>
      </c>
      <c r="W149" s="188" t="s">
        <v>85</v>
      </c>
    </row>
    <row r="150" spans="2:23">
      <c r="B150" s="42">
        <v>117.142857142857</v>
      </c>
      <c r="C150" s="53">
        <v>4915.2956907529497</v>
      </c>
      <c r="D150" s="53">
        <v>3142.75306061625</v>
      </c>
      <c r="E150" s="53">
        <v>2851.4999570393602</v>
      </c>
      <c r="F150" s="53">
        <v>2648.48419000273</v>
      </c>
      <c r="I150" s="50">
        <f t="shared" si="39"/>
        <v>8.03571428571429</v>
      </c>
      <c r="J150" t="str">
        <f t="shared" si="33"/>
        <v>Trd_2w_elc50</v>
      </c>
      <c r="K150" t="str">
        <f t="shared" si="30"/>
        <v>Trd_2w_elc50_117</v>
      </c>
      <c r="L150" t="str">
        <f t="shared" si="34"/>
        <v>Trd_2w</v>
      </c>
      <c r="M150" s="185">
        <f t="shared" si="35"/>
        <v>4915.2956907529497</v>
      </c>
      <c r="N150" s="185">
        <f t="shared" si="36"/>
        <v>3142.75306061625</v>
      </c>
      <c r="O150" s="185">
        <f t="shared" si="37"/>
        <v>2851.4999570393602</v>
      </c>
      <c r="P150" s="185">
        <f t="shared" si="38"/>
        <v>2648.48419000273</v>
      </c>
      <c r="Q150" s="29">
        <v>0.1</v>
      </c>
      <c r="T150" t="str">
        <f t="shared" si="27"/>
        <v>Trd_2w_elc50_117</v>
      </c>
      <c r="U150" t="str">
        <f t="shared" ca="1" si="28"/>
        <v>Battery electric moped -- 11714%</v>
      </c>
      <c r="V150" s="188" t="s">
        <v>84</v>
      </c>
      <c r="W150" s="188" t="s">
        <v>85</v>
      </c>
    </row>
    <row r="151" spans="2:23">
      <c r="B151" s="42">
        <v>125.71428571428601</v>
      </c>
      <c r="C151" s="53">
        <v>4925.6351631272701</v>
      </c>
      <c r="D151" s="53">
        <v>3147.22994895693</v>
      </c>
      <c r="E151" s="53">
        <v>2855.0135422889002</v>
      </c>
      <c r="F151" s="53">
        <v>2651.3263121381201</v>
      </c>
      <c r="I151" s="50">
        <f t="shared" si="39"/>
        <v>8.03571428571429</v>
      </c>
      <c r="J151" t="str">
        <f t="shared" si="33"/>
        <v>Trd_2w_elc50</v>
      </c>
      <c r="K151" t="str">
        <f t="shared" si="30"/>
        <v>Trd_2w_elc50_126</v>
      </c>
      <c r="L151" t="str">
        <f t="shared" si="34"/>
        <v>Trd_2w</v>
      </c>
      <c r="M151" s="185">
        <f t="shared" si="35"/>
        <v>4925.6351631272701</v>
      </c>
      <c r="N151" s="185">
        <f t="shared" si="36"/>
        <v>3147.22994895693</v>
      </c>
      <c r="O151" s="185">
        <f t="shared" si="37"/>
        <v>2855.0135422889002</v>
      </c>
      <c r="P151" s="185">
        <f t="shared" si="38"/>
        <v>2651.3263121381201</v>
      </c>
      <c r="Q151" s="29">
        <v>0.125</v>
      </c>
      <c r="T151" t="str">
        <f t="shared" si="27"/>
        <v>Trd_2w_elc50_126</v>
      </c>
      <c r="U151" t="str">
        <f t="shared" ca="1" si="28"/>
        <v>Battery electric moped -- 12571%</v>
      </c>
      <c r="V151" s="188" t="s">
        <v>84</v>
      </c>
      <c r="W151" s="188" t="s">
        <v>85</v>
      </c>
    </row>
    <row r="152" spans="2:23">
      <c r="B152" s="42">
        <v>134.28571428571399</v>
      </c>
      <c r="C152" s="53">
        <v>5031.6819525747596</v>
      </c>
      <c r="D152" s="53">
        <v>3193.1471503436001</v>
      </c>
      <c r="E152" s="53">
        <v>2891.0506263561001</v>
      </c>
      <c r="F152" s="53">
        <v>2680.47653535684</v>
      </c>
      <c r="I152" s="50">
        <f t="shared" si="39"/>
        <v>8.03571428571429</v>
      </c>
      <c r="J152" t="str">
        <f t="shared" si="33"/>
        <v>Trd_2w_elc50</v>
      </c>
      <c r="K152" t="str">
        <f t="shared" si="30"/>
        <v>Trd_2w_elc50_134</v>
      </c>
      <c r="L152" t="str">
        <f t="shared" si="34"/>
        <v>Trd_2w</v>
      </c>
      <c r="M152" s="185">
        <f t="shared" si="35"/>
        <v>5031.6819525747596</v>
      </c>
      <c r="N152" s="185">
        <f t="shared" si="36"/>
        <v>3193.1471503436001</v>
      </c>
      <c r="O152" s="185">
        <f t="shared" si="37"/>
        <v>2891.0506263561001</v>
      </c>
      <c r="P152" s="185">
        <f t="shared" si="38"/>
        <v>2680.47653535684</v>
      </c>
      <c r="Q152" s="29">
        <v>0.15</v>
      </c>
      <c r="T152" t="str">
        <f t="shared" ref="T152:T155" si="40">K152</f>
        <v>Trd_2w_elc50_134</v>
      </c>
      <c r="U152" t="str">
        <f t="shared" ref="U152:U155" ca="1" si="41">OFFSET($S$1,MATCH(J152,$S$1:$S$11,0)-1,-1)&amp;" -- "&amp;TEXT(B152,"00%")</f>
        <v>Battery electric moped -- 13429%</v>
      </c>
      <c r="V152" s="188" t="s">
        <v>84</v>
      </c>
      <c r="W152" s="188" t="s">
        <v>85</v>
      </c>
    </row>
    <row r="153" spans="2:23">
      <c r="B153" s="42">
        <v>142.857142857143</v>
      </c>
      <c r="C153" s="53">
        <v>5124.8626394836701</v>
      </c>
      <c r="D153" s="53">
        <v>3233.4934577465601</v>
      </c>
      <c r="E153" s="53">
        <v>2922.7155194195402</v>
      </c>
      <c r="F153" s="53">
        <v>2706.0901143932201</v>
      </c>
      <c r="I153" s="50">
        <f t="shared" si="39"/>
        <v>8.03571428571429</v>
      </c>
      <c r="J153" t="str">
        <f t="shared" si="33"/>
        <v>Trd_2w_elc50</v>
      </c>
      <c r="K153" t="str">
        <f t="shared" si="30"/>
        <v>Trd_2w_elc50_143</v>
      </c>
      <c r="L153" t="str">
        <f t="shared" si="34"/>
        <v>Trd_2w</v>
      </c>
      <c r="M153" s="185">
        <f t="shared" si="35"/>
        <v>5124.8626394836701</v>
      </c>
      <c r="N153" s="185">
        <f t="shared" si="36"/>
        <v>3233.4934577465601</v>
      </c>
      <c r="O153" s="185">
        <f t="shared" si="37"/>
        <v>2922.7155194195402</v>
      </c>
      <c r="P153" s="185">
        <f t="shared" si="38"/>
        <v>2706.0901143932201</v>
      </c>
      <c r="Q153" s="29">
        <v>0.17499999999999999</v>
      </c>
      <c r="T153" t="str">
        <f t="shared" si="40"/>
        <v>Trd_2w_elc50_143</v>
      </c>
      <c r="U153" t="str">
        <f t="shared" ca="1" si="41"/>
        <v>Battery electric moped -- 14286%</v>
      </c>
      <c r="V153" s="188" t="s">
        <v>84</v>
      </c>
      <c r="W153" s="188" t="s">
        <v>85</v>
      </c>
    </row>
    <row r="154" spans="2:23">
      <c r="B154" s="42">
        <v>151.42857142857099</v>
      </c>
      <c r="C154" s="53">
        <v>5274.3519376419599</v>
      </c>
      <c r="D154" s="53">
        <v>3298.2208318089902</v>
      </c>
      <c r="E154" s="53">
        <v>2973.5153449771601</v>
      </c>
      <c r="F154" s="53">
        <v>2747.1818478896098</v>
      </c>
      <c r="I154" s="50">
        <f t="shared" si="39"/>
        <v>8.03571428571429</v>
      </c>
      <c r="J154" t="str">
        <f t="shared" si="33"/>
        <v>Trd_2w_elc50</v>
      </c>
      <c r="K154" t="str">
        <f t="shared" si="30"/>
        <v>Trd_2w_elc50_151</v>
      </c>
      <c r="L154" t="str">
        <f t="shared" si="34"/>
        <v>Trd_2w</v>
      </c>
      <c r="M154" s="185">
        <f t="shared" si="35"/>
        <v>5274.3519376419599</v>
      </c>
      <c r="N154" s="185">
        <f t="shared" si="36"/>
        <v>3298.2208318089902</v>
      </c>
      <c r="O154" s="185">
        <f t="shared" si="37"/>
        <v>2973.5153449771601</v>
      </c>
      <c r="P154" s="185">
        <f t="shared" si="38"/>
        <v>2747.1818478896098</v>
      </c>
      <c r="Q154" s="29">
        <v>0.2</v>
      </c>
      <c r="T154" t="str">
        <f t="shared" si="40"/>
        <v>Trd_2w_elc50_151</v>
      </c>
      <c r="U154" t="str">
        <f t="shared" ca="1" si="41"/>
        <v>Battery electric moped -- 15143%</v>
      </c>
      <c r="V154" s="188" t="s">
        <v>84</v>
      </c>
      <c r="W154" s="188" t="s">
        <v>85</v>
      </c>
    </row>
    <row r="155" spans="2:23">
      <c r="B155" s="42">
        <v>160</v>
      </c>
      <c r="C155" s="53">
        <v>5418.4415344562904</v>
      </c>
      <c r="D155" s="53">
        <v>3360.6101890834402</v>
      </c>
      <c r="E155" s="53">
        <v>3022.4802305777698</v>
      </c>
      <c r="F155" s="53">
        <v>2786.7893073187602</v>
      </c>
      <c r="I155" s="50">
        <f t="shared" si="39"/>
        <v>8.03571428571429</v>
      </c>
      <c r="J155" t="str">
        <f t="shared" si="33"/>
        <v>Trd_2w_elc50</v>
      </c>
      <c r="K155" t="str">
        <f t="shared" si="30"/>
        <v>Trd_2w_elc50_160</v>
      </c>
      <c r="L155" t="str">
        <f t="shared" si="34"/>
        <v>Trd_2w</v>
      </c>
      <c r="M155" s="185">
        <f t="shared" si="35"/>
        <v>5418.4415344562904</v>
      </c>
      <c r="N155" s="185">
        <f t="shared" si="36"/>
        <v>3360.6101890834402</v>
      </c>
      <c r="O155" s="185">
        <f t="shared" si="37"/>
        <v>3022.4802305777698</v>
      </c>
      <c r="P155" s="185">
        <f t="shared" si="38"/>
        <v>2786.7893073187602</v>
      </c>
      <c r="T155" t="str">
        <f t="shared" si="40"/>
        <v>Trd_2w_elc50_160</v>
      </c>
      <c r="U155" t="str">
        <f t="shared" ca="1" si="41"/>
        <v>Battery electric moped -- 16000%</v>
      </c>
      <c r="V155" s="188" t="s">
        <v>84</v>
      </c>
      <c r="W155" s="188" t="s">
        <v>85</v>
      </c>
    </row>
  </sheetData>
  <pageMargins left="0.7" right="0.7" top="0.75" bottom="0.75" header="0.3" footer="0.3"/>
  <pageSetup paperSize="9" orientation="portrait"/>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50"/>
  </sheetPr>
  <dimension ref="B1:W219"/>
  <sheetViews>
    <sheetView showGridLines="0" topLeftCell="A71" workbookViewId="0">
      <selection activeCell="AE12" sqref="AE12"/>
    </sheetView>
  </sheetViews>
  <sheetFormatPr defaultColWidth="9" defaultRowHeight="14.25"/>
  <cols>
    <col min="1" max="1" width="7.59765625" customWidth="1"/>
    <col min="2" max="2" width="38.265625" customWidth="1"/>
    <col min="3" max="6" width="13.73046875" customWidth="1"/>
    <col min="10" max="10" width="15.73046875" customWidth="1"/>
    <col min="11" max="11" width="25" customWidth="1"/>
    <col min="12" max="12" width="11.06640625" customWidth="1"/>
    <col min="13" max="16" width="7" customWidth="1"/>
    <col min="18" max="18" width="21" customWidth="1"/>
    <col min="19" max="19" width="15.73046875" customWidth="1"/>
  </cols>
  <sheetData>
    <row r="1" spans="2:23" ht="15.75">
      <c r="B1" s="169" t="s">
        <v>10</v>
      </c>
      <c r="C1" s="170"/>
      <c r="D1" s="170"/>
      <c r="E1" s="170"/>
      <c r="F1" s="171"/>
      <c r="Q1" t="s">
        <v>51</v>
      </c>
      <c r="R1" t="s">
        <v>148</v>
      </c>
      <c r="S1" t="str">
        <f>"Trd_bus_"&amp;Q1</f>
        <v>Trd_bus_dsl</v>
      </c>
    </row>
    <row r="2" spans="2:23">
      <c r="B2" s="172" t="s">
        <v>9</v>
      </c>
      <c r="C2" s="173"/>
      <c r="D2" s="173"/>
      <c r="E2" s="173"/>
      <c r="F2" s="173"/>
      <c r="Q2" t="s">
        <v>54</v>
      </c>
      <c r="R2" t="s">
        <v>149</v>
      </c>
      <c r="S2" t="str">
        <f t="shared" ref="S2:S6" si="0">"Trd_bus_"&amp;Q2</f>
        <v>Trd_bus_dsl-hyb</v>
      </c>
    </row>
    <row r="3" spans="2:23" ht="18">
      <c r="B3" s="174" t="s">
        <v>150</v>
      </c>
      <c r="C3" s="175"/>
      <c r="D3" s="175"/>
      <c r="E3" s="175"/>
      <c r="F3" s="176"/>
      <c r="Q3" t="s">
        <v>59</v>
      </c>
      <c r="R3" t="s">
        <v>151</v>
      </c>
      <c r="S3" t="str">
        <f t="shared" si="0"/>
        <v>Trd_bus_cng</v>
      </c>
    </row>
    <row r="4" spans="2:23">
      <c r="I4" s="180">
        <v>3.7999999999999999E-2</v>
      </c>
      <c r="J4" s="180" t="s">
        <v>50</v>
      </c>
      <c r="Q4" t="s">
        <v>61</v>
      </c>
      <c r="R4" t="s">
        <v>152</v>
      </c>
      <c r="S4" t="str">
        <f>"\I:Trd_bus_"&amp;Q4</f>
        <v>\I:Trd_bus_lpg</v>
      </c>
    </row>
    <row r="5" spans="2:23" ht="15" customHeight="1">
      <c r="B5" s="29" t="s">
        <v>153</v>
      </c>
      <c r="I5" s="181">
        <f>1.406/26.137</f>
        <v>5.3793472854573997E-2</v>
      </c>
      <c r="J5" s="180" t="s">
        <v>53</v>
      </c>
      <c r="Q5" t="s">
        <v>66</v>
      </c>
      <c r="R5" t="s">
        <v>154</v>
      </c>
      <c r="S5" t="str">
        <f t="shared" si="0"/>
        <v>Trd_bus_elc</v>
      </c>
    </row>
    <row r="6" spans="2:23">
      <c r="B6" s="177">
        <v>2015</v>
      </c>
      <c r="C6" s="177"/>
      <c r="D6" s="177"/>
      <c r="Q6" t="s">
        <v>68</v>
      </c>
      <c r="R6" t="s">
        <v>155</v>
      </c>
      <c r="S6" t="str">
        <f t="shared" si="0"/>
        <v>Trd_bus_hh2</v>
      </c>
    </row>
    <row r="7" spans="2:23">
      <c r="B7" s="31" t="s">
        <v>12</v>
      </c>
      <c r="C7" s="32" t="s">
        <v>13</v>
      </c>
      <c r="D7" s="33">
        <v>36.515647301987201</v>
      </c>
      <c r="G7" s="178">
        <f>D7*$I$4/100*10^9/10^6</f>
        <v>13.875945974755099</v>
      </c>
      <c r="H7" s="178"/>
      <c r="I7" s="182">
        <f>1/G7</f>
        <v>7.2067158651332702E-2</v>
      </c>
      <c r="R7" t="s">
        <v>156</v>
      </c>
      <c r="S7" t="str">
        <f>"\I:Trd_bus_"&amp;Q7</f>
        <v>\I:Trd_bus_</v>
      </c>
    </row>
    <row r="8" spans="2:23">
      <c r="B8" s="31" t="s">
        <v>14</v>
      </c>
      <c r="C8" s="32" t="s">
        <v>15</v>
      </c>
      <c r="D8" s="44">
        <v>275816.55023155903</v>
      </c>
      <c r="I8" s="29" t="s">
        <v>70</v>
      </c>
      <c r="R8" t="s">
        <v>157</v>
      </c>
      <c r="S8" t="str">
        <f>"\I:Trd_bus_"&amp;Q8</f>
        <v>\I:Trd_bus_</v>
      </c>
    </row>
    <row r="9" spans="2:23">
      <c r="R9" t="s">
        <v>158</v>
      </c>
      <c r="S9" t="str">
        <f>"\I:Trd_bus_"&amp;Q9</f>
        <v>\I:Trd_bus_</v>
      </c>
    </row>
    <row r="11" spans="2:23">
      <c r="K11" s="183" t="s">
        <v>71</v>
      </c>
      <c r="S11" s="183" t="s">
        <v>72</v>
      </c>
      <c r="T11" s="187"/>
      <c r="U11" s="187"/>
      <c r="V11" s="187"/>
      <c r="W11" s="187"/>
    </row>
    <row r="12" spans="2:23">
      <c r="I12" t="s">
        <v>73</v>
      </c>
      <c r="J12" t="s">
        <v>74</v>
      </c>
      <c r="K12" t="s">
        <v>75</v>
      </c>
      <c r="L12" t="s">
        <v>76</v>
      </c>
      <c r="M12">
        <f>C16</f>
        <v>2020</v>
      </c>
      <c r="N12">
        <f>D16</f>
        <v>2030</v>
      </c>
      <c r="O12">
        <f>E16</f>
        <v>2040</v>
      </c>
      <c r="P12">
        <f>F16</f>
        <v>2050</v>
      </c>
      <c r="Q12" t="s">
        <v>77</v>
      </c>
      <c r="S12" s="187" t="s">
        <v>78</v>
      </c>
      <c r="T12" s="187" t="s">
        <v>79</v>
      </c>
      <c r="U12" s="187" t="s">
        <v>80</v>
      </c>
      <c r="V12" s="187" t="s">
        <v>81</v>
      </c>
      <c r="W12" s="187" t="s">
        <v>82</v>
      </c>
    </row>
    <row r="13" spans="2:23">
      <c r="B13" s="179" t="s">
        <v>119</v>
      </c>
      <c r="C13" s="179" t="s">
        <v>148</v>
      </c>
      <c r="D13" s="179"/>
      <c r="E13" s="179"/>
      <c r="F13" s="179"/>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188" t="s">
        <v>84</v>
      </c>
      <c r="W13" s="188" t="s">
        <v>85</v>
      </c>
    </row>
    <row r="14" spans="2:23">
      <c r="B14" s="179"/>
      <c r="C14" s="179"/>
      <c r="D14" s="179"/>
      <c r="E14" s="179"/>
      <c r="F14" s="179"/>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t="shared" ref="U14:U23" ca="1" si="9">OFFSET($S$1,MATCH(J14,$S$1:$S$12,0)-1,-1)&amp;" -- "&amp;TEXT(B14,"00%")</f>
        <v>Diesel bus -- 00%</v>
      </c>
      <c r="V14" s="188" t="s">
        <v>84</v>
      </c>
      <c r="W14" s="188" t="s">
        <v>85</v>
      </c>
    </row>
    <row r="15" spans="2:23">
      <c r="B15" s="179"/>
      <c r="C15" s="179"/>
      <c r="D15" s="179"/>
      <c r="E15" s="179"/>
      <c r="F15" s="179"/>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t="shared" ca="1" si="9"/>
        <v>Diesel bus -- 00%</v>
      </c>
      <c r="V15" s="188" t="s">
        <v>84</v>
      </c>
      <c r="W15" s="188" t="s">
        <v>85</v>
      </c>
    </row>
    <row r="16" spans="2:23">
      <c r="B16" s="35"/>
      <c r="C16" s="36">
        <v>2020</v>
      </c>
      <c r="D16" s="36">
        <v>2030</v>
      </c>
      <c r="E16" s="36">
        <v>2040</v>
      </c>
      <c r="F16" s="36">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t="shared" ca="1" si="9"/>
        <v>Diesel bus -- 00%</v>
      </c>
      <c r="V16" s="188" t="s">
        <v>84</v>
      </c>
      <c r="W16" s="188" t="s">
        <v>85</v>
      </c>
    </row>
    <row r="17" spans="2:23">
      <c r="B17" s="52">
        <v>4.0938086894400802E-2</v>
      </c>
      <c r="C17" s="53">
        <v>277035.54522528203</v>
      </c>
      <c r="D17" s="53">
        <v>277035.54522528203</v>
      </c>
      <c r="E17" s="53">
        <v>277035.54522528203</v>
      </c>
      <c r="F17" s="53">
        <v>277035.54522528203</v>
      </c>
      <c r="I17" s="184">
        <f>(1+B17)</f>
        <v>1.0409380868944</v>
      </c>
      <c r="J17" t="str">
        <f t="shared" si="1"/>
        <v>Trd_bus_dsl</v>
      </c>
      <c r="K17" t="str">
        <f t="shared" si="2"/>
        <v>Trd_bus_dsl_04</v>
      </c>
      <c r="L17" t="str">
        <f t="shared" si="3"/>
        <v>Trd_bus</v>
      </c>
      <c r="M17" s="185">
        <f t="shared" si="4"/>
        <v>277035.54522528203</v>
      </c>
      <c r="N17" s="185">
        <f t="shared" si="5"/>
        <v>277035.54522528203</v>
      </c>
      <c r="O17" s="185">
        <f t="shared" si="6"/>
        <v>277035.54522528203</v>
      </c>
      <c r="P17" s="185">
        <f t="shared" si="7"/>
        <v>277035.54522528203</v>
      </c>
      <c r="S17" t="s">
        <v>83</v>
      </c>
      <c r="T17" t="str">
        <f t="shared" si="8"/>
        <v>Trd_bus_dsl_04</v>
      </c>
      <c r="U17" t="str">
        <f t="shared" ca="1" si="9"/>
        <v>Diesel bus -- 04%</v>
      </c>
      <c r="V17" s="188" t="s">
        <v>84</v>
      </c>
      <c r="W17" s="188" t="s">
        <v>85</v>
      </c>
    </row>
    <row r="18" spans="2:23">
      <c r="B18" s="52">
        <v>6.0938086894400799E-2</v>
      </c>
      <c r="C18" s="53">
        <v>278399.90520701802</v>
      </c>
      <c r="D18" s="53">
        <v>277922.61286384199</v>
      </c>
      <c r="E18" s="53">
        <v>277922.61286384199</v>
      </c>
      <c r="F18" s="53">
        <v>277922.61286384199</v>
      </c>
      <c r="I18" s="184">
        <f t="shared" ref="I18:I23" si="10">(1+B18)</f>
        <v>1.0609380868944001</v>
      </c>
      <c r="J18" t="str">
        <f t="shared" si="1"/>
        <v>Trd_bus_dsl</v>
      </c>
      <c r="K18" t="str">
        <f t="shared" si="2"/>
        <v>Trd_bus_dsl_06</v>
      </c>
      <c r="L18" t="str">
        <f t="shared" si="3"/>
        <v>Trd_bus</v>
      </c>
      <c r="M18" s="185">
        <f t="shared" si="4"/>
        <v>278399.90520701802</v>
      </c>
      <c r="N18" s="185">
        <f t="shared" si="5"/>
        <v>277922.61286384199</v>
      </c>
      <c r="O18" s="185">
        <f t="shared" si="6"/>
        <v>277922.61286384199</v>
      </c>
      <c r="P18" s="185">
        <f t="shared" si="7"/>
        <v>277922.61286384199</v>
      </c>
      <c r="S18" t="s">
        <v>83</v>
      </c>
      <c r="T18" t="str">
        <f t="shared" si="8"/>
        <v>Trd_bus_dsl_06</v>
      </c>
      <c r="U18" t="str">
        <f t="shared" ca="1" si="9"/>
        <v>Diesel bus -- 06%</v>
      </c>
      <c r="V18" s="188" t="s">
        <v>84</v>
      </c>
      <c r="W18" s="188" t="s">
        <v>85</v>
      </c>
    </row>
    <row r="19" spans="2:23">
      <c r="B19" s="52">
        <v>8.0938086894400796E-2</v>
      </c>
      <c r="C19" s="53">
        <v>280340.22789253498</v>
      </c>
      <c r="D19" s="53">
        <v>280036.11938796198</v>
      </c>
      <c r="E19" s="53">
        <v>280036.11938796198</v>
      </c>
      <c r="F19" s="53">
        <v>280036.11938796198</v>
      </c>
      <c r="I19" s="184">
        <f t="shared" si="10"/>
        <v>1.0809380868944001</v>
      </c>
      <c r="J19" t="str">
        <f t="shared" si="1"/>
        <v>Trd_bus_dsl</v>
      </c>
      <c r="K19" t="str">
        <f t="shared" si="2"/>
        <v>Trd_bus_dsl_08</v>
      </c>
      <c r="L19" t="str">
        <f t="shared" si="3"/>
        <v>Trd_bus</v>
      </c>
      <c r="M19" s="185">
        <f t="shared" si="4"/>
        <v>280340.22789253498</v>
      </c>
      <c r="N19" s="185">
        <f t="shared" si="5"/>
        <v>280036.11938796198</v>
      </c>
      <c r="O19" s="185">
        <f t="shared" si="6"/>
        <v>280036.11938796198</v>
      </c>
      <c r="P19" s="185">
        <f t="shared" si="7"/>
        <v>280036.11938796198</v>
      </c>
      <c r="S19" t="s">
        <v>83</v>
      </c>
      <c r="T19" t="str">
        <f t="shared" si="8"/>
        <v>Trd_bus_dsl_08</v>
      </c>
      <c r="U19" t="str">
        <f t="shared" ca="1" si="9"/>
        <v>Diesel bus -- 08%</v>
      </c>
      <c r="V19" s="188" t="s">
        <v>84</v>
      </c>
      <c r="W19" s="188" t="s">
        <v>85</v>
      </c>
    </row>
    <row r="20" spans="2:23">
      <c r="B20" s="52">
        <v>0.110938086894401</v>
      </c>
      <c r="C20" s="53">
        <v>282100.17896095198</v>
      </c>
      <c r="D20" s="53">
        <v>281836.46388557</v>
      </c>
      <c r="E20" s="53">
        <v>281836.46388557</v>
      </c>
      <c r="F20" s="53">
        <v>281836.46388557</v>
      </c>
      <c r="I20" s="184">
        <f t="shared" si="10"/>
        <v>1.1109380868944001</v>
      </c>
      <c r="J20" t="str">
        <f t="shared" si="1"/>
        <v>Trd_bus_dsl</v>
      </c>
      <c r="K20" t="str">
        <f t="shared" si="2"/>
        <v>Trd_bus_dsl_11</v>
      </c>
      <c r="L20" t="str">
        <f t="shared" si="3"/>
        <v>Trd_bus</v>
      </c>
      <c r="M20" s="185">
        <f t="shared" si="4"/>
        <v>282100.17896095198</v>
      </c>
      <c r="N20" s="185">
        <f t="shared" si="5"/>
        <v>281836.46388557</v>
      </c>
      <c r="O20" s="185">
        <f t="shared" si="6"/>
        <v>281836.46388557</v>
      </c>
      <c r="P20" s="185">
        <f t="shared" si="7"/>
        <v>281836.46388557</v>
      </c>
      <c r="S20" t="s">
        <v>83</v>
      </c>
      <c r="T20" t="str">
        <f t="shared" si="8"/>
        <v>Trd_bus_dsl_11</v>
      </c>
      <c r="U20" t="str">
        <f t="shared" ca="1" si="9"/>
        <v>Diesel bus -- 11%</v>
      </c>
      <c r="V20" s="188" t="s">
        <v>84</v>
      </c>
      <c r="W20" s="188" t="s">
        <v>85</v>
      </c>
    </row>
    <row r="21" spans="2:23">
      <c r="B21" s="52">
        <v>0.14093808689440099</v>
      </c>
      <c r="C21" s="53">
        <v>284796.60567472602</v>
      </c>
      <c r="D21" s="53">
        <v>284536.98063198099</v>
      </c>
      <c r="E21" s="53">
        <v>284536.98063198099</v>
      </c>
      <c r="F21" s="53">
        <v>284536.98063198099</v>
      </c>
      <c r="I21" s="184">
        <f t="shared" si="10"/>
        <v>1.1409380868943999</v>
      </c>
      <c r="J21" t="str">
        <f t="shared" si="1"/>
        <v>Trd_bus_dsl</v>
      </c>
      <c r="K21" t="str">
        <f t="shared" si="2"/>
        <v>Trd_bus_dsl_14</v>
      </c>
      <c r="L21" t="str">
        <f t="shared" si="3"/>
        <v>Trd_bus</v>
      </c>
      <c r="M21" s="185">
        <f t="shared" si="4"/>
        <v>284796.60567472602</v>
      </c>
      <c r="N21" s="185">
        <f t="shared" si="5"/>
        <v>284536.98063198099</v>
      </c>
      <c r="O21" s="185">
        <f t="shared" si="6"/>
        <v>284536.98063198099</v>
      </c>
      <c r="P21" s="185">
        <f t="shared" si="7"/>
        <v>284536.98063198099</v>
      </c>
      <c r="S21" t="s">
        <v>83</v>
      </c>
      <c r="T21" t="str">
        <f t="shared" si="8"/>
        <v>Trd_bus_dsl_14</v>
      </c>
      <c r="U21" t="str">
        <f t="shared" ca="1" si="9"/>
        <v>Diesel bus -- 14%</v>
      </c>
      <c r="V21" s="188" t="s">
        <v>84</v>
      </c>
      <c r="W21" s="188" t="s">
        <v>85</v>
      </c>
    </row>
    <row r="22" spans="2:23">
      <c r="B22" s="52">
        <v>0.17093808689440099</v>
      </c>
      <c r="C22" s="53">
        <v>312906.87735283701</v>
      </c>
      <c r="D22" s="53">
        <v>289153.08038568299</v>
      </c>
      <c r="E22" s="53">
        <v>289037.84187599999</v>
      </c>
      <c r="F22" s="53">
        <v>289037.84187599999</v>
      </c>
      <c r="I22" s="184">
        <f t="shared" si="10"/>
        <v>1.1709380868943999</v>
      </c>
      <c r="J22" t="str">
        <f t="shared" si="1"/>
        <v>Trd_bus_dsl</v>
      </c>
      <c r="K22" t="str">
        <f t="shared" si="2"/>
        <v>Trd_bus_dsl_17</v>
      </c>
      <c r="L22" t="str">
        <f t="shared" si="3"/>
        <v>Trd_bus</v>
      </c>
      <c r="M22" s="185">
        <f t="shared" si="4"/>
        <v>312906.87735283701</v>
      </c>
      <c r="N22" s="185">
        <f t="shared" si="5"/>
        <v>289153.08038568299</v>
      </c>
      <c r="O22" s="185">
        <f t="shared" si="6"/>
        <v>289037.84187599999</v>
      </c>
      <c r="P22" s="185">
        <f t="shared" si="7"/>
        <v>289037.84187599999</v>
      </c>
      <c r="S22" t="s">
        <v>83</v>
      </c>
      <c r="T22" t="str">
        <f t="shared" si="8"/>
        <v>Trd_bus_dsl_17</v>
      </c>
      <c r="U22" t="str">
        <f t="shared" ca="1" si="9"/>
        <v>Diesel bus -- 17%</v>
      </c>
      <c r="V22" s="188" t="s">
        <v>84</v>
      </c>
      <c r="W22" s="188" t="s">
        <v>85</v>
      </c>
    </row>
    <row r="23" spans="2:23">
      <c r="B23" s="52">
        <v>0.21093808689440099</v>
      </c>
      <c r="C23" s="53">
        <v>374217.89644172398</v>
      </c>
      <c r="D23" s="53">
        <v>299784.83741446398</v>
      </c>
      <c r="E23" s="53">
        <v>293128.62465111999</v>
      </c>
      <c r="F23" s="53">
        <v>293128.62465111999</v>
      </c>
      <c r="I23" s="184">
        <f t="shared" si="10"/>
        <v>1.2109380868944</v>
      </c>
      <c r="J23" t="str">
        <f t="shared" si="1"/>
        <v>Trd_bus_dsl</v>
      </c>
      <c r="K23" t="str">
        <f t="shared" si="2"/>
        <v>Trd_bus_dsl_21</v>
      </c>
      <c r="L23" t="str">
        <f t="shared" si="3"/>
        <v>Trd_bus</v>
      </c>
      <c r="M23" s="185">
        <f t="shared" si="4"/>
        <v>374217.89644172398</v>
      </c>
      <c r="N23" s="185">
        <f t="shared" si="5"/>
        <v>299784.83741446398</v>
      </c>
      <c r="O23" s="185">
        <f t="shared" si="6"/>
        <v>293128.62465111999</v>
      </c>
      <c r="P23" s="185">
        <f t="shared" si="7"/>
        <v>293128.62465111999</v>
      </c>
      <c r="S23" t="s">
        <v>83</v>
      </c>
      <c r="T23" t="str">
        <f t="shared" si="8"/>
        <v>Trd_bus_dsl_21</v>
      </c>
      <c r="U23" t="str">
        <f t="shared" ca="1" si="9"/>
        <v>Diesel bus -- 21%</v>
      </c>
      <c r="V23" s="188" t="s">
        <v>84</v>
      </c>
      <c r="W23" s="188" t="s">
        <v>85</v>
      </c>
    </row>
    <row r="24" spans="2:23">
      <c r="J24" t="str">
        <f t="shared" si="1"/>
        <v>Trd_bus_dsl</v>
      </c>
      <c r="K24" t="str">
        <f t="shared" ref="K24:K87" si="11">IFERROR(IF(VALUE(C24)&gt;2020,J24&amp;"_"&amp;TEXT(B24*100,"00"),"\I:"),"\I:")</f>
        <v>\I:</v>
      </c>
      <c r="L24" t="str">
        <f t="shared" si="3"/>
        <v>\I:</v>
      </c>
      <c r="M24" s="185" t="str">
        <f t="shared" ref="M24:M87" si="12">IF($K24="\I:","",C24)</f>
        <v/>
      </c>
      <c r="N24" s="185" t="str">
        <f t="shared" ref="N24:N87" si="13">IF($K24="\I:","",D24)</f>
        <v/>
      </c>
      <c r="O24" s="185" t="str">
        <f t="shared" ref="O24:O87" si="14">IF($K24="\I:","",E24)</f>
        <v/>
      </c>
      <c r="P24" s="185" t="str">
        <f t="shared" ref="P24:P87" si="15">IF($K24="\I:","",F24)</f>
        <v/>
      </c>
      <c r="S24" t="s">
        <v>83</v>
      </c>
      <c r="T24" t="str">
        <f t="shared" ref="T24:T87" si="16">K24</f>
        <v>\I:</v>
      </c>
      <c r="U24" t="str">
        <f t="shared" ref="U24:U87" ca="1" si="17">OFFSET($S$1,MATCH(J24,$S$1:$S$12,0)-1,-1)&amp;" -- "&amp;TEXT(B24,"00%")</f>
        <v>Diesel bus -- 00%</v>
      </c>
      <c r="V24" s="188" t="s">
        <v>84</v>
      </c>
      <c r="W24" s="188" t="s">
        <v>85</v>
      </c>
    </row>
    <row r="25" spans="2:23">
      <c r="J25" t="str">
        <f t="shared" si="1"/>
        <v>Trd_bus_dsl</v>
      </c>
      <c r="K25" t="str">
        <f t="shared" si="11"/>
        <v>\I:</v>
      </c>
      <c r="L25" t="str">
        <f t="shared" si="3"/>
        <v>\I:</v>
      </c>
      <c r="M25" s="185" t="str">
        <f t="shared" si="12"/>
        <v/>
      </c>
      <c r="N25" s="185" t="str">
        <f t="shared" si="13"/>
        <v/>
      </c>
      <c r="O25" s="185" t="str">
        <f t="shared" si="14"/>
        <v/>
      </c>
      <c r="P25" s="185" t="str">
        <f t="shared" si="15"/>
        <v/>
      </c>
      <c r="S25" t="s">
        <v>83</v>
      </c>
      <c r="T25" t="str">
        <f t="shared" si="16"/>
        <v>\I:</v>
      </c>
      <c r="U25" t="str">
        <f t="shared" ca="1" si="17"/>
        <v>Diesel bus -- 00%</v>
      </c>
      <c r="V25" s="188" t="s">
        <v>84</v>
      </c>
      <c r="W25" s="188" t="s">
        <v>85</v>
      </c>
    </row>
    <row r="26" spans="2:23">
      <c r="J26" t="str">
        <f t="shared" si="1"/>
        <v>Trd_bus_dsl</v>
      </c>
      <c r="K26" t="str">
        <f t="shared" si="11"/>
        <v>\I:</v>
      </c>
      <c r="L26" t="str">
        <f t="shared" si="3"/>
        <v>\I:</v>
      </c>
      <c r="M26" s="185" t="str">
        <f t="shared" si="12"/>
        <v/>
      </c>
      <c r="N26" s="185" t="str">
        <f t="shared" si="13"/>
        <v/>
      </c>
      <c r="O26" s="185" t="str">
        <f t="shared" si="14"/>
        <v/>
      </c>
      <c r="P26" s="185" t="str">
        <f t="shared" si="15"/>
        <v/>
      </c>
      <c r="S26" t="s">
        <v>83</v>
      </c>
      <c r="T26" t="str">
        <f t="shared" si="16"/>
        <v>\I:</v>
      </c>
      <c r="U26" t="str">
        <f t="shared" ca="1" si="17"/>
        <v>Diesel bus -- 00%</v>
      </c>
      <c r="V26" s="188" t="s">
        <v>84</v>
      </c>
      <c r="W26" s="188" t="s">
        <v>85</v>
      </c>
    </row>
    <row r="27" spans="2:23" ht="15" customHeight="1">
      <c r="B27" s="179" t="s">
        <v>21</v>
      </c>
      <c r="C27" s="179" t="s">
        <v>149</v>
      </c>
      <c r="D27" s="179"/>
      <c r="E27" s="179"/>
      <c r="F27" s="179"/>
      <c r="J27" t="str">
        <f t="shared" si="1"/>
        <v>Trd_bus_dsl-hyb</v>
      </c>
      <c r="K27" t="str">
        <f t="shared" si="11"/>
        <v>\I:</v>
      </c>
      <c r="L27" t="str">
        <f t="shared" si="3"/>
        <v>\I:</v>
      </c>
      <c r="M27" s="185" t="str">
        <f t="shared" si="12"/>
        <v/>
      </c>
      <c r="N27" s="185" t="str">
        <f t="shared" si="13"/>
        <v/>
      </c>
      <c r="O27" s="185" t="str">
        <f t="shared" si="14"/>
        <v/>
      </c>
      <c r="P27" s="185" t="str">
        <f t="shared" si="15"/>
        <v/>
      </c>
      <c r="S27" t="s">
        <v>83</v>
      </c>
      <c r="T27" t="str">
        <f t="shared" si="16"/>
        <v>\I:</v>
      </c>
      <c r="U27" t="str">
        <f t="shared" ca="1" si="17"/>
        <v>Hybrid diesel bus -- Reduction of specific energy consumption relative to 2015 diesel vehicle (%)</v>
      </c>
      <c r="V27" s="188" t="s">
        <v>84</v>
      </c>
      <c r="W27" s="188" t="s">
        <v>85</v>
      </c>
    </row>
    <row r="28" spans="2:23">
      <c r="B28" s="179"/>
      <c r="C28" s="179"/>
      <c r="D28" s="179"/>
      <c r="E28" s="179"/>
      <c r="F28" s="179"/>
      <c r="J28" t="str">
        <f t="shared" si="1"/>
        <v>Trd_bus_dsl-hyb</v>
      </c>
      <c r="K28" t="str">
        <f t="shared" si="11"/>
        <v>\I:</v>
      </c>
      <c r="L28" t="str">
        <f t="shared" si="3"/>
        <v>\I:</v>
      </c>
      <c r="M28" s="185" t="str">
        <f t="shared" si="12"/>
        <v/>
      </c>
      <c r="N28" s="185" t="str">
        <f t="shared" si="13"/>
        <v/>
      </c>
      <c r="O28" s="185" t="str">
        <f t="shared" si="14"/>
        <v/>
      </c>
      <c r="P28" s="185" t="str">
        <f t="shared" si="15"/>
        <v/>
      </c>
      <c r="S28" t="s">
        <v>83</v>
      </c>
      <c r="T28" t="str">
        <f t="shared" si="16"/>
        <v>\I:</v>
      </c>
      <c r="U28" t="str">
        <f t="shared" ca="1" si="17"/>
        <v>Hybrid diesel bus -- 00%</v>
      </c>
      <c r="V28" s="188" t="s">
        <v>84</v>
      </c>
      <c r="W28" s="188" t="s">
        <v>85</v>
      </c>
    </row>
    <row r="29" spans="2:23">
      <c r="B29" s="179"/>
      <c r="C29" s="179"/>
      <c r="D29" s="179"/>
      <c r="E29" s="179"/>
      <c r="F29" s="179"/>
      <c r="J29" t="str">
        <f t="shared" si="1"/>
        <v>Trd_bus_dsl-hyb</v>
      </c>
      <c r="K29" t="str">
        <f t="shared" si="11"/>
        <v>\I:</v>
      </c>
      <c r="L29" t="str">
        <f t="shared" si="3"/>
        <v>\I:</v>
      </c>
      <c r="M29" s="185" t="str">
        <f t="shared" si="12"/>
        <v/>
      </c>
      <c r="N29" s="185" t="str">
        <f t="shared" si="13"/>
        <v/>
      </c>
      <c r="O29" s="185" t="str">
        <f t="shared" si="14"/>
        <v/>
      </c>
      <c r="P29" s="185" t="str">
        <f t="shared" si="15"/>
        <v/>
      </c>
      <c r="S29" t="s">
        <v>83</v>
      </c>
      <c r="T29" t="str">
        <f t="shared" si="16"/>
        <v>\I:</v>
      </c>
      <c r="U29" t="str">
        <f t="shared" ca="1" si="17"/>
        <v>Hybrid diesel bus -- 00%</v>
      </c>
      <c r="V29" s="188" t="s">
        <v>84</v>
      </c>
      <c r="W29" s="188" t="s">
        <v>85</v>
      </c>
    </row>
    <row r="30" spans="2:23">
      <c r="B30" s="35"/>
      <c r="C30" s="36">
        <v>2020</v>
      </c>
      <c r="D30" s="36">
        <v>2030</v>
      </c>
      <c r="E30" s="36">
        <v>2040</v>
      </c>
      <c r="F30" s="36">
        <v>2050</v>
      </c>
      <c r="J30" t="str">
        <f t="shared" si="1"/>
        <v>Trd_bus_dsl-hyb</v>
      </c>
      <c r="K30" t="str">
        <f t="shared" si="11"/>
        <v>\I:</v>
      </c>
      <c r="L30" t="str">
        <f t="shared" si="3"/>
        <v>\I:</v>
      </c>
      <c r="M30" s="185" t="str">
        <f t="shared" si="12"/>
        <v/>
      </c>
      <c r="N30" s="185" t="str">
        <f t="shared" si="13"/>
        <v/>
      </c>
      <c r="O30" s="185" t="str">
        <f t="shared" si="14"/>
        <v/>
      </c>
      <c r="P30" s="185" t="str">
        <f t="shared" si="15"/>
        <v/>
      </c>
      <c r="S30" t="s">
        <v>83</v>
      </c>
      <c r="T30" t="str">
        <f t="shared" si="16"/>
        <v>\I:</v>
      </c>
      <c r="U30" t="str">
        <f t="shared" ca="1" si="17"/>
        <v>Hybrid diesel bus -- 00%</v>
      </c>
      <c r="V30" s="188" t="s">
        <v>84</v>
      </c>
      <c r="W30" s="188" t="s">
        <v>85</v>
      </c>
    </row>
    <row r="31" spans="2:23">
      <c r="B31" s="52">
        <v>0.33500000000000002</v>
      </c>
      <c r="C31" s="53">
        <v>293729.97798275598</v>
      </c>
      <c r="D31" s="53">
        <v>293729.97798275598</v>
      </c>
      <c r="E31" s="53">
        <v>293729.97798275598</v>
      </c>
      <c r="F31" s="53">
        <v>293729.97798275598</v>
      </c>
      <c r="I31" s="184">
        <f t="shared" ref="I31:I38" si="18">(1+B31)</f>
        <v>1.335</v>
      </c>
      <c r="J31" t="str">
        <f t="shared" si="1"/>
        <v>Trd_bus_dsl-hyb</v>
      </c>
      <c r="K31" t="str">
        <f t="shared" si="11"/>
        <v>Trd_bus_dsl-hyb_34</v>
      </c>
      <c r="L31" t="str">
        <f t="shared" si="3"/>
        <v>Trd_bus</v>
      </c>
      <c r="M31" s="185">
        <f t="shared" si="12"/>
        <v>293729.97798275598</v>
      </c>
      <c r="N31" s="185">
        <f t="shared" si="13"/>
        <v>293729.97798275598</v>
      </c>
      <c r="O31" s="185">
        <f t="shared" si="14"/>
        <v>293729.97798275598</v>
      </c>
      <c r="P31" s="185">
        <f t="shared" si="15"/>
        <v>293729.97798275598</v>
      </c>
      <c r="S31" t="s">
        <v>83</v>
      </c>
      <c r="T31" t="str">
        <f t="shared" si="16"/>
        <v>Trd_bus_dsl-hyb_34</v>
      </c>
      <c r="U31" t="str">
        <f t="shared" ca="1" si="17"/>
        <v>Hybrid diesel bus -- 34%</v>
      </c>
      <c r="V31" s="188" t="s">
        <v>84</v>
      </c>
      <c r="W31" s="188" t="s">
        <v>85</v>
      </c>
    </row>
    <row r="32" spans="2:23">
      <c r="B32" s="52">
        <v>0.35599999999999998</v>
      </c>
      <c r="C32" s="53">
        <v>294730.16937031498</v>
      </c>
      <c r="D32" s="53">
        <v>294730.16937031498</v>
      </c>
      <c r="E32" s="53">
        <v>294730.16937031498</v>
      </c>
      <c r="F32" s="53">
        <v>294730.16937031498</v>
      </c>
      <c r="I32" s="184">
        <f t="shared" si="18"/>
        <v>1.3560000000000001</v>
      </c>
      <c r="J32" t="str">
        <f t="shared" si="1"/>
        <v>Trd_bus_dsl-hyb</v>
      </c>
      <c r="K32" t="str">
        <f t="shared" si="11"/>
        <v>Trd_bus_dsl-hyb_36</v>
      </c>
      <c r="L32" t="str">
        <f t="shared" si="3"/>
        <v>Trd_bus</v>
      </c>
      <c r="M32" s="185">
        <f t="shared" si="12"/>
        <v>294730.16937031498</v>
      </c>
      <c r="N32" s="185">
        <f t="shared" si="13"/>
        <v>294730.16937031498</v>
      </c>
      <c r="O32" s="185">
        <f t="shared" si="14"/>
        <v>294730.16937031498</v>
      </c>
      <c r="P32" s="185">
        <f t="shared" si="15"/>
        <v>294730.16937031498</v>
      </c>
      <c r="S32" t="s">
        <v>83</v>
      </c>
      <c r="T32" t="str">
        <f t="shared" si="16"/>
        <v>Trd_bus_dsl-hyb_36</v>
      </c>
      <c r="U32" t="str">
        <f t="shared" ca="1" si="17"/>
        <v>Hybrid diesel bus -- 36%</v>
      </c>
      <c r="V32" s="188" t="s">
        <v>84</v>
      </c>
      <c r="W32" s="188" t="s">
        <v>85</v>
      </c>
    </row>
    <row r="33" spans="2:23">
      <c r="B33" s="52">
        <v>0.37</v>
      </c>
      <c r="C33" s="53">
        <v>295837.20276973897</v>
      </c>
      <c r="D33" s="53">
        <v>295617.237008875</v>
      </c>
      <c r="E33" s="53">
        <v>295617.237008875</v>
      </c>
      <c r="F33" s="53">
        <v>295617.237008875</v>
      </c>
      <c r="I33" s="184">
        <f t="shared" si="18"/>
        <v>1.37</v>
      </c>
      <c r="J33" t="str">
        <f t="shared" si="1"/>
        <v>Trd_bus_dsl-hyb</v>
      </c>
      <c r="K33" t="str">
        <f t="shared" si="11"/>
        <v>Trd_bus_dsl-hyb_37</v>
      </c>
      <c r="L33" t="str">
        <f t="shared" si="3"/>
        <v>Trd_bus</v>
      </c>
      <c r="M33" s="185">
        <f t="shared" si="12"/>
        <v>295837.20276973897</v>
      </c>
      <c r="N33" s="185">
        <f t="shared" si="13"/>
        <v>295617.237008875</v>
      </c>
      <c r="O33" s="185">
        <f t="shared" si="14"/>
        <v>295617.237008875</v>
      </c>
      <c r="P33" s="185">
        <f t="shared" si="15"/>
        <v>295617.237008875</v>
      </c>
      <c r="S33" t="s">
        <v>83</v>
      </c>
      <c r="T33" t="str">
        <f t="shared" si="16"/>
        <v>Trd_bus_dsl-hyb_37</v>
      </c>
      <c r="U33" t="str">
        <f t="shared" ca="1" si="17"/>
        <v>Hybrid diesel bus -- 37%</v>
      </c>
      <c r="V33" s="188" t="s">
        <v>84</v>
      </c>
      <c r="W33" s="188" t="s">
        <v>85</v>
      </c>
    </row>
    <row r="34" spans="2:23">
      <c r="B34" s="52">
        <v>0.38400000000000001</v>
      </c>
      <c r="C34" s="53">
        <v>298043.33271217399</v>
      </c>
      <c r="D34" s="53">
        <v>297730.74353299499</v>
      </c>
      <c r="E34" s="53">
        <v>297730.74353299499</v>
      </c>
      <c r="F34" s="53">
        <v>297730.74353299499</v>
      </c>
      <c r="I34" s="184">
        <f t="shared" si="18"/>
        <v>1.3839999999999999</v>
      </c>
      <c r="J34" t="str">
        <f t="shared" si="1"/>
        <v>Trd_bus_dsl-hyb</v>
      </c>
      <c r="K34" t="str">
        <f t="shared" si="11"/>
        <v>Trd_bus_dsl-hyb_38</v>
      </c>
      <c r="L34" t="str">
        <f t="shared" si="3"/>
        <v>Trd_bus</v>
      </c>
      <c r="M34" s="185">
        <f t="shared" si="12"/>
        <v>298043.33271217399</v>
      </c>
      <c r="N34" s="185">
        <f t="shared" si="13"/>
        <v>297730.74353299499</v>
      </c>
      <c r="O34" s="185">
        <f t="shared" si="14"/>
        <v>297730.74353299499</v>
      </c>
      <c r="P34" s="185">
        <f t="shared" si="15"/>
        <v>297730.74353299499</v>
      </c>
      <c r="S34" t="s">
        <v>83</v>
      </c>
      <c r="T34" t="str">
        <f t="shared" si="16"/>
        <v>Trd_bus_dsl-hyb_38</v>
      </c>
      <c r="U34" t="str">
        <f t="shared" ca="1" si="17"/>
        <v>Hybrid diesel bus -- 38%</v>
      </c>
      <c r="V34" s="188" t="s">
        <v>84</v>
      </c>
      <c r="W34" s="188" t="s">
        <v>85</v>
      </c>
    </row>
    <row r="35" spans="2:23">
      <c r="B35" s="52">
        <v>0.40500000000000003</v>
      </c>
      <c r="C35" s="53">
        <v>301248.96338694502</v>
      </c>
      <c r="D35" s="53">
        <v>299531.08803060203</v>
      </c>
      <c r="E35" s="53">
        <v>299531.08803060203</v>
      </c>
      <c r="F35" s="53">
        <v>299531.08803060203</v>
      </c>
      <c r="I35" s="184">
        <f t="shared" si="18"/>
        <v>1.405</v>
      </c>
      <c r="J35" t="str">
        <f t="shared" si="1"/>
        <v>Trd_bus_dsl-hyb</v>
      </c>
      <c r="K35" t="str">
        <f t="shared" si="11"/>
        <v>Trd_bus_dsl-hyb_41</v>
      </c>
      <c r="L35" t="str">
        <f t="shared" si="3"/>
        <v>Trd_bus</v>
      </c>
      <c r="M35" s="185">
        <f t="shared" si="12"/>
        <v>301248.96338694502</v>
      </c>
      <c r="N35" s="185">
        <f t="shared" si="13"/>
        <v>299531.08803060203</v>
      </c>
      <c r="O35" s="185">
        <f t="shared" si="14"/>
        <v>299531.08803060203</v>
      </c>
      <c r="P35" s="185">
        <f t="shared" si="15"/>
        <v>299531.08803060203</v>
      </c>
      <c r="S35" t="s">
        <v>83</v>
      </c>
      <c r="T35" t="str">
        <f t="shared" si="16"/>
        <v>Trd_bus_dsl-hyb_41</v>
      </c>
      <c r="U35" t="str">
        <f t="shared" ca="1" si="17"/>
        <v>Hybrid diesel bus -- 41%</v>
      </c>
      <c r="V35" s="188" t="s">
        <v>84</v>
      </c>
      <c r="W35" s="188" t="s">
        <v>85</v>
      </c>
    </row>
    <row r="36" spans="2:23">
      <c r="B36" s="52">
        <v>0.42599999999999999</v>
      </c>
      <c r="C36" s="53">
        <v>306597.98392569</v>
      </c>
      <c r="D36" s="53">
        <v>302231.604777014</v>
      </c>
      <c r="E36" s="53">
        <v>302231.604777014</v>
      </c>
      <c r="F36" s="53">
        <v>302231.604777014</v>
      </c>
      <c r="I36" s="184">
        <f t="shared" si="18"/>
        <v>1.4259999999999999</v>
      </c>
      <c r="J36" t="str">
        <f t="shared" si="1"/>
        <v>Trd_bus_dsl-hyb</v>
      </c>
      <c r="K36" t="str">
        <f t="shared" si="11"/>
        <v>Trd_bus_dsl-hyb_43</v>
      </c>
      <c r="L36" t="str">
        <f t="shared" si="3"/>
        <v>Trd_bus</v>
      </c>
      <c r="M36" s="185">
        <f t="shared" si="12"/>
        <v>306597.98392569</v>
      </c>
      <c r="N36" s="185">
        <f t="shared" si="13"/>
        <v>302231.604777014</v>
      </c>
      <c r="O36" s="185">
        <f t="shared" si="14"/>
        <v>302231.604777014</v>
      </c>
      <c r="P36" s="185">
        <f t="shared" si="15"/>
        <v>302231.604777014</v>
      </c>
      <c r="S36" t="s">
        <v>83</v>
      </c>
      <c r="T36" t="str">
        <f t="shared" si="16"/>
        <v>Trd_bus_dsl-hyb_43</v>
      </c>
      <c r="U36" t="str">
        <f t="shared" ca="1" si="17"/>
        <v>Hybrid diesel bus -- 43%</v>
      </c>
      <c r="V36" s="188" t="s">
        <v>84</v>
      </c>
      <c r="W36" s="188" t="s">
        <v>85</v>
      </c>
    </row>
    <row r="37" spans="2:23">
      <c r="B37" s="52">
        <v>0.44700000000000001</v>
      </c>
      <c r="C37" s="53">
        <v>330411.84203068598</v>
      </c>
      <c r="D37" s="53">
        <v>306846.78886429302</v>
      </c>
      <c r="E37" s="53">
        <v>306732.466021033</v>
      </c>
      <c r="F37" s="53">
        <v>306732.466021033</v>
      </c>
      <c r="I37" s="184">
        <f t="shared" si="18"/>
        <v>1.4470000000000001</v>
      </c>
      <c r="J37" t="str">
        <f t="shared" si="1"/>
        <v>Trd_bus_dsl-hyb</v>
      </c>
      <c r="K37" t="str">
        <f t="shared" si="11"/>
        <v>Trd_bus_dsl-hyb_45</v>
      </c>
      <c r="L37" t="str">
        <f t="shared" si="3"/>
        <v>Trd_bus</v>
      </c>
      <c r="M37" s="185">
        <f t="shared" si="12"/>
        <v>330411.84203068598</v>
      </c>
      <c r="N37" s="185">
        <f t="shared" si="13"/>
        <v>306846.78886429302</v>
      </c>
      <c r="O37" s="185">
        <f t="shared" si="14"/>
        <v>306732.466021033</v>
      </c>
      <c r="P37" s="185">
        <f t="shared" si="15"/>
        <v>306732.466021033</v>
      </c>
      <c r="S37" t="s">
        <v>83</v>
      </c>
      <c r="T37" t="str">
        <f t="shared" si="16"/>
        <v>Trd_bus_dsl-hyb_45</v>
      </c>
      <c r="U37" t="str">
        <f t="shared" ca="1" si="17"/>
        <v>Hybrid diesel bus -- 45%</v>
      </c>
      <c r="V37" s="188" t="s">
        <v>84</v>
      </c>
      <c r="W37" s="188" t="s">
        <v>85</v>
      </c>
    </row>
    <row r="38" spans="2:23">
      <c r="B38" s="52">
        <v>0.47499999999999998</v>
      </c>
      <c r="C38" s="53">
        <v>368539.537336585</v>
      </c>
      <c r="D38" s="53">
        <v>315560.89026157098</v>
      </c>
      <c r="E38" s="53">
        <v>310823.248796153</v>
      </c>
      <c r="F38" s="53">
        <v>310823.248796153</v>
      </c>
      <c r="I38" s="184">
        <f t="shared" si="18"/>
        <v>1.4750000000000001</v>
      </c>
      <c r="J38" t="str">
        <f t="shared" si="1"/>
        <v>Trd_bus_dsl-hyb</v>
      </c>
      <c r="K38" t="str">
        <f t="shared" si="11"/>
        <v>Trd_bus_dsl-hyb_48</v>
      </c>
      <c r="L38" t="str">
        <f t="shared" si="3"/>
        <v>Trd_bus</v>
      </c>
      <c r="M38" s="185">
        <f t="shared" si="12"/>
        <v>368539.537336585</v>
      </c>
      <c r="N38" s="185">
        <f t="shared" si="13"/>
        <v>315560.89026157098</v>
      </c>
      <c r="O38" s="185">
        <f t="shared" si="14"/>
        <v>310823.248796153</v>
      </c>
      <c r="P38" s="185">
        <f t="shared" si="15"/>
        <v>310823.248796153</v>
      </c>
      <c r="S38" t="s">
        <v>83</v>
      </c>
      <c r="T38" t="str">
        <f t="shared" si="16"/>
        <v>Trd_bus_dsl-hyb_48</v>
      </c>
      <c r="U38" t="str">
        <f t="shared" ca="1" si="17"/>
        <v>Hybrid diesel bus -- 48%</v>
      </c>
      <c r="V38" s="188" t="s">
        <v>84</v>
      </c>
      <c r="W38" s="188" t="s">
        <v>85</v>
      </c>
    </row>
    <row r="39" spans="2:23">
      <c r="J39" t="str">
        <f t="shared" si="1"/>
        <v>Trd_bus_dsl-hyb</v>
      </c>
      <c r="K39" t="str">
        <f t="shared" si="11"/>
        <v>\I:</v>
      </c>
      <c r="L39" t="str">
        <f t="shared" si="3"/>
        <v>\I:</v>
      </c>
      <c r="M39" s="185" t="str">
        <f t="shared" si="12"/>
        <v/>
      </c>
      <c r="N39" s="185" t="str">
        <f t="shared" si="13"/>
        <v/>
      </c>
      <c r="O39" s="185" t="str">
        <f t="shared" si="14"/>
        <v/>
      </c>
      <c r="P39" s="185" t="str">
        <f t="shared" si="15"/>
        <v/>
      </c>
      <c r="S39" t="s">
        <v>83</v>
      </c>
      <c r="T39" t="str">
        <f t="shared" si="16"/>
        <v>\I:</v>
      </c>
      <c r="U39" t="str">
        <f t="shared" ca="1" si="17"/>
        <v>Hybrid diesel bus -- 00%</v>
      </c>
      <c r="V39" s="188" t="s">
        <v>84</v>
      </c>
      <c r="W39" s="188" t="s">
        <v>85</v>
      </c>
    </row>
    <row r="40" spans="2:23">
      <c r="J40" t="str">
        <f t="shared" si="1"/>
        <v>Trd_bus_dsl-hyb</v>
      </c>
      <c r="K40" t="str">
        <f t="shared" si="11"/>
        <v>\I:</v>
      </c>
      <c r="L40" t="str">
        <f t="shared" si="3"/>
        <v>\I:</v>
      </c>
      <c r="M40" s="185" t="str">
        <f t="shared" si="12"/>
        <v/>
      </c>
      <c r="N40" s="185" t="str">
        <f t="shared" si="13"/>
        <v/>
      </c>
      <c r="O40" s="185" t="str">
        <f t="shared" si="14"/>
        <v/>
      </c>
      <c r="P40" s="185" t="str">
        <f t="shared" si="15"/>
        <v/>
      </c>
      <c r="S40" t="s">
        <v>83</v>
      </c>
      <c r="T40" t="str">
        <f t="shared" si="16"/>
        <v>\I:</v>
      </c>
      <c r="U40" t="str">
        <f t="shared" ca="1" si="17"/>
        <v>Hybrid diesel bus -- 00%</v>
      </c>
      <c r="V40" s="188" t="s">
        <v>84</v>
      </c>
      <c r="W40" s="188" t="s">
        <v>85</v>
      </c>
    </row>
    <row r="41" spans="2:23">
      <c r="J41" t="str">
        <f t="shared" si="1"/>
        <v>Trd_bus_dsl-hyb</v>
      </c>
      <c r="K41" t="str">
        <f t="shared" si="11"/>
        <v>\I:</v>
      </c>
      <c r="L41" t="str">
        <f t="shared" si="3"/>
        <v>\I:</v>
      </c>
      <c r="M41" s="185" t="str">
        <f t="shared" si="12"/>
        <v/>
      </c>
      <c r="N41" s="185" t="str">
        <f t="shared" si="13"/>
        <v/>
      </c>
      <c r="O41" s="185" t="str">
        <f t="shared" si="14"/>
        <v/>
      </c>
      <c r="P41" s="185" t="str">
        <f t="shared" si="15"/>
        <v/>
      </c>
      <c r="S41" t="s">
        <v>83</v>
      </c>
      <c r="T41" t="str">
        <f t="shared" si="16"/>
        <v>\I:</v>
      </c>
      <c r="U41" t="str">
        <f t="shared" ca="1" si="17"/>
        <v>Hybrid diesel bus -- 00%</v>
      </c>
      <c r="V41" s="188" t="s">
        <v>84</v>
      </c>
      <c r="W41" s="188" t="s">
        <v>85</v>
      </c>
    </row>
    <row r="42" spans="2:23">
      <c r="J42" t="str">
        <f t="shared" si="1"/>
        <v>Trd_bus_dsl-hyb</v>
      </c>
      <c r="K42" t="str">
        <f t="shared" si="11"/>
        <v>\I:</v>
      </c>
      <c r="L42" t="str">
        <f t="shared" si="3"/>
        <v>\I:</v>
      </c>
      <c r="M42" s="185" t="str">
        <f t="shared" si="12"/>
        <v/>
      </c>
      <c r="N42" s="185" t="str">
        <f t="shared" si="13"/>
        <v/>
      </c>
      <c r="O42" s="185" t="str">
        <f t="shared" si="14"/>
        <v/>
      </c>
      <c r="P42" s="185" t="str">
        <f t="shared" si="15"/>
        <v/>
      </c>
      <c r="S42" t="s">
        <v>83</v>
      </c>
      <c r="T42" t="str">
        <f t="shared" si="16"/>
        <v>\I:</v>
      </c>
      <c r="U42" t="str">
        <f t="shared" ca="1" si="17"/>
        <v>Hybrid diesel bus -- 00%</v>
      </c>
      <c r="V42" s="188" t="s">
        <v>84</v>
      </c>
      <c r="W42" s="188" t="s">
        <v>85</v>
      </c>
    </row>
    <row r="43" spans="2:23">
      <c r="B43" s="29" t="s">
        <v>159</v>
      </c>
      <c r="J43" t="str">
        <f t="shared" si="1"/>
        <v>Trd_bus_dsl-hyb</v>
      </c>
      <c r="K43" t="str">
        <f t="shared" si="11"/>
        <v>\I:</v>
      </c>
      <c r="L43" t="str">
        <f t="shared" si="3"/>
        <v>\I:</v>
      </c>
      <c r="M43" s="185" t="str">
        <f t="shared" si="12"/>
        <v/>
      </c>
      <c r="N43" s="185" t="str">
        <f t="shared" si="13"/>
        <v/>
      </c>
      <c r="O43" s="185" t="str">
        <f t="shared" si="14"/>
        <v/>
      </c>
      <c r="P43" s="185" t="str">
        <f t="shared" si="15"/>
        <v/>
      </c>
      <c r="S43" t="s">
        <v>83</v>
      </c>
      <c r="T43" t="str">
        <f t="shared" si="16"/>
        <v>\I:</v>
      </c>
      <c r="U43" t="str">
        <f t="shared" ca="1" si="17"/>
        <v>Hybrid diesel bus -- Reference values for CNG bus</v>
      </c>
      <c r="V43" s="188" t="s">
        <v>84</v>
      </c>
      <c r="W43" s="188" t="s">
        <v>85</v>
      </c>
    </row>
    <row r="44" spans="2:23">
      <c r="B44" s="177">
        <v>2015</v>
      </c>
      <c r="C44" s="177"/>
      <c r="D44" s="177"/>
      <c r="J44" t="str">
        <f t="shared" si="1"/>
        <v>Trd_bus_dsl-hyb</v>
      </c>
      <c r="K44" t="str">
        <f t="shared" si="11"/>
        <v>\I:</v>
      </c>
      <c r="L44" t="str">
        <f t="shared" si="3"/>
        <v>\I:</v>
      </c>
      <c r="M44" s="185" t="str">
        <f t="shared" si="12"/>
        <v/>
      </c>
      <c r="N44" s="185" t="str">
        <f t="shared" si="13"/>
        <v/>
      </c>
      <c r="O44" s="185" t="str">
        <f t="shared" si="14"/>
        <v/>
      </c>
      <c r="P44" s="185" t="str">
        <f t="shared" si="15"/>
        <v/>
      </c>
      <c r="S44" t="s">
        <v>83</v>
      </c>
      <c r="T44" t="str">
        <f t="shared" si="16"/>
        <v>\I:</v>
      </c>
      <c r="U44" t="str">
        <f t="shared" ca="1" si="17"/>
        <v>Hybrid diesel bus -- 201500%</v>
      </c>
      <c r="V44" s="188" t="s">
        <v>84</v>
      </c>
      <c r="W44" s="188" t="s">
        <v>85</v>
      </c>
    </row>
    <row r="45" spans="2:23">
      <c r="B45" s="31" t="s">
        <v>12</v>
      </c>
      <c r="C45" s="32" t="s">
        <v>88</v>
      </c>
      <c r="D45" s="33">
        <v>30.365643545863101</v>
      </c>
      <c r="G45" s="178">
        <f>D45*$I$5/100*10^9/10^6</f>
        <v>16.334734217960602</v>
      </c>
      <c r="H45" s="178"/>
      <c r="I45" s="186">
        <f>1/G45</f>
        <v>6.1219239116879397E-2</v>
      </c>
      <c r="J45" t="str">
        <f t="shared" si="1"/>
        <v>Trd_bus_dsl-hyb</v>
      </c>
      <c r="K45" t="str">
        <f t="shared" si="11"/>
        <v>\I:</v>
      </c>
      <c r="L45" t="str">
        <f t="shared" si="3"/>
        <v>\I:</v>
      </c>
      <c r="M45" s="185" t="str">
        <f t="shared" si="12"/>
        <v/>
      </c>
      <c r="N45" s="185" t="str">
        <f t="shared" si="13"/>
        <v/>
      </c>
      <c r="O45" s="185" t="str">
        <f t="shared" si="14"/>
        <v/>
      </c>
      <c r="P45" s="185" t="str">
        <f t="shared" si="15"/>
        <v/>
      </c>
      <c r="S45" t="s">
        <v>83</v>
      </c>
      <c r="T45" t="str">
        <f t="shared" si="16"/>
        <v>\I:</v>
      </c>
      <c r="U45" t="str">
        <f t="shared" ca="1" si="17"/>
        <v>Hybrid diesel bus -- Energy consumption</v>
      </c>
      <c r="V45" s="188" t="s">
        <v>84</v>
      </c>
      <c r="W45" s="188" t="s">
        <v>85</v>
      </c>
    </row>
    <row r="46" spans="2:23">
      <c r="B46" s="31" t="s">
        <v>14</v>
      </c>
      <c r="C46" s="32" t="s">
        <v>15</v>
      </c>
      <c r="D46" s="44">
        <v>300008.80878601997</v>
      </c>
      <c r="I46" s="29" t="s">
        <v>70</v>
      </c>
      <c r="J46" t="str">
        <f t="shared" si="1"/>
        <v>Trd_bus_dsl-hyb</v>
      </c>
      <c r="K46" t="str">
        <f t="shared" si="11"/>
        <v>\I:</v>
      </c>
      <c r="L46" t="str">
        <f t="shared" si="3"/>
        <v>\I:</v>
      </c>
      <c r="M46" s="185" t="str">
        <f t="shared" si="12"/>
        <v/>
      </c>
      <c r="N46" s="185" t="str">
        <f t="shared" si="13"/>
        <v/>
      </c>
      <c r="O46" s="185" t="str">
        <f t="shared" si="14"/>
        <v/>
      </c>
      <c r="P46" s="185" t="str">
        <f t="shared" si="15"/>
        <v/>
      </c>
      <c r="S46" t="s">
        <v>83</v>
      </c>
      <c r="T46" t="str">
        <f t="shared" si="16"/>
        <v>\I:</v>
      </c>
      <c r="U46" t="str">
        <f t="shared" ca="1" si="17"/>
        <v>Hybrid diesel bus -- Capital cost</v>
      </c>
      <c r="V46" s="188" t="s">
        <v>84</v>
      </c>
      <c r="W46" s="188" t="s">
        <v>85</v>
      </c>
    </row>
    <row r="47" spans="2:23">
      <c r="J47" t="str">
        <f t="shared" si="1"/>
        <v>Trd_bus_dsl-hyb</v>
      </c>
      <c r="K47" t="str">
        <f t="shared" si="11"/>
        <v>\I:</v>
      </c>
      <c r="L47" t="str">
        <f t="shared" si="3"/>
        <v>\I:</v>
      </c>
      <c r="M47" s="185" t="str">
        <f t="shared" si="12"/>
        <v/>
      </c>
      <c r="N47" s="185" t="str">
        <f t="shared" si="13"/>
        <v/>
      </c>
      <c r="O47" s="185" t="str">
        <f t="shared" si="14"/>
        <v/>
      </c>
      <c r="P47" s="185" t="str">
        <f t="shared" si="15"/>
        <v/>
      </c>
      <c r="S47" t="s">
        <v>83</v>
      </c>
      <c r="T47" t="str">
        <f t="shared" si="16"/>
        <v>\I:</v>
      </c>
      <c r="U47" t="str">
        <f t="shared" ca="1" si="17"/>
        <v>Hybrid diesel bus -- 00%</v>
      </c>
      <c r="V47" s="188" t="s">
        <v>84</v>
      </c>
      <c r="W47" s="188" t="s">
        <v>85</v>
      </c>
    </row>
    <row r="48" spans="2:23" ht="15" customHeight="1">
      <c r="B48" s="179" t="s">
        <v>89</v>
      </c>
      <c r="C48" s="179" t="s">
        <v>151</v>
      </c>
      <c r="D48" s="179"/>
      <c r="E48" s="179"/>
      <c r="F48" s="179"/>
      <c r="J48" t="str">
        <f t="shared" si="1"/>
        <v>Trd_bus_cng</v>
      </c>
      <c r="K48" t="str">
        <f t="shared" si="11"/>
        <v>\I:</v>
      </c>
      <c r="L48" t="str">
        <f t="shared" si="3"/>
        <v>\I:</v>
      </c>
      <c r="M48" s="185" t="str">
        <f t="shared" si="12"/>
        <v/>
      </c>
      <c r="N48" s="185" t="str">
        <f t="shared" si="13"/>
        <v/>
      </c>
      <c r="O48" s="185" t="str">
        <f t="shared" si="14"/>
        <v/>
      </c>
      <c r="P48" s="185" t="str">
        <f t="shared" si="15"/>
        <v/>
      </c>
      <c r="S48" t="s">
        <v>83</v>
      </c>
      <c r="T48" t="str">
        <f t="shared" si="16"/>
        <v>\I:</v>
      </c>
      <c r="U48" t="str">
        <f t="shared" ca="1" si="17"/>
        <v>CNG bus -- Reduction of specific energy consumption relative to 2015 CNG vehicle (%)</v>
      </c>
      <c r="V48" s="188" t="s">
        <v>84</v>
      </c>
      <c r="W48" s="188" t="s">
        <v>85</v>
      </c>
    </row>
    <row r="49" spans="2:23">
      <c r="B49" s="179"/>
      <c r="C49" s="179"/>
      <c r="D49" s="179"/>
      <c r="E49" s="179"/>
      <c r="F49" s="179"/>
      <c r="J49" t="str">
        <f t="shared" si="1"/>
        <v>Trd_bus_cng</v>
      </c>
      <c r="K49" t="str">
        <f t="shared" si="11"/>
        <v>\I:</v>
      </c>
      <c r="L49" t="str">
        <f t="shared" si="3"/>
        <v>\I:</v>
      </c>
      <c r="M49" s="185" t="str">
        <f t="shared" si="12"/>
        <v/>
      </c>
      <c r="N49" s="185" t="str">
        <f t="shared" si="13"/>
        <v/>
      </c>
      <c r="O49" s="185" t="str">
        <f t="shared" si="14"/>
        <v/>
      </c>
      <c r="P49" s="185" t="str">
        <f t="shared" si="15"/>
        <v/>
      </c>
      <c r="S49" t="s">
        <v>83</v>
      </c>
      <c r="T49" t="str">
        <f t="shared" si="16"/>
        <v>\I:</v>
      </c>
      <c r="U49" t="str">
        <f t="shared" ca="1" si="17"/>
        <v>CNG bus -- 00%</v>
      </c>
      <c r="V49" s="188" t="s">
        <v>84</v>
      </c>
      <c r="W49" s="188" t="s">
        <v>85</v>
      </c>
    </row>
    <row r="50" spans="2:23">
      <c r="B50" s="179"/>
      <c r="C50" s="179"/>
      <c r="D50" s="179"/>
      <c r="E50" s="179"/>
      <c r="F50" s="179"/>
      <c r="J50" t="str">
        <f t="shared" si="1"/>
        <v>Trd_bus_cng</v>
      </c>
      <c r="K50" t="str">
        <f t="shared" si="11"/>
        <v>\I:</v>
      </c>
      <c r="L50" t="str">
        <f t="shared" si="3"/>
        <v>\I:</v>
      </c>
      <c r="M50" s="185" t="str">
        <f t="shared" si="12"/>
        <v/>
      </c>
      <c r="N50" s="185" t="str">
        <f t="shared" si="13"/>
        <v/>
      </c>
      <c r="O50" s="185" t="str">
        <f t="shared" si="14"/>
        <v/>
      </c>
      <c r="P50" s="185" t="str">
        <f t="shared" si="15"/>
        <v/>
      </c>
      <c r="S50" t="s">
        <v>83</v>
      </c>
      <c r="T50" t="str">
        <f t="shared" si="16"/>
        <v>\I:</v>
      </c>
      <c r="U50" t="str">
        <f t="shared" ca="1" si="17"/>
        <v>CNG bus -- 00%</v>
      </c>
      <c r="V50" s="188" t="s">
        <v>84</v>
      </c>
      <c r="W50" s="188" t="s">
        <v>85</v>
      </c>
    </row>
    <row r="51" spans="2:23">
      <c r="B51" s="35"/>
      <c r="C51" s="36">
        <v>2020</v>
      </c>
      <c r="D51" s="36">
        <v>2030</v>
      </c>
      <c r="E51" s="36">
        <v>2040</v>
      </c>
      <c r="F51" s="36">
        <v>2050</v>
      </c>
      <c r="J51" t="str">
        <f t="shared" si="1"/>
        <v>Trd_bus_cng</v>
      </c>
      <c r="K51" t="str">
        <f t="shared" si="11"/>
        <v>\I:</v>
      </c>
      <c r="L51" t="str">
        <f t="shared" si="3"/>
        <v>\I:</v>
      </c>
      <c r="M51" s="185" t="str">
        <f t="shared" si="12"/>
        <v/>
      </c>
      <c r="N51" s="185" t="str">
        <f t="shared" si="13"/>
        <v/>
      </c>
      <c r="O51" s="185" t="str">
        <f t="shared" si="14"/>
        <v/>
      </c>
      <c r="P51" s="185" t="str">
        <f t="shared" si="15"/>
        <v/>
      </c>
      <c r="S51" t="s">
        <v>83</v>
      </c>
      <c r="T51" t="str">
        <f t="shared" si="16"/>
        <v>\I:</v>
      </c>
      <c r="U51" t="str">
        <f t="shared" ca="1" si="17"/>
        <v>CNG bus -- 00%</v>
      </c>
      <c r="V51" s="188" t="s">
        <v>84</v>
      </c>
      <c r="W51" s="188" t="s">
        <v>85</v>
      </c>
    </row>
    <row r="52" spans="2:23">
      <c r="B52" s="52">
        <v>4.0938086894400802E-2</v>
      </c>
      <c r="C52" s="53">
        <v>301227.80377974297</v>
      </c>
      <c r="D52" s="53">
        <v>301227.80377974297</v>
      </c>
      <c r="E52" s="53">
        <v>301227.80377974297</v>
      </c>
      <c r="F52" s="53">
        <v>301227.80377974297</v>
      </c>
      <c r="I52" s="184">
        <f>(1+B52)*$I$45/$I$7</f>
        <v>0.88425073001371701</v>
      </c>
      <c r="J52" t="str">
        <f t="shared" si="1"/>
        <v>Trd_bus_cng</v>
      </c>
      <c r="K52" t="str">
        <f t="shared" si="11"/>
        <v>Trd_bus_cng_04</v>
      </c>
      <c r="L52" t="str">
        <f t="shared" si="3"/>
        <v>Trd_bus</v>
      </c>
      <c r="M52" s="185">
        <f t="shared" si="12"/>
        <v>301227.80377974297</v>
      </c>
      <c r="N52" s="185">
        <f t="shared" si="13"/>
        <v>301227.80377974297</v>
      </c>
      <c r="O52" s="185">
        <f t="shared" si="14"/>
        <v>301227.80377974297</v>
      </c>
      <c r="P52" s="185">
        <f t="shared" si="15"/>
        <v>301227.80377974297</v>
      </c>
      <c r="S52" t="s">
        <v>83</v>
      </c>
      <c r="T52" t="str">
        <f t="shared" si="16"/>
        <v>Trd_bus_cng_04</v>
      </c>
      <c r="U52" t="str">
        <f t="shared" ca="1" si="17"/>
        <v>CNG bus -- 04%</v>
      </c>
      <c r="V52" s="188" t="s">
        <v>84</v>
      </c>
      <c r="W52" s="188" t="s">
        <v>85</v>
      </c>
    </row>
    <row r="53" spans="2:23">
      <c r="B53" s="52">
        <v>6.0938086894400799E-2</v>
      </c>
      <c r="C53" s="53">
        <v>302592.16376147798</v>
      </c>
      <c r="D53" s="53">
        <v>302114.87141830201</v>
      </c>
      <c r="E53" s="53">
        <v>302114.87141830201</v>
      </c>
      <c r="F53" s="53">
        <v>302114.87141830201</v>
      </c>
      <c r="I53" s="184">
        <f t="shared" ref="I53:I58" si="19">(1+B53)*$I$45/$I$7</f>
        <v>0.90124022710574603</v>
      </c>
      <c r="J53" t="str">
        <f t="shared" si="1"/>
        <v>Trd_bus_cng</v>
      </c>
      <c r="K53" t="str">
        <f t="shared" si="11"/>
        <v>Trd_bus_cng_06</v>
      </c>
      <c r="L53" t="str">
        <f t="shared" si="3"/>
        <v>Trd_bus</v>
      </c>
      <c r="M53" s="185">
        <f t="shared" si="12"/>
        <v>302592.16376147798</v>
      </c>
      <c r="N53" s="185">
        <f t="shared" si="13"/>
        <v>302114.87141830201</v>
      </c>
      <c r="O53" s="185">
        <f t="shared" si="14"/>
        <v>302114.87141830201</v>
      </c>
      <c r="P53" s="185">
        <f t="shared" si="15"/>
        <v>302114.87141830201</v>
      </c>
      <c r="S53" t="s">
        <v>83</v>
      </c>
      <c r="T53" t="str">
        <f t="shared" si="16"/>
        <v>Trd_bus_cng_06</v>
      </c>
      <c r="U53" t="str">
        <f t="shared" ca="1" si="17"/>
        <v>CNG bus -- 06%</v>
      </c>
      <c r="V53" s="188" t="s">
        <v>84</v>
      </c>
      <c r="W53" s="188" t="s">
        <v>85</v>
      </c>
    </row>
    <row r="54" spans="2:23">
      <c r="B54" s="52">
        <v>8.0938086894400796E-2</v>
      </c>
      <c r="C54" s="53">
        <v>304532.48644699599</v>
      </c>
      <c r="D54" s="53">
        <v>304228.377942422</v>
      </c>
      <c r="E54" s="53">
        <v>304228.377942422</v>
      </c>
      <c r="F54" s="53">
        <v>304228.377942422</v>
      </c>
      <c r="I54" s="184">
        <f t="shared" si="19"/>
        <v>0.91822972419777504</v>
      </c>
      <c r="J54" t="str">
        <f t="shared" si="1"/>
        <v>Trd_bus_cng</v>
      </c>
      <c r="K54" t="str">
        <f t="shared" si="11"/>
        <v>Trd_bus_cng_08</v>
      </c>
      <c r="L54" t="str">
        <f t="shared" si="3"/>
        <v>Trd_bus</v>
      </c>
      <c r="M54" s="185">
        <f t="shared" si="12"/>
        <v>304532.48644699599</v>
      </c>
      <c r="N54" s="185">
        <f t="shared" si="13"/>
        <v>304228.377942422</v>
      </c>
      <c r="O54" s="185">
        <f t="shared" si="14"/>
        <v>304228.377942422</v>
      </c>
      <c r="P54" s="185">
        <f t="shared" si="15"/>
        <v>304228.377942422</v>
      </c>
      <c r="S54" t="s">
        <v>83</v>
      </c>
      <c r="T54" t="str">
        <f t="shared" si="16"/>
        <v>Trd_bus_cng_08</v>
      </c>
      <c r="U54" t="str">
        <f t="shared" ca="1" si="17"/>
        <v>CNG bus -- 08%</v>
      </c>
      <c r="V54" s="188" t="s">
        <v>84</v>
      </c>
      <c r="W54" s="188" t="s">
        <v>85</v>
      </c>
    </row>
    <row r="55" spans="2:23">
      <c r="B55" s="52">
        <v>0.110938086894401</v>
      </c>
      <c r="C55" s="53">
        <v>306292.43751541199</v>
      </c>
      <c r="D55" s="53">
        <v>306028.72244003002</v>
      </c>
      <c r="E55" s="53">
        <v>306028.72244003002</v>
      </c>
      <c r="F55" s="53">
        <v>306028.72244003002</v>
      </c>
      <c r="I55" s="184">
        <f t="shared" si="19"/>
        <v>0.94371396983581801</v>
      </c>
      <c r="J55" t="str">
        <f t="shared" si="1"/>
        <v>Trd_bus_cng</v>
      </c>
      <c r="K55" t="str">
        <f t="shared" si="11"/>
        <v>Trd_bus_cng_11</v>
      </c>
      <c r="L55" t="str">
        <f t="shared" si="3"/>
        <v>Trd_bus</v>
      </c>
      <c r="M55" s="185">
        <f t="shared" si="12"/>
        <v>306292.43751541199</v>
      </c>
      <c r="N55" s="185">
        <f t="shared" si="13"/>
        <v>306028.72244003002</v>
      </c>
      <c r="O55" s="185">
        <f t="shared" si="14"/>
        <v>306028.72244003002</v>
      </c>
      <c r="P55" s="185">
        <f t="shared" si="15"/>
        <v>306028.72244003002</v>
      </c>
      <c r="S55" t="s">
        <v>83</v>
      </c>
      <c r="T55" t="str">
        <f t="shared" si="16"/>
        <v>Trd_bus_cng_11</v>
      </c>
      <c r="U55" t="str">
        <f t="shared" ca="1" si="17"/>
        <v>CNG bus -- 11%</v>
      </c>
      <c r="V55" s="188" t="s">
        <v>84</v>
      </c>
      <c r="W55" s="188" t="s">
        <v>85</v>
      </c>
    </row>
    <row r="56" spans="2:23">
      <c r="B56" s="52">
        <v>0.14093808689440099</v>
      </c>
      <c r="C56" s="53">
        <v>308988.86422918597</v>
      </c>
      <c r="D56" s="53">
        <v>308729.239186441</v>
      </c>
      <c r="E56" s="53">
        <v>308729.239186441</v>
      </c>
      <c r="F56" s="53">
        <v>308729.239186441</v>
      </c>
      <c r="I56" s="184">
        <f t="shared" si="19"/>
        <v>0.96919821547386098</v>
      </c>
      <c r="J56" t="str">
        <f t="shared" si="1"/>
        <v>Trd_bus_cng</v>
      </c>
      <c r="K56" t="str">
        <f t="shared" si="11"/>
        <v>Trd_bus_cng_14</v>
      </c>
      <c r="L56" t="str">
        <f t="shared" si="3"/>
        <v>Trd_bus</v>
      </c>
      <c r="M56" s="185">
        <f t="shared" si="12"/>
        <v>308988.86422918597</v>
      </c>
      <c r="N56" s="185">
        <f t="shared" si="13"/>
        <v>308729.239186441</v>
      </c>
      <c r="O56" s="185">
        <f t="shared" si="14"/>
        <v>308729.239186441</v>
      </c>
      <c r="P56" s="185">
        <f t="shared" si="15"/>
        <v>308729.239186441</v>
      </c>
      <c r="S56" t="s">
        <v>83</v>
      </c>
      <c r="T56" t="str">
        <f t="shared" si="16"/>
        <v>Trd_bus_cng_14</v>
      </c>
      <c r="U56" t="str">
        <f t="shared" ca="1" si="17"/>
        <v>CNG bus -- 14%</v>
      </c>
      <c r="V56" s="188" t="s">
        <v>84</v>
      </c>
      <c r="W56" s="188" t="s">
        <v>85</v>
      </c>
    </row>
    <row r="57" spans="2:23">
      <c r="B57" s="52">
        <v>0.17093808689440099</v>
      </c>
      <c r="C57" s="53">
        <v>337099.13590729702</v>
      </c>
      <c r="D57" s="53">
        <v>313345.33894014399</v>
      </c>
      <c r="E57" s="53">
        <v>313230.10043046001</v>
      </c>
      <c r="F57" s="53">
        <v>313230.10043046001</v>
      </c>
      <c r="I57" s="184">
        <f t="shared" si="19"/>
        <v>0.99468246111190395</v>
      </c>
      <c r="J57" t="str">
        <f t="shared" si="1"/>
        <v>Trd_bus_cng</v>
      </c>
      <c r="K57" t="str">
        <f t="shared" si="11"/>
        <v>Trd_bus_cng_17</v>
      </c>
      <c r="L57" t="str">
        <f t="shared" si="3"/>
        <v>Trd_bus</v>
      </c>
      <c r="M57" s="185">
        <f t="shared" si="12"/>
        <v>337099.13590729702</v>
      </c>
      <c r="N57" s="185">
        <f t="shared" si="13"/>
        <v>313345.33894014399</v>
      </c>
      <c r="O57" s="185">
        <f t="shared" si="14"/>
        <v>313230.10043046001</v>
      </c>
      <c r="P57" s="185">
        <f t="shared" si="15"/>
        <v>313230.10043046001</v>
      </c>
      <c r="S57" t="s">
        <v>83</v>
      </c>
      <c r="T57" t="str">
        <f t="shared" si="16"/>
        <v>Trd_bus_cng_17</v>
      </c>
      <c r="U57" t="str">
        <f t="shared" ca="1" si="17"/>
        <v>CNG bus -- 17%</v>
      </c>
      <c r="V57" s="188" t="s">
        <v>84</v>
      </c>
      <c r="W57" s="188" t="s">
        <v>85</v>
      </c>
    </row>
    <row r="58" spans="2:23">
      <c r="B58" s="52">
        <v>0.21093808689440099</v>
      </c>
      <c r="C58" s="53">
        <v>398410.15499618399</v>
      </c>
      <c r="D58" s="53">
        <v>323977.09596892499</v>
      </c>
      <c r="E58" s="53">
        <v>317320.88320558</v>
      </c>
      <c r="F58" s="53">
        <v>317320.88320558</v>
      </c>
      <c r="I58" s="184">
        <f t="shared" si="19"/>
        <v>1.0286614552959601</v>
      </c>
      <c r="J58" t="str">
        <f t="shared" si="1"/>
        <v>Trd_bus_cng</v>
      </c>
      <c r="K58" t="str">
        <f t="shared" si="11"/>
        <v>Trd_bus_cng_21</v>
      </c>
      <c r="L58" t="str">
        <f t="shared" si="3"/>
        <v>Trd_bus</v>
      </c>
      <c r="M58" s="185">
        <f t="shared" si="12"/>
        <v>398410.15499618399</v>
      </c>
      <c r="N58" s="185">
        <f t="shared" si="13"/>
        <v>323977.09596892499</v>
      </c>
      <c r="O58" s="185">
        <f t="shared" si="14"/>
        <v>317320.88320558</v>
      </c>
      <c r="P58" s="185">
        <f t="shared" si="15"/>
        <v>317320.88320558</v>
      </c>
      <c r="S58" t="s">
        <v>83</v>
      </c>
      <c r="T58" t="str">
        <f t="shared" si="16"/>
        <v>Trd_bus_cng_21</v>
      </c>
      <c r="U58" t="str">
        <f t="shared" ca="1" si="17"/>
        <v>CNG bus -- 21%</v>
      </c>
      <c r="V58" s="188" t="s">
        <v>84</v>
      </c>
      <c r="W58" s="188" t="s">
        <v>85</v>
      </c>
    </row>
    <row r="59" spans="2:23">
      <c r="J59" t="str">
        <f t="shared" si="1"/>
        <v>Trd_bus_cng</v>
      </c>
      <c r="K59" t="str">
        <f t="shared" si="11"/>
        <v>\I:</v>
      </c>
      <c r="L59" t="str">
        <f t="shared" si="3"/>
        <v>\I:</v>
      </c>
      <c r="M59" s="185" t="str">
        <f t="shared" si="12"/>
        <v/>
      </c>
      <c r="N59" s="185" t="str">
        <f t="shared" si="13"/>
        <v/>
      </c>
      <c r="O59" s="185" t="str">
        <f t="shared" si="14"/>
        <v/>
      </c>
      <c r="P59" s="185" t="str">
        <f t="shared" si="15"/>
        <v/>
      </c>
      <c r="S59" t="s">
        <v>83</v>
      </c>
      <c r="T59" t="str">
        <f t="shared" si="16"/>
        <v>\I:</v>
      </c>
      <c r="U59" t="str">
        <f t="shared" ca="1" si="17"/>
        <v>CNG bus -- 00%</v>
      </c>
      <c r="V59" s="188" t="s">
        <v>84</v>
      </c>
      <c r="W59" s="188" t="s">
        <v>85</v>
      </c>
    </row>
    <row r="60" spans="2:23">
      <c r="J60" t="str">
        <f t="shared" si="1"/>
        <v>Trd_bus_cng</v>
      </c>
      <c r="K60" t="str">
        <f t="shared" si="11"/>
        <v>\I:</v>
      </c>
      <c r="L60" t="str">
        <f t="shared" si="3"/>
        <v>\I:</v>
      </c>
      <c r="M60" s="185" t="str">
        <f t="shared" si="12"/>
        <v/>
      </c>
      <c r="N60" s="185" t="str">
        <f t="shared" si="13"/>
        <v/>
      </c>
      <c r="O60" s="185" t="str">
        <f t="shared" si="14"/>
        <v/>
      </c>
      <c r="P60" s="185" t="str">
        <f t="shared" si="15"/>
        <v/>
      </c>
      <c r="S60" t="s">
        <v>83</v>
      </c>
      <c r="T60" t="str">
        <f t="shared" si="16"/>
        <v>\I:</v>
      </c>
      <c r="U60" t="str">
        <f t="shared" ca="1" si="17"/>
        <v>CNG bus -- 00%</v>
      </c>
      <c r="V60" s="188" t="s">
        <v>84</v>
      </c>
      <c r="W60" s="188" t="s">
        <v>85</v>
      </c>
    </row>
    <row r="61" spans="2:23">
      <c r="J61" t="str">
        <f t="shared" si="1"/>
        <v>Trd_bus_cng</v>
      </c>
      <c r="K61" t="str">
        <f t="shared" si="11"/>
        <v>\I:</v>
      </c>
      <c r="L61" t="str">
        <f t="shared" si="3"/>
        <v>\I:</v>
      </c>
      <c r="M61" s="185" t="str">
        <f t="shared" si="12"/>
        <v/>
      </c>
      <c r="N61" s="185" t="str">
        <f t="shared" si="13"/>
        <v/>
      </c>
      <c r="O61" s="185" t="str">
        <f t="shared" si="14"/>
        <v/>
      </c>
      <c r="P61" s="185" t="str">
        <f t="shared" si="15"/>
        <v/>
      </c>
      <c r="S61" t="s">
        <v>83</v>
      </c>
      <c r="T61" t="str">
        <f t="shared" si="16"/>
        <v>\I:</v>
      </c>
      <c r="U61" t="str">
        <f t="shared" ca="1" si="17"/>
        <v>CNG bus -- 00%</v>
      </c>
      <c r="V61" s="188" t="s">
        <v>84</v>
      </c>
      <c r="W61" s="188" t="s">
        <v>85</v>
      </c>
    </row>
    <row r="62" spans="2:23">
      <c r="J62" t="str">
        <f t="shared" si="1"/>
        <v>Trd_bus_cng</v>
      </c>
      <c r="K62" t="str">
        <f t="shared" si="11"/>
        <v>\I:</v>
      </c>
      <c r="L62" t="str">
        <f t="shared" si="3"/>
        <v>\I:</v>
      </c>
      <c r="M62" s="185" t="str">
        <f t="shared" si="12"/>
        <v/>
      </c>
      <c r="N62" s="185" t="str">
        <f t="shared" si="13"/>
        <v/>
      </c>
      <c r="O62" s="185" t="str">
        <f t="shared" si="14"/>
        <v/>
      </c>
      <c r="P62" s="185" t="str">
        <f t="shared" si="15"/>
        <v/>
      </c>
      <c r="S62" t="s">
        <v>83</v>
      </c>
      <c r="T62" t="str">
        <f t="shared" si="16"/>
        <v>\I:</v>
      </c>
      <c r="U62" t="str">
        <f t="shared" ca="1" si="17"/>
        <v>CNG bus -- 00%</v>
      </c>
      <c r="V62" s="188" t="s">
        <v>84</v>
      </c>
      <c r="W62" s="188" t="s">
        <v>85</v>
      </c>
    </row>
    <row r="63" spans="2:23">
      <c r="B63" s="29" t="s">
        <v>160</v>
      </c>
      <c r="J63" t="str">
        <f t="shared" si="1"/>
        <v>Trd_bus_cng</v>
      </c>
      <c r="K63" t="str">
        <f t="shared" si="11"/>
        <v>\I:</v>
      </c>
      <c r="L63" t="str">
        <f t="shared" si="3"/>
        <v>\I:</v>
      </c>
      <c r="M63" s="185" t="str">
        <f t="shared" si="12"/>
        <v/>
      </c>
      <c r="N63" s="185" t="str">
        <f t="shared" si="13"/>
        <v/>
      </c>
      <c r="O63" s="185" t="str">
        <f t="shared" si="14"/>
        <v/>
      </c>
      <c r="P63" s="185" t="str">
        <f t="shared" si="15"/>
        <v/>
      </c>
      <c r="S63" t="s">
        <v>83</v>
      </c>
      <c r="T63" t="str">
        <f t="shared" si="16"/>
        <v>\I:</v>
      </c>
      <c r="U63" t="str">
        <f t="shared" ca="1" si="17"/>
        <v>CNG bus -- Reference values for LPG bus</v>
      </c>
      <c r="V63" s="188" t="s">
        <v>84</v>
      </c>
      <c r="W63" s="188" t="s">
        <v>85</v>
      </c>
    </row>
    <row r="64" spans="2:23">
      <c r="B64" s="177">
        <v>2015</v>
      </c>
      <c r="C64" s="177"/>
      <c r="D64" s="177"/>
      <c r="J64" t="str">
        <f t="shared" si="1"/>
        <v>Trd_bus_cng</v>
      </c>
      <c r="K64" t="str">
        <f t="shared" si="11"/>
        <v>\I:</v>
      </c>
      <c r="L64" t="str">
        <f t="shared" si="3"/>
        <v>\I:</v>
      </c>
      <c r="M64" s="185" t="str">
        <f t="shared" si="12"/>
        <v/>
      </c>
      <c r="N64" s="185" t="str">
        <f t="shared" si="13"/>
        <v/>
      </c>
      <c r="O64" s="185" t="str">
        <f t="shared" si="14"/>
        <v/>
      </c>
      <c r="P64" s="185" t="str">
        <f t="shared" si="15"/>
        <v/>
      </c>
      <c r="S64" t="s">
        <v>83</v>
      </c>
      <c r="T64" t="str">
        <f t="shared" si="16"/>
        <v>\I:</v>
      </c>
      <c r="U64" t="str">
        <f t="shared" ca="1" si="17"/>
        <v>CNG bus -- 201500%</v>
      </c>
      <c r="V64" s="188" t="s">
        <v>84</v>
      </c>
      <c r="W64" s="188" t="s">
        <v>85</v>
      </c>
    </row>
    <row r="65" spans="2:23">
      <c r="B65" s="31" t="s">
        <v>12</v>
      </c>
      <c r="C65" s="32" t="s">
        <v>13</v>
      </c>
      <c r="D65" s="33">
        <v>44.587527231900197</v>
      </c>
      <c r="J65" t="str">
        <f t="shared" si="1"/>
        <v>Trd_bus_cng</v>
      </c>
      <c r="K65" t="str">
        <f t="shared" si="11"/>
        <v>\I:</v>
      </c>
      <c r="L65" t="str">
        <f t="shared" si="3"/>
        <v>\I:</v>
      </c>
      <c r="M65" s="185" t="str">
        <f t="shared" si="12"/>
        <v/>
      </c>
      <c r="N65" s="185" t="str">
        <f t="shared" si="13"/>
        <v/>
      </c>
      <c r="O65" s="185" t="str">
        <f t="shared" si="14"/>
        <v/>
      </c>
      <c r="P65" s="185" t="str">
        <f t="shared" si="15"/>
        <v/>
      </c>
      <c r="S65" t="s">
        <v>83</v>
      </c>
      <c r="T65" t="str">
        <f t="shared" si="16"/>
        <v>\I:</v>
      </c>
      <c r="U65" t="str">
        <f t="shared" ca="1" si="17"/>
        <v>CNG bus -- Energy consumption</v>
      </c>
      <c r="V65" s="188" t="s">
        <v>84</v>
      </c>
      <c r="W65" s="188" t="s">
        <v>85</v>
      </c>
    </row>
    <row r="66" spans="2:23">
      <c r="B66" s="31" t="s">
        <v>14</v>
      </c>
      <c r="C66" s="32" t="s">
        <v>15</v>
      </c>
      <c r="D66" s="44">
        <v>293034.34214554401</v>
      </c>
      <c r="J66" t="str">
        <f t="shared" si="1"/>
        <v>Trd_bus_cng</v>
      </c>
      <c r="K66" t="str">
        <f t="shared" si="11"/>
        <v>\I:</v>
      </c>
      <c r="L66" t="str">
        <f t="shared" si="3"/>
        <v>\I:</v>
      </c>
      <c r="M66" s="185" t="str">
        <f t="shared" si="12"/>
        <v/>
      </c>
      <c r="N66" s="185" t="str">
        <f t="shared" si="13"/>
        <v/>
      </c>
      <c r="O66" s="185" t="str">
        <f t="shared" si="14"/>
        <v/>
      </c>
      <c r="P66" s="185" t="str">
        <f t="shared" si="15"/>
        <v/>
      </c>
      <c r="S66" t="s">
        <v>83</v>
      </c>
      <c r="T66" t="str">
        <f t="shared" si="16"/>
        <v>\I:</v>
      </c>
      <c r="U66" t="str">
        <f t="shared" ca="1" si="17"/>
        <v>CNG bus -- Capital cost</v>
      </c>
      <c r="V66" s="188" t="s">
        <v>84</v>
      </c>
      <c r="W66" s="188" t="s">
        <v>85</v>
      </c>
    </row>
    <row r="67" spans="2:23">
      <c r="J67" t="str">
        <f t="shared" si="1"/>
        <v>Trd_bus_cng</v>
      </c>
      <c r="K67" t="str">
        <f t="shared" si="11"/>
        <v>\I:</v>
      </c>
      <c r="L67" t="str">
        <f t="shared" si="3"/>
        <v>\I:</v>
      </c>
      <c r="M67" s="185" t="str">
        <f t="shared" si="12"/>
        <v/>
      </c>
      <c r="N67" s="185" t="str">
        <f t="shared" si="13"/>
        <v/>
      </c>
      <c r="O67" s="185" t="str">
        <f t="shared" si="14"/>
        <v/>
      </c>
      <c r="P67" s="185" t="str">
        <f t="shared" si="15"/>
        <v/>
      </c>
      <c r="S67" t="s">
        <v>83</v>
      </c>
      <c r="T67" t="str">
        <f t="shared" si="16"/>
        <v>\I:</v>
      </c>
      <c r="U67" t="str">
        <f t="shared" ca="1" si="17"/>
        <v>CNG bus -- 00%</v>
      </c>
      <c r="V67" s="188" t="s">
        <v>84</v>
      </c>
      <c r="W67" s="188" t="s">
        <v>85</v>
      </c>
    </row>
    <row r="68" spans="2:23" ht="15" customHeight="1">
      <c r="B68" s="179" t="s">
        <v>91</v>
      </c>
      <c r="C68" s="179" t="s">
        <v>152</v>
      </c>
      <c r="D68" s="179"/>
      <c r="E68" s="179"/>
      <c r="F68" s="179"/>
      <c r="J68" t="str">
        <f t="shared" si="1"/>
        <v>\I:Trd_bus_lpg</v>
      </c>
      <c r="K68" t="str">
        <f t="shared" si="11"/>
        <v>\I:</v>
      </c>
      <c r="L68" t="str">
        <f t="shared" si="3"/>
        <v>\I:</v>
      </c>
      <c r="M68" s="185" t="str">
        <f t="shared" si="12"/>
        <v/>
      </c>
      <c r="N68" s="185" t="str">
        <f t="shared" si="13"/>
        <v/>
      </c>
      <c r="O68" s="185" t="str">
        <f t="shared" si="14"/>
        <v/>
      </c>
      <c r="P68" s="185" t="str">
        <f t="shared" si="15"/>
        <v/>
      </c>
      <c r="S68" t="s">
        <v>83</v>
      </c>
      <c r="T68" t="str">
        <f t="shared" si="16"/>
        <v>\I:</v>
      </c>
      <c r="U68" t="str">
        <f t="shared" ca="1" si="17"/>
        <v>LPG bus -- Reduction of specific energy consumption relative to 2015 LPG vehicle (%)</v>
      </c>
      <c r="V68" s="188" t="s">
        <v>84</v>
      </c>
      <c r="W68" s="188" t="s">
        <v>85</v>
      </c>
    </row>
    <row r="69" spans="2:23">
      <c r="B69" s="179"/>
      <c r="C69" s="179"/>
      <c r="D69" s="179"/>
      <c r="E69" s="179"/>
      <c r="F69" s="179"/>
      <c r="J69" t="str">
        <f t="shared" si="1"/>
        <v>\I:Trd_bus_lpg</v>
      </c>
      <c r="K69" t="str">
        <f t="shared" si="11"/>
        <v>\I:</v>
      </c>
      <c r="L69" t="str">
        <f t="shared" si="3"/>
        <v>\I:</v>
      </c>
      <c r="M69" s="185" t="str">
        <f t="shared" si="12"/>
        <v/>
      </c>
      <c r="N69" s="185" t="str">
        <f t="shared" si="13"/>
        <v/>
      </c>
      <c r="O69" s="185" t="str">
        <f t="shared" si="14"/>
        <v/>
      </c>
      <c r="P69" s="185" t="str">
        <f t="shared" si="15"/>
        <v/>
      </c>
      <c r="S69" t="s">
        <v>83</v>
      </c>
      <c r="T69" t="str">
        <f t="shared" si="16"/>
        <v>\I:</v>
      </c>
      <c r="U69" t="str">
        <f t="shared" ca="1" si="17"/>
        <v>LPG bus -- 00%</v>
      </c>
      <c r="V69" s="188" t="s">
        <v>84</v>
      </c>
      <c r="W69" s="188" t="s">
        <v>85</v>
      </c>
    </row>
    <row r="70" spans="2:23">
      <c r="B70" s="179"/>
      <c r="C70" s="179"/>
      <c r="D70" s="179"/>
      <c r="E70" s="179"/>
      <c r="F70" s="179"/>
      <c r="J70" t="str">
        <f t="shared" si="1"/>
        <v>\I:Trd_bus_lpg</v>
      </c>
      <c r="K70" t="str">
        <f t="shared" si="11"/>
        <v>\I:</v>
      </c>
      <c r="L70" t="str">
        <f t="shared" si="3"/>
        <v>\I:</v>
      </c>
      <c r="M70" s="185" t="str">
        <f t="shared" si="12"/>
        <v/>
      </c>
      <c r="N70" s="185" t="str">
        <f t="shared" si="13"/>
        <v/>
      </c>
      <c r="O70" s="185" t="str">
        <f t="shared" si="14"/>
        <v/>
      </c>
      <c r="P70" s="185" t="str">
        <f t="shared" si="15"/>
        <v/>
      </c>
      <c r="S70" t="s">
        <v>83</v>
      </c>
      <c r="T70" t="str">
        <f t="shared" si="16"/>
        <v>\I:</v>
      </c>
      <c r="U70" t="str">
        <f t="shared" ca="1" si="17"/>
        <v>LPG bus -- 00%</v>
      </c>
      <c r="V70" s="188" t="s">
        <v>84</v>
      </c>
      <c r="W70" s="188" t="s">
        <v>85</v>
      </c>
    </row>
    <row r="71" spans="2:23">
      <c r="B71" s="35"/>
      <c r="C71" s="36">
        <v>2020</v>
      </c>
      <c r="D71" s="36">
        <v>2030</v>
      </c>
      <c r="E71" s="36">
        <v>2040</v>
      </c>
      <c r="F71" s="36">
        <v>2050</v>
      </c>
      <c r="J71" t="str">
        <f t="shared" si="1"/>
        <v>\I:Trd_bus_lpg</v>
      </c>
      <c r="K71" t="str">
        <f t="shared" si="11"/>
        <v>\I:</v>
      </c>
      <c r="L71" t="str">
        <f t="shared" si="3"/>
        <v>\I:</v>
      </c>
      <c r="M71" s="185" t="str">
        <f t="shared" si="12"/>
        <v/>
      </c>
      <c r="N71" s="185" t="str">
        <f t="shared" si="13"/>
        <v/>
      </c>
      <c r="O71" s="185" t="str">
        <f t="shared" si="14"/>
        <v/>
      </c>
      <c r="P71" s="185" t="str">
        <f t="shared" si="15"/>
        <v/>
      </c>
      <c r="S71" t="s">
        <v>83</v>
      </c>
      <c r="T71" t="str">
        <f t="shared" si="16"/>
        <v>\I:</v>
      </c>
      <c r="U71" t="str">
        <f t="shared" ca="1" si="17"/>
        <v>LPG bus -- 00%</v>
      </c>
      <c r="V71" s="188" t="s">
        <v>84</v>
      </c>
      <c r="W71" s="188" t="s">
        <v>85</v>
      </c>
    </row>
    <row r="72" spans="2:23">
      <c r="B72" s="52">
        <v>4.0938086894400802E-2</v>
      </c>
      <c r="C72" s="53">
        <v>294253.33713926701</v>
      </c>
      <c r="D72" s="53">
        <v>294253.33713926701</v>
      </c>
      <c r="E72" s="53">
        <v>294253.33713926701</v>
      </c>
      <c r="F72" s="53">
        <v>294253.33713926701</v>
      </c>
      <c r="J72" t="str">
        <f t="shared" si="1"/>
        <v>\I:Trd_bus_lpg</v>
      </c>
      <c r="K72" t="str">
        <f t="shared" si="11"/>
        <v>\I:Trd_bus_lpg_04</v>
      </c>
      <c r="L72" t="str">
        <f t="shared" si="3"/>
        <v>\I:Trd_</v>
      </c>
      <c r="M72" s="185">
        <f t="shared" si="12"/>
        <v>294253.33713926701</v>
      </c>
      <c r="N72" s="185">
        <f t="shared" si="13"/>
        <v>294253.33713926701</v>
      </c>
      <c r="O72" s="185">
        <f t="shared" si="14"/>
        <v>294253.33713926701</v>
      </c>
      <c r="P72" s="185">
        <f t="shared" si="15"/>
        <v>294253.33713926701</v>
      </c>
      <c r="S72" t="s">
        <v>83</v>
      </c>
      <c r="T72" t="str">
        <f t="shared" si="16"/>
        <v>\I:Trd_bus_lpg_04</v>
      </c>
      <c r="U72" t="str">
        <f t="shared" ca="1" si="17"/>
        <v>LPG bus -- 04%</v>
      </c>
      <c r="V72" s="188" t="s">
        <v>84</v>
      </c>
      <c r="W72" s="188" t="s">
        <v>85</v>
      </c>
    </row>
    <row r="73" spans="2:23">
      <c r="B73" s="52">
        <v>6.0938086894400799E-2</v>
      </c>
      <c r="C73" s="53">
        <v>295617.69712100201</v>
      </c>
      <c r="D73" s="53">
        <v>295140.40477782598</v>
      </c>
      <c r="E73" s="53">
        <v>295140.40477782598</v>
      </c>
      <c r="F73" s="53">
        <v>295140.40477782598</v>
      </c>
      <c r="J73" t="str">
        <f t="shared" si="1"/>
        <v>\I:Trd_bus_lpg</v>
      </c>
      <c r="K73" t="str">
        <f t="shared" si="11"/>
        <v>\I:Trd_bus_lpg_06</v>
      </c>
      <c r="L73" t="str">
        <f t="shared" si="3"/>
        <v>\I:Trd_</v>
      </c>
      <c r="M73" s="185">
        <f t="shared" si="12"/>
        <v>295617.69712100201</v>
      </c>
      <c r="N73" s="185">
        <f t="shared" si="13"/>
        <v>295140.40477782598</v>
      </c>
      <c r="O73" s="185">
        <f t="shared" si="14"/>
        <v>295140.40477782598</v>
      </c>
      <c r="P73" s="185">
        <f t="shared" si="15"/>
        <v>295140.40477782598</v>
      </c>
      <c r="S73" t="s">
        <v>83</v>
      </c>
      <c r="T73" t="str">
        <f t="shared" si="16"/>
        <v>\I:Trd_bus_lpg_06</v>
      </c>
      <c r="U73" t="str">
        <f t="shared" ca="1" si="17"/>
        <v>LPG bus -- 06%</v>
      </c>
      <c r="V73" s="188" t="s">
        <v>84</v>
      </c>
      <c r="W73" s="188" t="s">
        <v>85</v>
      </c>
    </row>
    <row r="74" spans="2:23">
      <c r="B74" s="52">
        <v>8.0938086894400796E-2</v>
      </c>
      <c r="C74" s="53">
        <v>297558.01980652002</v>
      </c>
      <c r="D74" s="53">
        <v>297253.91130194598</v>
      </c>
      <c r="E74" s="53">
        <v>297253.91130194598</v>
      </c>
      <c r="F74" s="53">
        <v>297253.91130194598</v>
      </c>
      <c r="J74" t="str">
        <f t="shared" si="1"/>
        <v>\I:Trd_bus_lpg</v>
      </c>
      <c r="K74" t="str">
        <f t="shared" si="11"/>
        <v>\I:Trd_bus_lpg_08</v>
      </c>
      <c r="L74" t="str">
        <f t="shared" si="3"/>
        <v>\I:Trd_</v>
      </c>
      <c r="M74" s="185">
        <f t="shared" si="12"/>
        <v>297558.01980652002</v>
      </c>
      <c r="N74" s="185">
        <f t="shared" si="13"/>
        <v>297253.91130194598</v>
      </c>
      <c r="O74" s="185">
        <f t="shared" si="14"/>
        <v>297253.91130194598</v>
      </c>
      <c r="P74" s="185">
        <f t="shared" si="15"/>
        <v>297253.91130194598</v>
      </c>
      <c r="S74" t="s">
        <v>83</v>
      </c>
      <c r="T74" t="str">
        <f t="shared" si="16"/>
        <v>\I:Trd_bus_lpg_08</v>
      </c>
      <c r="U74" t="str">
        <f t="shared" ca="1" si="17"/>
        <v>LPG bus -- 08%</v>
      </c>
      <c r="V74" s="188" t="s">
        <v>84</v>
      </c>
      <c r="W74" s="188" t="s">
        <v>85</v>
      </c>
    </row>
    <row r="75" spans="2:23">
      <c r="B75" s="52">
        <v>0.110938086894401</v>
      </c>
      <c r="C75" s="53">
        <v>299317.97087493603</v>
      </c>
      <c r="D75" s="53">
        <v>299054.255799554</v>
      </c>
      <c r="E75" s="53">
        <v>299054.255799554</v>
      </c>
      <c r="F75" s="53">
        <v>299054.255799554</v>
      </c>
      <c r="J75" t="str">
        <f t="shared" si="1"/>
        <v>\I:Trd_bus_lpg</v>
      </c>
      <c r="K75" t="str">
        <f t="shared" si="11"/>
        <v>\I:Trd_bus_lpg_11</v>
      </c>
      <c r="L75" t="str">
        <f t="shared" si="3"/>
        <v>\I:Trd_</v>
      </c>
      <c r="M75" s="185">
        <f t="shared" si="12"/>
        <v>299317.97087493603</v>
      </c>
      <c r="N75" s="185">
        <f t="shared" si="13"/>
        <v>299054.255799554</v>
      </c>
      <c r="O75" s="185">
        <f t="shared" si="14"/>
        <v>299054.255799554</v>
      </c>
      <c r="P75" s="185">
        <f t="shared" si="15"/>
        <v>299054.255799554</v>
      </c>
      <c r="S75" t="s">
        <v>83</v>
      </c>
      <c r="T75" t="str">
        <f t="shared" si="16"/>
        <v>\I:Trd_bus_lpg_11</v>
      </c>
      <c r="U75" t="str">
        <f t="shared" ca="1" si="17"/>
        <v>LPG bus -- 11%</v>
      </c>
      <c r="V75" s="188" t="s">
        <v>84</v>
      </c>
      <c r="W75" s="188" t="s">
        <v>85</v>
      </c>
    </row>
    <row r="76" spans="2:23">
      <c r="B76" s="52">
        <v>0.14093808689440099</v>
      </c>
      <c r="C76" s="53">
        <v>302014.39758871001</v>
      </c>
      <c r="D76" s="53">
        <v>301754.77254596498</v>
      </c>
      <c r="E76" s="53">
        <v>301754.77254596498</v>
      </c>
      <c r="F76" s="53">
        <v>301754.77254596498</v>
      </c>
      <c r="J76" t="str">
        <f t="shared" si="1"/>
        <v>\I:Trd_bus_lpg</v>
      </c>
      <c r="K76" t="str">
        <f t="shared" si="11"/>
        <v>\I:Trd_bus_lpg_14</v>
      </c>
      <c r="L76" t="str">
        <f t="shared" si="3"/>
        <v>\I:Trd_</v>
      </c>
      <c r="M76" s="185">
        <f t="shared" si="12"/>
        <v>302014.39758871001</v>
      </c>
      <c r="N76" s="185">
        <f t="shared" si="13"/>
        <v>301754.77254596498</v>
      </c>
      <c r="O76" s="185">
        <f t="shared" si="14"/>
        <v>301754.77254596498</v>
      </c>
      <c r="P76" s="185">
        <f t="shared" si="15"/>
        <v>301754.77254596498</v>
      </c>
      <c r="S76" t="s">
        <v>83</v>
      </c>
      <c r="T76" t="str">
        <f t="shared" si="16"/>
        <v>\I:Trd_bus_lpg_14</v>
      </c>
      <c r="U76" t="str">
        <f t="shared" ca="1" si="17"/>
        <v>LPG bus -- 14%</v>
      </c>
      <c r="V76" s="188" t="s">
        <v>84</v>
      </c>
      <c r="W76" s="188" t="s">
        <v>85</v>
      </c>
    </row>
    <row r="77" spans="2:23">
      <c r="B77" s="52">
        <v>0.17093808689440099</v>
      </c>
      <c r="C77" s="53">
        <v>330124.669266821</v>
      </c>
      <c r="D77" s="53">
        <v>306370.87229966698</v>
      </c>
      <c r="E77" s="53">
        <v>306255.63378998399</v>
      </c>
      <c r="F77" s="53">
        <v>306255.63378998399</v>
      </c>
      <c r="J77" t="str">
        <f t="shared" si="1"/>
        <v>\I:Trd_bus_lpg</v>
      </c>
      <c r="K77" t="str">
        <f t="shared" si="11"/>
        <v>\I:Trd_bus_lpg_17</v>
      </c>
      <c r="L77" t="str">
        <f t="shared" si="3"/>
        <v>\I:Trd_</v>
      </c>
      <c r="M77" s="185">
        <f t="shared" si="12"/>
        <v>330124.669266821</v>
      </c>
      <c r="N77" s="185">
        <f t="shared" si="13"/>
        <v>306370.87229966698</v>
      </c>
      <c r="O77" s="185">
        <f t="shared" si="14"/>
        <v>306255.63378998399</v>
      </c>
      <c r="P77" s="185">
        <f t="shared" si="15"/>
        <v>306255.63378998399</v>
      </c>
      <c r="S77" t="s">
        <v>83</v>
      </c>
      <c r="T77" t="str">
        <f t="shared" si="16"/>
        <v>\I:Trd_bus_lpg_17</v>
      </c>
      <c r="U77" t="str">
        <f t="shared" ca="1" si="17"/>
        <v>LPG bus -- 17%</v>
      </c>
      <c r="V77" s="188" t="s">
        <v>84</v>
      </c>
      <c r="W77" s="188" t="s">
        <v>85</v>
      </c>
    </row>
    <row r="78" spans="2:23">
      <c r="B78" s="52">
        <v>0.21093808689440099</v>
      </c>
      <c r="C78" s="53">
        <v>391435.68835570797</v>
      </c>
      <c r="D78" s="53">
        <v>317002.62932844902</v>
      </c>
      <c r="E78" s="53">
        <v>310346.41656510398</v>
      </c>
      <c r="F78" s="53">
        <v>310346.41656510398</v>
      </c>
      <c r="J78" t="str">
        <f t="shared" ref="J78:J141" si="20">IFERROR(VLOOKUP(C78,$R$1:$S$9,2,FALSE),J77)</f>
        <v>\I:Trd_bus_lpg</v>
      </c>
      <c r="K78" t="str">
        <f t="shared" si="11"/>
        <v>\I:Trd_bus_lpg_21</v>
      </c>
      <c r="L78" t="str">
        <f t="shared" ref="L78:L141" si="21">LEFT(K78,7)</f>
        <v>\I:Trd_</v>
      </c>
      <c r="M78" s="185">
        <f t="shared" si="12"/>
        <v>391435.68835570797</v>
      </c>
      <c r="N78" s="185">
        <f t="shared" si="13"/>
        <v>317002.62932844902</v>
      </c>
      <c r="O78" s="185">
        <f t="shared" si="14"/>
        <v>310346.41656510398</v>
      </c>
      <c r="P78" s="185">
        <f t="shared" si="15"/>
        <v>310346.41656510398</v>
      </c>
      <c r="S78" t="s">
        <v>83</v>
      </c>
      <c r="T78" t="str">
        <f t="shared" si="16"/>
        <v>\I:Trd_bus_lpg_21</v>
      </c>
      <c r="U78" t="str">
        <f t="shared" ca="1" si="17"/>
        <v>LPG bus -- 21%</v>
      </c>
      <c r="V78" s="188" t="s">
        <v>84</v>
      </c>
      <c r="W78" s="188" t="s">
        <v>85</v>
      </c>
    </row>
    <row r="79" spans="2:23">
      <c r="J79" t="str">
        <f t="shared" si="20"/>
        <v>\I:Trd_bus_lpg</v>
      </c>
      <c r="K79" t="str">
        <f t="shared" si="11"/>
        <v>\I:</v>
      </c>
      <c r="L79" t="str">
        <f t="shared" si="21"/>
        <v>\I:</v>
      </c>
      <c r="M79" s="185" t="str">
        <f t="shared" si="12"/>
        <v/>
      </c>
      <c r="N79" s="185" t="str">
        <f t="shared" si="13"/>
        <v/>
      </c>
      <c r="O79" s="185" t="str">
        <f t="shared" si="14"/>
        <v/>
      </c>
      <c r="P79" s="185" t="str">
        <f t="shared" si="15"/>
        <v/>
      </c>
      <c r="S79" t="s">
        <v>83</v>
      </c>
      <c r="T79" t="str">
        <f t="shared" si="16"/>
        <v>\I:</v>
      </c>
      <c r="U79" t="str">
        <f t="shared" ca="1" si="17"/>
        <v>LPG bus -- 00%</v>
      </c>
      <c r="V79" s="188" t="s">
        <v>84</v>
      </c>
      <c r="W79" s="188" t="s">
        <v>85</v>
      </c>
    </row>
    <row r="80" spans="2:23">
      <c r="J80" t="str">
        <f t="shared" si="20"/>
        <v>\I:Trd_bus_lpg</v>
      </c>
      <c r="K80" t="str">
        <f t="shared" si="11"/>
        <v>\I:</v>
      </c>
      <c r="L80" t="str">
        <f t="shared" si="21"/>
        <v>\I:</v>
      </c>
      <c r="M80" s="185" t="str">
        <f t="shared" si="12"/>
        <v/>
      </c>
      <c r="N80" s="185" t="str">
        <f t="shared" si="13"/>
        <v/>
      </c>
      <c r="O80" s="185" t="str">
        <f t="shared" si="14"/>
        <v/>
      </c>
      <c r="P80" s="185" t="str">
        <f t="shared" si="15"/>
        <v/>
      </c>
      <c r="S80" t="s">
        <v>83</v>
      </c>
      <c r="T80" t="str">
        <f t="shared" si="16"/>
        <v>\I:</v>
      </c>
      <c r="U80" t="str">
        <f t="shared" ca="1" si="17"/>
        <v>LPG bus -- 00%</v>
      </c>
      <c r="V80" s="188" t="s">
        <v>84</v>
      </c>
      <c r="W80" s="188" t="s">
        <v>85</v>
      </c>
    </row>
    <row r="81" spans="2:23">
      <c r="J81" t="str">
        <f t="shared" si="20"/>
        <v>\I:Trd_bus_lpg</v>
      </c>
      <c r="K81" t="str">
        <f t="shared" si="11"/>
        <v>\I:</v>
      </c>
      <c r="L81" t="str">
        <f t="shared" si="21"/>
        <v>\I:</v>
      </c>
      <c r="M81" s="185" t="str">
        <f t="shared" si="12"/>
        <v/>
      </c>
      <c r="N81" s="185" t="str">
        <f t="shared" si="13"/>
        <v/>
      </c>
      <c r="O81" s="185" t="str">
        <f t="shared" si="14"/>
        <v/>
      </c>
      <c r="P81" s="185" t="str">
        <f t="shared" si="15"/>
        <v/>
      </c>
      <c r="S81" t="s">
        <v>83</v>
      </c>
      <c r="T81" t="str">
        <f t="shared" si="16"/>
        <v>\I:</v>
      </c>
      <c r="U81" t="str">
        <f t="shared" ca="1" si="17"/>
        <v>LPG bus -- 00%</v>
      </c>
      <c r="V81" s="188" t="s">
        <v>84</v>
      </c>
      <c r="W81" s="188" t="s">
        <v>85</v>
      </c>
    </row>
    <row r="82" spans="2:23">
      <c r="B82" s="177">
        <v>2020</v>
      </c>
      <c r="C82" s="177"/>
      <c r="D82" s="177"/>
      <c r="J82" t="str">
        <f t="shared" si="20"/>
        <v>\I:Trd_bus_lpg</v>
      </c>
      <c r="K82" t="str">
        <f t="shared" si="11"/>
        <v>\I:</v>
      </c>
      <c r="L82" t="str">
        <f t="shared" si="21"/>
        <v>\I:</v>
      </c>
      <c r="M82" s="185" t="str">
        <f t="shared" si="12"/>
        <v/>
      </c>
      <c r="N82" s="185" t="str">
        <f t="shared" si="13"/>
        <v/>
      </c>
      <c r="O82" s="185" t="str">
        <f t="shared" si="14"/>
        <v/>
      </c>
      <c r="P82" s="185" t="str">
        <f t="shared" si="15"/>
        <v/>
      </c>
      <c r="S82" t="s">
        <v>83</v>
      </c>
      <c r="T82" t="str">
        <f t="shared" si="16"/>
        <v>\I:</v>
      </c>
      <c r="U82" t="str">
        <f t="shared" ca="1" si="17"/>
        <v>LPG bus -- 202000%</v>
      </c>
      <c r="V82" s="188" t="s">
        <v>84</v>
      </c>
      <c r="W82" s="188" t="s">
        <v>85</v>
      </c>
    </row>
    <row r="83" spans="2:23">
      <c r="B83" s="31" t="s">
        <v>161</v>
      </c>
      <c r="C83" s="32" t="s">
        <v>26</v>
      </c>
      <c r="D83" s="47">
        <v>1.1499999999999999</v>
      </c>
      <c r="G83" s="50">
        <f>D83/3.6/100*10^9/10^6</f>
        <v>3.1944444444444402</v>
      </c>
      <c r="H83" s="50"/>
      <c r="I83" s="189">
        <f>1/G83-0.1</f>
        <v>0.21304347826087</v>
      </c>
      <c r="J83" t="str">
        <f t="shared" si="20"/>
        <v>\I:Trd_bus_lpg</v>
      </c>
      <c r="K83" t="str">
        <f t="shared" si="11"/>
        <v>\I:</v>
      </c>
      <c r="L83" t="str">
        <f t="shared" si="21"/>
        <v>\I:</v>
      </c>
      <c r="M83" s="185" t="str">
        <f t="shared" si="12"/>
        <v/>
      </c>
      <c r="N83" s="185" t="str">
        <f t="shared" si="13"/>
        <v/>
      </c>
      <c r="O83" s="185" t="str">
        <f t="shared" si="14"/>
        <v/>
      </c>
      <c r="P83" s="185" t="str">
        <f t="shared" si="15"/>
        <v/>
      </c>
      <c r="S83" t="s">
        <v>83</v>
      </c>
      <c r="T83" t="str">
        <f t="shared" si="16"/>
        <v>\I:</v>
      </c>
      <c r="U83" t="str">
        <f t="shared" ca="1" si="17"/>
        <v xml:space="preserve">LPG bus -- Energy consumption of Battery electric bus </v>
      </c>
      <c r="V83" s="188" t="s">
        <v>84</v>
      </c>
      <c r="W83" s="188" t="s">
        <v>85</v>
      </c>
    </row>
    <row r="84" spans="2:23">
      <c r="I84" s="190" t="s">
        <v>70</v>
      </c>
      <c r="J84" t="str">
        <f t="shared" si="20"/>
        <v>\I:Trd_bus_lpg</v>
      </c>
      <c r="K84" t="str">
        <f t="shared" si="11"/>
        <v>\I:</v>
      </c>
      <c r="L84" t="str">
        <f t="shared" si="21"/>
        <v>\I:</v>
      </c>
      <c r="M84" s="185" t="str">
        <f t="shared" si="12"/>
        <v/>
      </c>
      <c r="N84" s="185" t="str">
        <f t="shared" si="13"/>
        <v/>
      </c>
      <c r="O84" s="185" t="str">
        <f t="shared" si="14"/>
        <v/>
      </c>
      <c r="P84" s="185" t="str">
        <f t="shared" si="15"/>
        <v/>
      </c>
      <c r="S84" t="s">
        <v>83</v>
      </c>
      <c r="T84" t="str">
        <f t="shared" si="16"/>
        <v>\I:</v>
      </c>
      <c r="U84" t="str">
        <f t="shared" ca="1" si="17"/>
        <v>LPG bus -- 00%</v>
      </c>
      <c r="V84" s="188" t="s">
        <v>84</v>
      </c>
      <c r="W84" s="188" t="s">
        <v>85</v>
      </c>
    </row>
    <row r="85" spans="2:23" ht="15" customHeight="1">
      <c r="B85" s="179" t="s">
        <v>27</v>
      </c>
      <c r="C85" s="179" t="s">
        <v>154</v>
      </c>
      <c r="D85" s="179"/>
      <c r="E85" s="179"/>
      <c r="F85" s="179"/>
      <c r="J85" t="str">
        <f t="shared" si="20"/>
        <v>Trd_bus_elc</v>
      </c>
      <c r="K85" t="str">
        <f t="shared" si="11"/>
        <v>\I:</v>
      </c>
      <c r="L85" t="str">
        <f t="shared" si="21"/>
        <v>\I:</v>
      </c>
      <c r="M85" s="185" t="str">
        <f t="shared" si="12"/>
        <v/>
      </c>
      <c r="N85" s="185" t="str">
        <f t="shared" si="13"/>
        <v/>
      </c>
      <c r="O85" s="185" t="str">
        <f t="shared" si="14"/>
        <v/>
      </c>
      <c r="P85" s="185" t="str">
        <f t="shared" si="15"/>
        <v/>
      </c>
      <c r="S85" t="s">
        <v>83</v>
      </c>
      <c r="T85" t="str">
        <f t="shared" si="16"/>
        <v>\I:</v>
      </c>
      <c r="U85" t="str">
        <f t="shared" ca="1" si="17"/>
        <v>Battery electric bus -- Electric range (km)</v>
      </c>
      <c r="V85" s="188" t="s">
        <v>84</v>
      </c>
      <c r="W85" s="188" t="s">
        <v>85</v>
      </c>
    </row>
    <row r="86" spans="2:23">
      <c r="B86" s="179"/>
      <c r="C86" s="179"/>
      <c r="D86" s="179"/>
      <c r="E86" s="179"/>
      <c r="F86" s="179"/>
      <c r="J86" t="str">
        <f t="shared" si="20"/>
        <v>Trd_bus_elc</v>
      </c>
      <c r="K86" t="str">
        <f t="shared" si="11"/>
        <v>\I:</v>
      </c>
      <c r="L86" t="str">
        <f t="shared" si="21"/>
        <v>\I:</v>
      </c>
      <c r="M86" s="185" t="str">
        <f t="shared" si="12"/>
        <v/>
      </c>
      <c r="N86" s="185" t="str">
        <f t="shared" si="13"/>
        <v/>
      </c>
      <c r="O86" s="185" t="str">
        <f t="shared" si="14"/>
        <v/>
      </c>
      <c r="P86" s="185" t="str">
        <f t="shared" si="15"/>
        <v/>
      </c>
      <c r="S86" t="s">
        <v>83</v>
      </c>
      <c r="T86" t="str">
        <f t="shared" si="16"/>
        <v>\I:</v>
      </c>
      <c r="U86" t="str">
        <f t="shared" ca="1" si="17"/>
        <v>Battery electric bus -- 00%</v>
      </c>
      <c r="V86" s="188" t="s">
        <v>84</v>
      </c>
      <c r="W86" s="188" t="s">
        <v>85</v>
      </c>
    </row>
    <row r="87" spans="2:23">
      <c r="B87" s="179"/>
      <c r="C87" s="179"/>
      <c r="D87" s="179"/>
      <c r="E87" s="179"/>
      <c r="F87" s="179"/>
      <c r="J87" t="str">
        <f t="shared" si="20"/>
        <v>Trd_bus_elc</v>
      </c>
      <c r="K87" t="str">
        <f t="shared" si="11"/>
        <v>\I:</v>
      </c>
      <c r="L87" t="str">
        <f t="shared" si="21"/>
        <v>\I:</v>
      </c>
      <c r="M87" s="185" t="str">
        <f t="shared" si="12"/>
        <v/>
      </c>
      <c r="N87" s="185" t="str">
        <f t="shared" si="13"/>
        <v/>
      </c>
      <c r="O87" s="185" t="str">
        <f t="shared" si="14"/>
        <v/>
      </c>
      <c r="P87" s="185" t="str">
        <f t="shared" si="15"/>
        <v/>
      </c>
      <c r="S87" t="s">
        <v>83</v>
      </c>
      <c r="T87" t="str">
        <f t="shared" si="16"/>
        <v>\I:</v>
      </c>
      <c r="U87" t="str">
        <f t="shared" ca="1" si="17"/>
        <v>Battery electric bus -- 00%</v>
      </c>
      <c r="V87" s="188" t="s">
        <v>84</v>
      </c>
      <c r="W87" s="188" t="s">
        <v>85</v>
      </c>
    </row>
    <row r="88" spans="2:23">
      <c r="B88" s="35"/>
      <c r="C88" s="36">
        <v>2020</v>
      </c>
      <c r="D88" s="36">
        <v>2030</v>
      </c>
      <c r="E88" s="36">
        <v>2040</v>
      </c>
      <c r="F88" s="36">
        <v>2050</v>
      </c>
      <c r="J88" t="str">
        <f t="shared" si="20"/>
        <v>Trd_bus_elc</v>
      </c>
      <c r="K88" t="str">
        <f t="shared" ref="K88:K151" si="22">IFERROR(IF(VALUE(C88)&gt;2020,J88&amp;"_"&amp;TEXT(B88*100,"00"),"\I:"),"\I:")</f>
        <v>\I:</v>
      </c>
      <c r="L88" t="str">
        <f t="shared" si="21"/>
        <v>\I:</v>
      </c>
      <c r="M88" s="185" t="str">
        <f t="shared" ref="M88:M151" si="23">IF($K88="\I:","",C88)</f>
        <v/>
      </c>
      <c r="N88" s="185" t="str">
        <f t="shared" ref="N88:N151" si="24">IF($K88="\I:","",D88)</f>
        <v/>
      </c>
      <c r="O88" s="185" t="str">
        <f t="shared" ref="O88:O151" si="25">IF($K88="\I:","",E88)</f>
        <v/>
      </c>
      <c r="P88" s="185" t="str">
        <f t="shared" ref="P88:P151" si="26">IF($K88="\I:","",F88)</f>
        <v/>
      </c>
      <c r="S88" t="s">
        <v>83</v>
      </c>
      <c r="T88" t="str">
        <f t="shared" ref="T88:T151" si="27">K88</f>
        <v>\I:</v>
      </c>
      <c r="U88" t="str">
        <f t="shared" ref="U88:U151" ca="1" si="28">OFFSET($S$1,MATCH(J88,$S$1:$S$12,0)-1,-1)&amp;" -- "&amp;TEXT(B88,"00%")</f>
        <v>Battery electric bus -- 00%</v>
      </c>
      <c r="V88" s="188" t="s">
        <v>84</v>
      </c>
      <c r="W88" s="188" t="s">
        <v>85</v>
      </c>
    </row>
    <row r="89" spans="2:23">
      <c r="B89" s="42">
        <v>120</v>
      </c>
      <c r="C89" s="53">
        <v>414282.581831388</v>
      </c>
      <c r="D89" s="53">
        <v>303169.45990353398</v>
      </c>
      <c r="E89" s="53">
        <v>289801.05332681601</v>
      </c>
      <c r="F89" s="53">
        <v>284257.07510636799</v>
      </c>
      <c r="I89" s="191">
        <f>$I$83/$I$7</f>
        <v>2.9561797946217498</v>
      </c>
      <c r="J89" t="str">
        <f t="shared" si="20"/>
        <v>Trd_bus_elc</v>
      </c>
      <c r="K89" t="str">
        <f>IFERROR(IF(VALUE(C89)&gt;2020,J89&amp;"_"&amp;TEXT(B89,"00"),"\I:"),"\I:")</f>
        <v>Trd_bus_elc_120</v>
      </c>
      <c r="L89" t="str">
        <f t="shared" si="21"/>
        <v>Trd_bus</v>
      </c>
      <c r="M89" s="185">
        <f t="shared" si="23"/>
        <v>414282.581831388</v>
      </c>
      <c r="N89" s="185">
        <f t="shared" si="24"/>
        <v>303169.45990353398</v>
      </c>
      <c r="O89" s="185">
        <f t="shared" si="25"/>
        <v>289801.05332681601</v>
      </c>
      <c r="P89" s="185">
        <f t="shared" si="26"/>
        <v>284257.07510636799</v>
      </c>
      <c r="Q89" s="29">
        <v>0.05</v>
      </c>
      <c r="S89" t="s">
        <v>83</v>
      </c>
      <c r="T89" t="str">
        <f t="shared" si="27"/>
        <v>Trd_bus_elc_120</v>
      </c>
      <c r="U89" t="str">
        <f t="shared" ca="1" si="28"/>
        <v>Battery electric bus -- 12000%</v>
      </c>
      <c r="V89" s="188" t="s">
        <v>84</v>
      </c>
      <c r="W89" s="188" t="s">
        <v>85</v>
      </c>
    </row>
    <row r="90" spans="2:23">
      <c r="B90" s="42">
        <v>134.28571428571399</v>
      </c>
      <c r="C90" s="53">
        <v>418677.39136009</v>
      </c>
      <c r="D90" s="53">
        <v>306294.57635211101</v>
      </c>
      <c r="E90" s="53">
        <v>291398.80658861698</v>
      </c>
      <c r="F90" s="53">
        <v>285221.419427949</v>
      </c>
      <c r="I90" s="191">
        <f t="shared" ref="I90:I96" si="29">$I$83/$I$7</f>
        <v>2.9561797946217498</v>
      </c>
      <c r="J90" t="str">
        <f t="shared" si="20"/>
        <v>Trd_bus_elc</v>
      </c>
      <c r="K90" t="str">
        <f t="shared" ref="K90:K96" si="30">IFERROR(IF(VALUE(C90)&gt;2020,J90&amp;"_"&amp;TEXT(B90,"00"),"\I:"),"\I:")</f>
        <v>Trd_bus_elc_134</v>
      </c>
      <c r="L90" t="str">
        <f t="shared" si="21"/>
        <v>Trd_bus</v>
      </c>
      <c r="M90" s="185">
        <f t="shared" si="23"/>
        <v>418677.39136009</v>
      </c>
      <c r="N90" s="185">
        <f t="shared" si="24"/>
        <v>306294.57635211101</v>
      </c>
      <c r="O90" s="185">
        <f t="shared" si="25"/>
        <v>291398.80658861698</v>
      </c>
      <c r="P90" s="185">
        <f t="shared" si="26"/>
        <v>285221.419427949</v>
      </c>
      <c r="Q90" s="29">
        <v>0.05</v>
      </c>
      <c r="S90" t="s">
        <v>83</v>
      </c>
      <c r="T90" t="str">
        <f t="shared" si="27"/>
        <v>Trd_bus_elc_134</v>
      </c>
      <c r="U90" t="str">
        <f t="shared" ca="1" si="28"/>
        <v>Battery electric bus -- 13429%</v>
      </c>
      <c r="V90" s="188" t="s">
        <v>84</v>
      </c>
      <c r="W90" s="188" t="s">
        <v>85</v>
      </c>
    </row>
    <row r="91" spans="2:23">
      <c r="B91" s="42">
        <v>148.57142857142901</v>
      </c>
      <c r="C91" s="53">
        <v>421065.59985261399</v>
      </c>
      <c r="D91" s="53">
        <v>307992.81369183603</v>
      </c>
      <c r="E91" s="53">
        <v>292267.05079439603</v>
      </c>
      <c r="F91" s="53">
        <v>285745.45927165</v>
      </c>
      <c r="I91" s="191">
        <f t="shared" si="29"/>
        <v>2.9561797946217498</v>
      </c>
      <c r="J91" t="str">
        <f t="shared" si="20"/>
        <v>Trd_bus_elc</v>
      </c>
      <c r="K91" t="str">
        <f t="shared" si="30"/>
        <v>Trd_bus_elc_149</v>
      </c>
      <c r="L91" t="str">
        <f t="shared" si="21"/>
        <v>Trd_bus</v>
      </c>
      <c r="M91" s="185">
        <f t="shared" si="23"/>
        <v>421065.59985261399</v>
      </c>
      <c r="N91" s="185">
        <f t="shared" si="24"/>
        <v>307992.81369183603</v>
      </c>
      <c r="O91" s="185">
        <f t="shared" si="25"/>
        <v>292267.05079439603</v>
      </c>
      <c r="P91" s="185">
        <f t="shared" si="26"/>
        <v>285745.45927165</v>
      </c>
      <c r="Q91" s="29">
        <v>0.05</v>
      </c>
      <c r="S91" t="s">
        <v>83</v>
      </c>
      <c r="T91" t="str">
        <f t="shared" si="27"/>
        <v>Trd_bus_elc_149</v>
      </c>
      <c r="U91" t="str">
        <f t="shared" ca="1" si="28"/>
        <v>Battery electric bus -- 14857%</v>
      </c>
      <c r="V91" s="188" t="s">
        <v>84</v>
      </c>
      <c r="W91" s="188" t="s">
        <v>85</v>
      </c>
    </row>
    <row r="92" spans="2:23">
      <c r="B92" s="42">
        <v>162.857142857143</v>
      </c>
      <c r="C92" s="53">
        <v>423484.304232436</v>
      </c>
      <c r="D92" s="53">
        <v>309712.73643075401</v>
      </c>
      <c r="E92" s="53">
        <v>293146.38192056998</v>
      </c>
      <c r="F92" s="53">
        <v>286276.19076730002</v>
      </c>
      <c r="I92" s="191">
        <f t="shared" si="29"/>
        <v>2.9561797946217498</v>
      </c>
      <c r="J92" t="str">
        <f t="shared" si="20"/>
        <v>Trd_bus_elc</v>
      </c>
      <c r="K92" t="str">
        <f t="shared" si="30"/>
        <v>Trd_bus_elc_163</v>
      </c>
      <c r="L92" t="str">
        <f t="shared" si="21"/>
        <v>Trd_bus</v>
      </c>
      <c r="M92" s="185">
        <f t="shared" si="23"/>
        <v>423484.304232436</v>
      </c>
      <c r="N92" s="185">
        <f t="shared" si="24"/>
        <v>309712.73643075401</v>
      </c>
      <c r="O92" s="185">
        <f t="shared" si="25"/>
        <v>293146.38192056998</v>
      </c>
      <c r="P92" s="185">
        <f t="shared" si="26"/>
        <v>286276.19076730002</v>
      </c>
      <c r="Q92" s="29">
        <v>0.05</v>
      </c>
      <c r="S92" t="s">
        <v>83</v>
      </c>
      <c r="T92" t="str">
        <f t="shared" si="27"/>
        <v>Trd_bus_elc_163</v>
      </c>
      <c r="U92" t="str">
        <f t="shared" ca="1" si="28"/>
        <v>Battery electric bus -- 16286%</v>
      </c>
      <c r="V92" s="188" t="s">
        <v>84</v>
      </c>
      <c r="W92" s="188" t="s">
        <v>85</v>
      </c>
    </row>
    <row r="93" spans="2:23">
      <c r="B93" s="42">
        <v>177.142857142857</v>
      </c>
      <c r="C93" s="53">
        <v>426045.337290405</v>
      </c>
      <c r="D93" s="53">
        <v>311533.868036695</v>
      </c>
      <c r="E93" s="53">
        <v>294077.457293741</v>
      </c>
      <c r="F93" s="53">
        <v>286838.15316196199</v>
      </c>
      <c r="I93" s="191">
        <f t="shared" si="29"/>
        <v>2.9561797946217498</v>
      </c>
      <c r="J93" t="str">
        <f t="shared" si="20"/>
        <v>Trd_bus_elc</v>
      </c>
      <c r="K93" t="str">
        <f t="shared" si="30"/>
        <v>Trd_bus_elc_177</v>
      </c>
      <c r="L93" t="str">
        <f t="shared" si="21"/>
        <v>Trd_bus</v>
      </c>
      <c r="M93" s="185">
        <f t="shared" si="23"/>
        <v>426045.337290405</v>
      </c>
      <c r="N93" s="185">
        <f t="shared" si="24"/>
        <v>311533.868036695</v>
      </c>
      <c r="O93" s="185">
        <f t="shared" si="25"/>
        <v>294077.457293741</v>
      </c>
      <c r="P93" s="185">
        <f t="shared" si="26"/>
        <v>286838.15316196199</v>
      </c>
      <c r="Q93" s="29">
        <v>0.15</v>
      </c>
      <c r="S93" t="s">
        <v>83</v>
      </c>
      <c r="T93" t="str">
        <f t="shared" si="27"/>
        <v>Trd_bus_elc_177</v>
      </c>
      <c r="U93" t="str">
        <f t="shared" ca="1" si="28"/>
        <v>Battery electric bus -- 17714%</v>
      </c>
      <c r="V93" s="188" t="s">
        <v>84</v>
      </c>
      <c r="W93" s="188" t="s">
        <v>85</v>
      </c>
    </row>
    <row r="94" spans="2:23">
      <c r="B94" s="42">
        <v>191.42857142857099</v>
      </c>
      <c r="C94" s="53">
        <v>429934.42153758201</v>
      </c>
      <c r="D94" s="53">
        <v>314299.36698980798</v>
      </c>
      <c r="E94" s="53">
        <v>295873.38678020902</v>
      </c>
      <c r="F94" s="53">
        <v>287922.10926685098</v>
      </c>
      <c r="I94" s="191">
        <f t="shared" si="29"/>
        <v>2.9561797946217498</v>
      </c>
      <c r="J94" t="str">
        <f t="shared" si="20"/>
        <v>Trd_bus_elc</v>
      </c>
      <c r="K94" t="str">
        <f t="shared" si="30"/>
        <v>Trd_bus_elc_191</v>
      </c>
      <c r="L94" t="str">
        <f t="shared" si="21"/>
        <v>Trd_bus</v>
      </c>
      <c r="M94" s="185">
        <f t="shared" si="23"/>
        <v>429934.42153758201</v>
      </c>
      <c r="N94" s="185">
        <f t="shared" si="24"/>
        <v>314299.36698980798</v>
      </c>
      <c r="O94" s="185">
        <f t="shared" si="25"/>
        <v>295873.38678020902</v>
      </c>
      <c r="P94" s="185">
        <f t="shared" si="26"/>
        <v>287922.10926685098</v>
      </c>
      <c r="Q94" s="29">
        <v>0.17499999999999999</v>
      </c>
      <c r="S94" t="s">
        <v>83</v>
      </c>
      <c r="T94" t="str">
        <f t="shared" si="27"/>
        <v>Trd_bus_elc_191</v>
      </c>
      <c r="U94" t="str">
        <f t="shared" ca="1" si="28"/>
        <v>Battery electric bus -- 19143%</v>
      </c>
      <c r="V94" s="188" t="s">
        <v>84</v>
      </c>
      <c r="W94" s="188" t="s">
        <v>85</v>
      </c>
    </row>
    <row r="95" spans="2:23">
      <c r="B95" s="42">
        <v>205.71428571428601</v>
      </c>
      <c r="C95" s="53">
        <v>434837.321877915</v>
      </c>
      <c r="D95" s="53">
        <v>317785.78304475598</v>
      </c>
      <c r="E95" s="53">
        <v>297678.67803530599</v>
      </c>
      <c r="F95" s="53">
        <v>289011.71578637703</v>
      </c>
      <c r="I95" s="191">
        <f t="shared" si="29"/>
        <v>2.9561797946217498</v>
      </c>
      <c r="J95" t="str">
        <f t="shared" si="20"/>
        <v>Trd_bus_elc</v>
      </c>
      <c r="K95" t="str">
        <f t="shared" si="30"/>
        <v>Trd_bus_elc_206</v>
      </c>
      <c r="L95" t="str">
        <f t="shared" si="21"/>
        <v>Trd_bus</v>
      </c>
      <c r="M95" s="185">
        <f t="shared" si="23"/>
        <v>434837.321877915</v>
      </c>
      <c r="N95" s="185">
        <f t="shared" si="24"/>
        <v>317785.78304475598</v>
      </c>
      <c r="O95" s="185">
        <f t="shared" si="25"/>
        <v>297678.67803530599</v>
      </c>
      <c r="P95" s="185">
        <f t="shared" si="26"/>
        <v>289011.71578637703</v>
      </c>
      <c r="Q95" s="29">
        <v>0.2</v>
      </c>
      <c r="S95" t="s">
        <v>83</v>
      </c>
      <c r="T95" t="str">
        <f t="shared" si="27"/>
        <v>Trd_bus_elc_206</v>
      </c>
      <c r="U95" t="str">
        <f t="shared" ca="1" si="28"/>
        <v>Battery electric bus -- 20571%</v>
      </c>
      <c r="V95" s="188" t="s">
        <v>84</v>
      </c>
      <c r="W95" s="188" t="s">
        <v>85</v>
      </c>
    </row>
    <row r="96" spans="2:23">
      <c r="B96" s="42">
        <v>220</v>
      </c>
      <c r="C96" s="53">
        <v>439775.62372391101</v>
      </c>
      <c r="D96" s="53">
        <v>321297.37284772098</v>
      </c>
      <c r="E96" s="53">
        <v>299069.16621567099</v>
      </c>
      <c r="F96" s="53">
        <v>289850.96262944001</v>
      </c>
      <c r="I96" s="191">
        <f t="shared" si="29"/>
        <v>2.9561797946217498</v>
      </c>
      <c r="J96" t="str">
        <f t="shared" si="20"/>
        <v>Trd_bus_elc</v>
      </c>
      <c r="K96" t="str">
        <f t="shared" si="30"/>
        <v>Trd_bus_elc_220</v>
      </c>
      <c r="L96" t="str">
        <f t="shared" si="21"/>
        <v>Trd_bus</v>
      </c>
      <c r="M96" s="185">
        <f t="shared" si="23"/>
        <v>439775.62372391101</v>
      </c>
      <c r="N96" s="185">
        <f t="shared" si="24"/>
        <v>321297.37284772098</v>
      </c>
      <c r="O96" s="185">
        <f t="shared" si="25"/>
        <v>299069.16621567099</v>
      </c>
      <c r="P96" s="185">
        <f t="shared" si="26"/>
        <v>289850.96262944001</v>
      </c>
      <c r="S96" t="s">
        <v>83</v>
      </c>
      <c r="T96" t="str">
        <f t="shared" si="27"/>
        <v>Trd_bus_elc_220</v>
      </c>
      <c r="U96" t="str">
        <f t="shared" ca="1" si="28"/>
        <v>Battery electric bus -- 22000%</v>
      </c>
      <c r="V96" s="188" t="s">
        <v>84</v>
      </c>
      <c r="W96" s="188" t="s">
        <v>85</v>
      </c>
    </row>
    <row r="97" spans="2:23">
      <c r="J97" t="str">
        <f t="shared" si="20"/>
        <v>Trd_bus_elc</v>
      </c>
      <c r="K97" t="str">
        <f t="shared" si="22"/>
        <v>\I:</v>
      </c>
      <c r="L97" t="str">
        <f t="shared" si="21"/>
        <v>\I:</v>
      </c>
      <c r="M97" s="185" t="str">
        <f t="shared" si="23"/>
        <v/>
      </c>
      <c r="N97" s="185" t="str">
        <f t="shared" si="24"/>
        <v/>
      </c>
      <c r="O97" s="185" t="str">
        <f t="shared" si="25"/>
        <v/>
      </c>
      <c r="P97" s="185" t="str">
        <f t="shared" si="26"/>
        <v/>
      </c>
      <c r="S97" t="s">
        <v>83</v>
      </c>
      <c r="T97" t="str">
        <f t="shared" si="27"/>
        <v>\I:</v>
      </c>
      <c r="U97" t="str">
        <f t="shared" ca="1" si="28"/>
        <v>Battery electric bus -- 00%</v>
      </c>
      <c r="V97" s="188" t="s">
        <v>84</v>
      </c>
      <c r="W97" s="188" t="s">
        <v>85</v>
      </c>
    </row>
    <row r="98" spans="2:23">
      <c r="J98" t="str">
        <f t="shared" si="20"/>
        <v>Trd_bus_elc</v>
      </c>
      <c r="K98" t="str">
        <f t="shared" si="22"/>
        <v>\I:</v>
      </c>
      <c r="L98" t="str">
        <f t="shared" si="21"/>
        <v>\I:</v>
      </c>
      <c r="M98" s="185" t="str">
        <f t="shared" si="23"/>
        <v/>
      </c>
      <c r="N98" s="185" t="str">
        <f t="shared" si="24"/>
        <v/>
      </c>
      <c r="O98" s="185" t="str">
        <f t="shared" si="25"/>
        <v/>
      </c>
      <c r="P98" s="185" t="str">
        <f t="shared" si="26"/>
        <v/>
      </c>
      <c r="S98" t="s">
        <v>83</v>
      </c>
      <c r="T98" t="str">
        <f t="shared" si="27"/>
        <v>\I:</v>
      </c>
      <c r="U98" t="str">
        <f t="shared" ca="1" si="28"/>
        <v>Battery electric bus -- 00%</v>
      </c>
      <c r="V98" s="188" t="s">
        <v>84</v>
      </c>
      <c r="W98" s="188" t="s">
        <v>85</v>
      </c>
    </row>
    <row r="99" spans="2:23" ht="15.75" customHeight="1">
      <c r="J99" t="str">
        <f t="shared" si="20"/>
        <v>Trd_bus_elc</v>
      </c>
      <c r="K99" t="str">
        <f t="shared" si="22"/>
        <v>\I:</v>
      </c>
      <c r="L99" t="str">
        <f t="shared" si="21"/>
        <v>\I:</v>
      </c>
      <c r="M99" s="185" t="str">
        <f t="shared" si="23"/>
        <v/>
      </c>
      <c r="N99" s="185" t="str">
        <f t="shared" si="24"/>
        <v/>
      </c>
      <c r="O99" s="185" t="str">
        <f t="shared" si="25"/>
        <v/>
      </c>
      <c r="P99" s="185" t="str">
        <f t="shared" si="26"/>
        <v/>
      </c>
      <c r="S99" t="s">
        <v>83</v>
      </c>
      <c r="T99" t="str">
        <f t="shared" si="27"/>
        <v>\I:</v>
      </c>
      <c r="U99" t="str">
        <f t="shared" ca="1" si="28"/>
        <v>Battery electric bus -- 00%</v>
      </c>
      <c r="V99" s="188" t="s">
        <v>84</v>
      </c>
      <c r="W99" s="188" t="s">
        <v>85</v>
      </c>
    </row>
    <row r="100" spans="2:23" ht="20.25" customHeight="1">
      <c r="B100" s="179" t="s">
        <v>29</v>
      </c>
      <c r="C100" s="179" t="s">
        <v>155</v>
      </c>
      <c r="D100" s="179"/>
      <c r="E100" s="179"/>
      <c r="F100" s="179"/>
      <c r="J100" t="str">
        <f t="shared" si="20"/>
        <v>Trd_bus_hh2</v>
      </c>
      <c r="K100" t="str">
        <f t="shared" si="22"/>
        <v>\I:</v>
      </c>
      <c r="L100" t="str">
        <f t="shared" si="21"/>
        <v>\I:</v>
      </c>
      <c r="M100" s="185" t="str">
        <f t="shared" si="23"/>
        <v/>
      </c>
      <c r="N100" s="185" t="str">
        <f t="shared" si="24"/>
        <v/>
      </c>
      <c r="O100" s="185" t="str">
        <f t="shared" si="25"/>
        <v/>
      </c>
      <c r="P100" s="185" t="str">
        <f t="shared" si="26"/>
        <v/>
      </c>
      <c r="S100" t="s">
        <v>83</v>
      </c>
      <c r="T100" t="str">
        <f t="shared" si="27"/>
        <v>\I:</v>
      </c>
      <c r="U100" t="str">
        <f t="shared" ca="1" si="28"/>
        <v>Hydrogen fuel cell bus -- Energy consumption (kg H2/100km)</v>
      </c>
      <c r="V100" s="188" t="s">
        <v>84</v>
      </c>
      <c r="W100" s="188" t="s">
        <v>85</v>
      </c>
    </row>
    <row r="101" spans="2:23" ht="20.25" customHeight="1">
      <c r="B101" s="179"/>
      <c r="C101" s="179"/>
      <c r="D101" s="179"/>
      <c r="E101" s="179"/>
      <c r="F101" s="179"/>
      <c r="J101" t="str">
        <f t="shared" si="20"/>
        <v>Trd_bus_hh2</v>
      </c>
      <c r="K101" t="str">
        <f t="shared" si="22"/>
        <v>\I:</v>
      </c>
      <c r="L101" t="str">
        <f t="shared" si="21"/>
        <v>\I:</v>
      </c>
      <c r="M101" s="185" t="str">
        <f t="shared" si="23"/>
        <v/>
      </c>
      <c r="N101" s="185" t="str">
        <f t="shared" si="24"/>
        <v/>
      </c>
      <c r="O101" s="185" t="str">
        <f t="shared" si="25"/>
        <v/>
      </c>
      <c r="P101" s="185" t="str">
        <f t="shared" si="26"/>
        <v/>
      </c>
      <c r="S101" t="s">
        <v>83</v>
      </c>
      <c r="T101" t="str">
        <f t="shared" si="27"/>
        <v>\I:</v>
      </c>
      <c r="U101" t="str">
        <f t="shared" ca="1" si="28"/>
        <v>Hydrogen fuel cell bus -- 00%</v>
      </c>
      <c r="V101" s="188" t="s">
        <v>84</v>
      </c>
      <c r="W101" s="188" t="s">
        <v>85</v>
      </c>
    </row>
    <row r="102" spans="2:23">
      <c r="B102" s="179"/>
      <c r="C102" s="179"/>
      <c r="D102" s="179"/>
      <c r="E102" s="179"/>
      <c r="F102" s="179"/>
      <c r="J102" t="str">
        <f t="shared" si="20"/>
        <v>Trd_bus_hh2</v>
      </c>
      <c r="K102" t="str">
        <f t="shared" si="22"/>
        <v>\I:</v>
      </c>
      <c r="L102" t="str">
        <f t="shared" si="21"/>
        <v>\I:</v>
      </c>
      <c r="M102" s="185" t="str">
        <f t="shared" si="23"/>
        <v/>
      </c>
      <c r="N102" s="185" t="str">
        <f t="shared" si="24"/>
        <v/>
      </c>
      <c r="O102" s="185" t="str">
        <f t="shared" si="25"/>
        <v/>
      </c>
      <c r="P102" s="185" t="str">
        <f t="shared" si="26"/>
        <v/>
      </c>
      <c r="S102" t="s">
        <v>83</v>
      </c>
      <c r="T102" t="str">
        <f t="shared" si="27"/>
        <v>\I:</v>
      </c>
      <c r="U102" t="str">
        <f t="shared" ca="1" si="28"/>
        <v>Hydrogen fuel cell bus -- 00%</v>
      </c>
      <c r="V102" s="188" t="s">
        <v>84</v>
      </c>
      <c r="W102" s="188" t="s">
        <v>85</v>
      </c>
    </row>
    <row r="103" spans="2:23">
      <c r="B103" s="35"/>
      <c r="C103" s="36">
        <v>2020</v>
      </c>
      <c r="D103" s="36">
        <v>2030</v>
      </c>
      <c r="E103" s="36">
        <v>2040</v>
      </c>
      <c r="F103" s="36">
        <v>2050</v>
      </c>
      <c r="J103" t="str">
        <f t="shared" si="20"/>
        <v>Trd_bus_hh2</v>
      </c>
      <c r="K103" t="str">
        <f t="shared" si="22"/>
        <v>\I:</v>
      </c>
      <c r="L103" t="str">
        <f t="shared" si="21"/>
        <v>\I:</v>
      </c>
      <c r="M103" s="185" t="str">
        <f t="shared" si="23"/>
        <v/>
      </c>
      <c r="N103" s="185" t="str">
        <f t="shared" si="24"/>
        <v/>
      </c>
      <c r="O103" s="185" t="str">
        <f t="shared" si="25"/>
        <v/>
      </c>
      <c r="P103" s="185" t="str">
        <f t="shared" si="26"/>
        <v/>
      </c>
      <c r="S103" t="s">
        <v>83</v>
      </c>
      <c r="T103" t="str">
        <f t="shared" si="27"/>
        <v>\I:</v>
      </c>
      <c r="U103" t="str">
        <f t="shared" ca="1" si="28"/>
        <v>Hydrogen fuel cell bus -- 00%</v>
      </c>
      <c r="V103" s="188" t="s">
        <v>84</v>
      </c>
      <c r="W103" s="188" t="s">
        <v>85</v>
      </c>
    </row>
    <row r="104" spans="2:23">
      <c r="B104" s="43">
        <v>9</v>
      </c>
      <c r="C104" s="53">
        <v>598114.464021425</v>
      </c>
      <c r="D104" s="53">
        <v>388321.426107765</v>
      </c>
      <c r="E104" s="53">
        <v>330842.322103657</v>
      </c>
      <c r="F104" s="53">
        <v>315835.59430407302</v>
      </c>
      <c r="G104" s="50">
        <f>B104*0.12/100*10^9/10^6</f>
        <v>10.8</v>
      </c>
      <c r="H104" s="50"/>
      <c r="I104" s="178">
        <f>1/G104/$I$7</f>
        <v>1.2848098124773299</v>
      </c>
      <c r="J104" t="str">
        <f t="shared" si="20"/>
        <v>Trd_bus_hh2</v>
      </c>
      <c r="K104" t="str">
        <f>IFERROR(IF(VALUE(C104)&gt;2020,J104&amp;"_"&amp;TEXT(B104,"0.0"),"\I:"),"\I:")</f>
        <v>Trd_bus_hh2_9.0</v>
      </c>
      <c r="L104" t="str">
        <f t="shared" si="21"/>
        <v>Trd_bus</v>
      </c>
      <c r="M104" s="185">
        <f t="shared" si="23"/>
        <v>598114.464021425</v>
      </c>
      <c r="N104" s="185">
        <f t="shared" si="24"/>
        <v>388321.426107765</v>
      </c>
      <c r="O104" s="185">
        <f t="shared" si="25"/>
        <v>330842.322103657</v>
      </c>
      <c r="P104" s="185">
        <f t="shared" si="26"/>
        <v>315835.59430407302</v>
      </c>
      <c r="S104" t="s">
        <v>83</v>
      </c>
      <c r="T104" t="str">
        <f t="shared" si="27"/>
        <v>Trd_bus_hh2_9.0</v>
      </c>
      <c r="U104" t="str">
        <f t="shared" ca="1" si="28"/>
        <v>Hydrogen fuel cell bus -- 900%</v>
      </c>
      <c r="V104" s="188" t="s">
        <v>84</v>
      </c>
      <c r="W104" s="188" t="s">
        <v>85</v>
      </c>
    </row>
    <row r="105" spans="2:23">
      <c r="B105" s="43">
        <v>8.7276109735318492</v>
      </c>
      <c r="C105" s="53">
        <v>598869.167854178</v>
      </c>
      <c r="D105" s="53">
        <v>388841.77453981998</v>
      </c>
      <c r="E105" s="53">
        <v>331297.79248693201</v>
      </c>
      <c r="F105" s="53">
        <v>316226.18663856701</v>
      </c>
      <c r="G105" s="50">
        <f t="shared" ref="G105:G111" si="31">B105*0.12/100*10^9/10^6</f>
        <v>10.473133168238199</v>
      </c>
      <c r="H105" s="50"/>
      <c r="I105" s="178">
        <f t="shared" ref="I105:I111" si="32">1/G105/$I$7</f>
        <v>1.3249087691195001</v>
      </c>
      <c r="J105" t="str">
        <f t="shared" si="20"/>
        <v>Trd_bus_hh2</v>
      </c>
      <c r="K105" t="str">
        <f t="shared" ref="K105:K111" si="33">IFERROR(IF(VALUE(C105)&gt;2020,J105&amp;"_"&amp;TEXT(B105,"0.0"),"\I:"),"\I:")</f>
        <v>Trd_bus_hh2_8.7</v>
      </c>
      <c r="L105" t="str">
        <f t="shared" si="21"/>
        <v>Trd_bus</v>
      </c>
      <c r="M105" s="185">
        <f t="shared" si="23"/>
        <v>598869.167854178</v>
      </c>
      <c r="N105" s="185">
        <f t="shared" si="24"/>
        <v>388841.77453981998</v>
      </c>
      <c r="O105" s="185">
        <f t="shared" si="25"/>
        <v>331297.79248693201</v>
      </c>
      <c r="P105" s="185">
        <f t="shared" si="26"/>
        <v>316226.18663856701</v>
      </c>
      <c r="S105" t="s">
        <v>83</v>
      </c>
      <c r="T105" t="str">
        <f t="shared" si="27"/>
        <v>Trd_bus_hh2_8.7</v>
      </c>
      <c r="U105" t="str">
        <f t="shared" ca="1" si="28"/>
        <v>Hydrogen fuel cell bus -- 873%</v>
      </c>
      <c r="V105" s="188" t="s">
        <v>84</v>
      </c>
      <c r="W105" s="188" t="s">
        <v>85</v>
      </c>
    </row>
    <row r="106" spans="2:23">
      <c r="B106" s="43">
        <v>8.4552219470637109</v>
      </c>
      <c r="C106" s="53">
        <v>599623.87168692995</v>
      </c>
      <c r="D106" s="53">
        <v>389362.122971876</v>
      </c>
      <c r="E106" s="53">
        <v>331753.26287020702</v>
      </c>
      <c r="F106" s="53">
        <v>316616.778973062</v>
      </c>
      <c r="G106" s="50">
        <f t="shared" si="31"/>
        <v>10.146266336476501</v>
      </c>
      <c r="H106" s="50"/>
      <c r="I106" s="178">
        <f t="shared" si="32"/>
        <v>1.3675913399661399</v>
      </c>
      <c r="J106" t="str">
        <f t="shared" si="20"/>
        <v>Trd_bus_hh2</v>
      </c>
      <c r="K106" t="str">
        <f t="shared" si="33"/>
        <v>Trd_bus_hh2_8.5</v>
      </c>
      <c r="L106" t="str">
        <f t="shared" si="21"/>
        <v>Trd_bus</v>
      </c>
      <c r="M106" s="185">
        <f t="shared" si="23"/>
        <v>599623.87168692995</v>
      </c>
      <c r="N106" s="185">
        <f t="shared" si="24"/>
        <v>389362.122971876</v>
      </c>
      <c r="O106" s="185">
        <f t="shared" si="25"/>
        <v>331753.26287020702</v>
      </c>
      <c r="P106" s="185">
        <f t="shared" si="26"/>
        <v>316616.778973062</v>
      </c>
      <c r="S106" t="s">
        <v>83</v>
      </c>
      <c r="T106" t="str">
        <f t="shared" si="27"/>
        <v>Trd_bus_hh2_8.5</v>
      </c>
      <c r="U106" t="str">
        <f t="shared" ca="1" si="28"/>
        <v>Hydrogen fuel cell bus -- 846%</v>
      </c>
      <c r="V106" s="188" t="s">
        <v>84</v>
      </c>
      <c r="W106" s="188" t="s">
        <v>85</v>
      </c>
    </row>
    <row r="107" spans="2:23">
      <c r="B107" s="43">
        <v>8.1828329205955601</v>
      </c>
      <c r="C107" s="53">
        <v>600378.57551968296</v>
      </c>
      <c r="D107" s="53">
        <v>389882.47140393202</v>
      </c>
      <c r="E107" s="53">
        <v>332208.73325348302</v>
      </c>
      <c r="F107" s="53">
        <v>317007.37130755698</v>
      </c>
      <c r="G107" s="50">
        <f t="shared" si="31"/>
        <v>9.8193995047146707</v>
      </c>
      <c r="H107" s="50"/>
      <c r="I107" s="178">
        <f t="shared" si="32"/>
        <v>1.41311553400926</v>
      </c>
      <c r="J107" t="str">
        <f t="shared" si="20"/>
        <v>Trd_bus_hh2</v>
      </c>
      <c r="K107" t="str">
        <f t="shared" si="33"/>
        <v>Trd_bus_hh2_8.2</v>
      </c>
      <c r="L107" t="str">
        <f t="shared" si="21"/>
        <v>Trd_bus</v>
      </c>
      <c r="M107" s="185">
        <f t="shared" si="23"/>
        <v>600378.57551968296</v>
      </c>
      <c r="N107" s="185">
        <f t="shared" si="24"/>
        <v>389882.47140393202</v>
      </c>
      <c r="O107" s="185">
        <f t="shared" si="25"/>
        <v>332208.73325348302</v>
      </c>
      <c r="P107" s="185">
        <f t="shared" si="26"/>
        <v>317007.37130755698</v>
      </c>
      <c r="S107" t="s">
        <v>83</v>
      </c>
      <c r="T107" t="str">
        <f t="shared" si="27"/>
        <v>Trd_bus_hh2_8.2</v>
      </c>
      <c r="U107" t="str">
        <f t="shared" ca="1" si="28"/>
        <v>Hydrogen fuel cell bus -- 818%</v>
      </c>
      <c r="V107" s="188" t="s">
        <v>84</v>
      </c>
      <c r="W107" s="188" t="s">
        <v>85</v>
      </c>
    </row>
    <row r="108" spans="2:23">
      <c r="B108" s="43">
        <v>7.91044389412742</v>
      </c>
      <c r="C108" s="53">
        <v>601133.27935243596</v>
      </c>
      <c r="D108" s="53">
        <v>390402.81983598799</v>
      </c>
      <c r="E108" s="53">
        <v>332664.20363675797</v>
      </c>
      <c r="F108" s="53">
        <v>317397.96364205203</v>
      </c>
      <c r="G108" s="50">
        <f t="shared" si="31"/>
        <v>9.4925326729528994</v>
      </c>
      <c r="H108" s="50"/>
      <c r="I108" s="178">
        <f t="shared" si="32"/>
        <v>1.46177489747198</v>
      </c>
      <c r="J108" t="str">
        <f t="shared" si="20"/>
        <v>Trd_bus_hh2</v>
      </c>
      <c r="K108" t="str">
        <f t="shared" si="33"/>
        <v>Trd_bus_hh2_7.9</v>
      </c>
      <c r="L108" t="str">
        <f t="shared" si="21"/>
        <v>Trd_bus</v>
      </c>
      <c r="M108" s="185">
        <f t="shared" si="23"/>
        <v>601133.27935243596</v>
      </c>
      <c r="N108" s="185">
        <f t="shared" si="24"/>
        <v>390402.81983598799</v>
      </c>
      <c r="O108" s="185">
        <f t="shared" si="25"/>
        <v>332664.20363675797</v>
      </c>
      <c r="P108" s="185">
        <f t="shared" si="26"/>
        <v>317397.96364205203</v>
      </c>
      <c r="S108" t="s">
        <v>83</v>
      </c>
      <c r="T108" t="str">
        <f t="shared" si="27"/>
        <v>Trd_bus_hh2_7.9</v>
      </c>
      <c r="U108" t="str">
        <f t="shared" ca="1" si="28"/>
        <v>Hydrogen fuel cell bus -- 791%</v>
      </c>
      <c r="V108" s="188" t="s">
        <v>84</v>
      </c>
      <c r="W108" s="188" t="s">
        <v>85</v>
      </c>
    </row>
    <row r="109" spans="2:23">
      <c r="B109" s="43">
        <v>7.6380548676592701</v>
      </c>
      <c r="C109" s="53">
        <v>601887.98318518803</v>
      </c>
      <c r="D109" s="53">
        <v>390923.16826804302</v>
      </c>
      <c r="E109" s="53">
        <v>333119.67402003298</v>
      </c>
      <c r="F109" s="53">
        <v>317788.55597654602</v>
      </c>
      <c r="G109" s="50">
        <f t="shared" si="31"/>
        <v>9.1656658411911192</v>
      </c>
      <c r="H109" s="50"/>
      <c r="I109" s="178">
        <f t="shared" si="32"/>
        <v>1.51390485046877</v>
      </c>
      <c r="J109" t="str">
        <f t="shared" si="20"/>
        <v>Trd_bus_hh2</v>
      </c>
      <c r="K109" t="str">
        <f t="shared" si="33"/>
        <v>Trd_bus_hh2_7.6</v>
      </c>
      <c r="L109" t="str">
        <f t="shared" si="21"/>
        <v>Trd_bus</v>
      </c>
      <c r="M109" s="185">
        <f t="shared" si="23"/>
        <v>601887.98318518803</v>
      </c>
      <c r="N109" s="185">
        <f t="shared" si="24"/>
        <v>390923.16826804302</v>
      </c>
      <c r="O109" s="185">
        <f t="shared" si="25"/>
        <v>333119.67402003298</v>
      </c>
      <c r="P109" s="185">
        <f t="shared" si="26"/>
        <v>317788.55597654602</v>
      </c>
      <c r="S109" t="s">
        <v>83</v>
      </c>
      <c r="T109" t="str">
        <f t="shared" si="27"/>
        <v>Trd_bus_hh2_7.6</v>
      </c>
      <c r="U109" t="str">
        <f t="shared" ca="1" si="28"/>
        <v>Hydrogen fuel cell bus -- 764%</v>
      </c>
      <c r="V109" s="188" t="s">
        <v>84</v>
      </c>
      <c r="W109" s="188" t="s">
        <v>85</v>
      </c>
    </row>
    <row r="110" spans="2:23">
      <c r="B110" s="43">
        <v>7.3656658411911202</v>
      </c>
      <c r="C110" s="53">
        <v>602642.68701794103</v>
      </c>
      <c r="D110" s="53">
        <v>391443.51670009899</v>
      </c>
      <c r="E110" s="53">
        <v>333575.14440330898</v>
      </c>
      <c r="F110" s="53">
        <v>318179.148311041</v>
      </c>
      <c r="G110" s="50">
        <f t="shared" si="31"/>
        <v>8.8387990094293407</v>
      </c>
      <c r="H110" s="50"/>
      <c r="I110" s="178">
        <f t="shared" si="32"/>
        <v>1.5698904296785201</v>
      </c>
      <c r="J110" t="str">
        <f t="shared" si="20"/>
        <v>Trd_bus_hh2</v>
      </c>
      <c r="K110" t="str">
        <f t="shared" si="33"/>
        <v>Trd_bus_hh2_7.4</v>
      </c>
      <c r="L110" t="str">
        <f t="shared" si="21"/>
        <v>Trd_bus</v>
      </c>
      <c r="M110" s="185">
        <f t="shared" si="23"/>
        <v>602642.68701794103</v>
      </c>
      <c r="N110" s="185">
        <f t="shared" si="24"/>
        <v>391443.51670009899</v>
      </c>
      <c r="O110" s="185">
        <f t="shared" si="25"/>
        <v>333575.14440330898</v>
      </c>
      <c r="P110" s="185">
        <f t="shared" si="26"/>
        <v>318179.148311041</v>
      </c>
      <c r="S110" t="s">
        <v>83</v>
      </c>
      <c r="T110" t="str">
        <f t="shared" si="27"/>
        <v>Trd_bus_hh2_7.4</v>
      </c>
      <c r="U110" t="str">
        <f t="shared" ca="1" si="28"/>
        <v>Hydrogen fuel cell bus -- 737%</v>
      </c>
      <c r="V110" s="188" t="s">
        <v>84</v>
      </c>
      <c r="W110" s="188" t="s">
        <v>85</v>
      </c>
    </row>
    <row r="111" spans="2:23">
      <c r="B111" s="43">
        <v>7.0932768147229801</v>
      </c>
      <c r="C111" s="53">
        <v>603397.39085069299</v>
      </c>
      <c r="D111" s="53">
        <v>391963.86513215501</v>
      </c>
      <c r="E111" s="53">
        <v>334030.61478658399</v>
      </c>
      <c r="F111" s="53">
        <v>318569.74064553599</v>
      </c>
      <c r="G111" s="50">
        <f t="shared" si="31"/>
        <v>8.51193217766758</v>
      </c>
      <c r="H111" s="50"/>
      <c r="I111" s="178">
        <f t="shared" si="32"/>
        <v>1.6301758149766401</v>
      </c>
      <c r="J111" t="str">
        <f t="shared" si="20"/>
        <v>Trd_bus_hh2</v>
      </c>
      <c r="K111" t="str">
        <f t="shared" si="33"/>
        <v>Trd_bus_hh2_7.1</v>
      </c>
      <c r="L111" t="str">
        <f t="shared" si="21"/>
        <v>Trd_bus</v>
      </c>
      <c r="M111" s="185">
        <f t="shared" si="23"/>
        <v>603397.39085069299</v>
      </c>
      <c r="N111" s="185">
        <f t="shared" si="24"/>
        <v>391963.86513215501</v>
      </c>
      <c r="O111" s="185">
        <f t="shared" si="25"/>
        <v>334030.61478658399</v>
      </c>
      <c r="P111" s="185">
        <f t="shared" si="26"/>
        <v>318569.74064553599</v>
      </c>
      <c r="S111" t="s">
        <v>83</v>
      </c>
      <c r="T111" t="str">
        <f t="shared" si="27"/>
        <v>Trd_bus_hh2_7.1</v>
      </c>
      <c r="U111" t="str">
        <f t="shared" ca="1" si="28"/>
        <v>Hydrogen fuel cell bus -- 709%</v>
      </c>
      <c r="V111" s="188" t="s">
        <v>84</v>
      </c>
      <c r="W111" s="188" t="s">
        <v>85</v>
      </c>
    </row>
    <row r="112" spans="2:23">
      <c r="J112" t="str">
        <f t="shared" si="20"/>
        <v>Trd_bus_hh2</v>
      </c>
      <c r="K112" t="str">
        <f t="shared" si="22"/>
        <v>\I:</v>
      </c>
      <c r="L112" t="str">
        <f t="shared" si="21"/>
        <v>\I:</v>
      </c>
      <c r="M112" s="185" t="str">
        <f t="shared" si="23"/>
        <v/>
      </c>
      <c r="N112" s="185" t="str">
        <f t="shared" si="24"/>
        <v/>
      </c>
      <c r="O112" s="185" t="str">
        <f t="shared" si="25"/>
        <v/>
      </c>
      <c r="P112" s="185" t="str">
        <f t="shared" si="26"/>
        <v/>
      </c>
      <c r="S112" t="s">
        <v>83</v>
      </c>
      <c r="T112" t="str">
        <f t="shared" si="27"/>
        <v>\I:</v>
      </c>
      <c r="U112" t="str">
        <f t="shared" ca="1" si="28"/>
        <v>Hydrogen fuel cell bus -- 00%</v>
      </c>
      <c r="V112" s="188" t="s">
        <v>84</v>
      </c>
      <c r="W112" s="188" t="s">
        <v>85</v>
      </c>
    </row>
    <row r="113" spans="2:23">
      <c r="J113" t="str">
        <f t="shared" si="20"/>
        <v>Trd_bus_hh2</v>
      </c>
      <c r="K113" t="str">
        <f t="shared" si="22"/>
        <v>\I:</v>
      </c>
      <c r="L113" t="str">
        <f t="shared" si="21"/>
        <v>\I:</v>
      </c>
      <c r="M113" s="185" t="str">
        <f t="shared" si="23"/>
        <v/>
      </c>
      <c r="N113" s="185" t="str">
        <f t="shared" si="24"/>
        <v/>
      </c>
      <c r="O113" s="185" t="str">
        <f t="shared" si="25"/>
        <v/>
      </c>
      <c r="P113" s="185" t="str">
        <f t="shared" si="26"/>
        <v/>
      </c>
      <c r="S113" t="s">
        <v>83</v>
      </c>
      <c r="T113" t="str">
        <f t="shared" si="27"/>
        <v>\I:</v>
      </c>
      <c r="U113" t="str">
        <f t="shared" ca="1" si="28"/>
        <v>Hydrogen fuel cell bus -- 00%</v>
      </c>
      <c r="V113" s="188" t="s">
        <v>84</v>
      </c>
      <c r="W113" s="188" t="s">
        <v>85</v>
      </c>
    </row>
    <row r="114" spans="2:23" ht="18">
      <c r="B114" s="174" t="s">
        <v>162</v>
      </c>
      <c r="C114" s="175"/>
      <c r="D114" s="175"/>
      <c r="E114" s="175"/>
      <c r="F114" s="176"/>
      <c r="J114" t="str">
        <f t="shared" si="20"/>
        <v>Trd_bus_hh2</v>
      </c>
      <c r="K114" t="str">
        <f t="shared" si="22"/>
        <v>\I:</v>
      </c>
      <c r="L114" t="str">
        <f t="shared" si="21"/>
        <v>\I:</v>
      </c>
      <c r="M114" s="185" t="str">
        <f t="shared" si="23"/>
        <v/>
      </c>
      <c r="N114" s="185" t="str">
        <f t="shared" si="24"/>
        <v/>
      </c>
      <c r="O114" s="185" t="str">
        <f t="shared" si="25"/>
        <v/>
      </c>
      <c r="P114" s="185" t="str">
        <f t="shared" si="26"/>
        <v/>
      </c>
      <c r="S114" t="s">
        <v>83</v>
      </c>
      <c r="T114" t="str">
        <f t="shared" si="27"/>
        <v>\I:</v>
      </c>
      <c r="U114" t="str">
        <f t="shared" ca="1" si="28"/>
        <v>Hydrogen fuel cell bus -- COACHES</v>
      </c>
      <c r="V114" s="188" t="s">
        <v>84</v>
      </c>
      <c r="W114" s="188" t="s">
        <v>85</v>
      </c>
    </row>
    <row r="115" spans="2:23">
      <c r="J115" t="str">
        <f t="shared" si="20"/>
        <v>Trd_bus_hh2</v>
      </c>
      <c r="K115" t="str">
        <f t="shared" si="22"/>
        <v>\I:</v>
      </c>
      <c r="L115" t="str">
        <f t="shared" si="21"/>
        <v>\I:</v>
      </c>
      <c r="M115" s="185" t="str">
        <f t="shared" si="23"/>
        <v/>
      </c>
      <c r="N115" s="185" t="str">
        <f t="shared" si="24"/>
        <v/>
      </c>
      <c r="O115" s="185" t="str">
        <f t="shared" si="25"/>
        <v/>
      </c>
      <c r="P115" s="185" t="str">
        <f t="shared" si="26"/>
        <v/>
      </c>
      <c r="S115" t="s">
        <v>83</v>
      </c>
      <c r="T115" t="str">
        <f t="shared" si="27"/>
        <v>\I:</v>
      </c>
      <c r="U115" t="str">
        <f t="shared" ca="1" si="28"/>
        <v>Hydrogen fuel cell bus -- 00%</v>
      </c>
      <c r="V115" s="188" t="s">
        <v>84</v>
      </c>
      <c r="W115" s="188" t="s">
        <v>85</v>
      </c>
    </row>
    <row r="116" spans="2:23">
      <c r="B116" s="29" t="s">
        <v>163</v>
      </c>
      <c r="J116" t="str">
        <f t="shared" si="20"/>
        <v>Trd_bus_hh2</v>
      </c>
      <c r="K116" t="str">
        <f t="shared" si="22"/>
        <v>\I:</v>
      </c>
      <c r="L116" t="str">
        <f t="shared" si="21"/>
        <v>\I:</v>
      </c>
      <c r="M116" s="185" t="str">
        <f t="shared" si="23"/>
        <v/>
      </c>
      <c r="N116" s="185" t="str">
        <f t="shared" si="24"/>
        <v/>
      </c>
      <c r="O116" s="185" t="str">
        <f t="shared" si="25"/>
        <v/>
      </c>
      <c r="P116" s="185" t="str">
        <f t="shared" si="26"/>
        <v/>
      </c>
      <c r="S116" t="s">
        <v>83</v>
      </c>
      <c r="T116" t="str">
        <f t="shared" si="27"/>
        <v>\I:</v>
      </c>
      <c r="U116" t="str">
        <f t="shared" ca="1" si="28"/>
        <v>Hydrogen fuel cell bus -- Reference values for diesel coach</v>
      </c>
      <c r="V116" s="188" t="s">
        <v>84</v>
      </c>
      <c r="W116" s="188" t="s">
        <v>85</v>
      </c>
    </row>
    <row r="117" spans="2:23">
      <c r="B117" s="177">
        <v>2015</v>
      </c>
      <c r="C117" s="177"/>
      <c r="D117" s="177"/>
      <c r="J117" t="str">
        <f t="shared" si="20"/>
        <v>Trd_bus_hh2</v>
      </c>
      <c r="K117" t="str">
        <f t="shared" si="22"/>
        <v>\I:</v>
      </c>
      <c r="L117" t="str">
        <f t="shared" si="21"/>
        <v>\I:</v>
      </c>
      <c r="M117" s="185" t="str">
        <f t="shared" si="23"/>
        <v/>
      </c>
      <c r="N117" s="185" t="str">
        <f t="shared" si="24"/>
        <v/>
      </c>
      <c r="O117" s="185" t="str">
        <f t="shared" si="25"/>
        <v/>
      </c>
      <c r="P117" s="185" t="str">
        <f t="shared" si="26"/>
        <v/>
      </c>
      <c r="S117" t="s">
        <v>83</v>
      </c>
      <c r="T117" t="str">
        <f t="shared" si="27"/>
        <v>\I:</v>
      </c>
      <c r="U117" t="str">
        <f t="shared" ca="1" si="28"/>
        <v>Hydrogen fuel cell bus -- 201500%</v>
      </c>
      <c r="V117" s="188" t="s">
        <v>84</v>
      </c>
      <c r="W117" s="188" t="s">
        <v>85</v>
      </c>
    </row>
    <row r="118" spans="2:23">
      <c r="B118" s="31" t="s">
        <v>12</v>
      </c>
      <c r="C118" s="32" t="s">
        <v>13</v>
      </c>
      <c r="D118" s="33">
        <v>26.3482912719114</v>
      </c>
      <c r="J118" t="str">
        <f t="shared" si="20"/>
        <v>Trd_bus_hh2</v>
      </c>
      <c r="K118" t="str">
        <f t="shared" si="22"/>
        <v>\I:</v>
      </c>
      <c r="L118" t="str">
        <f t="shared" si="21"/>
        <v>\I:</v>
      </c>
      <c r="M118" s="185" t="str">
        <f t="shared" si="23"/>
        <v/>
      </c>
      <c r="N118" s="185" t="str">
        <f t="shared" si="24"/>
        <v/>
      </c>
      <c r="O118" s="185" t="str">
        <f t="shared" si="25"/>
        <v/>
      </c>
      <c r="P118" s="185" t="str">
        <f t="shared" si="26"/>
        <v/>
      </c>
      <c r="S118" t="s">
        <v>83</v>
      </c>
      <c r="T118" t="str">
        <f t="shared" si="27"/>
        <v>\I:</v>
      </c>
      <c r="U118" t="str">
        <f t="shared" ca="1" si="28"/>
        <v>Hydrogen fuel cell bus -- Energy consumption</v>
      </c>
      <c r="V118" s="188" t="s">
        <v>84</v>
      </c>
      <c r="W118" s="188" t="s">
        <v>85</v>
      </c>
    </row>
    <row r="119" spans="2:23">
      <c r="B119" s="31" t="s">
        <v>14</v>
      </c>
      <c r="C119" s="32" t="s">
        <v>15</v>
      </c>
      <c r="D119" s="44">
        <v>295091.09854471299</v>
      </c>
      <c r="J119" t="str">
        <f t="shared" si="20"/>
        <v>Trd_bus_hh2</v>
      </c>
      <c r="K119" t="str">
        <f t="shared" si="22"/>
        <v>\I:</v>
      </c>
      <c r="L119" t="str">
        <f t="shared" si="21"/>
        <v>\I:</v>
      </c>
      <c r="M119" s="185" t="str">
        <f t="shared" si="23"/>
        <v/>
      </c>
      <c r="N119" s="185" t="str">
        <f t="shared" si="24"/>
        <v/>
      </c>
      <c r="O119" s="185" t="str">
        <f t="shared" si="25"/>
        <v/>
      </c>
      <c r="P119" s="185" t="str">
        <f t="shared" si="26"/>
        <v/>
      </c>
      <c r="S119" t="s">
        <v>83</v>
      </c>
      <c r="T119" t="str">
        <f t="shared" si="27"/>
        <v>\I:</v>
      </c>
      <c r="U119" t="str">
        <f t="shared" ca="1" si="28"/>
        <v>Hydrogen fuel cell bus -- Capital cost</v>
      </c>
      <c r="V119" s="188" t="s">
        <v>84</v>
      </c>
      <c r="W119" s="188" t="s">
        <v>85</v>
      </c>
    </row>
    <row r="120" spans="2:23">
      <c r="J120" t="str">
        <f t="shared" si="20"/>
        <v>Trd_bus_hh2</v>
      </c>
      <c r="K120" t="str">
        <f t="shared" si="22"/>
        <v>\I:</v>
      </c>
      <c r="L120" t="str">
        <f t="shared" si="21"/>
        <v>\I:</v>
      </c>
      <c r="M120" s="185" t="str">
        <f t="shared" si="23"/>
        <v/>
      </c>
      <c r="N120" s="185" t="str">
        <f t="shared" si="24"/>
        <v/>
      </c>
      <c r="O120" s="185" t="str">
        <f t="shared" si="25"/>
        <v/>
      </c>
      <c r="P120" s="185" t="str">
        <f t="shared" si="26"/>
        <v/>
      </c>
      <c r="S120" t="s">
        <v>83</v>
      </c>
      <c r="T120" t="str">
        <f t="shared" si="27"/>
        <v>\I:</v>
      </c>
      <c r="U120" t="str">
        <f t="shared" ca="1" si="28"/>
        <v>Hydrogen fuel cell bus -- 00%</v>
      </c>
      <c r="V120" s="188" t="s">
        <v>84</v>
      </c>
      <c r="W120" s="188" t="s">
        <v>85</v>
      </c>
    </row>
    <row r="121" spans="2:23" ht="15" customHeight="1">
      <c r="B121" s="179" t="s">
        <v>21</v>
      </c>
      <c r="C121" s="179" t="s">
        <v>164</v>
      </c>
      <c r="D121" s="179"/>
      <c r="E121" s="179"/>
      <c r="F121" s="179"/>
      <c r="J121" t="str">
        <f t="shared" si="20"/>
        <v>\I:Trd_bus_</v>
      </c>
      <c r="K121" t="str">
        <f t="shared" si="22"/>
        <v>\I:</v>
      </c>
      <c r="L121" t="str">
        <f t="shared" si="21"/>
        <v>\I:</v>
      </c>
      <c r="M121" s="185" t="str">
        <f t="shared" si="23"/>
        <v/>
      </c>
      <c r="N121" s="185" t="str">
        <f t="shared" si="24"/>
        <v/>
      </c>
      <c r="O121" s="185" t="str">
        <f t="shared" si="25"/>
        <v/>
      </c>
      <c r="P121" s="185" t="str">
        <f t="shared" si="26"/>
        <v/>
      </c>
      <c r="S121" t="s">
        <v>83</v>
      </c>
      <c r="T121" t="str">
        <f t="shared" si="27"/>
        <v>\I:</v>
      </c>
      <c r="U121" t="str">
        <f t="shared" ca="1" si="28"/>
        <v>Hybrid diesel coach -- Reduction of specific energy consumption relative to 2015 diesel vehicle (%)</v>
      </c>
      <c r="V121" s="188" t="s">
        <v>84</v>
      </c>
      <c r="W121" s="188" t="s">
        <v>85</v>
      </c>
    </row>
    <row r="122" spans="2:23">
      <c r="B122" s="179"/>
      <c r="C122" s="179"/>
      <c r="D122" s="179"/>
      <c r="E122" s="179"/>
      <c r="F122" s="179"/>
      <c r="J122" t="str">
        <f t="shared" si="20"/>
        <v>\I:Trd_bus_</v>
      </c>
      <c r="K122" t="str">
        <f t="shared" si="22"/>
        <v>\I:</v>
      </c>
      <c r="L122" t="str">
        <f t="shared" si="21"/>
        <v>\I:</v>
      </c>
      <c r="M122" s="185" t="str">
        <f t="shared" si="23"/>
        <v/>
      </c>
      <c r="N122" s="185" t="str">
        <f t="shared" si="24"/>
        <v/>
      </c>
      <c r="O122" s="185" t="str">
        <f t="shared" si="25"/>
        <v/>
      </c>
      <c r="P122" s="185" t="str">
        <f t="shared" si="26"/>
        <v/>
      </c>
      <c r="S122" t="s">
        <v>83</v>
      </c>
      <c r="T122" t="str">
        <f t="shared" si="27"/>
        <v>\I:</v>
      </c>
      <c r="U122" t="str">
        <f t="shared" ca="1" si="28"/>
        <v>Hybrid diesel coach -- 00%</v>
      </c>
      <c r="V122" s="188" t="s">
        <v>84</v>
      </c>
      <c r="W122" s="188" t="s">
        <v>85</v>
      </c>
    </row>
    <row r="123" spans="2:23">
      <c r="B123" s="179"/>
      <c r="C123" s="179"/>
      <c r="D123" s="179"/>
      <c r="E123" s="179"/>
      <c r="F123" s="179"/>
      <c r="J123" t="str">
        <f t="shared" si="20"/>
        <v>\I:Trd_bus_</v>
      </c>
      <c r="K123" t="str">
        <f t="shared" si="22"/>
        <v>\I:</v>
      </c>
      <c r="L123" t="str">
        <f t="shared" si="21"/>
        <v>\I:</v>
      </c>
      <c r="M123" s="185" t="str">
        <f t="shared" si="23"/>
        <v/>
      </c>
      <c r="N123" s="185" t="str">
        <f t="shared" si="24"/>
        <v/>
      </c>
      <c r="O123" s="185" t="str">
        <f t="shared" si="25"/>
        <v/>
      </c>
      <c r="P123" s="185" t="str">
        <f t="shared" si="26"/>
        <v/>
      </c>
      <c r="S123" t="s">
        <v>83</v>
      </c>
      <c r="T123" t="str">
        <f t="shared" si="27"/>
        <v>\I:</v>
      </c>
      <c r="U123" t="str">
        <f t="shared" ca="1" si="28"/>
        <v>Hybrid diesel coach -- 00%</v>
      </c>
      <c r="V123" s="188" t="s">
        <v>84</v>
      </c>
      <c r="W123" s="188" t="s">
        <v>85</v>
      </c>
    </row>
    <row r="124" spans="2:23">
      <c r="B124" s="35"/>
      <c r="C124" s="36">
        <v>2020</v>
      </c>
      <c r="D124" s="36">
        <v>2030</v>
      </c>
      <c r="E124" s="36">
        <v>2040</v>
      </c>
      <c r="F124" s="36">
        <v>2050</v>
      </c>
      <c r="J124" t="str">
        <f t="shared" si="20"/>
        <v>\I:Trd_bus_</v>
      </c>
      <c r="K124" t="str">
        <f t="shared" si="22"/>
        <v>\I:</v>
      </c>
      <c r="L124" t="str">
        <f t="shared" si="21"/>
        <v>\I:</v>
      </c>
      <c r="M124" s="185" t="str">
        <f t="shared" si="23"/>
        <v/>
      </c>
      <c r="N124" s="185" t="str">
        <f t="shared" si="24"/>
        <v/>
      </c>
      <c r="O124" s="185" t="str">
        <f t="shared" si="25"/>
        <v/>
      </c>
      <c r="P124" s="185" t="str">
        <f t="shared" si="26"/>
        <v/>
      </c>
      <c r="S124" t="s">
        <v>83</v>
      </c>
      <c r="T124" t="str">
        <f t="shared" si="27"/>
        <v>\I:</v>
      </c>
      <c r="U124" t="str">
        <f t="shared" ca="1" si="28"/>
        <v>Hybrid diesel coach -- 00%</v>
      </c>
      <c r="V124" s="188" t="s">
        <v>84</v>
      </c>
      <c r="W124" s="188" t="s">
        <v>85</v>
      </c>
    </row>
    <row r="125" spans="2:23">
      <c r="B125" s="37">
        <v>6.0938086894400799E-2</v>
      </c>
      <c r="C125" s="53">
        <v>295911.46357369598</v>
      </c>
      <c r="D125" s="53">
        <v>295911.46357369598</v>
      </c>
      <c r="E125" s="53">
        <v>295911.46357369598</v>
      </c>
      <c r="F125" s="53">
        <v>295911.46357369598</v>
      </c>
      <c r="J125" t="str">
        <f t="shared" si="20"/>
        <v>\I:Trd_bus_</v>
      </c>
      <c r="K125" t="str">
        <f t="shared" si="22"/>
        <v>\I:Trd_bus__06</v>
      </c>
      <c r="L125" t="str">
        <f t="shared" si="21"/>
        <v>\I:Trd_</v>
      </c>
      <c r="M125" s="185">
        <f t="shared" si="23"/>
        <v>295911.46357369598</v>
      </c>
      <c r="N125" s="185">
        <f t="shared" si="24"/>
        <v>295911.46357369598</v>
      </c>
      <c r="O125" s="185">
        <f t="shared" si="25"/>
        <v>295911.46357369598</v>
      </c>
      <c r="P125" s="185">
        <f t="shared" si="26"/>
        <v>295911.46357369598</v>
      </c>
      <c r="S125" t="s">
        <v>83</v>
      </c>
      <c r="T125" t="str">
        <f t="shared" si="27"/>
        <v>\I:Trd_bus__06</v>
      </c>
      <c r="U125" t="str">
        <f t="shared" ca="1" si="28"/>
        <v>Hybrid diesel coach -- 06%</v>
      </c>
      <c r="V125" s="188" t="s">
        <v>84</v>
      </c>
      <c r="W125" s="188" t="s">
        <v>85</v>
      </c>
    </row>
    <row r="126" spans="2:23">
      <c r="B126" s="37">
        <v>0.110938086894401</v>
      </c>
      <c r="C126" s="53">
        <v>297415.75325764099</v>
      </c>
      <c r="D126" s="53">
        <v>296918.61173719499</v>
      </c>
      <c r="E126" s="53">
        <v>296918.61173719499</v>
      </c>
      <c r="F126" s="53">
        <v>296918.61173719499</v>
      </c>
      <c r="J126" t="str">
        <f t="shared" si="20"/>
        <v>\I:Trd_bus_</v>
      </c>
      <c r="K126" t="str">
        <f t="shared" si="22"/>
        <v>\I:Trd_bus__11</v>
      </c>
      <c r="L126" t="str">
        <f t="shared" si="21"/>
        <v>\I:Trd_</v>
      </c>
      <c r="M126" s="185">
        <f t="shared" si="23"/>
        <v>297415.75325764099</v>
      </c>
      <c r="N126" s="185">
        <f t="shared" si="24"/>
        <v>296918.61173719499</v>
      </c>
      <c r="O126" s="185">
        <f t="shared" si="25"/>
        <v>296918.61173719499</v>
      </c>
      <c r="P126" s="185">
        <f t="shared" si="26"/>
        <v>296918.61173719499</v>
      </c>
      <c r="S126" t="s">
        <v>83</v>
      </c>
      <c r="T126" t="str">
        <f t="shared" si="27"/>
        <v>\I:Trd_bus__11</v>
      </c>
      <c r="U126" t="str">
        <f t="shared" ca="1" si="28"/>
        <v>Hybrid diesel coach -- 11%</v>
      </c>
      <c r="V126" s="188" t="s">
        <v>84</v>
      </c>
      <c r="W126" s="188" t="s">
        <v>85</v>
      </c>
    </row>
    <row r="127" spans="2:23">
      <c r="B127" s="37">
        <v>0.16093808689440101</v>
      </c>
      <c r="C127" s="53">
        <v>298843.04099247599</v>
      </c>
      <c r="D127" s="53">
        <v>298432.83656414802</v>
      </c>
      <c r="E127" s="53">
        <v>298432.83656414802</v>
      </c>
      <c r="F127" s="53">
        <v>298432.83656414802</v>
      </c>
      <c r="J127" t="str">
        <f t="shared" si="20"/>
        <v>\I:Trd_bus_</v>
      </c>
      <c r="K127" t="str">
        <f t="shared" si="22"/>
        <v>\I:Trd_bus__16</v>
      </c>
      <c r="L127" t="str">
        <f t="shared" si="21"/>
        <v>\I:Trd_</v>
      </c>
      <c r="M127" s="185">
        <f t="shared" si="23"/>
        <v>298843.04099247599</v>
      </c>
      <c r="N127" s="185">
        <f t="shared" si="24"/>
        <v>298432.83656414802</v>
      </c>
      <c r="O127" s="185">
        <f t="shared" si="25"/>
        <v>298432.83656414802</v>
      </c>
      <c r="P127" s="185">
        <f t="shared" si="26"/>
        <v>298432.83656414802</v>
      </c>
      <c r="S127" t="s">
        <v>83</v>
      </c>
      <c r="T127" t="str">
        <f t="shared" si="27"/>
        <v>\I:Trd_bus__16</v>
      </c>
      <c r="U127" t="str">
        <f t="shared" ca="1" si="28"/>
        <v>Hybrid diesel coach -- 16%</v>
      </c>
      <c r="V127" s="188" t="s">
        <v>84</v>
      </c>
      <c r="W127" s="188" t="s">
        <v>85</v>
      </c>
    </row>
    <row r="128" spans="2:23">
      <c r="B128" s="37">
        <v>0.21093808689440099</v>
      </c>
      <c r="C128" s="53">
        <v>303920.75729140599</v>
      </c>
      <c r="D128" s="53">
        <v>300709.43985814299</v>
      </c>
      <c r="E128" s="53">
        <v>300709.43985814299</v>
      </c>
      <c r="F128" s="53">
        <v>300709.43985814299</v>
      </c>
      <c r="J128" t="str">
        <f t="shared" si="20"/>
        <v>\I:Trd_bus_</v>
      </c>
      <c r="K128" t="str">
        <f t="shared" si="22"/>
        <v>\I:Trd_bus__21</v>
      </c>
      <c r="L128" t="str">
        <f t="shared" si="21"/>
        <v>\I:Trd_</v>
      </c>
      <c r="M128" s="185">
        <f t="shared" si="23"/>
        <v>303920.75729140599</v>
      </c>
      <c r="N128" s="185">
        <f t="shared" si="24"/>
        <v>300709.43985814299</v>
      </c>
      <c r="O128" s="185">
        <f t="shared" si="25"/>
        <v>300709.43985814299</v>
      </c>
      <c r="P128" s="185">
        <f t="shared" si="26"/>
        <v>300709.43985814299</v>
      </c>
      <c r="S128" t="s">
        <v>83</v>
      </c>
      <c r="T128" t="str">
        <f t="shared" si="27"/>
        <v>\I:Trd_bus__21</v>
      </c>
      <c r="U128" t="str">
        <f t="shared" ca="1" si="28"/>
        <v>Hybrid diesel coach -- 21%</v>
      </c>
      <c r="V128" s="188" t="s">
        <v>84</v>
      </c>
      <c r="W128" s="188" t="s">
        <v>85</v>
      </c>
    </row>
    <row r="129" spans="2:23">
      <c r="B129" s="37">
        <v>0.26093808689440101</v>
      </c>
      <c r="C129" s="53">
        <v>309741.76547743502</v>
      </c>
      <c r="D129" s="53">
        <v>304132.26219335402</v>
      </c>
      <c r="E129" s="53">
        <v>304132.26219335402</v>
      </c>
      <c r="F129" s="53">
        <v>304132.26219335402</v>
      </c>
      <c r="J129" t="str">
        <f t="shared" si="20"/>
        <v>\I:Trd_bus_</v>
      </c>
      <c r="K129" t="str">
        <f t="shared" si="22"/>
        <v>\I:Trd_bus__26</v>
      </c>
      <c r="L129" t="str">
        <f t="shared" si="21"/>
        <v>\I:Trd_</v>
      </c>
      <c r="M129" s="185">
        <f t="shared" si="23"/>
        <v>309741.76547743502</v>
      </c>
      <c r="N129" s="185">
        <f t="shared" si="24"/>
        <v>304132.26219335402</v>
      </c>
      <c r="O129" s="185">
        <f t="shared" si="25"/>
        <v>304132.26219335402</v>
      </c>
      <c r="P129" s="185">
        <f t="shared" si="26"/>
        <v>304132.26219335402</v>
      </c>
      <c r="S129" t="s">
        <v>83</v>
      </c>
      <c r="T129" t="str">
        <f t="shared" si="27"/>
        <v>\I:Trd_bus__26</v>
      </c>
      <c r="U129" t="str">
        <f t="shared" ca="1" si="28"/>
        <v>Hybrid diesel coach -- 26%</v>
      </c>
      <c r="V129" s="188" t="s">
        <v>84</v>
      </c>
      <c r="W129" s="188" t="s">
        <v>85</v>
      </c>
    </row>
    <row r="130" spans="2:23">
      <c r="B130" s="37">
        <v>0.28093808689440097</v>
      </c>
      <c r="C130" s="53">
        <v>335473.60524398403</v>
      </c>
      <c r="D130" s="53">
        <v>309404.86846626602</v>
      </c>
      <c r="E130" s="53">
        <v>309278.39932199701</v>
      </c>
      <c r="F130" s="53">
        <v>309278.39932199701</v>
      </c>
      <c r="J130" t="str">
        <f t="shared" si="20"/>
        <v>\I:Trd_bus_</v>
      </c>
      <c r="K130" t="str">
        <f t="shared" si="22"/>
        <v>\I:Trd_bus__28</v>
      </c>
      <c r="L130" t="str">
        <f t="shared" si="21"/>
        <v>\I:Trd_</v>
      </c>
      <c r="M130" s="185">
        <f t="shared" si="23"/>
        <v>335473.60524398403</v>
      </c>
      <c r="N130" s="185">
        <f t="shared" si="24"/>
        <v>309404.86846626602</v>
      </c>
      <c r="O130" s="185">
        <f t="shared" si="25"/>
        <v>309278.39932199701</v>
      </c>
      <c r="P130" s="185">
        <f t="shared" si="26"/>
        <v>309278.39932199701</v>
      </c>
      <c r="S130" t="s">
        <v>83</v>
      </c>
      <c r="T130" t="str">
        <f t="shared" si="27"/>
        <v>\I:Trd_bus__28</v>
      </c>
      <c r="U130" t="str">
        <f t="shared" ca="1" si="28"/>
        <v>Hybrid diesel coach -- 28%</v>
      </c>
      <c r="V130" s="188" t="s">
        <v>84</v>
      </c>
      <c r="W130" s="188" t="s">
        <v>85</v>
      </c>
    </row>
    <row r="131" spans="2:23">
      <c r="B131" s="37">
        <v>0.310938086894401</v>
      </c>
      <c r="C131" s="53">
        <v>420562.333159275</v>
      </c>
      <c r="D131" s="53">
        <v>325515.14335664001</v>
      </c>
      <c r="E131" s="53">
        <v>317015.50185120798</v>
      </c>
      <c r="F131" s="53">
        <v>317015.50185120798</v>
      </c>
      <c r="J131" t="str">
        <f t="shared" si="20"/>
        <v>\I:Trd_bus_</v>
      </c>
      <c r="K131" t="str">
        <f t="shared" si="22"/>
        <v>\I:Trd_bus__31</v>
      </c>
      <c r="L131" t="str">
        <f t="shared" si="21"/>
        <v>\I:Trd_</v>
      </c>
      <c r="M131" s="185">
        <f t="shared" si="23"/>
        <v>420562.333159275</v>
      </c>
      <c r="N131" s="185">
        <f t="shared" si="24"/>
        <v>325515.14335664001</v>
      </c>
      <c r="O131" s="185">
        <f t="shared" si="25"/>
        <v>317015.50185120798</v>
      </c>
      <c r="P131" s="185">
        <f t="shared" si="26"/>
        <v>317015.50185120798</v>
      </c>
      <c r="S131" t="s">
        <v>83</v>
      </c>
      <c r="T131" t="str">
        <f t="shared" si="27"/>
        <v>\I:Trd_bus__31</v>
      </c>
      <c r="U131" t="str">
        <f t="shared" ca="1" si="28"/>
        <v>Hybrid diesel coach -- 31%</v>
      </c>
      <c r="V131" s="188" t="s">
        <v>84</v>
      </c>
      <c r="W131" s="188" t="s">
        <v>85</v>
      </c>
    </row>
    <row r="132" spans="2:23">
      <c r="J132" t="str">
        <f t="shared" si="20"/>
        <v>\I:Trd_bus_</v>
      </c>
      <c r="K132" t="str">
        <f t="shared" si="22"/>
        <v>\I:</v>
      </c>
      <c r="L132" t="str">
        <f t="shared" si="21"/>
        <v>\I:</v>
      </c>
      <c r="M132" s="185" t="str">
        <f t="shared" si="23"/>
        <v/>
      </c>
      <c r="N132" s="185" t="str">
        <f t="shared" si="24"/>
        <v/>
      </c>
      <c r="O132" s="185" t="str">
        <f t="shared" si="25"/>
        <v/>
      </c>
      <c r="P132" s="185" t="str">
        <f t="shared" si="26"/>
        <v/>
      </c>
      <c r="S132" t="s">
        <v>83</v>
      </c>
      <c r="T132" t="str">
        <f t="shared" si="27"/>
        <v>\I:</v>
      </c>
      <c r="U132" t="str">
        <f t="shared" ca="1" si="28"/>
        <v>Hybrid diesel coach -- 00%</v>
      </c>
      <c r="V132" s="188" t="s">
        <v>84</v>
      </c>
      <c r="W132" s="188" t="s">
        <v>85</v>
      </c>
    </row>
    <row r="133" spans="2:23">
      <c r="J133" t="str">
        <f t="shared" si="20"/>
        <v>\I:Trd_bus_</v>
      </c>
      <c r="K133" t="str">
        <f t="shared" si="22"/>
        <v>\I:</v>
      </c>
      <c r="L133" t="str">
        <f t="shared" si="21"/>
        <v>\I:</v>
      </c>
      <c r="M133" s="185" t="str">
        <f t="shared" si="23"/>
        <v/>
      </c>
      <c r="N133" s="185" t="str">
        <f t="shared" si="24"/>
        <v/>
      </c>
      <c r="O133" s="185" t="str">
        <f t="shared" si="25"/>
        <v/>
      </c>
      <c r="P133" s="185" t="str">
        <f t="shared" si="26"/>
        <v/>
      </c>
      <c r="S133" t="s">
        <v>83</v>
      </c>
      <c r="T133" t="str">
        <f t="shared" si="27"/>
        <v>\I:</v>
      </c>
      <c r="U133" t="str">
        <f t="shared" ca="1" si="28"/>
        <v>Hybrid diesel coach -- 00%</v>
      </c>
      <c r="V133" s="188" t="s">
        <v>84</v>
      </c>
      <c r="W133" s="188" t="s">
        <v>85</v>
      </c>
    </row>
    <row r="134" spans="2:23">
      <c r="J134" t="str">
        <f t="shared" si="20"/>
        <v>\I:Trd_bus_</v>
      </c>
      <c r="K134" t="str">
        <f t="shared" si="22"/>
        <v>\I:</v>
      </c>
      <c r="L134" t="str">
        <f t="shared" si="21"/>
        <v>\I:</v>
      </c>
      <c r="M134" s="185" t="str">
        <f t="shared" si="23"/>
        <v/>
      </c>
      <c r="N134" s="185" t="str">
        <f t="shared" si="24"/>
        <v/>
      </c>
      <c r="O134" s="185" t="str">
        <f t="shared" si="25"/>
        <v/>
      </c>
      <c r="P134" s="185" t="str">
        <f t="shared" si="26"/>
        <v/>
      </c>
      <c r="S134" t="s">
        <v>83</v>
      </c>
      <c r="T134" t="str">
        <f t="shared" si="27"/>
        <v>\I:</v>
      </c>
      <c r="U134" t="str">
        <f t="shared" ca="1" si="28"/>
        <v>Hybrid diesel coach -- 00%</v>
      </c>
      <c r="V134" s="188" t="s">
        <v>84</v>
      </c>
      <c r="W134" s="188" t="s">
        <v>85</v>
      </c>
    </row>
    <row r="135" spans="2:23" ht="15" customHeight="1">
      <c r="B135" s="179" t="s">
        <v>21</v>
      </c>
      <c r="C135" s="179" t="s">
        <v>156</v>
      </c>
      <c r="D135" s="179"/>
      <c r="E135" s="179"/>
      <c r="F135" s="179"/>
      <c r="J135" t="str">
        <f t="shared" si="20"/>
        <v>\I:Trd_bus_</v>
      </c>
      <c r="K135" t="str">
        <f t="shared" si="22"/>
        <v>\I:</v>
      </c>
      <c r="L135" t="str">
        <f t="shared" si="21"/>
        <v>\I:</v>
      </c>
      <c r="M135" s="185" t="str">
        <f t="shared" si="23"/>
        <v/>
      </c>
      <c r="N135" s="185" t="str">
        <f t="shared" si="24"/>
        <v/>
      </c>
      <c r="O135" s="185" t="str">
        <f t="shared" si="25"/>
        <v/>
      </c>
      <c r="P135" s="185" t="str">
        <f t="shared" si="26"/>
        <v/>
      </c>
      <c r="S135" t="s">
        <v>83</v>
      </c>
      <c r="T135" t="str">
        <f t="shared" si="27"/>
        <v>\I:</v>
      </c>
      <c r="U135" t="str">
        <f t="shared" ca="1" si="28"/>
        <v>Hybrid diesel coach -- Reduction of specific energy consumption relative to 2015 diesel vehicle (%)</v>
      </c>
      <c r="V135" s="188" t="s">
        <v>84</v>
      </c>
      <c r="W135" s="188" t="s">
        <v>85</v>
      </c>
    </row>
    <row r="136" spans="2:23">
      <c r="B136" s="179"/>
      <c r="C136" s="179"/>
      <c r="D136" s="179"/>
      <c r="E136" s="179"/>
      <c r="F136" s="179"/>
      <c r="J136" t="str">
        <f t="shared" si="20"/>
        <v>\I:Trd_bus_</v>
      </c>
      <c r="K136" t="str">
        <f t="shared" si="22"/>
        <v>\I:</v>
      </c>
      <c r="L136" t="str">
        <f t="shared" si="21"/>
        <v>\I:</v>
      </c>
      <c r="M136" s="185" t="str">
        <f t="shared" si="23"/>
        <v/>
      </c>
      <c r="N136" s="185" t="str">
        <f t="shared" si="24"/>
        <v/>
      </c>
      <c r="O136" s="185" t="str">
        <f t="shared" si="25"/>
        <v/>
      </c>
      <c r="P136" s="185" t="str">
        <f t="shared" si="26"/>
        <v/>
      </c>
      <c r="S136" t="s">
        <v>83</v>
      </c>
      <c r="T136" t="str">
        <f t="shared" si="27"/>
        <v>\I:</v>
      </c>
      <c r="U136" t="str">
        <f t="shared" ca="1" si="28"/>
        <v>Hybrid diesel coach -- 00%</v>
      </c>
      <c r="V136" s="188" t="s">
        <v>84</v>
      </c>
      <c r="W136" s="188" t="s">
        <v>85</v>
      </c>
    </row>
    <row r="137" spans="2:23">
      <c r="B137" s="179"/>
      <c r="C137" s="179"/>
      <c r="D137" s="179"/>
      <c r="E137" s="179"/>
      <c r="F137" s="179"/>
      <c r="J137" t="str">
        <f t="shared" si="20"/>
        <v>\I:Trd_bus_</v>
      </c>
      <c r="K137" t="str">
        <f t="shared" si="22"/>
        <v>\I:</v>
      </c>
      <c r="L137" t="str">
        <f t="shared" si="21"/>
        <v>\I:</v>
      </c>
      <c r="M137" s="185" t="str">
        <f t="shared" si="23"/>
        <v/>
      </c>
      <c r="N137" s="185" t="str">
        <f t="shared" si="24"/>
        <v/>
      </c>
      <c r="O137" s="185" t="str">
        <f t="shared" si="25"/>
        <v/>
      </c>
      <c r="P137" s="185" t="str">
        <f t="shared" si="26"/>
        <v/>
      </c>
      <c r="S137" t="s">
        <v>83</v>
      </c>
      <c r="T137" t="str">
        <f t="shared" si="27"/>
        <v>\I:</v>
      </c>
      <c r="U137" t="str">
        <f t="shared" ca="1" si="28"/>
        <v>Hybrid diesel coach -- 00%</v>
      </c>
      <c r="V137" s="188" t="s">
        <v>84</v>
      </c>
      <c r="W137" s="188" t="s">
        <v>85</v>
      </c>
    </row>
    <row r="138" spans="2:23">
      <c r="B138" s="35"/>
      <c r="C138" s="36">
        <v>2020</v>
      </c>
      <c r="D138" s="36">
        <v>2030</v>
      </c>
      <c r="E138" s="36">
        <v>2040</v>
      </c>
      <c r="F138" s="36">
        <v>2050</v>
      </c>
      <c r="J138" t="str">
        <f t="shared" si="20"/>
        <v>\I:Trd_bus_</v>
      </c>
      <c r="K138" t="str">
        <f t="shared" si="22"/>
        <v>\I:</v>
      </c>
      <c r="L138" t="str">
        <f t="shared" si="21"/>
        <v>\I:</v>
      </c>
      <c r="M138" s="185" t="str">
        <f t="shared" si="23"/>
        <v/>
      </c>
      <c r="N138" s="185" t="str">
        <f t="shared" si="24"/>
        <v/>
      </c>
      <c r="O138" s="185" t="str">
        <f t="shared" si="25"/>
        <v/>
      </c>
      <c r="P138" s="185" t="str">
        <f t="shared" si="26"/>
        <v/>
      </c>
      <c r="S138" t="s">
        <v>83</v>
      </c>
      <c r="T138" t="str">
        <f t="shared" si="27"/>
        <v>\I:</v>
      </c>
      <c r="U138" t="str">
        <f t="shared" ca="1" si="28"/>
        <v>Hybrid diesel coach -- 00%</v>
      </c>
      <c r="V138" s="188" t="s">
        <v>84</v>
      </c>
      <c r="W138" s="188" t="s">
        <v>85</v>
      </c>
    </row>
    <row r="139" spans="2:23">
      <c r="B139" s="37">
        <v>0.16400000000000001</v>
      </c>
      <c r="C139" s="53">
        <v>321832.916726531</v>
      </c>
      <c r="D139" s="53">
        <v>321832.916726531</v>
      </c>
      <c r="E139" s="53">
        <v>321832.916726531</v>
      </c>
      <c r="F139" s="53">
        <v>321832.916726531</v>
      </c>
      <c r="J139" t="str">
        <f t="shared" si="20"/>
        <v>\I:Trd_bus_</v>
      </c>
      <c r="K139" t="str">
        <f t="shared" si="22"/>
        <v>\I:Trd_bus__16</v>
      </c>
      <c r="L139" t="str">
        <f t="shared" si="21"/>
        <v>\I:Trd_</v>
      </c>
      <c r="M139" s="185">
        <f t="shared" si="23"/>
        <v>321832.916726531</v>
      </c>
      <c r="N139" s="185">
        <f t="shared" si="24"/>
        <v>321832.916726531</v>
      </c>
      <c r="O139" s="185">
        <f t="shared" si="25"/>
        <v>321832.916726531</v>
      </c>
      <c r="P139" s="185">
        <f t="shared" si="26"/>
        <v>321832.916726531</v>
      </c>
      <c r="S139" t="s">
        <v>83</v>
      </c>
      <c r="T139" t="str">
        <f t="shared" si="27"/>
        <v>\I:Trd_bus__16</v>
      </c>
      <c r="U139" t="str">
        <f t="shared" ca="1" si="28"/>
        <v>Hybrid diesel coach -- 16%</v>
      </c>
      <c r="V139" s="188" t="s">
        <v>84</v>
      </c>
      <c r="W139" s="188" t="s">
        <v>85</v>
      </c>
    </row>
    <row r="140" spans="2:23">
      <c r="B140" s="37">
        <v>0.20799999999999999</v>
      </c>
      <c r="C140" s="53">
        <v>322833.10811409098</v>
      </c>
      <c r="D140" s="53">
        <v>322833.10811409098</v>
      </c>
      <c r="E140" s="53">
        <v>322833.10811409098</v>
      </c>
      <c r="F140" s="53">
        <v>322833.10811409098</v>
      </c>
      <c r="J140" t="str">
        <f t="shared" si="20"/>
        <v>\I:Trd_bus_</v>
      </c>
      <c r="K140" t="str">
        <f t="shared" si="22"/>
        <v>\I:Trd_bus__21</v>
      </c>
      <c r="L140" t="str">
        <f t="shared" si="21"/>
        <v>\I:Trd_</v>
      </c>
      <c r="M140" s="185">
        <f t="shared" si="23"/>
        <v>322833.10811409098</v>
      </c>
      <c r="N140" s="185">
        <f t="shared" si="24"/>
        <v>322833.10811409098</v>
      </c>
      <c r="O140" s="185">
        <f t="shared" si="25"/>
        <v>322833.10811409098</v>
      </c>
      <c r="P140" s="185">
        <f t="shared" si="26"/>
        <v>322833.10811409098</v>
      </c>
      <c r="S140" t="s">
        <v>83</v>
      </c>
      <c r="T140" t="str">
        <f t="shared" si="27"/>
        <v>\I:Trd_bus__21</v>
      </c>
      <c r="U140" t="str">
        <f t="shared" ca="1" si="28"/>
        <v>Hybrid diesel coach -- 21%</v>
      </c>
      <c r="V140" s="188" t="s">
        <v>84</v>
      </c>
      <c r="W140" s="188" t="s">
        <v>85</v>
      </c>
    </row>
    <row r="141" spans="2:23">
      <c r="B141" s="37">
        <v>0.252</v>
      </c>
      <c r="C141" s="53">
        <v>325072.21883208002</v>
      </c>
      <c r="D141" s="53">
        <v>323840.25627759</v>
      </c>
      <c r="E141" s="53">
        <v>323840.25627759</v>
      </c>
      <c r="F141" s="53">
        <v>323840.25627759</v>
      </c>
      <c r="J141" t="str">
        <f t="shared" si="20"/>
        <v>\I:Trd_bus_</v>
      </c>
      <c r="K141" t="str">
        <f t="shared" si="22"/>
        <v>\I:Trd_bus__25</v>
      </c>
      <c r="L141" t="str">
        <f t="shared" si="21"/>
        <v>\I:Trd_</v>
      </c>
      <c r="M141" s="185">
        <f t="shared" si="23"/>
        <v>325072.21883208002</v>
      </c>
      <c r="N141" s="185">
        <f t="shared" si="24"/>
        <v>323840.25627759</v>
      </c>
      <c r="O141" s="185">
        <f t="shared" si="25"/>
        <v>323840.25627759</v>
      </c>
      <c r="P141" s="185">
        <f t="shared" si="26"/>
        <v>323840.25627759</v>
      </c>
      <c r="S141" t="s">
        <v>83</v>
      </c>
      <c r="T141" t="str">
        <f t="shared" si="27"/>
        <v>\I:Trd_bus__25</v>
      </c>
      <c r="U141" t="str">
        <f t="shared" ca="1" si="28"/>
        <v>Hybrid diesel coach -- 25%</v>
      </c>
      <c r="V141" s="188" t="s">
        <v>84</v>
      </c>
      <c r="W141" s="188" t="s">
        <v>85</v>
      </c>
    </row>
    <row r="142" spans="2:23">
      <c r="B142" s="37">
        <v>0.29599999999999999</v>
      </c>
      <c r="C142" s="53">
        <v>327717.49643364502</v>
      </c>
      <c r="D142" s="53">
        <v>325354.48110454401</v>
      </c>
      <c r="E142" s="53">
        <v>325354.48110454401</v>
      </c>
      <c r="F142" s="53">
        <v>325354.48110454401</v>
      </c>
      <c r="J142" t="str">
        <f t="shared" ref="J142:J205" si="34">IFERROR(VLOOKUP(C142,$R$1:$S$9,2,FALSE),J141)</f>
        <v>\I:Trd_bus_</v>
      </c>
      <c r="K142" t="str">
        <f t="shared" si="22"/>
        <v>\I:Trd_bus__30</v>
      </c>
      <c r="L142" t="str">
        <f t="shared" ref="L142:L205" si="35">LEFT(K142,7)</f>
        <v>\I:Trd_</v>
      </c>
      <c r="M142" s="185">
        <f t="shared" si="23"/>
        <v>327717.49643364502</v>
      </c>
      <c r="N142" s="185">
        <f t="shared" si="24"/>
        <v>325354.48110454401</v>
      </c>
      <c r="O142" s="185">
        <f t="shared" si="25"/>
        <v>325354.48110454401</v>
      </c>
      <c r="P142" s="185">
        <f t="shared" si="26"/>
        <v>325354.48110454401</v>
      </c>
      <c r="S142" t="s">
        <v>83</v>
      </c>
      <c r="T142" t="str">
        <f t="shared" si="27"/>
        <v>\I:Trd_bus__30</v>
      </c>
      <c r="U142" t="str">
        <f t="shared" ca="1" si="28"/>
        <v>Hybrid diesel coach -- 30%</v>
      </c>
      <c r="V142" s="188" t="s">
        <v>84</v>
      </c>
      <c r="W142" s="188" t="s">
        <v>85</v>
      </c>
    </row>
    <row r="143" spans="2:23">
      <c r="B143" s="37">
        <v>0.34</v>
      </c>
      <c r="C143" s="53">
        <v>341195.76862187398</v>
      </c>
      <c r="D143" s="53">
        <v>327631.08439853799</v>
      </c>
      <c r="E143" s="53">
        <v>327631.08439853799</v>
      </c>
      <c r="F143" s="53">
        <v>327631.08439853799</v>
      </c>
      <c r="J143" t="str">
        <f t="shared" si="34"/>
        <v>\I:Trd_bus_</v>
      </c>
      <c r="K143" t="str">
        <f t="shared" si="22"/>
        <v>\I:Trd_bus__34</v>
      </c>
      <c r="L143" t="str">
        <f t="shared" si="35"/>
        <v>\I:Trd_</v>
      </c>
      <c r="M143" s="185">
        <f t="shared" si="23"/>
        <v>341195.76862187398</v>
      </c>
      <c r="N143" s="185">
        <f t="shared" si="24"/>
        <v>327631.08439853799</v>
      </c>
      <c r="O143" s="185">
        <f t="shared" si="25"/>
        <v>327631.08439853799</v>
      </c>
      <c r="P143" s="185">
        <f t="shared" si="26"/>
        <v>327631.08439853799</v>
      </c>
      <c r="S143" t="s">
        <v>83</v>
      </c>
      <c r="T143" t="str">
        <f t="shared" si="27"/>
        <v>\I:Trd_bus__34</v>
      </c>
      <c r="U143" t="str">
        <f t="shared" ca="1" si="28"/>
        <v>Hybrid diesel coach -- 34%</v>
      </c>
      <c r="V143" s="188" t="s">
        <v>84</v>
      </c>
      <c r="W143" s="188" t="s">
        <v>85</v>
      </c>
    </row>
    <row r="144" spans="2:23">
      <c r="B144" s="37">
        <v>0.38400000000000001</v>
      </c>
      <c r="C144" s="53">
        <v>357695.81030706799</v>
      </c>
      <c r="D144" s="53">
        <v>331053.90673374903</v>
      </c>
      <c r="E144" s="53">
        <v>331053.90673374903</v>
      </c>
      <c r="F144" s="53">
        <v>331053.90673374903</v>
      </c>
      <c r="J144" t="str">
        <f t="shared" si="34"/>
        <v>\I:Trd_bus_</v>
      </c>
      <c r="K144" t="str">
        <f t="shared" si="22"/>
        <v>\I:Trd_bus__38</v>
      </c>
      <c r="L144" t="str">
        <f t="shared" si="35"/>
        <v>\I:Trd_</v>
      </c>
      <c r="M144" s="185">
        <f t="shared" si="23"/>
        <v>357695.81030706799</v>
      </c>
      <c r="N144" s="185">
        <f t="shared" si="24"/>
        <v>331053.90673374903</v>
      </c>
      <c r="O144" s="185">
        <f t="shared" si="25"/>
        <v>331053.90673374903</v>
      </c>
      <c r="P144" s="185">
        <f t="shared" si="26"/>
        <v>331053.90673374903</v>
      </c>
      <c r="S144" t="s">
        <v>83</v>
      </c>
      <c r="T144" t="str">
        <f t="shared" si="27"/>
        <v>\I:Trd_bus__38</v>
      </c>
      <c r="U144" t="str">
        <f t="shared" ca="1" si="28"/>
        <v>Hybrid diesel coach -- 38%</v>
      </c>
      <c r="V144" s="188" t="s">
        <v>84</v>
      </c>
      <c r="W144" s="188" t="s">
        <v>85</v>
      </c>
    </row>
    <row r="145" spans="2:23">
      <c r="B145" s="37">
        <v>0.40160000000000001</v>
      </c>
      <c r="C145" s="53">
        <v>367686.550041485</v>
      </c>
      <c r="D145" s="53">
        <v>336352.05913970497</v>
      </c>
      <c r="E145" s="53">
        <v>336200.04386239202</v>
      </c>
      <c r="F145" s="53">
        <v>336200.04386239202</v>
      </c>
      <c r="J145" t="str">
        <f t="shared" si="34"/>
        <v>\I:Trd_bus_</v>
      </c>
      <c r="K145" t="str">
        <f t="shared" si="22"/>
        <v>\I:Trd_bus__40</v>
      </c>
      <c r="L145" t="str">
        <f t="shared" si="35"/>
        <v>\I:Trd_</v>
      </c>
      <c r="M145" s="185">
        <f t="shared" si="23"/>
        <v>367686.550041485</v>
      </c>
      <c r="N145" s="185">
        <f t="shared" si="24"/>
        <v>336352.05913970497</v>
      </c>
      <c r="O145" s="185">
        <f t="shared" si="25"/>
        <v>336200.04386239202</v>
      </c>
      <c r="P145" s="185">
        <f t="shared" si="26"/>
        <v>336200.04386239202</v>
      </c>
      <c r="S145" t="s">
        <v>83</v>
      </c>
      <c r="T145" t="str">
        <f t="shared" si="27"/>
        <v>\I:Trd_bus__40</v>
      </c>
      <c r="U145" t="str">
        <f t="shared" ca="1" si="28"/>
        <v>Hybrid diesel coach -- 40%</v>
      </c>
      <c r="V145" s="188" t="s">
        <v>84</v>
      </c>
      <c r="W145" s="188" t="s">
        <v>85</v>
      </c>
    </row>
    <row r="146" spans="2:23">
      <c r="B146" s="37">
        <v>0.42799999999999999</v>
      </c>
      <c r="C146" s="53">
        <v>424470.66446640698</v>
      </c>
      <c r="D146" s="53">
        <v>350547.74011195102</v>
      </c>
      <c r="E146" s="53">
        <v>343937.14639160299</v>
      </c>
      <c r="F146" s="53">
        <v>343937.14639160299</v>
      </c>
      <c r="J146" t="str">
        <f t="shared" si="34"/>
        <v>\I:Trd_bus_</v>
      </c>
      <c r="K146" t="str">
        <f t="shared" si="22"/>
        <v>\I:Trd_bus__43</v>
      </c>
      <c r="L146" t="str">
        <f t="shared" si="35"/>
        <v>\I:Trd_</v>
      </c>
      <c r="M146" s="185">
        <f t="shared" si="23"/>
        <v>424470.66446640698</v>
      </c>
      <c r="N146" s="185">
        <f t="shared" si="24"/>
        <v>350547.74011195102</v>
      </c>
      <c r="O146" s="185">
        <f t="shared" si="25"/>
        <v>343937.14639160299</v>
      </c>
      <c r="P146" s="185">
        <f t="shared" si="26"/>
        <v>343937.14639160299</v>
      </c>
      <c r="S146" t="s">
        <v>83</v>
      </c>
      <c r="T146" t="str">
        <f t="shared" si="27"/>
        <v>\I:Trd_bus__43</v>
      </c>
      <c r="U146" t="str">
        <f t="shared" ca="1" si="28"/>
        <v>Hybrid diesel coach -- 43%</v>
      </c>
      <c r="V146" s="188" t="s">
        <v>84</v>
      </c>
      <c r="W146" s="188" t="s">
        <v>85</v>
      </c>
    </row>
    <row r="147" spans="2:23">
      <c r="J147" t="str">
        <f t="shared" si="34"/>
        <v>\I:Trd_bus_</v>
      </c>
      <c r="K147" t="str">
        <f t="shared" si="22"/>
        <v>\I:</v>
      </c>
      <c r="L147" t="str">
        <f t="shared" si="35"/>
        <v>\I:</v>
      </c>
      <c r="M147" s="185" t="str">
        <f t="shared" si="23"/>
        <v/>
      </c>
      <c r="N147" s="185" t="str">
        <f t="shared" si="24"/>
        <v/>
      </c>
      <c r="O147" s="185" t="str">
        <f t="shared" si="25"/>
        <v/>
      </c>
      <c r="P147" s="185" t="str">
        <f t="shared" si="26"/>
        <v/>
      </c>
      <c r="S147" t="s">
        <v>83</v>
      </c>
      <c r="T147" t="str">
        <f t="shared" si="27"/>
        <v>\I:</v>
      </c>
      <c r="U147" t="str">
        <f t="shared" ca="1" si="28"/>
        <v>Hybrid diesel coach -- 00%</v>
      </c>
      <c r="V147" s="188" t="s">
        <v>84</v>
      </c>
      <c r="W147" s="188" t="s">
        <v>85</v>
      </c>
    </row>
    <row r="148" spans="2:23">
      <c r="J148" t="str">
        <f t="shared" si="34"/>
        <v>\I:Trd_bus_</v>
      </c>
      <c r="K148" t="str">
        <f t="shared" si="22"/>
        <v>\I:</v>
      </c>
      <c r="L148" t="str">
        <f t="shared" si="35"/>
        <v>\I:</v>
      </c>
      <c r="M148" s="185" t="str">
        <f t="shared" si="23"/>
        <v/>
      </c>
      <c r="N148" s="185" t="str">
        <f t="shared" si="24"/>
        <v/>
      </c>
      <c r="O148" s="185" t="str">
        <f t="shared" si="25"/>
        <v/>
      </c>
      <c r="P148" s="185" t="str">
        <f t="shared" si="26"/>
        <v/>
      </c>
      <c r="S148" t="s">
        <v>83</v>
      </c>
      <c r="T148" t="str">
        <f t="shared" si="27"/>
        <v>\I:</v>
      </c>
      <c r="U148" t="str">
        <f t="shared" ca="1" si="28"/>
        <v>Hybrid diesel coach -- 00%</v>
      </c>
      <c r="V148" s="188" t="s">
        <v>84</v>
      </c>
      <c r="W148" s="188" t="s">
        <v>85</v>
      </c>
    </row>
    <row r="149" spans="2:23">
      <c r="J149" t="str">
        <f t="shared" si="34"/>
        <v>\I:Trd_bus_</v>
      </c>
      <c r="K149" t="str">
        <f t="shared" si="22"/>
        <v>\I:</v>
      </c>
      <c r="L149" t="str">
        <f t="shared" si="35"/>
        <v>\I:</v>
      </c>
      <c r="M149" s="185" t="str">
        <f t="shared" si="23"/>
        <v/>
      </c>
      <c r="N149" s="185" t="str">
        <f t="shared" si="24"/>
        <v/>
      </c>
      <c r="O149" s="185" t="str">
        <f t="shared" si="25"/>
        <v/>
      </c>
      <c r="P149" s="185" t="str">
        <f t="shared" si="26"/>
        <v/>
      </c>
      <c r="S149" t="s">
        <v>83</v>
      </c>
      <c r="T149" t="str">
        <f t="shared" si="27"/>
        <v>\I:</v>
      </c>
      <c r="U149" t="str">
        <f t="shared" ca="1" si="28"/>
        <v>Hybrid diesel coach -- 00%</v>
      </c>
      <c r="V149" s="188" t="s">
        <v>84</v>
      </c>
      <c r="W149" s="188" t="s">
        <v>85</v>
      </c>
    </row>
    <row r="150" spans="2:23">
      <c r="J150" t="str">
        <f t="shared" si="34"/>
        <v>\I:Trd_bus_</v>
      </c>
      <c r="K150" t="str">
        <f t="shared" si="22"/>
        <v>\I:</v>
      </c>
      <c r="L150" t="str">
        <f t="shared" si="35"/>
        <v>\I:</v>
      </c>
      <c r="M150" s="185" t="str">
        <f t="shared" si="23"/>
        <v/>
      </c>
      <c r="N150" s="185" t="str">
        <f t="shared" si="24"/>
        <v/>
      </c>
      <c r="O150" s="185" t="str">
        <f t="shared" si="25"/>
        <v/>
      </c>
      <c r="P150" s="185" t="str">
        <f t="shared" si="26"/>
        <v/>
      </c>
      <c r="S150" t="s">
        <v>83</v>
      </c>
      <c r="T150" t="str">
        <f t="shared" si="27"/>
        <v>\I:</v>
      </c>
      <c r="U150" t="str">
        <f t="shared" ca="1" si="28"/>
        <v>Hybrid diesel coach -- 00%</v>
      </c>
      <c r="V150" s="188" t="s">
        <v>84</v>
      </c>
      <c r="W150" s="188" t="s">
        <v>85</v>
      </c>
    </row>
    <row r="151" spans="2:23">
      <c r="B151" s="29" t="s">
        <v>165</v>
      </c>
      <c r="J151" t="str">
        <f t="shared" si="34"/>
        <v>\I:Trd_bus_</v>
      </c>
      <c r="K151" t="str">
        <f t="shared" si="22"/>
        <v>\I:</v>
      </c>
      <c r="L151" t="str">
        <f t="shared" si="35"/>
        <v>\I:</v>
      </c>
      <c r="M151" s="185" t="str">
        <f t="shared" si="23"/>
        <v/>
      </c>
      <c r="N151" s="185" t="str">
        <f t="shared" si="24"/>
        <v/>
      </c>
      <c r="O151" s="185" t="str">
        <f t="shared" si="25"/>
        <v/>
      </c>
      <c r="P151" s="185" t="str">
        <f t="shared" si="26"/>
        <v/>
      </c>
      <c r="S151" t="s">
        <v>83</v>
      </c>
      <c r="T151" t="str">
        <f t="shared" si="27"/>
        <v>\I:</v>
      </c>
      <c r="U151" t="str">
        <f t="shared" ca="1" si="28"/>
        <v>Hybrid diesel coach -- Reference values for LNG coach</v>
      </c>
      <c r="V151" s="188" t="s">
        <v>84</v>
      </c>
      <c r="W151" s="188" t="s">
        <v>85</v>
      </c>
    </row>
    <row r="152" spans="2:23">
      <c r="B152" s="177">
        <v>2015</v>
      </c>
      <c r="C152" s="177"/>
      <c r="D152" s="177"/>
      <c r="J152" t="str">
        <f t="shared" si="34"/>
        <v>\I:Trd_bus_</v>
      </c>
      <c r="K152" t="str">
        <f t="shared" ref="K152:K215" si="36">IFERROR(IF(VALUE(C152)&gt;2020,J152&amp;"_"&amp;TEXT(B152*100,"00"),"\I:"),"\I:")</f>
        <v>\I:</v>
      </c>
      <c r="L152" t="str">
        <f t="shared" si="35"/>
        <v>\I:</v>
      </c>
      <c r="M152" s="185" t="str">
        <f t="shared" ref="M152:M215" si="37">IF($K152="\I:","",C152)</f>
        <v/>
      </c>
      <c r="N152" s="185" t="str">
        <f t="shared" ref="N152:N215" si="38">IF($K152="\I:","",D152)</f>
        <v/>
      </c>
      <c r="O152" s="185" t="str">
        <f t="shared" ref="O152:O215" si="39">IF($K152="\I:","",E152)</f>
        <v/>
      </c>
      <c r="P152" s="185" t="str">
        <f t="shared" ref="P152:P215" si="40">IF($K152="\I:","",F152)</f>
        <v/>
      </c>
      <c r="S152" t="s">
        <v>83</v>
      </c>
      <c r="T152" t="str">
        <f t="shared" ref="T152:T215" si="41">K152</f>
        <v>\I:</v>
      </c>
      <c r="U152" t="str">
        <f t="shared" ref="U152:U215" ca="1" si="42">OFFSET($S$1,MATCH(J152,$S$1:$S$12,0)-1,-1)&amp;" -- "&amp;TEXT(B152,"00%")</f>
        <v>Hybrid diesel coach -- 201500%</v>
      </c>
      <c r="V152" s="188" t="s">
        <v>84</v>
      </c>
      <c r="W152" s="188" t="s">
        <v>85</v>
      </c>
    </row>
    <row r="153" spans="2:23">
      <c r="B153" s="31" t="s">
        <v>12</v>
      </c>
      <c r="C153" s="32" t="s">
        <v>88</v>
      </c>
      <c r="D153" s="33">
        <v>21.9255423798406</v>
      </c>
      <c r="J153" t="str">
        <f t="shared" si="34"/>
        <v>\I:Trd_bus_</v>
      </c>
      <c r="K153" t="str">
        <f t="shared" si="36"/>
        <v>\I:</v>
      </c>
      <c r="L153" t="str">
        <f t="shared" si="35"/>
        <v>\I:</v>
      </c>
      <c r="M153" s="185" t="str">
        <f t="shared" si="37"/>
        <v/>
      </c>
      <c r="N153" s="185" t="str">
        <f t="shared" si="38"/>
        <v/>
      </c>
      <c r="O153" s="185" t="str">
        <f t="shared" si="39"/>
        <v/>
      </c>
      <c r="P153" s="185" t="str">
        <f t="shared" si="40"/>
        <v/>
      </c>
      <c r="S153" t="s">
        <v>83</v>
      </c>
      <c r="T153" t="str">
        <f t="shared" si="41"/>
        <v>\I:</v>
      </c>
      <c r="U153" t="str">
        <f t="shared" ca="1" si="42"/>
        <v>Hybrid diesel coach -- Energy consumption</v>
      </c>
      <c r="V153" s="188" t="s">
        <v>84</v>
      </c>
      <c r="W153" s="188" t="s">
        <v>85</v>
      </c>
    </row>
    <row r="154" spans="2:23">
      <c r="B154" s="31" t="s">
        <v>14</v>
      </c>
      <c r="C154" s="32" t="s">
        <v>15</v>
      </c>
      <c r="D154" s="44">
        <v>321393.55654471298</v>
      </c>
      <c r="J154" t="str">
        <f t="shared" si="34"/>
        <v>\I:Trd_bus_</v>
      </c>
      <c r="K154" t="str">
        <f t="shared" si="36"/>
        <v>\I:</v>
      </c>
      <c r="L154" t="str">
        <f t="shared" si="35"/>
        <v>\I:</v>
      </c>
      <c r="M154" s="185" t="str">
        <f t="shared" si="37"/>
        <v/>
      </c>
      <c r="N154" s="185" t="str">
        <f t="shared" si="38"/>
        <v/>
      </c>
      <c r="O154" s="185" t="str">
        <f t="shared" si="39"/>
        <v/>
      </c>
      <c r="P154" s="185" t="str">
        <f t="shared" si="40"/>
        <v/>
      </c>
      <c r="S154" t="s">
        <v>83</v>
      </c>
      <c r="T154" t="str">
        <f t="shared" si="41"/>
        <v>\I:</v>
      </c>
      <c r="U154" t="str">
        <f t="shared" ca="1" si="42"/>
        <v>Hybrid diesel coach -- Capital cost</v>
      </c>
      <c r="V154" s="188" t="s">
        <v>84</v>
      </c>
      <c r="W154" s="188" t="s">
        <v>85</v>
      </c>
    </row>
    <row r="155" spans="2:23">
      <c r="J155" t="str">
        <f t="shared" si="34"/>
        <v>\I:Trd_bus_</v>
      </c>
      <c r="K155" t="str">
        <f t="shared" si="36"/>
        <v>\I:</v>
      </c>
      <c r="L155" t="str">
        <f t="shared" si="35"/>
        <v>\I:</v>
      </c>
      <c r="M155" s="185" t="str">
        <f t="shared" si="37"/>
        <v/>
      </c>
      <c r="N155" s="185" t="str">
        <f t="shared" si="38"/>
        <v/>
      </c>
      <c r="O155" s="185" t="str">
        <f t="shared" si="39"/>
        <v/>
      </c>
      <c r="P155" s="185" t="str">
        <f t="shared" si="40"/>
        <v/>
      </c>
      <c r="S155" t="s">
        <v>83</v>
      </c>
      <c r="T155" t="str">
        <f t="shared" si="41"/>
        <v>\I:</v>
      </c>
      <c r="U155" t="str">
        <f t="shared" ca="1" si="42"/>
        <v>Hybrid diesel coach -- 00%</v>
      </c>
      <c r="V155" s="188" t="s">
        <v>84</v>
      </c>
      <c r="W155" s="188" t="s">
        <v>85</v>
      </c>
    </row>
    <row r="156" spans="2:23" ht="15" customHeight="1">
      <c r="B156" s="179" t="s">
        <v>121</v>
      </c>
      <c r="C156" s="179" t="s">
        <v>166</v>
      </c>
      <c r="D156" s="179"/>
      <c r="E156" s="179"/>
      <c r="F156" s="179"/>
      <c r="J156" t="str">
        <f t="shared" si="34"/>
        <v>\I:Trd_bus_</v>
      </c>
      <c r="K156" t="str">
        <f t="shared" si="36"/>
        <v>\I:</v>
      </c>
      <c r="L156" t="str">
        <f t="shared" si="35"/>
        <v>\I:</v>
      </c>
      <c r="M156" s="185" t="str">
        <f t="shared" si="37"/>
        <v/>
      </c>
      <c r="N156" s="185" t="str">
        <f t="shared" si="38"/>
        <v/>
      </c>
      <c r="O156" s="185" t="str">
        <f t="shared" si="39"/>
        <v/>
      </c>
      <c r="P156" s="185" t="str">
        <f t="shared" si="40"/>
        <v/>
      </c>
      <c r="S156" t="s">
        <v>83</v>
      </c>
      <c r="T156" t="str">
        <f t="shared" si="41"/>
        <v>\I:</v>
      </c>
      <c r="U156" t="str">
        <f t="shared" ca="1" si="42"/>
        <v>Hybrid diesel coach -- Reduction of specific energy consumption relative to 2015 LNG vehicle (%)</v>
      </c>
      <c r="V156" s="188" t="s">
        <v>84</v>
      </c>
      <c r="W156" s="188" t="s">
        <v>85</v>
      </c>
    </row>
    <row r="157" spans="2:23">
      <c r="B157" s="179"/>
      <c r="C157" s="179"/>
      <c r="D157" s="179"/>
      <c r="E157" s="179"/>
      <c r="F157" s="179"/>
      <c r="J157" t="str">
        <f t="shared" si="34"/>
        <v>\I:Trd_bus_</v>
      </c>
      <c r="K157" t="str">
        <f t="shared" si="36"/>
        <v>\I:</v>
      </c>
      <c r="L157" t="str">
        <f t="shared" si="35"/>
        <v>\I:</v>
      </c>
      <c r="M157" s="185" t="str">
        <f t="shared" si="37"/>
        <v/>
      </c>
      <c r="N157" s="185" t="str">
        <f t="shared" si="38"/>
        <v/>
      </c>
      <c r="O157" s="185" t="str">
        <f t="shared" si="39"/>
        <v/>
      </c>
      <c r="P157" s="185" t="str">
        <f t="shared" si="40"/>
        <v/>
      </c>
      <c r="S157" t="s">
        <v>83</v>
      </c>
      <c r="T157" t="str">
        <f t="shared" si="41"/>
        <v>\I:</v>
      </c>
      <c r="U157" t="str">
        <f t="shared" ca="1" si="42"/>
        <v>Hybrid diesel coach -- 00%</v>
      </c>
      <c r="V157" s="188" t="s">
        <v>84</v>
      </c>
      <c r="W157" s="188" t="s">
        <v>85</v>
      </c>
    </row>
    <row r="158" spans="2:23">
      <c r="B158" s="179"/>
      <c r="C158" s="179"/>
      <c r="D158" s="179"/>
      <c r="E158" s="179"/>
      <c r="F158" s="179"/>
      <c r="J158" t="str">
        <f t="shared" si="34"/>
        <v>\I:Trd_bus_</v>
      </c>
      <c r="K158" t="str">
        <f t="shared" si="36"/>
        <v>\I:</v>
      </c>
      <c r="L158" t="str">
        <f t="shared" si="35"/>
        <v>\I:</v>
      </c>
      <c r="M158" s="185" t="str">
        <f t="shared" si="37"/>
        <v/>
      </c>
      <c r="N158" s="185" t="str">
        <f t="shared" si="38"/>
        <v/>
      </c>
      <c r="O158" s="185" t="str">
        <f t="shared" si="39"/>
        <v/>
      </c>
      <c r="P158" s="185" t="str">
        <f t="shared" si="40"/>
        <v/>
      </c>
      <c r="S158" t="s">
        <v>83</v>
      </c>
      <c r="T158" t="str">
        <f t="shared" si="41"/>
        <v>\I:</v>
      </c>
      <c r="U158" t="str">
        <f t="shared" ca="1" si="42"/>
        <v>Hybrid diesel coach -- 00%</v>
      </c>
      <c r="V158" s="188" t="s">
        <v>84</v>
      </c>
      <c r="W158" s="188" t="s">
        <v>85</v>
      </c>
    </row>
    <row r="159" spans="2:23">
      <c r="B159" s="35"/>
      <c r="C159" s="36">
        <v>2020</v>
      </c>
      <c r="D159" s="36">
        <v>2030</v>
      </c>
      <c r="E159" s="36">
        <v>2040</v>
      </c>
      <c r="F159" s="36">
        <v>2050</v>
      </c>
      <c r="J159" t="str">
        <f t="shared" si="34"/>
        <v>\I:Trd_bus_</v>
      </c>
      <c r="K159" t="str">
        <f t="shared" si="36"/>
        <v>\I:</v>
      </c>
      <c r="L159" t="str">
        <f t="shared" si="35"/>
        <v>\I:</v>
      </c>
      <c r="M159" s="185" t="str">
        <f t="shared" si="37"/>
        <v/>
      </c>
      <c r="N159" s="185" t="str">
        <f t="shared" si="38"/>
        <v/>
      </c>
      <c r="O159" s="185" t="str">
        <f t="shared" si="39"/>
        <v/>
      </c>
      <c r="P159" s="185" t="str">
        <f t="shared" si="40"/>
        <v/>
      </c>
      <c r="S159" t="s">
        <v>83</v>
      </c>
      <c r="T159" t="str">
        <f t="shared" si="41"/>
        <v>\I:</v>
      </c>
      <c r="U159" t="str">
        <f t="shared" ca="1" si="42"/>
        <v>Hybrid diesel coach -- 00%</v>
      </c>
      <c r="V159" s="188" t="s">
        <v>84</v>
      </c>
      <c r="W159" s="188" t="s">
        <v>85</v>
      </c>
    </row>
    <row r="160" spans="2:23">
      <c r="B160" s="37">
        <v>4.1010402568265103E-2</v>
      </c>
      <c r="C160" s="53">
        <v>322213.92157369602</v>
      </c>
      <c r="D160" s="53">
        <v>322213.92157369602</v>
      </c>
      <c r="E160" s="53">
        <v>322213.92157369602</v>
      </c>
      <c r="F160" s="53">
        <v>322213.92157369602</v>
      </c>
      <c r="J160" t="str">
        <f t="shared" si="34"/>
        <v>\I:Trd_bus_</v>
      </c>
      <c r="K160" t="str">
        <f t="shared" si="36"/>
        <v>\I:Trd_bus__04</v>
      </c>
      <c r="L160" t="str">
        <f t="shared" si="35"/>
        <v>\I:Trd_</v>
      </c>
      <c r="M160" s="185">
        <f t="shared" si="37"/>
        <v>322213.92157369602</v>
      </c>
      <c r="N160" s="185">
        <f t="shared" si="38"/>
        <v>322213.92157369602</v>
      </c>
      <c r="O160" s="185">
        <f t="shared" si="39"/>
        <v>322213.92157369602</v>
      </c>
      <c r="P160" s="185">
        <f t="shared" si="40"/>
        <v>322213.92157369602</v>
      </c>
      <c r="S160" t="s">
        <v>83</v>
      </c>
      <c r="T160" t="str">
        <f t="shared" si="41"/>
        <v>\I:Trd_bus__04</v>
      </c>
      <c r="U160" t="str">
        <f t="shared" ca="1" si="42"/>
        <v>Hybrid diesel coach -- 04%</v>
      </c>
      <c r="V160" s="188" t="s">
        <v>84</v>
      </c>
      <c r="W160" s="188" t="s">
        <v>85</v>
      </c>
    </row>
    <row r="161" spans="2:23">
      <c r="B161" s="37">
        <v>9.1010402568265106E-2</v>
      </c>
      <c r="C161" s="53">
        <v>323718.21125764103</v>
      </c>
      <c r="D161" s="53">
        <v>323221.06973719498</v>
      </c>
      <c r="E161" s="53">
        <v>323221.06973719498</v>
      </c>
      <c r="F161" s="53">
        <v>323221.06973719498</v>
      </c>
      <c r="J161" t="str">
        <f t="shared" si="34"/>
        <v>\I:Trd_bus_</v>
      </c>
      <c r="K161" t="str">
        <f t="shared" si="36"/>
        <v>\I:Trd_bus__09</v>
      </c>
      <c r="L161" t="str">
        <f t="shared" si="35"/>
        <v>\I:Trd_</v>
      </c>
      <c r="M161" s="185">
        <f t="shared" si="37"/>
        <v>323718.21125764103</v>
      </c>
      <c r="N161" s="185">
        <f t="shared" si="38"/>
        <v>323221.06973719498</v>
      </c>
      <c r="O161" s="185">
        <f t="shared" si="39"/>
        <v>323221.06973719498</v>
      </c>
      <c r="P161" s="185">
        <f t="shared" si="40"/>
        <v>323221.06973719498</v>
      </c>
      <c r="S161" t="s">
        <v>83</v>
      </c>
      <c r="T161" t="str">
        <f t="shared" si="41"/>
        <v>\I:Trd_bus__09</v>
      </c>
      <c r="U161" t="str">
        <f t="shared" ca="1" si="42"/>
        <v>Hybrid diesel coach -- 09%</v>
      </c>
      <c r="V161" s="188" t="s">
        <v>84</v>
      </c>
      <c r="W161" s="188" t="s">
        <v>85</v>
      </c>
    </row>
    <row r="162" spans="2:23">
      <c r="B162" s="37">
        <v>0.141010402568265</v>
      </c>
      <c r="C162" s="53">
        <v>325145.49899247597</v>
      </c>
      <c r="D162" s="53">
        <v>324735.294564148</v>
      </c>
      <c r="E162" s="53">
        <v>324735.294564148</v>
      </c>
      <c r="F162" s="53">
        <v>324735.294564148</v>
      </c>
      <c r="J162" t="str">
        <f t="shared" si="34"/>
        <v>\I:Trd_bus_</v>
      </c>
      <c r="K162" t="str">
        <f t="shared" si="36"/>
        <v>\I:Trd_bus__14</v>
      </c>
      <c r="L162" t="str">
        <f t="shared" si="35"/>
        <v>\I:Trd_</v>
      </c>
      <c r="M162" s="185">
        <f t="shared" si="37"/>
        <v>325145.49899247597</v>
      </c>
      <c r="N162" s="185">
        <f t="shared" si="38"/>
        <v>324735.294564148</v>
      </c>
      <c r="O162" s="185">
        <f t="shared" si="39"/>
        <v>324735.294564148</v>
      </c>
      <c r="P162" s="185">
        <f t="shared" si="40"/>
        <v>324735.294564148</v>
      </c>
      <c r="S162" t="s">
        <v>83</v>
      </c>
      <c r="T162" t="str">
        <f t="shared" si="41"/>
        <v>\I:Trd_bus__14</v>
      </c>
      <c r="U162" t="str">
        <f t="shared" ca="1" si="42"/>
        <v>Hybrid diesel coach -- 14%</v>
      </c>
      <c r="V162" s="188" t="s">
        <v>84</v>
      </c>
      <c r="W162" s="188" t="s">
        <v>85</v>
      </c>
    </row>
    <row r="163" spans="2:23">
      <c r="B163" s="37">
        <v>0.19101040256826499</v>
      </c>
      <c r="C163" s="53">
        <v>330223.21529140603</v>
      </c>
      <c r="D163" s="53">
        <v>327011.89785814303</v>
      </c>
      <c r="E163" s="53">
        <v>327011.89785814303</v>
      </c>
      <c r="F163" s="53">
        <v>327011.89785814303</v>
      </c>
      <c r="J163" t="str">
        <f t="shared" si="34"/>
        <v>\I:Trd_bus_</v>
      </c>
      <c r="K163" t="str">
        <f t="shared" si="36"/>
        <v>\I:Trd_bus__19</v>
      </c>
      <c r="L163" t="str">
        <f t="shared" si="35"/>
        <v>\I:Trd_</v>
      </c>
      <c r="M163" s="185">
        <f t="shared" si="37"/>
        <v>330223.21529140603</v>
      </c>
      <c r="N163" s="185">
        <f t="shared" si="38"/>
        <v>327011.89785814303</v>
      </c>
      <c r="O163" s="185">
        <f t="shared" si="39"/>
        <v>327011.89785814303</v>
      </c>
      <c r="P163" s="185">
        <f t="shared" si="40"/>
        <v>327011.89785814303</v>
      </c>
      <c r="S163" t="s">
        <v>83</v>
      </c>
      <c r="T163" t="str">
        <f t="shared" si="41"/>
        <v>\I:Trd_bus__19</v>
      </c>
      <c r="U163" t="str">
        <f t="shared" ca="1" si="42"/>
        <v>Hybrid diesel coach -- 19%</v>
      </c>
      <c r="V163" s="188" t="s">
        <v>84</v>
      </c>
      <c r="W163" s="188" t="s">
        <v>85</v>
      </c>
    </row>
    <row r="164" spans="2:23">
      <c r="B164" s="37">
        <v>0.241010402568265</v>
      </c>
      <c r="C164" s="53">
        <v>336044.22347743501</v>
      </c>
      <c r="D164" s="53">
        <v>330434.72019335401</v>
      </c>
      <c r="E164" s="53">
        <v>330434.72019335401</v>
      </c>
      <c r="F164" s="53">
        <v>330434.72019335401</v>
      </c>
      <c r="J164" t="str">
        <f t="shared" si="34"/>
        <v>\I:Trd_bus_</v>
      </c>
      <c r="K164" t="str">
        <f t="shared" si="36"/>
        <v>\I:Trd_bus__24</v>
      </c>
      <c r="L164" t="str">
        <f t="shared" si="35"/>
        <v>\I:Trd_</v>
      </c>
      <c r="M164" s="185">
        <f t="shared" si="37"/>
        <v>336044.22347743501</v>
      </c>
      <c r="N164" s="185">
        <f t="shared" si="38"/>
        <v>330434.72019335401</v>
      </c>
      <c r="O164" s="185">
        <f t="shared" si="39"/>
        <v>330434.72019335401</v>
      </c>
      <c r="P164" s="185">
        <f t="shared" si="40"/>
        <v>330434.72019335401</v>
      </c>
      <c r="S164" t="s">
        <v>83</v>
      </c>
      <c r="T164" t="str">
        <f t="shared" si="41"/>
        <v>\I:Trd_bus__24</v>
      </c>
      <c r="U164" t="str">
        <f t="shared" ca="1" si="42"/>
        <v>Hybrid diesel coach -- 24%</v>
      </c>
      <c r="V164" s="188" t="s">
        <v>84</v>
      </c>
      <c r="W164" s="188" t="s">
        <v>85</v>
      </c>
    </row>
    <row r="165" spans="2:23">
      <c r="B165" s="37">
        <v>0.26101040256826502</v>
      </c>
      <c r="C165" s="53">
        <v>361776.06324398401</v>
      </c>
      <c r="D165" s="53">
        <v>335707.32646626601</v>
      </c>
      <c r="E165" s="53">
        <v>335580.857321997</v>
      </c>
      <c r="F165" s="53">
        <v>335580.857321997</v>
      </c>
      <c r="J165" t="str">
        <f t="shared" si="34"/>
        <v>\I:Trd_bus_</v>
      </c>
      <c r="K165" t="str">
        <f t="shared" si="36"/>
        <v>\I:Trd_bus__26</v>
      </c>
      <c r="L165" t="str">
        <f t="shared" si="35"/>
        <v>\I:Trd_</v>
      </c>
      <c r="M165" s="185">
        <f t="shared" si="37"/>
        <v>361776.06324398401</v>
      </c>
      <c r="N165" s="185">
        <f t="shared" si="38"/>
        <v>335707.32646626601</v>
      </c>
      <c r="O165" s="185">
        <f t="shared" si="39"/>
        <v>335580.857321997</v>
      </c>
      <c r="P165" s="185">
        <f t="shared" si="40"/>
        <v>335580.857321997</v>
      </c>
      <c r="S165" t="s">
        <v>83</v>
      </c>
      <c r="T165" t="str">
        <f t="shared" si="41"/>
        <v>\I:Trd_bus__26</v>
      </c>
      <c r="U165" t="str">
        <f t="shared" ca="1" si="42"/>
        <v>Hybrid diesel coach -- 26%</v>
      </c>
      <c r="V165" s="188" t="s">
        <v>84</v>
      </c>
      <c r="W165" s="188" t="s">
        <v>85</v>
      </c>
    </row>
    <row r="166" spans="2:23">
      <c r="B166" s="37">
        <v>0.29101040256826499</v>
      </c>
      <c r="C166" s="53">
        <v>446864.79115927499</v>
      </c>
      <c r="D166" s="53">
        <v>351817.60135663999</v>
      </c>
      <c r="E166" s="53">
        <v>343317.95985120803</v>
      </c>
      <c r="F166" s="53">
        <v>343317.95985120803</v>
      </c>
      <c r="J166" t="str">
        <f t="shared" si="34"/>
        <v>\I:Trd_bus_</v>
      </c>
      <c r="K166" t="str">
        <f t="shared" si="36"/>
        <v>\I:Trd_bus__29</v>
      </c>
      <c r="L166" t="str">
        <f t="shared" si="35"/>
        <v>\I:Trd_</v>
      </c>
      <c r="M166" s="185">
        <f t="shared" si="37"/>
        <v>446864.79115927499</v>
      </c>
      <c r="N166" s="185">
        <f t="shared" si="38"/>
        <v>351817.60135663999</v>
      </c>
      <c r="O166" s="185">
        <f t="shared" si="39"/>
        <v>343317.95985120803</v>
      </c>
      <c r="P166" s="185">
        <f t="shared" si="40"/>
        <v>343317.95985120803</v>
      </c>
      <c r="S166" t="s">
        <v>83</v>
      </c>
      <c r="T166" t="str">
        <f t="shared" si="41"/>
        <v>\I:Trd_bus__29</v>
      </c>
      <c r="U166" t="str">
        <f t="shared" ca="1" si="42"/>
        <v>Hybrid diesel coach -- 29%</v>
      </c>
      <c r="V166" s="188" t="s">
        <v>84</v>
      </c>
      <c r="W166" s="188" t="s">
        <v>85</v>
      </c>
    </row>
    <row r="167" spans="2:23">
      <c r="J167" t="str">
        <f t="shared" si="34"/>
        <v>\I:Trd_bus_</v>
      </c>
      <c r="K167" t="str">
        <f t="shared" si="36"/>
        <v>\I:</v>
      </c>
      <c r="L167" t="str">
        <f t="shared" si="35"/>
        <v>\I:</v>
      </c>
      <c r="M167" s="185" t="str">
        <f t="shared" si="37"/>
        <v/>
      </c>
      <c r="N167" s="185" t="str">
        <f t="shared" si="38"/>
        <v/>
      </c>
      <c r="O167" s="185" t="str">
        <f t="shared" si="39"/>
        <v/>
      </c>
      <c r="P167" s="185" t="str">
        <f t="shared" si="40"/>
        <v/>
      </c>
      <c r="S167" t="s">
        <v>83</v>
      </c>
      <c r="T167" t="str">
        <f t="shared" si="41"/>
        <v>\I:</v>
      </c>
      <c r="U167" t="str">
        <f t="shared" ca="1" si="42"/>
        <v>Hybrid diesel coach -- 00%</v>
      </c>
      <c r="V167" s="188" t="s">
        <v>84</v>
      </c>
      <c r="W167" s="188" t="s">
        <v>85</v>
      </c>
    </row>
    <row r="168" spans="2:23">
      <c r="J168" t="str">
        <f t="shared" si="34"/>
        <v>\I:Trd_bus_</v>
      </c>
      <c r="K168" t="str">
        <f t="shared" si="36"/>
        <v>\I:</v>
      </c>
      <c r="L168" t="str">
        <f t="shared" si="35"/>
        <v>\I:</v>
      </c>
      <c r="M168" s="185" t="str">
        <f t="shared" si="37"/>
        <v/>
      </c>
      <c r="N168" s="185" t="str">
        <f t="shared" si="38"/>
        <v/>
      </c>
      <c r="O168" s="185" t="str">
        <f t="shared" si="39"/>
        <v/>
      </c>
      <c r="P168" s="185" t="str">
        <f t="shared" si="40"/>
        <v/>
      </c>
      <c r="S168" t="s">
        <v>83</v>
      </c>
      <c r="T168" t="str">
        <f t="shared" si="41"/>
        <v>\I:</v>
      </c>
      <c r="U168" t="str">
        <f t="shared" ca="1" si="42"/>
        <v>Hybrid diesel coach -- 00%</v>
      </c>
      <c r="V168" s="188" t="s">
        <v>84</v>
      </c>
      <c r="W168" s="188" t="s">
        <v>85</v>
      </c>
    </row>
    <row r="169" spans="2:23">
      <c r="J169" t="str">
        <f t="shared" si="34"/>
        <v>\I:Trd_bus_</v>
      </c>
      <c r="K169" t="str">
        <f t="shared" si="36"/>
        <v>\I:</v>
      </c>
      <c r="L169" t="str">
        <f t="shared" si="35"/>
        <v>\I:</v>
      </c>
      <c r="M169" s="185" t="str">
        <f t="shared" si="37"/>
        <v/>
      </c>
      <c r="N169" s="185" t="str">
        <f t="shared" si="38"/>
        <v/>
      </c>
      <c r="O169" s="185" t="str">
        <f t="shared" si="39"/>
        <v/>
      </c>
      <c r="P169" s="185" t="str">
        <f t="shared" si="40"/>
        <v/>
      </c>
      <c r="S169" t="s">
        <v>83</v>
      </c>
      <c r="T169" t="str">
        <f t="shared" si="41"/>
        <v>\I:</v>
      </c>
      <c r="U169" t="str">
        <f t="shared" ca="1" si="42"/>
        <v>Hybrid diesel coach -- 00%</v>
      </c>
      <c r="V169" s="188" t="s">
        <v>84</v>
      </c>
      <c r="W169" s="188" t="s">
        <v>85</v>
      </c>
    </row>
    <row r="170" spans="2:23">
      <c r="J170" t="str">
        <f t="shared" si="34"/>
        <v>\I:Trd_bus_</v>
      </c>
      <c r="K170" t="str">
        <f t="shared" si="36"/>
        <v>\I:</v>
      </c>
      <c r="L170" t="str">
        <f t="shared" si="35"/>
        <v>\I:</v>
      </c>
      <c r="M170" s="185" t="str">
        <f t="shared" si="37"/>
        <v/>
      </c>
      <c r="N170" s="185" t="str">
        <f t="shared" si="38"/>
        <v/>
      </c>
      <c r="O170" s="185" t="str">
        <f t="shared" si="39"/>
        <v/>
      </c>
      <c r="P170" s="185" t="str">
        <f t="shared" si="40"/>
        <v/>
      </c>
      <c r="S170" t="s">
        <v>83</v>
      </c>
      <c r="T170" t="str">
        <f t="shared" si="41"/>
        <v>\I:</v>
      </c>
      <c r="U170" t="str">
        <f t="shared" ca="1" si="42"/>
        <v>Hybrid diesel coach -- 00%</v>
      </c>
      <c r="V170" s="188" t="s">
        <v>84</v>
      </c>
      <c r="W170" s="188" t="s">
        <v>85</v>
      </c>
    </row>
    <row r="171" spans="2:23">
      <c r="B171" s="29" t="s">
        <v>167</v>
      </c>
      <c r="J171" t="str">
        <f t="shared" si="34"/>
        <v>\I:Trd_bus_</v>
      </c>
      <c r="K171" t="str">
        <f t="shared" si="36"/>
        <v>\I:</v>
      </c>
      <c r="L171" t="str">
        <f t="shared" si="35"/>
        <v>\I:</v>
      </c>
      <c r="M171" s="185" t="str">
        <f t="shared" si="37"/>
        <v/>
      </c>
      <c r="N171" s="185" t="str">
        <f t="shared" si="38"/>
        <v/>
      </c>
      <c r="O171" s="185" t="str">
        <f t="shared" si="39"/>
        <v/>
      </c>
      <c r="P171" s="185" t="str">
        <f t="shared" si="40"/>
        <v/>
      </c>
      <c r="S171" t="s">
        <v>83</v>
      </c>
      <c r="T171" t="str">
        <f t="shared" si="41"/>
        <v>\I:</v>
      </c>
      <c r="U171" t="str">
        <f t="shared" ca="1" si="42"/>
        <v>Hybrid diesel coach -- Reference values for LPG coach</v>
      </c>
      <c r="V171" s="188" t="s">
        <v>84</v>
      </c>
      <c r="W171" s="188" t="s">
        <v>85</v>
      </c>
    </row>
    <row r="172" spans="2:23">
      <c r="B172" s="177">
        <v>2015</v>
      </c>
      <c r="C172" s="177"/>
      <c r="D172" s="177"/>
      <c r="J172" t="str">
        <f t="shared" si="34"/>
        <v>\I:Trd_bus_</v>
      </c>
      <c r="K172" t="str">
        <f t="shared" si="36"/>
        <v>\I:</v>
      </c>
      <c r="L172" t="str">
        <f t="shared" si="35"/>
        <v>\I:</v>
      </c>
      <c r="M172" s="185" t="str">
        <f t="shared" si="37"/>
        <v/>
      </c>
      <c r="N172" s="185" t="str">
        <f t="shared" si="38"/>
        <v/>
      </c>
      <c r="O172" s="185" t="str">
        <f t="shared" si="39"/>
        <v/>
      </c>
      <c r="P172" s="185" t="str">
        <f t="shared" si="40"/>
        <v/>
      </c>
      <c r="S172" t="s">
        <v>83</v>
      </c>
      <c r="T172" t="str">
        <f t="shared" si="41"/>
        <v>\I:</v>
      </c>
      <c r="U172" t="str">
        <f t="shared" ca="1" si="42"/>
        <v>Hybrid diesel coach -- 201500%</v>
      </c>
      <c r="V172" s="188" t="s">
        <v>84</v>
      </c>
      <c r="W172" s="188" t="s">
        <v>85</v>
      </c>
    </row>
    <row r="173" spans="2:23">
      <c r="B173" s="31" t="s">
        <v>12</v>
      </c>
      <c r="C173" s="32" t="s">
        <v>13</v>
      </c>
      <c r="D173" s="33">
        <v>32.1825557678347</v>
      </c>
      <c r="J173" t="str">
        <f t="shared" si="34"/>
        <v>\I:Trd_bus_</v>
      </c>
      <c r="K173" t="str">
        <f t="shared" si="36"/>
        <v>\I:</v>
      </c>
      <c r="L173" t="str">
        <f t="shared" si="35"/>
        <v>\I:</v>
      </c>
      <c r="M173" s="185" t="str">
        <f t="shared" si="37"/>
        <v/>
      </c>
      <c r="N173" s="185" t="str">
        <f t="shared" si="38"/>
        <v/>
      </c>
      <c r="O173" s="185" t="str">
        <f t="shared" si="39"/>
        <v/>
      </c>
      <c r="P173" s="185" t="str">
        <f t="shared" si="40"/>
        <v/>
      </c>
      <c r="S173" t="s">
        <v>83</v>
      </c>
      <c r="T173" t="str">
        <f t="shared" si="41"/>
        <v>\I:</v>
      </c>
      <c r="U173" t="str">
        <f t="shared" ca="1" si="42"/>
        <v>Hybrid diesel coach -- Energy consumption</v>
      </c>
      <c r="V173" s="188" t="s">
        <v>84</v>
      </c>
      <c r="W173" s="188" t="s">
        <v>85</v>
      </c>
    </row>
    <row r="174" spans="2:23">
      <c r="B174" s="31" t="s">
        <v>14</v>
      </c>
      <c r="C174" s="32" t="s">
        <v>15</v>
      </c>
      <c r="D174" s="44">
        <v>314033.25814471301</v>
      </c>
      <c r="J174" t="str">
        <f t="shared" si="34"/>
        <v>\I:Trd_bus_</v>
      </c>
      <c r="K174" t="str">
        <f t="shared" si="36"/>
        <v>\I:</v>
      </c>
      <c r="L174" t="str">
        <f t="shared" si="35"/>
        <v>\I:</v>
      </c>
      <c r="M174" s="185" t="str">
        <f t="shared" si="37"/>
        <v/>
      </c>
      <c r="N174" s="185" t="str">
        <f t="shared" si="38"/>
        <v/>
      </c>
      <c r="O174" s="185" t="str">
        <f t="shared" si="39"/>
        <v/>
      </c>
      <c r="P174" s="185" t="str">
        <f t="shared" si="40"/>
        <v/>
      </c>
      <c r="S174" t="s">
        <v>83</v>
      </c>
      <c r="T174" t="str">
        <f t="shared" si="41"/>
        <v>\I:</v>
      </c>
      <c r="U174" t="str">
        <f t="shared" ca="1" si="42"/>
        <v>Hybrid diesel coach -- Capital cost</v>
      </c>
      <c r="V174" s="188" t="s">
        <v>84</v>
      </c>
      <c r="W174" s="188" t="s">
        <v>85</v>
      </c>
    </row>
    <row r="175" spans="2:23">
      <c r="J175" t="str">
        <f t="shared" si="34"/>
        <v>\I:Trd_bus_</v>
      </c>
      <c r="K175" t="str">
        <f t="shared" si="36"/>
        <v>\I:</v>
      </c>
      <c r="L175" t="str">
        <f t="shared" si="35"/>
        <v>\I:</v>
      </c>
      <c r="M175" s="185" t="str">
        <f t="shared" si="37"/>
        <v/>
      </c>
      <c r="N175" s="185" t="str">
        <f t="shared" si="38"/>
        <v/>
      </c>
      <c r="O175" s="185" t="str">
        <f t="shared" si="39"/>
        <v/>
      </c>
      <c r="P175" s="185" t="str">
        <f t="shared" si="40"/>
        <v/>
      </c>
      <c r="S175" t="s">
        <v>83</v>
      </c>
      <c r="T175" t="str">
        <f t="shared" si="41"/>
        <v>\I:</v>
      </c>
      <c r="U175" t="str">
        <f t="shared" ca="1" si="42"/>
        <v>Hybrid diesel coach -- 00%</v>
      </c>
      <c r="V175" s="188" t="s">
        <v>84</v>
      </c>
      <c r="W175" s="188" t="s">
        <v>85</v>
      </c>
    </row>
    <row r="176" spans="2:23" ht="15" customHeight="1">
      <c r="B176" s="179" t="s">
        <v>91</v>
      </c>
      <c r="C176" s="179" t="s">
        <v>168</v>
      </c>
      <c r="D176" s="179"/>
      <c r="E176" s="179"/>
      <c r="F176" s="179"/>
      <c r="J176" t="str">
        <f t="shared" si="34"/>
        <v>\I:Trd_bus_</v>
      </c>
      <c r="K176" t="str">
        <f t="shared" si="36"/>
        <v>\I:</v>
      </c>
      <c r="L176" t="str">
        <f t="shared" si="35"/>
        <v>\I:</v>
      </c>
      <c r="M176" s="185" t="str">
        <f t="shared" si="37"/>
        <v/>
      </c>
      <c r="N176" s="185" t="str">
        <f t="shared" si="38"/>
        <v/>
      </c>
      <c r="O176" s="185" t="str">
        <f t="shared" si="39"/>
        <v/>
      </c>
      <c r="P176" s="185" t="str">
        <f t="shared" si="40"/>
        <v/>
      </c>
      <c r="S176" t="s">
        <v>83</v>
      </c>
      <c r="T176" t="str">
        <f t="shared" si="41"/>
        <v>\I:</v>
      </c>
      <c r="U176" t="str">
        <f t="shared" ca="1" si="42"/>
        <v>Hybrid diesel coach -- Reduction of specific energy consumption relative to 2015 LPG vehicle (%)</v>
      </c>
      <c r="V176" s="188" t="s">
        <v>84</v>
      </c>
      <c r="W176" s="188" t="s">
        <v>85</v>
      </c>
    </row>
    <row r="177" spans="2:23">
      <c r="B177" s="179"/>
      <c r="C177" s="179"/>
      <c r="D177" s="179"/>
      <c r="E177" s="179"/>
      <c r="F177" s="179"/>
      <c r="J177" t="str">
        <f t="shared" si="34"/>
        <v>\I:Trd_bus_</v>
      </c>
      <c r="K177" t="str">
        <f t="shared" si="36"/>
        <v>\I:</v>
      </c>
      <c r="L177" t="str">
        <f t="shared" si="35"/>
        <v>\I:</v>
      </c>
      <c r="M177" s="185" t="str">
        <f t="shared" si="37"/>
        <v/>
      </c>
      <c r="N177" s="185" t="str">
        <f t="shared" si="38"/>
        <v/>
      </c>
      <c r="O177" s="185" t="str">
        <f t="shared" si="39"/>
        <v/>
      </c>
      <c r="P177" s="185" t="str">
        <f t="shared" si="40"/>
        <v/>
      </c>
      <c r="S177" t="s">
        <v>83</v>
      </c>
      <c r="T177" t="str">
        <f t="shared" si="41"/>
        <v>\I:</v>
      </c>
      <c r="U177" t="str">
        <f t="shared" ca="1" si="42"/>
        <v>Hybrid diesel coach -- 00%</v>
      </c>
      <c r="V177" s="188" t="s">
        <v>84</v>
      </c>
      <c r="W177" s="188" t="s">
        <v>85</v>
      </c>
    </row>
    <row r="178" spans="2:23">
      <c r="B178" s="179"/>
      <c r="C178" s="179"/>
      <c r="D178" s="179"/>
      <c r="E178" s="179"/>
      <c r="F178" s="179"/>
      <c r="J178" t="str">
        <f t="shared" si="34"/>
        <v>\I:Trd_bus_</v>
      </c>
      <c r="K178" t="str">
        <f t="shared" si="36"/>
        <v>\I:</v>
      </c>
      <c r="L178" t="str">
        <f t="shared" si="35"/>
        <v>\I:</v>
      </c>
      <c r="M178" s="185" t="str">
        <f t="shared" si="37"/>
        <v/>
      </c>
      <c r="N178" s="185" t="str">
        <f t="shared" si="38"/>
        <v/>
      </c>
      <c r="O178" s="185" t="str">
        <f t="shared" si="39"/>
        <v/>
      </c>
      <c r="P178" s="185" t="str">
        <f t="shared" si="40"/>
        <v/>
      </c>
      <c r="S178" t="s">
        <v>83</v>
      </c>
      <c r="T178" t="str">
        <f t="shared" si="41"/>
        <v>\I:</v>
      </c>
      <c r="U178" t="str">
        <f t="shared" ca="1" si="42"/>
        <v>Hybrid diesel coach -- 00%</v>
      </c>
      <c r="V178" s="188" t="s">
        <v>84</v>
      </c>
      <c r="W178" s="188" t="s">
        <v>85</v>
      </c>
    </row>
    <row r="179" spans="2:23">
      <c r="B179" s="35"/>
      <c r="C179" s="36">
        <v>2020</v>
      </c>
      <c r="D179" s="36">
        <v>2030</v>
      </c>
      <c r="E179" s="36">
        <v>2040</v>
      </c>
      <c r="F179" s="36">
        <v>2050</v>
      </c>
      <c r="J179" t="str">
        <f t="shared" si="34"/>
        <v>\I:Trd_bus_</v>
      </c>
      <c r="K179" t="str">
        <f t="shared" si="36"/>
        <v>\I:</v>
      </c>
      <c r="L179" t="str">
        <f t="shared" si="35"/>
        <v>\I:</v>
      </c>
      <c r="M179" s="185" t="str">
        <f t="shared" si="37"/>
        <v/>
      </c>
      <c r="N179" s="185" t="str">
        <f t="shared" si="38"/>
        <v/>
      </c>
      <c r="O179" s="185" t="str">
        <f t="shared" si="39"/>
        <v/>
      </c>
      <c r="P179" s="185" t="str">
        <f t="shared" si="40"/>
        <v/>
      </c>
      <c r="S179" t="s">
        <v>83</v>
      </c>
      <c r="T179" t="str">
        <f t="shared" si="41"/>
        <v>\I:</v>
      </c>
      <c r="U179" t="str">
        <f t="shared" ca="1" si="42"/>
        <v>Hybrid diesel coach -- 00%</v>
      </c>
      <c r="V179" s="188" t="s">
        <v>84</v>
      </c>
      <c r="W179" s="188" t="s">
        <v>85</v>
      </c>
    </row>
    <row r="180" spans="2:23">
      <c r="B180" s="37">
        <v>4.1010402568265103E-2</v>
      </c>
      <c r="C180" s="53">
        <v>314853.62317369599</v>
      </c>
      <c r="D180" s="53">
        <v>314853.62317369599</v>
      </c>
      <c r="E180" s="53">
        <v>314853.62317369599</v>
      </c>
      <c r="F180" s="53">
        <v>314853.62317369599</v>
      </c>
      <c r="J180" t="str">
        <f t="shared" si="34"/>
        <v>\I:Trd_bus_</v>
      </c>
      <c r="K180" t="str">
        <f t="shared" si="36"/>
        <v>\I:Trd_bus__04</v>
      </c>
      <c r="L180" t="str">
        <f t="shared" si="35"/>
        <v>\I:Trd_</v>
      </c>
      <c r="M180" s="185">
        <f t="shared" si="37"/>
        <v>314853.62317369599</v>
      </c>
      <c r="N180" s="185">
        <f t="shared" si="38"/>
        <v>314853.62317369599</v>
      </c>
      <c r="O180" s="185">
        <f t="shared" si="39"/>
        <v>314853.62317369599</v>
      </c>
      <c r="P180" s="185">
        <f t="shared" si="40"/>
        <v>314853.62317369599</v>
      </c>
      <c r="S180" t="s">
        <v>83</v>
      </c>
      <c r="T180" t="str">
        <f t="shared" si="41"/>
        <v>\I:Trd_bus__04</v>
      </c>
      <c r="U180" t="str">
        <f t="shared" ca="1" si="42"/>
        <v>Hybrid diesel coach -- 04%</v>
      </c>
      <c r="V180" s="188" t="s">
        <v>84</v>
      </c>
      <c r="W180" s="188" t="s">
        <v>85</v>
      </c>
    </row>
    <row r="181" spans="2:23">
      <c r="B181" s="37">
        <v>9.1010402568265106E-2</v>
      </c>
      <c r="C181" s="53">
        <v>316357.912857641</v>
      </c>
      <c r="D181" s="53">
        <v>315860.77133719501</v>
      </c>
      <c r="E181" s="53">
        <v>315860.77133719501</v>
      </c>
      <c r="F181" s="53">
        <v>315860.77133719501</v>
      </c>
      <c r="J181" t="str">
        <f t="shared" si="34"/>
        <v>\I:Trd_bus_</v>
      </c>
      <c r="K181" t="str">
        <f t="shared" si="36"/>
        <v>\I:Trd_bus__09</v>
      </c>
      <c r="L181" t="str">
        <f t="shared" si="35"/>
        <v>\I:Trd_</v>
      </c>
      <c r="M181" s="185">
        <f t="shared" si="37"/>
        <v>316357.912857641</v>
      </c>
      <c r="N181" s="185">
        <f t="shared" si="38"/>
        <v>315860.77133719501</v>
      </c>
      <c r="O181" s="185">
        <f t="shared" si="39"/>
        <v>315860.77133719501</v>
      </c>
      <c r="P181" s="185">
        <f t="shared" si="40"/>
        <v>315860.77133719501</v>
      </c>
      <c r="S181" t="s">
        <v>83</v>
      </c>
      <c r="T181" t="str">
        <f t="shared" si="41"/>
        <v>\I:Trd_bus__09</v>
      </c>
      <c r="U181" t="str">
        <f t="shared" ca="1" si="42"/>
        <v>Hybrid diesel coach -- 09%</v>
      </c>
      <c r="V181" s="188" t="s">
        <v>84</v>
      </c>
      <c r="W181" s="188" t="s">
        <v>85</v>
      </c>
    </row>
    <row r="182" spans="2:23">
      <c r="B182" s="37">
        <v>0.141010402568265</v>
      </c>
      <c r="C182" s="53">
        <v>317785.200592476</v>
      </c>
      <c r="D182" s="53">
        <v>317374.99616414797</v>
      </c>
      <c r="E182" s="53">
        <v>317374.99616414797</v>
      </c>
      <c r="F182" s="53">
        <v>317374.99616414797</v>
      </c>
      <c r="J182" t="str">
        <f t="shared" si="34"/>
        <v>\I:Trd_bus_</v>
      </c>
      <c r="K182" t="str">
        <f t="shared" si="36"/>
        <v>\I:Trd_bus__14</v>
      </c>
      <c r="L182" t="str">
        <f t="shared" si="35"/>
        <v>\I:Trd_</v>
      </c>
      <c r="M182" s="185">
        <f t="shared" si="37"/>
        <v>317785.200592476</v>
      </c>
      <c r="N182" s="185">
        <f t="shared" si="38"/>
        <v>317374.99616414797</v>
      </c>
      <c r="O182" s="185">
        <f t="shared" si="39"/>
        <v>317374.99616414797</v>
      </c>
      <c r="P182" s="185">
        <f t="shared" si="40"/>
        <v>317374.99616414797</v>
      </c>
      <c r="S182" t="s">
        <v>83</v>
      </c>
      <c r="T182" t="str">
        <f t="shared" si="41"/>
        <v>\I:Trd_bus__14</v>
      </c>
      <c r="U182" t="str">
        <f t="shared" ca="1" si="42"/>
        <v>Hybrid diesel coach -- 14%</v>
      </c>
      <c r="V182" s="188" t="s">
        <v>84</v>
      </c>
      <c r="W182" s="188" t="s">
        <v>85</v>
      </c>
    </row>
    <row r="183" spans="2:23">
      <c r="B183" s="37">
        <v>0.19101040256826499</v>
      </c>
      <c r="C183" s="53">
        <v>322862.916891406</v>
      </c>
      <c r="D183" s="53">
        <v>319651.599458143</v>
      </c>
      <c r="E183" s="53">
        <v>319651.599458143</v>
      </c>
      <c r="F183" s="53">
        <v>319651.599458143</v>
      </c>
      <c r="J183" t="str">
        <f t="shared" si="34"/>
        <v>\I:Trd_bus_</v>
      </c>
      <c r="K183" t="str">
        <f t="shared" si="36"/>
        <v>\I:Trd_bus__19</v>
      </c>
      <c r="L183" t="str">
        <f t="shared" si="35"/>
        <v>\I:Trd_</v>
      </c>
      <c r="M183" s="185">
        <f t="shared" si="37"/>
        <v>322862.916891406</v>
      </c>
      <c r="N183" s="185">
        <f t="shared" si="38"/>
        <v>319651.599458143</v>
      </c>
      <c r="O183" s="185">
        <f t="shared" si="39"/>
        <v>319651.599458143</v>
      </c>
      <c r="P183" s="185">
        <f t="shared" si="40"/>
        <v>319651.599458143</v>
      </c>
      <c r="S183" t="s">
        <v>83</v>
      </c>
      <c r="T183" t="str">
        <f t="shared" si="41"/>
        <v>\I:Trd_bus__19</v>
      </c>
      <c r="U183" t="str">
        <f t="shared" ca="1" si="42"/>
        <v>Hybrid diesel coach -- 19%</v>
      </c>
      <c r="V183" s="188" t="s">
        <v>84</v>
      </c>
      <c r="W183" s="188" t="s">
        <v>85</v>
      </c>
    </row>
    <row r="184" spans="2:23">
      <c r="B184" s="37">
        <v>0.241010402568265</v>
      </c>
      <c r="C184" s="53">
        <v>328683.92507743498</v>
      </c>
      <c r="D184" s="53">
        <v>323074.42179335398</v>
      </c>
      <c r="E184" s="53">
        <v>323074.42179335398</v>
      </c>
      <c r="F184" s="53">
        <v>323074.42179335398</v>
      </c>
      <c r="J184" t="str">
        <f t="shared" si="34"/>
        <v>\I:Trd_bus_</v>
      </c>
      <c r="K184" t="str">
        <f t="shared" si="36"/>
        <v>\I:Trd_bus__24</v>
      </c>
      <c r="L184" t="str">
        <f t="shared" si="35"/>
        <v>\I:Trd_</v>
      </c>
      <c r="M184" s="185">
        <f t="shared" si="37"/>
        <v>328683.92507743498</v>
      </c>
      <c r="N184" s="185">
        <f t="shared" si="38"/>
        <v>323074.42179335398</v>
      </c>
      <c r="O184" s="185">
        <f t="shared" si="39"/>
        <v>323074.42179335398</v>
      </c>
      <c r="P184" s="185">
        <f t="shared" si="40"/>
        <v>323074.42179335398</v>
      </c>
      <c r="S184" t="s">
        <v>83</v>
      </c>
      <c r="T184" t="str">
        <f t="shared" si="41"/>
        <v>\I:Trd_bus__24</v>
      </c>
      <c r="U184" t="str">
        <f t="shared" ca="1" si="42"/>
        <v>Hybrid diesel coach -- 24%</v>
      </c>
      <c r="V184" s="188" t="s">
        <v>84</v>
      </c>
      <c r="W184" s="188" t="s">
        <v>85</v>
      </c>
    </row>
    <row r="185" spans="2:23">
      <c r="B185" s="37">
        <v>0.26101040256826502</v>
      </c>
      <c r="C185" s="53">
        <v>354415.76484398398</v>
      </c>
      <c r="D185" s="53">
        <v>328347.02806626598</v>
      </c>
      <c r="E185" s="53">
        <v>328220.55892199703</v>
      </c>
      <c r="F185" s="53">
        <v>328220.55892199703</v>
      </c>
      <c r="J185" t="str">
        <f t="shared" si="34"/>
        <v>\I:Trd_bus_</v>
      </c>
      <c r="K185" t="str">
        <f t="shared" si="36"/>
        <v>\I:Trd_bus__26</v>
      </c>
      <c r="L185" t="str">
        <f t="shared" si="35"/>
        <v>\I:Trd_</v>
      </c>
      <c r="M185" s="185">
        <f t="shared" si="37"/>
        <v>354415.76484398398</v>
      </c>
      <c r="N185" s="185">
        <f t="shared" si="38"/>
        <v>328347.02806626598</v>
      </c>
      <c r="O185" s="185">
        <f t="shared" si="39"/>
        <v>328220.55892199703</v>
      </c>
      <c r="P185" s="185">
        <f t="shared" si="40"/>
        <v>328220.55892199703</v>
      </c>
      <c r="S185" t="s">
        <v>83</v>
      </c>
      <c r="T185" t="str">
        <f t="shared" si="41"/>
        <v>\I:Trd_bus__26</v>
      </c>
      <c r="U185" t="str">
        <f t="shared" ca="1" si="42"/>
        <v>Hybrid diesel coach -- 26%</v>
      </c>
      <c r="V185" s="188" t="s">
        <v>84</v>
      </c>
      <c r="W185" s="188" t="s">
        <v>85</v>
      </c>
    </row>
    <row r="186" spans="2:23">
      <c r="B186" s="37">
        <v>0.29101040256826499</v>
      </c>
      <c r="C186" s="53">
        <v>439504.49275927502</v>
      </c>
      <c r="D186" s="53">
        <v>344457.30295664002</v>
      </c>
      <c r="E186" s="53">
        <v>335957.661451208</v>
      </c>
      <c r="F186" s="53">
        <v>335957.661451208</v>
      </c>
      <c r="J186" t="str">
        <f t="shared" si="34"/>
        <v>\I:Trd_bus_</v>
      </c>
      <c r="K186" t="str">
        <f t="shared" si="36"/>
        <v>\I:Trd_bus__29</v>
      </c>
      <c r="L186" t="str">
        <f t="shared" si="35"/>
        <v>\I:Trd_</v>
      </c>
      <c r="M186" s="185">
        <f t="shared" si="37"/>
        <v>439504.49275927502</v>
      </c>
      <c r="N186" s="185">
        <f t="shared" si="38"/>
        <v>344457.30295664002</v>
      </c>
      <c r="O186" s="185">
        <f t="shared" si="39"/>
        <v>335957.661451208</v>
      </c>
      <c r="P186" s="185">
        <f t="shared" si="40"/>
        <v>335957.661451208</v>
      </c>
      <c r="S186" t="s">
        <v>83</v>
      </c>
      <c r="T186" t="str">
        <f t="shared" si="41"/>
        <v>\I:Trd_bus__29</v>
      </c>
      <c r="U186" t="str">
        <f t="shared" ca="1" si="42"/>
        <v>Hybrid diesel coach -- 29%</v>
      </c>
      <c r="V186" s="188" t="s">
        <v>84</v>
      </c>
      <c r="W186" s="188" t="s">
        <v>85</v>
      </c>
    </row>
    <row r="187" spans="2:23">
      <c r="J187" t="str">
        <f t="shared" si="34"/>
        <v>\I:Trd_bus_</v>
      </c>
      <c r="K187" t="str">
        <f t="shared" si="36"/>
        <v>\I:</v>
      </c>
      <c r="L187" t="str">
        <f t="shared" si="35"/>
        <v>\I:</v>
      </c>
      <c r="M187" s="185" t="str">
        <f t="shared" si="37"/>
        <v/>
      </c>
      <c r="N187" s="185" t="str">
        <f t="shared" si="38"/>
        <v/>
      </c>
      <c r="O187" s="185" t="str">
        <f t="shared" si="39"/>
        <v/>
      </c>
      <c r="P187" s="185" t="str">
        <f t="shared" si="40"/>
        <v/>
      </c>
      <c r="S187" t="s">
        <v>83</v>
      </c>
      <c r="T187" t="str">
        <f t="shared" si="41"/>
        <v>\I:</v>
      </c>
      <c r="U187" t="str">
        <f t="shared" ca="1" si="42"/>
        <v>Hybrid diesel coach -- 00%</v>
      </c>
      <c r="V187" s="188" t="s">
        <v>84</v>
      </c>
      <c r="W187" s="188" t="s">
        <v>85</v>
      </c>
    </row>
    <row r="188" spans="2:23">
      <c r="J188" t="str">
        <f t="shared" si="34"/>
        <v>\I:Trd_bus_</v>
      </c>
      <c r="K188" t="str">
        <f t="shared" si="36"/>
        <v>\I:</v>
      </c>
      <c r="L188" t="str">
        <f t="shared" si="35"/>
        <v>\I:</v>
      </c>
      <c r="M188" s="185" t="str">
        <f t="shared" si="37"/>
        <v/>
      </c>
      <c r="N188" s="185" t="str">
        <f t="shared" si="38"/>
        <v/>
      </c>
      <c r="O188" s="185" t="str">
        <f t="shared" si="39"/>
        <v/>
      </c>
      <c r="P188" s="185" t="str">
        <f t="shared" si="40"/>
        <v/>
      </c>
      <c r="S188" t="s">
        <v>83</v>
      </c>
      <c r="T188" t="str">
        <f t="shared" si="41"/>
        <v>\I:</v>
      </c>
      <c r="U188" t="str">
        <f t="shared" ca="1" si="42"/>
        <v>Hybrid diesel coach -- 00%</v>
      </c>
      <c r="V188" s="188" t="s">
        <v>84</v>
      </c>
      <c r="W188" s="188" t="s">
        <v>85</v>
      </c>
    </row>
    <row r="189" spans="2:23">
      <c r="J189" t="str">
        <f t="shared" si="34"/>
        <v>\I:Trd_bus_</v>
      </c>
      <c r="K189" t="str">
        <f t="shared" si="36"/>
        <v>\I:</v>
      </c>
      <c r="L189" t="str">
        <f t="shared" si="35"/>
        <v>\I:</v>
      </c>
      <c r="M189" s="185" t="str">
        <f t="shared" si="37"/>
        <v/>
      </c>
      <c r="N189" s="185" t="str">
        <f t="shared" si="38"/>
        <v/>
      </c>
      <c r="O189" s="185" t="str">
        <f t="shared" si="39"/>
        <v/>
      </c>
      <c r="P189" s="185" t="str">
        <f t="shared" si="40"/>
        <v/>
      </c>
      <c r="S189" t="s">
        <v>83</v>
      </c>
      <c r="T189" t="str">
        <f t="shared" si="41"/>
        <v>\I:</v>
      </c>
      <c r="U189" t="str">
        <f t="shared" ca="1" si="42"/>
        <v>Hybrid diesel coach -- 00%</v>
      </c>
      <c r="V189" s="188" t="s">
        <v>84</v>
      </c>
      <c r="W189" s="188" t="s">
        <v>85</v>
      </c>
    </row>
    <row r="190" spans="2:23">
      <c r="B190" s="177">
        <v>2020</v>
      </c>
      <c r="C190" s="177"/>
      <c r="D190" s="177"/>
      <c r="J190" t="str">
        <f t="shared" si="34"/>
        <v>\I:Trd_bus_</v>
      </c>
      <c r="K190" t="str">
        <f t="shared" si="36"/>
        <v>\I:</v>
      </c>
      <c r="L190" t="str">
        <f t="shared" si="35"/>
        <v>\I:</v>
      </c>
      <c r="M190" s="185" t="str">
        <f t="shared" si="37"/>
        <v/>
      </c>
      <c r="N190" s="185" t="str">
        <f t="shared" si="38"/>
        <v/>
      </c>
      <c r="O190" s="185" t="str">
        <f t="shared" si="39"/>
        <v/>
      </c>
      <c r="P190" s="185" t="str">
        <f t="shared" si="40"/>
        <v/>
      </c>
      <c r="S190" t="s">
        <v>83</v>
      </c>
      <c r="T190" t="str">
        <f t="shared" si="41"/>
        <v>\I:</v>
      </c>
      <c r="U190" t="str">
        <f t="shared" ca="1" si="42"/>
        <v>Hybrid diesel coach -- 202000%</v>
      </c>
      <c r="V190" s="188" t="s">
        <v>84</v>
      </c>
      <c r="W190" s="188" t="s">
        <v>85</v>
      </c>
    </row>
    <row r="191" spans="2:23">
      <c r="B191" s="31" t="s">
        <v>169</v>
      </c>
      <c r="C191" s="32" t="s">
        <v>26</v>
      </c>
      <c r="D191" s="47">
        <v>1.1499999999999999</v>
      </c>
      <c r="J191" t="str">
        <f t="shared" si="34"/>
        <v>\I:Trd_bus_</v>
      </c>
      <c r="K191" t="str">
        <f t="shared" si="36"/>
        <v>\I:</v>
      </c>
      <c r="L191" t="str">
        <f t="shared" si="35"/>
        <v>\I:</v>
      </c>
      <c r="M191" s="185" t="str">
        <f t="shared" si="37"/>
        <v/>
      </c>
      <c r="N191" s="185" t="str">
        <f t="shared" si="38"/>
        <v/>
      </c>
      <c r="O191" s="185" t="str">
        <f t="shared" si="39"/>
        <v/>
      </c>
      <c r="P191" s="185" t="str">
        <f t="shared" si="40"/>
        <v/>
      </c>
      <c r="S191" t="s">
        <v>83</v>
      </c>
      <c r="T191" t="str">
        <f t="shared" si="41"/>
        <v>\I:</v>
      </c>
      <c r="U191" t="str">
        <f t="shared" ca="1" si="42"/>
        <v>Hybrid diesel coach -- Energy consumption of Battery electric coach</v>
      </c>
      <c r="V191" s="188" t="s">
        <v>84</v>
      </c>
      <c r="W191" s="188" t="s">
        <v>85</v>
      </c>
    </row>
    <row r="192" spans="2:23">
      <c r="J192" t="str">
        <f t="shared" si="34"/>
        <v>\I:Trd_bus_</v>
      </c>
      <c r="K192" t="str">
        <f t="shared" si="36"/>
        <v>\I:</v>
      </c>
      <c r="L192" t="str">
        <f t="shared" si="35"/>
        <v>\I:</v>
      </c>
      <c r="M192" s="185" t="str">
        <f t="shared" si="37"/>
        <v/>
      </c>
      <c r="N192" s="185" t="str">
        <f t="shared" si="38"/>
        <v/>
      </c>
      <c r="O192" s="185" t="str">
        <f t="shared" si="39"/>
        <v/>
      </c>
      <c r="P192" s="185" t="str">
        <f t="shared" si="40"/>
        <v/>
      </c>
      <c r="S192" t="s">
        <v>83</v>
      </c>
      <c r="T192" t="str">
        <f t="shared" si="41"/>
        <v>\I:</v>
      </c>
      <c r="U192" t="str">
        <f t="shared" ca="1" si="42"/>
        <v>Hybrid diesel coach -- 00%</v>
      </c>
      <c r="V192" s="188" t="s">
        <v>84</v>
      </c>
      <c r="W192" s="188" t="s">
        <v>85</v>
      </c>
    </row>
    <row r="193" spans="2:23" ht="15" customHeight="1">
      <c r="B193" s="179" t="s">
        <v>27</v>
      </c>
      <c r="C193" s="179" t="s">
        <v>157</v>
      </c>
      <c r="D193" s="179"/>
      <c r="E193" s="179"/>
      <c r="F193" s="179"/>
      <c r="J193" t="str">
        <f t="shared" si="34"/>
        <v>\I:Trd_bus_</v>
      </c>
      <c r="K193" t="str">
        <f t="shared" si="36"/>
        <v>\I:</v>
      </c>
      <c r="L193" t="str">
        <f t="shared" si="35"/>
        <v>\I:</v>
      </c>
      <c r="M193" s="185" t="str">
        <f t="shared" si="37"/>
        <v/>
      </c>
      <c r="N193" s="185" t="str">
        <f t="shared" si="38"/>
        <v/>
      </c>
      <c r="O193" s="185" t="str">
        <f t="shared" si="39"/>
        <v/>
      </c>
      <c r="P193" s="185" t="str">
        <f t="shared" si="40"/>
        <v/>
      </c>
      <c r="S193" t="s">
        <v>83</v>
      </c>
      <c r="T193" t="str">
        <f t="shared" si="41"/>
        <v>\I:</v>
      </c>
      <c r="U193" t="str">
        <f t="shared" ca="1" si="42"/>
        <v>Hybrid diesel coach -- Electric range (km)</v>
      </c>
      <c r="V193" s="188" t="s">
        <v>84</v>
      </c>
      <c r="W193" s="188" t="s">
        <v>85</v>
      </c>
    </row>
    <row r="194" spans="2:23">
      <c r="B194" s="179"/>
      <c r="C194" s="179"/>
      <c r="D194" s="179"/>
      <c r="E194" s="179"/>
      <c r="F194" s="179"/>
      <c r="J194" t="str">
        <f t="shared" si="34"/>
        <v>\I:Trd_bus_</v>
      </c>
      <c r="K194" t="str">
        <f t="shared" si="36"/>
        <v>\I:</v>
      </c>
      <c r="L194" t="str">
        <f t="shared" si="35"/>
        <v>\I:</v>
      </c>
      <c r="M194" s="185" t="str">
        <f t="shared" si="37"/>
        <v/>
      </c>
      <c r="N194" s="185" t="str">
        <f t="shared" si="38"/>
        <v/>
      </c>
      <c r="O194" s="185" t="str">
        <f t="shared" si="39"/>
        <v/>
      </c>
      <c r="P194" s="185" t="str">
        <f t="shared" si="40"/>
        <v/>
      </c>
      <c r="S194" t="s">
        <v>83</v>
      </c>
      <c r="T194" t="str">
        <f t="shared" si="41"/>
        <v>\I:</v>
      </c>
      <c r="U194" t="str">
        <f t="shared" ca="1" si="42"/>
        <v>Hybrid diesel coach -- 00%</v>
      </c>
      <c r="V194" s="188" t="s">
        <v>84</v>
      </c>
      <c r="W194" s="188" t="s">
        <v>85</v>
      </c>
    </row>
    <row r="195" spans="2:23">
      <c r="B195" s="179"/>
      <c r="C195" s="179"/>
      <c r="D195" s="179"/>
      <c r="E195" s="179"/>
      <c r="F195" s="179"/>
      <c r="J195" t="str">
        <f t="shared" si="34"/>
        <v>\I:Trd_bus_</v>
      </c>
      <c r="K195" t="str">
        <f t="shared" si="36"/>
        <v>\I:</v>
      </c>
      <c r="L195" t="str">
        <f t="shared" si="35"/>
        <v>\I:</v>
      </c>
      <c r="M195" s="185" t="str">
        <f t="shared" si="37"/>
        <v/>
      </c>
      <c r="N195" s="185" t="str">
        <f t="shared" si="38"/>
        <v/>
      </c>
      <c r="O195" s="185" t="str">
        <f t="shared" si="39"/>
        <v/>
      </c>
      <c r="P195" s="185" t="str">
        <f t="shared" si="40"/>
        <v/>
      </c>
      <c r="S195" t="s">
        <v>83</v>
      </c>
      <c r="T195" t="str">
        <f t="shared" si="41"/>
        <v>\I:</v>
      </c>
      <c r="U195" t="str">
        <f t="shared" ca="1" si="42"/>
        <v>Hybrid diesel coach -- 00%</v>
      </c>
      <c r="V195" s="188" t="s">
        <v>84</v>
      </c>
      <c r="W195" s="188" t="s">
        <v>85</v>
      </c>
    </row>
    <row r="196" spans="2:23">
      <c r="B196" s="35"/>
      <c r="C196" s="36">
        <v>2020</v>
      </c>
      <c r="D196" s="36">
        <v>2030</v>
      </c>
      <c r="E196" s="36">
        <v>2040</v>
      </c>
      <c r="F196" s="36">
        <v>2050</v>
      </c>
      <c r="J196" t="str">
        <f t="shared" si="34"/>
        <v>\I:Trd_bus_</v>
      </c>
      <c r="K196" t="str">
        <f t="shared" si="36"/>
        <v>\I:</v>
      </c>
      <c r="L196" t="str">
        <f t="shared" si="35"/>
        <v>\I:</v>
      </c>
      <c r="M196" s="185" t="str">
        <f t="shared" si="37"/>
        <v/>
      </c>
      <c r="N196" s="185" t="str">
        <f t="shared" si="38"/>
        <v/>
      </c>
      <c r="O196" s="185" t="str">
        <f t="shared" si="39"/>
        <v/>
      </c>
      <c r="P196" s="185" t="str">
        <f t="shared" si="40"/>
        <v/>
      </c>
      <c r="S196" t="s">
        <v>83</v>
      </c>
      <c r="T196" t="str">
        <f t="shared" si="41"/>
        <v>\I:</v>
      </c>
      <c r="U196" t="str">
        <f t="shared" ca="1" si="42"/>
        <v>Hybrid diesel coach -- 00%</v>
      </c>
      <c r="V196" s="188" t="s">
        <v>84</v>
      </c>
      <c r="W196" s="188" t="s">
        <v>85</v>
      </c>
    </row>
    <row r="197" spans="2:23">
      <c r="B197" s="51">
        <v>120</v>
      </c>
      <c r="C197" s="53">
        <v>432403.14919654699</v>
      </c>
      <c r="D197" s="53">
        <v>321623.42092652799</v>
      </c>
      <c r="E197" s="53">
        <v>308656.06654711202</v>
      </c>
      <c r="F197" s="53">
        <v>303278.40767327702</v>
      </c>
      <c r="J197" t="str">
        <f t="shared" si="34"/>
        <v>\I:Trd_bus_</v>
      </c>
      <c r="K197" t="str">
        <f t="shared" si="36"/>
        <v>\I:Trd_bus__12000</v>
      </c>
      <c r="L197" t="str">
        <f t="shared" si="35"/>
        <v>\I:Trd_</v>
      </c>
      <c r="M197" s="185">
        <f t="shared" si="37"/>
        <v>432403.14919654699</v>
      </c>
      <c r="N197" s="185">
        <f t="shared" si="38"/>
        <v>321623.42092652799</v>
      </c>
      <c r="O197" s="185">
        <f t="shared" si="39"/>
        <v>308656.06654711202</v>
      </c>
      <c r="P197" s="185">
        <f t="shared" si="40"/>
        <v>303278.40767327702</v>
      </c>
      <c r="S197" t="s">
        <v>83</v>
      </c>
      <c r="T197" t="str">
        <f t="shared" si="41"/>
        <v>\I:Trd_bus__12000</v>
      </c>
      <c r="U197" t="str">
        <f t="shared" ca="1" si="42"/>
        <v>Hybrid diesel coach -- 12000%</v>
      </c>
      <c r="V197" s="188" t="s">
        <v>84</v>
      </c>
      <c r="W197" s="188" t="s">
        <v>85</v>
      </c>
    </row>
    <row r="198" spans="2:23">
      <c r="B198" s="51">
        <v>134.28571428571399</v>
      </c>
      <c r="C198" s="53">
        <v>436722.07335678599</v>
      </c>
      <c r="D198" s="53">
        <v>324694.57585262298</v>
      </c>
      <c r="E198" s="53">
        <v>310226.23133341898</v>
      </c>
      <c r="F198" s="53">
        <v>304226.10061925498</v>
      </c>
      <c r="J198" t="str">
        <f t="shared" si="34"/>
        <v>\I:Trd_bus_</v>
      </c>
      <c r="K198" t="str">
        <f t="shared" si="36"/>
        <v>\I:Trd_bus__13429</v>
      </c>
      <c r="L198" t="str">
        <f t="shared" si="35"/>
        <v>\I:Trd_</v>
      </c>
      <c r="M198" s="185">
        <f t="shared" si="37"/>
        <v>436722.07335678599</v>
      </c>
      <c r="N198" s="185">
        <f t="shared" si="38"/>
        <v>324694.57585262298</v>
      </c>
      <c r="O198" s="185">
        <f t="shared" si="39"/>
        <v>310226.23133341898</v>
      </c>
      <c r="P198" s="185">
        <f t="shared" si="40"/>
        <v>304226.10061925498</v>
      </c>
      <c r="S198" t="s">
        <v>83</v>
      </c>
      <c r="T198" t="str">
        <f t="shared" si="41"/>
        <v>\I:Trd_bus__13429</v>
      </c>
      <c r="U198" t="str">
        <f t="shared" ca="1" si="42"/>
        <v>Hybrid diesel coach -- 13429%</v>
      </c>
      <c r="V198" s="188" t="s">
        <v>84</v>
      </c>
      <c r="W198" s="188" t="s">
        <v>85</v>
      </c>
    </row>
    <row r="199" spans="2:23">
      <c r="B199" s="51">
        <v>148.57142857142901</v>
      </c>
      <c r="C199" s="53">
        <v>439101.34133176203</v>
      </c>
      <c r="D199" s="53">
        <v>326386.45565665298</v>
      </c>
      <c r="E199" s="53">
        <v>311091.22517283203</v>
      </c>
      <c r="F199" s="53">
        <v>304748.17866295698</v>
      </c>
      <c r="J199" t="str">
        <f t="shared" si="34"/>
        <v>\I:Trd_bus_</v>
      </c>
      <c r="K199" t="str">
        <f t="shared" si="36"/>
        <v>\I:Trd_bus__14857</v>
      </c>
      <c r="L199" t="str">
        <f t="shared" si="35"/>
        <v>\I:Trd_</v>
      </c>
      <c r="M199" s="185">
        <f t="shared" si="37"/>
        <v>439101.34133176203</v>
      </c>
      <c r="N199" s="185">
        <f t="shared" si="38"/>
        <v>326386.45565665298</v>
      </c>
      <c r="O199" s="185">
        <f t="shared" si="39"/>
        <v>311091.22517283203</v>
      </c>
      <c r="P199" s="185">
        <f t="shared" si="40"/>
        <v>304748.17866295698</v>
      </c>
      <c r="S199" t="s">
        <v>83</v>
      </c>
      <c r="T199" t="str">
        <f t="shared" si="41"/>
        <v>\I:Trd_bus__14857</v>
      </c>
      <c r="U199" t="str">
        <f t="shared" ca="1" si="42"/>
        <v>Hybrid diesel coach -- 14857%</v>
      </c>
      <c r="V199" s="188" t="s">
        <v>84</v>
      </c>
      <c r="W199" s="188" t="s">
        <v>85</v>
      </c>
    </row>
    <row r="200" spans="2:23">
      <c r="B200" s="51">
        <v>162.857142857143</v>
      </c>
      <c r="C200" s="53">
        <v>441517.14549491601</v>
      </c>
      <c r="D200" s="53">
        <v>328104.31607301597</v>
      </c>
      <c r="E200" s="53">
        <v>311969.50191186799</v>
      </c>
      <c r="F200" s="53">
        <v>305278.27376982599</v>
      </c>
      <c r="J200" t="str">
        <f t="shared" si="34"/>
        <v>\I:Trd_bus_</v>
      </c>
      <c r="K200" t="str">
        <f t="shared" si="36"/>
        <v>\I:Trd_bus__16286</v>
      </c>
      <c r="L200" t="str">
        <f t="shared" si="35"/>
        <v>\I:Trd_</v>
      </c>
      <c r="M200" s="185">
        <f t="shared" si="37"/>
        <v>441517.14549491601</v>
      </c>
      <c r="N200" s="185">
        <f t="shared" si="38"/>
        <v>328104.31607301597</v>
      </c>
      <c r="O200" s="185">
        <f t="shared" si="39"/>
        <v>311969.50191186799</v>
      </c>
      <c r="P200" s="185">
        <f t="shared" si="40"/>
        <v>305278.27376982599</v>
      </c>
      <c r="S200" t="s">
        <v>83</v>
      </c>
      <c r="T200" t="str">
        <f t="shared" si="41"/>
        <v>\I:Trd_bus__16286</v>
      </c>
      <c r="U200" t="str">
        <f t="shared" ca="1" si="42"/>
        <v>Hybrid diesel coach -- 16286%</v>
      </c>
      <c r="V200" s="188" t="s">
        <v>84</v>
      </c>
      <c r="W200" s="188" t="s">
        <v>85</v>
      </c>
    </row>
    <row r="201" spans="2:23">
      <c r="B201" s="51">
        <v>177.142857142857</v>
      </c>
      <c r="C201" s="53">
        <v>444078.767318675</v>
      </c>
      <c r="D201" s="53">
        <v>329925.86634594202</v>
      </c>
      <c r="E201" s="53">
        <v>312900.791333556</v>
      </c>
      <c r="F201" s="53">
        <v>305840.36535619601</v>
      </c>
      <c r="J201" t="str">
        <f t="shared" si="34"/>
        <v>\I:Trd_bus_</v>
      </c>
      <c r="K201" t="str">
        <f t="shared" si="36"/>
        <v>\I:Trd_bus__17714</v>
      </c>
      <c r="L201" t="str">
        <f t="shared" si="35"/>
        <v>\I:Trd_</v>
      </c>
      <c r="M201" s="185">
        <f t="shared" si="37"/>
        <v>444078.767318675</v>
      </c>
      <c r="N201" s="185">
        <f t="shared" si="38"/>
        <v>329925.86634594202</v>
      </c>
      <c r="O201" s="185">
        <f t="shared" si="39"/>
        <v>312900.791333556</v>
      </c>
      <c r="P201" s="185">
        <f t="shared" si="40"/>
        <v>305840.36535619601</v>
      </c>
      <c r="S201" t="s">
        <v>83</v>
      </c>
      <c r="T201" t="str">
        <f t="shared" si="41"/>
        <v>\I:Trd_bus__17714</v>
      </c>
      <c r="U201" t="str">
        <f t="shared" ca="1" si="42"/>
        <v>Hybrid diesel coach -- 17714%</v>
      </c>
      <c r="V201" s="188" t="s">
        <v>84</v>
      </c>
      <c r="W201" s="188" t="s">
        <v>85</v>
      </c>
    </row>
    <row r="202" spans="2:23">
      <c r="B202" s="51">
        <v>350</v>
      </c>
      <c r="C202" s="53">
        <v>488912.15374366997</v>
      </c>
      <c r="D202" s="53">
        <v>365809.48216632201</v>
      </c>
      <c r="E202" s="53">
        <v>330905.62947952602</v>
      </c>
      <c r="F202" s="53">
        <v>316707.41463229799</v>
      </c>
      <c r="J202" t="str">
        <f t="shared" si="34"/>
        <v>\I:Trd_bus_</v>
      </c>
      <c r="K202" t="str">
        <f t="shared" si="36"/>
        <v>\I:Trd_bus__35000</v>
      </c>
      <c r="L202" t="str">
        <f t="shared" si="35"/>
        <v>\I:Trd_</v>
      </c>
      <c r="M202" s="185">
        <f t="shared" si="37"/>
        <v>488912.15374366997</v>
      </c>
      <c r="N202" s="185">
        <f t="shared" si="38"/>
        <v>365809.48216632201</v>
      </c>
      <c r="O202" s="185">
        <f t="shared" si="39"/>
        <v>330905.62947952602</v>
      </c>
      <c r="P202" s="185">
        <f t="shared" si="40"/>
        <v>316707.41463229799</v>
      </c>
      <c r="S202" t="s">
        <v>83</v>
      </c>
      <c r="T202" t="str">
        <f t="shared" si="41"/>
        <v>\I:Trd_bus__35000</v>
      </c>
      <c r="U202" t="str">
        <f t="shared" ca="1" si="42"/>
        <v>Hybrid diesel coach -- 35000%</v>
      </c>
      <c r="V202" s="188" t="s">
        <v>84</v>
      </c>
      <c r="W202" s="188" t="s">
        <v>85</v>
      </c>
    </row>
    <row r="203" spans="2:23">
      <c r="B203" s="51">
        <v>500</v>
      </c>
      <c r="C203" s="53">
        <v>530094.96330747404</v>
      </c>
      <c r="D203" s="53">
        <v>398620.77622021397</v>
      </c>
      <c r="E203" s="53">
        <v>348984.26580647699</v>
      </c>
      <c r="F203" s="53">
        <v>327038.15025439899</v>
      </c>
      <c r="J203" t="str">
        <f t="shared" si="34"/>
        <v>\I:Trd_bus_</v>
      </c>
      <c r="K203" t="str">
        <f t="shared" si="36"/>
        <v>\I:Trd_bus__50000</v>
      </c>
      <c r="L203" t="str">
        <f t="shared" si="35"/>
        <v>\I:Trd_</v>
      </c>
      <c r="M203" s="185">
        <f t="shared" si="37"/>
        <v>530094.96330747404</v>
      </c>
      <c r="N203" s="185">
        <f t="shared" si="38"/>
        <v>398620.77622021397</v>
      </c>
      <c r="O203" s="185">
        <f t="shared" si="39"/>
        <v>348984.26580647699</v>
      </c>
      <c r="P203" s="185">
        <f t="shared" si="40"/>
        <v>327038.15025439899</v>
      </c>
      <c r="S203" t="s">
        <v>83</v>
      </c>
      <c r="T203" t="str">
        <f t="shared" si="41"/>
        <v>\I:Trd_bus__50000</v>
      </c>
      <c r="U203" t="str">
        <f t="shared" ca="1" si="42"/>
        <v>Hybrid diesel coach -- 50000%</v>
      </c>
      <c r="V203" s="188" t="s">
        <v>84</v>
      </c>
      <c r="W203" s="188" t="s">
        <v>85</v>
      </c>
    </row>
    <row r="204" spans="2:23">
      <c r="B204" s="51">
        <v>600</v>
      </c>
      <c r="C204" s="53">
        <v>565928.36138745304</v>
      </c>
      <c r="D204" s="53">
        <v>427615.94590543001</v>
      </c>
      <c r="E204" s="53">
        <v>362846.01604123</v>
      </c>
      <c r="F204" s="53">
        <v>335985.44156315899</v>
      </c>
      <c r="J204" t="str">
        <f t="shared" si="34"/>
        <v>\I:Trd_bus_</v>
      </c>
      <c r="K204" t="str">
        <f t="shared" si="36"/>
        <v>\I:Trd_bus__60000</v>
      </c>
      <c r="L204" t="str">
        <f t="shared" si="35"/>
        <v>\I:Trd_</v>
      </c>
      <c r="M204" s="185">
        <f t="shared" si="37"/>
        <v>565928.36138745304</v>
      </c>
      <c r="N204" s="185">
        <f t="shared" si="38"/>
        <v>427615.94590543001</v>
      </c>
      <c r="O204" s="185">
        <f t="shared" si="39"/>
        <v>362846.01604123</v>
      </c>
      <c r="P204" s="185">
        <f t="shared" si="40"/>
        <v>335985.44156315899</v>
      </c>
      <c r="S204" t="s">
        <v>83</v>
      </c>
      <c r="T204" t="str">
        <f t="shared" si="41"/>
        <v>\I:Trd_bus__60000</v>
      </c>
      <c r="U204" t="str">
        <f t="shared" ca="1" si="42"/>
        <v>Hybrid diesel coach -- 60000%</v>
      </c>
      <c r="V204" s="188" t="s">
        <v>84</v>
      </c>
      <c r="W204" s="188" t="s">
        <v>85</v>
      </c>
    </row>
    <row r="205" spans="2:23">
      <c r="B205" s="185"/>
      <c r="J205" t="str">
        <f t="shared" si="34"/>
        <v>\I:Trd_bus_</v>
      </c>
      <c r="K205" t="str">
        <f t="shared" si="36"/>
        <v>\I:</v>
      </c>
      <c r="L205" t="str">
        <f t="shared" si="35"/>
        <v>\I:</v>
      </c>
      <c r="M205" s="185" t="str">
        <f t="shared" si="37"/>
        <v/>
      </c>
      <c r="N205" s="185" t="str">
        <f t="shared" si="38"/>
        <v/>
      </c>
      <c r="O205" s="185" t="str">
        <f t="shared" si="39"/>
        <v/>
      </c>
      <c r="P205" s="185" t="str">
        <f t="shared" si="40"/>
        <v/>
      </c>
      <c r="S205" t="s">
        <v>83</v>
      </c>
      <c r="T205" t="str">
        <f t="shared" si="41"/>
        <v>\I:</v>
      </c>
      <c r="U205" t="str">
        <f t="shared" ca="1" si="42"/>
        <v>Hybrid diesel coach -- 00%</v>
      </c>
      <c r="V205" s="188" t="s">
        <v>84</v>
      </c>
      <c r="W205" s="188" t="s">
        <v>85</v>
      </c>
    </row>
    <row r="206" spans="2:23">
      <c r="J206" t="str">
        <f t="shared" ref="J206:J219" si="43">IFERROR(VLOOKUP(C206,$R$1:$S$9,2,FALSE),J205)</f>
        <v>\I:Trd_bus_</v>
      </c>
      <c r="K206" t="str">
        <f t="shared" si="36"/>
        <v>\I:</v>
      </c>
      <c r="L206" t="str">
        <f t="shared" ref="L206:L219" si="44">LEFT(K206,7)</f>
        <v>\I:</v>
      </c>
      <c r="M206" s="185" t="str">
        <f t="shared" si="37"/>
        <v/>
      </c>
      <c r="N206" s="185" t="str">
        <f t="shared" si="38"/>
        <v/>
      </c>
      <c r="O206" s="185" t="str">
        <f t="shared" si="39"/>
        <v/>
      </c>
      <c r="P206" s="185" t="str">
        <f t="shared" si="40"/>
        <v/>
      </c>
      <c r="S206" t="s">
        <v>83</v>
      </c>
      <c r="T206" t="str">
        <f t="shared" si="41"/>
        <v>\I:</v>
      </c>
      <c r="U206" t="str">
        <f t="shared" ca="1" si="42"/>
        <v>Hybrid diesel coach -- 00%</v>
      </c>
      <c r="V206" s="188" t="s">
        <v>84</v>
      </c>
      <c r="W206" s="188" t="s">
        <v>85</v>
      </c>
    </row>
    <row r="207" spans="2:23">
      <c r="J207" t="str">
        <f t="shared" si="43"/>
        <v>\I:Trd_bus_</v>
      </c>
      <c r="K207" t="str">
        <f t="shared" si="36"/>
        <v>\I:</v>
      </c>
      <c r="L207" t="str">
        <f t="shared" si="44"/>
        <v>\I:</v>
      </c>
      <c r="M207" s="185" t="str">
        <f t="shared" si="37"/>
        <v/>
      </c>
      <c r="N207" s="185" t="str">
        <f t="shared" si="38"/>
        <v/>
      </c>
      <c r="O207" s="185" t="str">
        <f t="shared" si="39"/>
        <v/>
      </c>
      <c r="P207" s="185" t="str">
        <f t="shared" si="40"/>
        <v/>
      </c>
      <c r="S207" t="s">
        <v>83</v>
      </c>
      <c r="T207" t="str">
        <f t="shared" si="41"/>
        <v>\I:</v>
      </c>
      <c r="U207" t="str">
        <f t="shared" ca="1" si="42"/>
        <v>Hybrid diesel coach -- 00%</v>
      </c>
      <c r="V207" s="188" t="s">
        <v>84</v>
      </c>
      <c r="W207" s="188" t="s">
        <v>85</v>
      </c>
    </row>
    <row r="208" spans="2:23" ht="21.75" customHeight="1">
      <c r="B208" s="179" t="s">
        <v>29</v>
      </c>
      <c r="C208" s="179" t="s">
        <v>170</v>
      </c>
      <c r="D208" s="179"/>
      <c r="E208" s="179"/>
      <c r="F208" s="179"/>
      <c r="J208" t="str">
        <f t="shared" si="43"/>
        <v>\I:Trd_bus_</v>
      </c>
      <c r="K208" t="str">
        <f t="shared" si="36"/>
        <v>\I:</v>
      </c>
      <c r="L208" t="str">
        <f t="shared" si="44"/>
        <v>\I:</v>
      </c>
      <c r="M208" s="185" t="str">
        <f t="shared" si="37"/>
        <v/>
      </c>
      <c r="N208" s="185" t="str">
        <f t="shared" si="38"/>
        <v/>
      </c>
      <c r="O208" s="185" t="str">
        <f t="shared" si="39"/>
        <v/>
      </c>
      <c r="P208" s="185" t="str">
        <f t="shared" si="40"/>
        <v/>
      </c>
      <c r="S208" t="s">
        <v>83</v>
      </c>
      <c r="T208" t="str">
        <f t="shared" si="41"/>
        <v>\I:</v>
      </c>
      <c r="U208" t="str">
        <f t="shared" ca="1" si="42"/>
        <v>Hybrid diesel coach -- Energy consumption (kg H2/100km)</v>
      </c>
      <c r="V208" s="188" t="s">
        <v>84</v>
      </c>
      <c r="W208" s="188" t="s">
        <v>85</v>
      </c>
    </row>
    <row r="209" spans="2:23" ht="21.75" customHeight="1">
      <c r="B209" s="179"/>
      <c r="C209" s="179"/>
      <c r="D209" s="179"/>
      <c r="E209" s="179"/>
      <c r="F209" s="179"/>
      <c r="J209" t="str">
        <f t="shared" si="43"/>
        <v>\I:Trd_bus_</v>
      </c>
      <c r="K209" t="str">
        <f t="shared" si="36"/>
        <v>\I:</v>
      </c>
      <c r="L209" t="str">
        <f t="shared" si="44"/>
        <v>\I:</v>
      </c>
      <c r="M209" s="185" t="str">
        <f t="shared" si="37"/>
        <v/>
      </c>
      <c r="N209" s="185" t="str">
        <f t="shared" si="38"/>
        <v/>
      </c>
      <c r="O209" s="185" t="str">
        <f t="shared" si="39"/>
        <v/>
      </c>
      <c r="P209" s="185" t="str">
        <f t="shared" si="40"/>
        <v/>
      </c>
      <c r="S209" t="s">
        <v>83</v>
      </c>
      <c r="T209" t="str">
        <f t="shared" si="41"/>
        <v>\I:</v>
      </c>
      <c r="U209" t="str">
        <f t="shared" ca="1" si="42"/>
        <v>Hybrid diesel coach -- 00%</v>
      </c>
      <c r="V209" s="188" t="s">
        <v>84</v>
      </c>
      <c r="W209" s="188" t="s">
        <v>85</v>
      </c>
    </row>
    <row r="210" spans="2:23">
      <c r="B210" s="179"/>
      <c r="C210" s="179"/>
      <c r="D210" s="179"/>
      <c r="E210" s="179"/>
      <c r="F210" s="179"/>
      <c r="J210" t="str">
        <f t="shared" si="43"/>
        <v>\I:Trd_bus_</v>
      </c>
      <c r="K210" t="str">
        <f t="shared" si="36"/>
        <v>\I:</v>
      </c>
      <c r="L210" t="str">
        <f t="shared" si="44"/>
        <v>\I:</v>
      </c>
      <c r="M210" s="185" t="str">
        <f t="shared" si="37"/>
        <v/>
      </c>
      <c r="N210" s="185" t="str">
        <f t="shared" si="38"/>
        <v/>
      </c>
      <c r="O210" s="185" t="str">
        <f t="shared" si="39"/>
        <v/>
      </c>
      <c r="P210" s="185" t="str">
        <f t="shared" si="40"/>
        <v/>
      </c>
      <c r="S210" t="s">
        <v>83</v>
      </c>
      <c r="T210" t="str">
        <f t="shared" si="41"/>
        <v>\I:</v>
      </c>
      <c r="U210" t="str">
        <f t="shared" ca="1" si="42"/>
        <v>Hybrid diesel coach -- 00%</v>
      </c>
      <c r="V210" s="188" t="s">
        <v>84</v>
      </c>
      <c r="W210" s="188" t="s">
        <v>85</v>
      </c>
    </row>
    <row r="211" spans="2:23">
      <c r="B211" s="35"/>
      <c r="C211" s="36">
        <v>2020</v>
      </c>
      <c r="D211" s="36">
        <v>2030</v>
      </c>
      <c r="E211" s="36">
        <v>2040</v>
      </c>
      <c r="F211" s="36">
        <v>2050</v>
      </c>
      <c r="J211" t="str">
        <f t="shared" si="43"/>
        <v>\I:Trd_bus_</v>
      </c>
      <c r="K211" t="str">
        <f t="shared" si="36"/>
        <v>\I:</v>
      </c>
      <c r="L211" t="str">
        <f t="shared" si="44"/>
        <v>\I:</v>
      </c>
      <c r="M211" s="185" t="str">
        <f t="shared" si="37"/>
        <v/>
      </c>
      <c r="N211" s="185" t="str">
        <f t="shared" si="38"/>
        <v/>
      </c>
      <c r="O211" s="185" t="str">
        <f t="shared" si="39"/>
        <v/>
      </c>
      <c r="P211" s="185" t="str">
        <f t="shared" si="40"/>
        <v/>
      </c>
      <c r="S211" t="s">
        <v>83</v>
      </c>
      <c r="T211" t="str">
        <f t="shared" si="41"/>
        <v>\I:</v>
      </c>
      <c r="U211" t="str">
        <f t="shared" ca="1" si="42"/>
        <v>Hybrid diesel coach -- 00%</v>
      </c>
      <c r="V211" s="188" t="s">
        <v>84</v>
      </c>
      <c r="W211" s="188" t="s">
        <v>85</v>
      </c>
    </row>
    <row r="212" spans="2:23">
      <c r="B212" s="43">
        <v>6.6521739130434803</v>
      </c>
      <c r="C212" s="53">
        <v>645414.91788152303</v>
      </c>
      <c r="D212" s="53">
        <v>417379.00710580603</v>
      </c>
      <c r="E212" s="53">
        <v>354901.720144819</v>
      </c>
      <c r="F212" s="53">
        <v>338590.05949309701</v>
      </c>
      <c r="J212" t="str">
        <f t="shared" si="43"/>
        <v>\I:Trd_bus_</v>
      </c>
      <c r="K212" t="str">
        <f t="shared" si="36"/>
        <v>\I:Trd_bus__665</v>
      </c>
      <c r="L212" t="str">
        <f t="shared" si="44"/>
        <v>\I:Trd_</v>
      </c>
      <c r="M212" s="185">
        <f t="shared" si="37"/>
        <v>645414.91788152303</v>
      </c>
      <c r="N212" s="185">
        <f t="shared" si="38"/>
        <v>417379.00710580603</v>
      </c>
      <c r="O212" s="185">
        <f t="shared" si="39"/>
        <v>354901.720144819</v>
      </c>
      <c r="P212" s="185">
        <f t="shared" si="40"/>
        <v>338590.05949309701</v>
      </c>
      <c r="S212" t="s">
        <v>83</v>
      </c>
      <c r="T212" t="str">
        <f t="shared" si="41"/>
        <v>\I:Trd_bus__665</v>
      </c>
      <c r="U212" t="str">
        <f t="shared" ca="1" si="42"/>
        <v>Hybrid diesel coach -- 665%</v>
      </c>
      <c r="V212" s="188" t="s">
        <v>84</v>
      </c>
      <c r="W212" s="188" t="s">
        <v>85</v>
      </c>
    </row>
    <row r="213" spans="2:23">
      <c r="B213" s="43">
        <v>6.4508428934800701</v>
      </c>
      <c r="C213" s="53">
        <v>646209.342968632</v>
      </c>
      <c r="D213" s="53">
        <v>417926.74229744298</v>
      </c>
      <c r="E213" s="53">
        <v>355381.16265353002</v>
      </c>
      <c r="F213" s="53">
        <v>339001.20931888098</v>
      </c>
      <c r="J213" t="str">
        <f t="shared" si="43"/>
        <v>\I:Trd_bus_</v>
      </c>
      <c r="K213" t="str">
        <f t="shared" si="36"/>
        <v>\I:Trd_bus__645</v>
      </c>
      <c r="L213" t="str">
        <f t="shared" si="44"/>
        <v>\I:Trd_</v>
      </c>
      <c r="M213" s="185">
        <f t="shared" si="37"/>
        <v>646209.342968632</v>
      </c>
      <c r="N213" s="185">
        <f t="shared" si="38"/>
        <v>417926.74229744298</v>
      </c>
      <c r="O213" s="185">
        <f t="shared" si="39"/>
        <v>355381.16265353002</v>
      </c>
      <c r="P213" s="185">
        <f t="shared" si="40"/>
        <v>339001.20931888098</v>
      </c>
      <c r="S213" t="s">
        <v>83</v>
      </c>
      <c r="T213" t="str">
        <f t="shared" si="41"/>
        <v>\I:Trd_bus__645</v>
      </c>
      <c r="U213" t="str">
        <f t="shared" ca="1" si="42"/>
        <v>Hybrid diesel coach -- 645%</v>
      </c>
      <c r="V213" s="188" t="s">
        <v>84</v>
      </c>
      <c r="W213" s="188" t="s">
        <v>85</v>
      </c>
    </row>
    <row r="214" spans="2:23">
      <c r="B214" s="43">
        <v>6.2495118739166502</v>
      </c>
      <c r="C214" s="53">
        <v>647003.76805574005</v>
      </c>
      <c r="D214" s="53">
        <v>418474.47748908098</v>
      </c>
      <c r="E214" s="53">
        <v>355860.60516224097</v>
      </c>
      <c r="F214" s="53">
        <v>339412.35914466501</v>
      </c>
      <c r="J214" t="str">
        <f t="shared" si="43"/>
        <v>\I:Trd_bus_</v>
      </c>
      <c r="K214" t="str">
        <f t="shared" si="36"/>
        <v>\I:Trd_bus__625</v>
      </c>
      <c r="L214" t="str">
        <f t="shared" si="44"/>
        <v>\I:Trd_</v>
      </c>
      <c r="M214" s="185">
        <f t="shared" si="37"/>
        <v>647003.76805574005</v>
      </c>
      <c r="N214" s="185">
        <f t="shared" si="38"/>
        <v>418474.47748908098</v>
      </c>
      <c r="O214" s="185">
        <f t="shared" si="39"/>
        <v>355860.60516224097</v>
      </c>
      <c r="P214" s="185">
        <f t="shared" si="40"/>
        <v>339412.35914466501</v>
      </c>
      <c r="S214" t="s">
        <v>83</v>
      </c>
      <c r="T214" t="str">
        <f t="shared" si="41"/>
        <v>\I:Trd_bus__625</v>
      </c>
      <c r="U214" t="str">
        <f t="shared" ca="1" si="42"/>
        <v>Hybrid diesel coach -- 625%</v>
      </c>
      <c r="V214" s="188" t="s">
        <v>84</v>
      </c>
      <c r="W214" s="188" t="s">
        <v>85</v>
      </c>
    </row>
    <row r="215" spans="2:23">
      <c r="B215" s="43">
        <v>6.04818085435324</v>
      </c>
      <c r="C215" s="53">
        <v>647798.19314284797</v>
      </c>
      <c r="D215" s="53">
        <v>419022.21268071799</v>
      </c>
      <c r="E215" s="53">
        <v>356340.047670951</v>
      </c>
      <c r="F215" s="53">
        <v>339823.50897044898</v>
      </c>
      <c r="J215" t="str">
        <f t="shared" si="43"/>
        <v>\I:Trd_bus_</v>
      </c>
      <c r="K215" t="str">
        <f t="shared" si="36"/>
        <v>\I:Trd_bus__605</v>
      </c>
      <c r="L215" t="str">
        <f t="shared" si="44"/>
        <v>\I:Trd_</v>
      </c>
      <c r="M215" s="185">
        <f t="shared" si="37"/>
        <v>647798.19314284797</v>
      </c>
      <c r="N215" s="185">
        <f t="shared" si="38"/>
        <v>419022.21268071799</v>
      </c>
      <c r="O215" s="185">
        <f t="shared" si="39"/>
        <v>356340.047670951</v>
      </c>
      <c r="P215" s="185">
        <f t="shared" si="40"/>
        <v>339823.50897044898</v>
      </c>
      <c r="S215" t="s">
        <v>83</v>
      </c>
      <c r="T215" t="str">
        <f t="shared" si="41"/>
        <v>\I:Trd_bus__605</v>
      </c>
      <c r="U215" t="str">
        <f t="shared" ca="1" si="42"/>
        <v>Hybrid diesel coach -- 605%</v>
      </c>
      <c r="V215" s="188" t="s">
        <v>84</v>
      </c>
      <c r="W215" s="188" t="s">
        <v>85</v>
      </c>
    </row>
    <row r="216" spans="2:23">
      <c r="B216" s="43">
        <v>5.8468498347898299</v>
      </c>
      <c r="C216" s="53">
        <v>648592.61822995602</v>
      </c>
      <c r="D216" s="53">
        <v>419569.94787235599</v>
      </c>
      <c r="E216" s="53">
        <v>356819.49017966201</v>
      </c>
      <c r="F216" s="53">
        <v>340234.65879623301</v>
      </c>
      <c r="J216" t="str">
        <f t="shared" si="43"/>
        <v>\I:Trd_bus_</v>
      </c>
      <c r="K216" t="str">
        <f t="shared" ref="K216:K219" si="45">IFERROR(IF(VALUE(C216)&gt;2020,J216&amp;"_"&amp;TEXT(B216*100,"00"),"\I:"),"\I:")</f>
        <v>\I:Trd_bus__585</v>
      </c>
      <c r="L216" t="str">
        <f t="shared" si="44"/>
        <v>\I:Trd_</v>
      </c>
      <c r="M216" s="185">
        <f t="shared" ref="M216:M219" si="46">IF($K216="\I:","",C216)</f>
        <v>648592.61822995602</v>
      </c>
      <c r="N216" s="185">
        <f t="shared" ref="N216:N219" si="47">IF($K216="\I:","",D216)</f>
        <v>419569.94787235599</v>
      </c>
      <c r="O216" s="185">
        <f t="shared" ref="O216:O219" si="48">IF($K216="\I:","",E216)</f>
        <v>356819.49017966201</v>
      </c>
      <c r="P216" s="185">
        <f t="shared" ref="P216:P219" si="49">IF($K216="\I:","",F216)</f>
        <v>340234.65879623301</v>
      </c>
      <c r="S216" t="s">
        <v>83</v>
      </c>
      <c r="T216" t="str">
        <f t="shared" ref="T216:T219" si="50">K216</f>
        <v>\I:Trd_bus__585</v>
      </c>
      <c r="U216" t="str">
        <f t="shared" ref="U216:U219" ca="1" si="51">OFFSET($S$1,MATCH(J216,$S$1:$S$12,0)-1,-1)&amp;" -- "&amp;TEXT(B216,"00%")</f>
        <v>Hybrid diesel coach -- 585%</v>
      </c>
      <c r="V216" s="188" t="s">
        <v>84</v>
      </c>
      <c r="W216" s="188" t="s">
        <v>85</v>
      </c>
    </row>
    <row r="217" spans="2:23">
      <c r="B217" s="43">
        <v>5.6455188152264197</v>
      </c>
      <c r="C217" s="53">
        <v>649387.04331706394</v>
      </c>
      <c r="D217" s="53">
        <v>420117.68306399399</v>
      </c>
      <c r="E217" s="53">
        <v>357298.93268837302</v>
      </c>
      <c r="F217" s="53">
        <v>340645.80862201698</v>
      </c>
      <c r="J217" t="str">
        <f t="shared" si="43"/>
        <v>\I:Trd_bus_</v>
      </c>
      <c r="K217" t="str">
        <f t="shared" si="45"/>
        <v>\I:Trd_bus__565</v>
      </c>
      <c r="L217" t="str">
        <f t="shared" si="44"/>
        <v>\I:Trd_</v>
      </c>
      <c r="M217" s="185">
        <f t="shared" si="46"/>
        <v>649387.04331706394</v>
      </c>
      <c r="N217" s="185">
        <f t="shared" si="47"/>
        <v>420117.68306399399</v>
      </c>
      <c r="O217" s="185">
        <f t="shared" si="48"/>
        <v>357298.93268837302</v>
      </c>
      <c r="P217" s="185">
        <f t="shared" si="49"/>
        <v>340645.80862201698</v>
      </c>
      <c r="S217" t="s">
        <v>83</v>
      </c>
      <c r="T217" t="str">
        <f t="shared" si="50"/>
        <v>\I:Trd_bus__565</v>
      </c>
      <c r="U217" t="str">
        <f t="shared" ca="1" si="51"/>
        <v>Hybrid diesel coach -- 565%</v>
      </c>
      <c r="V217" s="188" t="s">
        <v>84</v>
      </c>
      <c r="W217" s="188" t="s">
        <v>85</v>
      </c>
    </row>
    <row r="218" spans="2:23">
      <c r="B218" s="43">
        <v>5.4441877956630096</v>
      </c>
      <c r="C218" s="53">
        <v>650181.46840417199</v>
      </c>
      <c r="D218" s="53">
        <v>420665.418255631</v>
      </c>
      <c r="E218" s="53">
        <v>357778.37519708398</v>
      </c>
      <c r="F218" s="53">
        <v>341056.95844780101</v>
      </c>
      <c r="J218" t="str">
        <f t="shared" si="43"/>
        <v>\I:Trd_bus_</v>
      </c>
      <c r="K218" t="str">
        <f t="shared" si="45"/>
        <v>\I:Trd_bus__544</v>
      </c>
      <c r="L218" t="str">
        <f t="shared" si="44"/>
        <v>\I:Trd_</v>
      </c>
      <c r="M218" s="185">
        <f t="shared" si="46"/>
        <v>650181.46840417199</v>
      </c>
      <c r="N218" s="185">
        <f t="shared" si="47"/>
        <v>420665.418255631</v>
      </c>
      <c r="O218" s="185">
        <f t="shared" si="48"/>
        <v>357778.37519708398</v>
      </c>
      <c r="P218" s="185">
        <f t="shared" si="49"/>
        <v>341056.95844780101</v>
      </c>
      <c r="S218" t="s">
        <v>83</v>
      </c>
      <c r="T218" t="str">
        <f t="shared" si="50"/>
        <v>\I:Trd_bus__544</v>
      </c>
      <c r="U218" t="str">
        <f t="shared" ca="1" si="51"/>
        <v>Hybrid diesel coach -- 544%</v>
      </c>
      <c r="V218" s="188" t="s">
        <v>84</v>
      </c>
      <c r="W218" s="188" t="s">
        <v>85</v>
      </c>
    </row>
    <row r="219" spans="2:23">
      <c r="B219" s="43">
        <v>5.2428567760995897</v>
      </c>
      <c r="C219" s="53">
        <v>650975.89349128003</v>
      </c>
      <c r="D219" s="53">
        <v>421213.153447269</v>
      </c>
      <c r="E219" s="53">
        <v>358257.81770579499</v>
      </c>
      <c r="F219" s="53">
        <v>341468.10827358498</v>
      </c>
      <c r="J219" t="str">
        <f t="shared" si="43"/>
        <v>\I:Trd_bus_</v>
      </c>
      <c r="K219" t="str">
        <f t="shared" si="45"/>
        <v>\I:Trd_bus__524</v>
      </c>
      <c r="L219" t="str">
        <f t="shared" si="44"/>
        <v>\I:Trd_</v>
      </c>
      <c r="M219" s="185">
        <f t="shared" si="46"/>
        <v>650975.89349128003</v>
      </c>
      <c r="N219" s="185">
        <f t="shared" si="47"/>
        <v>421213.153447269</v>
      </c>
      <c r="O219" s="185">
        <f t="shared" si="48"/>
        <v>358257.81770579499</v>
      </c>
      <c r="P219" s="185">
        <f t="shared" si="49"/>
        <v>341468.10827358498</v>
      </c>
      <c r="S219" t="s">
        <v>83</v>
      </c>
      <c r="T219" t="str">
        <f t="shared" si="50"/>
        <v>\I:Trd_bus__524</v>
      </c>
      <c r="U219" t="str">
        <f t="shared" ca="1" si="51"/>
        <v>Hybrid diesel coach -- 524%</v>
      </c>
      <c r="V219" s="188" t="s">
        <v>84</v>
      </c>
      <c r="W219" s="188" t="s">
        <v>85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L403"/>
  <sheetViews>
    <sheetView tabSelected="1" zoomScale="65" zoomScaleNormal="48" workbookViewId="0">
      <selection activeCell="E5" sqref="E5"/>
    </sheetView>
  </sheetViews>
  <sheetFormatPr defaultColWidth="9.06640625" defaultRowHeight="12.75"/>
  <cols>
    <col min="1" max="1" width="58.53125" style="79" customWidth="1"/>
    <col min="2" max="2" width="68.46484375" style="79" customWidth="1"/>
    <col min="3" max="3" width="27" style="79" customWidth="1"/>
    <col min="4" max="4" width="23.265625" style="79" customWidth="1"/>
    <col min="5" max="6" width="75.265625" style="79" customWidth="1"/>
    <col min="7" max="7" width="13.265625" style="79" customWidth="1"/>
    <col min="8" max="8" width="43.19921875" style="79" customWidth="1"/>
    <col min="9" max="9" width="22.06640625" style="79" customWidth="1"/>
    <col min="10" max="10" width="11.265625" style="79" customWidth="1"/>
    <col min="11" max="11" width="17.53125" style="79" customWidth="1"/>
    <col min="12" max="12" width="17.33203125" style="79" customWidth="1"/>
    <col min="13" max="13" width="30.19921875" style="79" customWidth="1"/>
    <col min="14" max="14" width="18.73046875" style="79" customWidth="1"/>
    <col min="15" max="15" width="8.06640625" style="79" customWidth="1"/>
    <col min="16" max="16" width="22.265625" style="79" customWidth="1"/>
    <col min="17" max="17" width="21.9296875" style="79" customWidth="1"/>
    <col min="18" max="18" width="33.53125" style="79" customWidth="1"/>
    <col min="19" max="19" width="5.265625" style="79" customWidth="1"/>
    <col min="20" max="20" width="11.265625" style="79" customWidth="1"/>
    <col min="21" max="21" width="17.06640625" style="79" customWidth="1"/>
    <col min="22" max="22" width="30.59765625" style="79" customWidth="1"/>
    <col min="23" max="23" width="26.9296875" style="79" customWidth="1"/>
    <col min="24" max="24" width="12.59765625" style="79" customWidth="1"/>
    <col min="25" max="25" width="14.73046875" style="79" customWidth="1"/>
    <col min="26" max="26" width="7.59765625" style="79" customWidth="1"/>
    <col min="27" max="27" width="33.59765625" style="79" customWidth="1"/>
    <col min="28" max="28" width="14.33203125" style="79" customWidth="1"/>
    <col min="29" max="29" width="31.265625" style="79" customWidth="1"/>
    <col min="30" max="30" width="10.265625" style="79" customWidth="1"/>
    <col min="31" max="31" width="22" style="79" customWidth="1"/>
    <col min="32" max="32" width="9.33203125" style="79" customWidth="1"/>
    <col min="33" max="33" width="22.265625" style="79" customWidth="1"/>
    <col min="34" max="34" width="22.53125" style="79" customWidth="1"/>
    <col min="35" max="35" width="6.33203125" style="79" customWidth="1"/>
    <col min="36" max="36" width="31.265625" style="79" customWidth="1"/>
    <col min="37" max="37" width="10.265625" style="79" customWidth="1"/>
    <col min="38" max="41" width="9.06640625" style="79"/>
    <col min="42" max="42" width="58.53125" style="79" customWidth="1"/>
    <col min="43" max="43" width="38.06640625" style="79" customWidth="1"/>
    <col min="44" max="44" width="25" style="79" customWidth="1"/>
    <col min="45" max="45" width="17.9296875" style="79" customWidth="1"/>
    <col min="46" max="49" width="12.796875" style="79"/>
    <col min="50" max="50" width="15.33203125" style="79" customWidth="1"/>
    <col min="51" max="52" width="12.796875" style="79"/>
    <col min="53" max="54" width="9.06640625" style="79"/>
    <col min="55" max="55" width="28.59765625" style="79" customWidth="1"/>
    <col min="56" max="56" width="16.46484375" style="79" customWidth="1"/>
    <col min="57" max="57" width="22.06640625" style="79" customWidth="1"/>
    <col min="58" max="16384" width="9.06640625" style="79"/>
  </cols>
  <sheetData>
    <row r="1" spans="3:43" ht="12.7" customHeight="1"/>
    <row r="3" spans="3:43" ht="14.55" customHeight="1">
      <c r="C3" s="80"/>
      <c r="D3" s="80"/>
      <c r="E3" s="80"/>
      <c r="F3" s="80"/>
      <c r="G3" s="80"/>
      <c r="H3" s="80" t="s">
        <v>171</v>
      </c>
      <c r="I3" s="80"/>
      <c r="J3" s="80"/>
      <c r="K3" s="80"/>
      <c r="L3" s="80"/>
      <c r="M3" s="80"/>
      <c r="N3" s="80"/>
      <c r="O3" s="80"/>
      <c r="P3" s="80"/>
      <c r="Q3" s="80"/>
      <c r="U3" s="80" t="s">
        <v>72</v>
      </c>
      <c r="V3" s="80"/>
      <c r="W3" s="80"/>
      <c r="X3" s="80"/>
      <c r="Y3" s="80"/>
      <c r="Z3" s="80"/>
      <c r="AA3" s="80"/>
      <c r="AB3" s="80"/>
      <c r="AC3" s="80"/>
      <c r="AD3" s="79" t="s">
        <v>172</v>
      </c>
    </row>
    <row r="4" spans="3:43" ht="14.55" customHeight="1">
      <c r="C4" s="80" t="s">
        <v>79</v>
      </c>
      <c r="D4" s="80" t="s">
        <v>173</v>
      </c>
      <c r="E4" s="80" t="s">
        <v>76</v>
      </c>
      <c r="F4" s="80" t="s">
        <v>174</v>
      </c>
      <c r="G4" s="80" t="s">
        <v>175</v>
      </c>
      <c r="H4" s="80" t="s">
        <v>176</v>
      </c>
      <c r="I4" s="80" t="s">
        <v>628</v>
      </c>
      <c r="J4" s="80">
        <v>0</v>
      </c>
      <c r="K4" s="80" t="s">
        <v>177</v>
      </c>
      <c r="L4" s="79" t="s">
        <v>178</v>
      </c>
      <c r="M4" s="80" t="s">
        <v>179</v>
      </c>
      <c r="N4" s="80" t="s">
        <v>180</v>
      </c>
      <c r="O4" s="80" t="s">
        <v>181</v>
      </c>
      <c r="P4" s="80"/>
      <c r="Q4" s="80"/>
      <c r="U4" s="80" t="s">
        <v>78</v>
      </c>
      <c r="V4" s="80" t="s">
        <v>79</v>
      </c>
      <c r="W4" s="80" t="s">
        <v>80</v>
      </c>
      <c r="X4" s="80" t="s">
        <v>81</v>
      </c>
      <c r="Y4" s="80" t="s">
        <v>82</v>
      </c>
      <c r="Z4" s="80" t="s">
        <v>182</v>
      </c>
      <c r="AA4" s="80" t="s">
        <v>183</v>
      </c>
      <c r="AB4" s="80" t="s">
        <v>184</v>
      </c>
      <c r="AC4" s="80"/>
      <c r="AD4" s="79" t="s">
        <v>185</v>
      </c>
      <c r="AE4" s="79" t="s">
        <v>186</v>
      </c>
      <c r="AF4" s="79" t="s">
        <v>187</v>
      </c>
      <c r="AG4" s="79" t="s">
        <v>188</v>
      </c>
      <c r="AH4" s="79" t="s">
        <v>189</v>
      </c>
      <c r="AI4" s="79" t="s">
        <v>190</v>
      </c>
      <c r="AJ4" s="79" t="s">
        <v>191</v>
      </c>
      <c r="AK4" s="79" t="s">
        <v>192</v>
      </c>
      <c r="AL4" s="79" t="s">
        <v>193</v>
      </c>
      <c r="AN4" s="98" t="s">
        <v>194</v>
      </c>
      <c r="AO4" s="98" t="s">
        <v>195</v>
      </c>
      <c r="AP4" s="98" t="s">
        <v>196</v>
      </c>
      <c r="AQ4" s="98" t="s">
        <v>197</v>
      </c>
    </row>
    <row r="5" spans="3:43" ht="14.55" customHeight="1">
      <c r="C5" s="80" t="str">
        <f>V5</f>
        <v>Tra_BEV_Batt</v>
      </c>
      <c r="D5" s="80" t="s">
        <v>198</v>
      </c>
      <c r="E5" s="80" t="s">
        <v>227</v>
      </c>
      <c r="F5" s="81"/>
      <c r="G5" s="80" t="s">
        <v>200</v>
      </c>
      <c r="H5" s="80"/>
      <c r="I5" s="80">
        <v>999</v>
      </c>
      <c r="J5" s="80"/>
      <c r="K5" s="80">
        <f>0.95^2</f>
        <v>0.90249999999999997</v>
      </c>
      <c r="L5" s="79">
        <v>12</v>
      </c>
      <c r="M5" s="88">
        <f>24/6</f>
        <v>4</v>
      </c>
      <c r="N5" s="88">
        <v>1.3140000000000001</v>
      </c>
      <c r="O5" s="80">
        <v>1</v>
      </c>
      <c r="P5" s="80"/>
      <c r="Q5" s="80"/>
      <c r="U5" s="80" t="s">
        <v>201</v>
      </c>
      <c r="V5" s="80" t="s">
        <v>202</v>
      </c>
      <c r="W5" s="80" t="s">
        <v>203</v>
      </c>
      <c r="X5" s="80" t="s">
        <v>204</v>
      </c>
      <c r="Y5" s="80" t="s">
        <v>205</v>
      </c>
      <c r="Z5" s="80" t="s">
        <v>206</v>
      </c>
      <c r="AA5" s="80"/>
      <c r="AB5" s="80"/>
      <c r="AC5" s="80"/>
      <c r="AD5" s="79" t="s">
        <v>207</v>
      </c>
      <c r="AE5" s="79" t="s">
        <v>208</v>
      </c>
      <c r="AI5" s="79" t="s">
        <v>209</v>
      </c>
      <c r="AL5" s="79" t="s">
        <v>210</v>
      </c>
    </row>
    <row r="6" spans="3:43" ht="14.55" customHeight="1">
      <c r="C6" s="80"/>
      <c r="D6" s="80"/>
      <c r="O6" s="80"/>
      <c r="P6" s="80"/>
      <c r="Q6" s="80"/>
      <c r="V6" s="80" t="str">
        <f t="shared" ref="V6:V12" si="0">C22</f>
        <v>Tra_EV_Batt-LFP</v>
      </c>
      <c r="W6" s="80" t="str">
        <f>_xlfn.TEXTJOIN("; ",TRUE,AO6:AQ6)</f>
        <v>Lithium Iron Phosphate; High safety, long cycle life, lower energy density; EVs, energy storage systems</v>
      </c>
      <c r="X6" s="80" t="s">
        <v>204</v>
      </c>
      <c r="Y6" s="80" t="s">
        <v>205</v>
      </c>
      <c r="Z6" s="80" t="s">
        <v>206</v>
      </c>
      <c r="AA6" s="80"/>
      <c r="AB6" s="80"/>
      <c r="AC6" s="80"/>
      <c r="AE6" s="79" t="s">
        <v>211</v>
      </c>
      <c r="AI6" s="79" t="s">
        <v>209</v>
      </c>
      <c r="AL6" s="79" t="s">
        <v>210</v>
      </c>
      <c r="AN6" s="99" t="s">
        <v>212</v>
      </c>
      <c r="AO6" s="99" t="s">
        <v>213</v>
      </c>
      <c r="AP6" s="99" t="s">
        <v>214</v>
      </c>
      <c r="AQ6" s="99" t="s">
        <v>215</v>
      </c>
    </row>
    <row r="7" spans="3:43" ht="14.55" customHeight="1">
      <c r="C7" s="80"/>
      <c r="D7" s="80"/>
      <c r="O7" s="80"/>
      <c r="P7" s="80"/>
      <c r="Q7" s="80"/>
      <c r="U7" s="80"/>
      <c r="V7" s="80" t="str">
        <f t="shared" si="0"/>
        <v>Tra_EV_Batt-LMO</v>
      </c>
      <c r="W7" s="80" t="str">
        <f t="shared" ref="W7:W12" si="1">_xlfn.TEXTJOIN("; ",TRUE,AO7:AQ7)</f>
        <v>Lithium Manganese Oxide; Good thermal stability, fast charging, moderate energy density; Power tools, medical devices, hybrid EVs</v>
      </c>
      <c r="X7" s="80" t="s">
        <v>204</v>
      </c>
      <c r="Y7" s="80" t="s">
        <v>205</v>
      </c>
      <c r="Z7" s="80" t="s">
        <v>206</v>
      </c>
      <c r="AA7" s="80"/>
      <c r="AB7" s="80"/>
      <c r="AC7" s="80"/>
      <c r="AE7" s="79" t="s">
        <v>216</v>
      </c>
      <c r="AI7" s="79" t="s">
        <v>209</v>
      </c>
      <c r="AL7" s="79" t="s">
        <v>210</v>
      </c>
      <c r="AN7" s="99" t="s">
        <v>217</v>
      </c>
      <c r="AO7" s="99" t="s">
        <v>218</v>
      </c>
      <c r="AP7" s="99" t="s">
        <v>219</v>
      </c>
      <c r="AQ7" s="99" t="s">
        <v>220</v>
      </c>
    </row>
    <row r="8" spans="3:43" ht="18" customHeight="1">
      <c r="C8" s="81"/>
      <c r="D8" s="81"/>
      <c r="E8" s="82"/>
      <c r="F8" s="83"/>
      <c r="G8" s="82" t="s">
        <v>221</v>
      </c>
      <c r="H8" s="82"/>
      <c r="I8" s="82"/>
      <c r="J8" s="82"/>
      <c r="K8" s="82"/>
      <c r="L8" s="89"/>
      <c r="M8" s="90">
        <v>1</v>
      </c>
      <c r="N8" s="82"/>
      <c r="O8" s="84"/>
      <c r="P8" s="84"/>
      <c r="Q8" s="84"/>
      <c r="U8" s="81"/>
      <c r="V8" s="80" t="str">
        <f t="shared" si="0"/>
        <v>Tra_EV_Batt-NCA</v>
      </c>
      <c r="W8" s="80" t="str">
        <f t="shared" si="1"/>
        <v>Nickel Cobalt Aluminum Oxide; High energy density, long cycle life, higher cost; Premium EVs, energy storage</v>
      </c>
      <c r="X8" s="80" t="s">
        <v>204</v>
      </c>
      <c r="Y8" s="80" t="s">
        <v>205</v>
      </c>
      <c r="Z8" s="80" t="s">
        <v>206</v>
      </c>
      <c r="AA8" s="95"/>
      <c r="AB8" s="95"/>
      <c r="AC8" s="95"/>
      <c r="AE8" s="79" t="s">
        <v>222</v>
      </c>
      <c r="AI8" s="79" t="s">
        <v>209</v>
      </c>
      <c r="AL8" s="79" t="s">
        <v>210</v>
      </c>
      <c r="AN8" s="99" t="s">
        <v>223</v>
      </c>
      <c r="AO8" s="99" t="s">
        <v>224</v>
      </c>
      <c r="AP8" s="99" t="s">
        <v>225</v>
      </c>
      <c r="AQ8" s="99" t="s">
        <v>226</v>
      </c>
    </row>
    <row r="9" spans="3:43" ht="14.25">
      <c r="C9" s="81"/>
      <c r="D9" s="81"/>
      <c r="E9" s="82" t="s">
        <v>227</v>
      </c>
      <c r="F9" s="83"/>
      <c r="G9" s="82"/>
      <c r="H9" s="82"/>
      <c r="I9" s="82"/>
      <c r="J9" s="82"/>
      <c r="K9" s="82"/>
      <c r="L9" s="89"/>
      <c r="M9" s="82"/>
      <c r="N9" s="82"/>
      <c r="O9" s="84"/>
      <c r="P9" s="84"/>
      <c r="Q9" s="84"/>
      <c r="U9" s="81"/>
      <c r="V9" s="80" t="str">
        <f t="shared" si="0"/>
        <v>Tra_EV_Batt-NMC 111</v>
      </c>
      <c r="W9" s="80" t="str">
        <f t="shared" si="1"/>
        <v>Nickel Manganese Cobalt (1:1:1); Balanced energy density, safety, and cost; Consumer electronics, EVs</v>
      </c>
      <c r="X9" s="80" t="s">
        <v>204</v>
      </c>
      <c r="Y9" s="80" t="s">
        <v>205</v>
      </c>
      <c r="Z9" s="80" t="s">
        <v>206</v>
      </c>
      <c r="AA9" s="95"/>
      <c r="AB9" s="95"/>
      <c r="AC9" s="95"/>
      <c r="AE9" s="79" t="s">
        <v>228</v>
      </c>
      <c r="AI9" s="79" t="s">
        <v>209</v>
      </c>
      <c r="AL9" s="79" t="s">
        <v>210</v>
      </c>
      <c r="AN9" s="99" t="s">
        <v>229</v>
      </c>
      <c r="AO9" s="99" t="s">
        <v>230</v>
      </c>
      <c r="AP9" s="99" t="s">
        <v>231</v>
      </c>
      <c r="AQ9" s="99" t="s">
        <v>232</v>
      </c>
    </row>
    <row r="10" spans="3:43" ht="14.25">
      <c r="C10" s="81"/>
      <c r="D10" s="81"/>
      <c r="E10" s="81"/>
      <c r="F10" s="84" t="s">
        <v>233</v>
      </c>
      <c r="G10" s="84"/>
      <c r="H10" s="84" t="s">
        <v>234</v>
      </c>
      <c r="I10" s="84">
        <v>8760</v>
      </c>
      <c r="J10" s="84">
        <v>3</v>
      </c>
      <c r="K10" s="81"/>
      <c r="M10" s="81"/>
      <c r="N10" s="81"/>
      <c r="O10" s="81"/>
      <c r="P10" s="81"/>
      <c r="Q10" s="81"/>
      <c r="U10" s="81"/>
      <c r="V10" s="80" t="str">
        <f t="shared" si="0"/>
        <v>Tra_EV_Batt-NMC532</v>
      </c>
      <c r="W10" s="80" t="str">
        <f t="shared" si="1"/>
        <v>Nickel Manganese Cobalt (5:3:2); Higher energy density, better thermal stability; Modern EV batteries</v>
      </c>
      <c r="X10" s="80" t="s">
        <v>204</v>
      </c>
      <c r="Y10" s="80" t="s">
        <v>205</v>
      </c>
      <c r="Z10" s="80" t="s">
        <v>206</v>
      </c>
      <c r="AA10" s="81"/>
      <c r="AB10" s="81"/>
      <c r="AC10" s="81"/>
      <c r="AE10" s="79" t="s">
        <v>235</v>
      </c>
      <c r="AI10" s="79" t="s">
        <v>209</v>
      </c>
      <c r="AL10" s="79" t="s">
        <v>210</v>
      </c>
      <c r="AN10" s="99" t="s">
        <v>236</v>
      </c>
      <c r="AO10" s="99" t="s">
        <v>237</v>
      </c>
      <c r="AP10" s="99" t="s">
        <v>238</v>
      </c>
      <c r="AQ10" s="99" t="s">
        <v>239</v>
      </c>
    </row>
    <row r="11" spans="3:43" ht="14.25">
      <c r="V11" s="80" t="str">
        <f t="shared" si="0"/>
        <v>Tra_EV_Batt-NMC 622</v>
      </c>
      <c r="W11" s="80" t="str">
        <f t="shared" si="1"/>
        <v>Nickel Manganese Cobalt (6:2:2); Improved energy density, cost efficiency; Long-range EVs</v>
      </c>
      <c r="X11" s="80" t="s">
        <v>204</v>
      </c>
      <c r="Y11" s="80" t="s">
        <v>205</v>
      </c>
      <c r="Z11" s="80" t="s">
        <v>206</v>
      </c>
      <c r="AE11" s="79" t="s">
        <v>240</v>
      </c>
      <c r="AI11" s="79" t="s">
        <v>209</v>
      </c>
      <c r="AL11" s="79" t="s">
        <v>210</v>
      </c>
      <c r="AN11" s="99" t="s">
        <v>241</v>
      </c>
      <c r="AO11" s="99" t="s">
        <v>242</v>
      </c>
      <c r="AP11" s="99" t="s">
        <v>243</v>
      </c>
      <c r="AQ11" s="99" t="s">
        <v>244</v>
      </c>
    </row>
    <row r="12" spans="3:43" ht="14.25">
      <c r="V12" s="80" t="str">
        <f t="shared" si="0"/>
        <v>Tra_EV_Batt-NMC 811</v>
      </c>
      <c r="W12" s="80" t="str">
        <f t="shared" si="1"/>
        <v>Nickel Manganese Cobalt (8:1:1); Highest energy density, reduced cobalt content, lower cost; Long-range EVs</v>
      </c>
      <c r="X12" s="80" t="s">
        <v>204</v>
      </c>
      <c r="Y12" s="80" t="s">
        <v>205</v>
      </c>
      <c r="Z12" s="80" t="s">
        <v>206</v>
      </c>
      <c r="AE12" s="79" t="s">
        <v>245</v>
      </c>
      <c r="AI12" s="79" t="s">
        <v>209</v>
      </c>
      <c r="AL12" s="79" t="s">
        <v>210</v>
      </c>
      <c r="AN12" s="99" t="s">
        <v>246</v>
      </c>
      <c r="AO12" s="99" t="s">
        <v>247</v>
      </c>
      <c r="AP12" s="99" t="s">
        <v>248</v>
      </c>
      <c r="AQ12" s="99" t="s">
        <v>244</v>
      </c>
    </row>
    <row r="13" spans="3:43" ht="14.25">
      <c r="U13" s="91" t="s">
        <v>249</v>
      </c>
      <c r="V13" s="92" t="s">
        <v>250</v>
      </c>
      <c r="W13" s="92"/>
      <c r="X13" s="92" t="s">
        <v>210</v>
      </c>
      <c r="Y13" s="92" t="s">
        <v>251</v>
      </c>
      <c r="Z13" s="92"/>
      <c r="AA13" s="92"/>
      <c r="AE13" s="79" t="s">
        <v>252</v>
      </c>
      <c r="AI13" s="79" t="s">
        <v>209</v>
      </c>
      <c r="AL13" s="79" t="s">
        <v>210</v>
      </c>
    </row>
    <row r="14" spans="3:43" ht="14.25">
      <c r="U14" s="92"/>
      <c r="V14" s="92"/>
      <c r="W14" s="92"/>
      <c r="X14" s="92"/>
      <c r="Y14" s="92"/>
      <c r="Z14" s="92"/>
      <c r="AA14" s="92"/>
      <c r="AE14" s="79" t="s">
        <v>253</v>
      </c>
      <c r="AI14" s="79" t="s">
        <v>209</v>
      </c>
      <c r="AL14" s="79" t="s">
        <v>210</v>
      </c>
      <c r="AN14"/>
      <c r="AO14"/>
      <c r="AP14"/>
      <c r="AQ14"/>
    </row>
    <row r="15" spans="3:43" ht="14.25">
      <c r="U15" s="92"/>
      <c r="V15" s="92"/>
      <c r="W15" s="92"/>
      <c r="X15" s="92"/>
      <c r="Y15" s="92"/>
      <c r="Z15" s="92"/>
      <c r="AA15" s="92"/>
      <c r="AE15" s="79" t="s">
        <v>254</v>
      </c>
      <c r="AI15" s="79" t="s">
        <v>209</v>
      </c>
      <c r="AL15" s="79" t="s">
        <v>210</v>
      </c>
      <c r="AN15"/>
      <c r="AO15"/>
      <c r="AP15"/>
      <c r="AQ15"/>
    </row>
    <row r="16" spans="3:43">
      <c r="U16" s="92"/>
      <c r="V16" s="93"/>
      <c r="W16" s="92"/>
      <c r="X16" s="92"/>
      <c r="Y16" s="92"/>
      <c r="Z16" s="92"/>
      <c r="AA16" s="92"/>
      <c r="AE16" s="79" t="s">
        <v>255</v>
      </c>
      <c r="AI16" s="79" t="s">
        <v>209</v>
      </c>
      <c r="AL16" s="79" t="s">
        <v>210</v>
      </c>
    </row>
    <row r="17" spans="1:38">
      <c r="U17" s="92"/>
      <c r="V17" s="92"/>
      <c r="W17" s="92"/>
      <c r="X17" s="92"/>
      <c r="Y17" s="92"/>
      <c r="Z17" s="92"/>
      <c r="AA17" s="92"/>
      <c r="AE17" s="79" t="s">
        <v>256</v>
      </c>
      <c r="AI17" s="79" t="s">
        <v>209</v>
      </c>
      <c r="AL17" s="79" t="s">
        <v>210</v>
      </c>
    </row>
    <row r="18" spans="1:38">
      <c r="U18" s="92"/>
      <c r="V18" s="92"/>
      <c r="W18" s="92"/>
      <c r="X18" s="92"/>
      <c r="Y18" s="92"/>
      <c r="Z18" s="92"/>
      <c r="AA18" s="92"/>
      <c r="AE18" s="79" t="s">
        <v>257</v>
      </c>
      <c r="AI18" s="79" t="s">
        <v>209</v>
      </c>
      <c r="AL18" s="79" t="s">
        <v>210</v>
      </c>
    </row>
    <row r="19" spans="1:38">
      <c r="U19" s="92"/>
      <c r="V19" s="92"/>
      <c r="W19" s="92"/>
      <c r="X19" s="92"/>
      <c r="Y19" s="92"/>
      <c r="Z19" s="92"/>
      <c r="AA19" s="92"/>
      <c r="AE19" s="79" t="str">
        <f>"rep_"&amp;MID(C22,8,32)</f>
        <v>rep_Batt-LFP</v>
      </c>
      <c r="AI19" s="79" t="s">
        <v>209</v>
      </c>
      <c r="AL19" s="79" t="s">
        <v>258</v>
      </c>
    </row>
    <row r="20" spans="1:38">
      <c r="C20" s="79" t="s">
        <v>259</v>
      </c>
      <c r="U20" s="92"/>
      <c r="V20" s="92"/>
      <c r="W20" s="92"/>
      <c r="X20" s="92"/>
      <c r="Y20" s="92"/>
      <c r="Z20" s="92"/>
      <c r="AA20" s="92"/>
      <c r="AE20" s="79" t="str">
        <f t="shared" ref="AE20:AE25" si="2">"rep_"&amp;MID(C23,8,32)</f>
        <v>rep_Batt-LMO</v>
      </c>
      <c r="AI20" s="79" t="s">
        <v>209</v>
      </c>
      <c r="AL20" s="79" t="s">
        <v>258</v>
      </c>
    </row>
    <row r="21" spans="1:38" ht="14.25">
      <c r="A21" s="79" t="s">
        <v>260</v>
      </c>
      <c r="B21" s="80" t="s">
        <v>174</v>
      </c>
      <c r="C21" s="79" t="s">
        <v>261</v>
      </c>
      <c r="D21" s="79" t="s">
        <v>208</v>
      </c>
      <c r="E21" s="79" t="s">
        <v>211</v>
      </c>
      <c r="F21" s="79" t="s">
        <v>216</v>
      </c>
      <c r="G21" s="79" t="s">
        <v>222</v>
      </c>
      <c r="H21" s="79" t="s">
        <v>228</v>
      </c>
      <c r="I21" s="79" t="s">
        <v>235</v>
      </c>
      <c r="J21" s="79" t="s">
        <v>240</v>
      </c>
      <c r="K21" s="86" t="s">
        <v>178</v>
      </c>
      <c r="L21" s="80" t="s">
        <v>173</v>
      </c>
      <c r="M21" s="80" t="s">
        <v>76</v>
      </c>
      <c r="N21" s="79" t="s">
        <v>177</v>
      </c>
      <c r="O21" s="79" t="s">
        <v>262</v>
      </c>
      <c r="P21" s="80" t="s">
        <v>263</v>
      </c>
      <c r="Q21" s="80" t="s">
        <v>264</v>
      </c>
      <c r="R21" s="79" t="s">
        <v>181</v>
      </c>
      <c r="S21" s="79" t="s">
        <v>265</v>
      </c>
      <c r="U21" s="92"/>
      <c r="V21" s="92" t="s">
        <v>266</v>
      </c>
      <c r="W21" s="92"/>
      <c r="X21" s="92"/>
      <c r="Y21" s="92"/>
      <c r="Z21" s="92"/>
      <c r="AA21" s="92"/>
      <c r="AE21" s="79" t="str">
        <f t="shared" si="2"/>
        <v>rep_Batt-NCA</v>
      </c>
      <c r="AI21" s="79" t="s">
        <v>209</v>
      </c>
      <c r="AL21" s="79" t="s">
        <v>258</v>
      </c>
    </row>
    <row r="22" spans="1:38" ht="14.25">
      <c r="A22" s="85">
        <v>2020</v>
      </c>
      <c r="B22" s="84" t="s">
        <v>267</v>
      </c>
      <c r="C22" s="79" t="s">
        <v>268</v>
      </c>
      <c r="D22" s="79">
        <v>9.5000000000000001E-2</v>
      </c>
      <c r="E22" s="79">
        <v>0</v>
      </c>
      <c r="F22" s="79">
        <v>0</v>
      </c>
      <c r="G22" s="79">
        <v>0</v>
      </c>
      <c r="H22" s="79">
        <v>3.528</v>
      </c>
      <c r="I22" s="79">
        <v>0.94599999999999995</v>
      </c>
      <c r="J22" s="79">
        <v>1.085</v>
      </c>
      <c r="K22" s="86">
        <v>10</v>
      </c>
      <c r="L22" s="79" t="s">
        <v>198</v>
      </c>
      <c r="M22" s="79" t="s">
        <v>227</v>
      </c>
      <c r="N22" s="79">
        <v>0.9</v>
      </c>
      <c r="O22" s="79">
        <v>1.3140000000000001</v>
      </c>
      <c r="P22" s="79">
        <f>24/6</f>
        <v>4</v>
      </c>
      <c r="Q22" s="79">
        <v>1</v>
      </c>
      <c r="R22" s="79">
        <v>1</v>
      </c>
      <c r="U22" s="92"/>
      <c r="V22" s="92" t="s">
        <v>261</v>
      </c>
      <c r="W22" s="92" t="s">
        <v>269</v>
      </c>
      <c r="X22" s="92" t="s">
        <v>270</v>
      </c>
      <c r="Y22" s="92" t="s">
        <v>190</v>
      </c>
      <c r="AA22" s="92"/>
      <c r="AE22" s="79" t="str">
        <f t="shared" si="2"/>
        <v>rep_Batt-NMC 111</v>
      </c>
      <c r="AI22" s="79" t="s">
        <v>209</v>
      </c>
      <c r="AL22" s="79" t="s">
        <v>258</v>
      </c>
    </row>
    <row r="23" spans="1:38" ht="14.25">
      <c r="A23" s="85">
        <v>2020</v>
      </c>
      <c r="B23" s="84" t="s">
        <v>267</v>
      </c>
      <c r="C23" s="79" t="s">
        <v>271</v>
      </c>
      <c r="D23" s="79">
        <v>0.106</v>
      </c>
      <c r="E23" s="79">
        <v>0</v>
      </c>
      <c r="F23" s="79">
        <v>0</v>
      </c>
      <c r="G23" s="79">
        <v>1.3959999999999999</v>
      </c>
      <c r="H23" s="79">
        <v>3.3690000000000002</v>
      </c>
      <c r="I23" s="79">
        <v>0.86299999999999999</v>
      </c>
      <c r="J23" s="79">
        <v>0.91100000000000003</v>
      </c>
      <c r="K23" s="86">
        <v>8</v>
      </c>
      <c r="L23" s="79" t="s">
        <v>198</v>
      </c>
      <c r="M23" s="79" t="s">
        <v>227</v>
      </c>
      <c r="N23" s="79">
        <v>0.9</v>
      </c>
      <c r="O23" s="79">
        <v>1.3140000000000001</v>
      </c>
      <c r="P23" s="79">
        <f t="shared" ref="P23:P28" si="3">24/6</f>
        <v>4</v>
      </c>
      <c r="Q23" s="79">
        <v>1</v>
      </c>
      <c r="R23" s="79">
        <v>1</v>
      </c>
      <c r="U23" s="92"/>
      <c r="V23" s="92" t="str">
        <f>V13</f>
        <v>MINBatMaterials</v>
      </c>
      <c r="W23" s="92" t="str">
        <f t="shared" ref="W23:W29" si="4">AE5</f>
        <v>m_lithium</v>
      </c>
      <c r="X23" s="92">
        <v>12.85</v>
      </c>
      <c r="Y23" s="92" t="s">
        <v>272</v>
      </c>
      <c r="AB23" s="96"/>
      <c r="AE23" s="79" t="str">
        <f t="shared" si="2"/>
        <v>rep_Batt-NMC532</v>
      </c>
      <c r="AI23" s="79" t="s">
        <v>209</v>
      </c>
      <c r="AL23" s="79" t="s">
        <v>258</v>
      </c>
    </row>
    <row r="24" spans="1:38" ht="14.25">
      <c r="A24" s="85">
        <v>2020</v>
      </c>
      <c r="B24" s="84" t="s">
        <v>267</v>
      </c>
      <c r="C24" s="79" t="s">
        <v>273</v>
      </c>
      <c r="D24" s="79">
        <v>0.10199999999999999</v>
      </c>
      <c r="E24" s="79">
        <v>0.67200000000000004</v>
      </c>
      <c r="F24" s="79">
        <v>0.127</v>
      </c>
      <c r="G24" s="79">
        <v>0</v>
      </c>
      <c r="H24" s="79">
        <v>2.92</v>
      </c>
      <c r="I24" s="79">
        <v>0.56399999999999995</v>
      </c>
      <c r="J24" s="79">
        <v>0.97799999999999998</v>
      </c>
      <c r="K24" s="86">
        <v>9</v>
      </c>
      <c r="L24" s="79" t="s">
        <v>198</v>
      </c>
      <c r="M24" s="79" t="s">
        <v>227</v>
      </c>
      <c r="N24" s="79">
        <v>0.9</v>
      </c>
      <c r="O24" s="79">
        <v>1.3140000000000001</v>
      </c>
      <c r="P24" s="79">
        <f t="shared" si="3"/>
        <v>4</v>
      </c>
      <c r="Q24" s="79">
        <v>1</v>
      </c>
      <c r="R24" s="79">
        <v>1</v>
      </c>
      <c r="U24" s="92"/>
      <c r="V24" s="92"/>
      <c r="W24" s="92" t="str">
        <f t="shared" si="4"/>
        <v>m_nickel</v>
      </c>
      <c r="X24" s="92">
        <v>20</v>
      </c>
      <c r="Y24" s="92" t="s">
        <v>272</v>
      </c>
      <c r="AB24" s="96"/>
      <c r="AE24" s="79" t="str">
        <f t="shared" si="2"/>
        <v>rep_Batt-NMC 622</v>
      </c>
      <c r="AI24" s="79" t="s">
        <v>209</v>
      </c>
      <c r="AL24" s="79" t="s">
        <v>258</v>
      </c>
    </row>
    <row r="25" spans="1:38" ht="14.25">
      <c r="A25" s="85">
        <v>2020</v>
      </c>
      <c r="B25" s="84" t="s">
        <v>267</v>
      </c>
      <c r="C25" s="79" t="s">
        <v>274</v>
      </c>
      <c r="D25" s="79">
        <v>0.14099999999999999</v>
      </c>
      <c r="E25" s="79">
        <v>0.35099999999999998</v>
      </c>
      <c r="F25" s="79">
        <v>0.35199999999999998</v>
      </c>
      <c r="G25" s="79">
        <v>0.32800000000000001</v>
      </c>
      <c r="H25" s="79">
        <v>3.11</v>
      </c>
      <c r="I25" s="79">
        <v>0.67700000000000005</v>
      </c>
      <c r="J25" s="79">
        <v>0.97799999999999998</v>
      </c>
      <c r="K25" s="86">
        <v>9</v>
      </c>
      <c r="L25" s="79" t="s">
        <v>198</v>
      </c>
      <c r="M25" s="79" t="s">
        <v>227</v>
      </c>
      <c r="N25" s="79">
        <v>0.9</v>
      </c>
      <c r="O25" s="79">
        <v>1.3140000000000001</v>
      </c>
      <c r="P25" s="79">
        <f t="shared" si="3"/>
        <v>4</v>
      </c>
      <c r="Q25" s="79">
        <v>1</v>
      </c>
      <c r="R25" s="79">
        <v>1</v>
      </c>
      <c r="U25" s="92"/>
      <c r="V25" s="92"/>
      <c r="W25" s="92" t="str">
        <f t="shared" si="4"/>
        <v>m_cobalt</v>
      </c>
      <c r="X25" s="92">
        <v>29.3</v>
      </c>
      <c r="Y25" s="92" t="s">
        <v>272</v>
      </c>
      <c r="AB25" s="96"/>
      <c r="AE25" s="79" t="str">
        <f t="shared" si="2"/>
        <v>rep_Batt-NMC 811</v>
      </c>
      <c r="AI25" s="79" t="s">
        <v>209</v>
      </c>
      <c r="AL25" s="79" t="s">
        <v>258</v>
      </c>
    </row>
    <row r="26" spans="1:38" ht="14.25">
      <c r="A26" s="85">
        <v>2020</v>
      </c>
      <c r="B26" s="84" t="s">
        <v>267</v>
      </c>
      <c r="C26" s="79" t="s">
        <v>275</v>
      </c>
      <c r="D26" s="79">
        <v>0.13600000000000001</v>
      </c>
      <c r="E26" s="79">
        <v>0.50800000000000001</v>
      </c>
      <c r="F26" s="79">
        <v>0.20399999999999999</v>
      </c>
      <c r="G26" s="79">
        <v>0.28499999999999998</v>
      </c>
      <c r="H26" s="79">
        <v>3.07</v>
      </c>
      <c r="I26" s="79">
        <v>0.66100000000000003</v>
      </c>
      <c r="J26" s="79">
        <v>0.98099999999999998</v>
      </c>
      <c r="K26" s="86">
        <v>9</v>
      </c>
      <c r="L26" s="79" t="s">
        <v>198</v>
      </c>
      <c r="M26" s="79" t="s">
        <v>227</v>
      </c>
      <c r="N26" s="79">
        <v>0.9</v>
      </c>
      <c r="O26" s="79">
        <v>1.3140000000000001</v>
      </c>
      <c r="P26" s="79">
        <f t="shared" si="3"/>
        <v>4</v>
      </c>
      <c r="Q26" s="79">
        <v>1</v>
      </c>
      <c r="R26" s="79">
        <v>1</v>
      </c>
      <c r="U26" s="92"/>
      <c r="V26" s="92"/>
      <c r="W26" s="92" t="str">
        <f t="shared" si="4"/>
        <v>m_manganese</v>
      </c>
      <c r="X26" s="79">
        <v>2</v>
      </c>
      <c r="Y26" s="92" t="s">
        <v>272</v>
      </c>
      <c r="AB26" s="97"/>
    </row>
    <row r="27" spans="1:38" ht="14.25">
      <c r="A27" s="85">
        <v>2020</v>
      </c>
      <c r="B27" s="84" t="s">
        <v>267</v>
      </c>
      <c r="C27" s="79" t="s">
        <v>276</v>
      </c>
      <c r="D27" s="79">
        <v>0.11799999999999999</v>
      </c>
      <c r="E27" s="79">
        <v>0.53100000000000003</v>
      </c>
      <c r="F27" s="79">
        <v>0.17799999999999999</v>
      </c>
      <c r="G27" s="79">
        <v>0.16600000000000001</v>
      </c>
      <c r="H27" s="79">
        <v>3.0169999999999999</v>
      </c>
      <c r="I27" s="79">
        <v>0.60499999999999998</v>
      </c>
      <c r="J27" s="79">
        <v>0.96</v>
      </c>
      <c r="K27" s="86">
        <v>9</v>
      </c>
      <c r="L27" s="79" t="s">
        <v>198</v>
      </c>
      <c r="M27" s="79" t="s">
        <v>227</v>
      </c>
      <c r="N27" s="79">
        <v>0.9</v>
      </c>
      <c r="O27" s="79">
        <v>1.3140000000000001</v>
      </c>
      <c r="P27" s="79">
        <f t="shared" si="3"/>
        <v>4</v>
      </c>
      <c r="Q27" s="79">
        <v>1</v>
      </c>
      <c r="R27" s="79">
        <v>1</v>
      </c>
      <c r="U27" s="92"/>
      <c r="V27" s="92"/>
      <c r="W27" s="92" t="str">
        <f t="shared" si="4"/>
        <v>m_aluminum</v>
      </c>
      <c r="X27" s="92">
        <v>2.5</v>
      </c>
      <c r="Y27" s="92" t="s">
        <v>272</v>
      </c>
      <c r="AB27" s="97"/>
    </row>
    <row r="28" spans="1:38" ht="14.25">
      <c r="A28" s="85">
        <v>2020</v>
      </c>
      <c r="B28" s="84" t="s">
        <v>267</v>
      </c>
      <c r="C28" s="79" t="s">
        <v>277</v>
      </c>
      <c r="D28" s="79">
        <v>0.1</v>
      </c>
      <c r="E28" s="79">
        <v>0.6</v>
      </c>
      <c r="F28" s="79">
        <v>7.4999999999999997E-2</v>
      </c>
      <c r="G28" s="79">
        <v>7.0000000000000007E-2</v>
      </c>
      <c r="H28" s="79">
        <v>2.9209999999999998</v>
      </c>
      <c r="I28" s="79">
        <v>0.54900000000000004</v>
      </c>
      <c r="J28" s="79">
        <v>0.96099999999999997</v>
      </c>
      <c r="K28" s="86">
        <v>9</v>
      </c>
      <c r="L28" s="79" t="s">
        <v>198</v>
      </c>
      <c r="M28" s="79" t="s">
        <v>227</v>
      </c>
      <c r="N28" s="79">
        <v>0.9</v>
      </c>
      <c r="O28" s="79">
        <v>1.3140000000000001</v>
      </c>
      <c r="P28" s="79">
        <f t="shared" si="3"/>
        <v>4</v>
      </c>
      <c r="Q28" s="79">
        <v>1</v>
      </c>
      <c r="R28" s="79">
        <v>1</v>
      </c>
      <c r="U28" s="92"/>
      <c r="V28" s="92"/>
      <c r="W28" s="92" t="str">
        <f t="shared" si="4"/>
        <v>m_copper</v>
      </c>
      <c r="X28" s="92">
        <v>8</v>
      </c>
      <c r="Y28" s="92" t="s">
        <v>272</v>
      </c>
      <c r="AB28" s="96"/>
    </row>
    <row r="29" spans="1:38">
      <c r="U29" s="92"/>
      <c r="V29" s="92"/>
      <c r="W29" s="92" t="str">
        <f t="shared" si="4"/>
        <v>m_graphite</v>
      </c>
      <c r="X29" s="92">
        <v>1</v>
      </c>
      <c r="Y29" s="92" t="s">
        <v>272</v>
      </c>
      <c r="AB29" s="96"/>
    </row>
    <row r="30" spans="1:38" ht="14.25">
      <c r="B30" s="86" t="s">
        <v>278</v>
      </c>
      <c r="C30" s="86" t="s">
        <v>279</v>
      </c>
      <c r="D30" s="87">
        <v>0.8</v>
      </c>
    </row>
    <row r="32" spans="1:38" ht="14.25">
      <c r="AD32" s="80" t="s">
        <v>72</v>
      </c>
      <c r="AE32" s="80"/>
      <c r="AF32" s="80"/>
      <c r="AG32" s="80"/>
      <c r="AH32" s="80"/>
    </row>
    <row r="33" spans="14:34" ht="14.25">
      <c r="V33" s="94" t="s">
        <v>261</v>
      </c>
      <c r="W33" s="94" t="s">
        <v>173</v>
      </c>
      <c r="X33" s="94" t="s">
        <v>76</v>
      </c>
      <c r="Y33" s="94" t="s">
        <v>73</v>
      </c>
      <c r="AD33" s="80" t="s">
        <v>78</v>
      </c>
      <c r="AE33" s="80" t="s">
        <v>79</v>
      </c>
      <c r="AF33" s="80" t="s">
        <v>80</v>
      </c>
      <c r="AG33" s="80" t="s">
        <v>81</v>
      </c>
      <c r="AH33" s="80" t="s">
        <v>82</v>
      </c>
    </row>
    <row r="34" spans="14:34">
      <c r="N34" s="79" t="s">
        <v>280</v>
      </c>
      <c r="O34" s="79">
        <v>0.6</v>
      </c>
      <c r="V34" s="94" t="str">
        <f t="shared" ref="V34:V39" si="5">"Tra_bat_recy_"&amp;N34</f>
        <v>Tra_bat_recy_lithium</v>
      </c>
      <c r="W34" s="94" t="s">
        <v>245</v>
      </c>
      <c r="X34" s="94" t="s">
        <v>208</v>
      </c>
      <c r="Y34" s="94">
        <f t="shared" ref="Y34:Y39" si="6">O34</f>
        <v>0.6</v>
      </c>
      <c r="AD34" s="79" t="s">
        <v>281</v>
      </c>
      <c r="AE34" s="79" t="str">
        <f t="shared" ref="AE34:AE39" si="7">V34</f>
        <v>Tra_bat_recy_lithium</v>
      </c>
      <c r="AG34" s="79" t="s">
        <v>210</v>
      </c>
      <c r="AH34" s="79" t="s">
        <v>251</v>
      </c>
    </row>
    <row r="35" spans="14:34">
      <c r="N35" s="79" t="s">
        <v>282</v>
      </c>
      <c r="O35" s="79">
        <v>0.56000000000000005</v>
      </c>
      <c r="V35" s="94" t="str">
        <f t="shared" si="5"/>
        <v>Tra_bat_recy_nickel</v>
      </c>
      <c r="W35" s="94" t="s">
        <v>252</v>
      </c>
      <c r="X35" s="94" t="s">
        <v>211</v>
      </c>
      <c r="Y35" s="94">
        <f t="shared" si="6"/>
        <v>0.56000000000000005</v>
      </c>
      <c r="AE35" s="79" t="str">
        <f t="shared" si="7"/>
        <v>Tra_bat_recy_nickel</v>
      </c>
      <c r="AG35" s="79" t="s">
        <v>210</v>
      </c>
      <c r="AH35" s="79" t="s">
        <v>251</v>
      </c>
    </row>
    <row r="36" spans="14:34">
      <c r="N36" s="79" t="s">
        <v>283</v>
      </c>
      <c r="O36" s="79">
        <v>0.65</v>
      </c>
      <c r="V36" s="94" t="str">
        <f t="shared" si="5"/>
        <v>Tra_bat_recy_cobalt</v>
      </c>
      <c r="W36" s="94" t="s">
        <v>253</v>
      </c>
      <c r="X36" s="94" t="s">
        <v>216</v>
      </c>
      <c r="Y36" s="94">
        <f t="shared" si="6"/>
        <v>0.65</v>
      </c>
      <c r="AE36" s="79" t="str">
        <f t="shared" si="7"/>
        <v>Tra_bat_recy_cobalt</v>
      </c>
      <c r="AG36" s="79" t="s">
        <v>210</v>
      </c>
      <c r="AH36" s="79" t="s">
        <v>251</v>
      </c>
    </row>
    <row r="37" spans="14:34">
      <c r="N37" s="79" t="s">
        <v>284</v>
      </c>
      <c r="O37" s="79">
        <v>0.61</v>
      </c>
      <c r="V37" s="94" t="str">
        <f t="shared" si="5"/>
        <v>Tra_bat_recy_manganese</v>
      </c>
      <c r="W37" s="94" t="s">
        <v>254</v>
      </c>
      <c r="X37" s="94" t="s">
        <v>222</v>
      </c>
      <c r="Y37" s="94">
        <f t="shared" si="6"/>
        <v>0.61</v>
      </c>
      <c r="AE37" s="79" t="str">
        <f t="shared" si="7"/>
        <v>Tra_bat_recy_manganese</v>
      </c>
      <c r="AG37" s="79" t="s">
        <v>210</v>
      </c>
      <c r="AH37" s="79" t="s">
        <v>251</v>
      </c>
    </row>
    <row r="38" spans="14:34">
      <c r="N38" s="79" t="s">
        <v>285</v>
      </c>
      <c r="O38" s="79">
        <v>0.52</v>
      </c>
      <c r="V38" s="94" t="str">
        <f t="shared" si="5"/>
        <v>Tra_bat_recy_aluminum</v>
      </c>
      <c r="W38" s="94" t="s">
        <v>255</v>
      </c>
      <c r="X38" s="94" t="s">
        <v>228</v>
      </c>
      <c r="Y38" s="94">
        <f t="shared" si="6"/>
        <v>0.52</v>
      </c>
      <c r="AE38" s="79" t="str">
        <f t="shared" si="7"/>
        <v>Tra_bat_recy_aluminum</v>
      </c>
      <c r="AG38" s="79" t="s">
        <v>210</v>
      </c>
      <c r="AH38" s="79" t="s">
        <v>251</v>
      </c>
    </row>
    <row r="39" spans="14:34">
      <c r="N39" s="79" t="s">
        <v>286</v>
      </c>
      <c r="O39" s="79">
        <v>0.55000000000000004</v>
      </c>
      <c r="V39" s="94" t="str">
        <f t="shared" si="5"/>
        <v>Tra_bat_recy_copper</v>
      </c>
      <c r="W39" s="94" t="s">
        <v>256</v>
      </c>
      <c r="X39" s="94" t="s">
        <v>235</v>
      </c>
      <c r="Y39" s="94">
        <f t="shared" si="6"/>
        <v>0.55000000000000004</v>
      </c>
      <c r="AE39" s="79" t="str">
        <f t="shared" si="7"/>
        <v>Tra_bat_recy_copper</v>
      </c>
      <c r="AG39" s="79" t="s">
        <v>210</v>
      </c>
      <c r="AH39" s="79" t="s">
        <v>251</v>
      </c>
    </row>
    <row r="59" spans="1:28" ht="14.25">
      <c r="C59" s="79" t="s">
        <v>259</v>
      </c>
      <c r="W59" s="80" t="s">
        <v>72</v>
      </c>
      <c r="X59" s="80"/>
      <c r="Y59" s="80"/>
      <c r="Z59" s="80"/>
      <c r="AA59" s="80"/>
      <c r="AB59" s="80"/>
    </row>
    <row r="60" spans="1:28" ht="14.25">
      <c r="A60" s="79" t="s">
        <v>260</v>
      </c>
      <c r="B60" s="80" t="s">
        <v>174</v>
      </c>
      <c r="C60" s="79" t="s">
        <v>261</v>
      </c>
      <c r="D60" s="79" t="str">
        <f>D72</f>
        <v>mr_lithium</v>
      </c>
      <c r="E60" s="79" t="str">
        <f t="shared" ref="E60:J60" si="8">E72</f>
        <v>mr_nickel</v>
      </c>
      <c r="F60" s="79" t="str">
        <f t="shared" si="8"/>
        <v>mr_cobalt</v>
      </c>
      <c r="G60" s="79" t="str">
        <f t="shared" si="8"/>
        <v>mr_manganese</v>
      </c>
      <c r="H60" s="79" t="str">
        <f t="shared" si="8"/>
        <v>mr_aluminum</v>
      </c>
      <c r="I60" s="79" t="str">
        <f t="shared" si="8"/>
        <v>mr_copper</v>
      </c>
      <c r="J60" s="79" t="str">
        <f t="shared" si="8"/>
        <v>mr_graphite</v>
      </c>
      <c r="K60" s="86" t="s">
        <v>178</v>
      </c>
      <c r="L60" s="80" t="s">
        <v>173</v>
      </c>
      <c r="M60" s="80" t="s">
        <v>76</v>
      </c>
      <c r="N60" s="79" t="s">
        <v>177</v>
      </c>
      <c r="O60" s="79" t="s">
        <v>262</v>
      </c>
      <c r="P60" s="80" t="s">
        <v>263</v>
      </c>
      <c r="Q60" s="80" t="s">
        <v>264</v>
      </c>
      <c r="R60" s="79" t="s">
        <v>181</v>
      </c>
      <c r="S60" s="79" t="s">
        <v>265</v>
      </c>
      <c r="T60" s="79" t="s">
        <v>287</v>
      </c>
      <c r="U60" s="79" t="s">
        <v>288</v>
      </c>
      <c r="W60" s="80" t="s">
        <v>78</v>
      </c>
      <c r="X60" s="80" t="s">
        <v>79</v>
      </c>
      <c r="Y60" s="80" t="s">
        <v>80</v>
      </c>
      <c r="Z60" s="80" t="s">
        <v>81</v>
      </c>
      <c r="AA60" s="80" t="s">
        <v>82</v>
      </c>
      <c r="AB60" s="80" t="s">
        <v>182</v>
      </c>
    </row>
    <row r="61" spans="1:28" ht="14.25">
      <c r="A61" s="85">
        <v>2020</v>
      </c>
      <c r="B61" s="84" t="s">
        <v>267</v>
      </c>
      <c r="C61" s="79" t="s">
        <v>289</v>
      </c>
      <c r="D61" s="79">
        <f>D22*80%</f>
        <v>7.5999999999999998E-2</v>
      </c>
      <c r="E61" s="79">
        <f t="shared" ref="E61:J61" si="9">E22*80%</f>
        <v>0</v>
      </c>
      <c r="F61" s="79">
        <f t="shared" si="9"/>
        <v>0</v>
      </c>
      <c r="G61" s="79">
        <f t="shared" si="9"/>
        <v>0</v>
      </c>
      <c r="H61" s="79">
        <f t="shared" si="9"/>
        <v>2.8224</v>
      </c>
      <c r="I61" s="79">
        <f t="shared" si="9"/>
        <v>0.75680000000000003</v>
      </c>
      <c r="J61" s="79">
        <f t="shared" si="9"/>
        <v>0.86799999999999999</v>
      </c>
      <c r="K61" s="86">
        <v>10</v>
      </c>
      <c r="L61" s="79" t="s">
        <v>199</v>
      </c>
      <c r="M61" s="79" t="s">
        <v>199</v>
      </c>
      <c r="N61" s="79">
        <v>0.9</v>
      </c>
      <c r="O61" s="79">
        <v>1.3140000000000001</v>
      </c>
      <c r="P61" s="79">
        <f>24/6</f>
        <v>4</v>
      </c>
      <c r="Q61" s="79">
        <v>1</v>
      </c>
      <c r="R61" s="79">
        <v>1</v>
      </c>
      <c r="S61" s="79">
        <v>2000</v>
      </c>
      <c r="T61" s="79">
        <v>1</v>
      </c>
      <c r="U61" s="79" t="str">
        <f>C22</f>
        <v>Tra_EV_Batt-LFP</v>
      </c>
      <c r="W61" s="80" t="s">
        <v>201</v>
      </c>
      <c r="X61" s="80" t="str">
        <f>C61</f>
        <v>Util_Rep_Batt-LFP</v>
      </c>
      <c r="Y61" s="80" t="str">
        <f>"Repurposed: "&amp;W6</f>
        <v>Repurposed: Lithium Iron Phosphate; High safety, long cycle life, lower energy density; EVs, energy storage systems</v>
      </c>
      <c r="Z61" s="80" t="s">
        <v>204</v>
      </c>
      <c r="AA61" s="80" t="s">
        <v>205</v>
      </c>
      <c r="AB61" s="80" t="s">
        <v>206</v>
      </c>
    </row>
    <row r="62" spans="1:28" ht="14.25">
      <c r="A62" s="85">
        <v>2020</v>
      </c>
      <c r="B62" s="84" t="s">
        <v>267</v>
      </c>
      <c r="C62" s="79" t="s">
        <v>290</v>
      </c>
      <c r="D62" s="79">
        <f t="shared" ref="D62:D67" si="10">D23*80%</f>
        <v>8.48E-2</v>
      </c>
      <c r="E62" s="79">
        <f t="shared" ref="E62:J62" si="11">E23*80%</f>
        <v>0</v>
      </c>
      <c r="F62" s="79">
        <f t="shared" si="11"/>
        <v>0</v>
      </c>
      <c r="G62" s="79">
        <f t="shared" si="11"/>
        <v>1.1168</v>
      </c>
      <c r="H62" s="79">
        <f t="shared" si="11"/>
        <v>2.6951999999999998</v>
      </c>
      <c r="I62" s="79">
        <f t="shared" si="11"/>
        <v>0.69040000000000001</v>
      </c>
      <c r="J62" s="79">
        <f t="shared" si="11"/>
        <v>0.7288</v>
      </c>
      <c r="K62" s="86">
        <v>8</v>
      </c>
      <c r="L62" s="79" t="s">
        <v>199</v>
      </c>
      <c r="M62" s="79" t="s">
        <v>199</v>
      </c>
      <c r="N62" s="79">
        <v>0.9</v>
      </c>
      <c r="O62" s="79">
        <v>1.3140000000000001</v>
      </c>
      <c r="P62" s="79">
        <f t="shared" ref="P62:P67" si="12">24/6</f>
        <v>4</v>
      </c>
      <c r="Q62" s="79">
        <v>1</v>
      </c>
      <c r="R62" s="79">
        <v>1</v>
      </c>
      <c r="S62" s="79">
        <v>2000</v>
      </c>
      <c r="T62" s="79">
        <v>1</v>
      </c>
      <c r="U62" s="79" t="str">
        <f t="shared" ref="U62:U67" si="13">C23</f>
        <v>Tra_EV_Batt-LMO</v>
      </c>
      <c r="X62" s="80" t="str">
        <f t="shared" ref="X62:X67" si="14">C62</f>
        <v>Util_Rep_Batt-LMO</v>
      </c>
      <c r="Y62" s="80" t="str">
        <f t="shared" ref="Y62:Y67" si="15">"Repurposed: "&amp;W7</f>
        <v>Repurposed: Lithium Manganese Oxide; Good thermal stability, fast charging, moderate energy density; Power tools, medical devices, hybrid EVs</v>
      </c>
      <c r="Z62" s="80" t="s">
        <v>204</v>
      </c>
      <c r="AA62" s="80" t="s">
        <v>205</v>
      </c>
      <c r="AB62" s="80" t="s">
        <v>206</v>
      </c>
    </row>
    <row r="63" spans="1:28" ht="14.25">
      <c r="A63" s="85">
        <v>2020</v>
      </c>
      <c r="B63" s="84" t="s">
        <v>267</v>
      </c>
      <c r="C63" s="79" t="s">
        <v>291</v>
      </c>
      <c r="D63" s="79">
        <f t="shared" si="10"/>
        <v>8.1600000000000006E-2</v>
      </c>
      <c r="E63" s="79">
        <f t="shared" ref="E63:J63" si="16">E24*80%</f>
        <v>0.53759999999999997</v>
      </c>
      <c r="F63" s="79">
        <f t="shared" si="16"/>
        <v>0.1016</v>
      </c>
      <c r="G63" s="79">
        <f t="shared" si="16"/>
        <v>0</v>
      </c>
      <c r="H63" s="79">
        <f t="shared" si="16"/>
        <v>2.3359999999999999</v>
      </c>
      <c r="I63" s="79">
        <f t="shared" si="16"/>
        <v>0.45119999999999999</v>
      </c>
      <c r="J63" s="79">
        <f t="shared" si="16"/>
        <v>0.78239999999999998</v>
      </c>
      <c r="K63" s="86">
        <v>9</v>
      </c>
      <c r="L63" s="79" t="s">
        <v>199</v>
      </c>
      <c r="M63" s="79" t="s">
        <v>199</v>
      </c>
      <c r="N63" s="79">
        <v>0.9</v>
      </c>
      <c r="O63" s="79">
        <v>1.3140000000000001</v>
      </c>
      <c r="P63" s="79">
        <f t="shared" si="12"/>
        <v>4</v>
      </c>
      <c r="Q63" s="79">
        <v>1</v>
      </c>
      <c r="R63" s="79">
        <v>1</v>
      </c>
      <c r="S63" s="79">
        <v>2000</v>
      </c>
      <c r="T63" s="79">
        <v>1</v>
      </c>
      <c r="U63" s="79" t="str">
        <f t="shared" si="13"/>
        <v>Tra_EV_Batt-NCA</v>
      </c>
      <c r="W63" s="80"/>
      <c r="X63" s="80" t="str">
        <f t="shared" si="14"/>
        <v>Util_Rep_Batt-NCA</v>
      </c>
      <c r="Y63" s="80" t="str">
        <f t="shared" si="15"/>
        <v>Repurposed: Nickel Cobalt Aluminum Oxide; High energy density, long cycle life, higher cost; Premium EVs, energy storage</v>
      </c>
      <c r="Z63" s="80" t="s">
        <v>204</v>
      </c>
      <c r="AA63" s="80" t="s">
        <v>205</v>
      </c>
      <c r="AB63" s="80" t="s">
        <v>206</v>
      </c>
    </row>
    <row r="64" spans="1:28" ht="14.25">
      <c r="A64" s="85">
        <v>2020</v>
      </c>
      <c r="B64" s="84" t="s">
        <v>267</v>
      </c>
      <c r="C64" s="79" t="s">
        <v>292</v>
      </c>
      <c r="D64" s="79">
        <f t="shared" si="10"/>
        <v>0.1128</v>
      </c>
      <c r="E64" s="79">
        <f t="shared" ref="E64:J64" si="17">E25*80%</f>
        <v>0.28079999999999999</v>
      </c>
      <c r="F64" s="79">
        <f t="shared" si="17"/>
        <v>0.28160000000000002</v>
      </c>
      <c r="G64" s="79">
        <f t="shared" si="17"/>
        <v>0.26240000000000002</v>
      </c>
      <c r="H64" s="79">
        <f t="shared" si="17"/>
        <v>2.488</v>
      </c>
      <c r="I64" s="79">
        <f t="shared" si="17"/>
        <v>0.54159999999999997</v>
      </c>
      <c r="J64" s="79">
        <f t="shared" si="17"/>
        <v>0.78239999999999998</v>
      </c>
      <c r="K64" s="86">
        <v>9</v>
      </c>
      <c r="L64" s="79" t="s">
        <v>199</v>
      </c>
      <c r="M64" s="79" t="s">
        <v>199</v>
      </c>
      <c r="N64" s="79">
        <v>0.9</v>
      </c>
      <c r="O64" s="79">
        <v>1.3140000000000001</v>
      </c>
      <c r="P64" s="79">
        <f t="shared" si="12"/>
        <v>4</v>
      </c>
      <c r="Q64" s="79">
        <v>1</v>
      </c>
      <c r="R64" s="79">
        <v>1</v>
      </c>
      <c r="S64" s="79">
        <v>2000</v>
      </c>
      <c r="T64" s="79">
        <v>1</v>
      </c>
      <c r="U64" s="79" t="str">
        <f t="shared" si="13"/>
        <v>Tra_EV_Batt-NMC 111</v>
      </c>
      <c r="W64" s="81"/>
      <c r="X64" s="80" t="str">
        <f t="shared" si="14"/>
        <v>Util_Rep_Batt-NMC 111</v>
      </c>
      <c r="Y64" s="80" t="str">
        <f t="shared" si="15"/>
        <v>Repurposed: Nickel Manganese Cobalt (1:1:1); Balanced energy density, safety, and cost; Consumer electronics, EVs</v>
      </c>
      <c r="Z64" s="80" t="s">
        <v>204</v>
      </c>
      <c r="AA64" s="80" t="s">
        <v>205</v>
      </c>
      <c r="AB64" s="80" t="s">
        <v>206</v>
      </c>
    </row>
    <row r="65" spans="1:28" ht="14.25">
      <c r="A65" s="85">
        <v>2020</v>
      </c>
      <c r="B65" s="84" t="s">
        <v>267</v>
      </c>
      <c r="C65" s="79" t="s">
        <v>293</v>
      </c>
      <c r="D65" s="79">
        <f t="shared" si="10"/>
        <v>0.10879999999999999</v>
      </c>
      <c r="E65" s="79">
        <f t="shared" ref="E65:J65" si="18">E26*80%</f>
        <v>0.40639999999999998</v>
      </c>
      <c r="F65" s="79">
        <f t="shared" si="18"/>
        <v>0.16320000000000001</v>
      </c>
      <c r="G65" s="79">
        <f t="shared" si="18"/>
        <v>0.22800000000000001</v>
      </c>
      <c r="H65" s="79">
        <f t="shared" si="18"/>
        <v>2.456</v>
      </c>
      <c r="I65" s="79">
        <f t="shared" si="18"/>
        <v>0.52880000000000005</v>
      </c>
      <c r="J65" s="79">
        <f t="shared" si="18"/>
        <v>0.78480000000000005</v>
      </c>
      <c r="K65" s="86">
        <v>9</v>
      </c>
      <c r="L65" s="79" t="s">
        <v>199</v>
      </c>
      <c r="M65" s="79" t="s">
        <v>199</v>
      </c>
      <c r="N65" s="79">
        <v>0.9</v>
      </c>
      <c r="O65" s="79">
        <v>1.3140000000000001</v>
      </c>
      <c r="P65" s="79">
        <f t="shared" si="12"/>
        <v>4</v>
      </c>
      <c r="Q65" s="79">
        <v>1</v>
      </c>
      <c r="R65" s="79">
        <v>1</v>
      </c>
      <c r="S65" s="79">
        <v>2000</v>
      </c>
      <c r="T65" s="79">
        <v>1</v>
      </c>
      <c r="U65" s="79" t="str">
        <f t="shared" si="13"/>
        <v>Tra_EV_Batt-NMC532</v>
      </c>
      <c r="W65" s="81"/>
      <c r="X65" s="80" t="str">
        <f t="shared" si="14"/>
        <v>Util_Rep_Batt-NMC532</v>
      </c>
      <c r="Y65" s="80" t="str">
        <f t="shared" si="15"/>
        <v>Repurposed: Nickel Manganese Cobalt (5:3:2); Higher energy density, better thermal stability; Modern EV batteries</v>
      </c>
      <c r="Z65" s="80" t="s">
        <v>204</v>
      </c>
      <c r="AA65" s="80" t="s">
        <v>205</v>
      </c>
      <c r="AB65" s="80" t="s">
        <v>206</v>
      </c>
    </row>
    <row r="66" spans="1:28" ht="14.25">
      <c r="A66" s="85">
        <v>2020</v>
      </c>
      <c r="B66" s="84" t="s">
        <v>267</v>
      </c>
      <c r="C66" s="79" t="s">
        <v>294</v>
      </c>
      <c r="D66" s="79">
        <f t="shared" si="10"/>
        <v>9.4399999999999998E-2</v>
      </c>
      <c r="E66" s="79">
        <f t="shared" ref="E66:J66" si="19">E27*80%</f>
        <v>0.42480000000000001</v>
      </c>
      <c r="F66" s="79">
        <f t="shared" si="19"/>
        <v>0.1424</v>
      </c>
      <c r="G66" s="79">
        <f t="shared" si="19"/>
        <v>0.1328</v>
      </c>
      <c r="H66" s="79">
        <f t="shared" si="19"/>
        <v>2.4136000000000002</v>
      </c>
      <c r="I66" s="79">
        <f t="shared" si="19"/>
        <v>0.48399999999999999</v>
      </c>
      <c r="J66" s="79">
        <f t="shared" si="19"/>
        <v>0.76800000000000002</v>
      </c>
      <c r="K66" s="86">
        <v>9</v>
      </c>
      <c r="L66" s="79" t="s">
        <v>199</v>
      </c>
      <c r="M66" s="79" t="s">
        <v>199</v>
      </c>
      <c r="N66" s="79">
        <v>0.9</v>
      </c>
      <c r="O66" s="79">
        <v>1.3140000000000001</v>
      </c>
      <c r="P66" s="79">
        <f t="shared" si="12"/>
        <v>4</v>
      </c>
      <c r="Q66" s="79">
        <v>1</v>
      </c>
      <c r="R66" s="79">
        <v>1</v>
      </c>
      <c r="S66" s="79">
        <v>2000</v>
      </c>
      <c r="T66" s="79">
        <v>1</v>
      </c>
      <c r="U66" s="79" t="str">
        <f t="shared" si="13"/>
        <v>Tra_EV_Batt-NMC 622</v>
      </c>
      <c r="W66" s="81"/>
      <c r="X66" s="80" t="str">
        <f t="shared" si="14"/>
        <v>Util_Rep_Batt-NMC 622</v>
      </c>
      <c r="Y66" s="80" t="str">
        <f t="shared" si="15"/>
        <v>Repurposed: Nickel Manganese Cobalt (6:2:2); Improved energy density, cost efficiency; Long-range EVs</v>
      </c>
      <c r="Z66" s="80" t="s">
        <v>204</v>
      </c>
      <c r="AA66" s="80" t="s">
        <v>205</v>
      </c>
      <c r="AB66" s="80" t="s">
        <v>206</v>
      </c>
    </row>
    <row r="67" spans="1:28" ht="14.25">
      <c r="A67" s="85">
        <v>2020</v>
      </c>
      <c r="B67" s="84" t="s">
        <v>267</v>
      </c>
      <c r="C67" s="79" t="s">
        <v>295</v>
      </c>
      <c r="D67" s="79">
        <f t="shared" si="10"/>
        <v>0.08</v>
      </c>
      <c r="E67" s="79">
        <f t="shared" ref="E67:J67" si="20">E28*80%</f>
        <v>0.48</v>
      </c>
      <c r="F67" s="79">
        <f t="shared" si="20"/>
        <v>0.06</v>
      </c>
      <c r="G67" s="79">
        <f t="shared" si="20"/>
        <v>5.6000000000000001E-2</v>
      </c>
      <c r="H67" s="79">
        <f t="shared" si="20"/>
        <v>2.3368000000000002</v>
      </c>
      <c r="I67" s="79">
        <f t="shared" si="20"/>
        <v>0.43919999999999998</v>
      </c>
      <c r="J67" s="79">
        <f t="shared" si="20"/>
        <v>0.76880000000000004</v>
      </c>
      <c r="K67" s="86">
        <v>9</v>
      </c>
      <c r="L67" s="79" t="s">
        <v>199</v>
      </c>
      <c r="M67" s="79" t="s">
        <v>199</v>
      </c>
      <c r="N67" s="79">
        <v>0.9</v>
      </c>
      <c r="O67" s="79">
        <v>1.3140000000000001</v>
      </c>
      <c r="P67" s="79">
        <f t="shared" si="12"/>
        <v>4</v>
      </c>
      <c r="Q67" s="79">
        <v>1</v>
      </c>
      <c r="R67" s="79">
        <v>1</v>
      </c>
      <c r="S67" s="79">
        <v>2000</v>
      </c>
      <c r="T67" s="79">
        <v>1</v>
      </c>
      <c r="U67" s="79" t="str">
        <f t="shared" si="13"/>
        <v>Tra_EV_Batt-NMC 811</v>
      </c>
      <c r="X67" s="80" t="str">
        <f t="shared" si="14"/>
        <v>Util_Rep_Batt-NMC 811</v>
      </c>
      <c r="Y67" s="80" t="str">
        <f t="shared" si="15"/>
        <v>Repurposed: Nickel Manganese Cobalt (8:1:1); Highest energy density, reduced cobalt content, lower cost; Long-range EVs</v>
      </c>
      <c r="Z67" s="80" t="s">
        <v>204</v>
      </c>
      <c r="AA67" s="80" t="s">
        <v>205</v>
      </c>
      <c r="AB67" s="80" t="s">
        <v>206</v>
      </c>
    </row>
    <row r="68" spans="1:28" ht="14.25">
      <c r="X68" s="80"/>
      <c r="Y68" s="80"/>
      <c r="Z68" s="80"/>
      <c r="AA68" s="80"/>
      <c r="AB68" s="80"/>
    </row>
    <row r="71" spans="1:28">
      <c r="C71" s="79" t="s">
        <v>296</v>
      </c>
    </row>
    <row r="72" spans="1:28">
      <c r="C72" s="79" t="s">
        <v>261</v>
      </c>
      <c r="D72" s="79" t="s">
        <v>245</v>
      </c>
      <c r="E72" s="79" t="s">
        <v>252</v>
      </c>
      <c r="F72" s="79" t="s">
        <v>253</v>
      </c>
      <c r="G72" s="79" t="s">
        <v>254</v>
      </c>
      <c r="H72" s="79" t="s">
        <v>255</v>
      </c>
      <c r="I72" s="79" t="s">
        <v>256</v>
      </c>
      <c r="J72" s="79" t="s">
        <v>257</v>
      </c>
    </row>
    <row r="73" spans="1:28">
      <c r="C73" s="79" t="str">
        <f>C61</f>
        <v>Util_Rep_Batt-LFP</v>
      </c>
      <c r="D73" s="79">
        <f>D61*$D$30</f>
        <v>6.08E-2</v>
      </c>
      <c r="E73" s="79">
        <f t="shared" ref="E73:J73" si="21">E61*$D$30</f>
        <v>0</v>
      </c>
      <c r="F73" s="79">
        <f t="shared" si="21"/>
        <v>0</v>
      </c>
      <c r="G73" s="79">
        <f t="shared" si="21"/>
        <v>0</v>
      </c>
      <c r="H73" s="79">
        <f t="shared" si="21"/>
        <v>2.2579199999999999</v>
      </c>
      <c r="I73" s="79">
        <f t="shared" si="21"/>
        <v>0.60543999999999998</v>
      </c>
      <c r="J73" s="79">
        <f t="shared" si="21"/>
        <v>0.69440000000000002</v>
      </c>
    </row>
    <row r="74" spans="1:28">
      <c r="C74" s="79" t="str">
        <f t="shared" ref="C74:C79" si="22">C62</f>
        <v>Util_Rep_Batt-LMO</v>
      </c>
      <c r="D74" s="79">
        <f t="shared" ref="D74:J74" si="23">D62*$D$30</f>
        <v>6.7839999999999998E-2</v>
      </c>
      <c r="E74" s="79">
        <f t="shared" si="23"/>
        <v>0</v>
      </c>
      <c r="F74" s="79">
        <f t="shared" si="23"/>
        <v>0</v>
      </c>
      <c r="G74" s="79">
        <f t="shared" si="23"/>
        <v>0.89344000000000001</v>
      </c>
      <c r="H74" s="79">
        <f t="shared" si="23"/>
        <v>2.1561599999999999</v>
      </c>
      <c r="I74" s="79">
        <f t="shared" si="23"/>
        <v>0.55232000000000003</v>
      </c>
      <c r="J74" s="79">
        <f t="shared" si="23"/>
        <v>0.58304</v>
      </c>
    </row>
    <row r="75" spans="1:28">
      <c r="C75" s="79" t="str">
        <f t="shared" si="22"/>
        <v>Util_Rep_Batt-NCA</v>
      </c>
      <c r="D75" s="79">
        <f t="shared" ref="D75:J75" si="24">D63*$D$30</f>
        <v>6.5280000000000005E-2</v>
      </c>
      <c r="E75" s="79">
        <f t="shared" si="24"/>
        <v>0.43008000000000002</v>
      </c>
      <c r="F75" s="79">
        <f t="shared" si="24"/>
        <v>8.1280000000000005E-2</v>
      </c>
      <c r="G75" s="79">
        <f t="shared" si="24"/>
        <v>0</v>
      </c>
      <c r="H75" s="79">
        <f t="shared" si="24"/>
        <v>1.8688</v>
      </c>
      <c r="I75" s="79">
        <f t="shared" si="24"/>
        <v>0.36096</v>
      </c>
      <c r="J75" s="79">
        <f t="shared" si="24"/>
        <v>0.62592000000000003</v>
      </c>
    </row>
    <row r="76" spans="1:28">
      <c r="C76" s="79" t="str">
        <f t="shared" si="22"/>
        <v>Util_Rep_Batt-NMC 111</v>
      </c>
      <c r="D76" s="79">
        <f t="shared" ref="D76:J76" si="25">D64*$D$30</f>
        <v>9.0240000000000001E-2</v>
      </c>
      <c r="E76" s="79">
        <f t="shared" si="25"/>
        <v>0.22464000000000001</v>
      </c>
      <c r="F76" s="79">
        <f t="shared" si="25"/>
        <v>0.22528000000000001</v>
      </c>
      <c r="G76" s="79">
        <f t="shared" si="25"/>
        <v>0.20992</v>
      </c>
      <c r="H76" s="79">
        <f t="shared" si="25"/>
        <v>1.9903999999999999</v>
      </c>
      <c r="I76" s="79">
        <f t="shared" si="25"/>
        <v>0.43328</v>
      </c>
      <c r="J76" s="79">
        <f t="shared" si="25"/>
        <v>0.62592000000000003</v>
      </c>
    </row>
    <row r="77" spans="1:28">
      <c r="C77" s="79" t="str">
        <f t="shared" si="22"/>
        <v>Util_Rep_Batt-NMC532</v>
      </c>
      <c r="D77" s="79">
        <f t="shared" ref="D77:J77" si="26">D65*$D$30</f>
        <v>8.7040000000000006E-2</v>
      </c>
      <c r="E77" s="79">
        <f t="shared" si="26"/>
        <v>0.32512000000000002</v>
      </c>
      <c r="F77" s="79">
        <f t="shared" si="26"/>
        <v>0.13056000000000001</v>
      </c>
      <c r="G77" s="79">
        <f t="shared" si="26"/>
        <v>0.18240000000000001</v>
      </c>
      <c r="H77" s="79">
        <f t="shared" si="26"/>
        <v>1.9648000000000001</v>
      </c>
      <c r="I77" s="79">
        <f t="shared" si="26"/>
        <v>0.42304000000000003</v>
      </c>
      <c r="J77" s="79">
        <f t="shared" si="26"/>
        <v>0.62783999999999995</v>
      </c>
    </row>
    <row r="78" spans="1:28">
      <c r="C78" s="79" t="str">
        <f t="shared" si="22"/>
        <v>Util_Rep_Batt-NMC 622</v>
      </c>
      <c r="D78" s="79">
        <f t="shared" ref="D78:J78" si="27">D66*$D$30</f>
        <v>7.5520000000000004E-2</v>
      </c>
      <c r="E78" s="79">
        <f t="shared" si="27"/>
        <v>0.33983999999999998</v>
      </c>
      <c r="F78" s="79">
        <f t="shared" si="27"/>
        <v>0.11391999999999999</v>
      </c>
      <c r="G78" s="79">
        <f t="shared" si="27"/>
        <v>0.10624</v>
      </c>
      <c r="H78" s="79">
        <f t="shared" si="27"/>
        <v>1.9308799999999999</v>
      </c>
      <c r="I78" s="79">
        <f t="shared" si="27"/>
        <v>0.38719999999999999</v>
      </c>
      <c r="J78" s="79">
        <f t="shared" si="27"/>
        <v>0.61439999999999995</v>
      </c>
    </row>
    <row r="79" spans="1:28">
      <c r="C79" s="79" t="str">
        <f t="shared" si="22"/>
        <v>Util_Rep_Batt-NMC 811</v>
      </c>
      <c r="D79" s="79">
        <f t="shared" ref="D79:J79" si="28">D67*$D$30</f>
        <v>6.4000000000000001E-2</v>
      </c>
      <c r="E79" s="79">
        <f t="shared" si="28"/>
        <v>0.38400000000000001</v>
      </c>
      <c r="F79" s="79">
        <f t="shared" si="28"/>
        <v>4.8000000000000001E-2</v>
      </c>
      <c r="G79" s="79">
        <f t="shared" si="28"/>
        <v>4.48E-2</v>
      </c>
      <c r="H79" s="79">
        <f t="shared" si="28"/>
        <v>1.86944</v>
      </c>
      <c r="I79" s="79">
        <f t="shared" si="28"/>
        <v>0.35136000000000001</v>
      </c>
      <c r="J79" s="79">
        <f t="shared" si="28"/>
        <v>0.61504000000000003</v>
      </c>
    </row>
    <row r="81" spans="3:10">
      <c r="C81" s="100" t="s">
        <v>297</v>
      </c>
      <c r="D81" s="100"/>
      <c r="E81" s="100"/>
    </row>
    <row r="82" spans="3:10">
      <c r="C82" s="100"/>
      <c r="D82" s="100"/>
      <c r="E82" s="100"/>
    </row>
    <row r="83" spans="3:10">
      <c r="C83" s="100" t="str">
        <f>C60</f>
        <v>process</v>
      </c>
      <c r="D83" s="100" t="s">
        <v>298</v>
      </c>
      <c r="E83" s="100" t="s">
        <v>299</v>
      </c>
    </row>
    <row r="84" spans="3:10">
      <c r="C84" s="100" t="str">
        <f t="shared" ref="C84:C90" si="29">C61</f>
        <v>Util_Rep_Batt-LFP</v>
      </c>
      <c r="D84" s="100" t="str">
        <f>V262</f>
        <v>rep_Batt-LFP</v>
      </c>
      <c r="E84" s="100">
        <v>1</v>
      </c>
    </row>
    <row r="85" spans="3:10">
      <c r="C85" s="100" t="str">
        <f t="shared" si="29"/>
        <v>Util_Rep_Batt-LMO</v>
      </c>
      <c r="D85" s="100" t="str">
        <f t="shared" ref="D85:D90" si="30">V263</f>
        <v>rep_Batt-LMO</v>
      </c>
      <c r="E85" s="100">
        <v>1</v>
      </c>
    </row>
    <row r="86" spans="3:10">
      <c r="C86" s="100" t="str">
        <f t="shared" si="29"/>
        <v>Util_Rep_Batt-NCA</v>
      </c>
      <c r="D86" s="100" t="str">
        <f t="shared" si="30"/>
        <v>rep_Batt-NCA</v>
      </c>
      <c r="E86" s="100">
        <v>1</v>
      </c>
    </row>
    <row r="87" spans="3:10">
      <c r="C87" s="100" t="str">
        <f t="shared" si="29"/>
        <v>Util_Rep_Batt-NMC 111</v>
      </c>
      <c r="D87" s="100" t="str">
        <f t="shared" si="30"/>
        <v>rep_Batt-NMC 111</v>
      </c>
      <c r="E87" s="100">
        <v>1</v>
      </c>
    </row>
    <row r="88" spans="3:10">
      <c r="C88" s="100" t="str">
        <f t="shared" si="29"/>
        <v>Util_Rep_Batt-NMC532</v>
      </c>
      <c r="D88" s="100" t="str">
        <f t="shared" si="30"/>
        <v>rep_Batt-NMC532</v>
      </c>
      <c r="E88" s="100">
        <v>1</v>
      </c>
    </row>
    <row r="89" spans="3:10">
      <c r="C89" s="100" t="str">
        <f t="shared" si="29"/>
        <v>Util_Rep_Batt-NMC 622</v>
      </c>
      <c r="D89" s="100" t="str">
        <f t="shared" si="30"/>
        <v>rep_Batt-NMC 622</v>
      </c>
      <c r="E89" s="100">
        <v>1</v>
      </c>
    </row>
    <row r="90" spans="3:10">
      <c r="C90" s="100" t="str">
        <f t="shared" si="29"/>
        <v>Util_Rep_Batt-NMC 811</v>
      </c>
      <c r="D90" s="100" t="str">
        <f t="shared" si="30"/>
        <v>rep_Batt-NMC 811</v>
      </c>
      <c r="E90" s="100">
        <v>1</v>
      </c>
    </row>
    <row r="95" spans="3:10" ht="14.25">
      <c r="C95" s="101" t="s">
        <v>72</v>
      </c>
      <c r="D95" s="102"/>
      <c r="E95" s="102"/>
      <c r="F95" s="102"/>
      <c r="G95" s="102"/>
      <c r="H95" s="102"/>
      <c r="I95" s="102"/>
      <c r="J95" s="102"/>
    </row>
    <row r="96" spans="3:10" ht="14.25">
      <c r="C96" s="102"/>
      <c r="D96" s="101"/>
      <c r="E96" s="101"/>
      <c r="F96" s="101"/>
      <c r="G96" s="101"/>
      <c r="H96" s="101"/>
      <c r="I96" s="101"/>
      <c r="J96" s="101"/>
    </row>
    <row r="97" spans="3:10" ht="14.25">
      <c r="C97" s="101" t="s">
        <v>78</v>
      </c>
      <c r="D97" s="101" t="s">
        <v>79</v>
      </c>
      <c r="E97" s="101" t="s">
        <v>80</v>
      </c>
      <c r="F97" s="101" t="s">
        <v>81</v>
      </c>
      <c r="G97" s="101" t="s">
        <v>82</v>
      </c>
      <c r="H97" s="101" t="s">
        <v>182</v>
      </c>
      <c r="I97" s="101" t="s">
        <v>183</v>
      </c>
      <c r="J97" s="101" t="s">
        <v>184</v>
      </c>
    </row>
    <row r="98" spans="3:10" ht="14.25">
      <c r="C98" s="101" t="s">
        <v>281</v>
      </c>
      <c r="D98" s="101" t="s">
        <v>300</v>
      </c>
      <c r="E98" s="101" t="s">
        <v>301</v>
      </c>
      <c r="F98" s="101" t="s">
        <v>302</v>
      </c>
      <c r="G98" s="101" t="s">
        <v>303</v>
      </c>
      <c r="H98" s="101"/>
      <c r="I98" s="101"/>
      <c r="J98" s="101"/>
    </row>
    <row r="99" spans="3:10" ht="14.25">
      <c r="C99" s="101" t="s">
        <v>281</v>
      </c>
      <c r="D99" s="101" t="s">
        <v>304</v>
      </c>
      <c r="E99" s="101" t="s">
        <v>305</v>
      </c>
      <c r="F99" s="101" t="s">
        <v>302</v>
      </c>
      <c r="G99" s="101" t="s">
        <v>303</v>
      </c>
      <c r="H99" s="102"/>
      <c r="I99" s="102"/>
      <c r="J99" s="102"/>
    </row>
    <row r="100" spans="3:10" ht="14.25">
      <c r="C100" s="101" t="s">
        <v>281</v>
      </c>
      <c r="D100" s="101" t="s">
        <v>306</v>
      </c>
      <c r="E100" s="101" t="s">
        <v>307</v>
      </c>
      <c r="F100" s="101" t="s">
        <v>302</v>
      </c>
      <c r="G100" s="101" t="s">
        <v>303</v>
      </c>
      <c r="H100" s="102"/>
      <c r="I100" s="102"/>
      <c r="J100" s="102"/>
    </row>
    <row r="101" spans="3:10" ht="14.25">
      <c r="C101" s="101" t="s">
        <v>281</v>
      </c>
      <c r="D101" s="101" t="s">
        <v>308</v>
      </c>
      <c r="E101" s="101" t="s">
        <v>309</v>
      </c>
      <c r="F101" s="101" t="s">
        <v>302</v>
      </c>
      <c r="G101" s="101" t="s">
        <v>303</v>
      </c>
      <c r="H101" s="102"/>
      <c r="I101" s="102"/>
      <c r="J101" s="102"/>
    </row>
    <row r="102" spans="3:10" ht="14.25">
      <c r="C102" s="101" t="s">
        <v>281</v>
      </c>
      <c r="D102" s="101" t="s">
        <v>310</v>
      </c>
      <c r="E102" s="101" t="s">
        <v>311</v>
      </c>
      <c r="F102" s="101" t="s">
        <v>302</v>
      </c>
      <c r="G102" s="101" t="s">
        <v>303</v>
      </c>
      <c r="H102" s="102"/>
      <c r="I102" s="102"/>
      <c r="J102" s="102"/>
    </row>
    <row r="103" spans="3:10" ht="14.25">
      <c r="C103" s="101" t="s">
        <v>281</v>
      </c>
      <c r="D103" s="101" t="s">
        <v>306</v>
      </c>
      <c r="E103" s="101" t="s">
        <v>312</v>
      </c>
      <c r="F103" s="101" t="s">
        <v>302</v>
      </c>
      <c r="G103" s="101" t="s">
        <v>303</v>
      </c>
      <c r="H103" s="102"/>
      <c r="I103" s="102"/>
      <c r="J103" s="102"/>
    </row>
    <row r="104" spans="3:10" ht="14.25">
      <c r="C104" s="101" t="s">
        <v>281</v>
      </c>
      <c r="D104" s="101" t="s">
        <v>313</v>
      </c>
      <c r="E104" s="101" t="s">
        <v>314</v>
      </c>
      <c r="F104" s="101" t="s">
        <v>302</v>
      </c>
      <c r="G104" s="101" t="s">
        <v>303</v>
      </c>
      <c r="H104" s="102"/>
      <c r="I104" s="102"/>
      <c r="J104" s="102"/>
    </row>
    <row r="105" spans="3:10">
      <c r="C105" s="102"/>
      <c r="D105" s="102"/>
      <c r="E105" s="102"/>
      <c r="F105" s="102"/>
      <c r="G105" s="102"/>
      <c r="H105" s="102"/>
      <c r="I105" s="102"/>
      <c r="J105" s="102"/>
    </row>
    <row r="106" spans="3:10">
      <c r="C106" s="102" t="s">
        <v>297</v>
      </c>
      <c r="D106" s="102"/>
      <c r="E106" s="102"/>
      <c r="F106" s="102"/>
      <c r="G106" s="102"/>
      <c r="H106" s="102"/>
      <c r="I106" s="102"/>
      <c r="J106" s="102"/>
    </row>
    <row r="107" spans="3:10">
      <c r="C107" s="102"/>
      <c r="D107" s="102"/>
      <c r="E107" s="102"/>
      <c r="F107" s="102"/>
      <c r="G107" s="102"/>
      <c r="H107" s="102"/>
      <c r="I107" s="102"/>
      <c r="J107" s="102"/>
    </row>
    <row r="108" spans="3:10" ht="14.25">
      <c r="C108" s="102" t="s">
        <v>261</v>
      </c>
      <c r="D108" s="101" t="s">
        <v>173</v>
      </c>
      <c r="E108" s="101" t="s">
        <v>76</v>
      </c>
      <c r="F108" s="102" t="s">
        <v>73</v>
      </c>
      <c r="G108" s="102"/>
      <c r="H108" s="102"/>
      <c r="I108" s="102"/>
      <c r="J108" s="102"/>
    </row>
    <row r="109" spans="3:10" ht="14.25">
      <c r="C109" s="101" t="s">
        <v>300</v>
      </c>
      <c r="D109" s="102" t="s">
        <v>208</v>
      </c>
      <c r="E109" s="102" t="s">
        <v>245</v>
      </c>
      <c r="F109" s="102">
        <v>1</v>
      </c>
      <c r="G109" s="102"/>
      <c r="H109" s="102"/>
      <c r="I109" s="102"/>
      <c r="J109" s="102"/>
    </row>
    <row r="110" spans="3:10" ht="14.25">
      <c r="C110" s="101" t="s">
        <v>304</v>
      </c>
      <c r="D110" s="102" t="s">
        <v>211</v>
      </c>
      <c r="E110" s="102" t="s">
        <v>252</v>
      </c>
      <c r="F110" s="102">
        <v>1</v>
      </c>
      <c r="G110" s="102"/>
      <c r="H110" s="102"/>
      <c r="I110" s="102"/>
      <c r="J110" s="102"/>
    </row>
    <row r="111" spans="3:10" ht="14.25">
      <c r="C111" s="101" t="s">
        <v>306</v>
      </c>
      <c r="D111" s="102" t="s">
        <v>216</v>
      </c>
      <c r="E111" s="102" t="s">
        <v>253</v>
      </c>
      <c r="F111" s="102">
        <v>1</v>
      </c>
      <c r="G111" s="102"/>
      <c r="H111" s="102"/>
      <c r="I111" s="102"/>
      <c r="J111" s="102"/>
    </row>
    <row r="112" spans="3:10" ht="14.25">
      <c r="C112" s="101" t="s">
        <v>308</v>
      </c>
      <c r="D112" s="102" t="s">
        <v>222</v>
      </c>
      <c r="E112" s="102" t="s">
        <v>254</v>
      </c>
      <c r="F112" s="102">
        <v>1</v>
      </c>
      <c r="G112" s="102"/>
      <c r="H112" s="102"/>
      <c r="I112" s="102"/>
      <c r="J112" s="102"/>
    </row>
    <row r="113" spans="1:46" ht="14.25">
      <c r="C113" s="101" t="s">
        <v>310</v>
      </c>
      <c r="D113" s="102" t="s">
        <v>228</v>
      </c>
      <c r="E113" s="102" t="s">
        <v>255</v>
      </c>
      <c r="F113" s="102">
        <v>1</v>
      </c>
      <c r="G113" s="102"/>
      <c r="H113" s="102"/>
      <c r="I113" s="102"/>
      <c r="J113" s="102"/>
    </row>
    <row r="114" spans="1:46" ht="14.25">
      <c r="C114" s="101" t="s">
        <v>306</v>
      </c>
      <c r="D114" s="102" t="s">
        <v>235</v>
      </c>
      <c r="E114" s="102" t="s">
        <v>256</v>
      </c>
      <c r="F114" s="102">
        <v>1</v>
      </c>
      <c r="G114" s="102"/>
      <c r="H114" s="102"/>
      <c r="I114" s="102"/>
      <c r="J114" s="102"/>
    </row>
    <row r="115" spans="1:46" ht="14.25">
      <c r="C115" s="101" t="s">
        <v>313</v>
      </c>
      <c r="D115" s="102" t="s">
        <v>240</v>
      </c>
      <c r="E115" s="102" t="s">
        <v>257</v>
      </c>
      <c r="F115" s="102">
        <v>1</v>
      </c>
      <c r="G115" s="102"/>
      <c r="H115" s="102"/>
      <c r="I115" s="102"/>
      <c r="J115" s="102"/>
    </row>
    <row r="123" spans="1:46" ht="53" customHeight="1"/>
    <row r="124" spans="1:46">
      <c r="AA124" s="264" t="s">
        <v>315</v>
      </c>
      <c r="AB124" s="264"/>
      <c r="AC124" s="264"/>
      <c r="AD124" s="264"/>
      <c r="AE124" s="264"/>
      <c r="AF124" s="264"/>
    </row>
    <row r="125" spans="1:46" ht="14.25">
      <c r="B125"/>
      <c r="C125"/>
      <c r="D125"/>
    </row>
    <row r="126" spans="1:46" ht="21">
      <c r="B126" s="103"/>
      <c r="C126" s="104" t="s">
        <v>316</v>
      </c>
      <c r="D126" s="86"/>
      <c r="E126" s="86"/>
      <c r="F126" s="86"/>
      <c r="H126" s="94"/>
      <c r="I126" s="108"/>
      <c r="J126" s="265" t="s">
        <v>317</v>
      </c>
      <c r="K126" s="265"/>
      <c r="L126" s="265"/>
      <c r="M126" s="265"/>
      <c r="N126" s="265"/>
      <c r="O126" s="265"/>
      <c r="P126" s="265"/>
      <c r="Q126" s="265"/>
      <c r="R126" s="265"/>
      <c r="S126" s="94"/>
      <c r="T126" s="94"/>
      <c r="U126" s="94"/>
    </row>
    <row r="127" spans="1:46" ht="14.25">
      <c r="B127" s="103"/>
      <c r="C127" s="105" t="s">
        <v>318</v>
      </c>
      <c r="D127" s="86"/>
      <c r="E127" s="86"/>
      <c r="F127" s="86"/>
      <c r="H127" s="106" t="s">
        <v>319</v>
      </c>
      <c r="I127" s="109" t="s">
        <v>320</v>
      </c>
      <c r="J127" s="109" t="s">
        <v>321</v>
      </c>
      <c r="K127" s="109" t="s">
        <v>322</v>
      </c>
      <c r="L127" s="109" t="s">
        <v>323</v>
      </c>
      <c r="M127" s="110" t="s">
        <v>321</v>
      </c>
      <c r="N127" s="110" t="s">
        <v>322</v>
      </c>
      <c r="O127" s="110" t="s">
        <v>323</v>
      </c>
      <c r="P127" s="109" t="s">
        <v>321</v>
      </c>
      <c r="Q127" s="109" t="s">
        <v>322</v>
      </c>
      <c r="R127" s="109" t="s">
        <v>323</v>
      </c>
      <c r="S127" s="94"/>
      <c r="T127" s="111" t="s">
        <v>324</v>
      </c>
      <c r="U127" s="94"/>
      <c r="AA127" s="86"/>
      <c r="AB127" s="86"/>
      <c r="AC127" s="86" t="s">
        <v>318</v>
      </c>
      <c r="AD127" s="86"/>
      <c r="AE127" s="86"/>
      <c r="AF127" s="86"/>
      <c r="AI127" s="86"/>
      <c r="AJ127" s="86"/>
      <c r="AK127" s="86" t="s">
        <v>318</v>
      </c>
      <c r="AL127" s="86"/>
      <c r="AM127" s="86"/>
      <c r="AN127" s="86"/>
      <c r="AQ127" s="112" t="s">
        <v>318</v>
      </c>
      <c r="AR127" s="113"/>
      <c r="AS127" s="113"/>
      <c r="AT127" s="113"/>
    </row>
    <row r="128" spans="1:46" ht="20.25">
      <c r="A128" s="107"/>
      <c r="B128" s="86"/>
      <c r="C128" s="86"/>
      <c r="D128" s="105"/>
      <c r="E128" s="105"/>
      <c r="F128" s="105"/>
      <c r="H128" s="94" t="s">
        <v>325</v>
      </c>
      <c r="I128" s="109" t="s">
        <v>326</v>
      </c>
      <c r="J128" s="266" t="s">
        <v>327</v>
      </c>
      <c r="K128" s="267"/>
      <c r="L128" s="268"/>
      <c r="M128" s="269" t="s">
        <v>328</v>
      </c>
      <c r="N128" s="270"/>
      <c r="O128" s="271"/>
      <c r="P128" s="266" t="s">
        <v>329</v>
      </c>
      <c r="Q128" s="267"/>
      <c r="R128" s="268"/>
      <c r="S128" s="94"/>
      <c r="T128" s="94" t="s">
        <v>328</v>
      </c>
      <c r="U128" s="94"/>
      <c r="AA128" s="86"/>
      <c r="AB128" s="86"/>
      <c r="AC128" s="86"/>
      <c r="AD128" s="86"/>
      <c r="AE128" s="86"/>
      <c r="AF128" s="86"/>
      <c r="AI128" s="86"/>
      <c r="AJ128" s="86"/>
      <c r="AK128" s="86"/>
      <c r="AL128" s="86"/>
      <c r="AM128" s="86"/>
      <c r="AN128" s="86"/>
      <c r="AQ128" s="112" t="s">
        <v>261</v>
      </c>
      <c r="AR128" s="112">
        <v>2019</v>
      </c>
      <c r="AS128" s="113">
        <v>2050</v>
      </c>
      <c r="AT128" s="113">
        <v>0</v>
      </c>
    </row>
    <row r="129" spans="1:46" ht="13.15">
      <c r="B129" s="86" t="s">
        <v>330</v>
      </c>
      <c r="C129" s="105" t="s">
        <v>261</v>
      </c>
      <c r="D129" s="105" t="s">
        <v>331</v>
      </c>
      <c r="E129" s="105" t="s">
        <v>332</v>
      </c>
      <c r="F129" s="105" t="s">
        <v>333</v>
      </c>
      <c r="H129" s="94"/>
      <c r="I129" s="109" t="s">
        <v>334</v>
      </c>
      <c r="J129" s="266" t="s">
        <v>335</v>
      </c>
      <c r="K129" s="267"/>
      <c r="L129" s="268"/>
      <c r="M129" s="269" t="s">
        <v>335</v>
      </c>
      <c r="N129" s="270"/>
      <c r="O129" s="271"/>
      <c r="P129" s="266" t="s">
        <v>335</v>
      </c>
      <c r="Q129" s="267"/>
      <c r="R129" s="268"/>
      <c r="S129" s="94"/>
      <c r="T129" s="94" t="s">
        <v>335</v>
      </c>
      <c r="U129" s="94"/>
      <c r="AA129" s="86" t="s">
        <v>330</v>
      </c>
      <c r="AB129" s="86" t="s">
        <v>336</v>
      </c>
      <c r="AC129" s="86" t="s">
        <v>261</v>
      </c>
      <c r="AD129" s="86" t="s">
        <v>331</v>
      </c>
      <c r="AE129" s="86" t="s">
        <v>332</v>
      </c>
      <c r="AF129" s="86" t="s">
        <v>333</v>
      </c>
      <c r="AI129" s="86" t="s">
        <v>330</v>
      </c>
      <c r="AJ129" s="86" t="s">
        <v>336</v>
      </c>
      <c r="AK129" s="86" t="s">
        <v>261</v>
      </c>
      <c r="AL129" s="86" t="s">
        <v>331</v>
      </c>
      <c r="AM129" s="86" t="s">
        <v>332</v>
      </c>
      <c r="AN129" s="86" t="s">
        <v>333</v>
      </c>
      <c r="AQ129" s="112" t="s">
        <v>268</v>
      </c>
      <c r="AR129" s="113">
        <v>1E-3</v>
      </c>
      <c r="AS129" s="113">
        <v>1E-3</v>
      </c>
      <c r="AT129" s="113">
        <v>5</v>
      </c>
    </row>
    <row r="130" spans="1:46" ht="13.15">
      <c r="B130" s="86" t="s">
        <v>337</v>
      </c>
      <c r="C130" s="86"/>
      <c r="D130" s="86"/>
      <c r="E130" s="86"/>
      <c r="F130" s="86"/>
      <c r="H130" s="94">
        <v>0.2</v>
      </c>
      <c r="I130" s="109" t="s">
        <v>338</v>
      </c>
      <c r="J130" s="122">
        <v>21.35</v>
      </c>
      <c r="K130" s="122">
        <v>16.59</v>
      </c>
      <c r="L130" s="122">
        <v>12.62</v>
      </c>
      <c r="M130" s="123">
        <v>22.07</v>
      </c>
      <c r="N130" s="123">
        <v>17.16</v>
      </c>
      <c r="O130" s="123">
        <v>13.05</v>
      </c>
      <c r="P130" s="122">
        <v>23.72</v>
      </c>
      <c r="Q130" s="122">
        <v>18.45</v>
      </c>
      <c r="R130" s="122">
        <v>14.04</v>
      </c>
      <c r="S130" s="94"/>
      <c r="T130" s="124">
        <f>AVERAGE(M130:O130)</f>
        <v>17.426666666666701</v>
      </c>
      <c r="U130" s="94"/>
      <c r="AA130" s="86" t="s">
        <v>337</v>
      </c>
      <c r="AB130" s="86"/>
      <c r="AC130" s="86"/>
      <c r="AD130" s="86"/>
      <c r="AE130" s="86"/>
      <c r="AF130" s="86"/>
      <c r="AI130" s="86" t="s">
        <v>337</v>
      </c>
      <c r="AJ130" s="86"/>
      <c r="AK130" s="86"/>
      <c r="AL130" s="86"/>
      <c r="AM130" s="86"/>
      <c r="AN130" s="86"/>
      <c r="AQ130" s="112" t="s">
        <v>271</v>
      </c>
      <c r="AR130" s="113">
        <v>1E-3</v>
      </c>
      <c r="AS130" s="113">
        <v>1E-3</v>
      </c>
      <c r="AT130" s="113">
        <v>5</v>
      </c>
    </row>
    <row r="131" spans="1:46" ht="13.15">
      <c r="A131" s="114"/>
      <c r="B131" s="86" t="s">
        <v>339</v>
      </c>
      <c r="C131" s="105" t="s">
        <v>268</v>
      </c>
      <c r="D131" s="86" cm="1">
        <f t="array" ref="D131">D147-SUMPRODUCT(J143:P143,J155:P155)</f>
        <v>80.3831766666665</v>
      </c>
      <c r="E131" s="86" cm="1">
        <f t="array" ref="E131">E147-SUMPRODUCT(J143:P143,J155:P155)</f>
        <v>55.486730000000001</v>
      </c>
      <c r="F131" s="86" cm="1">
        <f t="array" ref="F131">F147-SUMPRODUCT(J143:P143,J155:P155)</f>
        <v>106.82505</v>
      </c>
      <c r="H131" s="94">
        <f>H130</f>
        <v>0.2</v>
      </c>
      <c r="I131" s="109" t="s">
        <v>340</v>
      </c>
      <c r="J131" s="122">
        <v>21.47</v>
      </c>
      <c r="K131" s="122">
        <v>16.670000000000002</v>
      </c>
      <c r="L131" s="122">
        <v>12.68</v>
      </c>
      <c r="M131" s="123">
        <v>22.2</v>
      </c>
      <c r="N131" s="123">
        <v>17.25</v>
      </c>
      <c r="O131" s="123">
        <v>13.12</v>
      </c>
      <c r="P131" s="122">
        <v>23.87</v>
      </c>
      <c r="Q131" s="122">
        <v>18.55</v>
      </c>
      <c r="R131" s="122">
        <v>14.11</v>
      </c>
      <c r="S131" s="94"/>
      <c r="T131" s="124">
        <f t="shared" ref="T131:T137" si="31">AVERAGE(M131:O131)</f>
        <v>17.523333333333301</v>
      </c>
      <c r="U131" s="94"/>
      <c r="AA131" s="86" t="s">
        <v>339</v>
      </c>
      <c r="AB131" s="86">
        <v>2050</v>
      </c>
      <c r="AC131" s="86" t="s">
        <v>268</v>
      </c>
      <c r="AD131" s="86">
        <f>D131*0.313</f>
        <v>25.159934296666599</v>
      </c>
      <c r="AE131" s="86">
        <f>E131*0.313</f>
        <v>17.367346489999999</v>
      </c>
      <c r="AF131" s="86">
        <f>F131*0.313</f>
        <v>33.436240650000002</v>
      </c>
      <c r="AI131" s="86" t="s">
        <v>339</v>
      </c>
      <c r="AJ131" s="86">
        <v>0</v>
      </c>
      <c r="AK131" s="86" t="s">
        <v>268</v>
      </c>
      <c r="AL131" s="86">
        <v>5</v>
      </c>
      <c r="AM131" s="86">
        <v>5</v>
      </c>
      <c r="AN131" s="86">
        <v>5</v>
      </c>
      <c r="AQ131" s="112" t="s">
        <v>273</v>
      </c>
      <c r="AR131" s="113">
        <v>1E-3</v>
      </c>
      <c r="AS131" s="113">
        <v>1E-3</v>
      </c>
      <c r="AT131" s="113">
        <v>5</v>
      </c>
    </row>
    <row r="132" spans="1:46" ht="13.15">
      <c r="B132" s="86" t="s">
        <v>339</v>
      </c>
      <c r="C132" s="105" t="s">
        <v>271</v>
      </c>
      <c r="D132" s="86" cm="1">
        <f t="array" ref="D132">D148-SUMPRODUCT(J144:P144,J156:P156)</f>
        <v>95.408600000000206</v>
      </c>
      <c r="E132" s="86" cm="1">
        <f t="array" ref="E132">E148-SUMPRODUCT(J144:P144,J156:P156)</f>
        <v>66.325649999999996</v>
      </c>
      <c r="F132" s="86" cm="1">
        <f t="array" ref="F132">F148-SUMPRODUCT(J144:P144,J156:P156)</f>
        <v>126.26355</v>
      </c>
      <c r="H132" s="94">
        <f t="shared" ref="H132:H137" si="32">H131</f>
        <v>0.2</v>
      </c>
      <c r="I132" s="109" t="s">
        <v>341</v>
      </c>
      <c r="J132" s="122">
        <v>21.35</v>
      </c>
      <c r="K132" s="122">
        <v>16.59</v>
      </c>
      <c r="L132" s="122">
        <v>12.62</v>
      </c>
      <c r="M132" s="123">
        <v>22.07</v>
      </c>
      <c r="N132" s="123">
        <v>17.16</v>
      </c>
      <c r="O132" s="123">
        <v>13.05</v>
      </c>
      <c r="P132" s="122">
        <v>23.72</v>
      </c>
      <c r="Q132" s="122">
        <v>18.45</v>
      </c>
      <c r="R132" s="122">
        <v>14.04</v>
      </c>
      <c r="S132" s="94"/>
      <c r="T132" s="124">
        <f t="shared" si="31"/>
        <v>17.426666666666701</v>
      </c>
      <c r="U132" s="94"/>
      <c r="AA132" s="86" t="s">
        <v>339</v>
      </c>
      <c r="AB132" s="86">
        <v>2050</v>
      </c>
      <c r="AC132" s="86" t="s">
        <v>271</v>
      </c>
      <c r="AD132" s="86">
        <f t="shared" ref="AD132:AD144" si="33">D132*0.313</f>
        <v>29.862891800000099</v>
      </c>
      <c r="AE132" s="86">
        <f t="shared" ref="AE132:AE144" si="34">E132*0.313</f>
        <v>20.75992845</v>
      </c>
      <c r="AF132" s="86">
        <f t="shared" ref="AF132:AF144" si="35">F132*0.313</f>
        <v>39.520491149999998</v>
      </c>
      <c r="AI132" s="86" t="s">
        <v>339</v>
      </c>
      <c r="AJ132" s="86">
        <v>0</v>
      </c>
      <c r="AK132" s="86" t="s">
        <v>271</v>
      </c>
      <c r="AL132" s="86">
        <v>5</v>
      </c>
      <c r="AM132" s="86">
        <v>5</v>
      </c>
      <c r="AN132" s="86">
        <v>5</v>
      </c>
      <c r="AQ132" s="112" t="s">
        <v>274</v>
      </c>
      <c r="AR132" s="113">
        <v>1E-3</v>
      </c>
      <c r="AS132" s="113">
        <v>1E-3</v>
      </c>
      <c r="AT132" s="113">
        <v>5</v>
      </c>
    </row>
    <row r="133" spans="1:46" ht="13.15">
      <c r="B133" s="86" t="s">
        <v>339</v>
      </c>
      <c r="C133" s="105" t="s">
        <v>273</v>
      </c>
      <c r="D133" s="86" cm="1">
        <f t="array" ref="D133">D149-SUMPRODUCT(J145:P145,J157:P157)</f>
        <v>85.347696666666494</v>
      </c>
      <c r="E133" s="86" cm="1">
        <f t="array" ref="E133">E149-SUMPRODUCT(J145:P145,J157:P157)</f>
        <v>56.101469999999999</v>
      </c>
      <c r="F133" s="86" cm="1">
        <f t="array" ref="F133">F149-SUMPRODUCT(J145:P145,J157:P157)</f>
        <v>116.32796</v>
      </c>
      <c r="H133" s="94">
        <f t="shared" si="32"/>
        <v>0.2</v>
      </c>
      <c r="I133" s="109" t="s">
        <v>223</v>
      </c>
      <c r="J133" s="122">
        <v>26.64</v>
      </c>
      <c r="K133" s="122">
        <v>20.72</v>
      </c>
      <c r="L133" s="122">
        <v>15.77</v>
      </c>
      <c r="M133" s="123">
        <v>27.52</v>
      </c>
      <c r="N133" s="123">
        <v>21.42</v>
      </c>
      <c r="O133" s="123">
        <v>16.29</v>
      </c>
      <c r="P133" s="122">
        <v>29.54</v>
      </c>
      <c r="Q133" s="122">
        <v>22.99</v>
      </c>
      <c r="R133" s="122">
        <v>17.489999999999998</v>
      </c>
      <c r="S133" s="94"/>
      <c r="T133" s="124">
        <f t="shared" si="31"/>
        <v>21.7433333333333</v>
      </c>
      <c r="U133" s="94"/>
      <c r="AA133" s="86" t="s">
        <v>339</v>
      </c>
      <c r="AB133" s="86">
        <v>2050</v>
      </c>
      <c r="AC133" s="86" t="s">
        <v>273</v>
      </c>
      <c r="AD133" s="86">
        <f t="shared" si="33"/>
        <v>26.713829056666601</v>
      </c>
      <c r="AE133" s="86">
        <f t="shared" si="34"/>
        <v>17.559760109999999</v>
      </c>
      <c r="AF133" s="86">
        <f t="shared" si="35"/>
        <v>36.410651479999999</v>
      </c>
      <c r="AI133" s="86" t="s">
        <v>339</v>
      </c>
      <c r="AJ133" s="86">
        <v>0</v>
      </c>
      <c r="AK133" s="86" t="s">
        <v>273</v>
      </c>
      <c r="AL133" s="86">
        <v>5</v>
      </c>
      <c r="AM133" s="86">
        <v>5</v>
      </c>
      <c r="AN133" s="86">
        <v>5</v>
      </c>
      <c r="AQ133" s="112" t="s">
        <v>275</v>
      </c>
      <c r="AR133" s="113">
        <v>1E-3</v>
      </c>
      <c r="AS133" s="113">
        <v>1E-3</v>
      </c>
      <c r="AT133" s="113">
        <v>5</v>
      </c>
    </row>
    <row r="134" spans="1:46" ht="30">
      <c r="A134" s="115"/>
      <c r="B134" s="86" t="s">
        <v>339</v>
      </c>
      <c r="C134" s="105" t="s">
        <v>274</v>
      </c>
      <c r="D134" s="86" cm="1">
        <f t="array" ref="D134">D150-SUMPRODUCT(J146:P146,J158:P158)</f>
        <v>85.521570000000196</v>
      </c>
      <c r="E134" s="86" cm="1">
        <f t="array" ref="E134">E150-SUMPRODUCT(J146:P146,J158:P158)</f>
        <v>55.559510000000003</v>
      </c>
      <c r="F134" s="86" cm="1">
        <f t="array" ref="F134">F150-SUMPRODUCT(J146:P146,J158:P158)</f>
        <v>117.30431</v>
      </c>
      <c r="H134" s="94">
        <f t="shared" si="32"/>
        <v>0.2</v>
      </c>
      <c r="I134" s="109" t="s">
        <v>229</v>
      </c>
      <c r="J134" s="122">
        <v>24.65</v>
      </c>
      <c r="K134" s="122">
        <v>19.18</v>
      </c>
      <c r="L134" s="122">
        <v>14.59</v>
      </c>
      <c r="M134" s="123">
        <v>25.48</v>
      </c>
      <c r="N134" s="123">
        <v>19.82</v>
      </c>
      <c r="O134" s="123">
        <v>15.08</v>
      </c>
      <c r="P134" s="122">
        <v>27.36</v>
      </c>
      <c r="Q134" s="122">
        <v>21.29</v>
      </c>
      <c r="R134" s="122">
        <v>16.2</v>
      </c>
      <c r="S134" s="94"/>
      <c r="T134" s="124">
        <f t="shared" si="31"/>
        <v>20.126666666666701</v>
      </c>
      <c r="U134" s="94"/>
      <c r="AA134" s="86" t="s">
        <v>339</v>
      </c>
      <c r="AB134" s="86">
        <v>2050</v>
      </c>
      <c r="AC134" s="86" t="s">
        <v>274</v>
      </c>
      <c r="AD134" s="86">
        <f t="shared" si="33"/>
        <v>26.768251410000101</v>
      </c>
      <c r="AE134" s="86">
        <f t="shared" si="34"/>
        <v>17.390126630000001</v>
      </c>
      <c r="AF134" s="86">
        <f t="shared" si="35"/>
        <v>36.71624903</v>
      </c>
      <c r="AI134" s="86" t="s">
        <v>339</v>
      </c>
      <c r="AJ134" s="86">
        <v>0</v>
      </c>
      <c r="AK134" s="86" t="s">
        <v>274</v>
      </c>
      <c r="AL134" s="86">
        <v>5</v>
      </c>
      <c r="AM134" s="86">
        <v>5</v>
      </c>
      <c r="AN134" s="86">
        <v>5</v>
      </c>
      <c r="AQ134" s="112" t="s">
        <v>276</v>
      </c>
      <c r="AR134" s="113">
        <v>1E-3</v>
      </c>
      <c r="AS134" s="113">
        <v>1E-3</v>
      </c>
      <c r="AT134" s="113">
        <v>5</v>
      </c>
    </row>
    <row r="135" spans="1:46" ht="13.15">
      <c r="B135" s="86" t="s">
        <v>339</v>
      </c>
      <c r="C135" s="105" t="s">
        <v>275</v>
      </c>
      <c r="D135" s="86" cm="1">
        <f t="array" ref="D135">D151-SUMPRODUCT(J147:P147,J159:P159)</f>
        <v>90.092916666666795</v>
      </c>
      <c r="E135" s="86" cm="1">
        <f t="array" ref="E135">E151-SUMPRODUCT(J147:P147,J159:P159)</f>
        <v>59.367699999999999</v>
      </c>
      <c r="F135" s="86" cm="1">
        <f t="array" ref="F135">F151-SUMPRODUCT(J147:P147,J159:P159)</f>
        <v>122.66905</v>
      </c>
      <c r="H135" s="94">
        <f t="shared" si="32"/>
        <v>0.2</v>
      </c>
      <c r="I135" s="109" t="s">
        <v>236</v>
      </c>
      <c r="J135" s="122">
        <v>25.67</v>
      </c>
      <c r="K135" s="122">
        <v>19.97</v>
      </c>
      <c r="L135" s="122">
        <v>15.19</v>
      </c>
      <c r="M135" s="123">
        <v>26.53</v>
      </c>
      <c r="N135" s="123">
        <v>20.64</v>
      </c>
      <c r="O135" s="123">
        <v>15.7</v>
      </c>
      <c r="P135" s="122">
        <v>28.48</v>
      </c>
      <c r="Q135" s="122">
        <v>22.17</v>
      </c>
      <c r="R135" s="122">
        <v>16.86</v>
      </c>
      <c r="S135" s="94"/>
      <c r="T135" s="124">
        <f t="shared" si="31"/>
        <v>20.956666666666699</v>
      </c>
      <c r="U135" s="94"/>
      <c r="AA135" s="86" t="s">
        <v>339</v>
      </c>
      <c r="AB135" s="86">
        <v>2050</v>
      </c>
      <c r="AC135" s="86" t="s">
        <v>275</v>
      </c>
      <c r="AD135" s="86">
        <f t="shared" si="33"/>
        <v>28.199082916666701</v>
      </c>
      <c r="AE135" s="86">
        <f t="shared" si="34"/>
        <v>18.582090099999999</v>
      </c>
      <c r="AF135" s="86">
        <f t="shared" si="35"/>
        <v>38.395412649999997</v>
      </c>
      <c r="AI135" s="86" t="s">
        <v>339</v>
      </c>
      <c r="AJ135" s="86">
        <v>0</v>
      </c>
      <c r="AK135" s="86" t="s">
        <v>275</v>
      </c>
      <c r="AL135" s="86">
        <v>5</v>
      </c>
      <c r="AM135" s="86">
        <v>5</v>
      </c>
      <c r="AN135" s="86">
        <v>5</v>
      </c>
      <c r="AQ135" s="112" t="s">
        <v>277</v>
      </c>
      <c r="AR135" s="113">
        <v>1E-3</v>
      </c>
      <c r="AS135" s="113">
        <v>1E-3</v>
      </c>
      <c r="AT135" s="113">
        <v>5</v>
      </c>
    </row>
    <row r="136" spans="1:46" ht="25.15">
      <c r="A136" s="116"/>
      <c r="B136" s="86" t="s">
        <v>339</v>
      </c>
      <c r="C136" s="105" t="s">
        <v>276</v>
      </c>
      <c r="D136" s="86" cm="1">
        <f t="array" ref="D136">D152-SUMPRODUCT(J148:P148,J160:P160)</f>
        <v>86.922216666666799</v>
      </c>
      <c r="E136" s="86" cm="1">
        <f t="array" ref="E136">E152-SUMPRODUCT(J148:P148,J160:P160)</f>
        <v>57.33755</v>
      </c>
      <c r="F136" s="86" cm="1">
        <f t="array" ref="F136">F152-SUMPRODUCT(J148:P148,J160:P160)</f>
        <v>118.2723</v>
      </c>
      <c r="H136" s="94">
        <f t="shared" si="32"/>
        <v>0.2</v>
      </c>
      <c r="I136" s="109" t="s">
        <v>241</v>
      </c>
      <c r="J136" s="122">
        <v>25.92</v>
      </c>
      <c r="K136" s="122">
        <v>20.16</v>
      </c>
      <c r="L136" s="122">
        <v>15.34</v>
      </c>
      <c r="M136" s="123">
        <v>26.78</v>
      </c>
      <c r="N136" s="123">
        <v>20.84</v>
      </c>
      <c r="O136" s="123">
        <v>15.85</v>
      </c>
      <c r="P136" s="122">
        <v>28.75</v>
      </c>
      <c r="Q136" s="122">
        <v>22.38</v>
      </c>
      <c r="R136" s="122">
        <v>17.02</v>
      </c>
      <c r="S136" s="94"/>
      <c r="T136" s="124">
        <f t="shared" si="31"/>
        <v>21.156666666666698</v>
      </c>
      <c r="U136" s="94"/>
      <c r="AA136" s="86" t="s">
        <v>339</v>
      </c>
      <c r="AB136" s="86">
        <v>2050</v>
      </c>
      <c r="AC136" s="86" t="s">
        <v>276</v>
      </c>
      <c r="AD136" s="86">
        <f t="shared" si="33"/>
        <v>27.206653816666702</v>
      </c>
      <c r="AE136" s="86">
        <f t="shared" si="34"/>
        <v>17.946653149999999</v>
      </c>
      <c r="AF136" s="86">
        <f t="shared" si="35"/>
        <v>37.019229899999999</v>
      </c>
      <c r="AI136" s="86" t="s">
        <v>339</v>
      </c>
      <c r="AJ136" s="86">
        <v>0</v>
      </c>
      <c r="AK136" s="86" t="s">
        <v>276</v>
      </c>
      <c r="AL136" s="86">
        <v>5</v>
      </c>
      <c r="AM136" s="86">
        <v>5</v>
      </c>
      <c r="AN136" s="86">
        <v>5</v>
      </c>
      <c r="AQ136" s="113" t="s">
        <v>289</v>
      </c>
      <c r="AR136" s="113">
        <v>1E-3</v>
      </c>
      <c r="AS136" s="113">
        <v>1E-3</v>
      </c>
      <c r="AT136" s="113">
        <v>5</v>
      </c>
    </row>
    <row r="137" spans="1:46" ht="13.15">
      <c r="B137" s="86" t="s">
        <v>339</v>
      </c>
      <c r="C137" s="105" t="s">
        <v>277</v>
      </c>
      <c r="D137" s="86" cm="1">
        <f t="array" ref="D137">D153-SUMPRODUCT(J149:P149,J161:P161)</f>
        <v>89.552666666666497</v>
      </c>
      <c r="E137" s="86" cm="1">
        <f t="array" ref="E137">E153-SUMPRODUCT(J149:P149,J161:P161)</f>
        <v>59.98948</v>
      </c>
      <c r="F137" s="86" cm="1">
        <f t="array" ref="F137">F153-SUMPRODUCT(J149:P149,J161:P161)</f>
        <v>120.87452</v>
      </c>
      <c r="H137" s="94">
        <f t="shared" si="32"/>
        <v>0.2</v>
      </c>
      <c r="I137" s="109" t="s">
        <v>246</v>
      </c>
      <c r="J137" s="122">
        <v>27.36</v>
      </c>
      <c r="K137" s="122">
        <v>21.29</v>
      </c>
      <c r="L137" s="122">
        <v>16.190000000000001</v>
      </c>
      <c r="M137" s="123">
        <v>28.27</v>
      </c>
      <c r="N137" s="123">
        <v>22</v>
      </c>
      <c r="O137" s="123">
        <v>16.73</v>
      </c>
      <c r="P137" s="122">
        <v>30.33</v>
      </c>
      <c r="Q137" s="122">
        <v>23.61</v>
      </c>
      <c r="R137" s="122">
        <v>17.96</v>
      </c>
      <c r="S137" s="94"/>
      <c r="T137" s="124">
        <f t="shared" si="31"/>
        <v>22.3333333333333</v>
      </c>
      <c r="U137" s="94"/>
      <c r="AA137" s="86" t="s">
        <v>339</v>
      </c>
      <c r="AB137" s="86">
        <v>2050</v>
      </c>
      <c r="AC137" s="86" t="s">
        <v>277</v>
      </c>
      <c r="AD137" s="86">
        <f t="shared" si="33"/>
        <v>28.0299846666666</v>
      </c>
      <c r="AE137" s="86">
        <f t="shared" si="34"/>
        <v>18.77670724</v>
      </c>
      <c r="AF137" s="86">
        <f t="shared" si="35"/>
        <v>37.833724760000003</v>
      </c>
      <c r="AI137" s="86" t="s">
        <v>339</v>
      </c>
      <c r="AJ137" s="86">
        <v>0</v>
      </c>
      <c r="AK137" s="86" t="s">
        <v>277</v>
      </c>
      <c r="AL137" s="86">
        <v>5</v>
      </c>
      <c r="AM137" s="86">
        <v>5</v>
      </c>
      <c r="AN137" s="86">
        <v>5</v>
      </c>
      <c r="AQ137" s="113" t="s">
        <v>290</v>
      </c>
      <c r="AR137" s="113">
        <v>1E-3</v>
      </c>
      <c r="AS137" s="113">
        <v>1E-3</v>
      </c>
      <c r="AT137" s="113">
        <v>5</v>
      </c>
    </row>
    <row r="138" spans="1:46">
      <c r="B138" s="86" t="s">
        <v>339</v>
      </c>
      <c r="C138" s="86" t="s">
        <v>289</v>
      </c>
      <c r="D138" s="86">
        <f>C230*5</f>
        <v>17.8278133136821</v>
      </c>
      <c r="E138" s="86">
        <f>D230*5</f>
        <v>13.537302137067099</v>
      </c>
      <c r="F138" s="86">
        <f>E230*5</f>
        <v>22.192298820928499</v>
      </c>
      <c r="H138" s="94"/>
      <c r="I138" s="94"/>
      <c r="J138" s="94"/>
      <c r="K138" s="94"/>
      <c r="L138" s="94"/>
      <c r="M138" s="94"/>
      <c r="N138" s="94"/>
      <c r="O138" s="94"/>
      <c r="P138" s="94"/>
      <c r="Q138" s="94"/>
      <c r="R138" s="94"/>
      <c r="S138" s="94"/>
      <c r="T138" s="94"/>
      <c r="U138" s="94"/>
      <c r="AA138" s="86" t="s">
        <v>339</v>
      </c>
      <c r="AB138" s="86">
        <v>2050</v>
      </c>
      <c r="AC138" s="86" t="s">
        <v>289</v>
      </c>
      <c r="AD138" s="86">
        <f t="shared" si="33"/>
        <v>5.5801055671825104</v>
      </c>
      <c r="AE138" s="86">
        <f t="shared" si="34"/>
        <v>4.2371755689019901</v>
      </c>
      <c r="AF138" s="86">
        <f t="shared" si="35"/>
        <v>6.9461895309506199</v>
      </c>
      <c r="AI138" s="86" t="s">
        <v>339</v>
      </c>
      <c r="AJ138" s="86">
        <v>0</v>
      </c>
      <c r="AK138" s="86" t="s">
        <v>289</v>
      </c>
      <c r="AL138" s="86">
        <v>5</v>
      </c>
      <c r="AM138" s="86">
        <v>5</v>
      </c>
      <c r="AN138" s="86">
        <v>5</v>
      </c>
      <c r="AQ138" s="113" t="s">
        <v>291</v>
      </c>
      <c r="AR138" s="113">
        <v>1E-3</v>
      </c>
      <c r="AS138" s="113">
        <v>1E-3</v>
      </c>
      <c r="AT138" s="113">
        <v>5</v>
      </c>
    </row>
    <row r="139" spans="1:46">
      <c r="B139" s="86" t="s">
        <v>339</v>
      </c>
      <c r="C139" s="86" t="s">
        <v>290</v>
      </c>
      <c r="D139" s="86">
        <f t="shared" ref="D139:D144" si="36">C231*5</f>
        <v>18.004385408990501</v>
      </c>
      <c r="E139" s="86">
        <f t="shared" ref="E139:E144" si="37">D231*5</f>
        <v>13.671379882092801</v>
      </c>
      <c r="F139" s="86">
        <f t="shared" ref="F139:F144" si="38">E231*5</f>
        <v>22.4120980103169</v>
      </c>
      <c r="H139" s="94"/>
      <c r="I139" s="94"/>
      <c r="J139" s="94"/>
      <c r="K139" s="94"/>
      <c r="L139" s="94"/>
      <c r="M139" s="94"/>
      <c r="N139" s="94"/>
      <c r="O139" s="94"/>
      <c r="P139" s="94"/>
      <c r="Q139" s="94"/>
      <c r="R139" s="94"/>
      <c r="S139" s="94"/>
      <c r="T139" s="94"/>
      <c r="U139" s="94"/>
      <c r="AA139" s="86" t="s">
        <v>339</v>
      </c>
      <c r="AB139" s="86">
        <v>2050</v>
      </c>
      <c r="AC139" s="86" t="s">
        <v>290</v>
      </c>
      <c r="AD139" s="86">
        <f t="shared" si="33"/>
        <v>5.6353726330140104</v>
      </c>
      <c r="AE139" s="86">
        <f t="shared" si="34"/>
        <v>4.2791419030950602</v>
      </c>
      <c r="AF139" s="86">
        <f t="shared" si="35"/>
        <v>7.0149866772291896</v>
      </c>
      <c r="AI139" s="86" t="s">
        <v>339</v>
      </c>
      <c r="AJ139" s="86">
        <v>0</v>
      </c>
      <c r="AK139" s="86" t="s">
        <v>290</v>
      </c>
      <c r="AL139" s="86">
        <v>5</v>
      </c>
      <c r="AM139" s="86">
        <v>5</v>
      </c>
      <c r="AN139" s="86">
        <v>5</v>
      </c>
      <c r="AQ139" s="113" t="s">
        <v>292</v>
      </c>
      <c r="AR139" s="113">
        <v>1E-3</v>
      </c>
      <c r="AS139" s="113">
        <v>1E-3</v>
      </c>
      <c r="AT139" s="113">
        <v>5</v>
      </c>
    </row>
    <row r="140" spans="1:46" ht="21">
      <c r="B140" s="86" t="s">
        <v>339</v>
      </c>
      <c r="C140" s="86" t="s">
        <v>291</v>
      </c>
      <c r="D140" s="86">
        <f t="shared" si="36"/>
        <v>17.8278133136821</v>
      </c>
      <c r="E140" s="86">
        <f t="shared" si="37"/>
        <v>13.537302137067099</v>
      </c>
      <c r="F140" s="86">
        <f t="shared" si="38"/>
        <v>22.192298820928499</v>
      </c>
      <c r="H140" s="94"/>
      <c r="I140" s="94"/>
      <c r="J140" s="272" t="s">
        <v>342</v>
      </c>
      <c r="K140" s="272"/>
      <c r="L140" s="272"/>
      <c r="M140" s="272"/>
      <c r="N140" s="272"/>
      <c r="O140" s="272"/>
      <c r="P140" s="272"/>
      <c r="Q140" s="272"/>
      <c r="R140" s="272"/>
      <c r="S140" s="94"/>
      <c r="T140" s="94"/>
      <c r="U140" s="94"/>
      <c r="AA140" s="86" t="s">
        <v>339</v>
      </c>
      <c r="AB140" s="86">
        <v>2050</v>
      </c>
      <c r="AC140" s="86" t="s">
        <v>291</v>
      </c>
      <c r="AD140" s="86">
        <f t="shared" si="33"/>
        <v>5.5801055671825104</v>
      </c>
      <c r="AE140" s="86">
        <f t="shared" si="34"/>
        <v>4.2371755689019901</v>
      </c>
      <c r="AF140" s="86">
        <f t="shared" si="35"/>
        <v>6.9461895309506199</v>
      </c>
      <c r="AI140" s="86" t="s">
        <v>339</v>
      </c>
      <c r="AJ140" s="86">
        <v>0</v>
      </c>
      <c r="AK140" s="86" t="s">
        <v>291</v>
      </c>
      <c r="AL140" s="86">
        <v>5</v>
      </c>
      <c r="AM140" s="86">
        <v>5</v>
      </c>
      <c r="AN140" s="86">
        <v>5</v>
      </c>
      <c r="AQ140" s="113" t="s">
        <v>293</v>
      </c>
      <c r="AR140" s="113">
        <v>1E-3</v>
      </c>
      <c r="AS140" s="113">
        <v>1E-3</v>
      </c>
      <c r="AT140" s="113">
        <v>5</v>
      </c>
    </row>
    <row r="141" spans="1:46" ht="13.15">
      <c r="B141" s="86" t="s">
        <v>339</v>
      </c>
      <c r="C141" s="86" t="s">
        <v>292</v>
      </c>
      <c r="D141" s="86">
        <f t="shared" si="36"/>
        <v>17.832268484401901</v>
      </c>
      <c r="E141" s="86">
        <f t="shared" si="37"/>
        <v>13.5406853352985</v>
      </c>
      <c r="F141" s="86">
        <f t="shared" si="38"/>
        <v>22.1978445099484</v>
      </c>
      <c r="H141" s="94"/>
      <c r="I141" s="94" t="s">
        <v>261</v>
      </c>
      <c r="J141" s="94" t="s">
        <v>208</v>
      </c>
      <c r="K141" s="94" t="s">
        <v>211</v>
      </c>
      <c r="L141" s="94" t="s">
        <v>216</v>
      </c>
      <c r="M141" s="94" t="s">
        <v>222</v>
      </c>
      <c r="N141" s="94" t="s">
        <v>228</v>
      </c>
      <c r="O141" s="94" t="s">
        <v>235</v>
      </c>
      <c r="P141" s="94" t="s">
        <v>240</v>
      </c>
      <c r="Q141" s="94"/>
      <c r="R141" s="125" t="s">
        <v>343</v>
      </c>
      <c r="S141" s="94"/>
      <c r="T141" s="94"/>
      <c r="U141" s="94"/>
      <c r="AA141" s="86" t="s">
        <v>339</v>
      </c>
      <c r="AB141" s="86">
        <v>2050</v>
      </c>
      <c r="AC141" s="86" t="s">
        <v>292</v>
      </c>
      <c r="AD141" s="86">
        <f t="shared" si="33"/>
        <v>5.58150003561778</v>
      </c>
      <c r="AE141" s="86">
        <f t="shared" si="34"/>
        <v>4.2382345099484198</v>
      </c>
      <c r="AF141" s="86">
        <f t="shared" si="35"/>
        <v>6.9479253316138498</v>
      </c>
      <c r="AI141" s="86" t="s">
        <v>339</v>
      </c>
      <c r="AJ141" s="86">
        <v>0</v>
      </c>
      <c r="AK141" s="86" t="s">
        <v>292</v>
      </c>
      <c r="AL141" s="86">
        <v>5</v>
      </c>
      <c r="AM141" s="86">
        <v>5</v>
      </c>
      <c r="AN141" s="86">
        <v>5</v>
      </c>
      <c r="AQ141" s="113" t="s">
        <v>294</v>
      </c>
      <c r="AR141" s="113">
        <v>1E-3</v>
      </c>
      <c r="AS141" s="113">
        <v>1E-3</v>
      </c>
      <c r="AT141" s="113">
        <v>5</v>
      </c>
    </row>
    <row r="142" spans="1:46" ht="13.15">
      <c r="B142" s="86" t="s">
        <v>339</v>
      </c>
      <c r="C142" s="86" t="s">
        <v>293</v>
      </c>
      <c r="D142" s="86">
        <f t="shared" si="36"/>
        <v>17.829298084008901</v>
      </c>
      <c r="E142" s="86">
        <f t="shared" si="37"/>
        <v>13.538429624170901</v>
      </c>
      <c r="F142" s="86">
        <f t="shared" si="38"/>
        <v>22.194147015475298</v>
      </c>
      <c r="H142" s="94"/>
      <c r="I142" s="94" t="s">
        <v>337</v>
      </c>
      <c r="J142" s="94"/>
      <c r="K142" s="94"/>
      <c r="L142" s="94"/>
      <c r="M142" s="94"/>
      <c r="N142" s="94"/>
      <c r="O142" s="94"/>
      <c r="P142" s="94"/>
      <c r="Q142" s="94"/>
      <c r="R142" s="125"/>
      <c r="S142" s="94"/>
      <c r="T142" s="94"/>
      <c r="U142" s="94"/>
      <c r="AA142" s="86" t="s">
        <v>339</v>
      </c>
      <c r="AB142" s="86">
        <v>2050</v>
      </c>
      <c r="AC142" s="86" t="s">
        <v>293</v>
      </c>
      <c r="AD142" s="86">
        <f t="shared" si="33"/>
        <v>5.5805703002947702</v>
      </c>
      <c r="AE142" s="86">
        <f t="shared" si="34"/>
        <v>4.2375284723655096</v>
      </c>
      <c r="AF142" s="86">
        <f t="shared" si="35"/>
        <v>6.9467680158437703</v>
      </c>
      <c r="AI142" s="86" t="s">
        <v>339</v>
      </c>
      <c r="AJ142" s="86">
        <v>0</v>
      </c>
      <c r="AK142" s="86" t="s">
        <v>293</v>
      </c>
      <c r="AL142" s="86">
        <v>5</v>
      </c>
      <c r="AM142" s="86">
        <v>5</v>
      </c>
      <c r="AN142" s="86">
        <v>5</v>
      </c>
      <c r="AQ142" s="113" t="s">
        <v>295</v>
      </c>
      <c r="AR142" s="113">
        <v>1E-3</v>
      </c>
      <c r="AS142" s="113">
        <v>1E-3</v>
      </c>
      <c r="AT142" s="113">
        <v>5</v>
      </c>
    </row>
    <row r="143" spans="1:46" ht="13.15">
      <c r="B143" s="86" t="s">
        <v>339</v>
      </c>
      <c r="C143" s="86" t="s">
        <v>294</v>
      </c>
      <c r="D143" s="86">
        <f t="shared" si="36"/>
        <v>17.8278133136821</v>
      </c>
      <c r="E143" s="86">
        <f t="shared" si="37"/>
        <v>13.537302137067099</v>
      </c>
      <c r="F143" s="86">
        <f t="shared" si="38"/>
        <v>22.192298820928499</v>
      </c>
      <c r="H143" s="94"/>
      <c r="I143" s="94" t="s">
        <v>268</v>
      </c>
      <c r="J143" s="94">
        <v>9.5000000000000001E-2</v>
      </c>
      <c r="K143" s="94">
        <v>0</v>
      </c>
      <c r="L143" s="94">
        <v>0</v>
      </c>
      <c r="M143" s="94">
        <v>0</v>
      </c>
      <c r="N143" s="94">
        <v>3.528</v>
      </c>
      <c r="O143" s="94">
        <v>0.94599999999999995</v>
      </c>
      <c r="P143" s="94">
        <v>1.085</v>
      </c>
      <c r="Q143" s="94"/>
      <c r="R143" s="125">
        <f t="shared" ref="R143:R149" si="39">SUM(J143:P143)</f>
        <v>5.6539999999999999</v>
      </c>
      <c r="S143" s="94"/>
      <c r="T143" s="94"/>
      <c r="U143" s="94"/>
      <c r="AA143" s="86" t="s">
        <v>339</v>
      </c>
      <c r="AB143" s="86">
        <v>2050</v>
      </c>
      <c r="AC143" s="86" t="s">
        <v>294</v>
      </c>
      <c r="AD143" s="86">
        <f t="shared" si="33"/>
        <v>5.5801055671825104</v>
      </c>
      <c r="AE143" s="86">
        <f t="shared" si="34"/>
        <v>4.2371755689019901</v>
      </c>
      <c r="AF143" s="86">
        <f t="shared" si="35"/>
        <v>6.9461895309506199</v>
      </c>
      <c r="AI143" s="86" t="s">
        <v>339</v>
      </c>
      <c r="AJ143" s="86">
        <v>0</v>
      </c>
      <c r="AK143" s="86" t="s">
        <v>294</v>
      </c>
      <c r="AL143" s="86">
        <v>5</v>
      </c>
      <c r="AM143" s="86">
        <v>5</v>
      </c>
      <c r="AN143" s="86">
        <v>5</v>
      </c>
    </row>
    <row r="144" spans="1:46" ht="13.15">
      <c r="B144" s="86" t="s">
        <v>339</v>
      </c>
      <c r="C144" s="86" t="s">
        <v>295</v>
      </c>
      <c r="D144" s="86">
        <f t="shared" si="36"/>
        <v>17.824844509948399</v>
      </c>
      <c r="E144" s="86">
        <f t="shared" si="37"/>
        <v>13.535047899778901</v>
      </c>
      <c r="F144" s="86">
        <f t="shared" si="38"/>
        <v>22.1886031687546</v>
      </c>
      <c r="H144" s="94"/>
      <c r="I144" s="94" t="s">
        <v>271</v>
      </c>
      <c r="J144" s="94">
        <v>0.106</v>
      </c>
      <c r="K144" s="94">
        <v>0</v>
      </c>
      <c r="L144" s="94">
        <v>0</v>
      </c>
      <c r="M144" s="94">
        <v>1.3959999999999999</v>
      </c>
      <c r="N144" s="94">
        <v>3.3690000000000002</v>
      </c>
      <c r="O144" s="94">
        <v>0.86299999999999999</v>
      </c>
      <c r="P144" s="94">
        <v>0.91100000000000003</v>
      </c>
      <c r="Q144" s="94"/>
      <c r="R144" s="125">
        <f t="shared" si="39"/>
        <v>6.6449999999999996</v>
      </c>
      <c r="S144" s="94"/>
      <c r="T144" s="94"/>
      <c r="U144" s="94"/>
      <c r="AA144" s="86" t="s">
        <v>339</v>
      </c>
      <c r="AB144" s="86">
        <v>2050</v>
      </c>
      <c r="AC144" s="86" t="s">
        <v>295</v>
      </c>
      <c r="AD144" s="86">
        <f t="shared" si="33"/>
        <v>5.5791763316138496</v>
      </c>
      <c r="AE144" s="86">
        <f t="shared" si="34"/>
        <v>4.2364699926308003</v>
      </c>
      <c r="AF144" s="86">
        <f t="shared" si="35"/>
        <v>6.9450327918201902</v>
      </c>
      <c r="AI144" s="86" t="s">
        <v>339</v>
      </c>
      <c r="AJ144" s="86">
        <v>0</v>
      </c>
      <c r="AK144" s="86" t="s">
        <v>295</v>
      </c>
      <c r="AL144" s="86">
        <v>5</v>
      </c>
      <c r="AM144" s="86">
        <v>5</v>
      </c>
      <c r="AN144" s="86">
        <v>5</v>
      </c>
    </row>
    <row r="145" spans="2:43" ht="13.15">
      <c r="B145" s="86"/>
      <c r="C145" s="86"/>
      <c r="D145" s="86"/>
      <c r="E145" s="86"/>
      <c r="F145" s="86"/>
      <c r="H145" s="94"/>
      <c r="I145" s="94" t="s">
        <v>273</v>
      </c>
      <c r="J145" s="94">
        <v>0.10199999999999999</v>
      </c>
      <c r="K145" s="94">
        <v>0.67200000000000004</v>
      </c>
      <c r="L145" s="94">
        <v>0.127</v>
      </c>
      <c r="M145" s="94">
        <v>0</v>
      </c>
      <c r="N145" s="94">
        <v>2.92</v>
      </c>
      <c r="O145" s="94">
        <v>0.56399999999999995</v>
      </c>
      <c r="P145" s="94">
        <v>0.97799999999999998</v>
      </c>
      <c r="Q145" s="94"/>
      <c r="R145" s="125">
        <f t="shared" si="39"/>
        <v>5.3630000000000004</v>
      </c>
      <c r="S145" s="94"/>
      <c r="T145" s="94"/>
      <c r="U145" s="94"/>
    </row>
    <row r="146" spans="2:43" ht="13.15">
      <c r="B146" s="86"/>
      <c r="C146" s="86"/>
      <c r="D146" s="86"/>
      <c r="E146" s="86"/>
      <c r="F146" s="86"/>
      <c r="H146" s="94"/>
      <c r="I146" s="94" t="s">
        <v>274</v>
      </c>
      <c r="J146" s="94">
        <v>0.14099999999999999</v>
      </c>
      <c r="K146" s="94">
        <v>0.35099999999999998</v>
      </c>
      <c r="L146" s="94">
        <v>0.35199999999999998</v>
      </c>
      <c r="M146" s="94">
        <v>0.32800000000000001</v>
      </c>
      <c r="N146" s="94">
        <v>3.11</v>
      </c>
      <c r="O146" s="94">
        <v>0.67700000000000005</v>
      </c>
      <c r="P146" s="94">
        <v>0.97799999999999998</v>
      </c>
      <c r="Q146" s="94"/>
      <c r="R146" s="125">
        <f t="shared" si="39"/>
        <v>5.9370000000000003</v>
      </c>
      <c r="S146" s="94"/>
      <c r="T146" s="94"/>
      <c r="U146" s="94"/>
    </row>
    <row r="147" spans="2:43" ht="13.15">
      <c r="B147" s="86"/>
      <c r="C147" s="86"/>
      <c r="D147" s="105">
        <f>T131*R143</f>
        <v>99.076926666666495</v>
      </c>
      <c r="E147" s="117">
        <f>O131*R143</f>
        <v>74.180480000000003</v>
      </c>
      <c r="F147" s="118">
        <f>M131*R143</f>
        <v>125.5188</v>
      </c>
      <c r="H147" s="94"/>
      <c r="I147" s="94" t="s">
        <v>275</v>
      </c>
      <c r="J147" s="94">
        <v>0.13600000000000001</v>
      </c>
      <c r="K147" s="94">
        <v>0.50800000000000001</v>
      </c>
      <c r="L147" s="94">
        <v>0.20399999999999999</v>
      </c>
      <c r="M147" s="94">
        <v>0.28499999999999998</v>
      </c>
      <c r="N147" s="94">
        <v>3.07</v>
      </c>
      <c r="O147" s="94">
        <v>0.66100000000000003</v>
      </c>
      <c r="P147" s="94">
        <v>0.98099999999999998</v>
      </c>
      <c r="Q147" s="94"/>
      <c r="R147" s="125">
        <f t="shared" si="39"/>
        <v>5.8449999999999998</v>
      </c>
      <c r="S147" s="94"/>
      <c r="T147" s="94"/>
      <c r="U147" s="94"/>
    </row>
    <row r="148" spans="2:43" ht="13.15">
      <c r="B148" s="86"/>
      <c r="C148" s="86"/>
      <c r="D148" s="105">
        <f t="shared" ref="D148:D153" si="40">T132*R144</f>
        <v>115.8002</v>
      </c>
      <c r="E148" s="117">
        <f t="shared" ref="E148:E153" si="41">O132*R144</f>
        <v>86.717250000000007</v>
      </c>
      <c r="F148" s="118">
        <f t="shared" ref="F148:F153" si="42">M132*R144</f>
        <v>146.65514999999999</v>
      </c>
      <c r="H148" s="94"/>
      <c r="I148" s="94" t="s">
        <v>276</v>
      </c>
      <c r="J148" s="94">
        <v>0.11799999999999999</v>
      </c>
      <c r="K148" s="94">
        <v>0.53100000000000003</v>
      </c>
      <c r="L148" s="94">
        <v>0.17799999999999999</v>
      </c>
      <c r="M148" s="94">
        <v>0.16600000000000001</v>
      </c>
      <c r="N148" s="94">
        <v>3.0169999999999999</v>
      </c>
      <c r="O148" s="94">
        <v>0.60499999999999998</v>
      </c>
      <c r="P148" s="94">
        <v>0.96</v>
      </c>
      <c r="Q148" s="94"/>
      <c r="R148" s="125">
        <f t="shared" si="39"/>
        <v>5.5750000000000002</v>
      </c>
      <c r="S148" s="94"/>
      <c r="T148" s="94"/>
      <c r="U148" s="94"/>
    </row>
    <row r="149" spans="2:43" ht="13.15">
      <c r="B149" s="86"/>
      <c r="C149" s="86"/>
      <c r="D149" s="105">
        <f t="shared" si="40"/>
        <v>116.609496666667</v>
      </c>
      <c r="E149" s="117">
        <f t="shared" si="41"/>
        <v>87.36327</v>
      </c>
      <c r="F149" s="118">
        <f t="shared" si="42"/>
        <v>147.58976000000001</v>
      </c>
      <c r="H149" s="94"/>
      <c r="I149" s="94" t="s">
        <v>277</v>
      </c>
      <c r="J149" s="94">
        <v>0.1</v>
      </c>
      <c r="K149" s="94">
        <v>0.6</v>
      </c>
      <c r="L149" s="94">
        <v>7.4999999999999997E-2</v>
      </c>
      <c r="M149" s="94">
        <v>7.0000000000000007E-2</v>
      </c>
      <c r="N149" s="94">
        <v>2.9209999999999998</v>
      </c>
      <c r="O149" s="94">
        <v>0.54900000000000004</v>
      </c>
      <c r="P149" s="94">
        <v>0.96099999999999997</v>
      </c>
      <c r="Q149" s="94"/>
      <c r="R149" s="125">
        <f t="shared" si="39"/>
        <v>5.2759999999999998</v>
      </c>
      <c r="S149" s="94"/>
      <c r="T149" s="94"/>
      <c r="U149" s="94"/>
    </row>
    <row r="150" spans="2:43" ht="14.25">
      <c r="B150" s="103"/>
      <c r="C150" s="103"/>
      <c r="D150" s="105">
        <f t="shared" si="40"/>
        <v>119.49202</v>
      </c>
      <c r="E150" s="117">
        <f t="shared" si="41"/>
        <v>89.529960000000003</v>
      </c>
      <c r="F150" s="118">
        <f t="shared" si="42"/>
        <v>151.27475999999999</v>
      </c>
    </row>
    <row r="151" spans="2:43" customFormat="1" ht="14.25">
      <c r="B151" s="103"/>
      <c r="C151" s="103"/>
      <c r="D151" s="105">
        <f t="shared" si="40"/>
        <v>122.491716666667</v>
      </c>
      <c r="E151" s="117">
        <f t="shared" si="41"/>
        <v>91.766499999999994</v>
      </c>
      <c r="F151" s="118">
        <f t="shared" si="42"/>
        <v>155.06784999999999</v>
      </c>
      <c r="W151" s="79"/>
      <c r="X151" s="79"/>
      <c r="Y151" s="79"/>
      <c r="Z151" s="79"/>
      <c r="AA151" s="79"/>
      <c r="AB151" s="79"/>
      <c r="AC151" s="79"/>
      <c r="AD151" s="79"/>
      <c r="AE151" s="79"/>
      <c r="AF151" s="79"/>
      <c r="AG151" s="79"/>
      <c r="AH151" s="79"/>
      <c r="AI151" s="79"/>
      <c r="AJ151" s="79"/>
      <c r="AK151" s="79"/>
      <c r="AL151" s="79"/>
      <c r="AM151" s="79"/>
      <c r="AN151" s="79"/>
      <c r="AO151" s="79"/>
      <c r="AP151" s="79"/>
      <c r="AQ151" s="79"/>
    </row>
    <row r="152" spans="2:43" customFormat="1" ht="21">
      <c r="B152" s="103"/>
      <c r="C152" s="103"/>
      <c r="D152" s="105">
        <f t="shared" si="40"/>
        <v>117.948416666667</v>
      </c>
      <c r="E152" s="117">
        <f t="shared" si="41"/>
        <v>88.363749999999996</v>
      </c>
      <c r="F152" s="118">
        <f t="shared" si="42"/>
        <v>149.29849999999999</v>
      </c>
      <c r="J152" s="272" t="s">
        <v>344</v>
      </c>
      <c r="K152" s="272"/>
      <c r="L152" s="272"/>
      <c r="M152" s="272"/>
      <c r="N152" s="272"/>
      <c r="O152" s="272"/>
      <c r="P152" s="272"/>
      <c r="Q152" s="272"/>
      <c r="R152" s="272"/>
    </row>
    <row r="153" spans="2:43" customFormat="1" ht="14.25">
      <c r="B153" s="103"/>
      <c r="C153" s="103"/>
      <c r="D153" s="105">
        <f t="shared" si="40"/>
        <v>117.830666666666</v>
      </c>
      <c r="E153" s="117">
        <f t="shared" si="41"/>
        <v>88.267480000000006</v>
      </c>
      <c r="F153" s="118">
        <f t="shared" si="42"/>
        <v>149.15252000000001</v>
      </c>
      <c r="I153" t="s">
        <v>261</v>
      </c>
      <c r="J153" t="s">
        <v>250</v>
      </c>
    </row>
    <row r="154" spans="2:43" customFormat="1" ht="14.25">
      <c r="I154" t="s">
        <v>269</v>
      </c>
      <c r="J154" t="s">
        <v>208</v>
      </c>
      <c r="K154" t="s">
        <v>211</v>
      </c>
      <c r="L154" t="s">
        <v>216</v>
      </c>
      <c r="M154" t="s">
        <v>222</v>
      </c>
      <c r="N154" t="s">
        <v>228</v>
      </c>
      <c r="O154" t="s">
        <v>235</v>
      </c>
      <c r="P154" t="s">
        <v>240</v>
      </c>
    </row>
    <row r="155" spans="2:43" customFormat="1" ht="14.25">
      <c r="I155" t="s">
        <v>270</v>
      </c>
      <c r="J155">
        <v>12.85</v>
      </c>
      <c r="K155">
        <v>20</v>
      </c>
      <c r="L155">
        <v>29.3</v>
      </c>
      <c r="M155">
        <v>2</v>
      </c>
      <c r="N155">
        <v>2.5</v>
      </c>
      <c r="O155">
        <v>8</v>
      </c>
      <c r="P155">
        <v>1</v>
      </c>
    </row>
    <row r="156" spans="2:43" customFormat="1" ht="14.25">
      <c r="J156">
        <f>J155</f>
        <v>12.85</v>
      </c>
      <c r="K156">
        <f t="shared" ref="K156:P156" si="43">K155</f>
        <v>20</v>
      </c>
      <c r="L156">
        <f t="shared" si="43"/>
        <v>29.3</v>
      </c>
      <c r="M156">
        <f t="shared" si="43"/>
        <v>2</v>
      </c>
      <c r="N156">
        <f t="shared" si="43"/>
        <v>2.5</v>
      </c>
      <c r="O156">
        <f t="shared" si="43"/>
        <v>8</v>
      </c>
      <c r="P156">
        <f t="shared" si="43"/>
        <v>1</v>
      </c>
      <c r="Y156" s="79"/>
      <c r="Z156" s="126" t="s">
        <v>72</v>
      </c>
      <c r="AA156" s="126"/>
      <c r="AB156" s="126"/>
      <c r="AC156" s="126"/>
      <c r="AD156" s="126"/>
      <c r="AE156" s="126"/>
      <c r="AF156" s="126"/>
      <c r="AG156" s="126"/>
      <c r="AI156" s="112" t="s">
        <v>172</v>
      </c>
      <c r="AJ156" s="112"/>
      <c r="AK156" s="112"/>
      <c r="AL156" s="112"/>
      <c r="AM156" s="112"/>
      <c r="AN156" s="112"/>
      <c r="AO156" s="112"/>
      <c r="AP156" s="112"/>
      <c r="AQ156" s="112"/>
    </row>
    <row r="157" spans="2:43" customFormat="1" ht="14.25">
      <c r="J157">
        <f t="shared" ref="J157:P157" si="44">J156</f>
        <v>12.85</v>
      </c>
      <c r="K157">
        <f t="shared" si="44"/>
        <v>20</v>
      </c>
      <c r="L157">
        <f t="shared" si="44"/>
        <v>29.3</v>
      </c>
      <c r="M157">
        <f t="shared" si="44"/>
        <v>2</v>
      </c>
      <c r="N157">
        <f t="shared" si="44"/>
        <v>2.5</v>
      </c>
      <c r="O157">
        <f t="shared" si="44"/>
        <v>8</v>
      </c>
      <c r="P157">
        <f t="shared" si="44"/>
        <v>1</v>
      </c>
      <c r="Y157" s="79"/>
      <c r="Z157" s="126" t="s">
        <v>78</v>
      </c>
      <c r="AA157" s="126" t="s">
        <v>79</v>
      </c>
      <c r="AB157" s="126" t="s">
        <v>80</v>
      </c>
      <c r="AC157" s="126" t="s">
        <v>81</v>
      </c>
      <c r="AD157" s="126" t="s">
        <v>82</v>
      </c>
      <c r="AE157" s="126" t="s">
        <v>182</v>
      </c>
      <c r="AF157" s="126" t="s">
        <v>183</v>
      </c>
      <c r="AG157" s="126" t="s">
        <v>184</v>
      </c>
      <c r="AI157" s="112" t="s">
        <v>185</v>
      </c>
      <c r="AJ157" s="112" t="s">
        <v>186</v>
      </c>
      <c r="AK157" s="112" t="s">
        <v>187</v>
      </c>
      <c r="AL157" s="112" t="s">
        <v>188</v>
      </c>
      <c r="AM157" s="112" t="s">
        <v>189</v>
      </c>
      <c r="AN157" s="112" t="s">
        <v>190</v>
      </c>
      <c r="AO157" s="112" t="s">
        <v>191</v>
      </c>
      <c r="AP157" s="112" t="s">
        <v>192</v>
      </c>
      <c r="AQ157" s="112" t="s">
        <v>193</v>
      </c>
    </row>
    <row r="158" spans="2:43" customFormat="1" ht="15.4">
      <c r="J158">
        <f t="shared" ref="J158:P158" si="45">J157</f>
        <v>12.85</v>
      </c>
      <c r="K158">
        <f t="shared" si="45"/>
        <v>20</v>
      </c>
      <c r="L158">
        <f t="shared" si="45"/>
        <v>29.3</v>
      </c>
      <c r="M158">
        <f t="shared" si="45"/>
        <v>2</v>
      </c>
      <c r="N158">
        <f t="shared" si="45"/>
        <v>2.5</v>
      </c>
      <c r="O158">
        <f t="shared" si="45"/>
        <v>8</v>
      </c>
      <c r="P158">
        <f t="shared" si="45"/>
        <v>1</v>
      </c>
      <c r="Y158" s="79"/>
      <c r="Z158" s="127" t="s">
        <v>345</v>
      </c>
      <c r="AA158" s="126" t="s">
        <v>346</v>
      </c>
      <c r="AB158" s="126" t="s">
        <v>347</v>
      </c>
      <c r="AC158" s="126" t="s">
        <v>302</v>
      </c>
      <c r="AD158" s="126" t="s">
        <v>303</v>
      </c>
      <c r="AE158" s="126" t="s">
        <v>206</v>
      </c>
      <c r="AF158" s="126"/>
      <c r="AG158" s="126"/>
      <c r="AI158" s="112" t="s">
        <v>207</v>
      </c>
      <c r="AJ158" s="112" t="s">
        <v>348</v>
      </c>
      <c r="AK158" s="112"/>
      <c r="AL158" s="112"/>
      <c r="AM158" s="112"/>
      <c r="AN158" s="112"/>
      <c r="AO158" s="112"/>
      <c r="AP158" s="112"/>
      <c r="AQ158" s="112" t="s">
        <v>258</v>
      </c>
    </row>
    <row r="159" spans="2:43" customFormat="1" ht="14.25">
      <c r="J159">
        <f t="shared" ref="J159:P159" si="46">J158</f>
        <v>12.85</v>
      </c>
      <c r="K159">
        <f t="shared" si="46"/>
        <v>20</v>
      </c>
      <c r="L159">
        <f t="shared" si="46"/>
        <v>29.3</v>
      </c>
      <c r="M159">
        <f t="shared" si="46"/>
        <v>2</v>
      </c>
      <c r="N159">
        <f t="shared" si="46"/>
        <v>2.5</v>
      </c>
      <c r="O159">
        <f t="shared" si="46"/>
        <v>8</v>
      </c>
      <c r="P159">
        <f t="shared" si="46"/>
        <v>1</v>
      </c>
      <c r="Y159" s="79"/>
      <c r="Z159" s="113"/>
      <c r="AA159" s="126" t="s">
        <v>349</v>
      </c>
      <c r="AB159" s="126" t="s">
        <v>347</v>
      </c>
      <c r="AC159" s="126" t="s">
        <v>302</v>
      </c>
      <c r="AD159" s="126" t="s">
        <v>303</v>
      </c>
      <c r="AE159" s="126" t="s">
        <v>206</v>
      </c>
      <c r="AF159" s="113"/>
      <c r="AG159" s="113"/>
      <c r="AI159" s="112"/>
      <c r="AJ159" s="112" t="s">
        <v>350</v>
      </c>
      <c r="AK159" s="112"/>
      <c r="AL159" s="112"/>
      <c r="AM159" s="112"/>
      <c r="AN159" s="112"/>
      <c r="AO159" s="112"/>
      <c r="AP159" s="112"/>
      <c r="AQ159" s="112" t="s">
        <v>258</v>
      </c>
    </row>
    <row r="160" spans="2:43" customFormat="1" ht="14.25">
      <c r="B160" s="112" t="s">
        <v>296</v>
      </c>
      <c r="C160" s="112"/>
      <c r="D160" s="112"/>
      <c r="E160" s="79"/>
      <c r="F160" s="79"/>
      <c r="G160" s="79"/>
      <c r="H160" s="79"/>
      <c r="I160" s="79"/>
      <c r="J160">
        <f t="shared" ref="J160:P160" si="47">J159</f>
        <v>12.85</v>
      </c>
      <c r="K160">
        <f t="shared" si="47"/>
        <v>20</v>
      </c>
      <c r="L160">
        <f t="shared" si="47"/>
        <v>29.3</v>
      </c>
      <c r="M160">
        <f t="shared" si="47"/>
        <v>2</v>
      </c>
      <c r="N160">
        <f t="shared" si="47"/>
        <v>2.5</v>
      </c>
      <c r="O160">
        <f t="shared" si="47"/>
        <v>8</v>
      </c>
      <c r="P160">
        <f t="shared" si="47"/>
        <v>1</v>
      </c>
      <c r="Q160" s="80"/>
      <c r="R160" s="79"/>
      <c r="S160" s="79"/>
      <c r="T160" s="79"/>
      <c r="U160" s="79"/>
      <c r="V160" s="79"/>
      <c r="W160" s="79"/>
      <c r="Y160" s="79"/>
      <c r="Z160" s="113"/>
      <c r="AA160" s="126" t="s">
        <v>351</v>
      </c>
      <c r="AB160" s="126" t="s">
        <v>347</v>
      </c>
      <c r="AC160" s="126" t="s">
        <v>302</v>
      </c>
      <c r="AD160" s="126" t="s">
        <v>303</v>
      </c>
      <c r="AE160" s="126" t="s">
        <v>206</v>
      </c>
      <c r="AF160" s="113"/>
      <c r="AG160" s="113"/>
      <c r="AI160" s="112"/>
      <c r="AJ160" s="112" t="s">
        <v>352</v>
      </c>
      <c r="AK160" s="112"/>
      <c r="AL160" s="112"/>
      <c r="AM160" s="112"/>
      <c r="AN160" s="112"/>
      <c r="AO160" s="112"/>
      <c r="AP160" s="112"/>
      <c r="AQ160" s="112" t="s">
        <v>258</v>
      </c>
    </row>
    <row r="161" spans="2:60" customFormat="1" ht="14.25">
      <c r="B161" s="112" t="s">
        <v>261</v>
      </c>
      <c r="C161" s="112" t="s">
        <v>298</v>
      </c>
      <c r="D161" s="112" t="s">
        <v>353</v>
      </c>
      <c r="E161" s="79"/>
      <c r="F161" s="79"/>
      <c r="G161" s="79"/>
      <c r="H161" s="79"/>
      <c r="I161" s="79"/>
      <c r="J161">
        <f t="shared" ref="J161:P161" si="48">J160</f>
        <v>12.85</v>
      </c>
      <c r="K161">
        <f t="shared" si="48"/>
        <v>20</v>
      </c>
      <c r="L161">
        <f t="shared" si="48"/>
        <v>29.3</v>
      </c>
      <c r="M161">
        <f t="shared" si="48"/>
        <v>2</v>
      </c>
      <c r="N161">
        <f t="shared" si="48"/>
        <v>2.5</v>
      </c>
      <c r="O161">
        <f t="shared" si="48"/>
        <v>8</v>
      </c>
      <c r="P161">
        <f t="shared" si="48"/>
        <v>1</v>
      </c>
      <c r="U161" s="79"/>
      <c r="V161" s="79"/>
      <c r="W161" s="79"/>
      <c r="Y161" s="79"/>
      <c r="Z161" s="113"/>
      <c r="AA161" s="126" t="s">
        <v>354</v>
      </c>
      <c r="AB161" s="126" t="s">
        <v>347</v>
      </c>
      <c r="AC161" s="126" t="s">
        <v>302</v>
      </c>
      <c r="AD161" s="126" t="s">
        <v>303</v>
      </c>
      <c r="AE161" s="126" t="s">
        <v>206</v>
      </c>
      <c r="AF161" s="113"/>
      <c r="AG161" s="113"/>
      <c r="AI161" s="112"/>
      <c r="AJ161" s="112" t="s">
        <v>355</v>
      </c>
      <c r="AK161" s="112"/>
      <c r="AL161" s="112"/>
      <c r="AM161" s="112"/>
      <c r="AN161" s="112"/>
      <c r="AO161" s="112"/>
      <c r="AP161" s="112"/>
      <c r="AQ161" s="112" t="s">
        <v>258</v>
      </c>
    </row>
    <row r="162" spans="2:60" customFormat="1" ht="14.25">
      <c r="B162" s="112" t="s">
        <v>268</v>
      </c>
      <c r="C162" s="112" t="s">
        <v>356</v>
      </c>
      <c r="D162" s="112">
        <v>1</v>
      </c>
      <c r="E162" s="79"/>
      <c r="F162" s="79"/>
      <c r="G162" s="79"/>
      <c r="H162" s="79"/>
      <c r="I162" s="79"/>
      <c r="U162" s="79"/>
      <c r="V162" s="79"/>
      <c r="W162" s="79"/>
      <c r="Y162" s="79"/>
      <c r="Z162" s="113"/>
      <c r="AA162" s="126" t="s">
        <v>357</v>
      </c>
      <c r="AB162" s="126" t="s">
        <v>347</v>
      </c>
      <c r="AC162" s="126" t="s">
        <v>302</v>
      </c>
      <c r="AD162" s="126" t="s">
        <v>303</v>
      </c>
      <c r="AE162" s="126" t="s">
        <v>206</v>
      </c>
      <c r="AF162" s="113"/>
      <c r="AG162" s="113"/>
      <c r="AH162" s="80"/>
      <c r="AI162" s="112"/>
      <c r="AJ162" s="112" t="s">
        <v>358</v>
      </c>
      <c r="AK162" s="112"/>
      <c r="AL162" s="112"/>
      <c r="AM162" s="112"/>
      <c r="AN162" s="112"/>
      <c r="AO162" s="112"/>
      <c r="AP162" s="112"/>
      <c r="AQ162" s="112" t="s">
        <v>258</v>
      </c>
    </row>
    <row r="163" spans="2:60" customFormat="1" ht="14.25">
      <c r="B163" s="112" t="s">
        <v>271</v>
      </c>
      <c r="C163" s="112" t="s">
        <v>359</v>
      </c>
      <c r="D163" s="112">
        <v>1</v>
      </c>
      <c r="E163" s="79"/>
      <c r="F163" s="79"/>
      <c r="G163" s="79"/>
      <c r="H163" s="79"/>
      <c r="I163" s="79"/>
      <c r="U163" s="79"/>
      <c r="V163" s="79"/>
      <c r="W163" s="79"/>
      <c r="Y163" s="79"/>
      <c r="Z163" s="113"/>
      <c r="AA163" s="126" t="s">
        <v>360</v>
      </c>
      <c r="AB163" s="126" t="s">
        <v>347</v>
      </c>
      <c r="AC163" s="126" t="s">
        <v>302</v>
      </c>
      <c r="AD163" s="126" t="s">
        <v>303</v>
      </c>
      <c r="AE163" s="126" t="s">
        <v>206</v>
      </c>
      <c r="AF163" s="113"/>
      <c r="AG163" s="113"/>
      <c r="AH163" s="80"/>
      <c r="AI163" s="112"/>
      <c r="AJ163" s="112" t="s">
        <v>361</v>
      </c>
      <c r="AK163" s="112"/>
      <c r="AL163" s="112"/>
      <c r="AM163" s="112"/>
      <c r="AN163" s="112"/>
      <c r="AO163" s="112"/>
      <c r="AP163" s="112"/>
      <c r="AQ163" s="112" t="s">
        <v>258</v>
      </c>
    </row>
    <row r="164" spans="2:60" customFormat="1" ht="14.25">
      <c r="B164" s="112" t="s">
        <v>273</v>
      </c>
      <c r="C164" s="112" t="s">
        <v>362</v>
      </c>
      <c r="D164" s="112">
        <v>1</v>
      </c>
      <c r="E164" s="79"/>
      <c r="F164" s="79"/>
      <c r="G164" s="79"/>
      <c r="H164" s="79"/>
      <c r="I164" s="79"/>
      <c r="U164" s="79"/>
      <c r="V164" s="79"/>
      <c r="W164" s="79"/>
      <c r="Y164" s="79"/>
      <c r="Z164" s="113"/>
      <c r="AA164" s="126" t="s">
        <v>363</v>
      </c>
      <c r="AB164" s="126" t="s">
        <v>347</v>
      </c>
      <c r="AC164" s="126" t="s">
        <v>302</v>
      </c>
      <c r="AD164" s="126" t="s">
        <v>303</v>
      </c>
      <c r="AE164" s="126" t="s">
        <v>206</v>
      </c>
      <c r="AF164" s="113"/>
      <c r="AG164" s="113"/>
      <c r="AH164" s="80"/>
      <c r="AI164" s="112"/>
      <c r="AJ164" s="112" t="s">
        <v>364</v>
      </c>
      <c r="AK164" s="112"/>
      <c r="AL164" s="112"/>
      <c r="AM164" s="112"/>
      <c r="AN164" s="112"/>
      <c r="AO164" s="112"/>
      <c r="AP164" s="112"/>
      <c r="AQ164" s="112" t="s">
        <v>258</v>
      </c>
    </row>
    <row r="165" spans="2:60" customFormat="1" ht="14.25">
      <c r="B165" s="112" t="s">
        <v>274</v>
      </c>
      <c r="C165" s="112" t="s">
        <v>365</v>
      </c>
      <c r="D165" s="112">
        <v>1</v>
      </c>
      <c r="E165" s="79"/>
      <c r="F165" s="79"/>
      <c r="G165" s="79"/>
      <c r="H165" s="79"/>
      <c r="I165" s="79"/>
      <c r="U165" s="79"/>
      <c r="V165" s="79"/>
      <c r="W165" s="79"/>
      <c r="Y165" s="79"/>
      <c r="Z165" s="113"/>
      <c r="AA165" s="113" t="s">
        <v>366</v>
      </c>
      <c r="AB165" s="113" t="s">
        <v>367</v>
      </c>
      <c r="AC165" s="126" t="s">
        <v>302</v>
      </c>
      <c r="AD165" s="126" t="s">
        <v>303</v>
      </c>
      <c r="AE165" s="113" t="str">
        <f>AE164</f>
        <v>DAYNITE</v>
      </c>
      <c r="AF165" s="113"/>
      <c r="AG165" s="113"/>
      <c r="AI165" s="112"/>
      <c r="AJ165" s="112" t="s">
        <v>356</v>
      </c>
      <c r="AK165" s="112"/>
      <c r="AL165" s="112"/>
      <c r="AM165" s="112"/>
      <c r="AN165" s="112"/>
      <c r="AO165" s="112"/>
      <c r="AP165" s="112"/>
      <c r="AQ165" s="112" t="s">
        <v>258</v>
      </c>
    </row>
    <row r="166" spans="2:60" customFormat="1" ht="14.25">
      <c r="B166" s="112" t="s">
        <v>275</v>
      </c>
      <c r="C166" s="112" t="s">
        <v>368</v>
      </c>
      <c r="D166" s="112">
        <v>1</v>
      </c>
      <c r="E166" s="79"/>
      <c r="F166" s="79"/>
      <c r="G166" s="79"/>
      <c r="H166" s="79"/>
      <c r="I166" s="79"/>
      <c r="U166" s="79"/>
      <c r="V166" s="79"/>
      <c r="W166" s="79"/>
      <c r="Y166" s="79"/>
      <c r="Z166" s="113"/>
      <c r="AA166" s="113" t="s">
        <v>369</v>
      </c>
      <c r="AB166" s="113" t="s">
        <v>367</v>
      </c>
      <c r="AC166" s="126" t="s">
        <v>302</v>
      </c>
      <c r="AD166" s="126" t="s">
        <v>303</v>
      </c>
      <c r="AE166" s="113" t="str">
        <f t="shared" ref="AE166:AE172" si="49">AE165</f>
        <v>DAYNITE</v>
      </c>
      <c r="AF166" s="113"/>
      <c r="AG166" s="113"/>
      <c r="AI166" s="112"/>
      <c r="AJ166" s="112" t="s">
        <v>359</v>
      </c>
      <c r="AK166" s="112"/>
      <c r="AL166" s="112"/>
      <c r="AM166" s="112"/>
      <c r="AN166" s="112"/>
      <c r="AO166" s="112"/>
      <c r="AP166" s="112"/>
      <c r="AQ166" s="112" t="s">
        <v>258</v>
      </c>
      <c r="AR166" s="80"/>
      <c r="AS166" s="80"/>
      <c r="AT166" s="80"/>
      <c r="AU166" s="80"/>
      <c r="AV166" s="80"/>
      <c r="AW166" s="80"/>
      <c r="AX166" s="80"/>
      <c r="BA166" s="80"/>
      <c r="BB166" s="80"/>
      <c r="BC166" s="80"/>
      <c r="BD166" s="80"/>
      <c r="BE166" s="80"/>
      <c r="BF166" s="80"/>
      <c r="BG166" s="80"/>
      <c r="BH166" s="80"/>
    </row>
    <row r="167" spans="2:60" customFormat="1" ht="14.25">
      <c r="B167" s="112" t="s">
        <v>276</v>
      </c>
      <c r="C167" s="112" t="s">
        <v>370</v>
      </c>
      <c r="D167" s="112">
        <v>1</v>
      </c>
      <c r="E167" s="79"/>
      <c r="F167" s="79"/>
      <c r="G167" s="79"/>
      <c r="H167" s="79"/>
      <c r="I167" s="79"/>
      <c r="U167" s="79"/>
      <c r="V167" s="79"/>
      <c r="W167" s="79"/>
      <c r="Y167" s="79"/>
      <c r="Z167" s="113"/>
      <c r="AA167" s="113" t="s">
        <v>371</v>
      </c>
      <c r="AB167" s="113" t="s">
        <v>367</v>
      </c>
      <c r="AC167" s="126" t="s">
        <v>302</v>
      </c>
      <c r="AD167" s="126" t="s">
        <v>303</v>
      </c>
      <c r="AE167" s="113" t="str">
        <f t="shared" si="49"/>
        <v>DAYNITE</v>
      </c>
      <c r="AF167" s="113"/>
      <c r="AG167" s="113"/>
      <c r="AI167" s="112"/>
      <c r="AJ167" s="112" t="s">
        <v>362</v>
      </c>
      <c r="AK167" s="112"/>
      <c r="AL167" s="112"/>
      <c r="AM167" s="112"/>
      <c r="AN167" s="112"/>
      <c r="AO167" s="112"/>
      <c r="AP167" s="112"/>
      <c r="AQ167" s="112" t="s">
        <v>258</v>
      </c>
      <c r="AR167" s="80"/>
      <c r="AS167" s="80"/>
      <c r="AT167" s="80"/>
      <c r="AU167" s="80"/>
      <c r="AV167" s="80"/>
      <c r="AW167" s="80"/>
      <c r="AX167" s="80"/>
      <c r="BA167" s="80"/>
      <c r="BB167" s="80"/>
      <c r="BC167" s="80"/>
      <c r="BD167" s="80"/>
      <c r="BE167" s="80"/>
      <c r="BF167" s="80"/>
      <c r="BG167" s="80"/>
      <c r="BH167" s="80"/>
    </row>
    <row r="168" spans="2:60" customFormat="1" ht="14.25">
      <c r="B168" s="112" t="s">
        <v>277</v>
      </c>
      <c r="C168" s="112" t="s">
        <v>372</v>
      </c>
      <c r="D168" s="112">
        <v>1</v>
      </c>
      <c r="E168" s="79"/>
      <c r="F168" s="79"/>
      <c r="G168" s="79"/>
      <c r="H168" s="79"/>
      <c r="I168" s="79"/>
      <c r="U168" s="79"/>
      <c r="V168" s="79"/>
      <c r="W168" s="79"/>
      <c r="Y168" s="79"/>
      <c r="Z168" s="113"/>
      <c r="AA168" s="113" t="s">
        <v>373</v>
      </c>
      <c r="AB168" s="113" t="s">
        <v>367</v>
      </c>
      <c r="AC168" s="126" t="s">
        <v>302</v>
      </c>
      <c r="AD168" s="126" t="s">
        <v>303</v>
      </c>
      <c r="AE168" s="113" t="str">
        <f t="shared" si="49"/>
        <v>DAYNITE</v>
      </c>
      <c r="AF168" s="113"/>
      <c r="AG168" s="113"/>
      <c r="AH168" s="79"/>
      <c r="AI168" s="112"/>
      <c r="AJ168" s="112" t="s">
        <v>365</v>
      </c>
      <c r="AK168" s="112"/>
      <c r="AL168" s="112"/>
      <c r="AM168" s="112"/>
      <c r="AN168" s="112"/>
      <c r="AO168" s="112"/>
      <c r="AP168" s="112"/>
      <c r="AQ168" s="112" t="s">
        <v>258</v>
      </c>
      <c r="AR168" s="80"/>
      <c r="AS168" s="80"/>
      <c r="AT168" s="80"/>
      <c r="AU168" s="80"/>
      <c r="AV168" s="80"/>
      <c r="AW168" s="80"/>
      <c r="AX168" s="80"/>
      <c r="BA168" s="80"/>
      <c r="BB168" s="80"/>
      <c r="BC168" s="80"/>
      <c r="BD168" s="80"/>
      <c r="BE168" s="80"/>
      <c r="BF168" s="80"/>
      <c r="BG168" s="80"/>
      <c r="BH168" s="80"/>
    </row>
    <row r="169" spans="2:60" customFormat="1" ht="14.25">
      <c r="J169" s="79"/>
      <c r="K169" s="79"/>
      <c r="P169" s="79"/>
      <c r="S169" s="79"/>
      <c r="T169" s="79"/>
      <c r="U169" s="79"/>
      <c r="V169" s="79"/>
      <c r="W169" s="79"/>
      <c r="Y169" s="79"/>
      <c r="Z169" s="113"/>
      <c r="AA169" s="113" t="s">
        <v>374</v>
      </c>
      <c r="AB169" s="113" t="s">
        <v>367</v>
      </c>
      <c r="AC169" s="126" t="s">
        <v>302</v>
      </c>
      <c r="AD169" s="126" t="s">
        <v>303</v>
      </c>
      <c r="AE169" s="113" t="str">
        <f t="shared" si="49"/>
        <v>DAYNITE</v>
      </c>
      <c r="AF169" s="113"/>
      <c r="AG169" s="113"/>
      <c r="AH169" s="79"/>
      <c r="AI169" s="112"/>
      <c r="AJ169" s="112" t="s">
        <v>368</v>
      </c>
      <c r="AK169" s="112"/>
      <c r="AL169" s="112"/>
      <c r="AM169" s="112"/>
      <c r="AN169" s="112"/>
      <c r="AO169" s="112"/>
      <c r="AP169" s="112"/>
      <c r="AQ169" s="112" t="s">
        <v>258</v>
      </c>
    </row>
    <row r="170" spans="2:60" customFormat="1" ht="14.25">
      <c r="J170" s="79"/>
      <c r="K170" s="79"/>
      <c r="P170" s="79"/>
      <c r="S170" s="79"/>
      <c r="T170" s="79"/>
      <c r="U170" s="79"/>
      <c r="V170" s="79"/>
      <c r="W170" s="79"/>
      <c r="Y170" s="79"/>
      <c r="Z170" s="113"/>
      <c r="AA170" s="113" t="s">
        <v>375</v>
      </c>
      <c r="AB170" s="113" t="s">
        <v>367</v>
      </c>
      <c r="AC170" s="126" t="s">
        <v>302</v>
      </c>
      <c r="AD170" s="126" t="s">
        <v>303</v>
      </c>
      <c r="AE170" s="113" t="str">
        <f t="shared" si="49"/>
        <v>DAYNITE</v>
      </c>
      <c r="AF170" s="113"/>
      <c r="AG170" s="113"/>
      <c r="AH170" s="79"/>
      <c r="AI170" s="112"/>
      <c r="AJ170" s="112" t="s">
        <v>370</v>
      </c>
      <c r="AK170" s="112"/>
      <c r="AL170" s="112"/>
      <c r="AM170" s="112"/>
      <c r="AN170" s="112"/>
      <c r="AO170" s="112"/>
      <c r="AP170" s="112"/>
      <c r="AQ170" s="112" t="s">
        <v>258</v>
      </c>
    </row>
    <row r="171" spans="2:60" customFormat="1" ht="14.25">
      <c r="J171" s="79"/>
      <c r="K171" s="79"/>
      <c r="P171" s="79"/>
      <c r="S171" s="79"/>
      <c r="T171" s="79"/>
      <c r="U171" s="79"/>
      <c r="V171" s="79"/>
      <c r="W171" s="79"/>
      <c r="Y171" s="79"/>
      <c r="Z171" s="113"/>
      <c r="AA171" s="113" t="s">
        <v>376</v>
      </c>
      <c r="AB171" s="113" t="s">
        <v>367</v>
      </c>
      <c r="AC171" s="126" t="s">
        <v>302</v>
      </c>
      <c r="AD171" s="126" t="s">
        <v>303</v>
      </c>
      <c r="AE171" s="113" t="str">
        <f t="shared" si="49"/>
        <v>DAYNITE</v>
      </c>
      <c r="AF171" s="113"/>
      <c r="AG171" s="113"/>
      <c r="AH171" s="79"/>
      <c r="AI171" s="112"/>
      <c r="AJ171" s="112" t="s">
        <v>372</v>
      </c>
      <c r="AK171" s="112"/>
      <c r="AL171" s="112"/>
      <c r="AM171" s="112"/>
      <c r="AN171" s="112"/>
      <c r="AO171" s="112"/>
      <c r="AP171" s="112"/>
      <c r="AQ171" s="112" t="s">
        <v>258</v>
      </c>
    </row>
    <row r="172" spans="2:60" ht="14.25">
      <c r="B172" s="119"/>
      <c r="C172" s="119" t="s">
        <v>297</v>
      </c>
      <c r="D172" s="119"/>
      <c r="E172" s="112"/>
      <c r="Y172"/>
      <c r="Z172" s="113"/>
      <c r="AA172" s="113" t="s">
        <v>377</v>
      </c>
      <c r="AB172" s="113" t="s">
        <v>378</v>
      </c>
      <c r="AC172" s="126" t="s">
        <v>302</v>
      </c>
      <c r="AD172" s="126" t="s">
        <v>303</v>
      </c>
      <c r="AE172" s="113" t="str">
        <f t="shared" si="49"/>
        <v>DAYNITE</v>
      </c>
      <c r="AF172" s="113"/>
      <c r="AG172" s="113"/>
      <c r="AH172" s="80"/>
      <c r="AI172" s="112"/>
      <c r="AJ172" s="112" t="s">
        <v>356</v>
      </c>
      <c r="AK172" s="112"/>
      <c r="AL172" s="112"/>
      <c r="AM172" s="112"/>
      <c r="AN172" s="112"/>
      <c r="AO172" s="112"/>
      <c r="AP172" s="112"/>
      <c r="AQ172" s="112" t="s">
        <v>258</v>
      </c>
    </row>
    <row r="173" spans="2:60" ht="15.4">
      <c r="B173" s="119" t="s">
        <v>261</v>
      </c>
      <c r="C173" s="119" t="s">
        <v>173</v>
      </c>
      <c r="D173" s="119" t="s">
        <v>76</v>
      </c>
      <c r="E173" s="112" t="s">
        <v>73</v>
      </c>
      <c r="F173" s="120" t="s">
        <v>629</v>
      </c>
      <c r="G173" s="79" t="s">
        <v>180</v>
      </c>
      <c r="Y173"/>
      <c r="Z173" s="113"/>
      <c r="AA173" s="113" t="s">
        <v>379</v>
      </c>
      <c r="AB173" s="113" t="s">
        <v>378</v>
      </c>
      <c r="AC173" s="126" t="s">
        <v>302</v>
      </c>
      <c r="AD173" s="126" t="s">
        <v>303</v>
      </c>
      <c r="AE173" s="113" t="str">
        <f t="shared" ref="AE173:AE178" si="50">AE172</f>
        <v>DAYNITE</v>
      </c>
      <c r="AF173" s="113"/>
      <c r="AG173" s="113"/>
      <c r="AH173" s="80"/>
      <c r="AI173" s="112"/>
      <c r="AJ173" s="112" t="s">
        <v>359</v>
      </c>
      <c r="AK173" s="112"/>
      <c r="AL173" s="112"/>
      <c r="AM173" s="112"/>
      <c r="AN173" s="112"/>
      <c r="AO173" s="112"/>
      <c r="AP173" s="112"/>
      <c r="AQ173" s="112" t="s">
        <v>258</v>
      </c>
    </row>
    <row r="174" spans="2:60" ht="14.25">
      <c r="B174" s="119" t="s">
        <v>380</v>
      </c>
      <c r="C174" s="119" t="s">
        <v>356</v>
      </c>
      <c r="D174" s="119" t="s">
        <v>348</v>
      </c>
      <c r="E174" s="112">
        <v>1</v>
      </c>
      <c r="F174" s="79">
        <v>2</v>
      </c>
      <c r="G174" s="79">
        <v>1</v>
      </c>
      <c r="Y174"/>
      <c r="Z174" s="113"/>
      <c r="AA174" s="113" t="s">
        <v>381</v>
      </c>
      <c r="AB174" s="113" t="s">
        <v>378</v>
      </c>
      <c r="AC174" s="126" t="s">
        <v>302</v>
      </c>
      <c r="AD174" s="126" t="s">
        <v>303</v>
      </c>
      <c r="AE174" s="113" t="str">
        <f t="shared" si="50"/>
        <v>DAYNITE</v>
      </c>
      <c r="AF174" s="113"/>
      <c r="AG174" s="113"/>
      <c r="AH174" s="80"/>
      <c r="AI174" s="112"/>
      <c r="AJ174" s="112" t="s">
        <v>362</v>
      </c>
      <c r="AK174" s="112"/>
      <c r="AL174" s="112"/>
      <c r="AM174" s="112"/>
      <c r="AN174" s="112"/>
      <c r="AO174" s="112"/>
      <c r="AP174" s="112"/>
      <c r="AQ174" s="112" t="s">
        <v>258</v>
      </c>
    </row>
    <row r="175" spans="2:60" ht="14.25">
      <c r="B175" s="119" t="s">
        <v>382</v>
      </c>
      <c r="C175" s="119" t="s">
        <v>359</v>
      </c>
      <c r="D175" s="119" t="s">
        <v>350</v>
      </c>
      <c r="E175" s="112">
        <v>1</v>
      </c>
      <c r="F175" s="79">
        <v>2</v>
      </c>
      <c r="G175" s="79">
        <v>1</v>
      </c>
      <c r="Y175"/>
      <c r="Z175" s="113"/>
      <c r="AA175" s="113" t="s">
        <v>383</v>
      </c>
      <c r="AB175" s="113" t="s">
        <v>378</v>
      </c>
      <c r="AC175" s="126" t="s">
        <v>302</v>
      </c>
      <c r="AD175" s="126" t="s">
        <v>303</v>
      </c>
      <c r="AE175" s="113" t="str">
        <f t="shared" si="50"/>
        <v>DAYNITE</v>
      </c>
      <c r="AF175" s="113"/>
      <c r="AG175" s="113"/>
      <c r="AI175" s="112"/>
      <c r="AJ175" s="112" t="s">
        <v>365</v>
      </c>
      <c r="AK175" s="112"/>
      <c r="AL175" s="112"/>
      <c r="AM175" s="112"/>
      <c r="AN175" s="112"/>
      <c r="AO175" s="112"/>
      <c r="AP175" s="112"/>
      <c r="AQ175" s="112" t="s">
        <v>258</v>
      </c>
    </row>
    <row r="176" spans="2:60" ht="14.25">
      <c r="B176" s="119" t="s">
        <v>384</v>
      </c>
      <c r="C176" s="119" t="s">
        <v>362</v>
      </c>
      <c r="D176" s="119" t="s">
        <v>352</v>
      </c>
      <c r="E176" s="112">
        <v>1</v>
      </c>
      <c r="F176" s="79">
        <v>2</v>
      </c>
      <c r="G176" s="79">
        <v>1</v>
      </c>
      <c r="Y176"/>
      <c r="Z176" s="113"/>
      <c r="AA176" s="113" t="s">
        <v>385</v>
      </c>
      <c r="AB176" s="113" t="s">
        <v>378</v>
      </c>
      <c r="AC176" s="126" t="s">
        <v>302</v>
      </c>
      <c r="AD176" s="126" t="s">
        <v>303</v>
      </c>
      <c r="AE176" s="113" t="str">
        <f t="shared" si="50"/>
        <v>DAYNITE</v>
      </c>
      <c r="AF176" s="113"/>
      <c r="AG176" s="113"/>
      <c r="AI176" s="112"/>
      <c r="AJ176" s="112" t="s">
        <v>368</v>
      </c>
      <c r="AK176" s="112"/>
      <c r="AL176" s="112"/>
      <c r="AM176" s="112"/>
      <c r="AN176" s="112"/>
      <c r="AO176" s="112"/>
      <c r="AP176" s="112"/>
      <c r="AQ176" s="112" t="s">
        <v>258</v>
      </c>
      <c r="AR176" s="80"/>
      <c r="AS176" s="80"/>
      <c r="AT176" s="80"/>
      <c r="AU176" s="80"/>
      <c r="AW176" s="80"/>
      <c r="AX176" s="80"/>
      <c r="BA176" s="80"/>
      <c r="BB176" s="80"/>
      <c r="BC176" s="80"/>
      <c r="BD176" s="80"/>
      <c r="BE176" s="80"/>
      <c r="BG176" s="80"/>
      <c r="BH176" s="80"/>
    </row>
    <row r="177" spans="1:60" ht="15.4">
      <c r="B177" s="119" t="s">
        <v>386</v>
      </c>
      <c r="C177" s="119" t="s">
        <v>365</v>
      </c>
      <c r="D177" s="119" t="s">
        <v>355</v>
      </c>
      <c r="E177" s="112">
        <v>1</v>
      </c>
      <c r="F177" s="79">
        <v>2</v>
      </c>
      <c r="G177" s="79">
        <v>1</v>
      </c>
      <c r="Y177"/>
      <c r="Z177" s="113"/>
      <c r="AA177" s="113" t="s">
        <v>387</v>
      </c>
      <c r="AB177" s="113" t="s">
        <v>378</v>
      </c>
      <c r="AC177" s="126" t="s">
        <v>302</v>
      </c>
      <c r="AD177" s="126" t="s">
        <v>303</v>
      </c>
      <c r="AE177" s="113" t="str">
        <f t="shared" si="50"/>
        <v>DAYNITE</v>
      </c>
      <c r="AF177" s="113"/>
      <c r="AG177" s="113"/>
      <c r="AI177" s="112"/>
      <c r="AJ177" s="112" t="s">
        <v>370</v>
      </c>
      <c r="AK177" s="112"/>
      <c r="AL177" s="112"/>
      <c r="AM177" s="112"/>
      <c r="AN177" s="112"/>
      <c r="AO177" s="112"/>
      <c r="AP177" s="112"/>
      <c r="AQ177" s="112" t="s">
        <v>258</v>
      </c>
      <c r="AR177" s="80"/>
      <c r="AS177" s="80"/>
      <c r="AT177" s="120"/>
      <c r="AU177" s="80"/>
      <c r="AV177" s="80"/>
      <c r="AW177" s="80"/>
      <c r="AX177" s="80"/>
      <c r="BA177" s="80"/>
      <c r="BB177" s="80"/>
      <c r="BC177" s="80"/>
      <c r="BD177" s="120"/>
      <c r="BE177" s="80"/>
      <c r="BF177" s="80"/>
      <c r="BG177" s="80"/>
      <c r="BH177" s="80"/>
    </row>
    <row r="178" spans="1:60" ht="14.25">
      <c r="B178" s="119" t="s">
        <v>388</v>
      </c>
      <c r="C178" s="119" t="s">
        <v>368</v>
      </c>
      <c r="D178" s="119" t="s">
        <v>358</v>
      </c>
      <c r="E178" s="112">
        <v>1</v>
      </c>
      <c r="F178" s="79">
        <v>2</v>
      </c>
      <c r="G178" s="79">
        <v>1</v>
      </c>
      <c r="Y178"/>
      <c r="Z178" s="113"/>
      <c r="AA178" s="113" t="s">
        <v>389</v>
      </c>
      <c r="AB178" s="113" t="s">
        <v>378</v>
      </c>
      <c r="AC178" s="126" t="s">
        <v>302</v>
      </c>
      <c r="AD178" s="126" t="s">
        <v>303</v>
      </c>
      <c r="AE178" s="113" t="str">
        <f t="shared" si="50"/>
        <v>DAYNITE</v>
      </c>
      <c r="AF178" s="113"/>
      <c r="AG178" s="113"/>
      <c r="AI178" s="112"/>
      <c r="AJ178" s="112" t="s">
        <v>372</v>
      </c>
      <c r="AK178" s="112"/>
      <c r="AL178" s="112"/>
      <c r="AM178" s="112"/>
      <c r="AN178" s="112"/>
      <c r="AO178" s="112"/>
      <c r="AP178" s="112"/>
      <c r="AQ178" s="112" t="s">
        <v>258</v>
      </c>
      <c r="AR178" s="80"/>
      <c r="AT178" s="81"/>
      <c r="AU178" s="80"/>
      <c r="AV178" s="80"/>
      <c r="AW178" s="80"/>
      <c r="AX178" s="80"/>
      <c r="BA178" s="80"/>
      <c r="BB178" s="80"/>
      <c r="BD178" s="81"/>
      <c r="BE178" s="80"/>
      <c r="BF178" s="80"/>
      <c r="BG178" s="80"/>
      <c r="BH178" s="80"/>
    </row>
    <row r="179" spans="1:60" ht="14.25">
      <c r="B179" s="119" t="s">
        <v>390</v>
      </c>
      <c r="C179" s="119" t="s">
        <v>370</v>
      </c>
      <c r="D179" s="119" t="s">
        <v>361</v>
      </c>
      <c r="E179" s="112">
        <v>1</v>
      </c>
      <c r="F179" s="79">
        <v>2</v>
      </c>
      <c r="G179" s="79">
        <v>1</v>
      </c>
      <c r="Y179"/>
      <c r="Z179" s="113"/>
      <c r="AA179" s="113" t="s">
        <v>337</v>
      </c>
      <c r="AB179" s="113"/>
      <c r="AC179" s="113"/>
      <c r="AD179" s="113"/>
      <c r="AE179" s="113"/>
      <c r="AF179" s="113"/>
      <c r="AG179" s="113"/>
      <c r="AI179" s="112"/>
      <c r="AJ179" s="112" t="s">
        <v>391</v>
      </c>
      <c r="AK179" s="112"/>
      <c r="AL179" s="112"/>
      <c r="AM179" s="112"/>
      <c r="AN179" s="112"/>
      <c r="AO179" s="112"/>
      <c r="AP179" s="112"/>
      <c r="AQ179" s="112" t="s">
        <v>258</v>
      </c>
    </row>
    <row r="180" spans="1:60" ht="14.25">
      <c r="B180" s="119" t="s">
        <v>392</v>
      </c>
      <c r="C180" s="119" t="s">
        <v>372</v>
      </c>
      <c r="D180" s="119" t="s">
        <v>364</v>
      </c>
      <c r="E180" s="112">
        <v>1</v>
      </c>
      <c r="F180" s="79">
        <v>2</v>
      </c>
      <c r="G180" s="79">
        <v>1</v>
      </c>
      <c r="Y180"/>
      <c r="Z180" s="113"/>
      <c r="AA180" s="113" t="s">
        <v>380</v>
      </c>
      <c r="AB180" s="113"/>
      <c r="AC180" s="126" t="s">
        <v>302</v>
      </c>
      <c r="AD180" s="126" t="s">
        <v>303</v>
      </c>
      <c r="AE180" s="113" t="s">
        <v>206</v>
      </c>
      <c r="AF180" s="113"/>
      <c r="AG180" s="113"/>
      <c r="AI180" s="112"/>
      <c r="AJ180" s="112" t="s">
        <v>393</v>
      </c>
      <c r="AK180" s="112"/>
      <c r="AL180" s="112"/>
      <c r="AM180" s="112"/>
      <c r="AN180" s="112"/>
      <c r="AO180" s="112"/>
      <c r="AP180" s="112"/>
      <c r="AQ180" s="112" t="s">
        <v>258</v>
      </c>
    </row>
    <row r="181" spans="1:60" ht="14.25">
      <c r="B181" s="119" t="s">
        <v>394</v>
      </c>
      <c r="C181" s="119" t="s">
        <v>356</v>
      </c>
      <c r="D181" s="119" t="s">
        <v>391</v>
      </c>
      <c r="E181" s="112">
        <v>1</v>
      </c>
      <c r="F181" s="79">
        <v>0</v>
      </c>
      <c r="G181" s="79">
        <v>1</v>
      </c>
      <c r="Y181"/>
      <c r="Z181" s="113"/>
      <c r="AA181" s="113" t="s">
        <v>382</v>
      </c>
      <c r="AB181" s="113"/>
      <c r="AC181" s="126" t="s">
        <v>302</v>
      </c>
      <c r="AD181" s="126" t="s">
        <v>303</v>
      </c>
      <c r="AE181" s="113" t="s">
        <v>206</v>
      </c>
      <c r="AF181" s="113"/>
      <c r="AG181" s="113"/>
      <c r="AI181" s="112"/>
      <c r="AJ181" s="112" t="s">
        <v>395</v>
      </c>
      <c r="AK181" s="112"/>
      <c r="AL181" s="112"/>
      <c r="AM181" s="112"/>
      <c r="AN181" s="112"/>
      <c r="AO181" s="112"/>
      <c r="AP181" s="112"/>
      <c r="AQ181" s="112" t="s">
        <v>258</v>
      </c>
    </row>
    <row r="182" spans="1:60" ht="14.25">
      <c r="B182" s="119" t="s">
        <v>396</v>
      </c>
      <c r="C182" s="119" t="s">
        <v>359</v>
      </c>
      <c r="D182" s="119" t="s">
        <v>393</v>
      </c>
      <c r="E182" s="112">
        <v>1</v>
      </c>
      <c r="F182" s="79">
        <v>0</v>
      </c>
      <c r="G182" s="79">
        <v>1</v>
      </c>
      <c r="Y182"/>
      <c r="Z182" s="113"/>
      <c r="AA182" s="113" t="s">
        <v>384</v>
      </c>
      <c r="AB182" s="113"/>
      <c r="AC182" s="126" t="s">
        <v>302</v>
      </c>
      <c r="AD182" s="126" t="s">
        <v>303</v>
      </c>
      <c r="AE182" s="113" t="s">
        <v>206</v>
      </c>
      <c r="AF182" s="113"/>
      <c r="AG182" s="113"/>
      <c r="AI182" s="112"/>
      <c r="AJ182" s="112" t="s">
        <v>397</v>
      </c>
      <c r="AK182" s="112"/>
      <c r="AL182" s="112"/>
      <c r="AM182" s="112"/>
      <c r="AN182" s="112"/>
      <c r="AO182" s="112"/>
      <c r="AP182" s="112"/>
      <c r="AQ182" s="112" t="s">
        <v>258</v>
      </c>
    </row>
    <row r="183" spans="1:60" ht="14.25">
      <c r="B183" s="119" t="s">
        <v>398</v>
      </c>
      <c r="C183" s="119" t="s">
        <v>362</v>
      </c>
      <c r="D183" s="119" t="s">
        <v>395</v>
      </c>
      <c r="E183" s="112">
        <v>1</v>
      </c>
      <c r="F183" s="79">
        <v>0</v>
      </c>
      <c r="G183" s="79">
        <v>1</v>
      </c>
      <c r="Y183"/>
      <c r="Z183" s="113"/>
      <c r="AA183" s="113" t="s">
        <v>386</v>
      </c>
      <c r="AB183" s="113"/>
      <c r="AC183" s="126" t="s">
        <v>302</v>
      </c>
      <c r="AD183" s="126" t="s">
        <v>303</v>
      </c>
      <c r="AE183" s="113" t="s">
        <v>206</v>
      </c>
      <c r="AF183" s="113"/>
      <c r="AG183" s="113"/>
      <c r="AI183" s="112"/>
      <c r="AJ183" s="112" t="s">
        <v>399</v>
      </c>
      <c r="AK183" s="112"/>
      <c r="AL183" s="112"/>
      <c r="AM183" s="112"/>
      <c r="AN183" s="112"/>
      <c r="AO183" s="112"/>
      <c r="AP183" s="112"/>
      <c r="AQ183" s="112" t="s">
        <v>258</v>
      </c>
    </row>
    <row r="184" spans="1:60" ht="14.25">
      <c r="B184" s="119" t="s">
        <v>400</v>
      </c>
      <c r="C184" s="119" t="s">
        <v>365</v>
      </c>
      <c r="D184" s="119" t="s">
        <v>397</v>
      </c>
      <c r="E184" s="112">
        <v>1</v>
      </c>
      <c r="F184" s="79">
        <v>0</v>
      </c>
      <c r="G184" s="79">
        <v>1</v>
      </c>
      <c r="Y184"/>
      <c r="Z184" s="113"/>
      <c r="AA184" s="113" t="s">
        <v>388</v>
      </c>
      <c r="AB184" s="113"/>
      <c r="AC184" s="126" t="s">
        <v>302</v>
      </c>
      <c r="AD184" s="126" t="s">
        <v>303</v>
      </c>
      <c r="AE184" s="113" t="s">
        <v>206</v>
      </c>
      <c r="AF184" s="113"/>
      <c r="AG184" s="113"/>
      <c r="AI184" s="112"/>
      <c r="AJ184" s="112" t="s">
        <v>401</v>
      </c>
      <c r="AK184" s="112"/>
      <c r="AL184" s="112"/>
      <c r="AM184" s="112"/>
      <c r="AN184" s="112"/>
      <c r="AO184" s="112"/>
      <c r="AP184" s="112"/>
      <c r="AQ184" s="112" t="s">
        <v>258</v>
      </c>
    </row>
    <row r="185" spans="1:60" ht="14.25">
      <c r="B185" s="119" t="s">
        <v>402</v>
      </c>
      <c r="C185" s="119" t="s">
        <v>368</v>
      </c>
      <c r="D185" s="119" t="s">
        <v>399</v>
      </c>
      <c r="E185" s="112">
        <v>1</v>
      </c>
      <c r="F185" s="79">
        <v>0</v>
      </c>
      <c r="G185" s="79">
        <v>1</v>
      </c>
      <c r="Y185"/>
      <c r="Z185" s="113"/>
      <c r="AA185" s="113" t="s">
        <v>390</v>
      </c>
      <c r="AB185" s="113"/>
      <c r="AC185" s="126" t="s">
        <v>302</v>
      </c>
      <c r="AD185" s="126" t="s">
        <v>303</v>
      </c>
      <c r="AE185" s="113" t="s">
        <v>206</v>
      </c>
      <c r="AF185" s="113"/>
      <c r="AG185" s="113"/>
      <c r="AI185" s="128"/>
      <c r="AJ185" s="128" t="s">
        <v>403</v>
      </c>
      <c r="AK185" s="112"/>
      <c r="AL185" s="112"/>
      <c r="AM185" s="112"/>
      <c r="AN185" s="112"/>
      <c r="AO185" s="112"/>
      <c r="AP185" s="112"/>
      <c r="AQ185" s="128" t="s">
        <v>258</v>
      </c>
    </row>
    <row r="186" spans="1:60" ht="14.25">
      <c r="B186" s="119" t="s">
        <v>404</v>
      </c>
      <c r="C186" s="119" t="s">
        <v>370</v>
      </c>
      <c r="D186" s="119" t="s">
        <v>401</v>
      </c>
      <c r="E186" s="112">
        <v>1</v>
      </c>
      <c r="F186" s="79">
        <v>0</v>
      </c>
      <c r="G186" s="79">
        <v>1</v>
      </c>
      <c r="Y186"/>
      <c r="Z186" s="113"/>
      <c r="AA186" s="113" t="s">
        <v>392</v>
      </c>
      <c r="AB186" s="113"/>
      <c r="AC186" s="126" t="s">
        <v>302</v>
      </c>
      <c r="AD186" s="126" t="s">
        <v>303</v>
      </c>
      <c r="AE186" s="113" t="s">
        <v>206</v>
      </c>
      <c r="AF186" s="113"/>
      <c r="AG186" s="113"/>
      <c r="AJ186"/>
      <c r="AK186"/>
      <c r="AL186"/>
      <c r="AM186"/>
      <c r="AN186"/>
      <c r="AO186"/>
      <c r="AP186"/>
      <c r="AQ186"/>
    </row>
    <row r="187" spans="1:60" ht="14.25">
      <c r="B187" s="119" t="s">
        <v>405</v>
      </c>
      <c r="C187" s="119" t="s">
        <v>372</v>
      </c>
      <c r="D187" s="119" t="s">
        <v>403</v>
      </c>
      <c r="E187" s="112">
        <v>1</v>
      </c>
      <c r="F187" s="79">
        <v>0</v>
      </c>
      <c r="G187" s="79">
        <v>1</v>
      </c>
      <c r="Y187"/>
      <c r="Z187" s="113"/>
      <c r="AA187" s="113" t="s">
        <v>394</v>
      </c>
      <c r="AB187" s="113"/>
      <c r="AC187" s="126" t="s">
        <v>302</v>
      </c>
      <c r="AD187" s="126" t="s">
        <v>303</v>
      </c>
      <c r="AE187" s="113" t="s">
        <v>206</v>
      </c>
      <c r="AF187" s="113"/>
      <c r="AG187" s="113"/>
      <c r="AJ187"/>
      <c r="AK187"/>
      <c r="AL187"/>
      <c r="AM187"/>
      <c r="AN187"/>
      <c r="AO187"/>
      <c r="AP187"/>
      <c r="AQ187"/>
    </row>
    <row r="188" spans="1:60" ht="14.25">
      <c r="Y188"/>
      <c r="Z188" s="113"/>
      <c r="AA188" s="113" t="s">
        <v>396</v>
      </c>
      <c r="AB188" s="113"/>
      <c r="AC188" s="126" t="s">
        <v>302</v>
      </c>
      <c r="AD188" s="126" t="s">
        <v>303</v>
      </c>
      <c r="AE188" s="113" t="s">
        <v>206</v>
      </c>
      <c r="AF188" s="113"/>
      <c r="AG188" s="113"/>
      <c r="AH188" s="80"/>
      <c r="AJ188"/>
      <c r="AK188"/>
      <c r="AL188"/>
      <c r="AM188"/>
      <c r="AN188"/>
      <c r="AO188"/>
      <c r="AP188"/>
      <c r="AQ188"/>
    </row>
    <row r="189" spans="1:60" ht="14.25">
      <c r="Y189"/>
      <c r="Z189" s="113"/>
      <c r="AA189" s="113" t="s">
        <v>398</v>
      </c>
      <c r="AB189" s="113"/>
      <c r="AC189" s="126" t="s">
        <v>302</v>
      </c>
      <c r="AD189" s="126" t="s">
        <v>303</v>
      </c>
      <c r="AE189" s="113" t="s">
        <v>206</v>
      </c>
      <c r="AF189" s="113"/>
      <c r="AG189" s="113"/>
      <c r="AJ189"/>
      <c r="AK189"/>
      <c r="AL189"/>
      <c r="AM189"/>
      <c r="AN189"/>
      <c r="AO189"/>
      <c r="AP189"/>
      <c r="AQ189"/>
    </row>
    <row r="190" spans="1:60" ht="27.4">
      <c r="A190" s="121"/>
      <c r="Y190"/>
      <c r="Z190" s="113"/>
      <c r="AA190" s="113" t="s">
        <v>400</v>
      </c>
      <c r="AB190" s="113"/>
      <c r="AC190" s="126" t="s">
        <v>302</v>
      </c>
      <c r="AD190" s="126" t="s">
        <v>303</v>
      </c>
      <c r="AE190" s="113" t="s">
        <v>206</v>
      </c>
      <c r="AF190" s="113"/>
      <c r="AG190" s="126"/>
      <c r="AJ190"/>
      <c r="AK190"/>
      <c r="AL190"/>
      <c r="AM190"/>
      <c r="AN190"/>
      <c r="AO190"/>
      <c r="AP190"/>
      <c r="AQ190"/>
    </row>
    <row r="191" spans="1:60" ht="14.25">
      <c r="Y191"/>
      <c r="Z191" s="113"/>
      <c r="AA191" s="113" t="s">
        <v>402</v>
      </c>
      <c r="AB191" s="113"/>
      <c r="AC191" s="126" t="s">
        <v>302</v>
      </c>
      <c r="AD191" s="126" t="s">
        <v>303</v>
      </c>
      <c r="AE191" s="113" t="s">
        <v>206</v>
      </c>
      <c r="AF191" s="113"/>
      <c r="AG191" s="113"/>
      <c r="AJ191"/>
      <c r="AK191"/>
      <c r="AL191"/>
      <c r="AM191"/>
      <c r="AN191"/>
      <c r="AO191"/>
      <c r="AP191"/>
      <c r="AQ191"/>
    </row>
    <row r="192" spans="1:60" ht="14.25">
      <c r="X192" s="80"/>
      <c r="Y192"/>
      <c r="Z192" s="113"/>
      <c r="AA192" s="113" t="s">
        <v>404</v>
      </c>
      <c r="AB192" s="113"/>
      <c r="AC192" s="126" t="s">
        <v>302</v>
      </c>
      <c r="AD192" s="126" t="s">
        <v>303</v>
      </c>
      <c r="AE192" s="113" t="s">
        <v>206</v>
      </c>
      <c r="AF192" s="113"/>
      <c r="AG192" s="113"/>
      <c r="AJ192"/>
      <c r="AK192"/>
      <c r="AL192"/>
      <c r="AM192"/>
      <c r="AN192"/>
      <c r="AO192"/>
      <c r="AP192"/>
      <c r="AQ192"/>
      <c r="AR192" s="80"/>
      <c r="BB192" s="80"/>
    </row>
    <row r="193" spans="1:53" ht="14.25">
      <c r="Z193" s="113"/>
      <c r="AA193" s="113" t="s">
        <v>405</v>
      </c>
      <c r="AB193" s="113"/>
      <c r="AC193" s="126" t="s">
        <v>302</v>
      </c>
      <c r="AD193" s="126" t="s">
        <v>303</v>
      </c>
      <c r="AE193" s="113" t="s">
        <v>206</v>
      </c>
      <c r="AF193" s="113"/>
      <c r="AG193" s="113"/>
    </row>
    <row r="194" spans="1:53" ht="22.5">
      <c r="A194" s="129"/>
      <c r="W194" s="80"/>
      <c r="Z194" s="113"/>
      <c r="AA194" s="113" t="s">
        <v>406</v>
      </c>
      <c r="AB194" s="113"/>
      <c r="AC194" s="126" t="s">
        <v>302</v>
      </c>
      <c r="AD194" s="126" t="s">
        <v>303</v>
      </c>
      <c r="AE194" s="113" t="s">
        <v>206</v>
      </c>
      <c r="AF194" s="113"/>
      <c r="AG194" s="113"/>
      <c r="BA194" s="80"/>
    </row>
    <row r="195" spans="1:53" ht="14.25">
      <c r="Z195" s="113"/>
      <c r="AA195" s="113" t="s">
        <v>407</v>
      </c>
      <c r="AB195" s="113"/>
      <c r="AC195" s="126" t="s">
        <v>302</v>
      </c>
      <c r="AD195" s="126" t="s">
        <v>303</v>
      </c>
      <c r="AE195" s="113" t="s">
        <v>206</v>
      </c>
      <c r="AF195" s="113"/>
      <c r="AG195" s="113"/>
    </row>
    <row r="196" spans="1:53" ht="14.25">
      <c r="Z196" s="113"/>
      <c r="AA196" s="113" t="s">
        <v>408</v>
      </c>
      <c r="AB196" s="113"/>
      <c r="AC196" s="126" t="s">
        <v>302</v>
      </c>
      <c r="AD196" s="126" t="s">
        <v>303</v>
      </c>
      <c r="AE196" s="113" t="s">
        <v>206</v>
      </c>
      <c r="AF196" s="113"/>
      <c r="AG196" s="113"/>
    </row>
    <row r="197" spans="1:53" ht="14.25">
      <c r="Z197" s="113"/>
      <c r="AA197" s="113" t="s">
        <v>409</v>
      </c>
      <c r="AB197" s="113"/>
      <c r="AC197" s="126" t="s">
        <v>302</v>
      </c>
      <c r="AD197" s="126" t="s">
        <v>303</v>
      </c>
      <c r="AE197" s="113" t="s">
        <v>206</v>
      </c>
      <c r="AF197" s="113"/>
      <c r="AG197" s="113"/>
    </row>
    <row r="198" spans="1:53" ht="14.25">
      <c r="Z198" s="113"/>
      <c r="AA198" s="113" t="s">
        <v>410</v>
      </c>
      <c r="AB198" s="113"/>
      <c r="AC198" s="126" t="s">
        <v>302</v>
      </c>
      <c r="AD198" s="126" t="s">
        <v>303</v>
      </c>
      <c r="AE198" s="113" t="s">
        <v>206</v>
      </c>
      <c r="AF198" s="113"/>
      <c r="AG198" s="113"/>
    </row>
    <row r="199" spans="1:53" ht="14.25">
      <c r="Z199" s="113"/>
      <c r="AA199" s="113" t="s">
        <v>411</v>
      </c>
      <c r="AB199" s="113"/>
      <c r="AC199" s="126" t="s">
        <v>302</v>
      </c>
      <c r="AD199" s="126" t="s">
        <v>303</v>
      </c>
      <c r="AE199" s="113" t="s">
        <v>206</v>
      </c>
      <c r="AF199" s="113"/>
      <c r="AG199" s="113"/>
    </row>
    <row r="200" spans="1:53" ht="14.25">
      <c r="Z200" s="113"/>
      <c r="AA200" s="113" t="s">
        <v>412</v>
      </c>
      <c r="AB200" s="113"/>
      <c r="AC200" s="126" t="s">
        <v>302</v>
      </c>
      <c r="AD200" s="126" t="s">
        <v>303</v>
      </c>
      <c r="AE200" s="113" t="s">
        <v>206</v>
      </c>
      <c r="AF200" s="113"/>
      <c r="AG200" s="113"/>
    </row>
    <row r="211" spans="1:64" ht="21">
      <c r="B211" s="130" t="s">
        <v>413</v>
      </c>
      <c r="C211" s="131"/>
      <c r="D211" s="130"/>
      <c r="E211" s="130"/>
      <c r="I211" s="94"/>
      <c r="J211" s="265" t="s">
        <v>414</v>
      </c>
      <c r="K211" s="265"/>
      <c r="L211" s="265"/>
      <c r="M211" s="265"/>
      <c r="N211" s="265"/>
      <c r="O211" s="265"/>
      <c r="P211" s="265"/>
      <c r="Q211" s="265"/>
      <c r="R211" s="265"/>
      <c r="S211" s="265"/>
      <c r="T211" s="265"/>
      <c r="U211" s="265"/>
      <c r="W211" s="144"/>
      <c r="X211" s="145"/>
      <c r="Y211" s="145"/>
      <c r="Z211" s="145"/>
      <c r="AA211" s="145"/>
      <c r="AB211" s="145"/>
      <c r="AC211" s="145"/>
      <c r="AD211" s="145"/>
      <c r="AE211" s="145"/>
      <c r="AF211" s="145"/>
    </row>
    <row r="212" spans="1:64" ht="21">
      <c r="B212" s="132" t="s">
        <v>318</v>
      </c>
      <c r="C212" s="130"/>
      <c r="D212" s="130"/>
      <c r="E212" s="130"/>
      <c r="I212" s="124"/>
      <c r="J212" s="273" t="s">
        <v>321</v>
      </c>
      <c r="K212" s="274"/>
      <c r="L212" s="274"/>
      <c r="M212" s="273" t="s">
        <v>322</v>
      </c>
      <c r="N212" s="274"/>
      <c r="O212" s="274"/>
      <c r="P212" s="273" t="s">
        <v>323</v>
      </c>
      <c r="Q212" s="274"/>
      <c r="R212" s="274"/>
      <c r="S212" s="111" t="s">
        <v>324</v>
      </c>
      <c r="T212" s="94"/>
      <c r="U212" s="94"/>
      <c r="W212" s="146"/>
      <c r="X212" s="147"/>
      <c r="Y212" s="147"/>
      <c r="Z212" s="147"/>
      <c r="AA212" s="147"/>
      <c r="AB212" s="147"/>
      <c r="AC212" s="147"/>
      <c r="AD212" s="147"/>
      <c r="AE212" s="147"/>
      <c r="AF212" s="147"/>
      <c r="AH212" s="265" t="s">
        <v>415</v>
      </c>
      <c r="AI212" s="265"/>
      <c r="AJ212" s="265"/>
      <c r="AK212" s="265"/>
      <c r="AL212" s="265"/>
      <c r="AM212" s="265"/>
      <c r="AN212" s="265"/>
      <c r="AO212" s="160"/>
      <c r="AP212" s="160"/>
      <c r="AS212" s="112" t="s">
        <v>416</v>
      </c>
      <c r="AT212" s="153"/>
      <c r="AU212" s="153"/>
      <c r="AV212" s="112"/>
      <c r="AW212" s="112"/>
      <c r="AX212" s="112"/>
      <c r="AY212" s="112"/>
      <c r="AZ212" s="112"/>
      <c r="BA212" s="112"/>
      <c r="BB212" s="113"/>
      <c r="BC212" s="112" t="s">
        <v>416</v>
      </c>
      <c r="BD212" s="153"/>
      <c r="BE212" s="153"/>
      <c r="BF212" s="112"/>
      <c r="BG212" s="112"/>
      <c r="BH212" s="112"/>
      <c r="BI212" s="112"/>
      <c r="BJ212" s="112"/>
      <c r="BK212" s="112"/>
      <c r="BL212" s="112"/>
    </row>
    <row r="213" spans="1:64" ht="13.15">
      <c r="B213" s="130"/>
      <c r="C213" s="132"/>
      <c r="D213" s="132"/>
      <c r="E213" s="132"/>
      <c r="I213" s="124"/>
      <c r="J213" s="275" t="s">
        <v>417</v>
      </c>
      <c r="K213" s="276"/>
      <c r="L213" s="274"/>
      <c r="M213" s="275" t="s">
        <v>417</v>
      </c>
      <c r="N213" s="276"/>
      <c r="O213" s="274"/>
      <c r="P213" s="275" t="s">
        <v>417</v>
      </c>
      <c r="Q213" s="276"/>
      <c r="R213" s="274"/>
      <c r="S213" s="275" t="s">
        <v>417</v>
      </c>
      <c r="T213" s="276"/>
      <c r="U213" s="274"/>
      <c r="W213" s="146"/>
      <c r="X213" s="148"/>
      <c r="Y213" s="148"/>
      <c r="Z213" s="148"/>
      <c r="AA213" s="112" t="s">
        <v>297</v>
      </c>
      <c r="AB213" s="112"/>
      <c r="AC213" s="112"/>
      <c r="AD213" s="151"/>
      <c r="AE213" s="148"/>
      <c r="AF213" s="148"/>
      <c r="AH213" s="108"/>
      <c r="AI213" s="108" t="s">
        <v>418</v>
      </c>
      <c r="AJ213" s="108" t="s">
        <v>419</v>
      </c>
      <c r="AK213" s="108" t="s">
        <v>420</v>
      </c>
      <c r="AL213" s="108" t="s">
        <v>421</v>
      </c>
      <c r="AM213" s="157" t="s">
        <v>422</v>
      </c>
      <c r="AN213" s="108" t="s">
        <v>423</v>
      </c>
      <c r="AO213" s="108" t="s">
        <v>424</v>
      </c>
      <c r="AP213" s="108" t="s">
        <v>425</v>
      </c>
      <c r="AQ213" s="144"/>
      <c r="AS213" s="112" t="s">
        <v>261</v>
      </c>
      <c r="AT213" s="112" t="s">
        <v>208</v>
      </c>
      <c r="AU213" s="112" t="s">
        <v>211</v>
      </c>
      <c r="AV213" s="112" t="s">
        <v>216</v>
      </c>
      <c r="AW213" s="112" t="s">
        <v>222</v>
      </c>
      <c r="AX213" s="112" t="s">
        <v>228</v>
      </c>
      <c r="AY213" s="112" t="s">
        <v>235</v>
      </c>
      <c r="AZ213" s="112" t="s">
        <v>240</v>
      </c>
      <c r="BA213" s="112" t="s">
        <v>330</v>
      </c>
      <c r="BB213" s="113"/>
      <c r="BC213" s="112" t="s">
        <v>261</v>
      </c>
      <c r="BD213" s="112" t="s">
        <v>208</v>
      </c>
      <c r="BE213" s="112" t="s">
        <v>211</v>
      </c>
      <c r="BF213" s="112" t="s">
        <v>216</v>
      </c>
      <c r="BG213" s="112" t="s">
        <v>222</v>
      </c>
      <c r="BH213" s="112" t="s">
        <v>228</v>
      </c>
      <c r="BI213" s="112" t="s">
        <v>235</v>
      </c>
      <c r="BJ213" s="112" t="s">
        <v>240</v>
      </c>
      <c r="BK213" s="112" t="s">
        <v>330</v>
      </c>
      <c r="BL213" s="112" t="s">
        <v>336</v>
      </c>
    </row>
    <row r="214" spans="1:64" ht="14.25">
      <c r="B214" s="132" t="s">
        <v>261</v>
      </c>
      <c r="C214" s="132" t="s">
        <v>331</v>
      </c>
      <c r="D214" s="132" t="s">
        <v>332</v>
      </c>
      <c r="E214" s="132" t="s">
        <v>333</v>
      </c>
      <c r="I214" s="124"/>
      <c r="J214" s="140" t="s">
        <v>426</v>
      </c>
      <c r="K214" s="140" t="s">
        <v>427</v>
      </c>
      <c r="L214" s="140" t="s">
        <v>428</v>
      </c>
      <c r="M214" s="139" t="s">
        <v>426</v>
      </c>
      <c r="N214" s="141" t="s">
        <v>427</v>
      </c>
      <c r="O214" s="139" t="s">
        <v>428</v>
      </c>
      <c r="P214" s="139" t="s">
        <v>426</v>
      </c>
      <c r="Q214" s="139" t="s">
        <v>427</v>
      </c>
      <c r="R214" s="139" t="s">
        <v>428</v>
      </c>
      <c r="S214" s="139" t="s">
        <v>426</v>
      </c>
      <c r="T214" s="139" t="s">
        <v>427</v>
      </c>
      <c r="U214" s="139" t="s">
        <v>428</v>
      </c>
      <c r="W214" s="146"/>
      <c r="X214" s="148"/>
      <c r="Y214" s="148"/>
      <c r="Z214" s="148"/>
      <c r="AA214" s="152" t="str">
        <f>B214</f>
        <v>process</v>
      </c>
      <c r="AB214" s="153" t="s">
        <v>173</v>
      </c>
      <c r="AC214" s="153" t="s">
        <v>76</v>
      </c>
      <c r="AD214" s="154" t="s">
        <v>73</v>
      </c>
      <c r="AE214" s="147"/>
      <c r="AF214" s="147"/>
      <c r="AH214" s="158" t="s">
        <v>429</v>
      </c>
      <c r="AI214" s="108">
        <v>0</v>
      </c>
      <c r="AJ214" s="108">
        <v>0.98</v>
      </c>
      <c r="AK214" s="108">
        <v>0.9</v>
      </c>
      <c r="AL214" s="108">
        <v>0</v>
      </c>
      <c r="AM214" s="108">
        <v>0</v>
      </c>
      <c r="AN214" s="108">
        <v>0.9</v>
      </c>
      <c r="AO214" s="108">
        <v>0</v>
      </c>
      <c r="AP214" s="108">
        <v>0.9</v>
      </c>
      <c r="AQ214" s="144"/>
      <c r="AS214" s="112" t="s">
        <v>346</v>
      </c>
      <c r="AT214" s="112">
        <f>D263/AD215</f>
        <v>0</v>
      </c>
      <c r="AU214" s="112">
        <f>E263/AD215</f>
        <v>0</v>
      </c>
      <c r="AV214" s="112">
        <f>F263/AD215</f>
        <v>0</v>
      </c>
      <c r="AW214" s="112">
        <f>G263/AD215</f>
        <v>0</v>
      </c>
      <c r="AX214" s="112">
        <f>H263/AD215</f>
        <v>0</v>
      </c>
      <c r="AY214" s="112">
        <f>I263/AD215</f>
        <v>1</v>
      </c>
      <c r="AZ214" s="112">
        <f>J263/AD215</f>
        <v>0</v>
      </c>
      <c r="BA214" s="112" t="s">
        <v>272</v>
      </c>
      <c r="BB214" s="113"/>
      <c r="BC214" s="112" t="s">
        <v>346</v>
      </c>
      <c r="BD214" s="112">
        <v>5</v>
      </c>
      <c r="BE214" s="112">
        <v>5</v>
      </c>
      <c r="BF214" s="112">
        <v>5</v>
      </c>
      <c r="BG214" s="112">
        <v>5</v>
      </c>
      <c r="BH214" s="112">
        <v>5</v>
      </c>
      <c r="BI214" s="112">
        <v>5</v>
      </c>
      <c r="BJ214" s="112">
        <v>5</v>
      </c>
      <c r="BK214" s="112" t="s">
        <v>272</v>
      </c>
      <c r="BL214" s="112">
        <v>0</v>
      </c>
    </row>
    <row r="215" spans="1:64" ht="20.25">
      <c r="A215" s="133"/>
      <c r="B215" s="132" t="s">
        <v>337</v>
      </c>
      <c r="C215" s="132"/>
      <c r="D215" s="134"/>
      <c r="E215" s="134"/>
      <c r="I215" s="111" t="s">
        <v>338</v>
      </c>
      <c r="J215" s="142">
        <v>9.3088011053795103</v>
      </c>
      <c r="K215" s="142">
        <v>5.2081070744288898</v>
      </c>
      <c r="L215" s="142">
        <v>4.4824196020633797</v>
      </c>
      <c r="M215" s="142">
        <v>7.4470408990420003</v>
      </c>
      <c r="N215" s="142">
        <v>4.1664856300663198</v>
      </c>
      <c r="O215" s="142">
        <v>3.5859356669123099</v>
      </c>
      <c r="P215" s="142">
        <v>5.6783686809137803</v>
      </c>
      <c r="Q215" s="142">
        <v>3.1769453205600602</v>
      </c>
      <c r="R215" s="142">
        <v>2.7342759764185698</v>
      </c>
      <c r="S215" s="124">
        <f>AVERAGE(J215,M215,P215)</f>
        <v>7.4780702284450999</v>
      </c>
      <c r="T215" s="124">
        <f>AVERAGE(K215,N215,Q215)</f>
        <v>4.1838460083517601</v>
      </c>
      <c r="U215" s="124">
        <f>AVERAGE(L215,O215,R215)</f>
        <v>3.6008770817980902</v>
      </c>
      <c r="W215" s="147"/>
      <c r="X215" s="149"/>
      <c r="Y215" s="149"/>
      <c r="Z215" s="149"/>
      <c r="AA215" s="119" t="str">
        <f>B216</f>
        <v>PyroRecy-LFP</v>
      </c>
      <c r="AB215" s="119" t="s">
        <v>348</v>
      </c>
      <c r="AC215" s="112" t="s">
        <v>430</v>
      </c>
      <c r="AD215" s="155">
        <f>SUM(D263:J263)</f>
        <v>0.85140000000000005</v>
      </c>
      <c r="AE215" s="149"/>
      <c r="AF215" s="149"/>
      <c r="AH215" s="108"/>
      <c r="AI215" s="108">
        <f t="shared" ref="AI215:AN215" si="51">AI214</f>
        <v>0</v>
      </c>
      <c r="AJ215" s="108">
        <f t="shared" si="51"/>
        <v>0.98</v>
      </c>
      <c r="AK215" s="108">
        <f t="shared" si="51"/>
        <v>0.9</v>
      </c>
      <c r="AL215" s="108">
        <f t="shared" si="51"/>
        <v>0</v>
      </c>
      <c r="AM215" s="108">
        <f t="shared" si="51"/>
        <v>0</v>
      </c>
      <c r="AN215" s="108">
        <f t="shared" si="51"/>
        <v>0.9</v>
      </c>
      <c r="AO215" s="108">
        <v>0</v>
      </c>
      <c r="AP215" s="108">
        <f t="shared" ref="AP215:AP220" si="52">AP214</f>
        <v>0.9</v>
      </c>
      <c r="AQ215" s="144"/>
      <c r="AS215" s="112" t="s">
        <v>349</v>
      </c>
      <c r="AT215" s="112">
        <f t="shared" ref="AT215:AT234" si="53">D264/AD216</f>
        <v>0</v>
      </c>
      <c r="AU215" s="112">
        <f t="shared" ref="AU215:AU234" si="54">E264/AD216</f>
        <v>0</v>
      </c>
      <c r="AV215" s="112">
        <f t="shared" ref="AV215:AV234" si="55">F264/AD216</f>
        <v>0</v>
      </c>
      <c r="AW215" s="112">
        <f t="shared" ref="AW215:AW234" si="56">G264/AD216</f>
        <v>0</v>
      </c>
      <c r="AX215" s="112">
        <f t="shared" ref="AX215:AX234" si="57">H264/AD216</f>
        <v>0</v>
      </c>
      <c r="AY215" s="112">
        <f t="shared" ref="AY215:AY234" si="58">I264/AD216</f>
        <v>1</v>
      </c>
      <c r="AZ215" s="112">
        <f t="shared" ref="AZ215:AZ234" si="59">J264/AD216</f>
        <v>0</v>
      </c>
      <c r="BA215" s="112" t="s">
        <v>272</v>
      </c>
      <c r="BB215" s="113"/>
      <c r="BC215" s="112" t="s">
        <v>349</v>
      </c>
      <c r="BD215" s="112">
        <v>5</v>
      </c>
      <c r="BE215" s="112">
        <v>5</v>
      </c>
      <c r="BF215" s="112">
        <v>5</v>
      </c>
      <c r="BG215" s="112">
        <v>5</v>
      </c>
      <c r="BH215" s="112">
        <v>5</v>
      </c>
      <c r="BI215" s="112">
        <v>5</v>
      </c>
      <c r="BJ215" s="112">
        <v>5</v>
      </c>
      <c r="BK215" s="112" t="s">
        <v>272</v>
      </c>
      <c r="BL215" s="112">
        <v>0</v>
      </c>
    </row>
    <row r="216" spans="1:64" ht="20.25">
      <c r="A216" s="133"/>
      <c r="B216" s="132" t="s">
        <v>346</v>
      </c>
      <c r="C216" s="132">
        <f>S216</f>
        <v>7.1138439695406497</v>
      </c>
      <c r="D216" s="134">
        <f>P216</f>
        <v>5.4017985261606496</v>
      </c>
      <c r="E216" s="134">
        <f>J216</f>
        <v>8.8554074428887208</v>
      </c>
      <c r="I216" s="111" t="s">
        <v>431</v>
      </c>
      <c r="J216" s="142">
        <v>8.8554074428887208</v>
      </c>
      <c r="K216" s="142">
        <v>5.2081070744288898</v>
      </c>
      <c r="L216" s="142">
        <v>4.4384597641857004</v>
      </c>
      <c r="M216" s="142">
        <v>7.0843259395725902</v>
      </c>
      <c r="N216" s="142">
        <v>4.1664856300663198</v>
      </c>
      <c r="O216" s="142">
        <v>3.5507677966101698</v>
      </c>
      <c r="P216" s="142">
        <v>5.4017985261606496</v>
      </c>
      <c r="Q216" s="142">
        <v>3.1769453205600602</v>
      </c>
      <c r="R216" s="142">
        <v>2.7074604274134102</v>
      </c>
      <c r="S216" s="124">
        <f t="shared" ref="S216:S222" si="60">AVERAGE(J216,M216,P216)</f>
        <v>7.1138439695406497</v>
      </c>
      <c r="T216" s="124">
        <f t="shared" ref="T216:T222" si="61">AVERAGE(K216,N216,Q216)</f>
        <v>4.1838460083517601</v>
      </c>
      <c r="U216" s="124">
        <f t="shared" ref="U216:U222" si="62">AVERAGE(L216,O216,R216)</f>
        <v>3.5655626627364301</v>
      </c>
      <c r="W216" s="147"/>
      <c r="X216" s="149"/>
      <c r="Y216" s="149"/>
      <c r="Z216" s="149"/>
      <c r="AA216" s="119" t="str">
        <f t="shared" ref="AA216:AA235" si="63">B217</f>
        <v>PyroRecy-LMO</v>
      </c>
      <c r="AB216" s="119" t="s">
        <v>350</v>
      </c>
      <c r="AC216" s="112" t="s">
        <v>430</v>
      </c>
      <c r="AD216" s="155">
        <f t="shared" ref="AD216:AD235" si="64">SUM(D264:J264)</f>
        <v>0.77669999999999995</v>
      </c>
      <c r="AE216" s="149"/>
      <c r="AF216" s="149"/>
      <c r="AH216" s="108"/>
      <c r="AI216" s="108">
        <f t="shared" ref="AI216:AN216" si="65">AI215</f>
        <v>0</v>
      </c>
      <c r="AJ216" s="108">
        <f t="shared" si="65"/>
        <v>0.98</v>
      </c>
      <c r="AK216" s="108">
        <f t="shared" si="65"/>
        <v>0.9</v>
      </c>
      <c r="AL216" s="108">
        <f t="shared" si="65"/>
        <v>0</v>
      </c>
      <c r="AM216" s="108">
        <f t="shared" si="65"/>
        <v>0</v>
      </c>
      <c r="AN216" s="108">
        <f t="shared" si="65"/>
        <v>0.9</v>
      </c>
      <c r="AO216" s="108">
        <v>0</v>
      </c>
      <c r="AP216" s="108">
        <f t="shared" si="52"/>
        <v>0.9</v>
      </c>
      <c r="AQ216" s="144"/>
      <c r="AS216" s="112" t="s">
        <v>351</v>
      </c>
      <c r="AT216" s="112">
        <f t="shared" si="53"/>
        <v>0</v>
      </c>
      <c r="AU216" s="112">
        <f t="shared" si="54"/>
        <v>0.51431516798650501</v>
      </c>
      <c r="AV216" s="112">
        <f t="shared" si="55"/>
        <v>8.9264795464130103E-2</v>
      </c>
      <c r="AW216" s="112">
        <f t="shared" si="56"/>
        <v>0</v>
      </c>
      <c r="AX216" s="112">
        <f t="shared" si="57"/>
        <v>0</v>
      </c>
      <c r="AY216" s="112">
        <f t="shared" si="58"/>
        <v>0.39642003654936497</v>
      </c>
      <c r="AZ216" s="112">
        <f t="shared" si="59"/>
        <v>0</v>
      </c>
      <c r="BA216" s="112" t="s">
        <v>272</v>
      </c>
      <c r="BB216" s="113"/>
      <c r="BC216" s="112" t="s">
        <v>351</v>
      </c>
      <c r="BD216" s="112">
        <v>5</v>
      </c>
      <c r="BE216" s="112">
        <v>5</v>
      </c>
      <c r="BF216" s="112">
        <v>5</v>
      </c>
      <c r="BG216" s="112">
        <v>5</v>
      </c>
      <c r="BH216" s="112">
        <v>5</v>
      </c>
      <c r="BI216" s="112">
        <v>5</v>
      </c>
      <c r="BJ216" s="112">
        <v>5</v>
      </c>
      <c r="BK216" s="112" t="s">
        <v>272</v>
      </c>
      <c r="BL216" s="112">
        <v>0</v>
      </c>
    </row>
    <row r="217" spans="1:64" ht="20.25">
      <c r="A217" s="135"/>
      <c r="B217" s="132" t="s">
        <v>349</v>
      </c>
      <c r="C217" s="132">
        <f t="shared" ref="C217:C222" si="66">S217</f>
        <v>7.1138439695406497</v>
      </c>
      <c r="D217" s="134">
        <f t="shared" ref="D217:D222" si="67">P217</f>
        <v>5.4017985261606496</v>
      </c>
      <c r="E217" s="134">
        <f t="shared" ref="E217:E222" si="68">J217</f>
        <v>8.8554074428887208</v>
      </c>
      <c r="I217" s="111" t="s">
        <v>432</v>
      </c>
      <c r="J217" s="142">
        <v>8.8554074428887208</v>
      </c>
      <c r="K217" s="142">
        <v>5.2081070744288898</v>
      </c>
      <c r="L217" s="142">
        <v>4.4824196020633797</v>
      </c>
      <c r="M217" s="142">
        <v>7.0843259395725902</v>
      </c>
      <c r="N217" s="142">
        <v>4.1664856300663198</v>
      </c>
      <c r="O217" s="142">
        <v>3.5859356669123099</v>
      </c>
      <c r="P217" s="142">
        <v>5.4017985261606496</v>
      </c>
      <c r="Q217" s="142">
        <v>3.1769453205600602</v>
      </c>
      <c r="R217" s="142">
        <v>2.7342759764185698</v>
      </c>
      <c r="S217" s="124">
        <f t="shared" si="60"/>
        <v>7.1138439695406497</v>
      </c>
      <c r="T217" s="124">
        <f t="shared" si="61"/>
        <v>4.1838460083517601</v>
      </c>
      <c r="U217" s="124">
        <f t="shared" si="62"/>
        <v>3.6008770817980902</v>
      </c>
      <c r="W217" s="147"/>
      <c r="X217" s="149"/>
      <c r="Y217" s="149"/>
      <c r="Z217" s="149"/>
      <c r="AA217" s="119" t="str">
        <f t="shared" si="63"/>
        <v>PyroRecy-NCA</v>
      </c>
      <c r="AB217" s="119" t="s">
        <v>352</v>
      </c>
      <c r="AC217" s="112" t="s">
        <v>430</v>
      </c>
      <c r="AD217" s="155">
        <f t="shared" si="64"/>
        <v>1.2804599999999999</v>
      </c>
      <c r="AE217" s="149"/>
      <c r="AF217" s="149"/>
      <c r="AH217" s="108"/>
      <c r="AI217" s="108">
        <f t="shared" ref="AI217:AN217" si="69">AI216</f>
        <v>0</v>
      </c>
      <c r="AJ217" s="108">
        <f t="shared" si="69"/>
        <v>0.98</v>
      </c>
      <c r="AK217" s="108">
        <f t="shared" si="69"/>
        <v>0.9</v>
      </c>
      <c r="AL217" s="108">
        <f t="shared" si="69"/>
        <v>0</v>
      </c>
      <c r="AM217" s="108">
        <f t="shared" si="69"/>
        <v>0</v>
      </c>
      <c r="AN217" s="108">
        <f t="shared" si="69"/>
        <v>0.9</v>
      </c>
      <c r="AO217" s="108">
        <v>0</v>
      </c>
      <c r="AP217" s="108">
        <f t="shared" si="52"/>
        <v>0.9</v>
      </c>
      <c r="AQ217" s="144"/>
      <c r="AS217" s="112" t="s">
        <v>354</v>
      </c>
      <c r="AT217" s="112">
        <f t="shared" si="53"/>
        <v>0</v>
      </c>
      <c r="AU217" s="112">
        <f t="shared" si="54"/>
        <v>0.27083333333333298</v>
      </c>
      <c r="AV217" s="112">
        <f t="shared" si="55"/>
        <v>0.24943310657596399</v>
      </c>
      <c r="AW217" s="112">
        <f t="shared" si="56"/>
        <v>0</v>
      </c>
      <c r="AX217" s="112">
        <f t="shared" si="57"/>
        <v>0</v>
      </c>
      <c r="AY217" s="112">
        <f t="shared" si="58"/>
        <v>0.479733560090703</v>
      </c>
      <c r="AZ217" s="112">
        <f t="shared" si="59"/>
        <v>0</v>
      </c>
      <c r="BA217" s="112" t="s">
        <v>272</v>
      </c>
      <c r="BB217" s="113"/>
      <c r="BC217" s="112" t="s">
        <v>354</v>
      </c>
      <c r="BD217" s="112">
        <v>5</v>
      </c>
      <c r="BE217" s="112">
        <v>5</v>
      </c>
      <c r="BF217" s="112">
        <v>5</v>
      </c>
      <c r="BG217" s="112">
        <v>5</v>
      </c>
      <c r="BH217" s="112">
        <v>5</v>
      </c>
      <c r="BI217" s="112">
        <v>5</v>
      </c>
      <c r="BJ217" s="112">
        <v>5</v>
      </c>
      <c r="BK217" s="112" t="s">
        <v>272</v>
      </c>
      <c r="BL217" s="112">
        <v>0</v>
      </c>
    </row>
    <row r="218" spans="1:64" ht="15.75">
      <c r="B218" s="132" t="s">
        <v>351</v>
      </c>
      <c r="C218" s="132">
        <f t="shared" si="66"/>
        <v>7.6297544583640402</v>
      </c>
      <c r="D218" s="134">
        <f t="shared" si="67"/>
        <v>5.7935479734708899</v>
      </c>
      <c r="E218" s="134">
        <f t="shared" si="68"/>
        <v>9.4976196757553399</v>
      </c>
      <c r="I218" s="111" t="s">
        <v>223</v>
      </c>
      <c r="J218" s="142">
        <v>9.4976196757553399</v>
      </c>
      <c r="K218" s="142">
        <v>5.2081070744288898</v>
      </c>
      <c r="L218" s="142">
        <v>4.4384597641857004</v>
      </c>
      <c r="M218" s="142">
        <v>7.5980957258658801</v>
      </c>
      <c r="N218" s="142">
        <v>4.1664856300663198</v>
      </c>
      <c r="O218" s="142">
        <v>3.5507677966101698</v>
      </c>
      <c r="P218" s="142">
        <v>5.7935479734708899</v>
      </c>
      <c r="Q218" s="142">
        <v>3.1769453205600602</v>
      </c>
      <c r="R218" s="142">
        <v>2.7074604274134102</v>
      </c>
      <c r="S218" s="124">
        <f t="shared" si="60"/>
        <v>7.6297544583640402</v>
      </c>
      <c r="T218" s="124">
        <f t="shared" si="61"/>
        <v>4.1838460083517601</v>
      </c>
      <c r="U218" s="124">
        <f t="shared" si="62"/>
        <v>3.5655626627364301</v>
      </c>
      <c r="W218" s="147"/>
      <c r="X218" s="149"/>
      <c r="Y218" s="149"/>
      <c r="Z218" s="149"/>
      <c r="AA218" s="119" t="str">
        <f t="shared" si="63"/>
        <v>PyroRecy-NMC111</v>
      </c>
      <c r="AB218" s="119" t="s">
        <v>355</v>
      </c>
      <c r="AC218" s="112" t="s">
        <v>430</v>
      </c>
      <c r="AD218" s="155">
        <f t="shared" si="64"/>
        <v>1.2700800000000001</v>
      </c>
      <c r="AE218" s="149"/>
      <c r="AF218" s="149"/>
      <c r="AH218" s="108"/>
      <c r="AI218" s="108">
        <f t="shared" ref="AI218:AN218" si="70">AI217</f>
        <v>0</v>
      </c>
      <c r="AJ218" s="108">
        <f t="shared" si="70"/>
        <v>0.98</v>
      </c>
      <c r="AK218" s="108">
        <f t="shared" si="70"/>
        <v>0.9</v>
      </c>
      <c r="AL218" s="108">
        <f t="shared" si="70"/>
        <v>0</v>
      </c>
      <c r="AM218" s="108">
        <f t="shared" si="70"/>
        <v>0</v>
      </c>
      <c r="AN218" s="108">
        <f t="shared" si="70"/>
        <v>0.9</v>
      </c>
      <c r="AO218" s="108">
        <v>0</v>
      </c>
      <c r="AP218" s="108">
        <f t="shared" si="52"/>
        <v>0.9</v>
      </c>
      <c r="AQ218" s="144"/>
      <c r="AS218" s="112" t="s">
        <v>357</v>
      </c>
      <c r="AT218" s="112">
        <f t="shared" si="53"/>
        <v>0</v>
      </c>
      <c r="AU218" s="112">
        <f t="shared" si="54"/>
        <v>0.390052807245718</v>
      </c>
      <c r="AV218" s="112">
        <f t="shared" si="55"/>
        <v>0.143848817713149</v>
      </c>
      <c r="AW218" s="112">
        <f t="shared" si="56"/>
        <v>0</v>
      </c>
      <c r="AX218" s="112">
        <f t="shared" si="57"/>
        <v>0</v>
      </c>
      <c r="AY218" s="112">
        <f t="shared" si="58"/>
        <v>0.466098375041133</v>
      </c>
      <c r="AZ218" s="112">
        <f t="shared" si="59"/>
        <v>0</v>
      </c>
      <c r="BA218" s="112" t="s">
        <v>272</v>
      </c>
      <c r="BB218" s="113"/>
      <c r="BC218" s="112" t="s">
        <v>357</v>
      </c>
      <c r="BD218" s="112">
        <v>5</v>
      </c>
      <c r="BE218" s="112">
        <v>5</v>
      </c>
      <c r="BF218" s="112">
        <v>5</v>
      </c>
      <c r="BG218" s="112">
        <v>5</v>
      </c>
      <c r="BH218" s="112">
        <v>5</v>
      </c>
      <c r="BI218" s="112">
        <v>5</v>
      </c>
      <c r="BJ218" s="112">
        <v>5</v>
      </c>
      <c r="BK218" s="112" t="s">
        <v>272</v>
      </c>
      <c r="BL218" s="112">
        <v>0</v>
      </c>
    </row>
    <row r="219" spans="1:64" ht="15.75">
      <c r="B219" s="132" t="s">
        <v>354</v>
      </c>
      <c r="C219" s="132">
        <f t="shared" si="66"/>
        <v>7.4709708179808398</v>
      </c>
      <c r="D219" s="134">
        <f t="shared" si="67"/>
        <v>5.6729778187177597</v>
      </c>
      <c r="E219" s="134">
        <f t="shared" si="68"/>
        <v>9.2999636698599897</v>
      </c>
      <c r="I219" s="111" t="s">
        <v>229</v>
      </c>
      <c r="J219" s="142">
        <v>9.2999636698599897</v>
      </c>
      <c r="K219" s="142">
        <v>5.2081070744288898</v>
      </c>
      <c r="L219" s="142">
        <v>4.4395689019896798</v>
      </c>
      <c r="M219" s="142">
        <v>7.4399709653647799</v>
      </c>
      <c r="N219" s="142">
        <v>4.1664856300663198</v>
      </c>
      <c r="O219" s="142">
        <v>3.5516551215917498</v>
      </c>
      <c r="P219" s="142">
        <v>5.6729778187177597</v>
      </c>
      <c r="Q219" s="142">
        <v>3.1769453205600602</v>
      </c>
      <c r="R219" s="142">
        <v>2.70813706705969</v>
      </c>
      <c r="S219" s="124">
        <f t="shared" si="60"/>
        <v>7.4709708179808398</v>
      </c>
      <c r="T219" s="124">
        <f t="shared" si="61"/>
        <v>4.1838460083517601</v>
      </c>
      <c r="U219" s="124">
        <f t="shared" si="62"/>
        <v>3.56645369688037</v>
      </c>
      <c r="W219" s="147"/>
      <c r="X219" s="149"/>
      <c r="Y219" s="149"/>
      <c r="Z219" s="149"/>
      <c r="AA219" s="119" t="str">
        <f t="shared" si="63"/>
        <v>PyroRecy-NMC532</v>
      </c>
      <c r="AB219" s="119" t="s">
        <v>358</v>
      </c>
      <c r="AC219" s="112" t="s">
        <v>430</v>
      </c>
      <c r="AD219" s="155">
        <f t="shared" si="64"/>
        <v>1.27634</v>
      </c>
      <c r="AE219" s="149"/>
      <c r="AF219" s="149"/>
      <c r="AH219" s="108"/>
      <c r="AI219" s="108">
        <f t="shared" ref="AI219:AN219" si="71">AI218</f>
        <v>0</v>
      </c>
      <c r="AJ219" s="108">
        <f t="shared" si="71"/>
        <v>0.98</v>
      </c>
      <c r="AK219" s="108">
        <f t="shared" si="71"/>
        <v>0.9</v>
      </c>
      <c r="AL219" s="108">
        <f t="shared" si="71"/>
        <v>0</v>
      </c>
      <c r="AM219" s="108">
        <f t="shared" si="71"/>
        <v>0</v>
      </c>
      <c r="AN219" s="108">
        <f t="shared" si="71"/>
        <v>0.9</v>
      </c>
      <c r="AO219" s="108">
        <v>0</v>
      </c>
      <c r="AP219" s="108">
        <f t="shared" si="52"/>
        <v>0.9</v>
      </c>
      <c r="AQ219" s="144"/>
      <c r="AS219" s="112" t="s">
        <v>360</v>
      </c>
      <c r="AT219" s="112">
        <f t="shared" si="53"/>
        <v>0</v>
      </c>
      <c r="AU219" s="112">
        <f t="shared" si="54"/>
        <v>0.42477225977078997</v>
      </c>
      <c r="AV219" s="112">
        <f t="shared" si="55"/>
        <v>0.13076697032030599</v>
      </c>
      <c r="AW219" s="112">
        <f t="shared" si="56"/>
        <v>0</v>
      </c>
      <c r="AX219" s="112">
        <f t="shared" si="57"/>
        <v>0</v>
      </c>
      <c r="AY219" s="112">
        <f t="shared" si="58"/>
        <v>0.44446076990890399</v>
      </c>
      <c r="AZ219" s="112">
        <f t="shared" si="59"/>
        <v>0</v>
      </c>
      <c r="BA219" s="112" t="s">
        <v>272</v>
      </c>
      <c r="BB219" s="113"/>
      <c r="BC219" s="112" t="s">
        <v>360</v>
      </c>
      <c r="BD219" s="112">
        <v>5</v>
      </c>
      <c r="BE219" s="112">
        <v>5</v>
      </c>
      <c r="BF219" s="112">
        <v>5</v>
      </c>
      <c r="BG219" s="112">
        <v>5</v>
      </c>
      <c r="BH219" s="112">
        <v>5</v>
      </c>
      <c r="BI219" s="112">
        <v>5</v>
      </c>
      <c r="BJ219" s="112">
        <v>5</v>
      </c>
      <c r="BK219" s="112" t="s">
        <v>272</v>
      </c>
      <c r="BL219" s="112">
        <v>0</v>
      </c>
    </row>
    <row r="220" spans="1:64" ht="15.75">
      <c r="B220" s="132" t="s">
        <v>357</v>
      </c>
      <c r="C220" s="132">
        <f t="shared" si="66"/>
        <v>7.5164352001965096</v>
      </c>
      <c r="D220" s="134">
        <f t="shared" si="67"/>
        <v>5.7075005895357398</v>
      </c>
      <c r="E220" s="134">
        <f t="shared" si="68"/>
        <v>9.3565583640383192</v>
      </c>
      <c r="I220" s="111" t="s">
        <v>236</v>
      </c>
      <c r="J220" s="142">
        <v>9.3565583640383192</v>
      </c>
      <c r="K220" s="142">
        <v>5.2081070744288898</v>
      </c>
      <c r="L220" s="142">
        <v>4.4388294030950597</v>
      </c>
      <c r="M220" s="142">
        <v>7.4852466470154804</v>
      </c>
      <c r="N220" s="142">
        <v>4.1664856300663198</v>
      </c>
      <c r="O220" s="142">
        <v>3.5510635224760501</v>
      </c>
      <c r="P220" s="142">
        <v>5.7075005895357398</v>
      </c>
      <c r="Q220" s="142">
        <v>3.1769453205600602</v>
      </c>
      <c r="R220" s="142">
        <v>2.7076859248341898</v>
      </c>
      <c r="S220" s="124">
        <f t="shared" si="60"/>
        <v>7.5164352001965096</v>
      </c>
      <c r="T220" s="124">
        <f t="shared" si="61"/>
        <v>4.1838460083517601</v>
      </c>
      <c r="U220" s="124">
        <f t="shared" si="62"/>
        <v>3.5658596168017702</v>
      </c>
      <c r="W220" s="147"/>
      <c r="X220" s="149"/>
      <c r="Y220" s="149"/>
      <c r="Z220" s="149"/>
      <c r="AA220" s="119" t="str">
        <f t="shared" si="63"/>
        <v>PyroRecy-NMC622</v>
      </c>
      <c r="AB220" s="119" t="s">
        <v>361</v>
      </c>
      <c r="AC220" s="112" t="s">
        <v>430</v>
      </c>
      <c r="AD220" s="155">
        <f t="shared" si="64"/>
        <v>1.2250799999999999</v>
      </c>
      <c r="AE220" s="149"/>
      <c r="AF220" s="149"/>
      <c r="AH220" s="108"/>
      <c r="AI220" s="108">
        <f t="shared" ref="AI220:AN220" si="72">AI219</f>
        <v>0</v>
      </c>
      <c r="AJ220" s="108">
        <f t="shared" si="72"/>
        <v>0.98</v>
      </c>
      <c r="AK220" s="108">
        <f t="shared" si="72"/>
        <v>0.9</v>
      </c>
      <c r="AL220" s="108">
        <f t="shared" si="72"/>
        <v>0</v>
      </c>
      <c r="AM220" s="108">
        <f t="shared" si="72"/>
        <v>0</v>
      </c>
      <c r="AN220" s="108">
        <f t="shared" si="72"/>
        <v>0.9</v>
      </c>
      <c r="AO220" s="108">
        <v>0</v>
      </c>
      <c r="AP220" s="108">
        <f t="shared" si="52"/>
        <v>0.9</v>
      </c>
      <c r="AQ220" s="144"/>
      <c r="AS220" s="112" t="s">
        <v>363</v>
      </c>
      <c r="AT220" s="112">
        <f t="shared" si="53"/>
        <v>0</v>
      </c>
      <c r="AU220" s="112">
        <f t="shared" si="54"/>
        <v>0.51148225469728603</v>
      </c>
      <c r="AV220" s="112">
        <f t="shared" si="55"/>
        <v>5.8716075156576203E-2</v>
      </c>
      <c r="AW220" s="112">
        <f t="shared" si="56"/>
        <v>0</v>
      </c>
      <c r="AX220" s="112">
        <f t="shared" si="57"/>
        <v>0</v>
      </c>
      <c r="AY220" s="112">
        <f t="shared" si="58"/>
        <v>0.42980167014613802</v>
      </c>
      <c r="AZ220" s="112">
        <f t="shared" si="59"/>
        <v>0</v>
      </c>
      <c r="BA220" s="112" t="s">
        <v>272</v>
      </c>
      <c r="BB220" s="113"/>
      <c r="BC220" s="112" t="s">
        <v>363</v>
      </c>
      <c r="BD220" s="112">
        <v>5</v>
      </c>
      <c r="BE220" s="112">
        <v>5</v>
      </c>
      <c r="BF220" s="112">
        <v>5</v>
      </c>
      <c r="BG220" s="112">
        <v>5</v>
      </c>
      <c r="BH220" s="112">
        <v>5</v>
      </c>
      <c r="BI220" s="112">
        <v>5</v>
      </c>
      <c r="BJ220" s="112">
        <v>5</v>
      </c>
      <c r="BK220" s="112" t="s">
        <v>272</v>
      </c>
      <c r="BL220" s="112">
        <v>0</v>
      </c>
    </row>
    <row r="221" spans="1:64" ht="15.75">
      <c r="B221" s="132" t="s">
        <v>360</v>
      </c>
      <c r="C221" s="132">
        <f t="shared" si="66"/>
        <v>7.55036263817244</v>
      </c>
      <c r="D221" s="134">
        <f t="shared" si="67"/>
        <v>5.7332629329403098</v>
      </c>
      <c r="E221" s="134">
        <f t="shared" si="68"/>
        <v>9.3987916728076595</v>
      </c>
      <c r="I221" s="111" t="s">
        <v>241</v>
      </c>
      <c r="J221" s="142">
        <v>9.3987916728076595</v>
      </c>
      <c r="K221" s="142">
        <v>5.2081070744288898</v>
      </c>
      <c r="L221" s="142">
        <v>4.4384597641857004</v>
      </c>
      <c r="M221" s="142">
        <v>7.5190333087693402</v>
      </c>
      <c r="N221" s="142">
        <v>4.1664856300663198</v>
      </c>
      <c r="O221" s="142">
        <v>3.5507677966101698</v>
      </c>
      <c r="P221" s="142">
        <v>5.7332629329403098</v>
      </c>
      <c r="Q221" s="142">
        <v>3.1769453205600602</v>
      </c>
      <c r="R221" s="142">
        <v>2.7074604274134102</v>
      </c>
      <c r="S221" s="124">
        <f t="shared" si="60"/>
        <v>7.55036263817244</v>
      </c>
      <c r="T221" s="124">
        <f t="shared" si="61"/>
        <v>4.1838460083517601</v>
      </c>
      <c r="U221" s="124">
        <f t="shared" si="62"/>
        <v>3.5655626627364301</v>
      </c>
      <c r="W221" s="147"/>
      <c r="X221" s="149"/>
      <c r="Y221" s="149"/>
      <c r="Z221" s="149"/>
      <c r="AA221" s="119" t="str">
        <f t="shared" si="63"/>
        <v>PyroRecy-NMC811</v>
      </c>
      <c r="AB221" s="119" t="s">
        <v>364</v>
      </c>
      <c r="AC221" s="112" t="s">
        <v>430</v>
      </c>
      <c r="AD221" s="155">
        <f t="shared" si="64"/>
        <v>1.1496</v>
      </c>
      <c r="AE221" s="149"/>
      <c r="AF221" s="149"/>
      <c r="AH221" s="84"/>
      <c r="AI221" s="114"/>
      <c r="AQ221" s="144"/>
      <c r="AS221" s="112" t="s">
        <v>366</v>
      </c>
      <c r="AT221" s="112">
        <f t="shared" si="53"/>
        <v>1.6802263883975901E-2</v>
      </c>
      <c r="AU221" s="112">
        <f t="shared" si="54"/>
        <v>0</v>
      </c>
      <c r="AV221" s="112">
        <f t="shared" si="55"/>
        <v>0</v>
      </c>
      <c r="AW221" s="112">
        <f t="shared" si="56"/>
        <v>0</v>
      </c>
      <c r="AX221" s="112">
        <f t="shared" si="57"/>
        <v>0.62398302087017998</v>
      </c>
      <c r="AY221" s="112">
        <f t="shared" si="58"/>
        <v>0.167315175097276</v>
      </c>
      <c r="AZ221" s="112">
        <f t="shared" si="59"/>
        <v>0.191899540148567</v>
      </c>
      <c r="BA221" s="112" t="s">
        <v>272</v>
      </c>
      <c r="BB221" s="113"/>
      <c r="BC221" s="112" t="s">
        <v>366</v>
      </c>
      <c r="BD221" s="112">
        <v>5</v>
      </c>
      <c r="BE221" s="112">
        <v>5</v>
      </c>
      <c r="BF221" s="112">
        <v>5</v>
      </c>
      <c r="BG221" s="112">
        <v>5</v>
      </c>
      <c r="BH221" s="112">
        <v>5</v>
      </c>
      <c r="BI221" s="112">
        <v>5</v>
      </c>
      <c r="BJ221" s="112">
        <v>5</v>
      </c>
      <c r="BK221" s="112" t="s">
        <v>272</v>
      </c>
      <c r="BL221" s="112">
        <v>0</v>
      </c>
    </row>
    <row r="222" spans="1:64" ht="15.75">
      <c r="B222" s="132" t="s">
        <v>363</v>
      </c>
      <c r="C222" s="132">
        <f t="shared" si="66"/>
        <v>7.6297544583640402</v>
      </c>
      <c r="D222" s="134">
        <f t="shared" si="67"/>
        <v>5.7935479734708899</v>
      </c>
      <c r="E222" s="134">
        <f t="shared" si="68"/>
        <v>9.4976196757553399</v>
      </c>
      <c r="I222" s="111" t="s">
        <v>246</v>
      </c>
      <c r="J222" s="142">
        <v>9.4976196757553399</v>
      </c>
      <c r="K222" s="142">
        <v>5.2081070744288898</v>
      </c>
      <c r="L222" s="142">
        <v>4.4377206337509199</v>
      </c>
      <c r="M222" s="142">
        <v>7.5980957258658801</v>
      </c>
      <c r="N222" s="142">
        <v>4.1664856300663198</v>
      </c>
      <c r="O222" s="142">
        <v>3.5501764922623398</v>
      </c>
      <c r="P222" s="142">
        <v>5.7935479734708899</v>
      </c>
      <c r="Q222" s="142">
        <v>3.1769453205600602</v>
      </c>
      <c r="R222" s="142">
        <v>2.7070095799557801</v>
      </c>
      <c r="S222" s="124">
        <f t="shared" si="60"/>
        <v>7.6297544583640402</v>
      </c>
      <c r="T222" s="124">
        <f t="shared" si="61"/>
        <v>4.1838460083517601</v>
      </c>
      <c r="U222" s="124">
        <f t="shared" si="62"/>
        <v>3.5649689019896802</v>
      </c>
      <c r="W222" s="147"/>
      <c r="X222" s="149"/>
      <c r="Y222" s="149"/>
      <c r="Z222" s="149"/>
      <c r="AA222" s="119" t="str">
        <f t="shared" si="63"/>
        <v>HydRecy-LFP</v>
      </c>
      <c r="AB222" s="119" t="s">
        <v>348</v>
      </c>
      <c r="AC222" s="112" t="s">
        <v>430</v>
      </c>
      <c r="AD222" s="155">
        <f t="shared" si="64"/>
        <v>5.0885999999999996</v>
      </c>
      <c r="AE222" s="149"/>
      <c r="AF222" s="149"/>
      <c r="AH222" s="144"/>
      <c r="AI222" s="144"/>
      <c r="AJ222" s="144"/>
      <c r="AK222" s="144"/>
      <c r="AL222" s="144"/>
      <c r="AM222" s="144"/>
      <c r="AN222" s="144"/>
      <c r="AO222" s="144"/>
      <c r="AP222" s="144"/>
      <c r="AQ222" s="144"/>
      <c r="AS222" s="112" t="s">
        <v>369</v>
      </c>
      <c r="AT222" s="112">
        <f t="shared" si="53"/>
        <v>1.5659419124188698E-2</v>
      </c>
      <c r="AU222" s="112">
        <f t="shared" si="54"/>
        <v>0</v>
      </c>
      <c r="AV222" s="112">
        <f t="shared" si="55"/>
        <v>0</v>
      </c>
      <c r="AW222" s="112">
        <f t="shared" si="56"/>
        <v>0.224563292614466</v>
      </c>
      <c r="AX222" s="112">
        <f t="shared" si="57"/>
        <v>0.497703613484828</v>
      </c>
      <c r="AY222" s="112">
        <f t="shared" si="58"/>
        <v>0.127491308529952</v>
      </c>
      <c r="AZ222" s="112">
        <f t="shared" si="59"/>
        <v>0.134582366246565</v>
      </c>
      <c r="BA222" s="112" t="s">
        <v>272</v>
      </c>
      <c r="BB222" s="113"/>
      <c r="BC222" s="112" t="s">
        <v>369</v>
      </c>
      <c r="BD222" s="112">
        <v>5</v>
      </c>
      <c r="BE222" s="112">
        <v>5</v>
      </c>
      <c r="BF222" s="112">
        <v>5</v>
      </c>
      <c r="BG222" s="112">
        <v>5</v>
      </c>
      <c r="BH222" s="112">
        <v>5</v>
      </c>
      <c r="BI222" s="112">
        <v>5</v>
      </c>
      <c r="BJ222" s="112">
        <v>5</v>
      </c>
      <c r="BK222" s="112" t="s">
        <v>272</v>
      </c>
      <c r="BL222" s="112">
        <v>0</v>
      </c>
    </row>
    <row r="223" spans="1:64" ht="21">
      <c r="B223" s="132" t="s">
        <v>366</v>
      </c>
      <c r="C223" s="132">
        <f>T216</f>
        <v>4.1838460083517601</v>
      </c>
      <c r="D223" s="134">
        <f>Q216</f>
        <v>3.1769453205600602</v>
      </c>
      <c r="E223" s="134">
        <f>K216</f>
        <v>5.2081070744288898</v>
      </c>
      <c r="I223" s="94"/>
      <c r="J223" s="94"/>
      <c r="K223" s="94"/>
      <c r="L223" s="94"/>
      <c r="M223" s="94"/>
      <c r="N223" s="94"/>
      <c r="O223" s="94"/>
      <c r="P223" s="94"/>
      <c r="Q223" s="94"/>
      <c r="R223" s="94"/>
      <c r="S223" s="94"/>
      <c r="T223" s="94"/>
      <c r="U223" s="94"/>
      <c r="AA223" s="119" t="str">
        <f t="shared" si="63"/>
        <v>HydRecy-LMO</v>
      </c>
      <c r="AB223" s="119" t="s">
        <v>350</v>
      </c>
      <c r="AC223" s="112" t="s">
        <v>430</v>
      </c>
      <c r="AD223" s="155">
        <f t="shared" si="64"/>
        <v>6.0921799999999999</v>
      </c>
      <c r="AE223" s="149"/>
      <c r="AH223" s="265" t="s">
        <v>433</v>
      </c>
      <c r="AI223" s="265"/>
      <c r="AJ223" s="265"/>
      <c r="AK223" s="265"/>
      <c r="AL223" s="265"/>
      <c r="AM223" s="265"/>
      <c r="AN223" s="265"/>
      <c r="AO223" s="144"/>
      <c r="AP223" s="144"/>
      <c r="AQ223" s="144"/>
      <c r="AS223" s="112" t="s">
        <v>371</v>
      </c>
      <c r="AT223" s="112">
        <f t="shared" si="53"/>
        <v>1.87706262191706E-2</v>
      </c>
      <c r="AU223" s="112">
        <f t="shared" si="54"/>
        <v>0.134657773452037</v>
      </c>
      <c r="AV223" s="112">
        <f t="shared" si="55"/>
        <v>2.5448716113703401E-2</v>
      </c>
      <c r="AW223" s="112">
        <f t="shared" si="56"/>
        <v>0</v>
      </c>
      <c r="AX223" s="112">
        <f t="shared" si="57"/>
        <v>0.53735518196056897</v>
      </c>
      <c r="AY223" s="112">
        <f t="shared" si="58"/>
        <v>0.103790521447178</v>
      </c>
      <c r="AZ223" s="112">
        <f t="shared" si="59"/>
        <v>0.17997718080734099</v>
      </c>
      <c r="BA223" s="112" t="s">
        <v>272</v>
      </c>
      <c r="BB223" s="113"/>
      <c r="BC223" s="112" t="s">
        <v>371</v>
      </c>
      <c r="BD223" s="112">
        <v>5</v>
      </c>
      <c r="BE223" s="112">
        <v>5</v>
      </c>
      <c r="BF223" s="112">
        <v>5</v>
      </c>
      <c r="BG223" s="112">
        <v>5</v>
      </c>
      <c r="BH223" s="112">
        <v>5</v>
      </c>
      <c r="BI223" s="112">
        <v>5</v>
      </c>
      <c r="BJ223" s="112">
        <v>5</v>
      </c>
      <c r="BK223" s="112" t="s">
        <v>272</v>
      </c>
      <c r="BL223" s="112">
        <v>0</v>
      </c>
    </row>
    <row r="224" spans="1:64" ht="13.15">
      <c r="B224" s="132" t="s">
        <v>369</v>
      </c>
      <c r="C224" s="132">
        <f t="shared" ref="C224:C229" si="73">T217</f>
        <v>4.1838460083517601</v>
      </c>
      <c r="D224" s="134">
        <f t="shared" ref="D224:D229" si="74">Q217</f>
        <v>3.1769453205600602</v>
      </c>
      <c r="E224" s="134">
        <f t="shared" ref="E224:E229" si="75">K217</f>
        <v>5.2081070744288898</v>
      </c>
      <c r="I224" s="94"/>
      <c r="J224" s="94"/>
      <c r="K224" s="94"/>
      <c r="L224" s="94"/>
      <c r="M224" s="94"/>
      <c r="N224" s="94"/>
      <c r="O224" s="94"/>
      <c r="P224" s="94"/>
      <c r="Q224" s="94"/>
      <c r="R224" s="94"/>
      <c r="S224" s="94"/>
      <c r="T224" s="94"/>
      <c r="U224" s="94"/>
      <c r="AA224" s="119" t="str">
        <f t="shared" si="63"/>
        <v>HydRecy-NCA</v>
      </c>
      <c r="AB224" s="119" t="s">
        <v>352</v>
      </c>
      <c r="AC224" s="112" t="s">
        <v>430</v>
      </c>
      <c r="AD224" s="155">
        <f t="shared" si="64"/>
        <v>4.8906200000000002</v>
      </c>
      <c r="AE224" s="149"/>
      <c r="AH224" s="144"/>
      <c r="AI224" s="159" t="s">
        <v>245</v>
      </c>
      <c r="AJ224" s="159" t="s">
        <v>252</v>
      </c>
      <c r="AK224" s="159" t="s">
        <v>253</v>
      </c>
      <c r="AL224" s="159" t="s">
        <v>254</v>
      </c>
      <c r="AM224" s="159" t="s">
        <v>255</v>
      </c>
      <c r="AN224" s="159" t="s">
        <v>256</v>
      </c>
      <c r="AO224" s="159" t="s">
        <v>257</v>
      </c>
      <c r="AP224" s="144"/>
      <c r="AQ224" s="144"/>
      <c r="AS224" s="112" t="s">
        <v>373</v>
      </c>
      <c r="AT224" s="112">
        <f t="shared" si="53"/>
        <v>2.3388342321288402E-2</v>
      </c>
      <c r="AU224" s="112">
        <f t="shared" si="54"/>
        <v>6.3397336419832695E-2</v>
      </c>
      <c r="AV224" s="112">
        <f t="shared" si="55"/>
        <v>6.3577955611911999E-2</v>
      </c>
      <c r="AW224" s="112">
        <f t="shared" si="56"/>
        <v>5.9243095002008903E-2</v>
      </c>
      <c r="AX224" s="112">
        <f t="shared" si="57"/>
        <v>0.51587052921423304</v>
      </c>
      <c r="AY224" s="112">
        <f t="shared" si="58"/>
        <v>0.112297218095831</v>
      </c>
      <c r="AZ224" s="112">
        <f t="shared" si="59"/>
        <v>0.16222552333489401</v>
      </c>
      <c r="BA224" s="112" t="s">
        <v>272</v>
      </c>
      <c r="BB224" s="113"/>
      <c r="BC224" s="112" t="s">
        <v>373</v>
      </c>
      <c r="BD224" s="112">
        <v>5</v>
      </c>
      <c r="BE224" s="112">
        <v>5</v>
      </c>
      <c r="BF224" s="112">
        <v>5</v>
      </c>
      <c r="BG224" s="112">
        <v>5</v>
      </c>
      <c r="BH224" s="112">
        <v>5</v>
      </c>
      <c r="BI224" s="112">
        <v>5</v>
      </c>
      <c r="BJ224" s="112">
        <v>5</v>
      </c>
      <c r="BK224" s="112" t="s">
        <v>272</v>
      </c>
      <c r="BL224" s="112">
        <v>0</v>
      </c>
    </row>
    <row r="225" spans="1:64" ht="13.15">
      <c r="B225" s="132" t="s">
        <v>371</v>
      </c>
      <c r="C225" s="132">
        <f t="shared" si="73"/>
        <v>4.1838460083517601</v>
      </c>
      <c r="D225" s="134">
        <f t="shared" si="74"/>
        <v>3.1769453205600602</v>
      </c>
      <c r="E225" s="134">
        <f t="shared" si="75"/>
        <v>5.2081070744288898</v>
      </c>
      <c r="I225" s="94"/>
      <c r="J225" s="94"/>
      <c r="K225" s="94"/>
      <c r="L225" s="94"/>
      <c r="M225" s="94"/>
      <c r="N225" s="94"/>
      <c r="O225" s="94"/>
      <c r="P225" s="94"/>
      <c r="Q225" s="94"/>
      <c r="R225" s="94"/>
      <c r="S225" s="94"/>
      <c r="T225" s="94"/>
      <c r="U225" s="94"/>
      <c r="AA225" s="119" t="str">
        <f t="shared" si="63"/>
        <v>HydRecy-NMC111</v>
      </c>
      <c r="AB225" s="119" t="s">
        <v>355</v>
      </c>
      <c r="AC225" s="112" t="s">
        <v>430</v>
      </c>
      <c r="AD225" s="155">
        <f t="shared" si="64"/>
        <v>5.4257799999999996</v>
      </c>
      <c r="AE225" s="149"/>
      <c r="AH225" s="144"/>
      <c r="AI225" s="159">
        <v>0.9</v>
      </c>
      <c r="AJ225" s="159">
        <v>0.98</v>
      </c>
      <c r="AK225" s="159">
        <v>0.98</v>
      </c>
      <c r="AL225" s="159">
        <v>0.98</v>
      </c>
      <c r="AM225" s="159">
        <v>0.9</v>
      </c>
      <c r="AN225" s="159">
        <v>0.9</v>
      </c>
      <c r="AO225" s="159">
        <v>0.9</v>
      </c>
      <c r="AP225" s="144"/>
      <c r="AQ225" s="144"/>
      <c r="AS225" s="112" t="s">
        <v>374</v>
      </c>
      <c r="AT225" s="112">
        <f t="shared" si="53"/>
        <v>2.2920232348237701E-2</v>
      </c>
      <c r="AU225" s="112">
        <f t="shared" si="54"/>
        <v>9.32239254268519E-2</v>
      </c>
      <c r="AV225" s="112">
        <f t="shared" si="55"/>
        <v>3.74363795021216E-2</v>
      </c>
      <c r="AW225" s="112">
        <f t="shared" si="56"/>
        <v>5.2300824304434598E-2</v>
      </c>
      <c r="AX225" s="112">
        <f t="shared" si="57"/>
        <v>0.51739053903742505</v>
      </c>
      <c r="AY225" s="112">
        <f t="shared" si="58"/>
        <v>0.111399070457244</v>
      </c>
      <c r="AZ225" s="112">
        <f t="shared" si="59"/>
        <v>0.16532902892368501</v>
      </c>
      <c r="BA225" s="112" t="s">
        <v>272</v>
      </c>
      <c r="BB225" s="113"/>
      <c r="BC225" s="112" t="s">
        <v>374</v>
      </c>
      <c r="BD225" s="112">
        <v>5</v>
      </c>
      <c r="BE225" s="112">
        <v>5</v>
      </c>
      <c r="BF225" s="112">
        <v>5</v>
      </c>
      <c r="BG225" s="112">
        <v>5</v>
      </c>
      <c r="BH225" s="112">
        <v>5</v>
      </c>
      <c r="BI225" s="112">
        <v>5</v>
      </c>
      <c r="BJ225" s="112">
        <v>5</v>
      </c>
      <c r="BK225" s="112" t="s">
        <v>272</v>
      </c>
      <c r="BL225" s="112">
        <v>0</v>
      </c>
    </row>
    <row r="226" spans="1:64" ht="13.15">
      <c r="B226" s="132" t="s">
        <v>373</v>
      </c>
      <c r="C226" s="132">
        <f t="shared" si="73"/>
        <v>4.1838460083517601</v>
      </c>
      <c r="D226" s="134">
        <f t="shared" si="74"/>
        <v>3.1769453205600602</v>
      </c>
      <c r="E226" s="134">
        <f t="shared" si="75"/>
        <v>5.2081070744288898</v>
      </c>
      <c r="I226" s="94"/>
      <c r="J226" s="94"/>
      <c r="K226" s="94"/>
      <c r="L226" s="94"/>
      <c r="M226" s="94"/>
      <c r="N226" s="94"/>
      <c r="O226" s="94"/>
      <c r="P226" s="94"/>
      <c r="Q226" s="94"/>
      <c r="R226" s="94"/>
      <c r="S226" s="94"/>
      <c r="T226" s="94"/>
      <c r="U226" s="94"/>
      <c r="AA226" s="119" t="str">
        <f t="shared" si="63"/>
        <v>HydRecy-NMC532</v>
      </c>
      <c r="AB226" s="119" t="s">
        <v>358</v>
      </c>
      <c r="AC226" s="112" t="s">
        <v>430</v>
      </c>
      <c r="AD226" s="155">
        <f t="shared" si="64"/>
        <v>5.3402599999999998</v>
      </c>
      <c r="AE226" s="149"/>
      <c r="AH226" s="144"/>
      <c r="AI226" s="159">
        <f t="shared" ref="AI226:AO226" si="76">AI225</f>
        <v>0.9</v>
      </c>
      <c r="AJ226" s="159">
        <f t="shared" si="76"/>
        <v>0.98</v>
      </c>
      <c r="AK226" s="159">
        <f t="shared" si="76"/>
        <v>0.98</v>
      </c>
      <c r="AL226" s="159">
        <f t="shared" si="76"/>
        <v>0.98</v>
      </c>
      <c r="AM226" s="159">
        <f t="shared" si="76"/>
        <v>0.9</v>
      </c>
      <c r="AN226" s="159">
        <f t="shared" si="76"/>
        <v>0.9</v>
      </c>
      <c r="AO226" s="159">
        <f t="shared" si="76"/>
        <v>0.9</v>
      </c>
      <c r="AP226" s="144"/>
      <c r="AQ226" s="144"/>
      <c r="AS226" s="112" t="s">
        <v>375</v>
      </c>
      <c r="AT226" s="112">
        <f t="shared" si="53"/>
        <v>2.0874692874692902E-2</v>
      </c>
      <c r="AU226" s="112">
        <f t="shared" si="54"/>
        <v>0.10228599508599499</v>
      </c>
      <c r="AV226" s="112">
        <f t="shared" si="55"/>
        <v>3.4287960687960702E-2</v>
      </c>
      <c r="AW226" s="112">
        <f t="shared" si="56"/>
        <v>3.1976412776412798E-2</v>
      </c>
      <c r="AX226" s="112">
        <f t="shared" si="57"/>
        <v>0.53371990171990202</v>
      </c>
      <c r="AY226" s="112">
        <f t="shared" si="58"/>
        <v>0.107027027027027</v>
      </c>
      <c r="AZ226" s="112">
        <f t="shared" si="59"/>
        <v>0.16982800982801</v>
      </c>
      <c r="BA226" s="112" t="s">
        <v>272</v>
      </c>
      <c r="BB226" s="113"/>
      <c r="BC226" s="112" t="s">
        <v>375</v>
      </c>
      <c r="BD226" s="112">
        <v>5</v>
      </c>
      <c r="BE226" s="112">
        <v>5</v>
      </c>
      <c r="BF226" s="112">
        <v>5</v>
      </c>
      <c r="BG226" s="112">
        <v>5</v>
      </c>
      <c r="BH226" s="112">
        <v>5</v>
      </c>
      <c r="BI226" s="112">
        <v>5</v>
      </c>
      <c r="BJ226" s="112">
        <v>5</v>
      </c>
      <c r="BK226" s="112" t="s">
        <v>272</v>
      </c>
      <c r="BL226" s="112">
        <v>0</v>
      </c>
    </row>
    <row r="227" spans="1:64" ht="13.15">
      <c r="B227" s="132" t="s">
        <v>374</v>
      </c>
      <c r="C227" s="132">
        <f t="shared" si="73"/>
        <v>4.1838460083517601</v>
      </c>
      <c r="D227" s="134">
        <f t="shared" si="74"/>
        <v>3.1769453205600602</v>
      </c>
      <c r="E227" s="134">
        <f t="shared" si="75"/>
        <v>5.2081070744288898</v>
      </c>
      <c r="I227" s="94"/>
      <c r="J227" s="94"/>
      <c r="K227" s="94"/>
      <c r="L227" s="94"/>
      <c r="M227" s="94"/>
      <c r="N227" s="94"/>
      <c r="O227" s="94"/>
      <c r="P227" s="94"/>
      <c r="Q227" s="94"/>
      <c r="R227" s="94"/>
      <c r="S227" s="94"/>
      <c r="T227" s="94"/>
      <c r="U227" s="94"/>
      <c r="AA227" s="119" t="str">
        <f t="shared" si="63"/>
        <v>HydRecy-NMC622</v>
      </c>
      <c r="AB227" s="119" t="s">
        <v>361</v>
      </c>
      <c r="AC227" s="112" t="s">
        <v>430</v>
      </c>
      <c r="AD227" s="155">
        <f t="shared" si="64"/>
        <v>5.0875000000000004</v>
      </c>
      <c r="AE227" s="149"/>
      <c r="AH227" s="144"/>
      <c r="AI227" s="159">
        <f t="shared" ref="AI227:AO227" si="77">AI226</f>
        <v>0.9</v>
      </c>
      <c r="AJ227" s="159">
        <f t="shared" si="77"/>
        <v>0.98</v>
      </c>
      <c r="AK227" s="159">
        <f t="shared" si="77"/>
        <v>0.98</v>
      </c>
      <c r="AL227" s="159">
        <f t="shared" si="77"/>
        <v>0.98</v>
      </c>
      <c r="AM227" s="159">
        <f t="shared" si="77"/>
        <v>0.9</v>
      </c>
      <c r="AN227" s="159">
        <f t="shared" si="77"/>
        <v>0.9</v>
      </c>
      <c r="AO227" s="159">
        <f t="shared" si="77"/>
        <v>0.9</v>
      </c>
      <c r="AP227" s="144"/>
      <c r="AQ227" s="144"/>
      <c r="AS227" s="112" t="s">
        <v>376</v>
      </c>
      <c r="AT227" s="112">
        <f t="shared" si="53"/>
        <v>1.87188019966722E-2</v>
      </c>
      <c r="AU227" s="112">
        <f t="shared" si="54"/>
        <v>0.122296173044925</v>
      </c>
      <c r="AV227" s="112">
        <f t="shared" si="55"/>
        <v>1.5287021630615599E-2</v>
      </c>
      <c r="AW227" s="112">
        <f t="shared" si="56"/>
        <v>1.42678868552413E-2</v>
      </c>
      <c r="AX227" s="112">
        <f t="shared" si="57"/>
        <v>0.546776206322795</v>
      </c>
      <c r="AY227" s="112">
        <f t="shared" si="58"/>
        <v>0.10276622296173001</v>
      </c>
      <c r="AZ227" s="112">
        <f t="shared" si="59"/>
        <v>0.17988768718802001</v>
      </c>
      <c r="BA227" s="112" t="s">
        <v>272</v>
      </c>
      <c r="BB227" s="113"/>
      <c r="BC227" s="112" t="s">
        <v>376</v>
      </c>
      <c r="BD227" s="112">
        <v>5</v>
      </c>
      <c r="BE227" s="112">
        <v>5</v>
      </c>
      <c r="BF227" s="112">
        <v>5</v>
      </c>
      <c r="BG227" s="112">
        <v>5</v>
      </c>
      <c r="BH227" s="112">
        <v>5</v>
      </c>
      <c r="BI227" s="112">
        <v>5</v>
      </c>
      <c r="BJ227" s="112">
        <v>5</v>
      </c>
      <c r="BK227" s="112" t="s">
        <v>272</v>
      </c>
      <c r="BL227" s="112">
        <v>0</v>
      </c>
    </row>
    <row r="228" spans="1:64" ht="13.15">
      <c r="B228" s="132" t="s">
        <v>375</v>
      </c>
      <c r="C228" s="132">
        <f t="shared" si="73"/>
        <v>4.1838460083517601</v>
      </c>
      <c r="D228" s="134">
        <f t="shared" si="74"/>
        <v>3.1769453205600602</v>
      </c>
      <c r="E228" s="134">
        <f t="shared" si="75"/>
        <v>5.2081070744288898</v>
      </c>
      <c r="I228" s="94"/>
      <c r="J228" s="94"/>
      <c r="K228" s="94"/>
      <c r="L228" s="94"/>
      <c r="M228" s="94"/>
      <c r="N228" s="94"/>
      <c r="O228" s="94"/>
      <c r="P228" s="94"/>
      <c r="Q228" s="94"/>
      <c r="R228" s="94"/>
      <c r="S228" s="94"/>
      <c r="T228" s="94"/>
      <c r="U228" s="94"/>
      <c r="AA228" s="119" t="str">
        <f t="shared" si="63"/>
        <v>HydRecy-NMC811</v>
      </c>
      <c r="AB228" s="119" t="s">
        <v>364</v>
      </c>
      <c r="AC228" s="112" t="s">
        <v>430</v>
      </c>
      <c r="AD228" s="155">
        <f t="shared" si="64"/>
        <v>4.8079999999999998</v>
      </c>
      <c r="AE228" s="149"/>
      <c r="AH228" s="144"/>
      <c r="AI228" s="159">
        <f t="shared" ref="AI228:AO228" si="78">AI227</f>
        <v>0.9</v>
      </c>
      <c r="AJ228" s="159">
        <f t="shared" si="78"/>
        <v>0.98</v>
      </c>
      <c r="AK228" s="159">
        <f t="shared" si="78"/>
        <v>0.98</v>
      </c>
      <c r="AL228" s="159">
        <f t="shared" si="78"/>
        <v>0.98</v>
      </c>
      <c r="AM228" s="159">
        <f t="shared" si="78"/>
        <v>0.9</v>
      </c>
      <c r="AN228" s="159">
        <f t="shared" si="78"/>
        <v>0.9</v>
      </c>
      <c r="AO228" s="159">
        <f t="shared" si="78"/>
        <v>0.9</v>
      </c>
      <c r="AP228" s="144"/>
      <c r="AQ228" s="144"/>
      <c r="AS228" s="112" t="s">
        <v>377</v>
      </c>
      <c r="AT228" s="112">
        <f t="shared" si="53"/>
        <v>0</v>
      </c>
      <c r="AU228" s="112">
        <f t="shared" si="54"/>
        <v>0</v>
      </c>
      <c r="AV228" s="112">
        <f t="shared" si="55"/>
        <v>0</v>
      </c>
      <c r="AW228" s="112">
        <f t="shared" si="56"/>
        <v>0</v>
      </c>
      <c r="AX228" s="112">
        <f t="shared" si="57"/>
        <v>0.63464651915812198</v>
      </c>
      <c r="AY228" s="112">
        <f t="shared" si="58"/>
        <v>0.17017449181507499</v>
      </c>
      <c r="AZ228" s="112">
        <f t="shared" si="59"/>
        <v>0.195178989026803</v>
      </c>
      <c r="BA228" s="112" t="s">
        <v>272</v>
      </c>
      <c r="BB228" s="113"/>
      <c r="BC228" s="112" t="s">
        <v>377</v>
      </c>
      <c r="BD228" s="112">
        <v>5</v>
      </c>
      <c r="BE228" s="112">
        <v>5</v>
      </c>
      <c r="BF228" s="112">
        <v>5</v>
      </c>
      <c r="BG228" s="112">
        <v>5</v>
      </c>
      <c r="BH228" s="112">
        <v>5</v>
      </c>
      <c r="BI228" s="112">
        <v>5</v>
      </c>
      <c r="BJ228" s="112">
        <v>5</v>
      </c>
      <c r="BK228" s="112" t="s">
        <v>272</v>
      </c>
      <c r="BL228" s="112">
        <v>0</v>
      </c>
    </row>
    <row r="229" spans="1:64" ht="13.15">
      <c r="B229" s="132" t="s">
        <v>376</v>
      </c>
      <c r="C229" s="132">
        <f t="shared" si="73"/>
        <v>4.1838460083517601</v>
      </c>
      <c r="D229" s="134">
        <f t="shared" si="74"/>
        <v>3.1769453205600602</v>
      </c>
      <c r="E229" s="134">
        <f t="shared" si="75"/>
        <v>5.2081070744288898</v>
      </c>
      <c r="I229" s="94"/>
      <c r="J229" s="94"/>
      <c r="K229" s="94"/>
      <c r="L229" s="94"/>
      <c r="M229" s="94"/>
      <c r="N229" s="94"/>
      <c r="O229" s="94"/>
      <c r="P229" s="94"/>
      <c r="Q229" s="94"/>
      <c r="R229" s="94"/>
      <c r="S229" s="94"/>
      <c r="T229" s="94"/>
      <c r="U229" s="94"/>
      <c r="AA229" s="119" t="str">
        <f t="shared" si="63"/>
        <v>DirRecy-LFP</v>
      </c>
      <c r="AB229" s="119" t="s">
        <v>348</v>
      </c>
      <c r="AC229" s="112" t="s">
        <v>430</v>
      </c>
      <c r="AD229" s="155">
        <f t="shared" si="64"/>
        <v>5.0030999999999999</v>
      </c>
      <c r="AE229" s="149"/>
      <c r="AH229" s="144"/>
      <c r="AI229" s="159">
        <f t="shared" ref="AI229:AO229" si="79">AI228</f>
        <v>0.9</v>
      </c>
      <c r="AJ229" s="159">
        <f t="shared" si="79"/>
        <v>0.98</v>
      </c>
      <c r="AK229" s="159">
        <f t="shared" si="79"/>
        <v>0.98</v>
      </c>
      <c r="AL229" s="159">
        <f t="shared" si="79"/>
        <v>0.98</v>
      </c>
      <c r="AM229" s="159">
        <f t="shared" si="79"/>
        <v>0.9</v>
      </c>
      <c r="AN229" s="159">
        <f t="shared" si="79"/>
        <v>0.9</v>
      </c>
      <c r="AO229" s="159">
        <f t="shared" si="79"/>
        <v>0.9</v>
      </c>
      <c r="AP229" s="144"/>
      <c r="AQ229" s="144"/>
      <c r="AS229" s="112" t="s">
        <v>379</v>
      </c>
      <c r="AT229" s="112">
        <f t="shared" si="53"/>
        <v>0</v>
      </c>
      <c r="AU229" s="112">
        <f t="shared" si="54"/>
        <v>0</v>
      </c>
      <c r="AV229" s="112">
        <f t="shared" si="55"/>
        <v>0</v>
      </c>
      <c r="AW229" s="112">
        <f t="shared" si="56"/>
        <v>0.21348830096345001</v>
      </c>
      <c r="AX229" s="112">
        <f t="shared" si="57"/>
        <v>0.51521639394402796</v>
      </c>
      <c r="AY229" s="112">
        <f t="shared" si="58"/>
        <v>0.13197736656981199</v>
      </c>
      <c r="AZ229" s="112">
        <f t="shared" si="59"/>
        <v>0.13931793852270999</v>
      </c>
      <c r="BA229" s="112" t="s">
        <v>272</v>
      </c>
      <c r="BB229" s="113"/>
      <c r="BC229" s="112" t="s">
        <v>379</v>
      </c>
      <c r="BD229" s="112">
        <v>5</v>
      </c>
      <c r="BE229" s="112">
        <v>5</v>
      </c>
      <c r="BF229" s="112">
        <v>5</v>
      </c>
      <c r="BG229" s="112">
        <v>5</v>
      </c>
      <c r="BH229" s="112">
        <v>5</v>
      </c>
      <c r="BI229" s="112">
        <v>5</v>
      </c>
      <c r="BJ229" s="112">
        <v>5</v>
      </c>
      <c r="BK229" s="112" t="s">
        <v>272</v>
      </c>
      <c r="BL229" s="112">
        <v>0</v>
      </c>
    </row>
    <row r="230" spans="1:64" ht="22.9">
      <c r="A230" s="136"/>
      <c r="B230" s="132" t="s">
        <v>377</v>
      </c>
      <c r="C230" s="132">
        <f>U216</f>
        <v>3.5655626627364301</v>
      </c>
      <c r="D230" s="134">
        <f>R216</f>
        <v>2.7074604274134102</v>
      </c>
      <c r="E230" s="134">
        <f>L216</f>
        <v>4.4384597641857004</v>
      </c>
      <c r="I230" s="143" t="s">
        <v>434</v>
      </c>
      <c r="J230" s="272" t="s">
        <v>435</v>
      </c>
      <c r="K230" s="272"/>
      <c r="L230" s="272"/>
      <c r="M230" s="272"/>
      <c r="N230" s="272"/>
      <c r="O230" s="272"/>
      <c r="P230" s="272"/>
      <c r="Q230" s="272"/>
      <c r="R230" s="272"/>
      <c r="S230" s="94"/>
      <c r="T230" s="94"/>
      <c r="U230" s="94"/>
      <c r="W230" s="150"/>
      <c r="X230" s="150"/>
      <c r="Y230" s="150"/>
      <c r="Z230" s="150"/>
      <c r="AA230" s="119" t="str">
        <f t="shared" si="63"/>
        <v>DirRecy-LMO</v>
      </c>
      <c r="AB230" s="119" t="s">
        <v>350</v>
      </c>
      <c r="AC230" s="112" t="s">
        <v>430</v>
      </c>
      <c r="AD230" s="155">
        <f t="shared" si="64"/>
        <v>5.8851000000000004</v>
      </c>
      <c r="AE230" s="149"/>
      <c r="AH230" s="144"/>
      <c r="AI230" s="159">
        <f t="shared" ref="AI230:AO230" si="80">AI229</f>
        <v>0.9</v>
      </c>
      <c r="AJ230" s="159">
        <f t="shared" si="80"/>
        <v>0.98</v>
      </c>
      <c r="AK230" s="159">
        <f t="shared" si="80"/>
        <v>0.98</v>
      </c>
      <c r="AL230" s="159">
        <f t="shared" si="80"/>
        <v>0.98</v>
      </c>
      <c r="AM230" s="159">
        <f t="shared" si="80"/>
        <v>0.9</v>
      </c>
      <c r="AN230" s="159">
        <f t="shared" si="80"/>
        <v>0.9</v>
      </c>
      <c r="AO230" s="159">
        <f t="shared" si="80"/>
        <v>0.9</v>
      </c>
      <c r="AP230" s="144"/>
      <c r="AQ230" s="144"/>
      <c r="AS230" s="119" t="s">
        <v>381</v>
      </c>
      <c r="AT230" s="119">
        <f t="shared" si="53"/>
        <v>0</v>
      </c>
      <c r="AU230" s="119">
        <f t="shared" si="54"/>
        <v>0.127732370271811</v>
      </c>
      <c r="AV230" s="119">
        <f t="shared" si="55"/>
        <v>2.41398973579167E-2</v>
      </c>
      <c r="AW230" s="119">
        <f t="shared" si="56"/>
        <v>0</v>
      </c>
      <c r="AX230" s="119">
        <f t="shared" si="57"/>
        <v>0.55502756130013298</v>
      </c>
      <c r="AY230" s="119">
        <f t="shared" si="58"/>
        <v>0.107203953620985</v>
      </c>
      <c r="AZ230" s="119">
        <f t="shared" si="59"/>
        <v>0.18589621744915399</v>
      </c>
      <c r="BA230" s="112" t="s">
        <v>272</v>
      </c>
      <c r="BB230" s="163"/>
      <c r="BC230" s="119" t="s">
        <v>381</v>
      </c>
      <c r="BD230" s="112">
        <v>5</v>
      </c>
      <c r="BE230" s="112">
        <v>5</v>
      </c>
      <c r="BF230" s="112">
        <v>5</v>
      </c>
      <c r="BG230" s="112">
        <v>5</v>
      </c>
      <c r="BH230" s="112">
        <v>5</v>
      </c>
      <c r="BI230" s="112">
        <v>5</v>
      </c>
      <c r="BJ230" s="112">
        <v>5</v>
      </c>
      <c r="BK230" s="112" t="s">
        <v>272</v>
      </c>
      <c r="BL230" s="112">
        <v>0</v>
      </c>
    </row>
    <row r="231" spans="1:64" ht="25.15">
      <c r="A231" s="116"/>
      <c r="B231" s="132" t="s">
        <v>379</v>
      </c>
      <c r="C231" s="132">
        <f t="shared" ref="C231:C236" si="81">U217</f>
        <v>3.6008770817980902</v>
      </c>
      <c r="D231" s="134">
        <f t="shared" ref="D231:D236" si="82">R217</f>
        <v>2.7342759764185698</v>
      </c>
      <c r="E231" s="134">
        <f t="shared" ref="E231:E236" si="83">L217</f>
        <v>4.4824196020633797</v>
      </c>
      <c r="I231" s="94" t="s">
        <v>299</v>
      </c>
      <c r="J231" s="94"/>
      <c r="K231" s="94"/>
      <c r="L231" s="94"/>
      <c r="M231" s="94"/>
      <c r="N231" s="94"/>
      <c r="O231" s="94"/>
      <c r="P231" s="94"/>
      <c r="Q231" s="94"/>
      <c r="R231" s="125" t="s">
        <v>343</v>
      </c>
      <c r="S231" s="94"/>
      <c r="T231" s="94"/>
      <c r="U231" s="94"/>
      <c r="AA231" s="119" t="str">
        <f t="shared" si="63"/>
        <v>DirRecy-NCA</v>
      </c>
      <c r="AB231" s="119" t="s">
        <v>352</v>
      </c>
      <c r="AC231" s="112" t="s">
        <v>430</v>
      </c>
      <c r="AD231" s="155">
        <f t="shared" si="64"/>
        <v>4.7348999999999997</v>
      </c>
      <c r="AE231" s="149"/>
      <c r="AH231" s="144"/>
      <c r="AI231" s="159">
        <f t="shared" ref="AI231:AO231" si="84">AI230</f>
        <v>0.9</v>
      </c>
      <c r="AJ231" s="159">
        <f t="shared" si="84"/>
        <v>0.98</v>
      </c>
      <c r="AK231" s="159">
        <f t="shared" si="84"/>
        <v>0.98</v>
      </c>
      <c r="AL231" s="159">
        <f t="shared" si="84"/>
        <v>0.98</v>
      </c>
      <c r="AM231" s="159">
        <f t="shared" si="84"/>
        <v>0.9</v>
      </c>
      <c r="AN231" s="159">
        <f t="shared" si="84"/>
        <v>0.9</v>
      </c>
      <c r="AO231" s="159">
        <f t="shared" si="84"/>
        <v>0.9</v>
      </c>
      <c r="AP231" s="144"/>
      <c r="AQ231" s="144"/>
      <c r="AS231" s="119" t="s">
        <v>383</v>
      </c>
      <c r="AT231" s="119">
        <f t="shared" si="53"/>
        <v>0</v>
      </c>
      <c r="AU231" s="119">
        <f t="shared" si="54"/>
        <v>6.05590062111801E-2</v>
      </c>
      <c r="AV231" s="119">
        <f t="shared" si="55"/>
        <v>6.0731538992408601E-2</v>
      </c>
      <c r="AW231" s="119">
        <f t="shared" si="56"/>
        <v>5.6590752242926201E-2</v>
      </c>
      <c r="AX231" s="119">
        <f t="shared" si="57"/>
        <v>0.53657694962042801</v>
      </c>
      <c r="AY231" s="119">
        <f t="shared" si="58"/>
        <v>0.11680469289164901</v>
      </c>
      <c r="AZ231" s="119">
        <f t="shared" si="59"/>
        <v>0.16873706004140801</v>
      </c>
      <c r="BA231" s="112" t="s">
        <v>272</v>
      </c>
      <c r="BB231" s="163"/>
      <c r="BC231" s="119" t="s">
        <v>383</v>
      </c>
      <c r="BD231" s="112">
        <v>5</v>
      </c>
      <c r="BE231" s="112">
        <v>5</v>
      </c>
      <c r="BF231" s="112">
        <v>5</v>
      </c>
      <c r="BG231" s="112">
        <v>5</v>
      </c>
      <c r="BH231" s="112">
        <v>5</v>
      </c>
      <c r="BI231" s="112">
        <v>5</v>
      </c>
      <c r="BJ231" s="112">
        <v>5</v>
      </c>
      <c r="BK231" s="112" t="s">
        <v>272</v>
      </c>
      <c r="BL231" s="112">
        <v>0</v>
      </c>
    </row>
    <row r="232" spans="1:64" ht="13.15">
      <c r="B232" s="132" t="s">
        <v>381</v>
      </c>
      <c r="C232" s="132">
        <f t="shared" si="81"/>
        <v>3.5655626627364301</v>
      </c>
      <c r="D232" s="134">
        <f t="shared" si="82"/>
        <v>2.7074604274134102</v>
      </c>
      <c r="E232" s="134">
        <f t="shared" si="83"/>
        <v>4.4384597641857004</v>
      </c>
      <c r="I232" s="94" t="s">
        <v>261</v>
      </c>
      <c r="J232" s="94" t="s">
        <v>208</v>
      </c>
      <c r="K232" s="94" t="s">
        <v>211</v>
      </c>
      <c r="L232" s="94" t="s">
        <v>216</v>
      </c>
      <c r="M232" s="94" t="s">
        <v>222</v>
      </c>
      <c r="N232" s="94" t="s">
        <v>228</v>
      </c>
      <c r="O232" s="94" t="s">
        <v>235</v>
      </c>
      <c r="P232" s="94" t="s">
        <v>240</v>
      </c>
      <c r="Q232" s="94"/>
      <c r="R232" s="125"/>
      <c r="S232" s="94"/>
      <c r="T232" s="94"/>
      <c r="U232" s="94"/>
      <c r="AA232" s="119" t="str">
        <f t="shared" si="63"/>
        <v>DirRecy-NMC111</v>
      </c>
      <c r="AB232" s="119" t="s">
        <v>355</v>
      </c>
      <c r="AC232" s="112" t="s">
        <v>430</v>
      </c>
      <c r="AD232" s="155">
        <f t="shared" si="64"/>
        <v>5.2164000000000001</v>
      </c>
      <c r="AE232" s="149"/>
      <c r="AH232" s="144"/>
      <c r="AI232" s="144"/>
      <c r="AJ232" s="144"/>
      <c r="AK232" s="144"/>
      <c r="AL232" s="144"/>
      <c r="AM232" s="144"/>
      <c r="AN232" s="144"/>
      <c r="AO232" s="144"/>
      <c r="AP232" s="144"/>
      <c r="AQ232" s="144"/>
      <c r="AS232" s="119" t="s">
        <v>385</v>
      </c>
      <c r="AT232" s="119">
        <f t="shared" si="53"/>
        <v>0</v>
      </c>
      <c r="AU232" s="119">
        <f t="shared" si="54"/>
        <v>8.8982308635487797E-2</v>
      </c>
      <c r="AV232" s="119">
        <f t="shared" si="55"/>
        <v>3.5733053074093503E-2</v>
      </c>
      <c r="AW232" s="119">
        <f t="shared" si="56"/>
        <v>4.9921177088807098E-2</v>
      </c>
      <c r="AX232" s="119">
        <f t="shared" si="57"/>
        <v>0.53774741636013301</v>
      </c>
      <c r="AY232" s="119">
        <f t="shared" si="58"/>
        <v>0.115782098441058</v>
      </c>
      <c r="AZ232" s="119">
        <f t="shared" si="59"/>
        <v>0.17183394640041999</v>
      </c>
      <c r="BA232" s="112" t="s">
        <v>272</v>
      </c>
      <c r="BB232" s="163"/>
      <c r="BC232" s="119" t="s">
        <v>385</v>
      </c>
      <c r="BD232" s="112">
        <v>5</v>
      </c>
      <c r="BE232" s="112">
        <v>5</v>
      </c>
      <c r="BF232" s="112">
        <v>5</v>
      </c>
      <c r="BG232" s="112">
        <v>5</v>
      </c>
      <c r="BH232" s="112">
        <v>5</v>
      </c>
      <c r="BI232" s="112">
        <v>5</v>
      </c>
      <c r="BJ232" s="112">
        <v>5</v>
      </c>
      <c r="BK232" s="112" t="s">
        <v>272</v>
      </c>
      <c r="BL232" s="112">
        <v>0</v>
      </c>
    </row>
    <row r="233" spans="1:64" ht="13.15">
      <c r="B233" s="132" t="s">
        <v>383</v>
      </c>
      <c r="C233" s="132">
        <f t="shared" si="81"/>
        <v>3.56645369688037</v>
      </c>
      <c r="D233" s="134">
        <f t="shared" si="82"/>
        <v>2.70813706705969</v>
      </c>
      <c r="E233" s="134">
        <f t="shared" si="83"/>
        <v>4.4395689019896798</v>
      </c>
      <c r="I233" s="94" t="s">
        <v>268</v>
      </c>
      <c r="J233" s="94">
        <v>9.5000000000000001E-2</v>
      </c>
      <c r="K233" s="94">
        <v>0</v>
      </c>
      <c r="L233" s="94">
        <v>0</v>
      </c>
      <c r="M233" s="94">
        <v>0</v>
      </c>
      <c r="N233" s="94">
        <v>3.528</v>
      </c>
      <c r="O233" s="94">
        <v>0.94599999999999995</v>
      </c>
      <c r="P233" s="94">
        <v>1.085</v>
      </c>
      <c r="Q233" s="94"/>
      <c r="R233" s="125">
        <f t="shared" ref="R233:R239" si="85">SUM(J233:P233)</f>
        <v>5.6539999999999999</v>
      </c>
      <c r="S233" s="94"/>
      <c r="T233" s="94"/>
      <c r="U233" s="94"/>
      <c r="AA233" s="119" t="str">
        <f t="shared" si="63"/>
        <v>DirRecy-NMC532</v>
      </c>
      <c r="AB233" s="119" t="s">
        <v>358</v>
      </c>
      <c r="AC233" s="112" t="s">
        <v>430</v>
      </c>
      <c r="AD233" s="155">
        <f t="shared" si="64"/>
        <v>5.1380999999999997</v>
      </c>
      <c r="AE233" s="149"/>
      <c r="AH233" s="144"/>
      <c r="AI233" s="144"/>
      <c r="AJ233" s="144"/>
      <c r="AK233" s="144"/>
      <c r="AL233" s="144"/>
      <c r="AM233" s="144"/>
      <c r="AN233" s="144"/>
      <c r="AO233" s="144"/>
      <c r="AP233" s="144"/>
      <c r="AQ233" s="144"/>
      <c r="AS233" s="119" t="s">
        <v>387</v>
      </c>
      <c r="AT233" s="119">
        <f t="shared" si="53"/>
        <v>0</v>
      </c>
      <c r="AU233" s="119">
        <f t="shared" si="54"/>
        <v>9.7306212204507997E-2</v>
      </c>
      <c r="AV233" s="119">
        <f t="shared" si="55"/>
        <v>3.2618654938610998E-2</v>
      </c>
      <c r="AW233" s="119">
        <f t="shared" si="56"/>
        <v>3.0419644493311301E-2</v>
      </c>
      <c r="AX233" s="119">
        <f t="shared" si="57"/>
        <v>0.55286787612241195</v>
      </c>
      <c r="AY233" s="119">
        <f t="shared" si="58"/>
        <v>0.11086677661718899</v>
      </c>
      <c r="AZ233" s="119">
        <f t="shared" si="59"/>
        <v>0.17592083562396901</v>
      </c>
      <c r="BA233" s="112" t="s">
        <v>272</v>
      </c>
      <c r="BB233" s="163"/>
      <c r="BC233" s="119" t="s">
        <v>387</v>
      </c>
      <c r="BD233" s="112">
        <v>5</v>
      </c>
      <c r="BE233" s="112">
        <v>5</v>
      </c>
      <c r="BF233" s="112">
        <v>5</v>
      </c>
      <c r="BG233" s="112">
        <v>5</v>
      </c>
      <c r="BH233" s="112">
        <v>5</v>
      </c>
      <c r="BI233" s="112">
        <v>5</v>
      </c>
      <c r="BJ233" s="112">
        <v>5</v>
      </c>
      <c r="BK233" s="112" t="s">
        <v>272</v>
      </c>
      <c r="BL233" s="112">
        <v>0</v>
      </c>
    </row>
    <row r="234" spans="1:64" ht="21">
      <c r="B234" s="132" t="s">
        <v>385</v>
      </c>
      <c r="C234" s="132">
        <f t="shared" si="81"/>
        <v>3.5658596168017702</v>
      </c>
      <c r="D234" s="134">
        <f t="shared" si="82"/>
        <v>2.7076859248341898</v>
      </c>
      <c r="E234" s="134">
        <f t="shared" si="83"/>
        <v>4.4388294030950597</v>
      </c>
      <c r="I234" s="94" t="s">
        <v>271</v>
      </c>
      <c r="J234" s="94">
        <v>0.106</v>
      </c>
      <c r="K234" s="94">
        <v>0</v>
      </c>
      <c r="L234" s="94">
        <v>0</v>
      </c>
      <c r="M234" s="94">
        <v>1.3959999999999999</v>
      </c>
      <c r="N234" s="94">
        <v>3.3690000000000002</v>
      </c>
      <c r="O234" s="94">
        <v>0.86299999999999999</v>
      </c>
      <c r="P234" s="94">
        <v>0.91100000000000003</v>
      </c>
      <c r="Q234" s="94"/>
      <c r="R234" s="125">
        <f t="shared" si="85"/>
        <v>6.6449999999999996</v>
      </c>
      <c r="S234" s="94"/>
      <c r="T234" s="94"/>
      <c r="U234" s="94"/>
      <c r="AA234" s="119" t="str">
        <f t="shared" si="63"/>
        <v>DirRecy-NMC622</v>
      </c>
      <c r="AB234" s="119" t="s">
        <v>361</v>
      </c>
      <c r="AC234" s="112" t="s">
        <v>430</v>
      </c>
      <c r="AD234" s="155">
        <f t="shared" si="64"/>
        <v>4.9112999999999998</v>
      </c>
      <c r="AE234" s="149"/>
      <c r="AH234" s="265" t="s">
        <v>436</v>
      </c>
      <c r="AI234" s="265"/>
      <c r="AJ234" s="265"/>
      <c r="AK234" s="265"/>
      <c r="AL234" s="265"/>
      <c r="AM234" s="265"/>
      <c r="AN234" s="265"/>
      <c r="AS234" s="119" t="s">
        <v>389</v>
      </c>
      <c r="AT234" s="119">
        <f t="shared" si="53"/>
        <v>0</v>
      </c>
      <c r="AU234" s="119">
        <f t="shared" si="54"/>
        <v>0.115919629057187</v>
      </c>
      <c r="AV234" s="119">
        <f t="shared" si="55"/>
        <v>1.4489953632148399E-2</v>
      </c>
      <c r="AW234" s="119">
        <f t="shared" si="56"/>
        <v>1.35239567233385E-2</v>
      </c>
      <c r="AX234" s="119">
        <f t="shared" si="57"/>
        <v>0.56433539412673905</v>
      </c>
      <c r="AY234" s="119">
        <f t="shared" si="58"/>
        <v>0.10606646058732599</v>
      </c>
      <c r="AZ234" s="119">
        <f t="shared" si="59"/>
        <v>0.185664605873261</v>
      </c>
      <c r="BA234" s="112" t="s">
        <v>272</v>
      </c>
      <c r="BB234" s="163"/>
      <c r="BC234" s="119" t="s">
        <v>389</v>
      </c>
      <c r="BD234" s="112">
        <v>5</v>
      </c>
      <c r="BE234" s="112">
        <v>5</v>
      </c>
      <c r="BF234" s="112">
        <v>5</v>
      </c>
      <c r="BG234" s="112">
        <v>5</v>
      </c>
      <c r="BH234" s="112">
        <v>5</v>
      </c>
      <c r="BI234" s="112">
        <v>5</v>
      </c>
      <c r="BJ234" s="112">
        <v>5</v>
      </c>
      <c r="BK234" s="112" t="s">
        <v>272</v>
      </c>
      <c r="BL234" s="112">
        <v>0</v>
      </c>
    </row>
    <row r="235" spans="1:64" ht="13.15">
      <c r="B235" s="132" t="s">
        <v>387</v>
      </c>
      <c r="C235" s="132">
        <f t="shared" si="81"/>
        <v>3.5655626627364301</v>
      </c>
      <c r="D235" s="134">
        <f t="shared" si="82"/>
        <v>2.7074604274134102</v>
      </c>
      <c r="E235" s="134">
        <f t="shared" si="83"/>
        <v>4.4384597641857004</v>
      </c>
      <c r="I235" s="94" t="s">
        <v>273</v>
      </c>
      <c r="J235" s="94">
        <v>0.10199999999999999</v>
      </c>
      <c r="K235" s="94">
        <v>0.67200000000000004</v>
      </c>
      <c r="L235" s="94">
        <v>0.127</v>
      </c>
      <c r="M235" s="94">
        <v>0</v>
      </c>
      <c r="N235" s="94">
        <v>2.92</v>
      </c>
      <c r="O235" s="94">
        <v>0.56399999999999995</v>
      </c>
      <c r="P235" s="94">
        <v>0.97799999999999998</v>
      </c>
      <c r="Q235" s="94"/>
      <c r="R235" s="125">
        <f t="shared" si="85"/>
        <v>5.3630000000000004</v>
      </c>
      <c r="S235" s="94"/>
      <c r="T235" s="94"/>
      <c r="U235" s="94"/>
      <c r="AA235" s="119" t="str">
        <f t="shared" si="63"/>
        <v>DirRecy-NMC811</v>
      </c>
      <c r="AB235" s="119" t="s">
        <v>364</v>
      </c>
      <c r="AC235" s="112" t="s">
        <v>430</v>
      </c>
      <c r="AD235" s="155">
        <f t="shared" si="64"/>
        <v>4.6584000000000003</v>
      </c>
      <c r="AE235" s="149"/>
      <c r="AI235" s="159" t="s">
        <v>245</v>
      </c>
      <c r="AJ235" s="159" t="s">
        <v>252</v>
      </c>
      <c r="AK235" s="159" t="s">
        <v>253</v>
      </c>
      <c r="AL235" s="159" t="s">
        <v>254</v>
      </c>
      <c r="AM235" s="159" t="s">
        <v>255</v>
      </c>
      <c r="AN235" s="159" t="s">
        <v>256</v>
      </c>
      <c r="AO235" s="159" t="s">
        <v>257</v>
      </c>
    </row>
    <row r="236" spans="1:64" ht="13.15">
      <c r="B236" s="137" t="s">
        <v>389</v>
      </c>
      <c r="C236" s="132">
        <f t="shared" si="81"/>
        <v>3.5649689019896802</v>
      </c>
      <c r="D236" s="134">
        <f t="shared" si="82"/>
        <v>2.7070095799557801</v>
      </c>
      <c r="E236" s="134">
        <f t="shared" si="83"/>
        <v>4.4377206337509199</v>
      </c>
      <c r="I236" s="94" t="s">
        <v>274</v>
      </c>
      <c r="J236" s="94">
        <v>0.14099999999999999</v>
      </c>
      <c r="K236" s="94">
        <v>0.35099999999999998</v>
      </c>
      <c r="L236" s="94">
        <v>0.35199999999999998</v>
      </c>
      <c r="M236" s="94">
        <v>0.32800000000000001</v>
      </c>
      <c r="N236" s="94">
        <v>3.11</v>
      </c>
      <c r="O236" s="94">
        <v>0.67700000000000005</v>
      </c>
      <c r="P236" s="94">
        <v>0.97799999999999998</v>
      </c>
      <c r="Q236" s="94"/>
      <c r="R236" s="125">
        <f t="shared" si="85"/>
        <v>5.9370000000000003</v>
      </c>
      <c r="S236" s="94"/>
      <c r="T236" s="94"/>
      <c r="U236" s="94"/>
      <c r="AA236" s="119" t="s">
        <v>337</v>
      </c>
      <c r="AB236" s="119"/>
      <c r="AC236" s="112"/>
      <c r="AD236" s="155"/>
      <c r="AE236" s="114"/>
      <c r="AI236" s="159">
        <v>0</v>
      </c>
      <c r="AJ236" s="159">
        <v>0.9</v>
      </c>
      <c r="AK236" s="159">
        <v>0.9</v>
      </c>
      <c r="AL236" s="159">
        <v>0.9</v>
      </c>
      <c r="AM236" s="159">
        <v>0.9</v>
      </c>
      <c r="AN236" s="159">
        <v>0.9</v>
      </c>
      <c r="AO236" s="159">
        <v>0.9</v>
      </c>
    </row>
    <row r="237" spans="1:64" ht="14.25">
      <c r="B237" s="138"/>
      <c r="C237"/>
      <c r="D237"/>
      <c r="I237" s="94" t="s">
        <v>275</v>
      </c>
      <c r="J237" s="94">
        <v>0.13600000000000001</v>
      </c>
      <c r="K237" s="94">
        <v>0.50800000000000001</v>
      </c>
      <c r="L237" s="94">
        <v>0.20399999999999999</v>
      </c>
      <c r="M237" s="94">
        <v>0.28499999999999998</v>
      </c>
      <c r="N237" s="94">
        <v>3.07</v>
      </c>
      <c r="O237" s="94">
        <v>0.66100000000000003</v>
      </c>
      <c r="P237" s="94">
        <v>0.98099999999999998</v>
      </c>
      <c r="Q237" s="94"/>
      <c r="R237" s="125">
        <f t="shared" si="85"/>
        <v>5.8449999999999998</v>
      </c>
      <c r="S237" s="94"/>
      <c r="T237" s="94"/>
      <c r="U237" s="94"/>
      <c r="AA237" s="119" t="s">
        <v>406</v>
      </c>
      <c r="AB237" s="119" t="s">
        <v>391</v>
      </c>
      <c r="AC237" s="112" t="s">
        <v>437</v>
      </c>
      <c r="AD237" s="155">
        <f>SUM(D61:J61)</f>
        <v>4.5232000000000001</v>
      </c>
      <c r="AE237" s="149"/>
      <c r="AI237" s="159">
        <f t="shared" ref="AI237:AO237" si="86">AI236</f>
        <v>0</v>
      </c>
      <c r="AJ237" s="159">
        <f t="shared" si="86"/>
        <v>0.9</v>
      </c>
      <c r="AK237" s="159">
        <f t="shared" si="86"/>
        <v>0.9</v>
      </c>
      <c r="AL237" s="159">
        <f t="shared" si="86"/>
        <v>0.9</v>
      </c>
      <c r="AM237" s="159">
        <f t="shared" si="86"/>
        <v>0.9</v>
      </c>
      <c r="AN237" s="159">
        <f t="shared" si="86"/>
        <v>0.9</v>
      </c>
      <c r="AO237" s="159">
        <f t="shared" si="86"/>
        <v>0.9</v>
      </c>
      <c r="AS237" s="112" t="s">
        <v>416</v>
      </c>
      <c r="AT237" s="113"/>
      <c r="AU237" s="113"/>
      <c r="AV237" s="113"/>
      <c r="AW237" s="113"/>
      <c r="AX237" s="113"/>
      <c r="AY237" s="113"/>
      <c r="AZ237" s="113"/>
      <c r="BA237" s="113"/>
      <c r="BC237" s="112" t="s">
        <v>416</v>
      </c>
      <c r="BD237" s="153"/>
      <c r="BE237" s="153"/>
      <c r="BF237" s="112"/>
      <c r="BG237" s="112"/>
      <c r="BH237" s="112"/>
      <c r="BI237" s="112"/>
      <c r="BJ237" s="112"/>
      <c r="BK237" s="112"/>
      <c r="BL237" s="112"/>
    </row>
    <row r="238" spans="1:64" ht="14.25">
      <c r="B238" s="138"/>
      <c r="C238"/>
      <c r="D238"/>
      <c r="I238" s="94" t="s">
        <v>276</v>
      </c>
      <c r="J238" s="94">
        <v>0.11799999999999999</v>
      </c>
      <c r="K238" s="94">
        <v>0.53100000000000003</v>
      </c>
      <c r="L238" s="94">
        <v>0.17799999999999999</v>
      </c>
      <c r="M238" s="94">
        <v>0.16600000000000001</v>
      </c>
      <c r="N238" s="94">
        <v>3.0169999999999999</v>
      </c>
      <c r="O238" s="94">
        <v>0.60499999999999998</v>
      </c>
      <c r="P238" s="94">
        <v>0.96</v>
      </c>
      <c r="Q238" s="94"/>
      <c r="R238" s="125">
        <f t="shared" si="85"/>
        <v>5.5750000000000002</v>
      </c>
      <c r="S238" s="94"/>
      <c r="T238" s="94"/>
      <c r="U238" s="94"/>
      <c r="AA238" s="119" t="s">
        <v>407</v>
      </c>
      <c r="AB238" s="119" t="s">
        <v>393</v>
      </c>
      <c r="AC238" s="112" t="s">
        <v>437</v>
      </c>
      <c r="AD238" s="155">
        <f t="shared" ref="AD238:AD243" si="87">SUM(D62:J62)</f>
        <v>5.3159999999999998</v>
      </c>
      <c r="AE238" s="156"/>
      <c r="AI238" s="159">
        <f t="shared" ref="AI238:AO238" si="88">AI237</f>
        <v>0</v>
      </c>
      <c r="AJ238" s="159">
        <f t="shared" si="88"/>
        <v>0.9</v>
      </c>
      <c r="AK238" s="159">
        <f t="shared" si="88"/>
        <v>0.9</v>
      </c>
      <c r="AL238" s="159">
        <f t="shared" si="88"/>
        <v>0.9</v>
      </c>
      <c r="AM238" s="159">
        <f t="shared" si="88"/>
        <v>0.9</v>
      </c>
      <c r="AN238" s="159">
        <f t="shared" si="88"/>
        <v>0.9</v>
      </c>
      <c r="AO238" s="159">
        <f t="shared" si="88"/>
        <v>0.9</v>
      </c>
      <c r="AS238" s="112" t="s">
        <v>261</v>
      </c>
      <c r="AT238" s="112" t="s">
        <v>245</v>
      </c>
      <c r="AU238" s="112" t="s">
        <v>252</v>
      </c>
      <c r="AV238" s="112" t="s">
        <v>253</v>
      </c>
      <c r="AW238" s="112" t="s">
        <v>254</v>
      </c>
      <c r="AX238" s="112" t="s">
        <v>255</v>
      </c>
      <c r="AY238" s="112" t="s">
        <v>256</v>
      </c>
      <c r="AZ238" s="112" t="s">
        <v>257</v>
      </c>
      <c r="BA238" s="112" t="s">
        <v>330</v>
      </c>
      <c r="BC238" s="112" t="s">
        <v>261</v>
      </c>
      <c r="BD238" s="112" t="s">
        <v>245</v>
      </c>
      <c r="BE238" s="112" t="s">
        <v>252</v>
      </c>
      <c r="BF238" s="112" t="s">
        <v>253</v>
      </c>
      <c r="BG238" s="112" t="s">
        <v>254</v>
      </c>
      <c r="BH238" s="112" t="s">
        <v>255</v>
      </c>
      <c r="BI238" s="112" t="s">
        <v>256</v>
      </c>
      <c r="BJ238" s="112" t="s">
        <v>257</v>
      </c>
      <c r="BK238" s="112" t="s">
        <v>330</v>
      </c>
      <c r="BL238" s="112" t="s">
        <v>336</v>
      </c>
    </row>
    <row r="239" spans="1:64" ht="14.25">
      <c r="B239" s="138"/>
      <c r="C239"/>
      <c r="D239"/>
      <c r="I239" s="94" t="s">
        <v>277</v>
      </c>
      <c r="J239" s="94">
        <v>0.1</v>
      </c>
      <c r="K239" s="94">
        <v>0.6</v>
      </c>
      <c r="L239" s="94">
        <v>7.4999999999999997E-2</v>
      </c>
      <c r="M239" s="94">
        <v>7.0000000000000007E-2</v>
      </c>
      <c r="N239" s="94">
        <v>2.9209999999999998</v>
      </c>
      <c r="O239" s="94">
        <v>0.54900000000000004</v>
      </c>
      <c r="P239" s="94">
        <v>0.96099999999999997</v>
      </c>
      <c r="Q239" s="94"/>
      <c r="R239" s="125">
        <f t="shared" si="85"/>
        <v>5.2759999999999998</v>
      </c>
      <c r="S239" s="94"/>
      <c r="T239" s="94"/>
      <c r="U239" s="94"/>
      <c r="AA239" s="119" t="s">
        <v>408</v>
      </c>
      <c r="AB239" s="119" t="s">
        <v>395</v>
      </c>
      <c r="AC239" s="112" t="s">
        <v>437</v>
      </c>
      <c r="AD239" s="155">
        <f t="shared" si="87"/>
        <v>4.2904</v>
      </c>
      <c r="AE239" s="156"/>
      <c r="AI239" s="159">
        <f t="shared" ref="AI239:AO239" si="89">AI238</f>
        <v>0</v>
      </c>
      <c r="AJ239" s="159">
        <f t="shared" si="89"/>
        <v>0.9</v>
      </c>
      <c r="AK239" s="159">
        <f t="shared" si="89"/>
        <v>0.9</v>
      </c>
      <c r="AL239" s="159">
        <f t="shared" si="89"/>
        <v>0.9</v>
      </c>
      <c r="AM239" s="159">
        <f t="shared" si="89"/>
        <v>0.9</v>
      </c>
      <c r="AN239" s="159">
        <f t="shared" si="89"/>
        <v>0.9</v>
      </c>
      <c r="AO239" s="159">
        <f t="shared" si="89"/>
        <v>0.9</v>
      </c>
      <c r="AS239" s="119" t="s">
        <v>406</v>
      </c>
      <c r="AT239" s="119">
        <f>D61/AD237</f>
        <v>1.6802263883975901E-2</v>
      </c>
      <c r="AU239" s="119">
        <f>E61/AD237</f>
        <v>0</v>
      </c>
      <c r="AV239" s="119">
        <f>F61/AD237</f>
        <v>0</v>
      </c>
      <c r="AW239" s="119">
        <f>G61/AD237</f>
        <v>0</v>
      </c>
      <c r="AX239" s="119">
        <f>H61/AD237</f>
        <v>0.62398302087017998</v>
      </c>
      <c r="AY239" s="119">
        <f>I61/AD237</f>
        <v>0.167315175097276</v>
      </c>
      <c r="AZ239" s="119">
        <f>J61/AD237</f>
        <v>0.191899540148567</v>
      </c>
      <c r="BA239" s="112" t="s">
        <v>272</v>
      </c>
      <c r="BB239" s="163"/>
      <c r="BC239" s="119" t="s">
        <v>406</v>
      </c>
      <c r="BD239" s="112">
        <v>5</v>
      </c>
      <c r="BE239" s="112">
        <v>5</v>
      </c>
      <c r="BF239" s="112">
        <v>5</v>
      </c>
      <c r="BG239" s="112">
        <v>5</v>
      </c>
      <c r="BH239" s="112">
        <v>5</v>
      </c>
      <c r="BI239" s="112">
        <v>5</v>
      </c>
      <c r="BJ239" s="112">
        <v>5</v>
      </c>
      <c r="BK239" s="112" t="s">
        <v>272</v>
      </c>
      <c r="BL239" s="112">
        <v>0</v>
      </c>
    </row>
    <row r="240" spans="1:64" ht="14.25">
      <c r="B240" s="138"/>
      <c r="C240"/>
      <c r="D240"/>
      <c r="AA240" s="119" t="s">
        <v>409</v>
      </c>
      <c r="AB240" s="119" t="s">
        <v>397</v>
      </c>
      <c r="AC240" s="112" t="s">
        <v>437</v>
      </c>
      <c r="AD240" s="155">
        <f t="shared" si="87"/>
        <v>4.7496</v>
      </c>
      <c r="AE240" s="156"/>
      <c r="AI240" s="159">
        <f t="shared" ref="AI240:AO240" si="90">AI239</f>
        <v>0</v>
      </c>
      <c r="AJ240" s="159">
        <f t="shared" si="90"/>
        <v>0.9</v>
      </c>
      <c r="AK240" s="159">
        <f t="shared" si="90"/>
        <v>0.9</v>
      </c>
      <c r="AL240" s="159">
        <f t="shared" si="90"/>
        <v>0.9</v>
      </c>
      <c r="AM240" s="159">
        <f t="shared" si="90"/>
        <v>0.9</v>
      </c>
      <c r="AN240" s="159">
        <f t="shared" si="90"/>
        <v>0.9</v>
      </c>
      <c r="AO240" s="159">
        <f t="shared" si="90"/>
        <v>0.9</v>
      </c>
      <c r="AS240" s="119" t="s">
        <v>407</v>
      </c>
      <c r="AT240" s="119">
        <f t="shared" ref="AT240:AT245" si="91">D62/AD238</f>
        <v>1.5951843491346901E-2</v>
      </c>
      <c r="AU240" s="119">
        <f t="shared" ref="AU240:AU245" si="92">E62/AD238</f>
        <v>0</v>
      </c>
      <c r="AV240" s="119">
        <f t="shared" ref="AV240:AV245" si="93">F62/AD238</f>
        <v>0</v>
      </c>
      <c r="AW240" s="119">
        <f t="shared" ref="AW240:AW245" si="94">G62/AD238</f>
        <v>0.21008276899924799</v>
      </c>
      <c r="AX240" s="119">
        <f t="shared" ref="AX240:AX245" si="95">H62/AD238</f>
        <v>0.50699774266365705</v>
      </c>
      <c r="AY240" s="119">
        <f t="shared" ref="AY240:AY245" si="96">I62/AD238</f>
        <v>0.12987208427388999</v>
      </c>
      <c r="AZ240" s="119">
        <f t="shared" ref="AZ240:AZ245" si="97">J62/AD238</f>
        <v>0.13709556057185901</v>
      </c>
      <c r="BA240" s="112" t="s">
        <v>272</v>
      </c>
      <c r="BB240" s="163"/>
      <c r="BC240" s="119" t="s">
        <v>407</v>
      </c>
      <c r="BD240" s="112">
        <v>5</v>
      </c>
      <c r="BE240" s="112">
        <v>5</v>
      </c>
      <c r="BF240" s="112">
        <v>5</v>
      </c>
      <c r="BG240" s="112">
        <v>5</v>
      </c>
      <c r="BH240" s="112">
        <v>5</v>
      </c>
      <c r="BI240" s="112">
        <v>5</v>
      </c>
      <c r="BJ240" s="112">
        <v>5</v>
      </c>
      <c r="BK240" s="112" t="s">
        <v>272</v>
      </c>
      <c r="BL240" s="112">
        <v>0</v>
      </c>
    </row>
    <row r="241" spans="2:64" ht="14.25">
      <c r="B241" s="138"/>
      <c r="C241"/>
      <c r="D241"/>
      <c r="AA241" s="119" t="s">
        <v>410</v>
      </c>
      <c r="AB241" s="119" t="s">
        <v>399</v>
      </c>
      <c r="AC241" s="112" t="s">
        <v>437</v>
      </c>
      <c r="AD241" s="155">
        <f t="shared" si="87"/>
        <v>4.6760000000000002</v>
      </c>
      <c r="AE241" s="156"/>
      <c r="AI241" s="159">
        <f t="shared" ref="AI241:AO241" si="98">AI240</f>
        <v>0</v>
      </c>
      <c r="AJ241" s="159">
        <f t="shared" si="98"/>
        <v>0.9</v>
      </c>
      <c r="AK241" s="159">
        <f t="shared" si="98"/>
        <v>0.9</v>
      </c>
      <c r="AL241" s="159">
        <f t="shared" si="98"/>
        <v>0.9</v>
      </c>
      <c r="AM241" s="159">
        <f t="shared" si="98"/>
        <v>0.9</v>
      </c>
      <c r="AN241" s="159">
        <f t="shared" si="98"/>
        <v>0.9</v>
      </c>
      <c r="AO241" s="159">
        <f t="shared" si="98"/>
        <v>0.9</v>
      </c>
      <c r="AS241" s="119" t="s">
        <v>408</v>
      </c>
      <c r="AT241" s="119">
        <f t="shared" si="91"/>
        <v>1.90192056684691E-2</v>
      </c>
      <c r="AU241" s="119">
        <f t="shared" si="92"/>
        <v>0.12530300205109099</v>
      </c>
      <c r="AV241" s="119">
        <f t="shared" si="93"/>
        <v>2.3680775685250802E-2</v>
      </c>
      <c r="AW241" s="119">
        <f t="shared" si="94"/>
        <v>0</v>
      </c>
      <c r="AX241" s="119">
        <f t="shared" si="95"/>
        <v>0.54447137796009704</v>
      </c>
      <c r="AY241" s="119">
        <f t="shared" si="96"/>
        <v>0.105165019578594</v>
      </c>
      <c r="AZ241" s="119">
        <f t="shared" si="97"/>
        <v>0.182360619056498</v>
      </c>
      <c r="BA241" s="112" t="s">
        <v>272</v>
      </c>
      <c r="BB241" s="163"/>
      <c r="BC241" s="119" t="s">
        <v>408</v>
      </c>
      <c r="BD241" s="112">
        <v>5</v>
      </c>
      <c r="BE241" s="112">
        <v>5</v>
      </c>
      <c r="BF241" s="112">
        <v>5</v>
      </c>
      <c r="BG241" s="112">
        <v>5</v>
      </c>
      <c r="BH241" s="112">
        <v>5</v>
      </c>
      <c r="BI241" s="112">
        <v>5</v>
      </c>
      <c r="BJ241" s="112">
        <v>5</v>
      </c>
      <c r="BK241" s="112" t="s">
        <v>272</v>
      </c>
      <c r="BL241" s="112">
        <v>0</v>
      </c>
    </row>
    <row r="242" spans="2:64" ht="14.25">
      <c r="B242" s="138"/>
      <c r="C242"/>
      <c r="D242"/>
      <c r="AA242" s="119" t="s">
        <v>411</v>
      </c>
      <c r="AB242" s="119" t="s">
        <v>401</v>
      </c>
      <c r="AC242" s="112" t="s">
        <v>437</v>
      </c>
      <c r="AD242" s="155">
        <f t="shared" si="87"/>
        <v>4.46</v>
      </c>
      <c r="AE242" s="156"/>
      <c r="AI242" s="159">
        <f t="shared" ref="AI242:AO242" si="99">AI241</f>
        <v>0</v>
      </c>
      <c r="AJ242" s="159">
        <f t="shared" si="99"/>
        <v>0.9</v>
      </c>
      <c r="AK242" s="159">
        <f t="shared" si="99"/>
        <v>0.9</v>
      </c>
      <c r="AL242" s="159">
        <f t="shared" si="99"/>
        <v>0.9</v>
      </c>
      <c r="AM242" s="159">
        <f t="shared" si="99"/>
        <v>0.9</v>
      </c>
      <c r="AN242" s="159">
        <f t="shared" si="99"/>
        <v>0.9</v>
      </c>
      <c r="AO242" s="159">
        <f t="shared" si="99"/>
        <v>0.9</v>
      </c>
      <c r="AS242" s="119" t="s">
        <v>409</v>
      </c>
      <c r="AT242" s="119">
        <f t="shared" si="91"/>
        <v>2.3749368367862601E-2</v>
      </c>
      <c r="AU242" s="119">
        <f t="shared" si="92"/>
        <v>5.91207680646791E-2</v>
      </c>
      <c r="AV242" s="119">
        <f t="shared" si="93"/>
        <v>5.9289203301330598E-2</v>
      </c>
      <c r="AW242" s="119">
        <f t="shared" si="94"/>
        <v>5.5246757621694502E-2</v>
      </c>
      <c r="AX242" s="119">
        <f t="shared" si="95"/>
        <v>0.52383358598618801</v>
      </c>
      <c r="AY242" s="119">
        <f t="shared" si="96"/>
        <v>0.114030655213071</v>
      </c>
      <c r="AZ242" s="119">
        <f t="shared" si="97"/>
        <v>0.16472966144517401</v>
      </c>
      <c r="BA242" s="112" t="s">
        <v>272</v>
      </c>
      <c r="BB242" s="163"/>
      <c r="BC242" s="119" t="s">
        <v>409</v>
      </c>
      <c r="BD242" s="112">
        <v>5</v>
      </c>
      <c r="BE242" s="112">
        <v>5</v>
      </c>
      <c r="BF242" s="112">
        <v>5</v>
      </c>
      <c r="BG242" s="112">
        <v>5</v>
      </c>
      <c r="BH242" s="112">
        <v>5</v>
      </c>
      <c r="BI242" s="112">
        <v>5</v>
      </c>
      <c r="BJ242" s="112">
        <v>5</v>
      </c>
      <c r="BK242" s="112" t="s">
        <v>272</v>
      </c>
      <c r="BL242" s="112">
        <v>0</v>
      </c>
    </row>
    <row r="243" spans="2:64">
      <c r="B243" s="138"/>
      <c r="AA243" s="119" t="s">
        <v>412</v>
      </c>
      <c r="AB243" s="119" t="s">
        <v>403</v>
      </c>
      <c r="AC243" s="112" t="s">
        <v>437</v>
      </c>
      <c r="AD243" s="155">
        <f t="shared" si="87"/>
        <v>4.2207999999999997</v>
      </c>
      <c r="AE243" s="156"/>
      <c r="AS243" s="119" t="s">
        <v>410</v>
      </c>
      <c r="AT243" s="119">
        <f t="shared" si="91"/>
        <v>2.3267750213858001E-2</v>
      </c>
      <c r="AU243" s="119">
        <f t="shared" si="92"/>
        <v>8.6911890504704895E-2</v>
      </c>
      <c r="AV243" s="119">
        <f t="shared" si="93"/>
        <v>3.4901625320787E-2</v>
      </c>
      <c r="AW243" s="119">
        <f t="shared" si="94"/>
        <v>4.8759623609923003E-2</v>
      </c>
      <c r="AX243" s="119">
        <f t="shared" si="95"/>
        <v>0.52523524379811803</v>
      </c>
      <c r="AY243" s="119">
        <f t="shared" si="96"/>
        <v>0.11308810949529501</v>
      </c>
      <c r="AZ243" s="119">
        <f t="shared" si="97"/>
        <v>0.16783575705731399</v>
      </c>
      <c r="BA243" s="112" t="s">
        <v>272</v>
      </c>
      <c r="BB243" s="163"/>
      <c r="BC243" s="119" t="s">
        <v>410</v>
      </c>
      <c r="BD243" s="112">
        <v>5</v>
      </c>
      <c r="BE243" s="112">
        <v>5</v>
      </c>
      <c r="BF243" s="112">
        <v>5</v>
      </c>
      <c r="BG243" s="112">
        <v>5</v>
      </c>
      <c r="BH243" s="112">
        <v>5</v>
      </c>
      <c r="BI243" s="112">
        <v>5</v>
      </c>
      <c r="BJ243" s="112">
        <v>5</v>
      </c>
      <c r="BK243" s="112" t="s">
        <v>272</v>
      </c>
      <c r="BL243" s="112">
        <v>0</v>
      </c>
    </row>
    <row r="244" spans="2:64">
      <c r="AS244" s="119" t="s">
        <v>411</v>
      </c>
      <c r="AT244" s="119">
        <f t="shared" si="91"/>
        <v>2.11659192825112E-2</v>
      </c>
      <c r="AU244" s="119">
        <f t="shared" si="92"/>
        <v>9.5246636771300394E-2</v>
      </c>
      <c r="AV244" s="119">
        <f t="shared" si="93"/>
        <v>3.1928251121076202E-2</v>
      </c>
      <c r="AW244" s="119">
        <f t="shared" si="94"/>
        <v>2.9775784753363201E-2</v>
      </c>
      <c r="AX244" s="119">
        <f t="shared" si="95"/>
        <v>0.54116591928251101</v>
      </c>
      <c r="AY244" s="119">
        <f t="shared" si="96"/>
        <v>0.108520179372197</v>
      </c>
      <c r="AZ244" s="119">
        <f t="shared" si="97"/>
        <v>0.17219730941704001</v>
      </c>
      <c r="BA244" s="112" t="s">
        <v>272</v>
      </c>
      <c r="BB244" s="163"/>
      <c r="BC244" s="119" t="s">
        <v>411</v>
      </c>
      <c r="BD244" s="112">
        <v>5</v>
      </c>
      <c r="BE244" s="112">
        <v>5</v>
      </c>
      <c r="BF244" s="112">
        <v>5</v>
      </c>
      <c r="BG244" s="112">
        <v>5</v>
      </c>
      <c r="BH244" s="112">
        <v>5</v>
      </c>
      <c r="BI244" s="112">
        <v>5</v>
      </c>
      <c r="BJ244" s="112">
        <v>5</v>
      </c>
      <c r="BK244" s="112" t="s">
        <v>272</v>
      </c>
      <c r="BL244" s="112">
        <v>0</v>
      </c>
    </row>
    <row r="245" spans="2:64">
      <c r="AS245" s="161" t="s">
        <v>412</v>
      </c>
      <c r="AT245" s="161">
        <f t="shared" si="91"/>
        <v>1.8953752843062902E-2</v>
      </c>
      <c r="AU245" s="161">
        <f t="shared" si="92"/>
        <v>0.11372251705837801</v>
      </c>
      <c r="AV245" s="161">
        <f t="shared" si="93"/>
        <v>1.42153146322972E-2</v>
      </c>
      <c r="AW245" s="161">
        <f t="shared" si="94"/>
        <v>1.3267626990143999E-2</v>
      </c>
      <c r="AX245" s="161">
        <f t="shared" si="95"/>
        <v>0.55363912054586795</v>
      </c>
      <c r="AY245" s="161">
        <f t="shared" si="96"/>
        <v>0.104056103108415</v>
      </c>
      <c r="AZ245" s="161">
        <f t="shared" si="97"/>
        <v>0.182145564821835</v>
      </c>
      <c r="BA245" s="112" t="s">
        <v>272</v>
      </c>
      <c r="BB245" s="163"/>
      <c r="BC245" s="161" t="s">
        <v>412</v>
      </c>
      <c r="BD245" s="128">
        <v>5</v>
      </c>
      <c r="BE245" s="128">
        <v>5</v>
      </c>
      <c r="BF245" s="128">
        <v>5</v>
      </c>
      <c r="BG245" s="128">
        <v>5</v>
      </c>
      <c r="BH245" s="128">
        <v>5</v>
      </c>
      <c r="BI245" s="128">
        <v>5</v>
      </c>
      <c r="BJ245" s="128">
        <v>5</v>
      </c>
      <c r="BK245" s="112" t="s">
        <v>272</v>
      </c>
      <c r="BL245" s="128">
        <v>0</v>
      </c>
    </row>
    <row r="246" spans="2:64">
      <c r="AS246" s="162"/>
      <c r="AT246" s="162"/>
      <c r="AU246" s="162"/>
      <c r="AV246" s="162"/>
      <c r="AW246" s="162"/>
      <c r="AX246" s="162"/>
      <c r="AY246" s="162"/>
      <c r="AZ246" s="162"/>
      <c r="BA246" s="162"/>
      <c r="BB246" s="162"/>
      <c r="BC246" s="162"/>
    </row>
    <row r="258" spans="2:23">
      <c r="B258" s="94"/>
      <c r="C258" s="94"/>
      <c r="D258" s="94"/>
      <c r="E258" s="94"/>
      <c r="F258" s="94"/>
      <c r="G258" s="94"/>
      <c r="H258" s="94"/>
      <c r="I258" s="94"/>
      <c r="J258" s="94"/>
      <c r="K258" s="94"/>
      <c r="L258" s="94"/>
      <c r="M258" s="94"/>
      <c r="N258" s="164" t="s">
        <v>296</v>
      </c>
      <c r="O258" s="94"/>
      <c r="P258" s="94"/>
      <c r="Q258" s="94"/>
      <c r="R258" s="94"/>
      <c r="S258" s="94"/>
      <c r="T258" s="94"/>
      <c r="U258" s="94"/>
      <c r="V258" s="94"/>
      <c r="W258" s="94"/>
    </row>
    <row r="259" spans="2:23">
      <c r="B259" s="94"/>
      <c r="C259" s="164" t="s">
        <v>438</v>
      </c>
      <c r="D259" s="94"/>
      <c r="E259" s="94"/>
      <c r="F259" s="94"/>
      <c r="G259" s="94"/>
      <c r="H259" s="94"/>
      <c r="I259" s="94"/>
      <c r="J259" s="94"/>
      <c r="K259" s="94"/>
      <c r="L259" s="94"/>
      <c r="M259" s="94"/>
      <c r="N259" s="94"/>
      <c r="O259" s="94"/>
      <c r="P259" s="94"/>
      <c r="Q259" s="94"/>
      <c r="R259" s="94"/>
      <c r="S259" s="94"/>
      <c r="T259" s="94"/>
      <c r="U259" s="94"/>
      <c r="V259" s="94"/>
      <c r="W259" s="94"/>
    </row>
    <row r="260" spans="2:23">
      <c r="B260" s="94"/>
      <c r="C260" s="94"/>
      <c r="D260" s="94"/>
      <c r="E260" s="94"/>
      <c r="F260" s="94"/>
      <c r="G260" s="94"/>
      <c r="H260" s="94"/>
      <c r="I260" s="94"/>
      <c r="J260" s="94"/>
      <c r="K260" s="94"/>
      <c r="L260" s="94"/>
      <c r="M260" s="164"/>
      <c r="N260" s="94"/>
      <c r="O260" s="164"/>
      <c r="P260" s="164"/>
      <c r="Q260" s="164"/>
      <c r="R260" s="164"/>
      <c r="S260" s="164"/>
      <c r="T260" s="164"/>
      <c r="U260" s="164"/>
      <c r="V260" s="164"/>
      <c r="W260" s="164"/>
    </row>
    <row r="261" spans="2:23">
      <c r="B261" s="164"/>
      <c r="C261" s="94"/>
      <c r="D261" s="164"/>
      <c r="E261" s="164"/>
      <c r="F261" s="164"/>
      <c r="G261" s="164"/>
      <c r="H261" s="164"/>
      <c r="I261" s="164"/>
      <c r="J261" s="164"/>
      <c r="K261" s="94"/>
      <c r="L261" s="94"/>
      <c r="M261" s="164" t="s">
        <v>173</v>
      </c>
      <c r="N261" s="164" t="s">
        <v>261</v>
      </c>
      <c r="O261" s="164" t="s">
        <v>245</v>
      </c>
      <c r="P261" s="164" t="s">
        <v>252</v>
      </c>
      <c r="Q261" s="164" t="s">
        <v>253</v>
      </c>
      <c r="R261" s="164" t="s">
        <v>254</v>
      </c>
      <c r="S261" s="164" t="s">
        <v>255</v>
      </c>
      <c r="T261" s="164" t="s">
        <v>256</v>
      </c>
      <c r="U261" s="164" t="s">
        <v>257</v>
      </c>
      <c r="V261" s="164" t="s">
        <v>298</v>
      </c>
      <c r="W261" s="164" t="s">
        <v>353</v>
      </c>
    </row>
    <row r="262" spans="2:23">
      <c r="B262" s="164" t="s">
        <v>173</v>
      </c>
      <c r="C262" s="164" t="s">
        <v>261</v>
      </c>
      <c r="D262" s="164" t="s">
        <v>208</v>
      </c>
      <c r="E262" s="164" t="s">
        <v>211</v>
      </c>
      <c r="F262" s="164" t="s">
        <v>216</v>
      </c>
      <c r="G262" s="164" t="s">
        <v>222</v>
      </c>
      <c r="H262" s="164" t="s">
        <v>228</v>
      </c>
      <c r="I262" s="164" t="s">
        <v>235</v>
      </c>
      <c r="J262" s="164" t="s">
        <v>240</v>
      </c>
      <c r="K262" s="94" t="s">
        <v>330</v>
      </c>
      <c r="L262" s="94"/>
      <c r="M262" s="164" t="str">
        <f>AB237</f>
        <v>repp-LFP</v>
      </c>
      <c r="N262" s="165" t="s">
        <v>406</v>
      </c>
      <c r="O262" s="164">
        <v>6.08E-2</v>
      </c>
      <c r="P262" s="164">
        <v>0</v>
      </c>
      <c r="Q262" s="164">
        <v>0</v>
      </c>
      <c r="R262" s="164">
        <v>0</v>
      </c>
      <c r="S262" s="164">
        <v>2.2579199999999999</v>
      </c>
      <c r="T262" s="164">
        <v>0.60543999999999998</v>
      </c>
      <c r="U262" s="164">
        <v>0.69440000000000002</v>
      </c>
      <c r="V262" s="164" t="s">
        <v>439</v>
      </c>
      <c r="W262" s="164">
        <v>1</v>
      </c>
    </row>
    <row r="263" spans="2:23">
      <c r="B263" s="164" t="s">
        <v>440</v>
      </c>
      <c r="C263" s="164" t="e">
        <f>#REF!</f>
        <v>#REF!</v>
      </c>
      <c r="D263" s="164">
        <f>D22*AI214</f>
        <v>0</v>
      </c>
      <c r="E263" s="164">
        <f t="shared" ref="E263:J263" si="100">E22*AJ214</f>
        <v>0</v>
      </c>
      <c r="F263" s="164">
        <f t="shared" si="100"/>
        <v>0</v>
      </c>
      <c r="G263" s="164">
        <f t="shared" si="100"/>
        <v>0</v>
      </c>
      <c r="H263" s="164">
        <f t="shared" si="100"/>
        <v>0</v>
      </c>
      <c r="I263" s="164">
        <f t="shared" si="100"/>
        <v>0.85140000000000005</v>
      </c>
      <c r="J263" s="164">
        <f t="shared" si="100"/>
        <v>0</v>
      </c>
      <c r="K263" s="94" t="s">
        <v>339</v>
      </c>
      <c r="L263" s="94"/>
      <c r="M263" s="164" t="str">
        <f t="shared" ref="M263:M268" si="101">AB238</f>
        <v>repp-LMO</v>
      </c>
      <c r="N263" s="165" t="s">
        <v>407</v>
      </c>
      <c r="O263" s="164">
        <v>6.7839999999999998E-2</v>
      </c>
      <c r="P263" s="164">
        <v>0</v>
      </c>
      <c r="Q263" s="164">
        <v>0</v>
      </c>
      <c r="R263" s="164">
        <v>0.89344000000000001</v>
      </c>
      <c r="S263" s="164">
        <v>2.1561599999999999</v>
      </c>
      <c r="T263" s="164">
        <v>0.55232000000000003</v>
      </c>
      <c r="U263" s="164">
        <v>0.58304</v>
      </c>
      <c r="V263" s="164" t="s">
        <v>441</v>
      </c>
      <c r="W263" s="164">
        <v>1</v>
      </c>
    </row>
    <row r="264" spans="2:23">
      <c r="B264" s="164" t="s">
        <v>442</v>
      </c>
      <c r="C264" s="164" t="e">
        <f>#REF!</f>
        <v>#REF!</v>
      </c>
      <c r="D264" s="164">
        <f t="shared" ref="D264:D269" si="102">D23*AI215</f>
        <v>0</v>
      </c>
      <c r="E264" s="164">
        <f t="shared" ref="E264:J264" si="103">E23*AJ215</f>
        <v>0</v>
      </c>
      <c r="F264" s="164">
        <f t="shared" si="103"/>
        <v>0</v>
      </c>
      <c r="G264" s="164">
        <f t="shared" si="103"/>
        <v>0</v>
      </c>
      <c r="H264" s="164">
        <f t="shared" si="103"/>
        <v>0</v>
      </c>
      <c r="I264" s="164">
        <f t="shared" si="103"/>
        <v>0.77669999999999995</v>
      </c>
      <c r="J264" s="164">
        <f t="shared" si="103"/>
        <v>0</v>
      </c>
      <c r="K264" s="94" t="s">
        <v>339</v>
      </c>
      <c r="L264" s="94"/>
      <c r="M264" s="164" t="str">
        <f t="shared" si="101"/>
        <v>repp-NCA</v>
      </c>
      <c r="N264" s="165" t="s">
        <v>408</v>
      </c>
      <c r="O264" s="164">
        <v>6.5280000000000005E-2</v>
      </c>
      <c r="P264" s="164">
        <v>0.43008000000000002</v>
      </c>
      <c r="Q264" s="164">
        <v>8.1280000000000005E-2</v>
      </c>
      <c r="R264" s="164">
        <v>0</v>
      </c>
      <c r="S264" s="164">
        <v>1.8688</v>
      </c>
      <c r="T264" s="164">
        <v>0.36096</v>
      </c>
      <c r="U264" s="164">
        <v>0.62592000000000003</v>
      </c>
      <c r="V264" s="164" t="s">
        <v>443</v>
      </c>
      <c r="W264" s="164">
        <v>1</v>
      </c>
    </row>
    <row r="265" spans="2:23">
      <c r="B265" s="164" t="s">
        <v>444</v>
      </c>
      <c r="C265" s="164" t="e">
        <f>#REF!</f>
        <v>#REF!</v>
      </c>
      <c r="D265" s="164">
        <f t="shared" si="102"/>
        <v>0</v>
      </c>
      <c r="E265" s="164">
        <f>E24*AJ216</f>
        <v>0.65856000000000003</v>
      </c>
      <c r="F265" s="164">
        <f t="shared" ref="F265:J265" si="104">F24*AK216</f>
        <v>0.1143</v>
      </c>
      <c r="G265" s="164">
        <f t="shared" si="104"/>
        <v>0</v>
      </c>
      <c r="H265" s="164">
        <f t="shared" si="104"/>
        <v>0</v>
      </c>
      <c r="I265" s="164">
        <f t="shared" si="104"/>
        <v>0.50760000000000005</v>
      </c>
      <c r="J265" s="164">
        <f t="shared" si="104"/>
        <v>0</v>
      </c>
      <c r="K265" s="94" t="s">
        <v>339</v>
      </c>
      <c r="L265" s="94"/>
      <c r="M265" s="164" t="str">
        <f t="shared" si="101"/>
        <v>repp-NMC111</v>
      </c>
      <c r="N265" s="165" t="s">
        <v>409</v>
      </c>
      <c r="O265" s="164">
        <v>9.0240000000000001E-2</v>
      </c>
      <c r="P265" s="164">
        <v>0.22464000000000001</v>
      </c>
      <c r="Q265" s="164">
        <v>0.22528000000000001</v>
      </c>
      <c r="R265" s="164">
        <v>0.20992</v>
      </c>
      <c r="S265" s="164">
        <v>1.9903999999999999</v>
      </c>
      <c r="T265" s="164">
        <v>0.43328</v>
      </c>
      <c r="U265" s="164">
        <v>0.62592000000000003</v>
      </c>
      <c r="V265" s="164" t="s">
        <v>445</v>
      </c>
      <c r="W265" s="164">
        <v>1</v>
      </c>
    </row>
    <row r="266" spans="2:23">
      <c r="B266" s="164" t="s">
        <v>446</v>
      </c>
      <c r="C266" s="164" t="e">
        <f>#REF!</f>
        <v>#REF!</v>
      </c>
      <c r="D266" s="164">
        <f t="shared" si="102"/>
        <v>0</v>
      </c>
      <c r="E266" s="164">
        <f t="shared" ref="E266:J266" si="105">E25*AJ217</f>
        <v>0.34398000000000001</v>
      </c>
      <c r="F266" s="164">
        <f t="shared" si="105"/>
        <v>0.31680000000000003</v>
      </c>
      <c r="G266" s="164">
        <f t="shared" si="105"/>
        <v>0</v>
      </c>
      <c r="H266" s="164">
        <f t="shared" si="105"/>
        <v>0</v>
      </c>
      <c r="I266" s="164">
        <f t="shared" si="105"/>
        <v>0.60929999999999995</v>
      </c>
      <c r="J266" s="164">
        <f t="shared" si="105"/>
        <v>0</v>
      </c>
      <c r="K266" s="94" t="s">
        <v>339</v>
      </c>
      <c r="L266" s="94"/>
      <c r="M266" s="164" t="str">
        <f t="shared" si="101"/>
        <v>repp-NMC532</v>
      </c>
      <c r="N266" s="165" t="s">
        <v>410</v>
      </c>
      <c r="O266" s="164">
        <v>8.7040000000000006E-2</v>
      </c>
      <c r="P266" s="164">
        <v>0.32512000000000002</v>
      </c>
      <c r="Q266" s="164">
        <v>0.13056000000000001</v>
      </c>
      <c r="R266" s="164">
        <v>0.18240000000000001</v>
      </c>
      <c r="S266" s="164">
        <v>1.9648000000000001</v>
      </c>
      <c r="T266" s="164">
        <v>0.42304000000000003</v>
      </c>
      <c r="U266" s="164">
        <v>0.62783999999999995</v>
      </c>
      <c r="V266" s="164" t="s">
        <v>447</v>
      </c>
      <c r="W266" s="164">
        <v>1</v>
      </c>
    </row>
    <row r="267" spans="2:23">
      <c r="B267" s="164" t="s">
        <v>448</v>
      </c>
      <c r="C267" s="164" t="e">
        <f>#REF!</f>
        <v>#REF!</v>
      </c>
      <c r="D267" s="164">
        <f t="shared" si="102"/>
        <v>0</v>
      </c>
      <c r="E267" s="164">
        <f t="shared" ref="E267:J267" si="106">E26*AJ218</f>
        <v>0.49784</v>
      </c>
      <c r="F267" s="164">
        <f t="shared" si="106"/>
        <v>0.18360000000000001</v>
      </c>
      <c r="G267" s="164">
        <f t="shared" si="106"/>
        <v>0</v>
      </c>
      <c r="H267" s="164">
        <f t="shared" si="106"/>
        <v>0</v>
      </c>
      <c r="I267" s="164">
        <f t="shared" si="106"/>
        <v>0.59489999999999998</v>
      </c>
      <c r="J267" s="164">
        <f t="shared" si="106"/>
        <v>0</v>
      </c>
      <c r="K267" s="94" t="s">
        <v>339</v>
      </c>
      <c r="L267" s="94"/>
      <c r="M267" s="164" t="str">
        <f t="shared" si="101"/>
        <v>repp-NMC622</v>
      </c>
      <c r="N267" s="165" t="s">
        <v>411</v>
      </c>
      <c r="O267" s="164">
        <v>7.5520000000000004E-2</v>
      </c>
      <c r="P267" s="164">
        <v>0.33983999999999998</v>
      </c>
      <c r="Q267" s="164">
        <v>0.11391999999999999</v>
      </c>
      <c r="R267" s="164">
        <v>0.10624</v>
      </c>
      <c r="S267" s="164">
        <v>1.9308799999999999</v>
      </c>
      <c r="T267" s="164">
        <v>0.38719999999999999</v>
      </c>
      <c r="U267" s="164">
        <v>0.61439999999999995</v>
      </c>
      <c r="V267" s="164" t="s">
        <v>449</v>
      </c>
      <c r="W267" s="164">
        <v>1</v>
      </c>
    </row>
    <row r="268" spans="2:23">
      <c r="B268" s="164" t="s">
        <v>450</v>
      </c>
      <c r="C268" s="164" t="e">
        <f>#REF!</f>
        <v>#REF!</v>
      </c>
      <c r="D268" s="164">
        <f t="shared" si="102"/>
        <v>0</v>
      </c>
      <c r="E268" s="164">
        <f t="shared" ref="E268:J268" si="107">E27*AJ219</f>
        <v>0.52037999999999995</v>
      </c>
      <c r="F268" s="164">
        <f t="shared" si="107"/>
        <v>0.16020000000000001</v>
      </c>
      <c r="G268" s="164">
        <f t="shared" si="107"/>
        <v>0</v>
      </c>
      <c r="H268" s="164">
        <f t="shared" si="107"/>
        <v>0</v>
      </c>
      <c r="I268" s="164">
        <f t="shared" si="107"/>
        <v>0.54449999999999998</v>
      </c>
      <c r="J268" s="164">
        <f t="shared" si="107"/>
        <v>0</v>
      </c>
      <c r="K268" s="94" t="s">
        <v>339</v>
      </c>
      <c r="L268" s="94"/>
      <c r="M268" s="164" t="str">
        <f t="shared" si="101"/>
        <v>repp-NMC811</v>
      </c>
      <c r="N268" s="165" t="s">
        <v>412</v>
      </c>
      <c r="O268" s="164">
        <v>6.4000000000000001E-2</v>
      </c>
      <c r="P268" s="164">
        <v>0.38400000000000001</v>
      </c>
      <c r="Q268" s="164">
        <v>4.8000000000000001E-2</v>
      </c>
      <c r="R268" s="164">
        <v>4.48E-2</v>
      </c>
      <c r="S268" s="164">
        <v>1.86944</v>
      </c>
      <c r="T268" s="164">
        <v>0.35136000000000001</v>
      </c>
      <c r="U268" s="164">
        <v>0.61504000000000003</v>
      </c>
      <c r="V268" s="164" t="s">
        <v>451</v>
      </c>
      <c r="W268" s="164">
        <v>1</v>
      </c>
    </row>
    <row r="269" spans="2:23">
      <c r="B269" s="164" t="s">
        <v>452</v>
      </c>
      <c r="C269" s="164" t="e">
        <f>#REF!</f>
        <v>#REF!</v>
      </c>
      <c r="D269" s="164">
        <f t="shared" si="102"/>
        <v>0</v>
      </c>
      <c r="E269" s="164">
        <f t="shared" ref="E269:J269" si="108">E28*AJ220</f>
        <v>0.58799999999999997</v>
      </c>
      <c r="F269" s="164">
        <f t="shared" si="108"/>
        <v>6.7500000000000004E-2</v>
      </c>
      <c r="G269" s="164">
        <f t="shared" si="108"/>
        <v>0</v>
      </c>
      <c r="H269" s="164">
        <f t="shared" si="108"/>
        <v>0</v>
      </c>
      <c r="I269" s="164">
        <f t="shared" si="108"/>
        <v>0.49409999999999998</v>
      </c>
      <c r="J269" s="164">
        <f t="shared" si="108"/>
        <v>0</v>
      </c>
      <c r="K269" s="94" t="s">
        <v>339</v>
      </c>
      <c r="L269" s="94"/>
      <c r="M269" s="94"/>
      <c r="N269" s="94"/>
      <c r="O269" s="94"/>
      <c r="P269" s="94"/>
      <c r="Q269" s="94"/>
      <c r="R269" s="94"/>
      <c r="S269" s="94"/>
      <c r="T269" s="94"/>
      <c r="U269" s="94"/>
      <c r="V269" s="94"/>
      <c r="W269" s="94"/>
    </row>
    <row r="270" spans="2:23">
      <c r="B270" s="164" t="s">
        <v>453</v>
      </c>
      <c r="C270" s="164" t="e">
        <f>#REF!</f>
        <v>#REF!</v>
      </c>
      <c r="D270" s="164">
        <f>D22*AI225</f>
        <v>8.5500000000000007E-2</v>
      </c>
      <c r="E270" s="164">
        <f t="shared" ref="E270:J270" si="109">E22*AJ225</f>
        <v>0</v>
      </c>
      <c r="F270" s="164">
        <f t="shared" si="109"/>
        <v>0</v>
      </c>
      <c r="G270" s="164">
        <f t="shared" si="109"/>
        <v>0</v>
      </c>
      <c r="H270" s="164">
        <f t="shared" si="109"/>
        <v>3.1751999999999998</v>
      </c>
      <c r="I270" s="164">
        <f t="shared" si="109"/>
        <v>0.85140000000000005</v>
      </c>
      <c r="J270" s="164">
        <f t="shared" si="109"/>
        <v>0.97650000000000003</v>
      </c>
      <c r="K270" s="94" t="s">
        <v>339</v>
      </c>
      <c r="L270" s="94"/>
      <c r="M270" s="94"/>
      <c r="N270" s="94"/>
      <c r="O270" s="94"/>
      <c r="P270" s="94"/>
      <c r="Q270" s="94"/>
      <c r="R270" s="94"/>
      <c r="S270" s="94"/>
      <c r="T270" s="94"/>
      <c r="U270" s="94"/>
      <c r="V270" s="94"/>
      <c r="W270" s="94"/>
    </row>
    <row r="271" spans="2:23">
      <c r="B271" s="164" t="s">
        <v>454</v>
      </c>
      <c r="C271" s="164" t="e">
        <f>#REF!</f>
        <v>#REF!</v>
      </c>
      <c r="D271" s="164">
        <f t="shared" ref="D271:D276" si="110">D23*AI226</f>
        <v>9.5399999999999999E-2</v>
      </c>
      <c r="E271" s="164">
        <f t="shared" ref="E271:E276" si="111">E23*AJ226</f>
        <v>0</v>
      </c>
      <c r="F271" s="164">
        <f t="shared" ref="F271:F276" si="112">F23*AK226</f>
        <v>0</v>
      </c>
      <c r="G271" s="164">
        <f t="shared" ref="G271:G276" si="113">G23*AL226</f>
        <v>1.36808</v>
      </c>
      <c r="H271" s="164">
        <f t="shared" ref="H271:H276" si="114">H23*AM226</f>
        <v>3.0320999999999998</v>
      </c>
      <c r="I271" s="164">
        <f t="shared" ref="I271:I276" si="115">I23*AN226</f>
        <v>0.77669999999999995</v>
      </c>
      <c r="J271" s="164">
        <f t="shared" ref="J271:J276" si="116">J23*AO226</f>
        <v>0.81989999999999996</v>
      </c>
      <c r="K271" s="94" t="s">
        <v>339</v>
      </c>
      <c r="L271" s="94"/>
      <c r="M271" s="94"/>
      <c r="N271" s="94"/>
      <c r="O271" s="94"/>
      <c r="P271" s="94"/>
      <c r="Q271" s="94"/>
      <c r="R271" s="94"/>
      <c r="S271" s="94"/>
      <c r="T271" s="94"/>
      <c r="U271" s="94"/>
      <c r="V271" s="94"/>
      <c r="W271" s="94"/>
    </row>
    <row r="272" spans="2:23">
      <c r="B272" s="164" t="s">
        <v>455</v>
      </c>
      <c r="C272" s="164" t="e">
        <f>#REF!</f>
        <v>#REF!</v>
      </c>
      <c r="D272" s="164">
        <f t="shared" si="110"/>
        <v>9.1800000000000007E-2</v>
      </c>
      <c r="E272" s="164">
        <f t="shared" si="111"/>
        <v>0.65856000000000003</v>
      </c>
      <c r="F272" s="164">
        <f t="shared" si="112"/>
        <v>0.12446</v>
      </c>
      <c r="G272" s="164">
        <f t="shared" si="113"/>
        <v>0</v>
      </c>
      <c r="H272" s="164">
        <f t="shared" si="114"/>
        <v>2.6280000000000001</v>
      </c>
      <c r="I272" s="164">
        <f t="shared" si="115"/>
        <v>0.50760000000000005</v>
      </c>
      <c r="J272" s="164">
        <f t="shared" si="116"/>
        <v>0.88019999999999998</v>
      </c>
      <c r="K272" s="94" t="s">
        <v>339</v>
      </c>
      <c r="L272" s="94"/>
      <c r="M272" s="94"/>
      <c r="N272" s="94"/>
      <c r="O272" s="94"/>
      <c r="P272" s="94"/>
      <c r="Q272" s="94"/>
      <c r="R272" s="94"/>
      <c r="S272" s="94"/>
      <c r="T272" s="94"/>
      <c r="U272" s="94"/>
      <c r="V272" s="94"/>
      <c r="W272" s="94"/>
    </row>
    <row r="273" spans="2:23">
      <c r="B273" s="164" t="s">
        <v>456</v>
      </c>
      <c r="C273" s="164" t="e">
        <f>#REF!</f>
        <v>#REF!</v>
      </c>
      <c r="D273" s="164">
        <f t="shared" si="110"/>
        <v>0.12690000000000001</v>
      </c>
      <c r="E273" s="164">
        <f t="shared" si="111"/>
        <v>0.34398000000000001</v>
      </c>
      <c r="F273" s="164">
        <f t="shared" si="112"/>
        <v>0.34495999999999999</v>
      </c>
      <c r="G273" s="164">
        <f t="shared" si="113"/>
        <v>0.32144</v>
      </c>
      <c r="H273" s="164">
        <f t="shared" si="114"/>
        <v>2.7989999999999999</v>
      </c>
      <c r="I273" s="164">
        <f t="shared" si="115"/>
        <v>0.60929999999999995</v>
      </c>
      <c r="J273" s="164">
        <f t="shared" si="116"/>
        <v>0.88019999999999998</v>
      </c>
      <c r="K273" s="94" t="s">
        <v>339</v>
      </c>
      <c r="L273" s="94"/>
      <c r="M273" s="94"/>
      <c r="N273" s="94"/>
      <c r="O273" s="94"/>
      <c r="P273" s="94"/>
      <c r="Q273" s="94"/>
      <c r="R273" s="94"/>
      <c r="S273" s="94"/>
      <c r="T273" s="94"/>
      <c r="U273" s="94"/>
      <c r="V273" s="94"/>
      <c r="W273" s="94"/>
    </row>
    <row r="274" spans="2:23">
      <c r="B274" s="164" t="s">
        <v>457</v>
      </c>
      <c r="C274" s="164" t="e">
        <f>#REF!</f>
        <v>#REF!</v>
      </c>
      <c r="D274" s="164">
        <f t="shared" si="110"/>
        <v>0.12239999999999999</v>
      </c>
      <c r="E274" s="164">
        <f t="shared" si="111"/>
        <v>0.49784</v>
      </c>
      <c r="F274" s="164">
        <f t="shared" si="112"/>
        <v>0.19991999999999999</v>
      </c>
      <c r="G274" s="164">
        <f t="shared" si="113"/>
        <v>0.27929999999999999</v>
      </c>
      <c r="H274" s="164">
        <f t="shared" si="114"/>
        <v>2.7629999999999999</v>
      </c>
      <c r="I274" s="164">
        <f t="shared" si="115"/>
        <v>0.59489999999999998</v>
      </c>
      <c r="J274" s="164">
        <f t="shared" si="116"/>
        <v>0.88290000000000002</v>
      </c>
      <c r="K274" s="94" t="s">
        <v>339</v>
      </c>
      <c r="L274" s="94"/>
      <c r="M274" s="94"/>
      <c r="N274" s="94"/>
      <c r="O274" s="94"/>
      <c r="P274" s="94"/>
      <c r="Q274" s="94"/>
      <c r="R274" s="94"/>
      <c r="S274" s="94"/>
      <c r="T274" s="94"/>
      <c r="U274" s="94"/>
      <c r="V274" s="94"/>
      <c r="W274" s="94"/>
    </row>
    <row r="275" spans="2:23">
      <c r="B275" s="164" t="s">
        <v>458</v>
      </c>
      <c r="C275" s="164" t="e">
        <f>#REF!</f>
        <v>#REF!</v>
      </c>
      <c r="D275" s="164">
        <f t="shared" si="110"/>
        <v>0.1062</v>
      </c>
      <c r="E275" s="164">
        <f t="shared" si="111"/>
        <v>0.52037999999999995</v>
      </c>
      <c r="F275" s="164">
        <f t="shared" si="112"/>
        <v>0.17444000000000001</v>
      </c>
      <c r="G275" s="164">
        <f t="shared" si="113"/>
        <v>0.16267999999999999</v>
      </c>
      <c r="H275" s="164">
        <f t="shared" si="114"/>
        <v>2.7153</v>
      </c>
      <c r="I275" s="164">
        <f t="shared" si="115"/>
        <v>0.54449999999999998</v>
      </c>
      <c r="J275" s="164">
        <f t="shared" si="116"/>
        <v>0.86399999999999999</v>
      </c>
      <c r="K275" s="94" t="s">
        <v>339</v>
      </c>
      <c r="L275" s="94"/>
      <c r="M275" s="94"/>
      <c r="N275" s="94"/>
      <c r="O275" s="94"/>
      <c r="P275" s="94"/>
      <c r="Q275" s="94"/>
      <c r="R275" s="94"/>
      <c r="S275" s="94"/>
      <c r="T275" s="94"/>
      <c r="U275" s="94"/>
      <c r="V275" s="94"/>
      <c r="W275" s="94"/>
    </row>
    <row r="276" spans="2:23">
      <c r="B276" s="164" t="s">
        <v>459</v>
      </c>
      <c r="C276" s="164" t="e">
        <f>#REF!</f>
        <v>#REF!</v>
      </c>
      <c r="D276" s="164">
        <f t="shared" si="110"/>
        <v>0.09</v>
      </c>
      <c r="E276" s="164">
        <f t="shared" si="111"/>
        <v>0.58799999999999997</v>
      </c>
      <c r="F276" s="164">
        <f t="shared" si="112"/>
        <v>7.3499999999999996E-2</v>
      </c>
      <c r="G276" s="164">
        <f t="shared" si="113"/>
        <v>6.8599999999999994E-2</v>
      </c>
      <c r="H276" s="164">
        <f t="shared" si="114"/>
        <v>2.6288999999999998</v>
      </c>
      <c r="I276" s="164">
        <f t="shared" si="115"/>
        <v>0.49409999999999998</v>
      </c>
      <c r="J276" s="164">
        <f t="shared" si="116"/>
        <v>0.8649</v>
      </c>
      <c r="K276" s="94" t="s">
        <v>339</v>
      </c>
      <c r="L276" s="94"/>
      <c r="M276" s="94"/>
      <c r="N276" s="94"/>
      <c r="O276" s="94"/>
      <c r="P276" s="94"/>
      <c r="Q276" s="94"/>
      <c r="R276" s="94"/>
      <c r="S276" s="94"/>
      <c r="T276" s="94"/>
      <c r="U276" s="94"/>
      <c r="V276" s="94"/>
      <c r="W276" s="94"/>
    </row>
    <row r="277" spans="2:23">
      <c r="B277" s="164" t="s">
        <v>460</v>
      </c>
      <c r="C277" s="164" t="e">
        <f>#REF!</f>
        <v>#REF!</v>
      </c>
      <c r="D277" s="164">
        <f>D22*AI236</f>
        <v>0</v>
      </c>
      <c r="E277" s="164">
        <f t="shared" ref="E277:J277" si="117">E22*AJ236</f>
        <v>0</v>
      </c>
      <c r="F277" s="164">
        <f t="shared" si="117"/>
        <v>0</v>
      </c>
      <c r="G277" s="164">
        <f t="shared" si="117"/>
        <v>0</v>
      </c>
      <c r="H277" s="164">
        <f t="shared" si="117"/>
        <v>3.1751999999999998</v>
      </c>
      <c r="I277" s="164">
        <f t="shared" si="117"/>
        <v>0.85140000000000005</v>
      </c>
      <c r="J277" s="164">
        <f t="shared" si="117"/>
        <v>0.97650000000000003</v>
      </c>
      <c r="K277" s="94" t="s">
        <v>339</v>
      </c>
      <c r="L277" s="94"/>
      <c r="M277" s="94"/>
      <c r="N277" s="94"/>
      <c r="O277" s="94"/>
      <c r="P277" s="94"/>
      <c r="Q277" s="94"/>
      <c r="R277" s="94"/>
      <c r="S277" s="94"/>
      <c r="T277" s="94"/>
      <c r="U277" s="94"/>
      <c r="V277" s="94"/>
      <c r="W277" s="94"/>
    </row>
    <row r="278" spans="2:23">
      <c r="B278" s="164" t="s">
        <v>461</v>
      </c>
      <c r="C278" s="164" t="e">
        <f>#REF!</f>
        <v>#REF!</v>
      </c>
      <c r="D278" s="164">
        <f t="shared" ref="D278:D283" si="118">D23*AI237</f>
        <v>0</v>
      </c>
      <c r="E278" s="164">
        <f t="shared" ref="E278:J278" si="119">E23*AJ237</f>
        <v>0</v>
      </c>
      <c r="F278" s="164">
        <f t="shared" si="119"/>
        <v>0</v>
      </c>
      <c r="G278" s="164">
        <f t="shared" si="119"/>
        <v>1.2564</v>
      </c>
      <c r="H278" s="164">
        <f t="shared" si="119"/>
        <v>3.0320999999999998</v>
      </c>
      <c r="I278" s="164">
        <f t="shared" si="119"/>
        <v>0.77669999999999995</v>
      </c>
      <c r="J278" s="164">
        <f t="shared" si="119"/>
        <v>0.81989999999999996</v>
      </c>
      <c r="K278" s="94" t="s">
        <v>339</v>
      </c>
      <c r="L278" s="94"/>
      <c r="M278" s="94"/>
      <c r="N278" s="94"/>
      <c r="O278" s="94"/>
      <c r="P278" s="94"/>
      <c r="Q278" s="94"/>
      <c r="R278" s="94"/>
      <c r="S278" s="94"/>
      <c r="T278" s="94"/>
      <c r="U278" s="94"/>
      <c r="V278" s="94"/>
      <c r="W278" s="94"/>
    </row>
    <row r="279" spans="2:23">
      <c r="B279" s="164" t="s">
        <v>462</v>
      </c>
      <c r="C279" s="164" t="e">
        <f>#REF!</f>
        <v>#REF!</v>
      </c>
      <c r="D279" s="164">
        <f t="shared" si="118"/>
        <v>0</v>
      </c>
      <c r="E279" s="164">
        <f t="shared" ref="E279:J279" si="120">E24*AJ238</f>
        <v>0.6048</v>
      </c>
      <c r="F279" s="164">
        <f t="shared" si="120"/>
        <v>0.1143</v>
      </c>
      <c r="G279" s="164">
        <f t="shared" si="120"/>
        <v>0</v>
      </c>
      <c r="H279" s="164">
        <f t="shared" si="120"/>
        <v>2.6280000000000001</v>
      </c>
      <c r="I279" s="164">
        <f t="shared" si="120"/>
        <v>0.50760000000000005</v>
      </c>
      <c r="J279" s="164">
        <f t="shared" si="120"/>
        <v>0.88019999999999998</v>
      </c>
      <c r="K279" s="94" t="s">
        <v>339</v>
      </c>
      <c r="L279" s="94"/>
      <c r="M279" s="94"/>
      <c r="N279" s="94"/>
      <c r="O279" s="94"/>
      <c r="P279" s="94"/>
      <c r="Q279" s="94"/>
      <c r="R279" s="94"/>
      <c r="S279" s="94"/>
      <c r="T279" s="94"/>
      <c r="U279" s="94"/>
      <c r="V279" s="94"/>
      <c r="W279" s="94"/>
    </row>
    <row r="280" spans="2:23">
      <c r="B280" s="164" t="s">
        <v>463</v>
      </c>
      <c r="C280" s="164" t="e">
        <f>#REF!</f>
        <v>#REF!</v>
      </c>
      <c r="D280" s="164">
        <f t="shared" si="118"/>
        <v>0</v>
      </c>
      <c r="E280" s="164">
        <f t="shared" ref="E280:J280" si="121">E25*AJ239</f>
        <v>0.31590000000000001</v>
      </c>
      <c r="F280" s="164">
        <f t="shared" si="121"/>
        <v>0.31680000000000003</v>
      </c>
      <c r="G280" s="164">
        <f t="shared" si="121"/>
        <v>0.29520000000000002</v>
      </c>
      <c r="H280" s="164">
        <f t="shared" si="121"/>
        <v>2.7989999999999999</v>
      </c>
      <c r="I280" s="164">
        <f t="shared" si="121"/>
        <v>0.60929999999999995</v>
      </c>
      <c r="J280" s="164">
        <f t="shared" si="121"/>
        <v>0.88019999999999998</v>
      </c>
      <c r="K280" s="94" t="s">
        <v>339</v>
      </c>
      <c r="L280" s="94"/>
      <c r="M280" s="94"/>
      <c r="N280" s="94"/>
      <c r="O280" s="94"/>
      <c r="P280" s="94"/>
      <c r="Q280" s="94"/>
      <c r="R280" s="94"/>
      <c r="S280" s="94"/>
      <c r="T280" s="94"/>
      <c r="U280" s="94"/>
      <c r="V280" s="94"/>
      <c r="W280" s="94"/>
    </row>
    <row r="281" spans="2:23">
      <c r="B281" s="164" t="s">
        <v>464</v>
      </c>
      <c r="C281" s="164" t="e">
        <f>#REF!</f>
        <v>#REF!</v>
      </c>
      <c r="D281" s="164">
        <f t="shared" si="118"/>
        <v>0</v>
      </c>
      <c r="E281" s="164">
        <f t="shared" ref="E281:J281" si="122">E26*AJ240</f>
        <v>0.4572</v>
      </c>
      <c r="F281" s="164">
        <f t="shared" si="122"/>
        <v>0.18360000000000001</v>
      </c>
      <c r="G281" s="164">
        <f t="shared" si="122"/>
        <v>0.25650000000000001</v>
      </c>
      <c r="H281" s="164">
        <f t="shared" si="122"/>
        <v>2.7629999999999999</v>
      </c>
      <c r="I281" s="164">
        <f t="shared" si="122"/>
        <v>0.59489999999999998</v>
      </c>
      <c r="J281" s="164">
        <f t="shared" si="122"/>
        <v>0.88290000000000002</v>
      </c>
      <c r="K281" s="94" t="s">
        <v>339</v>
      </c>
      <c r="L281" s="94"/>
      <c r="M281" s="94"/>
      <c r="N281" s="94"/>
      <c r="O281" s="94"/>
      <c r="P281" s="94"/>
      <c r="Q281" s="94"/>
      <c r="R281" s="94"/>
      <c r="S281" s="94"/>
      <c r="T281" s="94"/>
      <c r="U281" s="94"/>
      <c r="V281" s="94"/>
      <c r="W281" s="94"/>
    </row>
    <row r="282" spans="2:23">
      <c r="B282" s="164" t="s">
        <v>465</v>
      </c>
      <c r="C282" s="164" t="e">
        <f>#REF!</f>
        <v>#REF!</v>
      </c>
      <c r="D282" s="164">
        <f t="shared" si="118"/>
        <v>0</v>
      </c>
      <c r="E282" s="164">
        <f t="shared" ref="E282:J282" si="123">E27*AJ241</f>
        <v>0.47789999999999999</v>
      </c>
      <c r="F282" s="164">
        <f t="shared" si="123"/>
        <v>0.16020000000000001</v>
      </c>
      <c r="G282" s="164">
        <f t="shared" si="123"/>
        <v>0.14940000000000001</v>
      </c>
      <c r="H282" s="164">
        <f t="shared" si="123"/>
        <v>2.7153</v>
      </c>
      <c r="I282" s="164">
        <f t="shared" si="123"/>
        <v>0.54449999999999998</v>
      </c>
      <c r="J282" s="164">
        <f t="shared" si="123"/>
        <v>0.86399999999999999</v>
      </c>
      <c r="K282" s="94" t="s">
        <v>339</v>
      </c>
      <c r="L282" s="94"/>
      <c r="M282" s="94"/>
      <c r="N282" s="94"/>
      <c r="O282" s="94"/>
      <c r="P282" s="94"/>
      <c r="Q282" s="94"/>
      <c r="R282" s="94"/>
      <c r="S282" s="94"/>
      <c r="T282" s="94"/>
      <c r="U282" s="94"/>
      <c r="V282" s="94"/>
      <c r="W282" s="94"/>
    </row>
    <row r="283" spans="2:23">
      <c r="B283" s="164" t="s">
        <v>466</v>
      </c>
      <c r="C283" s="164" t="e">
        <f>#REF!</f>
        <v>#REF!</v>
      </c>
      <c r="D283" s="164">
        <f t="shared" si="118"/>
        <v>0</v>
      </c>
      <c r="E283" s="164">
        <f t="shared" ref="E283:J283" si="124">E28*AJ242</f>
        <v>0.54</v>
      </c>
      <c r="F283" s="164">
        <f t="shared" si="124"/>
        <v>6.7500000000000004E-2</v>
      </c>
      <c r="G283" s="164">
        <f t="shared" si="124"/>
        <v>6.3E-2</v>
      </c>
      <c r="H283" s="164">
        <f t="shared" si="124"/>
        <v>2.6288999999999998</v>
      </c>
      <c r="I283" s="164">
        <f t="shared" si="124"/>
        <v>0.49409999999999998</v>
      </c>
      <c r="J283" s="164">
        <f t="shared" si="124"/>
        <v>0.8649</v>
      </c>
      <c r="K283" s="94" t="s">
        <v>339</v>
      </c>
      <c r="L283" s="94"/>
      <c r="M283" s="94"/>
      <c r="N283" s="94"/>
      <c r="O283" s="94"/>
      <c r="P283" s="94"/>
      <c r="Q283" s="94"/>
      <c r="R283" s="94"/>
      <c r="S283" s="94"/>
      <c r="T283" s="94"/>
      <c r="U283" s="94"/>
      <c r="V283" s="94"/>
      <c r="W283" s="94"/>
    </row>
    <row r="320" s="79" customFormat="1"/>
    <row r="347" spans="4:5" ht="14.25">
      <c r="D347" s="80"/>
      <c r="E347" s="80"/>
    </row>
    <row r="355" spans="14:22" ht="14.25">
      <c r="N355" s="166"/>
      <c r="O355" s="166"/>
      <c r="P355" s="166"/>
      <c r="Q355" s="166"/>
      <c r="R355"/>
      <c r="S355"/>
      <c r="T355"/>
      <c r="U355"/>
      <c r="V355"/>
    </row>
    <row r="356" spans="14:22" ht="13.9">
      <c r="N356" s="167"/>
      <c r="O356" s="166"/>
      <c r="P356" s="166"/>
      <c r="Q356" s="166"/>
      <c r="R356" s="166"/>
      <c r="S356" s="166"/>
      <c r="T356" s="166"/>
      <c r="U356" s="166"/>
      <c r="V356" s="166"/>
    </row>
    <row r="357" spans="14:22" ht="13.9">
      <c r="N357" s="167"/>
      <c r="O357" s="166"/>
      <c r="P357" s="166"/>
      <c r="Q357" s="166"/>
      <c r="R357" s="166"/>
      <c r="S357" s="166"/>
      <c r="T357" s="166"/>
      <c r="U357" s="166"/>
      <c r="V357" s="166"/>
    </row>
    <row r="358" spans="14:22" ht="13.9">
      <c r="N358" s="168"/>
      <c r="O358" s="166"/>
      <c r="P358" s="166"/>
      <c r="Q358" s="166"/>
      <c r="R358" s="166"/>
      <c r="S358" s="166"/>
      <c r="T358" s="166"/>
      <c r="U358" s="166"/>
      <c r="V358" s="166"/>
    </row>
    <row r="359" spans="14:22" ht="13.9">
      <c r="N359" s="167"/>
      <c r="O359" s="166"/>
      <c r="P359" s="166"/>
      <c r="Q359" s="166"/>
      <c r="R359" s="166"/>
      <c r="S359" s="166"/>
      <c r="T359" s="166"/>
      <c r="U359" s="166"/>
      <c r="V359" s="166"/>
    </row>
    <row r="360" spans="14:22" ht="13.9">
      <c r="N360" s="167"/>
      <c r="O360" s="166"/>
      <c r="P360" s="166"/>
      <c r="Q360" s="166"/>
      <c r="R360" s="166"/>
      <c r="S360" s="166"/>
      <c r="T360" s="166"/>
      <c r="U360" s="166"/>
      <c r="V360" s="166"/>
    </row>
    <row r="361" spans="14:22" ht="13.9">
      <c r="N361" s="167"/>
      <c r="O361" s="166"/>
      <c r="P361" s="166"/>
      <c r="Q361" s="166"/>
      <c r="R361" s="166"/>
      <c r="S361" s="166"/>
      <c r="T361" s="166"/>
      <c r="U361" s="166"/>
      <c r="V361" s="166"/>
    </row>
    <row r="362" spans="14:22" ht="13.9">
      <c r="N362" s="167"/>
      <c r="O362" s="166"/>
      <c r="P362" s="166"/>
      <c r="Q362" s="166"/>
      <c r="R362" s="166"/>
      <c r="S362" s="166"/>
      <c r="T362" s="166"/>
      <c r="U362" s="166"/>
      <c r="V362" s="166"/>
    </row>
    <row r="363" spans="14:22" ht="14.65">
      <c r="N363" s="167"/>
      <c r="O363" s="166"/>
      <c r="P363" s="166"/>
      <c r="Q363" s="166"/>
      <c r="R363" s="166"/>
      <c r="S363" s="166"/>
      <c r="T363"/>
      <c r="U363"/>
      <c r="V363"/>
    </row>
    <row r="374" spans="3:3">
      <c r="C374" s="138"/>
    </row>
    <row r="375" spans="3:3">
      <c r="C375" s="138"/>
    </row>
    <row r="376" spans="3:3">
      <c r="C376" s="138"/>
    </row>
    <row r="377" spans="3:3">
      <c r="C377" s="138"/>
    </row>
    <row r="378" spans="3:3">
      <c r="C378" s="138"/>
    </row>
    <row r="379" spans="3:3">
      <c r="C379" s="138"/>
    </row>
    <row r="380" spans="3:3">
      <c r="C380" s="138"/>
    </row>
    <row r="401" s="79" customFormat="1"/>
    <row r="402" s="79" customFormat="1"/>
    <row r="403" s="79" customFormat="1"/>
  </sheetData>
  <mergeCells count="22">
    <mergeCell ref="J230:R230"/>
    <mergeCell ref="AH234:AN234"/>
    <mergeCell ref="J213:L213"/>
    <mergeCell ref="M213:O213"/>
    <mergeCell ref="P213:R213"/>
    <mergeCell ref="S213:U213"/>
    <mergeCell ref="AH223:AN223"/>
    <mergeCell ref="J211:U211"/>
    <mergeCell ref="J212:L212"/>
    <mergeCell ref="M212:O212"/>
    <mergeCell ref="P212:R212"/>
    <mergeCell ref="AH212:AN212"/>
    <mergeCell ref="J129:L129"/>
    <mergeCell ref="M129:O129"/>
    <mergeCell ref="P129:R129"/>
    <mergeCell ref="J140:R140"/>
    <mergeCell ref="J152:R152"/>
    <mergeCell ref="AA124:AF124"/>
    <mergeCell ref="J126:R126"/>
    <mergeCell ref="J128:L128"/>
    <mergeCell ref="M128:O128"/>
    <mergeCell ref="P128:R128"/>
  </mergeCells>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3:M48"/>
  <sheetViews>
    <sheetView topLeftCell="A42" zoomScale="85" zoomScaleNormal="85" workbookViewId="0">
      <selection activeCell="B28" sqref="B28:K32"/>
    </sheetView>
  </sheetViews>
  <sheetFormatPr defaultColWidth="9" defaultRowHeight="14.25"/>
  <cols>
    <col min="1" max="1" width="9" style="62"/>
    <col min="2" max="2" width="43" style="62" customWidth="1"/>
    <col min="3" max="3" width="7.59765625" style="62" customWidth="1"/>
    <col min="4" max="4" width="10.265625" style="62" customWidth="1"/>
    <col min="5" max="5" width="7.59765625" style="62" customWidth="1"/>
    <col min="6" max="6" width="10.9296875" style="62" customWidth="1"/>
    <col min="7" max="7" width="10.06640625" style="62" customWidth="1"/>
    <col min="8" max="8" width="10.9296875" style="62" customWidth="1"/>
    <col min="9" max="10" width="9" style="62"/>
    <col min="11" max="11" width="28" style="62" customWidth="1"/>
    <col min="12" max="16384" width="9" style="62"/>
  </cols>
  <sheetData>
    <row r="3" spans="2:11" ht="17.2" customHeight="1">
      <c r="B3" s="63" t="s">
        <v>467</v>
      </c>
      <c r="K3" s="70" t="s">
        <v>468</v>
      </c>
    </row>
    <row r="4" spans="2:11" ht="21" customHeight="1">
      <c r="B4" s="64"/>
      <c r="C4" s="65" t="s">
        <v>212</v>
      </c>
      <c r="D4" s="65" t="s">
        <v>217</v>
      </c>
      <c r="E4" s="65" t="s">
        <v>223</v>
      </c>
      <c r="F4" s="65" t="s">
        <v>229</v>
      </c>
      <c r="G4" s="65" t="s">
        <v>469</v>
      </c>
      <c r="H4" s="65" t="s">
        <v>241</v>
      </c>
      <c r="I4" s="65" t="s">
        <v>246</v>
      </c>
      <c r="K4" s="77" t="s">
        <v>470</v>
      </c>
    </row>
    <row r="5" spans="2:11" ht="15.4">
      <c r="B5" s="66" t="s">
        <v>280</v>
      </c>
      <c r="C5" s="66">
        <v>9.5000000000000001E-2</v>
      </c>
      <c r="D5" s="66">
        <v>0.106</v>
      </c>
      <c r="E5" s="66">
        <v>0.10199999999999999</v>
      </c>
      <c r="F5" s="66">
        <v>0.14099999999999999</v>
      </c>
      <c r="G5" s="66">
        <v>0.13600000000000001</v>
      </c>
      <c r="H5" s="66">
        <v>0.11799999999999999</v>
      </c>
      <c r="I5" s="66">
        <v>0.1</v>
      </c>
      <c r="K5" s="70"/>
    </row>
    <row r="6" spans="2:11" ht="15.4">
      <c r="B6" s="66" t="s">
        <v>282</v>
      </c>
      <c r="C6" s="66">
        <v>0</v>
      </c>
      <c r="D6" s="66">
        <v>0</v>
      </c>
      <c r="E6" s="66">
        <v>0.67200000000000004</v>
      </c>
      <c r="F6" s="66">
        <v>0.35099999999999998</v>
      </c>
      <c r="G6" s="66">
        <v>0.50800000000000001</v>
      </c>
      <c r="H6" s="66">
        <v>0.53100000000000003</v>
      </c>
      <c r="I6" s="66">
        <v>0.6</v>
      </c>
      <c r="K6" s="70"/>
    </row>
    <row r="7" spans="2:11" ht="15.4">
      <c r="B7" s="66" t="s">
        <v>283</v>
      </c>
      <c r="C7" s="66">
        <v>0</v>
      </c>
      <c r="D7" s="66">
        <v>0</v>
      </c>
      <c r="E7" s="66">
        <v>0.127</v>
      </c>
      <c r="F7" s="66">
        <v>0.35199999999999998</v>
      </c>
      <c r="G7" s="66">
        <v>0.20399999999999999</v>
      </c>
      <c r="H7" s="66">
        <v>0.17799999999999999</v>
      </c>
      <c r="I7" s="66">
        <v>7.4999999999999997E-2</v>
      </c>
      <c r="K7" s="70"/>
    </row>
    <row r="8" spans="2:11" ht="15.4">
      <c r="B8" s="66" t="s">
        <v>284</v>
      </c>
      <c r="C8" s="66">
        <v>0</v>
      </c>
      <c r="D8" s="66">
        <v>1.3959999999999999</v>
      </c>
      <c r="E8" s="66">
        <v>0</v>
      </c>
      <c r="F8" s="66">
        <v>0.32800000000000001</v>
      </c>
      <c r="G8" s="66">
        <v>0.28499999999999998</v>
      </c>
      <c r="H8" s="66">
        <v>0.16600000000000001</v>
      </c>
      <c r="I8" s="66">
        <v>7.0000000000000007E-2</v>
      </c>
      <c r="K8" s="70"/>
    </row>
    <row r="9" spans="2:11" ht="15.4">
      <c r="B9" s="66" t="s">
        <v>285</v>
      </c>
      <c r="C9" s="66">
        <v>3.528</v>
      </c>
      <c r="D9" s="66">
        <v>3.3690000000000002</v>
      </c>
      <c r="E9" s="66">
        <v>2.92</v>
      </c>
      <c r="F9" s="66">
        <v>3.11</v>
      </c>
      <c r="G9" s="66">
        <v>3.07</v>
      </c>
      <c r="H9" s="66">
        <v>3.0169999999999999</v>
      </c>
      <c r="I9" s="66">
        <v>2.9209999999999998</v>
      </c>
      <c r="K9" s="70"/>
    </row>
    <row r="10" spans="2:11" ht="15.4">
      <c r="B10" s="66" t="s">
        <v>286</v>
      </c>
      <c r="C10" s="66">
        <v>0.94599999999999995</v>
      </c>
      <c r="D10" s="66">
        <v>0.86299999999999999</v>
      </c>
      <c r="E10" s="66">
        <v>0.56399999999999995</v>
      </c>
      <c r="F10" s="66">
        <v>0.67700000000000005</v>
      </c>
      <c r="G10" s="66">
        <v>0.66100000000000003</v>
      </c>
      <c r="H10" s="66">
        <v>0.60499999999999998</v>
      </c>
      <c r="I10" s="66">
        <v>0.54900000000000004</v>
      </c>
      <c r="K10" s="70"/>
    </row>
    <row r="11" spans="2:11" ht="15.4">
      <c r="B11" s="66" t="s">
        <v>471</v>
      </c>
      <c r="C11" s="66">
        <v>1.085</v>
      </c>
      <c r="D11" s="66">
        <v>0.91100000000000003</v>
      </c>
      <c r="E11" s="66">
        <v>0.97799999999999998</v>
      </c>
      <c r="F11" s="66">
        <v>0.97799999999999998</v>
      </c>
      <c r="G11" s="66">
        <v>0.98099999999999998</v>
      </c>
      <c r="H11" s="66">
        <v>0.96</v>
      </c>
      <c r="I11" s="66">
        <v>0.96099999999999997</v>
      </c>
      <c r="K11" s="70"/>
    </row>
    <row r="12" spans="2:11">
      <c r="K12" s="70"/>
    </row>
    <row r="13" spans="2:11">
      <c r="K13" s="70"/>
    </row>
    <row r="14" spans="2:11">
      <c r="K14" s="70"/>
    </row>
    <row r="15" spans="2:11" ht="15.4">
      <c r="B15" s="63" t="s">
        <v>472</v>
      </c>
      <c r="K15" s="70" t="s">
        <v>468</v>
      </c>
    </row>
    <row r="16" spans="2:11" ht="15.4">
      <c r="B16" s="64"/>
      <c r="C16" s="65" t="s">
        <v>212</v>
      </c>
      <c r="D16" s="65" t="s">
        <v>217</v>
      </c>
      <c r="E16" s="65" t="s">
        <v>223</v>
      </c>
      <c r="F16" s="65" t="s">
        <v>229</v>
      </c>
      <c r="G16" s="65" t="s">
        <v>469</v>
      </c>
      <c r="H16" s="65" t="s">
        <v>241</v>
      </c>
      <c r="I16" s="65" t="s">
        <v>246</v>
      </c>
      <c r="K16" s="70" t="s">
        <v>473</v>
      </c>
    </row>
    <row r="17" spans="2:11">
      <c r="B17" s="67" t="s">
        <v>474</v>
      </c>
      <c r="C17" s="67" t="s">
        <v>475</v>
      </c>
      <c r="D17" s="67" t="s">
        <v>476</v>
      </c>
      <c r="E17" s="67" t="s">
        <v>477</v>
      </c>
      <c r="F17" s="277" t="s">
        <v>477</v>
      </c>
      <c r="G17" s="277"/>
      <c r="H17" s="277"/>
      <c r="I17" s="277"/>
    </row>
    <row r="18" spans="2:11">
      <c r="B18" s="67" t="s">
        <v>478</v>
      </c>
      <c r="C18" s="67" t="s">
        <v>479</v>
      </c>
      <c r="D18" s="67" t="s">
        <v>480</v>
      </c>
      <c r="E18" s="67" t="s">
        <v>481</v>
      </c>
      <c r="F18" s="278" t="s">
        <v>481</v>
      </c>
      <c r="G18" s="279"/>
      <c r="H18" s="279"/>
      <c r="I18" s="280"/>
    </row>
    <row r="24" spans="2:11" ht="15.4">
      <c r="B24" s="63" t="s">
        <v>482</v>
      </c>
    </row>
    <row r="25" spans="2:11" ht="15.4">
      <c r="B25" s="64"/>
      <c r="C25" s="65" t="s">
        <v>212</v>
      </c>
      <c r="D25" s="65" t="s">
        <v>217</v>
      </c>
      <c r="E25" s="65" t="s">
        <v>223</v>
      </c>
      <c r="F25" s="65" t="s">
        <v>229</v>
      </c>
      <c r="G25" s="65" t="s">
        <v>469</v>
      </c>
      <c r="H25" s="65" t="s">
        <v>241</v>
      </c>
      <c r="I25" s="65" t="s">
        <v>246</v>
      </c>
    </row>
    <row r="26" spans="2:11" ht="15.4">
      <c r="B26" s="66"/>
      <c r="C26" s="68">
        <v>0.8</v>
      </c>
      <c r="D26" s="68">
        <v>0.8</v>
      </c>
      <c r="E26" s="68">
        <v>0.8</v>
      </c>
      <c r="F26" s="68">
        <v>0.8</v>
      </c>
      <c r="G26" s="68">
        <v>0.8</v>
      </c>
      <c r="H26" s="68">
        <v>0.8</v>
      </c>
      <c r="I26" s="68">
        <v>0.8</v>
      </c>
    </row>
    <row r="27" spans="2:11" ht="15.4">
      <c r="B27" s="69"/>
      <c r="C27" s="69"/>
      <c r="D27" s="69"/>
      <c r="E27" s="69"/>
      <c r="F27" s="69"/>
      <c r="G27" s="69"/>
      <c r="H27" s="69"/>
      <c r="I27" s="69"/>
    </row>
    <row r="28" spans="2:11">
      <c r="B28" s="282" t="s">
        <v>483</v>
      </c>
      <c r="C28" s="283"/>
      <c r="D28" s="283"/>
      <c r="E28" s="283"/>
      <c r="F28" s="283"/>
      <c r="G28" s="283"/>
      <c r="H28" s="283"/>
      <c r="I28" s="283"/>
      <c r="J28" s="283"/>
      <c r="K28" s="283"/>
    </row>
    <row r="29" spans="2:11">
      <c r="B29" s="283"/>
      <c r="C29" s="283"/>
      <c r="D29" s="283"/>
      <c r="E29" s="283"/>
      <c r="F29" s="283"/>
      <c r="G29" s="283"/>
      <c r="H29" s="283"/>
      <c r="I29" s="283"/>
      <c r="J29" s="283"/>
      <c r="K29" s="283"/>
    </row>
    <row r="30" spans="2:11">
      <c r="B30" s="283"/>
      <c r="C30" s="283"/>
      <c r="D30" s="283"/>
      <c r="E30" s="283"/>
      <c r="F30" s="283"/>
      <c r="G30" s="283"/>
      <c r="H30" s="283"/>
      <c r="I30" s="283"/>
      <c r="J30" s="283"/>
      <c r="K30" s="283"/>
    </row>
    <row r="31" spans="2:11">
      <c r="B31" s="283"/>
      <c r="C31" s="283"/>
      <c r="D31" s="283"/>
      <c r="E31" s="283"/>
      <c r="F31" s="283"/>
      <c r="G31" s="283"/>
      <c r="H31" s="283"/>
      <c r="I31" s="283"/>
      <c r="J31" s="283"/>
      <c r="K31" s="283"/>
    </row>
    <row r="32" spans="2:11">
      <c r="B32" s="283"/>
      <c r="C32" s="283"/>
      <c r="D32" s="283"/>
      <c r="E32" s="283"/>
      <c r="F32" s="283"/>
      <c r="G32" s="283"/>
      <c r="H32" s="283"/>
      <c r="I32" s="283"/>
      <c r="J32" s="283"/>
      <c r="K32" s="283"/>
    </row>
    <row r="33" spans="2:13">
      <c r="B33" s="70" t="s">
        <v>484</v>
      </c>
    </row>
    <row r="35" spans="2:13" ht="72" customHeight="1">
      <c r="B35" s="281" t="s">
        <v>485</v>
      </c>
      <c r="C35" s="281"/>
      <c r="D35" s="281"/>
      <c r="E35" s="281"/>
      <c r="F35" s="281"/>
      <c r="G35" s="281"/>
      <c r="H35" s="281"/>
      <c r="I35" s="281"/>
      <c r="J35" s="281"/>
      <c r="K35" s="281"/>
      <c r="M35" s="78"/>
    </row>
    <row r="40" spans="2:13" ht="15.4">
      <c r="B40" s="63" t="s">
        <v>486</v>
      </c>
      <c r="K40" s="70" t="s">
        <v>468</v>
      </c>
    </row>
    <row r="41" spans="2:13" ht="83.65">
      <c r="B41" s="71"/>
      <c r="C41" s="72"/>
      <c r="D41" s="72"/>
      <c r="E41" s="72"/>
      <c r="F41" s="72"/>
      <c r="G41" s="72"/>
      <c r="H41" s="72"/>
      <c r="I41" s="72"/>
      <c r="K41" s="77" t="s">
        <v>470</v>
      </c>
    </row>
    <row r="42" spans="2:13" ht="15.4">
      <c r="B42" s="73" t="s">
        <v>280</v>
      </c>
      <c r="C42" s="74">
        <v>0.6</v>
      </c>
      <c r="D42" s="75"/>
      <c r="E42" s="75"/>
      <c r="F42" s="75"/>
      <c r="G42" s="75"/>
      <c r="H42" s="75"/>
      <c r="I42" s="75"/>
    </row>
    <row r="43" spans="2:13" ht="15.4">
      <c r="B43" s="73" t="s">
        <v>282</v>
      </c>
      <c r="C43" s="76">
        <v>0.56000000000000005</v>
      </c>
    </row>
    <row r="44" spans="2:13" ht="15.4">
      <c r="B44" s="73" t="s">
        <v>283</v>
      </c>
      <c r="C44" s="76">
        <v>0.65</v>
      </c>
    </row>
    <row r="45" spans="2:13" ht="15.4">
      <c r="B45" s="73" t="s">
        <v>284</v>
      </c>
      <c r="C45" s="76">
        <v>0.61</v>
      </c>
    </row>
    <row r="46" spans="2:13" ht="15.4">
      <c r="B46" s="73" t="s">
        <v>285</v>
      </c>
      <c r="C46" s="76">
        <v>0.52</v>
      </c>
    </row>
    <row r="47" spans="2:13" ht="15.4">
      <c r="B47" s="73" t="s">
        <v>286</v>
      </c>
      <c r="C47" s="76">
        <v>0.55000000000000004</v>
      </c>
    </row>
    <row r="48" spans="2:13" ht="15.4">
      <c r="B48" s="69"/>
    </row>
  </sheetData>
  <mergeCells count="4">
    <mergeCell ref="F17:I17"/>
    <mergeCell ref="F18:I18"/>
    <mergeCell ref="B35:K35"/>
    <mergeCell ref="B28:K32"/>
  </mergeCells>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F451"/>
  <sheetViews>
    <sheetView showGridLines="0" workbookViewId="0">
      <pane ySplit="2" topLeftCell="A3" activePane="bottomLeft" state="frozen"/>
      <selection pane="bottomLeft" activeCell="H11" sqref="H11"/>
    </sheetView>
  </sheetViews>
  <sheetFormatPr defaultColWidth="9" defaultRowHeight="14.25"/>
  <cols>
    <col min="1" max="1" width="7.59765625" customWidth="1"/>
    <col min="2" max="2" width="38.265625" style="61" customWidth="1"/>
    <col min="3" max="6" width="13.73046875" customWidth="1"/>
  </cols>
  <sheetData>
    <row r="1" spans="2:6" ht="33.75" customHeight="1">
      <c r="B1" s="245" t="s">
        <v>10</v>
      </c>
      <c r="C1" s="246"/>
      <c r="D1" s="246"/>
      <c r="E1" s="246"/>
      <c r="F1" s="247"/>
    </row>
    <row r="2" spans="2:6" ht="15.75" customHeight="1">
      <c r="B2" s="284" t="s">
        <v>9</v>
      </c>
      <c r="C2" s="285"/>
      <c r="D2" s="285"/>
      <c r="E2" s="285"/>
      <c r="F2" s="285"/>
    </row>
    <row r="3" spans="2:6" ht="19.5" customHeight="1">
      <c r="B3" s="286" t="s">
        <v>487</v>
      </c>
      <c r="C3" s="287"/>
      <c r="D3" s="287"/>
      <c r="E3" s="287"/>
      <c r="F3" s="288"/>
    </row>
    <row r="5" spans="2:6" ht="15" customHeight="1">
      <c r="B5" s="29" t="s">
        <v>488</v>
      </c>
    </row>
    <row r="6" spans="2:6">
      <c r="B6" s="250">
        <v>2015</v>
      </c>
      <c r="C6" s="250"/>
      <c r="D6" s="250"/>
    </row>
    <row r="7" spans="2:6">
      <c r="B7" s="31" t="s">
        <v>12</v>
      </c>
      <c r="C7" s="32" t="s">
        <v>13</v>
      </c>
      <c r="D7" s="33">
        <v>13.1007452853893</v>
      </c>
    </row>
    <row r="8" spans="2:6">
      <c r="B8" s="31" t="s">
        <v>14</v>
      </c>
      <c r="C8" s="32" t="s">
        <v>15</v>
      </c>
      <c r="D8" s="44">
        <v>63980.054275922099</v>
      </c>
    </row>
    <row r="10" spans="2:6">
      <c r="B10" s="254" t="s">
        <v>21</v>
      </c>
      <c r="C10" s="254" t="s">
        <v>489</v>
      </c>
      <c r="D10" s="254"/>
      <c r="E10" s="254"/>
      <c r="F10" s="254"/>
    </row>
    <row r="11" spans="2:6">
      <c r="B11" s="254"/>
      <c r="C11" s="254"/>
      <c r="D11" s="254"/>
      <c r="E11" s="254"/>
      <c r="F11" s="254"/>
    </row>
    <row r="12" spans="2:6">
      <c r="B12" s="254"/>
      <c r="C12" s="254"/>
      <c r="D12" s="254"/>
      <c r="E12" s="254"/>
      <c r="F12" s="254"/>
    </row>
    <row r="13" spans="2:6">
      <c r="B13" s="55"/>
      <c r="C13" s="36">
        <v>2020</v>
      </c>
      <c r="D13" s="36">
        <v>2030</v>
      </c>
      <c r="E13" s="36">
        <v>2040</v>
      </c>
      <c r="F13" s="36">
        <v>2050</v>
      </c>
    </row>
    <row r="14" spans="2:6">
      <c r="B14" s="52">
        <v>1.5767520384948299E-2</v>
      </c>
      <c r="C14" s="53">
        <v>64374.317728227099</v>
      </c>
      <c r="D14" s="53">
        <v>64374.317728227099</v>
      </c>
      <c r="E14" s="53">
        <v>64374.317728227099</v>
      </c>
      <c r="F14" s="53">
        <v>64374.317728227099</v>
      </c>
    </row>
    <row r="15" spans="2:6">
      <c r="B15" s="52">
        <v>3.5767520384948299E-2</v>
      </c>
      <c r="C15" s="53">
        <v>65660.494231902994</v>
      </c>
      <c r="D15" s="53">
        <v>65194.292298347202</v>
      </c>
      <c r="E15" s="53">
        <v>65194.292298347202</v>
      </c>
      <c r="F15" s="53">
        <v>65194.292298347202</v>
      </c>
    </row>
    <row r="16" spans="2:6">
      <c r="B16" s="52">
        <v>6.5767520384948305E-2</v>
      </c>
      <c r="C16" s="53">
        <v>66711.116797256502</v>
      </c>
      <c r="D16" s="53">
        <v>66350.381688094101</v>
      </c>
      <c r="E16" s="53">
        <v>66350.381688094101</v>
      </c>
      <c r="F16" s="53">
        <v>66350.381688094101</v>
      </c>
    </row>
    <row r="17" spans="2:6">
      <c r="B17" s="52">
        <v>0.115767520384948</v>
      </c>
      <c r="C17" s="53">
        <v>68259.489914309102</v>
      </c>
      <c r="D17" s="53">
        <v>67980.362331139506</v>
      </c>
      <c r="E17" s="53">
        <v>67980.362331139506</v>
      </c>
      <c r="F17" s="53">
        <v>67980.362331139506</v>
      </c>
    </row>
    <row r="18" spans="2:6">
      <c r="B18" s="52">
        <v>0.13576752038494799</v>
      </c>
      <c r="C18" s="53">
        <v>70494.468209234401</v>
      </c>
      <c r="D18" s="53">
        <v>70278.486438380394</v>
      </c>
      <c r="E18" s="53">
        <v>70278.486438380394</v>
      </c>
      <c r="F18" s="53">
        <v>70278.486438380394</v>
      </c>
    </row>
    <row r="19" spans="2:6">
      <c r="B19" s="52">
        <v>0.18576752038494801</v>
      </c>
      <c r="C19" s="53">
        <v>92515.936586655705</v>
      </c>
      <c r="D19" s="53">
        <v>73610.349954866702</v>
      </c>
      <c r="E19" s="53">
        <v>73518.631917908395</v>
      </c>
      <c r="F19" s="53">
        <v>73518.631917908395</v>
      </c>
    </row>
    <row r="20" spans="2:6">
      <c r="B20" s="52">
        <v>0.235767520384948</v>
      </c>
      <c r="C20" s="53">
        <v>104871.409318894</v>
      </c>
      <c r="D20" s="53">
        <v>78216.255722180795</v>
      </c>
      <c r="E20" s="53">
        <v>78086.941651672096</v>
      </c>
      <c r="F20" s="53">
        <v>78086.941651672096</v>
      </c>
    </row>
    <row r="24" spans="2:6" ht="15" customHeight="1">
      <c r="B24" s="254" t="s">
        <v>21</v>
      </c>
      <c r="C24" s="254" t="s">
        <v>490</v>
      </c>
      <c r="D24" s="254"/>
      <c r="E24" s="254"/>
      <c r="F24" s="254"/>
    </row>
    <row r="25" spans="2:6">
      <c r="B25" s="254"/>
      <c r="C25" s="254"/>
      <c r="D25" s="254"/>
      <c r="E25" s="254"/>
      <c r="F25" s="254"/>
    </row>
    <row r="26" spans="2:6">
      <c r="B26" s="254"/>
      <c r="C26" s="254"/>
      <c r="D26" s="254"/>
      <c r="E26" s="254"/>
      <c r="F26" s="254"/>
    </row>
    <row r="27" spans="2:6">
      <c r="B27" s="55"/>
      <c r="C27" s="36">
        <v>2020</v>
      </c>
      <c r="D27" s="36">
        <v>2030</v>
      </c>
      <c r="E27" s="36">
        <v>2040</v>
      </c>
      <c r="F27" s="36">
        <v>2050</v>
      </c>
    </row>
    <row r="28" spans="2:6">
      <c r="B28" s="52">
        <v>0.1</v>
      </c>
      <c r="C28" s="53">
        <v>78723.813634589795</v>
      </c>
      <c r="D28" s="53">
        <v>73950.919444306302</v>
      </c>
      <c r="E28" s="53">
        <v>72154.725415068795</v>
      </c>
      <c r="F28" s="53">
        <v>70773.818707993705</v>
      </c>
    </row>
    <row r="29" spans="2:6">
      <c r="B29" s="52">
        <v>0.15</v>
      </c>
      <c r="C29" s="53">
        <v>80807.852885831904</v>
      </c>
      <c r="D29" s="53">
        <v>73962.103778717996</v>
      </c>
      <c r="E29" s="53">
        <v>72316.216554938597</v>
      </c>
      <c r="F29" s="53">
        <v>71023.144833724698</v>
      </c>
    </row>
    <row r="30" spans="2:6">
      <c r="B30" s="52">
        <v>0.2</v>
      </c>
      <c r="C30" s="53">
        <v>82891.892137074101</v>
      </c>
      <c r="D30" s="53">
        <v>73993.041589718196</v>
      </c>
      <c r="E30" s="53">
        <v>72497.401422334297</v>
      </c>
      <c r="F30" s="53">
        <v>71295.597718883902</v>
      </c>
    </row>
    <row r="31" spans="2:6">
      <c r="B31" s="52">
        <v>0.25</v>
      </c>
      <c r="C31" s="53">
        <v>84975.931388316298</v>
      </c>
      <c r="D31" s="53">
        <v>74302.434316674</v>
      </c>
      <c r="E31" s="53">
        <v>72923.401030633497</v>
      </c>
      <c r="F31" s="53">
        <v>71788.699683595507</v>
      </c>
    </row>
    <row r="32" spans="2:6">
      <c r="B32" s="52">
        <v>0.3</v>
      </c>
      <c r="C32" s="53">
        <v>87059.970639558494</v>
      </c>
      <c r="D32" s="53">
        <v>74875.6016444532</v>
      </c>
      <c r="E32" s="53">
        <v>73594.719707521901</v>
      </c>
      <c r="F32" s="53">
        <v>72513.638665658102</v>
      </c>
    </row>
    <row r="33" spans="2:6">
      <c r="B33" s="52">
        <v>0.35</v>
      </c>
      <c r="C33" s="53">
        <v>89094.677649870006</v>
      </c>
      <c r="D33" s="53">
        <v>75614.979896632707</v>
      </c>
      <c r="E33" s="53">
        <v>74436.860054218894</v>
      </c>
      <c r="F33" s="53">
        <v>73414.282163847194</v>
      </c>
    </row>
    <row r="34" spans="2:6">
      <c r="B34" s="52">
        <v>0.4</v>
      </c>
      <c r="C34" s="53">
        <v>91321.619191947699</v>
      </c>
      <c r="D34" s="53">
        <v>79080.563906023905</v>
      </c>
      <c r="E34" s="53">
        <v>77801.796990285395</v>
      </c>
      <c r="F34" s="53">
        <v>76655.653639801705</v>
      </c>
    </row>
    <row r="35" spans="2:6">
      <c r="B35" s="52">
        <v>0.45</v>
      </c>
      <c r="C35" s="53">
        <v>92643.098485395094</v>
      </c>
      <c r="D35" s="53">
        <v>83271.265546951807</v>
      </c>
      <c r="E35" s="53">
        <v>82851.602700108997</v>
      </c>
      <c r="F35" s="53">
        <v>81571.438757518001</v>
      </c>
    </row>
    <row r="40" spans="2:6">
      <c r="B40" s="29" t="s">
        <v>491</v>
      </c>
    </row>
    <row r="41" spans="2:6">
      <c r="B41" s="289">
        <v>2015</v>
      </c>
      <c r="C41" s="290"/>
      <c r="D41" s="291"/>
    </row>
    <row r="42" spans="2:6">
      <c r="B42" s="31" t="s">
        <v>12</v>
      </c>
      <c r="C42" s="32" t="s">
        <v>88</v>
      </c>
      <c r="D42" s="33">
        <v>10.8549032364654</v>
      </c>
    </row>
    <row r="43" spans="2:6">
      <c r="B43" s="31" t="s">
        <v>14</v>
      </c>
      <c r="C43" s="32" t="s">
        <v>15</v>
      </c>
      <c r="D43" s="44">
        <v>79811.892874692596</v>
      </c>
    </row>
    <row r="44" spans="2:6" ht="15" customHeight="1"/>
    <row r="45" spans="2:6">
      <c r="B45" s="254" t="s">
        <v>492</v>
      </c>
      <c r="C45" s="254" t="s">
        <v>493</v>
      </c>
      <c r="D45" s="254"/>
      <c r="E45" s="254"/>
      <c r="F45" s="254"/>
    </row>
    <row r="46" spans="2:6">
      <c r="B46" s="254"/>
      <c r="C46" s="254"/>
      <c r="D46" s="254"/>
      <c r="E46" s="254"/>
      <c r="F46" s="254"/>
    </row>
    <row r="47" spans="2:6">
      <c r="B47" s="254"/>
      <c r="C47" s="254"/>
      <c r="D47" s="254"/>
      <c r="E47" s="254"/>
      <c r="F47" s="254"/>
    </row>
    <row r="48" spans="2:6">
      <c r="B48" s="55"/>
      <c r="C48" s="36">
        <v>2020</v>
      </c>
      <c r="D48" s="36">
        <v>2030</v>
      </c>
      <c r="E48" s="36">
        <v>2040</v>
      </c>
      <c r="F48" s="36">
        <v>2050</v>
      </c>
    </row>
    <row r="49" spans="2:6">
      <c r="B49" s="52">
        <v>1.5767520384948299E-2</v>
      </c>
      <c r="C49" s="53">
        <v>80206.156326997603</v>
      </c>
      <c r="D49" s="53">
        <v>80206.156326997603</v>
      </c>
      <c r="E49" s="53">
        <v>80206.156326997603</v>
      </c>
      <c r="F49" s="53">
        <v>80206.156326997603</v>
      </c>
    </row>
    <row r="50" spans="2:6">
      <c r="B50" s="52">
        <v>3.5767520384948299E-2</v>
      </c>
      <c r="C50" s="53">
        <v>81492.332830673506</v>
      </c>
      <c r="D50" s="53">
        <v>81026.130897117706</v>
      </c>
      <c r="E50" s="53">
        <v>81026.130897117706</v>
      </c>
      <c r="F50" s="53">
        <v>81026.130897117706</v>
      </c>
    </row>
    <row r="51" spans="2:6">
      <c r="B51" s="52">
        <v>6.5767520384948305E-2</v>
      </c>
      <c r="C51" s="53">
        <v>82542.955396026999</v>
      </c>
      <c r="D51" s="53">
        <v>82182.220286864598</v>
      </c>
      <c r="E51" s="53">
        <v>82182.220286864598</v>
      </c>
      <c r="F51" s="53">
        <v>82182.220286864598</v>
      </c>
    </row>
    <row r="52" spans="2:6">
      <c r="B52" s="52">
        <v>0.115767520384948</v>
      </c>
      <c r="C52" s="53">
        <v>84091.328513079599</v>
      </c>
      <c r="D52" s="53">
        <v>83812.200929910003</v>
      </c>
      <c r="E52" s="53">
        <v>83812.200929910003</v>
      </c>
      <c r="F52" s="53">
        <v>83812.200929910003</v>
      </c>
    </row>
    <row r="53" spans="2:6">
      <c r="B53" s="52">
        <v>0.13576752038494799</v>
      </c>
      <c r="C53" s="53">
        <v>86326.306808004898</v>
      </c>
      <c r="D53" s="53">
        <v>86110.325037150906</v>
      </c>
      <c r="E53" s="53">
        <v>86110.325037150906</v>
      </c>
      <c r="F53" s="53">
        <v>86110.325037150906</v>
      </c>
    </row>
    <row r="54" spans="2:6">
      <c r="B54" s="52">
        <v>0.18576752038494801</v>
      </c>
      <c r="C54" s="53">
        <v>108347.775185426</v>
      </c>
      <c r="D54" s="53">
        <v>89442.188553637199</v>
      </c>
      <c r="E54" s="53">
        <v>89350.470516678906</v>
      </c>
      <c r="F54" s="53">
        <v>89350.470516678906</v>
      </c>
    </row>
    <row r="55" spans="2:6">
      <c r="B55" s="52">
        <v>0.235767520384948</v>
      </c>
      <c r="C55" s="53">
        <v>164339.59063354801</v>
      </c>
      <c r="D55" s="53">
        <v>99699.272373833606</v>
      </c>
      <c r="E55" s="53">
        <v>93918.780250442505</v>
      </c>
      <c r="F55" s="53">
        <v>93918.780250442505</v>
      </c>
    </row>
    <row r="60" spans="2:6">
      <c r="B60" s="29" t="s">
        <v>494</v>
      </c>
    </row>
    <row r="61" spans="2:6">
      <c r="B61" s="250">
        <v>2015</v>
      </c>
      <c r="C61" s="250"/>
      <c r="D61" s="250"/>
    </row>
    <row r="62" spans="2:6">
      <c r="B62" s="31" t="s">
        <v>12</v>
      </c>
      <c r="C62" s="32" t="s">
        <v>13</v>
      </c>
      <c r="D62" s="33">
        <v>16.001624598582598</v>
      </c>
    </row>
    <row r="63" spans="2:6">
      <c r="B63" s="31" t="s">
        <v>14</v>
      </c>
      <c r="C63" s="32" t="s">
        <v>15</v>
      </c>
      <c r="D63" s="44">
        <v>70436.726243666097</v>
      </c>
    </row>
    <row r="64" spans="2:6" ht="15" customHeight="1"/>
    <row r="65" spans="2:6">
      <c r="B65" s="254" t="s">
        <v>91</v>
      </c>
      <c r="C65" s="254" t="s">
        <v>495</v>
      </c>
      <c r="D65" s="254"/>
      <c r="E65" s="254"/>
      <c r="F65" s="254"/>
    </row>
    <row r="66" spans="2:6">
      <c r="B66" s="254"/>
      <c r="C66" s="254"/>
      <c r="D66" s="254"/>
      <c r="E66" s="254"/>
      <c r="F66" s="254"/>
    </row>
    <row r="67" spans="2:6">
      <c r="B67" s="254"/>
      <c r="C67" s="254"/>
      <c r="D67" s="254"/>
      <c r="E67" s="254"/>
      <c r="F67" s="254"/>
    </row>
    <row r="68" spans="2:6">
      <c r="B68" s="55"/>
      <c r="C68" s="36">
        <v>2020</v>
      </c>
      <c r="D68" s="36">
        <v>2030</v>
      </c>
      <c r="E68" s="36">
        <v>2040</v>
      </c>
      <c r="F68" s="36">
        <v>2050</v>
      </c>
    </row>
    <row r="69" spans="2:6">
      <c r="B69" s="52">
        <v>1.5767520384948299E-2</v>
      </c>
      <c r="C69" s="53">
        <v>70830.989695971104</v>
      </c>
      <c r="D69" s="53">
        <v>70830.989695971104</v>
      </c>
      <c r="E69" s="53">
        <v>70830.989695971104</v>
      </c>
      <c r="F69" s="53">
        <v>70830.989695971104</v>
      </c>
    </row>
    <row r="70" spans="2:6">
      <c r="B70" s="52">
        <v>3.5767520384948299E-2</v>
      </c>
      <c r="C70" s="53">
        <v>72117.166199647007</v>
      </c>
      <c r="D70" s="53">
        <v>71650.964266091294</v>
      </c>
      <c r="E70" s="53">
        <v>71650.964266091294</v>
      </c>
      <c r="F70" s="53">
        <v>71650.964266091294</v>
      </c>
    </row>
    <row r="71" spans="2:6">
      <c r="B71" s="52">
        <v>6.5767520384948305E-2</v>
      </c>
      <c r="C71" s="53">
        <v>73167.7887650005</v>
      </c>
      <c r="D71" s="53">
        <v>72807.053655838201</v>
      </c>
      <c r="E71" s="53">
        <v>72807.053655838201</v>
      </c>
      <c r="F71" s="53">
        <v>72807.053655838201</v>
      </c>
    </row>
    <row r="72" spans="2:6">
      <c r="B72" s="52">
        <v>0.115767520384948</v>
      </c>
      <c r="C72" s="53">
        <v>74716.1618820531</v>
      </c>
      <c r="D72" s="53">
        <v>74437.034298883606</v>
      </c>
      <c r="E72" s="53">
        <v>74437.034298883606</v>
      </c>
      <c r="F72" s="53">
        <v>74437.034298883606</v>
      </c>
    </row>
    <row r="73" spans="2:6">
      <c r="B73" s="52">
        <v>0.13576752038494799</v>
      </c>
      <c r="C73" s="53">
        <v>76951.140176978399</v>
      </c>
      <c r="D73" s="53">
        <v>76735.158406124494</v>
      </c>
      <c r="E73" s="53">
        <v>76735.158406124494</v>
      </c>
      <c r="F73" s="53">
        <v>76735.158406124494</v>
      </c>
    </row>
    <row r="74" spans="2:6">
      <c r="B74" s="52">
        <v>0.18576752038494801</v>
      </c>
      <c r="C74" s="53">
        <v>98972.608554399805</v>
      </c>
      <c r="D74" s="53">
        <v>80067.0219226107</v>
      </c>
      <c r="E74" s="53">
        <v>79975.303885652407</v>
      </c>
      <c r="F74" s="53">
        <v>79975.303885652407</v>
      </c>
    </row>
    <row r="75" spans="2:6">
      <c r="B75" s="52">
        <v>0.235767520384948</v>
      </c>
      <c r="C75" s="53">
        <v>154964.42400252199</v>
      </c>
      <c r="D75" s="53">
        <v>90324.105742807194</v>
      </c>
      <c r="E75" s="53">
        <v>84543.613619416094</v>
      </c>
      <c r="F75" s="53">
        <v>84543.613619416094</v>
      </c>
    </row>
    <row r="79" spans="2:6">
      <c r="B79" s="250">
        <v>2020</v>
      </c>
      <c r="C79" s="250"/>
      <c r="D79" s="250"/>
    </row>
    <row r="80" spans="2:6">
      <c r="B80" s="31" t="s">
        <v>496</v>
      </c>
      <c r="C80" s="32" t="s">
        <v>26</v>
      </c>
      <c r="D80" s="47">
        <v>0.56000000000000005</v>
      </c>
    </row>
    <row r="82" spans="2:6" ht="15" customHeight="1">
      <c r="B82" s="254" t="s">
        <v>27</v>
      </c>
      <c r="C82" s="254" t="s">
        <v>497</v>
      </c>
      <c r="D82" s="254"/>
      <c r="E82" s="254"/>
      <c r="F82" s="254"/>
    </row>
    <row r="83" spans="2:6">
      <c r="B83" s="254"/>
      <c r="C83" s="254"/>
      <c r="D83" s="254"/>
      <c r="E83" s="254"/>
      <c r="F83" s="254"/>
    </row>
    <row r="84" spans="2:6">
      <c r="B84" s="254"/>
      <c r="C84" s="254"/>
      <c r="D84" s="254"/>
      <c r="E84" s="254"/>
      <c r="F84" s="254"/>
    </row>
    <row r="85" spans="2:6">
      <c r="B85" s="55"/>
      <c r="C85" s="36">
        <v>2020</v>
      </c>
      <c r="D85" s="36">
        <v>2030</v>
      </c>
      <c r="E85" s="36">
        <v>2040</v>
      </c>
      <c r="F85" s="36">
        <v>2050</v>
      </c>
    </row>
    <row r="86" spans="2:6">
      <c r="B86" s="42">
        <v>150</v>
      </c>
      <c r="C86" s="53">
        <v>110404.81612585799</v>
      </c>
      <c r="D86" s="53">
        <v>76126.9056105161</v>
      </c>
      <c r="E86" s="53">
        <v>72388.404844914898</v>
      </c>
      <c r="F86" s="53">
        <v>71025.782415168302</v>
      </c>
    </row>
    <row r="87" spans="2:6">
      <c r="B87" s="42">
        <v>178.57142857142901</v>
      </c>
      <c r="C87" s="53">
        <v>112908.706193007</v>
      </c>
      <c r="D87" s="53">
        <v>77522.622899069902</v>
      </c>
      <c r="E87" s="53">
        <v>73371.568444403601</v>
      </c>
      <c r="F87" s="53">
        <v>71732.002827084696</v>
      </c>
    </row>
    <row r="88" spans="2:6">
      <c r="B88" s="42">
        <v>207.142857142857</v>
      </c>
      <c r="C88" s="53">
        <v>115334.617502218</v>
      </c>
      <c r="D88" s="53">
        <v>79463.3013736219</v>
      </c>
      <c r="E88" s="53">
        <v>74483.971725497395</v>
      </c>
      <c r="F88" s="53">
        <v>72547.4460047787</v>
      </c>
    </row>
    <row r="89" spans="2:6">
      <c r="B89" s="42">
        <v>235.71428571428601</v>
      </c>
      <c r="C89" s="53">
        <v>117682.550053493</v>
      </c>
      <c r="D89" s="53">
        <v>80793.339177183807</v>
      </c>
      <c r="E89" s="53">
        <v>75147.498870271593</v>
      </c>
      <c r="F89" s="53">
        <v>73255.503738091997</v>
      </c>
    </row>
    <row r="90" spans="2:6">
      <c r="B90" s="42">
        <v>264.28571428571399</v>
      </c>
      <c r="C90" s="53">
        <v>119952.50384683</v>
      </c>
      <c r="D90" s="53">
        <v>82148.174185551907</v>
      </c>
      <c r="E90" s="53">
        <v>75737.321815694304</v>
      </c>
      <c r="F90" s="53">
        <v>73859.746821217399</v>
      </c>
    </row>
    <row r="91" spans="2:6">
      <c r="B91" s="42">
        <v>350</v>
      </c>
      <c r="C91" s="53">
        <v>121318.200133822</v>
      </c>
      <c r="D91" s="53">
        <v>84321.272744594404</v>
      </c>
      <c r="E91" s="53">
        <v>77575.207038262</v>
      </c>
      <c r="F91" s="53">
        <v>75506.828815228204</v>
      </c>
    </row>
    <row r="92" spans="2:6">
      <c r="B92" s="42">
        <v>500</v>
      </c>
      <c r="C92" s="53">
        <v>132200.783950421</v>
      </c>
      <c r="D92" s="53">
        <v>92502.480789726804</v>
      </c>
      <c r="E92" s="53">
        <v>81607.235358775899</v>
      </c>
      <c r="F92" s="53">
        <v>78751.758830715597</v>
      </c>
    </row>
    <row r="93" spans="2:6">
      <c r="B93" s="42">
        <v>600</v>
      </c>
      <c r="C93" s="53">
        <v>137349.527614475</v>
      </c>
      <c r="D93" s="53">
        <v>96538.280243546498</v>
      </c>
      <c r="E93" s="53">
        <v>85539.946561913806</v>
      </c>
      <c r="F93" s="53">
        <v>81859.493631037301</v>
      </c>
    </row>
    <row r="96" spans="2:6" ht="21.75" customHeight="1"/>
    <row r="97" spans="2:6" ht="21.75" customHeight="1">
      <c r="B97" s="254" t="s">
        <v>29</v>
      </c>
      <c r="C97" s="254" t="s">
        <v>498</v>
      </c>
      <c r="D97" s="254"/>
      <c r="E97" s="254"/>
      <c r="F97" s="254"/>
    </row>
    <row r="98" spans="2:6" ht="21.75" customHeight="1">
      <c r="B98" s="254"/>
      <c r="C98" s="254"/>
      <c r="D98" s="254"/>
      <c r="E98" s="254"/>
      <c r="F98" s="254"/>
    </row>
    <row r="99" spans="2:6">
      <c r="B99" s="254"/>
      <c r="C99" s="254"/>
      <c r="D99" s="254"/>
      <c r="E99" s="254"/>
      <c r="F99" s="254"/>
    </row>
    <row r="100" spans="2:6">
      <c r="B100" s="55"/>
      <c r="C100" s="36">
        <v>2020</v>
      </c>
      <c r="D100" s="36">
        <v>2030</v>
      </c>
      <c r="E100" s="36">
        <v>2040</v>
      </c>
      <c r="F100" s="36">
        <v>2050</v>
      </c>
    </row>
    <row r="101" spans="2:6">
      <c r="B101" s="43">
        <v>2.6</v>
      </c>
      <c r="C101" s="53">
        <v>214118.83399169799</v>
      </c>
      <c r="D101" s="53">
        <v>125613.160190713</v>
      </c>
      <c r="E101" s="53">
        <v>97977.670764403403</v>
      </c>
      <c r="F101" s="53">
        <v>88448.219809388</v>
      </c>
    </row>
    <row r="102" spans="2:6">
      <c r="B102" s="43">
        <v>2.52130983679809</v>
      </c>
      <c r="C102" s="53">
        <v>214645.361863809</v>
      </c>
      <c r="D102" s="53">
        <v>125876.981328924</v>
      </c>
      <c r="E102" s="53">
        <v>98241.491902614798</v>
      </c>
      <c r="F102" s="53">
        <v>88712.040947599395</v>
      </c>
    </row>
    <row r="103" spans="2:6">
      <c r="B103" s="43">
        <v>2.4426196735961798</v>
      </c>
      <c r="C103" s="53">
        <v>215527.08820324301</v>
      </c>
      <c r="D103" s="53">
        <v>127949.286423374</v>
      </c>
      <c r="E103" s="53">
        <v>98505.313040826106</v>
      </c>
      <c r="F103" s="53">
        <v>88975.862085810804</v>
      </c>
    </row>
    <row r="104" spans="2:6">
      <c r="B104" s="43">
        <v>2.3639295103942701</v>
      </c>
      <c r="C104" s="53">
        <v>219774.54827007899</v>
      </c>
      <c r="D104" s="53">
        <v>130156.458689299</v>
      </c>
      <c r="E104" s="53">
        <v>98769.134179037501</v>
      </c>
      <c r="F104" s="53">
        <v>89239.683224022199</v>
      </c>
    </row>
    <row r="105" spans="2:6">
      <c r="B105" s="43">
        <v>2.28523934719236</v>
      </c>
      <c r="C105" s="53">
        <v>220748.50618770099</v>
      </c>
      <c r="D105" s="53">
        <v>133997.94244335001</v>
      </c>
      <c r="E105" s="53">
        <v>99032.955317248896</v>
      </c>
      <c r="F105" s="53">
        <v>89503.504362233507</v>
      </c>
    </row>
    <row r="106" spans="2:6">
      <c r="B106" s="43">
        <v>2.2065491839904601</v>
      </c>
      <c r="C106" s="53">
        <v>221318.52983584601</v>
      </c>
      <c r="D106" s="53">
        <v>134332.239520982</v>
      </c>
      <c r="E106" s="53">
        <v>99296.776455460305</v>
      </c>
      <c r="F106" s="53">
        <v>89767.325500444902</v>
      </c>
    </row>
    <row r="107" spans="2:6">
      <c r="B107" s="43">
        <v>2.1278590207885499</v>
      </c>
      <c r="C107" s="53">
        <v>221888.55348399101</v>
      </c>
      <c r="D107" s="53">
        <v>134666.536598615</v>
      </c>
      <c r="E107" s="53">
        <v>99560.5975936717</v>
      </c>
      <c r="F107" s="53">
        <v>90031.146638656297</v>
      </c>
    </row>
    <row r="108" spans="2:6">
      <c r="B108" s="43">
        <v>2.0491688575866398</v>
      </c>
      <c r="C108" s="53">
        <v>222458.57713213601</v>
      </c>
      <c r="D108" s="53">
        <v>135000.83367624701</v>
      </c>
      <c r="E108" s="53">
        <v>99824.418731883095</v>
      </c>
      <c r="F108" s="53">
        <v>90294.967776867707</v>
      </c>
    </row>
    <row r="112" spans="2:6" ht="18">
      <c r="B112" s="286" t="s">
        <v>112</v>
      </c>
      <c r="C112" s="287"/>
      <c r="D112" s="287"/>
      <c r="E112" s="287"/>
      <c r="F112" s="288"/>
    </row>
    <row r="114" spans="2:6">
      <c r="B114" s="29" t="s">
        <v>116</v>
      </c>
    </row>
    <row r="115" spans="2:6" ht="15" customHeight="1">
      <c r="B115" s="250">
        <v>2015</v>
      </c>
      <c r="C115" s="250"/>
      <c r="D115" s="250"/>
    </row>
    <row r="116" spans="2:6">
      <c r="B116" s="31" t="s">
        <v>12</v>
      </c>
      <c r="C116" s="32" t="s">
        <v>13</v>
      </c>
      <c r="D116" s="33">
        <v>18.882516284290599</v>
      </c>
    </row>
    <row r="117" spans="2:6">
      <c r="B117" s="31" t="s">
        <v>14</v>
      </c>
      <c r="C117" s="32" t="s">
        <v>15</v>
      </c>
      <c r="D117" s="44">
        <v>79045.068459135495</v>
      </c>
    </row>
    <row r="119" spans="2:6">
      <c r="B119" s="254" t="s">
        <v>119</v>
      </c>
      <c r="C119" s="254" t="s">
        <v>110</v>
      </c>
      <c r="D119" s="254"/>
      <c r="E119" s="254"/>
      <c r="F119" s="254"/>
    </row>
    <row r="120" spans="2:6">
      <c r="B120" s="254"/>
      <c r="C120" s="254"/>
      <c r="D120" s="254"/>
      <c r="E120" s="254"/>
      <c r="F120" s="254"/>
    </row>
    <row r="121" spans="2:6">
      <c r="B121" s="254"/>
      <c r="C121" s="254"/>
      <c r="D121" s="254"/>
      <c r="E121" s="254"/>
      <c r="F121" s="254"/>
    </row>
    <row r="122" spans="2:6">
      <c r="B122" s="55"/>
      <c r="C122" s="36">
        <v>2020</v>
      </c>
      <c r="D122" s="36">
        <v>2030</v>
      </c>
      <c r="E122" s="36">
        <v>2040</v>
      </c>
      <c r="F122" s="36">
        <v>2050</v>
      </c>
    </row>
    <row r="123" spans="2:6">
      <c r="B123" s="52">
        <v>4.4125814214529803E-2</v>
      </c>
      <c r="C123" s="53">
        <v>79927.7536460642</v>
      </c>
      <c r="D123" s="53">
        <v>79927.7536460642</v>
      </c>
      <c r="E123" s="53">
        <v>79927.7536460642</v>
      </c>
      <c r="F123" s="53">
        <v>79927.7536460642</v>
      </c>
    </row>
    <row r="124" spans="2:6">
      <c r="B124" s="52">
        <v>9.4125814214529799E-2</v>
      </c>
      <c r="C124" s="53">
        <v>81360.186406757202</v>
      </c>
      <c r="D124" s="53">
        <v>80873.237867395306</v>
      </c>
      <c r="E124" s="53">
        <v>80873.237867395306</v>
      </c>
      <c r="F124" s="53">
        <v>80873.237867395306</v>
      </c>
    </row>
    <row r="125" spans="2:6">
      <c r="B125" s="52">
        <v>0.14412581421453</v>
      </c>
      <c r="C125" s="53">
        <v>82659.162648323705</v>
      </c>
      <c r="D125" s="53">
        <v>82265.6067669513</v>
      </c>
      <c r="E125" s="53">
        <v>82265.6067669513</v>
      </c>
      <c r="F125" s="53">
        <v>82265.6067669513</v>
      </c>
    </row>
    <row r="126" spans="2:6">
      <c r="B126" s="52">
        <v>0.19412581421453001</v>
      </c>
      <c r="C126" s="53">
        <v>88191.029771246598</v>
      </c>
      <c r="D126" s="53">
        <v>84316.081125710494</v>
      </c>
      <c r="E126" s="53">
        <v>84316.081125710494</v>
      </c>
      <c r="F126" s="53">
        <v>84316.081125710494</v>
      </c>
    </row>
    <row r="127" spans="2:6">
      <c r="B127" s="52">
        <v>0.24412581421453</v>
      </c>
      <c r="C127" s="53">
        <v>92499.124625759607</v>
      </c>
      <c r="D127" s="53">
        <v>87335.715575510301</v>
      </c>
      <c r="E127" s="53">
        <v>87335.715575510301</v>
      </c>
      <c r="F127" s="53">
        <v>87335.715575510301</v>
      </c>
    </row>
    <row r="128" spans="2:6">
      <c r="B128" s="52">
        <v>0.26412581421453002</v>
      </c>
      <c r="C128" s="53">
        <v>115400.251045956</v>
      </c>
      <c r="D128" s="53">
        <v>91896.610142996695</v>
      </c>
      <c r="E128" s="53">
        <v>91782.585233482998</v>
      </c>
      <c r="F128" s="53">
        <v>91782.585233482998</v>
      </c>
    </row>
    <row r="129" spans="2:6">
      <c r="B129" s="52">
        <v>0.29412581421452999</v>
      </c>
      <c r="C129" s="53">
        <v>189775.230098575</v>
      </c>
      <c r="D129" s="53">
        <v>105837.45209105199</v>
      </c>
      <c r="E129" s="53">
        <v>98331.275177164702</v>
      </c>
      <c r="F129" s="53">
        <v>98331.275177164702</v>
      </c>
    </row>
    <row r="133" spans="2:6" ht="15" customHeight="1">
      <c r="B133" s="254" t="s">
        <v>119</v>
      </c>
      <c r="C133" s="254" t="s">
        <v>111</v>
      </c>
      <c r="D133" s="254"/>
      <c r="E133" s="254"/>
      <c r="F133" s="254"/>
    </row>
    <row r="134" spans="2:6">
      <c r="B134" s="254"/>
      <c r="C134" s="254"/>
      <c r="D134" s="254"/>
      <c r="E134" s="254"/>
      <c r="F134" s="254"/>
    </row>
    <row r="135" spans="2:6">
      <c r="B135" s="254"/>
      <c r="C135" s="254"/>
      <c r="D135" s="254"/>
      <c r="E135" s="254"/>
      <c r="F135" s="254"/>
    </row>
    <row r="136" spans="2:6">
      <c r="B136" s="55"/>
      <c r="C136" s="36">
        <v>2020</v>
      </c>
      <c r="D136" s="36">
        <v>2030</v>
      </c>
      <c r="E136" s="36">
        <v>2040</v>
      </c>
      <c r="F136" s="36">
        <v>2050</v>
      </c>
    </row>
    <row r="137" spans="2:6">
      <c r="B137" s="52">
        <v>0.1</v>
      </c>
      <c r="C137" s="53">
        <v>88920.665109853202</v>
      </c>
      <c r="D137" s="53">
        <v>85723.707215116301</v>
      </c>
      <c r="E137" s="53">
        <v>84520.588844308804</v>
      </c>
      <c r="F137" s="53">
        <v>83595.636305434993</v>
      </c>
    </row>
    <row r="138" spans="2:6">
      <c r="B138" s="52">
        <v>0.15</v>
      </c>
      <c r="C138" s="53">
        <v>90395.020492628304</v>
      </c>
      <c r="D138" s="53">
        <v>85866.889033298095</v>
      </c>
      <c r="E138" s="53">
        <v>84742.075203955304</v>
      </c>
      <c r="F138" s="53">
        <v>83858.378597444404</v>
      </c>
    </row>
    <row r="139" spans="2:6">
      <c r="B139" s="52">
        <v>0.2</v>
      </c>
      <c r="C139" s="53">
        <v>91869.375875403406</v>
      </c>
      <c r="D139" s="53">
        <v>86041.570851479904</v>
      </c>
      <c r="E139" s="53">
        <v>84996.503112827093</v>
      </c>
      <c r="F139" s="53">
        <v>84156.751475997007</v>
      </c>
    </row>
    <row r="140" spans="2:6">
      <c r="B140" s="52">
        <v>0.25</v>
      </c>
      <c r="C140" s="53">
        <v>93343.731258178494</v>
      </c>
      <c r="D140" s="53">
        <v>86487.444057221597</v>
      </c>
      <c r="E140" s="53">
        <v>85493.169128720794</v>
      </c>
      <c r="F140" s="53">
        <v>84675.056098298403</v>
      </c>
    </row>
    <row r="141" spans="2:6">
      <c r="B141" s="52">
        <v>0.3</v>
      </c>
      <c r="C141" s="53">
        <v>94818.086640953596</v>
      </c>
      <c r="D141" s="53">
        <v>87242.4966888005</v>
      </c>
      <c r="E141" s="53">
        <v>86278.805981622703</v>
      </c>
      <c r="F141" s="53">
        <v>85465.438469979796</v>
      </c>
    </row>
    <row r="142" spans="2:6">
      <c r="B142" s="52">
        <v>0.35</v>
      </c>
      <c r="C142" s="53">
        <v>96915.144656483404</v>
      </c>
      <c r="D142" s="53">
        <v>88296.020612245498</v>
      </c>
      <c r="E142" s="53">
        <v>87359.295217680105</v>
      </c>
      <c r="F142" s="53">
        <v>86546.241533880195</v>
      </c>
    </row>
    <row r="143" spans="2:6">
      <c r="B143" s="52">
        <v>0.4</v>
      </c>
      <c r="C143" s="53">
        <v>98758.176748228594</v>
      </c>
      <c r="D143" s="53">
        <v>91896.257454350794</v>
      </c>
      <c r="E143" s="53">
        <v>90807.971315833696</v>
      </c>
      <c r="F143" s="53">
        <v>89832.553586665497</v>
      </c>
    </row>
    <row r="144" spans="2:6">
      <c r="B144" s="52">
        <v>0.45</v>
      </c>
      <c r="C144" s="53">
        <v>104720.410736048</v>
      </c>
      <c r="D144" s="53">
        <v>97691.661760570903</v>
      </c>
      <c r="E144" s="53">
        <v>96426.757797202299</v>
      </c>
      <c r="F144" s="53">
        <v>95247.659429026404</v>
      </c>
    </row>
    <row r="149" spans="2:6">
      <c r="B149" s="29" t="s">
        <v>120</v>
      </c>
    </row>
    <row r="150" spans="2:6">
      <c r="B150" s="250">
        <v>2015</v>
      </c>
      <c r="C150" s="250"/>
      <c r="D150" s="250"/>
    </row>
    <row r="151" spans="2:6">
      <c r="B151" s="31" t="s">
        <v>12</v>
      </c>
      <c r="C151" s="32" t="s">
        <v>88</v>
      </c>
      <c r="D151" s="33">
        <v>15.6724885159612</v>
      </c>
    </row>
    <row r="152" spans="2:6">
      <c r="B152" s="31" t="s">
        <v>14</v>
      </c>
      <c r="C152" s="32" t="s">
        <v>15</v>
      </c>
      <c r="D152" s="44">
        <v>97834.866707598703</v>
      </c>
    </row>
    <row r="153" spans="2:6" ht="15" customHeight="1"/>
    <row r="154" spans="2:6">
      <c r="B154" s="254" t="s">
        <v>121</v>
      </c>
      <c r="C154" s="254" t="s">
        <v>114</v>
      </c>
      <c r="D154" s="254"/>
      <c r="E154" s="254"/>
      <c r="F154" s="254"/>
    </row>
    <row r="155" spans="2:6">
      <c r="B155" s="254"/>
      <c r="C155" s="254"/>
      <c r="D155" s="254"/>
      <c r="E155" s="254"/>
      <c r="F155" s="254"/>
    </row>
    <row r="156" spans="2:6">
      <c r="B156" s="254"/>
      <c r="C156" s="254"/>
      <c r="D156" s="254"/>
      <c r="E156" s="254"/>
      <c r="F156" s="254"/>
    </row>
    <row r="157" spans="2:6">
      <c r="B157" s="55"/>
      <c r="C157" s="36">
        <v>2020</v>
      </c>
      <c r="D157" s="36">
        <v>2030</v>
      </c>
      <c r="E157" s="36">
        <v>2040</v>
      </c>
      <c r="F157" s="36">
        <v>2050</v>
      </c>
    </row>
    <row r="158" spans="2:6">
      <c r="B158" s="52">
        <v>4.4125814214529803E-2</v>
      </c>
      <c r="C158" s="53">
        <v>98717.551894527394</v>
      </c>
      <c r="D158" s="53">
        <v>98717.551894527394</v>
      </c>
      <c r="E158" s="53">
        <v>98717.551894527394</v>
      </c>
      <c r="F158" s="53">
        <v>98717.551894527394</v>
      </c>
    </row>
    <row r="159" spans="2:6">
      <c r="B159" s="52">
        <v>9.4125814214529799E-2</v>
      </c>
      <c r="C159" s="53">
        <v>100149.98465522</v>
      </c>
      <c r="D159" s="53">
        <v>99663.0361158585</v>
      </c>
      <c r="E159" s="53">
        <v>99663.0361158585</v>
      </c>
      <c r="F159" s="53">
        <v>99663.0361158585</v>
      </c>
    </row>
    <row r="160" spans="2:6">
      <c r="B160" s="52">
        <v>0.14412581421453</v>
      </c>
      <c r="C160" s="53">
        <v>101448.960896787</v>
      </c>
      <c r="D160" s="53">
        <v>101055.405015415</v>
      </c>
      <c r="E160" s="53">
        <v>101055.405015415</v>
      </c>
      <c r="F160" s="53">
        <v>101055.405015415</v>
      </c>
    </row>
    <row r="161" spans="2:6">
      <c r="B161" s="52">
        <v>0.19412581421453001</v>
      </c>
      <c r="C161" s="53">
        <v>106980.82801971</v>
      </c>
      <c r="D161" s="53">
        <v>103105.87937417399</v>
      </c>
      <c r="E161" s="53">
        <v>103105.87937417399</v>
      </c>
      <c r="F161" s="53">
        <v>103105.87937417399</v>
      </c>
    </row>
    <row r="162" spans="2:6">
      <c r="B162" s="52">
        <v>0.24412581421453</v>
      </c>
      <c r="C162" s="53">
        <v>111288.922874223</v>
      </c>
      <c r="D162" s="53">
        <v>106125.513823974</v>
      </c>
      <c r="E162" s="53">
        <v>106125.513823974</v>
      </c>
      <c r="F162" s="53">
        <v>106125.513823974</v>
      </c>
    </row>
    <row r="163" spans="2:6">
      <c r="B163" s="52">
        <v>0.26412581421453002</v>
      </c>
      <c r="C163" s="53">
        <v>134190.049294419</v>
      </c>
      <c r="D163" s="53">
        <v>110686.40839146001</v>
      </c>
      <c r="E163" s="53">
        <v>110572.383481946</v>
      </c>
      <c r="F163" s="53">
        <v>110572.383481946</v>
      </c>
    </row>
    <row r="164" spans="2:6">
      <c r="B164" s="52">
        <v>0.29412581421452999</v>
      </c>
      <c r="C164" s="53">
        <v>208565.02834703799</v>
      </c>
      <c r="D164" s="53">
        <v>124627.250339516</v>
      </c>
      <c r="E164" s="53">
        <v>117121.073425628</v>
      </c>
      <c r="F164" s="53">
        <v>117121.073425628</v>
      </c>
    </row>
    <row r="169" spans="2:6">
      <c r="B169" s="29" t="s">
        <v>122</v>
      </c>
    </row>
    <row r="170" spans="2:6">
      <c r="B170" s="250">
        <v>2015</v>
      </c>
      <c r="C170" s="250"/>
      <c r="D170" s="250"/>
    </row>
    <row r="171" spans="2:6">
      <c r="B171" s="31" t="s">
        <v>12</v>
      </c>
      <c r="C171" s="32" t="s">
        <v>13</v>
      </c>
      <c r="D171" s="33">
        <v>23.036669866834501</v>
      </c>
    </row>
    <row r="172" spans="2:6" ht="15.75" customHeight="1">
      <c r="B172" s="31" t="s">
        <v>14</v>
      </c>
      <c r="C172" s="32" t="s">
        <v>15</v>
      </c>
      <c r="D172" s="44">
        <v>87115.908418815496</v>
      </c>
    </row>
    <row r="173" spans="2:6" ht="15.75" customHeight="1">
      <c r="B173"/>
    </row>
    <row r="174" spans="2:6" ht="15.75" customHeight="1">
      <c r="B174" s="254" t="s">
        <v>123</v>
      </c>
      <c r="C174" s="254" t="s">
        <v>115</v>
      </c>
      <c r="D174" s="254"/>
      <c r="E174" s="254"/>
      <c r="F174" s="254"/>
    </row>
    <row r="175" spans="2:6">
      <c r="B175" s="254"/>
      <c r="C175" s="254"/>
      <c r="D175" s="254"/>
      <c r="E175" s="254"/>
      <c r="F175" s="254"/>
    </row>
    <row r="176" spans="2:6">
      <c r="B176" s="254"/>
      <c r="C176" s="254"/>
      <c r="D176" s="254"/>
      <c r="E176" s="254"/>
      <c r="F176" s="254"/>
    </row>
    <row r="177" spans="2:6">
      <c r="B177" s="55"/>
      <c r="C177" s="36">
        <v>2020</v>
      </c>
      <c r="D177" s="36">
        <v>2030</v>
      </c>
      <c r="E177" s="36">
        <v>2040</v>
      </c>
      <c r="F177" s="36">
        <v>2050</v>
      </c>
    </row>
    <row r="178" spans="2:6">
      <c r="B178" s="52">
        <v>4.4125814214529803E-2</v>
      </c>
      <c r="C178" s="53">
        <v>87998.593605744303</v>
      </c>
      <c r="D178" s="53">
        <v>87998.593605744303</v>
      </c>
      <c r="E178" s="53">
        <v>87998.593605744303</v>
      </c>
      <c r="F178" s="53">
        <v>87998.593605744303</v>
      </c>
    </row>
    <row r="179" spans="2:6">
      <c r="B179" s="52">
        <v>9.4125814214529799E-2</v>
      </c>
      <c r="C179" s="53">
        <v>89431.026366437305</v>
      </c>
      <c r="D179" s="53">
        <v>88944.077827075307</v>
      </c>
      <c r="E179" s="53">
        <v>88944.077827075307</v>
      </c>
      <c r="F179" s="53">
        <v>88944.077827075307</v>
      </c>
    </row>
    <row r="180" spans="2:6">
      <c r="B180" s="52">
        <v>0.14412581421453</v>
      </c>
      <c r="C180" s="53">
        <v>90730.002608003706</v>
      </c>
      <c r="D180" s="53">
        <v>90336.446726631402</v>
      </c>
      <c r="E180" s="53">
        <v>90336.446726631402</v>
      </c>
      <c r="F180" s="53">
        <v>90336.446726631402</v>
      </c>
    </row>
    <row r="181" spans="2:6">
      <c r="B181" s="52">
        <v>0.19412581421453001</v>
      </c>
      <c r="C181" s="53">
        <v>96261.869730926701</v>
      </c>
      <c r="D181" s="53">
        <v>92386.921085390597</v>
      </c>
      <c r="E181" s="53">
        <v>92386.921085390597</v>
      </c>
      <c r="F181" s="53">
        <v>92386.921085390597</v>
      </c>
    </row>
    <row r="182" spans="2:6">
      <c r="B182" s="52">
        <v>0.24412581421453</v>
      </c>
      <c r="C182" s="53">
        <v>100569.96458544</v>
      </c>
      <c r="D182" s="53">
        <v>95406.555535190404</v>
      </c>
      <c r="E182" s="53">
        <v>95406.555535190404</v>
      </c>
      <c r="F182" s="53">
        <v>95406.555535190404</v>
      </c>
    </row>
    <row r="183" spans="2:6">
      <c r="B183" s="52">
        <v>0.26412581421453002</v>
      </c>
      <c r="C183" s="53">
        <v>123471.091005636</v>
      </c>
      <c r="D183" s="53">
        <v>99967.450102676696</v>
      </c>
      <c r="E183" s="53">
        <v>99853.425193163101</v>
      </c>
      <c r="F183" s="53">
        <v>99853.425193163101</v>
      </c>
    </row>
    <row r="184" spans="2:6">
      <c r="B184" s="52">
        <v>0.29412581421452999</v>
      </c>
      <c r="C184" s="53">
        <v>197846.07005825499</v>
      </c>
      <c r="D184" s="53">
        <v>113908.292050733</v>
      </c>
      <c r="E184" s="53">
        <v>106402.11513684499</v>
      </c>
      <c r="F184" s="53">
        <v>106402.11513684499</v>
      </c>
    </row>
    <row r="188" spans="2:6">
      <c r="B188" s="250">
        <v>2020</v>
      </c>
      <c r="C188" s="250"/>
      <c r="D188" s="250"/>
    </row>
    <row r="189" spans="2:6">
      <c r="B189" s="31" t="s">
        <v>124</v>
      </c>
      <c r="C189" s="32" t="s">
        <v>26</v>
      </c>
      <c r="D189" s="47">
        <v>0.74</v>
      </c>
    </row>
    <row r="192" spans="2:6" ht="15" customHeight="1">
      <c r="B192" s="254" t="s">
        <v>27</v>
      </c>
      <c r="C192" s="254" t="s">
        <v>117</v>
      </c>
      <c r="D192" s="254"/>
      <c r="E192" s="254"/>
      <c r="F192" s="254"/>
    </row>
    <row r="193" spans="2:6">
      <c r="B193" s="254"/>
      <c r="C193" s="254"/>
      <c r="D193" s="254"/>
      <c r="E193" s="254"/>
      <c r="F193" s="254"/>
    </row>
    <row r="194" spans="2:6">
      <c r="B194" s="254"/>
      <c r="C194" s="254"/>
      <c r="D194" s="254"/>
      <c r="E194" s="254"/>
      <c r="F194" s="254"/>
    </row>
    <row r="195" spans="2:6">
      <c r="B195" s="55"/>
      <c r="C195" s="36">
        <v>2020</v>
      </c>
      <c r="D195" s="36">
        <v>2030</v>
      </c>
      <c r="E195" s="36">
        <v>2040</v>
      </c>
      <c r="F195" s="36">
        <v>2050</v>
      </c>
    </row>
    <row r="196" spans="2:6">
      <c r="B196" s="42">
        <v>150</v>
      </c>
      <c r="C196" s="53">
        <v>144373.90542346699</v>
      </c>
      <c r="D196" s="53">
        <v>95780.730297909395</v>
      </c>
      <c r="E196" s="53">
        <v>90629.907020858896</v>
      </c>
      <c r="F196" s="53">
        <v>88752.5161176525</v>
      </c>
    </row>
    <row r="197" spans="2:6">
      <c r="B197" s="42">
        <v>178.57142857142901</v>
      </c>
      <c r="C197" s="53">
        <v>147802.362213157</v>
      </c>
      <c r="D197" s="53">
        <v>97793.499371096405</v>
      </c>
      <c r="E197" s="53">
        <v>92046.749266240105</v>
      </c>
      <c r="F197" s="53">
        <v>89776.922650823195</v>
      </c>
    </row>
    <row r="198" spans="2:6">
      <c r="B198" s="42">
        <v>207.142857142857</v>
      </c>
      <c r="C198" s="53">
        <v>149288.810561655</v>
      </c>
      <c r="D198" s="53">
        <v>100585.83371496901</v>
      </c>
      <c r="E198" s="53">
        <v>93658.438550062594</v>
      </c>
      <c r="F198" s="53">
        <v>90964.284946579603</v>
      </c>
    </row>
    <row r="199" spans="2:6">
      <c r="B199" s="42">
        <v>235.71428571428601</v>
      </c>
      <c r="C199" s="53">
        <v>152494.108762408</v>
      </c>
      <c r="D199" s="53">
        <v>102554.343444586</v>
      </c>
      <c r="E199" s="53">
        <v>94660.013866599795</v>
      </c>
      <c r="F199" s="53">
        <v>92014.520490691604</v>
      </c>
    </row>
    <row r="200" spans="2:6">
      <c r="B200" s="42">
        <v>264.28571428571399</v>
      </c>
      <c r="C200" s="53">
        <v>155632.353081546</v>
      </c>
      <c r="D200" s="53">
        <v>104580.22891370401</v>
      </c>
      <c r="E200" s="53">
        <v>95569.822513419494</v>
      </c>
      <c r="F200" s="53">
        <v>92930.9045082581</v>
      </c>
    </row>
    <row r="201" spans="2:6">
      <c r="B201" s="42">
        <v>350</v>
      </c>
      <c r="C201" s="53">
        <v>159704.765843061</v>
      </c>
      <c r="D201" s="53">
        <v>107786.20577946999</v>
      </c>
      <c r="E201" s="53">
        <v>98254.348032781607</v>
      </c>
      <c r="F201" s="53">
        <v>95331.831732680905</v>
      </c>
    </row>
    <row r="202" spans="2:6">
      <c r="B202" s="42">
        <v>500</v>
      </c>
      <c r="C202" s="53">
        <v>179612.75847238299</v>
      </c>
      <c r="D202" s="53">
        <v>119565.16497781</v>
      </c>
      <c r="E202" s="53">
        <v>104086.94483959299</v>
      </c>
      <c r="F202" s="53">
        <v>100030.341013554</v>
      </c>
    </row>
    <row r="203" spans="2:6">
      <c r="B203" s="42">
        <v>600</v>
      </c>
      <c r="C203" s="53">
        <v>193069.495161372</v>
      </c>
      <c r="D203" s="53">
        <v>125556.819841456</v>
      </c>
      <c r="E203" s="53">
        <v>111128.241503766</v>
      </c>
      <c r="F203" s="53">
        <v>104587.124680729</v>
      </c>
    </row>
    <row r="206" spans="2:6" ht="15.75" customHeight="1"/>
    <row r="207" spans="2:6" ht="21.75" customHeight="1">
      <c r="B207" s="251" t="s">
        <v>29</v>
      </c>
      <c r="C207" s="255" t="s">
        <v>118</v>
      </c>
      <c r="D207" s="256"/>
      <c r="E207" s="256"/>
      <c r="F207" s="257"/>
    </row>
    <row r="208" spans="2:6" ht="21.75" customHeight="1">
      <c r="B208" s="252"/>
      <c r="C208" s="258"/>
      <c r="D208" s="259"/>
      <c r="E208" s="259"/>
      <c r="F208" s="260"/>
    </row>
    <row r="209" spans="2:6">
      <c r="B209" s="253"/>
      <c r="C209" s="261"/>
      <c r="D209" s="262"/>
      <c r="E209" s="262"/>
      <c r="F209" s="263"/>
    </row>
    <row r="210" spans="2:6">
      <c r="B210" s="55"/>
      <c r="C210" s="36">
        <v>2020</v>
      </c>
      <c r="D210" s="36">
        <v>2030</v>
      </c>
      <c r="E210" s="36">
        <v>2040</v>
      </c>
      <c r="F210" s="36">
        <v>2050</v>
      </c>
    </row>
    <row r="211" spans="2:6">
      <c r="B211" s="43">
        <v>3.6</v>
      </c>
      <c r="C211" s="53">
        <v>289239.36006122199</v>
      </c>
      <c r="D211" s="53">
        <v>165331.41673984201</v>
      </c>
      <c r="E211" s="53">
        <v>126641.73154300899</v>
      </c>
      <c r="F211" s="53">
        <v>113300.50020598801</v>
      </c>
    </row>
    <row r="212" spans="2:6">
      <c r="B212" s="43">
        <v>3.4910443894127399</v>
      </c>
      <c r="C212" s="53">
        <v>290124.88420977199</v>
      </c>
      <c r="D212" s="53">
        <v>165775.115926834</v>
      </c>
      <c r="E212" s="53">
        <v>127085.430730001</v>
      </c>
      <c r="F212" s="53">
        <v>113744.19939297999</v>
      </c>
    </row>
    <row r="213" spans="2:6">
      <c r="B213" s="43">
        <v>3.3820887788254801</v>
      </c>
      <c r="C213" s="53">
        <v>291607.78759882</v>
      </c>
      <c r="D213" s="53">
        <v>169260.35631295401</v>
      </c>
      <c r="E213" s="53">
        <v>127529.129916993</v>
      </c>
      <c r="F213" s="53">
        <v>114187.89857997101</v>
      </c>
    </row>
    <row r="214" spans="2:6">
      <c r="B214" s="43">
        <v>3.2731331682382199</v>
      </c>
      <c r="C214" s="53">
        <v>298751.243165772</v>
      </c>
      <c r="D214" s="53">
        <v>172972.41876019101</v>
      </c>
      <c r="E214" s="53">
        <v>127972.829103985</v>
      </c>
      <c r="F214" s="53">
        <v>114631.59776696299</v>
      </c>
    </row>
    <row r="215" spans="2:6">
      <c r="B215" s="43">
        <v>3.1641775576509699</v>
      </c>
      <c r="C215" s="53">
        <v>300389.26329995401</v>
      </c>
      <c r="D215" s="53">
        <v>179433.095982914</v>
      </c>
      <c r="E215" s="53">
        <v>128416.528290977</v>
      </c>
      <c r="F215" s="53">
        <v>115075.296953955</v>
      </c>
    </row>
    <row r="216" spans="2:6">
      <c r="B216" s="43">
        <v>3.0552219470637101</v>
      </c>
      <c r="C216" s="53">
        <v>301347.93943547102</v>
      </c>
      <c r="D216" s="53">
        <v>179995.32288620499</v>
      </c>
      <c r="E216" s="53">
        <v>128860.22747796901</v>
      </c>
      <c r="F216" s="53">
        <v>115518.996140947</v>
      </c>
    </row>
    <row r="217" spans="2:6">
      <c r="B217" s="43">
        <v>2.9462663364764499</v>
      </c>
      <c r="C217" s="53">
        <v>302306.61557098699</v>
      </c>
      <c r="D217" s="53">
        <v>180557.549789496</v>
      </c>
      <c r="E217" s="53">
        <v>129303.92666496</v>
      </c>
      <c r="F217" s="53">
        <v>115962.695327939</v>
      </c>
    </row>
    <row r="218" spans="2:6">
      <c r="B218" s="43">
        <v>2.8373107258891901</v>
      </c>
      <c r="C218" s="53">
        <v>303265.29170650401</v>
      </c>
      <c r="D218" s="53">
        <v>181119.77669278701</v>
      </c>
      <c r="E218" s="53">
        <v>129747.62585195201</v>
      </c>
      <c r="F218" s="53">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 ref="B170:D170"/>
    <mergeCell ref="B188:D188"/>
    <mergeCell ref="B45:B47"/>
    <mergeCell ref="B65:B67"/>
    <mergeCell ref="B82:B84"/>
    <mergeCell ref="B61:D61"/>
    <mergeCell ref="B79:D79"/>
    <mergeCell ref="B97:B99"/>
    <mergeCell ref="B119:B121"/>
    <mergeCell ref="B133:B135"/>
    <mergeCell ref="B154:B156"/>
    <mergeCell ref="B174:B176"/>
    <mergeCell ref="B112:F112"/>
    <mergeCell ref="B115:D115"/>
    <mergeCell ref="B150:D150"/>
    <mergeCell ref="B1:F1"/>
    <mergeCell ref="B2:F2"/>
    <mergeCell ref="B3:F3"/>
    <mergeCell ref="B6:D6"/>
    <mergeCell ref="B41:D41"/>
    <mergeCell ref="B10:B12"/>
    <mergeCell ref="B24:B26"/>
  </mergeCells>
  <pageMargins left="0.7" right="0.7" top="0.75" bottom="0.75" header="0.3" footer="0.3"/>
  <pageSetup orientation="portrait"/>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T227"/>
  <sheetViews>
    <sheetView showGridLines="0" workbookViewId="0">
      <pane ySplit="2" topLeftCell="A3" activePane="bottomLeft" state="frozen"/>
      <selection pane="bottomLeft" activeCell="B3" sqref="B3:F3"/>
    </sheetView>
  </sheetViews>
  <sheetFormatPr defaultColWidth="9" defaultRowHeight="14.25"/>
  <cols>
    <col min="1" max="1" width="7.59765625" customWidth="1"/>
    <col min="2" max="2" width="38.265625" customWidth="1"/>
    <col min="3" max="6" width="13.73046875" customWidth="1"/>
  </cols>
  <sheetData>
    <row r="1" spans="2:20" ht="33.75" customHeight="1">
      <c r="B1" s="245" t="s">
        <v>10</v>
      </c>
      <c r="C1" s="246"/>
      <c r="D1" s="246"/>
      <c r="E1" s="246"/>
      <c r="F1" s="247"/>
    </row>
    <row r="2" spans="2:20">
      <c r="B2" s="284" t="s">
        <v>9</v>
      </c>
      <c r="C2" s="285"/>
      <c r="D2" s="285"/>
      <c r="E2" s="285"/>
      <c r="F2" s="285"/>
    </row>
    <row r="3" spans="2:20" ht="18">
      <c r="B3" s="286" t="s">
        <v>499</v>
      </c>
      <c r="C3" s="287"/>
      <c r="D3" s="287"/>
      <c r="E3" s="287"/>
      <c r="F3" s="288"/>
    </row>
    <row r="4" spans="2:20">
      <c r="K4" s="295" t="s">
        <v>500</v>
      </c>
      <c r="L4" s="295"/>
      <c r="M4" s="295"/>
      <c r="N4" s="295"/>
      <c r="O4" s="295"/>
      <c r="P4" s="295"/>
      <c r="Q4" s="295"/>
      <c r="R4" s="295"/>
      <c r="S4" s="295"/>
      <c r="T4" s="295"/>
    </row>
    <row r="5" spans="2:20">
      <c r="B5" s="29" t="s">
        <v>501</v>
      </c>
      <c r="K5" s="295"/>
      <c r="L5" s="295"/>
      <c r="M5" s="295"/>
      <c r="N5" s="295"/>
      <c r="O5" s="295"/>
      <c r="P5" s="295"/>
      <c r="Q5" s="295"/>
      <c r="R5" s="295"/>
      <c r="S5" s="295"/>
      <c r="T5" s="295"/>
    </row>
    <row r="6" spans="2:20">
      <c r="B6" s="289">
        <v>2015</v>
      </c>
      <c r="C6" s="290"/>
      <c r="D6" s="291"/>
      <c r="K6" s="295"/>
      <c r="L6" s="295"/>
      <c r="M6" s="295"/>
      <c r="N6" s="295"/>
      <c r="O6" s="295"/>
      <c r="P6" s="295"/>
      <c r="Q6" s="295"/>
      <c r="R6" s="295"/>
      <c r="S6" s="295"/>
      <c r="T6" s="295"/>
    </row>
    <row r="7" spans="2:20">
      <c r="B7" s="31" t="s">
        <v>12</v>
      </c>
      <c r="C7" s="32" t="s">
        <v>13</v>
      </c>
      <c r="D7" s="33">
        <v>26.454047169324301</v>
      </c>
      <c r="K7" s="295"/>
      <c r="L7" s="295"/>
      <c r="M7" s="295"/>
      <c r="N7" s="295"/>
      <c r="O7" s="295"/>
      <c r="P7" s="295"/>
      <c r="Q7" s="295"/>
      <c r="R7" s="295"/>
      <c r="S7" s="295"/>
      <c r="T7" s="295"/>
    </row>
    <row r="8" spans="2:20">
      <c r="B8" s="31" t="s">
        <v>14</v>
      </c>
      <c r="C8" s="32" t="s">
        <v>15</v>
      </c>
      <c r="D8" s="44">
        <v>104049.009026778</v>
      </c>
      <c r="K8" s="295"/>
      <c r="L8" s="295"/>
      <c r="M8" s="295"/>
      <c r="N8" s="295"/>
      <c r="O8" s="295"/>
      <c r="P8" s="295"/>
      <c r="Q8" s="295"/>
      <c r="R8" s="295"/>
      <c r="S8" s="295"/>
      <c r="T8" s="295"/>
    </row>
    <row r="9" spans="2:20" ht="15" customHeight="1">
      <c r="K9" s="295"/>
      <c r="L9" s="295"/>
      <c r="M9" s="295"/>
      <c r="N9" s="295"/>
      <c r="O9" s="295"/>
      <c r="P9" s="295"/>
      <c r="Q9" s="295"/>
      <c r="R9" s="295"/>
      <c r="S9" s="295"/>
      <c r="T9" s="295"/>
    </row>
    <row r="10" spans="2:20" ht="15" customHeight="1">
      <c r="B10" s="254" t="s">
        <v>119</v>
      </c>
      <c r="C10" s="254" t="s">
        <v>502</v>
      </c>
      <c r="D10" s="254"/>
      <c r="E10" s="254"/>
      <c r="F10" s="254"/>
      <c r="K10" s="295"/>
      <c r="L10" s="295"/>
      <c r="M10" s="295"/>
      <c r="N10" s="295"/>
      <c r="O10" s="295"/>
      <c r="P10" s="295"/>
      <c r="Q10" s="295"/>
      <c r="R10" s="295"/>
      <c r="S10" s="295"/>
      <c r="T10" s="295"/>
    </row>
    <row r="11" spans="2:20">
      <c r="B11" s="254"/>
      <c r="C11" s="254"/>
      <c r="D11" s="254"/>
      <c r="E11" s="254"/>
      <c r="F11" s="254"/>
      <c r="K11" s="295"/>
      <c r="L11" s="295"/>
      <c r="M11" s="295"/>
      <c r="N11" s="295"/>
      <c r="O11" s="295"/>
      <c r="P11" s="295"/>
      <c r="Q11" s="295"/>
      <c r="R11" s="295"/>
      <c r="S11" s="295"/>
      <c r="T11" s="295"/>
    </row>
    <row r="12" spans="2:20">
      <c r="B12" s="254"/>
      <c r="C12" s="254"/>
      <c r="D12" s="254"/>
      <c r="E12" s="254"/>
      <c r="F12" s="254"/>
      <c r="K12" s="295"/>
      <c r="L12" s="295"/>
      <c r="M12" s="295"/>
      <c r="N12" s="295"/>
      <c r="O12" s="295"/>
      <c r="P12" s="295"/>
      <c r="Q12" s="295"/>
      <c r="R12" s="295"/>
      <c r="S12" s="295"/>
      <c r="T12" s="295"/>
    </row>
    <row r="13" spans="2:20">
      <c r="B13" s="35"/>
      <c r="C13" s="36">
        <v>2020</v>
      </c>
      <c r="D13" s="36">
        <v>2030</v>
      </c>
      <c r="E13" s="36">
        <v>2040</v>
      </c>
      <c r="F13" s="36">
        <v>2050</v>
      </c>
      <c r="K13" s="295"/>
      <c r="L13" s="295"/>
      <c r="M13" s="295"/>
      <c r="N13" s="295"/>
      <c r="O13" s="295"/>
      <c r="P13" s="295"/>
      <c r="Q13" s="295"/>
      <c r="R13" s="295"/>
      <c r="S13" s="295"/>
      <c r="T13" s="295"/>
    </row>
    <row r="14" spans="2:20">
      <c r="B14" s="52">
        <v>3.2629901968069398E-2</v>
      </c>
      <c r="C14" s="53">
        <v>105926.499305968</v>
      </c>
      <c r="D14" s="53">
        <v>104054.749305968</v>
      </c>
      <c r="E14" s="53">
        <v>104018.697266617</v>
      </c>
      <c r="F14" s="53">
        <v>103990.373410703</v>
      </c>
      <c r="H14" s="54"/>
    </row>
    <row r="15" spans="2:20">
      <c r="B15" s="52">
        <v>8.2629901968069394E-2</v>
      </c>
      <c r="C15" s="53">
        <v>107636.92351837301</v>
      </c>
      <c r="D15" s="53">
        <v>104296.999305968</v>
      </c>
      <c r="E15" s="53">
        <v>104228.154661354</v>
      </c>
      <c r="F15" s="53">
        <v>104172.83537355599</v>
      </c>
      <c r="H15" s="54"/>
    </row>
    <row r="16" spans="2:20">
      <c r="B16" s="52">
        <v>0.13262990196806901</v>
      </c>
      <c r="C16" s="53">
        <v>109387.006530653</v>
      </c>
      <c r="D16" s="53">
        <v>104866.999305968</v>
      </c>
      <c r="E16" s="53">
        <v>104729.274729953</v>
      </c>
      <c r="F16" s="53">
        <v>104615.951677126</v>
      </c>
      <c r="H16" s="54"/>
    </row>
    <row r="17" spans="2:15">
      <c r="B17" s="52">
        <v>0.182629901968069</v>
      </c>
      <c r="C17" s="53">
        <v>116593.18816185799</v>
      </c>
      <c r="D17" s="53">
        <v>105668.909305968</v>
      </c>
      <c r="E17" s="53">
        <v>105453.443928835</v>
      </c>
      <c r="F17" s="53">
        <v>105271.588343492</v>
      </c>
      <c r="H17" s="54"/>
    </row>
    <row r="18" spans="2:15">
      <c r="B18" s="52">
        <v>0.23262990196806899</v>
      </c>
      <c r="C18" s="53">
        <v>123025.977594695</v>
      </c>
      <c r="D18" s="53">
        <v>107051.25930596799</v>
      </c>
      <c r="E18" s="53">
        <v>106725.701247755</v>
      </c>
      <c r="F18" s="53">
        <v>106443.12518004399</v>
      </c>
      <c r="H18" s="54"/>
    </row>
    <row r="19" spans="2:15">
      <c r="B19" s="52">
        <v>0.28262990196806898</v>
      </c>
      <c r="C19" s="53">
        <v>156122.469999119</v>
      </c>
      <c r="D19" s="53">
        <v>110084.629305968</v>
      </c>
      <c r="E19" s="53">
        <v>109555.48071219699</v>
      </c>
      <c r="F19" s="53">
        <v>109081.211214992</v>
      </c>
      <c r="H19" s="54"/>
    </row>
    <row r="20" spans="2:15">
      <c r="B20" s="52">
        <v>0.312629901968069</v>
      </c>
      <c r="C20" s="53">
        <v>269188.35578088701</v>
      </c>
      <c r="D20" s="53">
        <v>124230.799305968</v>
      </c>
      <c r="E20" s="53">
        <v>122847.31137095101</v>
      </c>
      <c r="F20" s="53">
        <v>121557.67325310801</v>
      </c>
      <c r="H20" s="54"/>
    </row>
    <row r="24" spans="2:15" ht="15" customHeight="1">
      <c r="B24" s="254" t="s">
        <v>21</v>
      </c>
      <c r="C24" s="254" t="s">
        <v>503</v>
      </c>
      <c r="D24" s="254"/>
      <c r="E24" s="254"/>
      <c r="F24" s="254"/>
    </row>
    <row r="25" spans="2:15">
      <c r="B25" s="254"/>
      <c r="C25" s="254"/>
      <c r="D25" s="254"/>
      <c r="E25" s="254"/>
      <c r="F25" s="254"/>
    </row>
    <row r="26" spans="2:15">
      <c r="B26" s="254"/>
      <c r="C26" s="254"/>
      <c r="D26" s="254"/>
      <c r="E26" s="254"/>
      <c r="F26" s="254"/>
    </row>
    <row r="27" spans="2:15">
      <c r="B27" s="55"/>
      <c r="C27" s="36">
        <v>2020</v>
      </c>
      <c r="D27" s="36">
        <v>2030</v>
      </c>
      <c r="E27" s="36">
        <v>2040</v>
      </c>
      <c r="F27" s="36">
        <v>2050</v>
      </c>
    </row>
    <row r="28" spans="2:15">
      <c r="B28" s="52">
        <v>0.05</v>
      </c>
      <c r="C28" s="53">
        <v>117809.007026778</v>
      </c>
      <c r="D28" s="53">
        <v>113354.579026778</v>
      </c>
      <c r="E28" s="53">
        <v>111678.234096787</v>
      </c>
      <c r="F28" s="53">
        <v>110389.466892622</v>
      </c>
      <c r="H28" s="54"/>
    </row>
    <row r="29" spans="2:15">
      <c r="B29" s="52">
        <v>0.1</v>
      </c>
      <c r="C29" s="53">
        <v>119652.33374677799</v>
      </c>
      <c r="D29" s="53">
        <v>113554.079026778</v>
      </c>
      <c r="E29" s="53">
        <v>111986.83842456101</v>
      </c>
      <c r="F29" s="53">
        <v>110755.554486155</v>
      </c>
      <c r="H29" s="54"/>
    </row>
    <row r="30" spans="2:15">
      <c r="B30" s="52">
        <v>0.15</v>
      </c>
      <c r="C30" s="53">
        <v>121956.49214677799</v>
      </c>
      <c r="D30" s="53">
        <v>113797.469026778</v>
      </c>
      <c r="E30" s="53">
        <v>112341.341310922</v>
      </c>
      <c r="F30" s="53">
        <v>111171.28736360501</v>
      </c>
      <c r="H30" s="54"/>
      <c r="L30" s="56"/>
      <c r="O30" s="57"/>
    </row>
    <row r="31" spans="2:15">
      <c r="B31" s="52">
        <v>0.2</v>
      </c>
      <c r="C31" s="53">
        <v>124491.06638677799</v>
      </c>
      <c r="D31" s="53">
        <v>114418.719026778</v>
      </c>
      <c r="E31" s="53">
        <v>113033.36262640099</v>
      </c>
      <c r="F31" s="53">
        <v>111893.458470679</v>
      </c>
      <c r="H31" s="54"/>
      <c r="M31" s="56"/>
    </row>
    <row r="32" spans="2:15">
      <c r="B32" s="52">
        <v>0.25</v>
      </c>
      <c r="C32" s="53">
        <v>127025.640626778</v>
      </c>
      <c r="D32" s="53">
        <v>115470.759026778</v>
      </c>
      <c r="E32" s="53">
        <v>114128.016641444</v>
      </c>
      <c r="F32" s="53">
        <v>112994.724575221</v>
      </c>
      <c r="H32" s="54"/>
    </row>
    <row r="33" spans="2:8">
      <c r="B33" s="52">
        <v>0.3</v>
      </c>
      <c r="C33" s="53">
        <v>129870.643618485</v>
      </c>
      <c r="D33" s="53">
        <v>116938.66902677801</v>
      </c>
      <c r="E33" s="53">
        <v>115633.49831035</v>
      </c>
      <c r="F33" s="53">
        <v>114500.64351092299</v>
      </c>
      <c r="H33" s="54"/>
    </row>
    <row r="34" spans="2:8">
      <c r="B34" s="52">
        <v>0.35</v>
      </c>
      <c r="C34" s="53">
        <v>132341.870707305</v>
      </c>
      <c r="D34" s="53">
        <v>121954.99902677799</v>
      </c>
      <c r="E34" s="53">
        <v>120438.653673778</v>
      </c>
      <c r="F34" s="53">
        <v>119079.571637803</v>
      </c>
      <c r="H34" s="54"/>
    </row>
    <row r="35" spans="2:8">
      <c r="B35" s="52">
        <v>0.4</v>
      </c>
      <c r="C35" s="53">
        <v>140787.309783376</v>
      </c>
      <c r="D35" s="53">
        <v>130029.929026778</v>
      </c>
      <c r="E35" s="53">
        <v>128267.496171151</v>
      </c>
      <c r="F35" s="53">
        <v>126624.619111493</v>
      </c>
    </row>
    <row r="40" spans="2:8">
      <c r="B40" s="29" t="s">
        <v>504</v>
      </c>
    </row>
    <row r="41" spans="2:8">
      <c r="B41" s="289">
        <v>2020</v>
      </c>
      <c r="C41" s="290"/>
      <c r="D41" s="291"/>
    </row>
    <row r="42" spans="2:8">
      <c r="B42" s="31" t="s">
        <v>12</v>
      </c>
      <c r="C42" s="32" t="s">
        <v>88</v>
      </c>
      <c r="D42" s="33">
        <v>23.595536519792201</v>
      </c>
    </row>
    <row r="43" spans="2:8">
      <c r="B43" s="31" t="s">
        <v>14</v>
      </c>
      <c r="C43" s="32" t="s">
        <v>15</v>
      </c>
      <c r="D43" s="44">
        <v>135102.07335806201</v>
      </c>
    </row>
    <row r="44" spans="2:8" ht="15" customHeight="1"/>
    <row r="45" spans="2:8">
      <c r="B45" s="254" t="s">
        <v>121</v>
      </c>
      <c r="C45" s="254" t="s">
        <v>505</v>
      </c>
      <c r="D45" s="254"/>
      <c r="E45" s="254"/>
      <c r="F45" s="254"/>
    </row>
    <row r="46" spans="2:8">
      <c r="B46" s="254"/>
      <c r="C46" s="254"/>
      <c r="D46" s="254"/>
      <c r="E46" s="254"/>
      <c r="F46" s="254"/>
    </row>
    <row r="47" spans="2:8">
      <c r="B47" s="254"/>
      <c r="C47" s="254"/>
      <c r="D47" s="254"/>
      <c r="E47" s="254"/>
      <c r="F47" s="254"/>
    </row>
    <row r="48" spans="2:8">
      <c r="B48" s="55"/>
      <c r="C48" s="36">
        <v>2020</v>
      </c>
      <c r="D48" s="36">
        <v>2030</v>
      </c>
      <c r="E48" s="36">
        <v>2040</v>
      </c>
      <c r="F48" s="36">
        <v>2050</v>
      </c>
    </row>
    <row r="49" spans="2:14">
      <c r="B49" s="52">
        <v>3.2629901968069398E-2</v>
      </c>
      <c r="C49" s="53">
        <v>136979.56363725199</v>
      </c>
      <c r="D49" s="53">
        <v>135107.81363725199</v>
      </c>
      <c r="E49" s="53">
        <v>135071.761597901</v>
      </c>
      <c r="F49" s="53">
        <v>135043.437741987</v>
      </c>
    </row>
    <row r="50" spans="2:14">
      <c r="B50" s="52">
        <v>8.2629901968069394E-2</v>
      </c>
      <c r="C50" s="53">
        <v>138689.98784965699</v>
      </c>
      <c r="D50" s="53">
        <v>135350.06363725199</v>
      </c>
      <c r="E50" s="53">
        <v>135281.21899263799</v>
      </c>
      <c r="F50" s="53">
        <v>135225.89970484001</v>
      </c>
    </row>
    <row r="51" spans="2:14">
      <c r="B51" s="52">
        <v>0.13262990196806901</v>
      </c>
      <c r="C51" s="53">
        <v>140440.07086193701</v>
      </c>
      <c r="D51" s="53">
        <v>135920.06363725199</v>
      </c>
      <c r="E51" s="53">
        <v>135782.339061237</v>
      </c>
      <c r="F51" s="53">
        <v>135669.01600840999</v>
      </c>
      <c r="M51" s="56"/>
      <c r="N51" s="56"/>
    </row>
    <row r="52" spans="2:14">
      <c r="B52" s="52">
        <v>0.182629901968069</v>
      </c>
      <c r="C52" s="53">
        <v>147646.252493142</v>
      </c>
      <c r="D52" s="53">
        <v>136721.973637252</v>
      </c>
      <c r="E52" s="53">
        <v>136506.50826011901</v>
      </c>
      <c r="F52" s="53">
        <v>136324.65267477601</v>
      </c>
    </row>
    <row r="53" spans="2:14">
      <c r="B53" s="52">
        <v>0.23262990196806899</v>
      </c>
      <c r="C53" s="53">
        <v>154079.04192597899</v>
      </c>
      <c r="D53" s="53">
        <v>138104.323637252</v>
      </c>
      <c r="E53" s="53">
        <v>137778.765579039</v>
      </c>
      <c r="F53" s="53">
        <v>137496.189511328</v>
      </c>
    </row>
    <row r="54" spans="2:14">
      <c r="B54" s="52">
        <v>0.28262990196806898</v>
      </c>
      <c r="C54" s="53">
        <v>187175.534330403</v>
      </c>
      <c r="D54" s="53">
        <v>141137.693637252</v>
      </c>
      <c r="E54" s="53">
        <v>140608.54504348099</v>
      </c>
      <c r="F54" s="53">
        <v>140134.27554627601</v>
      </c>
    </row>
    <row r="55" spans="2:14">
      <c r="B55" s="52">
        <v>0.312629901968069</v>
      </c>
      <c r="C55" s="53">
        <v>300241.42011217098</v>
      </c>
      <c r="D55" s="53">
        <v>155283.86363725201</v>
      </c>
      <c r="E55" s="53">
        <v>153900.375702235</v>
      </c>
      <c r="F55" s="53">
        <v>152610.73758439199</v>
      </c>
    </row>
    <row r="60" spans="2:14">
      <c r="B60" s="29" t="s">
        <v>506</v>
      </c>
    </row>
    <row r="61" spans="2:14">
      <c r="B61" s="289">
        <v>2015</v>
      </c>
      <c r="C61" s="290"/>
      <c r="D61" s="291"/>
    </row>
    <row r="62" spans="2:14">
      <c r="B62" s="31" t="s">
        <v>12</v>
      </c>
      <c r="C62" s="32" t="s">
        <v>13</v>
      </c>
      <c r="D62" s="33">
        <v>34.693832353212201</v>
      </c>
    </row>
    <row r="63" spans="2:14">
      <c r="B63" s="31" t="s">
        <v>14</v>
      </c>
      <c r="C63" s="32" t="s">
        <v>15</v>
      </c>
      <c r="D63" s="44">
        <v>114810.128973018</v>
      </c>
    </row>
    <row r="64" spans="2:14" ht="15" customHeight="1"/>
    <row r="65" spans="2:6">
      <c r="B65" s="254" t="s">
        <v>507</v>
      </c>
      <c r="C65" s="254" t="s">
        <v>508</v>
      </c>
      <c r="D65" s="254"/>
      <c r="E65" s="254"/>
      <c r="F65" s="254"/>
    </row>
    <row r="66" spans="2:6">
      <c r="B66" s="254"/>
      <c r="C66" s="254"/>
      <c r="D66" s="254"/>
      <c r="E66" s="254"/>
      <c r="F66" s="254"/>
    </row>
    <row r="67" spans="2:6">
      <c r="B67" s="254"/>
      <c r="C67" s="254"/>
      <c r="D67" s="254"/>
      <c r="E67" s="254"/>
      <c r="F67" s="254"/>
    </row>
    <row r="68" spans="2:6">
      <c r="B68" s="55"/>
      <c r="C68" s="36">
        <v>2020</v>
      </c>
      <c r="D68" s="36">
        <v>2030</v>
      </c>
      <c r="E68" s="36">
        <v>2040</v>
      </c>
      <c r="F68" s="36">
        <v>2050</v>
      </c>
    </row>
    <row r="69" spans="2:6">
      <c r="B69" s="52">
        <v>3.2629901968069398E-2</v>
      </c>
      <c r="C69" s="53">
        <v>116687.61925220799</v>
      </c>
      <c r="D69" s="53">
        <v>114815.86925220799</v>
      </c>
      <c r="E69" s="53">
        <v>114779.817212857</v>
      </c>
      <c r="F69" s="53">
        <v>114751.493356943</v>
      </c>
    </row>
    <row r="70" spans="2:6">
      <c r="B70" s="52">
        <v>8.2629901968069394E-2</v>
      </c>
      <c r="C70" s="53">
        <v>118398.043464613</v>
      </c>
      <c r="D70" s="53">
        <v>115058.11925220799</v>
      </c>
      <c r="E70" s="53">
        <v>114989.27460759399</v>
      </c>
      <c r="F70" s="53">
        <v>114933.95531979699</v>
      </c>
    </row>
    <row r="71" spans="2:6">
      <c r="B71" s="52">
        <v>0.13262990196806901</v>
      </c>
      <c r="C71" s="53">
        <v>120148.126476893</v>
      </c>
      <c r="D71" s="53">
        <v>115628.11925220799</v>
      </c>
      <c r="E71" s="53">
        <v>115490.394676193</v>
      </c>
      <c r="F71" s="53">
        <v>115377.07162336601</v>
      </c>
    </row>
    <row r="72" spans="2:6">
      <c r="B72" s="52">
        <v>0.182629901968069</v>
      </c>
      <c r="C72" s="53">
        <v>127354.308108098</v>
      </c>
      <c r="D72" s="53">
        <v>116430.029252208</v>
      </c>
      <c r="E72" s="53">
        <v>116214.56387507499</v>
      </c>
      <c r="F72" s="53">
        <v>116032.70828973201</v>
      </c>
    </row>
    <row r="73" spans="2:6">
      <c r="B73" s="52">
        <v>0.23262990196806899</v>
      </c>
      <c r="C73" s="53">
        <v>133787.09754093501</v>
      </c>
      <c r="D73" s="53">
        <v>117812.379252208</v>
      </c>
      <c r="E73" s="53">
        <v>117486.821193995</v>
      </c>
      <c r="F73" s="53">
        <v>117204.245126284</v>
      </c>
    </row>
    <row r="74" spans="2:6">
      <c r="B74" s="52">
        <v>0.28262990196806898</v>
      </c>
      <c r="C74" s="53">
        <v>166883.58994535901</v>
      </c>
      <c r="D74" s="53">
        <v>120845.749252208</v>
      </c>
      <c r="E74" s="53">
        <v>120316.600658437</v>
      </c>
      <c r="F74" s="53">
        <v>119842.331161232</v>
      </c>
    </row>
    <row r="75" spans="2:6">
      <c r="B75" s="52">
        <v>0.312629901968069</v>
      </c>
      <c r="C75" s="53">
        <v>279949.47572712699</v>
      </c>
      <c r="D75" s="53">
        <v>134991.919252208</v>
      </c>
      <c r="E75" s="53">
        <v>133608.43131719099</v>
      </c>
      <c r="F75" s="53">
        <v>132318.793199348</v>
      </c>
    </row>
    <row r="79" spans="2:6">
      <c r="B79" s="292">
        <v>2020</v>
      </c>
      <c r="C79" s="293"/>
      <c r="D79" s="294"/>
    </row>
    <row r="80" spans="2:6">
      <c r="B80" s="31" t="s">
        <v>509</v>
      </c>
      <c r="C80" s="32" t="s">
        <v>26</v>
      </c>
      <c r="D80" s="47">
        <v>1.3</v>
      </c>
    </row>
    <row r="82" spans="2:6">
      <c r="B82" s="254" t="s">
        <v>27</v>
      </c>
      <c r="C82" s="254" t="s">
        <v>510</v>
      </c>
      <c r="D82" s="254"/>
      <c r="E82" s="254"/>
      <c r="F82" s="254"/>
    </row>
    <row r="83" spans="2:6" ht="15" customHeight="1">
      <c r="B83" s="254"/>
      <c r="C83" s="254"/>
      <c r="D83" s="254"/>
      <c r="E83" s="254"/>
      <c r="F83" s="254"/>
    </row>
    <row r="84" spans="2:6">
      <c r="B84" s="254"/>
      <c r="C84" s="254"/>
      <c r="D84" s="254"/>
      <c r="E84" s="254"/>
      <c r="F84" s="254"/>
    </row>
    <row r="85" spans="2:6">
      <c r="B85" s="42"/>
      <c r="C85" s="36">
        <v>2020</v>
      </c>
      <c r="D85" s="36">
        <v>2030</v>
      </c>
      <c r="E85" s="36">
        <v>2040</v>
      </c>
      <c r="F85" s="36">
        <v>2050</v>
      </c>
    </row>
    <row r="86" spans="2:6">
      <c r="B86" s="42">
        <v>150</v>
      </c>
      <c r="C86" s="53">
        <v>194972.564441614</v>
      </c>
      <c r="D86" s="53">
        <v>136440.61258569601</v>
      </c>
      <c r="E86" s="53">
        <v>126471.277210759</v>
      </c>
      <c r="F86" s="53">
        <v>122837.617398102</v>
      </c>
    </row>
    <row r="87" spans="2:6">
      <c r="B87" s="42">
        <v>171.42857142857099</v>
      </c>
      <c r="C87" s="53">
        <v>199855.64398163301</v>
      </c>
      <c r="D87" s="53">
        <v>138879.59015815999</v>
      </c>
      <c r="E87" s="53">
        <v>128203.355613045</v>
      </c>
      <c r="F87" s="53">
        <v>123986.50245590899</v>
      </c>
    </row>
    <row r="88" spans="2:6">
      <c r="B88" s="42">
        <v>192.857142857143</v>
      </c>
      <c r="C88" s="53">
        <v>202024.54267317499</v>
      </c>
      <c r="D88" s="53">
        <v>142853.78651113799</v>
      </c>
      <c r="E88" s="53">
        <v>130374.377134183</v>
      </c>
      <c r="F88" s="53">
        <v>125520.973373909</v>
      </c>
    </row>
    <row r="89" spans="2:6">
      <c r="B89" s="42">
        <v>214.28571428571399</v>
      </c>
      <c r="C89" s="53">
        <v>206583.06180065</v>
      </c>
      <c r="D89" s="53">
        <v>145395.370547528</v>
      </c>
      <c r="E89" s="53">
        <v>131511.41177392201</v>
      </c>
      <c r="F89" s="53">
        <v>126858.71510042901</v>
      </c>
    </row>
    <row r="90" spans="2:6">
      <c r="B90" s="42">
        <v>235.71428571428601</v>
      </c>
      <c r="C90" s="53">
        <v>211042.717339255</v>
      </c>
      <c r="D90" s="53">
        <v>148101.72207753299</v>
      </c>
      <c r="E90" s="53">
        <v>132557.16153605399</v>
      </c>
      <c r="F90" s="53">
        <v>128004.55659540099</v>
      </c>
    </row>
    <row r="91" spans="2:6">
      <c r="B91" s="42">
        <v>350</v>
      </c>
      <c r="C91" s="53">
        <v>227816.022322848</v>
      </c>
      <c r="D91" s="53">
        <v>159633.743041462</v>
      </c>
      <c r="E91" s="53">
        <v>141199.337624226</v>
      </c>
      <c r="F91" s="53">
        <v>135547.25470961799</v>
      </c>
    </row>
    <row r="92" spans="2:6">
      <c r="B92" s="42">
        <v>500</v>
      </c>
      <c r="C92" s="53">
        <v>265378.55988678598</v>
      </c>
      <c r="D92" s="53">
        <v>182401.05887544301</v>
      </c>
      <c r="E92" s="53">
        <v>152471.45899704099</v>
      </c>
      <c r="F92" s="53">
        <v>144627.37044587999</v>
      </c>
    </row>
    <row r="93" spans="2:6">
      <c r="B93" s="42">
        <v>600</v>
      </c>
      <c r="C93" s="53">
        <v>290084.467711251</v>
      </c>
      <c r="D93" s="53">
        <v>193971.72836593201</v>
      </c>
      <c r="E93" s="53">
        <v>163595.378197613</v>
      </c>
      <c r="F93" s="53">
        <v>153430.31772185801</v>
      </c>
    </row>
    <row r="96" spans="2:6" ht="16.5" customHeight="1"/>
    <row r="97" spans="2:6" ht="21.75" customHeight="1">
      <c r="B97" s="254" t="s">
        <v>29</v>
      </c>
      <c r="C97" s="254" t="s">
        <v>511</v>
      </c>
      <c r="D97" s="254"/>
      <c r="E97" s="254"/>
      <c r="F97" s="254"/>
    </row>
    <row r="98" spans="2:6" ht="21.75" customHeight="1">
      <c r="B98" s="254"/>
      <c r="C98" s="254"/>
      <c r="D98" s="254"/>
      <c r="E98" s="254"/>
      <c r="F98" s="254"/>
    </row>
    <row r="99" spans="2:6">
      <c r="B99" s="254"/>
      <c r="C99" s="254"/>
      <c r="D99" s="254"/>
      <c r="E99" s="254"/>
      <c r="F99" s="254"/>
    </row>
    <row r="100" spans="2:6">
      <c r="B100" s="35"/>
      <c r="C100" s="36">
        <v>2020</v>
      </c>
      <c r="D100" s="36">
        <v>2030</v>
      </c>
      <c r="E100" s="36">
        <v>2040</v>
      </c>
      <c r="F100" s="36">
        <v>2050</v>
      </c>
    </row>
    <row r="101" spans="2:6">
      <c r="B101" s="43">
        <v>5.6</v>
      </c>
      <c r="C101" s="53">
        <v>354280.30855307198</v>
      </c>
      <c r="D101" s="53">
        <v>206770.852218096</v>
      </c>
      <c r="E101" s="53">
        <v>160711.703174247</v>
      </c>
      <c r="F101" s="53">
        <v>144829.28491588801</v>
      </c>
    </row>
    <row r="102" spans="2:6">
      <c r="B102" s="43">
        <v>5.4305134946420397</v>
      </c>
      <c r="C102" s="53">
        <v>355476.96280786901</v>
      </c>
      <c r="D102" s="53">
        <v>207370.445714031</v>
      </c>
      <c r="E102" s="53">
        <v>161311.296670182</v>
      </c>
      <c r="F102" s="53">
        <v>145428.87841182301</v>
      </c>
    </row>
    <row r="103" spans="2:6">
      <c r="B103" s="43">
        <v>5.2610269892840904</v>
      </c>
      <c r="C103" s="53">
        <v>357480.88630658301</v>
      </c>
      <c r="D103" s="53">
        <v>212080.23001959801</v>
      </c>
      <c r="E103" s="53">
        <v>161910.89016611699</v>
      </c>
      <c r="F103" s="53">
        <v>146028.47190775801</v>
      </c>
    </row>
    <row r="104" spans="2:6">
      <c r="B104" s="43">
        <v>5.0915404839261296</v>
      </c>
      <c r="C104" s="53">
        <v>367134.20464030199</v>
      </c>
      <c r="D104" s="53">
        <v>217096.530623973</v>
      </c>
      <c r="E104" s="53">
        <v>162510.48366205199</v>
      </c>
      <c r="F104" s="53">
        <v>146628.06540369301</v>
      </c>
    </row>
    <row r="105" spans="2:6">
      <c r="B105" s="43">
        <v>4.9220539785681696</v>
      </c>
      <c r="C105" s="53">
        <v>369347.74536216998</v>
      </c>
      <c r="D105" s="53">
        <v>225827.17551954399</v>
      </c>
      <c r="E105" s="53">
        <v>163110.07715798699</v>
      </c>
      <c r="F105" s="53">
        <v>147227.658899628</v>
      </c>
    </row>
    <row r="106" spans="2:6">
      <c r="B106" s="43">
        <v>4.7525674732102097</v>
      </c>
      <c r="C106" s="53">
        <v>370643.25365340803</v>
      </c>
      <c r="D106" s="53">
        <v>226586.941605072</v>
      </c>
      <c r="E106" s="53">
        <v>163709.67065392199</v>
      </c>
      <c r="F106" s="53">
        <v>147827.252395563</v>
      </c>
    </row>
    <row r="107" spans="2:6">
      <c r="B107" s="43">
        <v>4.5830809678522604</v>
      </c>
      <c r="C107" s="53">
        <v>371938.76194464701</v>
      </c>
      <c r="D107" s="53">
        <v>227346.70769059999</v>
      </c>
      <c r="E107" s="53">
        <v>164309.26414985699</v>
      </c>
      <c r="F107" s="53">
        <v>148426.845891498</v>
      </c>
    </row>
    <row r="108" spans="2:6">
      <c r="B108" s="43">
        <v>4.4135944624943004</v>
      </c>
      <c r="C108" s="53">
        <v>373234.27023588499</v>
      </c>
      <c r="D108" s="53">
        <v>228106.47377612899</v>
      </c>
      <c r="E108" s="53">
        <v>164908.85764579201</v>
      </c>
      <c r="F108" s="53">
        <v>149026.439387433</v>
      </c>
    </row>
    <row r="109" spans="2:6">
      <c r="B109" s="58"/>
      <c r="C109" s="59"/>
      <c r="D109" s="59"/>
      <c r="E109" s="59"/>
      <c r="F109" s="59"/>
    </row>
    <row r="112" spans="2:6" ht="18">
      <c r="B112" s="286" t="s">
        <v>512</v>
      </c>
      <c r="C112" s="287"/>
      <c r="D112" s="287"/>
      <c r="E112" s="287"/>
      <c r="F112" s="288"/>
    </row>
    <row r="114" spans="2:6">
      <c r="B114" s="29" t="s">
        <v>513</v>
      </c>
    </row>
    <row r="115" spans="2:6">
      <c r="B115" s="250">
        <v>2015</v>
      </c>
      <c r="C115" s="250"/>
      <c r="D115" s="250"/>
    </row>
    <row r="116" spans="2:6">
      <c r="B116" s="31" t="s">
        <v>12</v>
      </c>
      <c r="C116" s="32" t="s">
        <v>13</v>
      </c>
      <c r="D116" s="33">
        <v>36.475426694474002</v>
      </c>
    </row>
    <row r="117" spans="2:6" ht="15" customHeight="1">
      <c r="B117" s="31" t="s">
        <v>14</v>
      </c>
      <c r="C117" s="32" t="s">
        <v>15</v>
      </c>
      <c r="D117" s="44">
        <v>145779.657264165</v>
      </c>
    </row>
    <row r="119" spans="2:6">
      <c r="B119" s="254" t="s">
        <v>21</v>
      </c>
      <c r="C119" s="254" t="s">
        <v>514</v>
      </c>
      <c r="D119" s="254"/>
      <c r="E119" s="254"/>
      <c r="F119" s="254"/>
    </row>
    <row r="120" spans="2:6">
      <c r="B120" s="254"/>
      <c r="C120" s="254"/>
      <c r="D120" s="254"/>
      <c r="E120" s="254"/>
      <c r="F120" s="254"/>
    </row>
    <row r="121" spans="2:6">
      <c r="B121" s="254"/>
      <c r="C121" s="254"/>
      <c r="D121" s="254"/>
      <c r="E121" s="254"/>
      <c r="F121" s="254"/>
    </row>
    <row r="122" spans="2:6">
      <c r="B122" s="35"/>
      <c r="C122" s="36">
        <v>2020</v>
      </c>
      <c r="D122" s="36">
        <v>2030</v>
      </c>
      <c r="E122" s="36">
        <v>2040</v>
      </c>
      <c r="F122" s="36">
        <v>2050</v>
      </c>
    </row>
    <row r="123" spans="2:6">
      <c r="B123" s="52">
        <v>8.3830688542600798E-2</v>
      </c>
      <c r="C123" s="53">
        <v>149171.36324075999</v>
      </c>
      <c r="D123" s="53">
        <v>146559.07902835499</v>
      </c>
      <c r="E123" s="53">
        <v>146381.546778605</v>
      </c>
      <c r="F123" s="53">
        <v>146238.89287034201</v>
      </c>
    </row>
    <row r="124" spans="2:6">
      <c r="B124" s="52">
        <v>0.133830688542601</v>
      </c>
      <c r="C124" s="53">
        <v>150921.44625303999</v>
      </c>
      <c r="D124" s="53">
        <v>147404.249028355</v>
      </c>
      <c r="E124" s="53">
        <v>147132.552600489</v>
      </c>
      <c r="F124" s="53">
        <v>146908.994325423</v>
      </c>
    </row>
    <row r="125" spans="2:6">
      <c r="B125" s="52">
        <v>0.18383068854260101</v>
      </c>
      <c r="C125" s="53">
        <v>158127.62788424501</v>
      </c>
      <c r="D125" s="53">
        <v>148744.379028355</v>
      </c>
      <c r="E125" s="53">
        <v>148347.749968068</v>
      </c>
      <c r="F125" s="53">
        <v>148012.98987397499</v>
      </c>
    </row>
    <row r="126" spans="2:6">
      <c r="B126" s="52">
        <v>0.233830688542601</v>
      </c>
      <c r="C126" s="53">
        <v>164560.417317082</v>
      </c>
      <c r="D126" s="53">
        <v>152782.84902835501</v>
      </c>
      <c r="E126" s="53">
        <v>152032.29936660401</v>
      </c>
      <c r="F126" s="53">
        <v>151380.841457059</v>
      </c>
    </row>
    <row r="127" spans="2:6">
      <c r="B127" s="52">
        <v>0.28383068854260102</v>
      </c>
      <c r="C127" s="53">
        <v>197656.909721506</v>
      </c>
      <c r="D127" s="53">
        <v>159684.36902835499</v>
      </c>
      <c r="E127" s="53">
        <v>158472.221048593</v>
      </c>
      <c r="F127" s="53">
        <v>157385.78744626301</v>
      </c>
    </row>
    <row r="128" spans="2:6">
      <c r="B128" s="52">
        <v>0.31383068854260099</v>
      </c>
      <c r="C128" s="53">
        <v>310722.79550327401</v>
      </c>
      <c r="D128" s="53">
        <v>166585.88902835501</v>
      </c>
      <c r="E128" s="53">
        <v>165146.73175895799</v>
      </c>
      <c r="F128" s="53">
        <v>163805.200672776</v>
      </c>
    </row>
    <row r="132" spans="2:6">
      <c r="B132" s="254" t="s">
        <v>21</v>
      </c>
      <c r="C132" s="254" t="s">
        <v>515</v>
      </c>
      <c r="D132" s="254"/>
      <c r="E132" s="254"/>
      <c r="F132" s="254"/>
    </row>
    <row r="133" spans="2:6">
      <c r="B133" s="254"/>
      <c r="C133" s="254"/>
      <c r="D133" s="254"/>
      <c r="E133" s="254"/>
      <c r="F133" s="254"/>
    </row>
    <row r="134" spans="2:6">
      <c r="B134" s="254"/>
      <c r="C134" s="254"/>
      <c r="D134" s="254"/>
      <c r="E134" s="254"/>
      <c r="F134" s="254"/>
    </row>
    <row r="135" spans="2:6">
      <c r="B135" s="35"/>
      <c r="C135" s="36">
        <v>2020</v>
      </c>
      <c r="D135" s="36">
        <v>2030</v>
      </c>
      <c r="E135" s="36">
        <v>2040</v>
      </c>
      <c r="F135" s="36">
        <v>2050</v>
      </c>
    </row>
    <row r="136" spans="2:6" ht="15" customHeight="1">
      <c r="B136" s="52">
        <v>0.05</v>
      </c>
      <c r="C136" s="53">
        <v>159779.657264165</v>
      </c>
      <c r="D136" s="53">
        <v>155191.257264165</v>
      </c>
      <c r="E136" s="53">
        <v>153495.81163932901</v>
      </c>
      <c r="F136" s="53">
        <v>152192.35989819799</v>
      </c>
    </row>
    <row r="137" spans="2:6">
      <c r="B137" s="52">
        <v>0.1</v>
      </c>
      <c r="C137" s="53">
        <v>161574.98358416499</v>
      </c>
      <c r="D137" s="53">
        <v>155368.907264165</v>
      </c>
      <c r="E137" s="53">
        <v>153787.786668018</v>
      </c>
      <c r="F137" s="53">
        <v>152545.59807747099</v>
      </c>
    </row>
    <row r="138" spans="2:6">
      <c r="B138" s="52">
        <v>0.15</v>
      </c>
      <c r="C138" s="53">
        <v>163370.30990416501</v>
      </c>
      <c r="D138" s="53">
        <v>155790.347264165</v>
      </c>
      <c r="E138" s="53">
        <v>154295.05024660099</v>
      </c>
      <c r="F138" s="53">
        <v>153093.52227706899</v>
      </c>
    </row>
    <row r="139" spans="2:6">
      <c r="B139" s="52">
        <v>0.2</v>
      </c>
      <c r="C139" s="53">
        <v>165165.63622416501</v>
      </c>
      <c r="D139" s="53">
        <v>156632.29726416501</v>
      </c>
      <c r="E139" s="53">
        <v>155182.42313219901</v>
      </c>
      <c r="F139" s="53">
        <v>153989.43225429</v>
      </c>
    </row>
    <row r="140" spans="2:6">
      <c r="B140" s="52">
        <v>0.25</v>
      </c>
      <c r="C140" s="53">
        <v>168756.28886416499</v>
      </c>
      <c r="D140" s="53">
        <v>157655.61726416499</v>
      </c>
      <c r="E140" s="53">
        <v>156259.477893356</v>
      </c>
      <c r="F140" s="53">
        <v>155081.11807574701</v>
      </c>
    </row>
    <row r="141" spans="2:6">
      <c r="B141" s="52">
        <v>0.3</v>
      </c>
      <c r="C141" s="53">
        <v>171601.291855872</v>
      </c>
      <c r="D141" s="53">
        <v>159127.66726416501</v>
      </c>
      <c r="E141" s="53">
        <v>157776.085315954</v>
      </c>
      <c r="F141" s="53">
        <v>156602.94675440001</v>
      </c>
    </row>
    <row r="142" spans="2:6">
      <c r="B142" s="52">
        <v>0.32532573920000002</v>
      </c>
      <c r="C142" s="53">
        <v>174072.51894469201</v>
      </c>
      <c r="D142" s="53">
        <v>168017.47726416501</v>
      </c>
      <c r="E142" s="53">
        <v>166134.296551015</v>
      </c>
      <c r="F142" s="53">
        <v>164446.42440983601</v>
      </c>
    </row>
    <row r="143" spans="2:6">
      <c r="B143" s="52">
        <v>0.33196503999999999</v>
      </c>
      <c r="C143" s="53">
        <v>182517.95802076301</v>
      </c>
      <c r="D143" s="53">
        <v>171745.007264165</v>
      </c>
      <c r="E143" s="53">
        <v>169983.63060976399</v>
      </c>
      <c r="F143" s="53">
        <v>168341.73810322501</v>
      </c>
    </row>
    <row r="148" spans="2:6">
      <c r="B148" s="29" t="s">
        <v>516</v>
      </c>
    </row>
    <row r="149" spans="2:6">
      <c r="B149" s="250">
        <v>2020</v>
      </c>
      <c r="C149" s="250"/>
      <c r="D149" s="250"/>
    </row>
    <row r="150" spans="2:6">
      <c r="B150" s="31" t="s">
        <v>12</v>
      </c>
      <c r="C150" s="32" t="s">
        <v>88</v>
      </c>
      <c r="D150" s="33">
        <v>32.590691030136803</v>
      </c>
    </row>
    <row r="151" spans="2:6">
      <c r="B151" s="31" t="s">
        <v>14</v>
      </c>
      <c r="C151" s="32" t="s">
        <v>15</v>
      </c>
      <c r="D151" s="44">
        <v>184053.94732796299</v>
      </c>
    </row>
    <row r="153" spans="2:6">
      <c r="B153" s="254" t="s">
        <v>121</v>
      </c>
      <c r="C153" s="254" t="s">
        <v>517</v>
      </c>
      <c r="D153" s="254"/>
      <c r="E153" s="254"/>
      <c r="F153" s="254"/>
    </row>
    <row r="154" spans="2:6">
      <c r="B154" s="254"/>
      <c r="C154" s="254"/>
      <c r="D154" s="254"/>
      <c r="E154" s="254"/>
      <c r="F154" s="254"/>
    </row>
    <row r="155" spans="2:6">
      <c r="B155" s="254"/>
      <c r="C155" s="254"/>
      <c r="D155" s="254"/>
      <c r="E155" s="254"/>
      <c r="F155" s="254"/>
    </row>
    <row r="156" spans="2:6" ht="15" customHeight="1">
      <c r="B156" s="35"/>
      <c r="C156" s="36">
        <v>2020</v>
      </c>
      <c r="D156" s="36">
        <v>2030</v>
      </c>
      <c r="E156" s="36">
        <v>2040</v>
      </c>
      <c r="F156" s="36">
        <v>2050</v>
      </c>
    </row>
    <row r="157" spans="2:6">
      <c r="B157" s="52">
        <v>8.3830688542600798E-2</v>
      </c>
      <c r="C157" s="53">
        <v>190945.65330455801</v>
      </c>
      <c r="D157" s="53">
        <v>184833.36909215301</v>
      </c>
      <c r="E157" s="53">
        <v>184655.836842402</v>
      </c>
      <c r="F157" s="53">
        <v>184513.18293414</v>
      </c>
    </row>
    <row r="158" spans="2:6">
      <c r="B158" s="52">
        <v>0.133830688542601</v>
      </c>
      <c r="C158" s="53">
        <v>192695.73631683801</v>
      </c>
      <c r="D158" s="53">
        <v>185678.53909215299</v>
      </c>
      <c r="E158" s="53">
        <v>185406.842664286</v>
      </c>
      <c r="F158" s="53">
        <v>185183.28438922099</v>
      </c>
    </row>
    <row r="159" spans="2:6">
      <c r="B159" s="52">
        <v>0.18383068854260101</v>
      </c>
      <c r="C159" s="53">
        <v>199901.917948043</v>
      </c>
      <c r="D159" s="53">
        <v>187018.669092153</v>
      </c>
      <c r="E159" s="53">
        <v>186622.040031866</v>
      </c>
      <c r="F159" s="53">
        <v>186287.27993777301</v>
      </c>
    </row>
    <row r="160" spans="2:6">
      <c r="B160" s="52">
        <v>0.233830688542601</v>
      </c>
      <c r="C160" s="53">
        <v>206334.70738087999</v>
      </c>
      <c r="D160" s="53">
        <v>191057.139092153</v>
      </c>
      <c r="E160" s="53">
        <v>190306.589430402</v>
      </c>
      <c r="F160" s="53">
        <v>189655.13152085699</v>
      </c>
    </row>
    <row r="161" spans="2:6">
      <c r="B161" s="52">
        <v>0.28383068854260102</v>
      </c>
      <c r="C161" s="53">
        <v>239431.19978530399</v>
      </c>
      <c r="D161" s="53">
        <v>197958.65909215299</v>
      </c>
      <c r="E161" s="53">
        <v>196746.51111239099</v>
      </c>
      <c r="F161" s="53">
        <v>195660.077510061</v>
      </c>
    </row>
    <row r="162" spans="2:6">
      <c r="B162" s="52">
        <v>0.31383068854260099</v>
      </c>
      <c r="C162" s="53">
        <v>352497.08556707198</v>
      </c>
      <c r="D162" s="53">
        <v>204860.179092153</v>
      </c>
      <c r="E162" s="53">
        <v>203421.02182275601</v>
      </c>
      <c r="F162" s="53">
        <v>202079.490736573</v>
      </c>
    </row>
    <row r="167" spans="2:6">
      <c r="B167" s="29" t="s">
        <v>518</v>
      </c>
    </row>
    <row r="168" spans="2:6">
      <c r="B168" s="250">
        <v>2015</v>
      </c>
      <c r="C168" s="250"/>
      <c r="D168" s="250"/>
    </row>
    <row r="169" spans="2:6">
      <c r="B169" s="31" t="s">
        <v>12</v>
      </c>
      <c r="C169" s="32" t="s">
        <v>13</v>
      </c>
      <c r="D169" s="33">
        <v>47.905514322235398</v>
      </c>
    </row>
    <row r="170" spans="2:6">
      <c r="B170" s="31" t="s">
        <v>14</v>
      </c>
      <c r="C170" s="32" t="s">
        <v>15</v>
      </c>
      <c r="D170" s="44">
        <v>160845.22518890101</v>
      </c>
    </row>
    <row r="172" spans="2:6">
      <c r="B172" s="254" t="s">
        <v>91</v>
      </c>
      <c r="C172" s="254" t="s">
        <v>519</v>
      </c>
      <c r="D172" s="254"/>
      <c r="E172" s="254"/>
      <c r="F172" s="254"/>
    </row>
    <row r="173" spans="2:6">
      <c r="B173" s="254"/>
      <c r="C173" s="254"/>
      <c r="D173" s="254"/>
      <c r="E173" s="254"/>
      <c r="F173" s="254"/>
    </row>
    <row r="174" spans="2:6">
      <c r="B174" s="254"/>
      <c r="C174" s="254"/>
      <c r="D174" s="254"/>
      <c r="E174" s="254"/>
      <c r="F174" s="254"/>
    </row>
    <row r="175" spans="2:6">
      <c r="B175" s="35"/>
      <c r="C175" s="36">
        <v>2020</v>
      </c>
      <c r="D175" s="36">
        <v>2030</v>
      </c>
      <c r="E175" s="36">
        <v>2040</v>
      </c>
      <c r="F175" s="36">
        <v>2050</v>
      </c>
    </row>
    <row r="176" spans="2:6">
      <c r="B176" s="52">
        <v>8.3830688542600798E-2</v>
      </c>
      <c r="C176" s="53">
        <v>164236.931165496</v>
      </c>
      <c r="D176" s="53">
        <v>161624.646953091</v>
      </c>
      <c r="E176" s="53">
        <v>161447.11470334101</v>
      </c>
      <c r="F176" s="53">
        <v>161304.46079507799</v>
      </c>
    </row>
    <row r="177" spans="2:6" ht="15" customHeight="1">
      <c r="B177" s="52">
        <v>0.133830688542601</v>
      </c>
      <c r="C177" s="53">
        <v>165987.014177776</v>
      </c>
      <c r="D177" s="53">
        <v>162469.81695309101</v>
      </c>
      <c r="E177" s="53">
        <v>162198.12052522501</v>
      </c>
      <c r="F177" s="53">
        <v>161974.56225015901</v>
      </c>
    </row>
    <row r="178" spans="2:6">
      <c r="B178" s="52">
        <v>0.18383068854260101</v>
      </c>
      <c r="C178" s="53">
        <v>173193.19580898201</v>
      </c>
      <c r="D178" s="53">
        <v>163809.94695309101</v>
      </c>
      <c r="E178" s="53">
        <v>163413.31789280401</v>
      </c>
      <c r="F178" s="53">
        <v>163078.557798711</v>
      </c>
    </row>
    <row r="179" spans="2:6">
      <c r="B179" s="52">
        <v>0.233830688542601</v>
      </c>
      <c r="C179" s="53">
        <v>179625.98524181801</v>
      </c>
      <c r="D179" s="53">
        <v>167848.41695309099</v>
      </c>
      <c r="E179" s="53">
        <v>167097.86729133999</v>
      </c>
      <c r="F179" s="53">
        <v>166446.40938179501</v>
      </c>
    </row>
    <row r="180" spans="2:6">
      <c r="B180" s="52">
        <v>0.28383068854260102</v>
      </c>
      <c r="C180" s="53">
        <v>212722.47764624201</v>
      </c>
      <c r="D180" s="53">
        <v>174749.936953091</v>
      </c>
      <c r="E180" s="53">
        <v>173537.78897332901</v>
      </c>
      <c r="F180" s="53">
        <v>172451.35537099899</v>
      </c>
    </row>
    <row r="181" spans="2:6">
      <c r="B181" s="52">
        <v>0.31383068854260099</v>
      </c>
      <c r="C181" s="53">
        <v>325788.36342801002</v>
      </c>
      <c r="D181" s="53">
        <v>181651.45695309099</v>
      </c>
      <c r="E181" s="53">
        <v>180212.299683694</v>
      </c>
      <c r="F181" s="53">
        <v>178870.76859751201</v>
      </c>
    </row>
    <row r="185" spans="2:6">
      <c r="B185" s="250">
        <v>2020</v>
      </c>
      <c r="C185" s="250"/>
      <c r="D185" s="250"/>
    </row>
    <row r="186" spans="2:6">
      <c r="B186" s="31" t="s">
        <v>520</v>
      </c>
      <c r="C186" s="32" t="s">
        <v>26</v>
      </c>
      <c r="D186" s="47">
        <v>1.65</v>
      </c>
    </row>
    <row r="188" spans="2:6">
      <c r="B188" s="254" t="s">
        <v>27</v>
      </c>
      <c r="C188" s="254" t="s">
        <v>521</v>
      </c>
      <c r="D188" s="254"/>
      <c r="E188" s="254"/>
      <c r="F188" s="254"/>
    </row>
    <row r="189" spans="2:6">
      <c r="B189" s="254"/>
      <c r="C189" s="254"/>
      <c r="D189" s="254"/>
      <c r="E189" s="254"/>
      <c r="F189" s="254"/>
    </row>
    <row r="190" spans="2:6">
      <c r="B190" s="254"/>
      <c r="C190" s="254"/>
      <c r="D190" s="254"/>
      <c r="E190" s="254"/>
      <c r="F190" s="254"/>
    </row>
    <row r="191" spans="2:6">
      <c r="B191" s="60"/>
      <c r="C191" s="36">
        <v>2020</v>
      </c>
      <c r="D191" s="36">
        <v>2030</v>
      </c>
      <c r="E191" s="36">
        <v>2040</v>
      </c>
      <c r="F191" s="36">
        <v>2050</v>
      </c>
    </row>
    <row r="192" spans="2:6">
      <c r="B192" s="42">
        <v>150</v>
      </c>
      <c r="C192" s="53">
        <v>249809.101532709</v>
      </c>
      <c r="D192" s="53">
        <v>186269.161712812</v>
      </c>
      <c r="E192" s="53">
        <v>173807.49249414101</v>
      </c>
      <c r="F192" s="53">
        <v>169265.41772831901</v>
      </c>
    </row>
    <row r="193" spans="2:6">
      <c r="B193" s="42">
        <v>171.42857142857099</v>
      </c>
      <c r="C193" s="53">
        <v>255912.950957733</v>
      </c>
      <c r="D193" s="53">
        <v>189317.88367839201</v>
      </c>
      <c r="E193" s="53">
        <v>175972.59049699901</v>
      </c>
      <c r="F193" s="53">
        <v>170701.524050579</v>
      </c>
    </row>
    <row r="194" spans="2:6">
      <c r="B194" s="42">
        <v>192.857142857143</v>
      </c>
      <c r="C194" s="53">
        <v>258874.07432216199</v>
      </c>
      <c r="D194" s="53">
        <v>194285.62911961399</v>
      </c>
      <c r="E194" s="53">
        <v>178686.36739842099</v>
      </c>
      <c r="F194" s="53">
        <v>172619.61269807801</v>
      </c>
    </row>
    <row r="195" spans="2:6" ht="15" customHeight="1">
      <c r="B195" s="42">
        <v>214.28571428571399</v>
      </c>
      <c r="C195" s="53">
        <v>264572.22323150502</v>
      </c>
      <c r="D195" s="53">
        <v>197462.609165103</v>
      </c>
      <c r="E195" s="53">
        <v>180107.66069809499</v>
      </c>
      <c r="F195" s="53">
        <v>174291.78985622799</v>
      </c>
    </row>
    <row r="196" spans="2:6">
      <c r="B196" s="42">
        <v>235.71428571428601</v>
      </c>
      <c r="C196" s="53">
        <v>270146.792654761</v>
      </c>
      <c r="D196" s="53">
        <v>200845.54857760799</v>
      </c>
      <c r="E196" s="53">
        <v>181414.84790076001</v>
      </c>
      <c r="F196" s="53">
        <v>175724.09172494299</v>
      </c>
    </row>
    <row r="197" spans="2:6">
      <c r="B197" s="42">
        <v>350</v>
      </c>
      <c r="C197" s="53">
        <v>291738.42388425302</v>
      </c>
      <c r="D197" s="53">
        <v>215260.57478252001</v>
      </c>
      <c r="E197" s="53">
        <v>192217.568010975</v>
      </c>
      <c r="F197" s="53">
        <v>185152.464367715</v>
      </c>
    </row>
    <row r="198" spans="2:6">
      <c r="B198" s="42">
        <v>500</v>
      </c>
      <c r="C198" s="53">
        <v>338441.59583917499</v>
      </c>
      <c r="D198" s="53">
        <v>241938.99116934501</v>
      </c>
      <c r="E198" s="53">
        <v>206307.71972699399</v>
      </c>
      <c r="F198" s="53">
        <v>196502.60903804199</v>
      </c>
    </row>
    <row r="199" spans="2:6">
      <c r="B199" s="42">
        <v>600</v>
      </c>
      <c r="C199" s="53">
        <v>369323.98061975598</v>
      </c>
      <c r="D199" s="53">
        <v>253499.58147252601</v>
      </c>
      <c r="E199" s="53">
        <v>220212.618727708</v>
      </c>
      <c r="F199" s="53">
        <v>207506.29313301499</v>
      </c>
    </row>
    <row r="203" spans="2:6">
      <c r="B203" s="254" t="s">
        <v>29</v>
      </c>
      <c r="C203" s="254" t="s">
        <v>522</v>
      </c>
      <c r="D203" s="254"/>
      <c r="E203" s="254"/>
      <c r="F203" s="254"/>
    </row>
    <row r="204" spans="2:6">
      <c r="B204" s="254"/>
      <c r="C204" s="254"/>
      <c r="D204" s="254"/>
      <c r="E204" s="254"/>
      <c r="F204" s="254"/>
    </row>
    <row r="205" spans="2:6">
      <c r="B205" s="254"/>
      <c r="C205" s="254"/>
      <c r="D205" s="254"/>
      <c r="E205" s="254"/>
      <c r="F205" s="254"/>
    </row>
    <row r="206" spans="2:6">
      <c r="B206" s="35"/>
      <c r="C206" s="36">
        <v>2020</v>
      </c>
      <c r="D206" s="36">
        <v>2030</v>
      </c>
      <c r="E206" s="36">
        <v>2040</v>
      </c>
      <c r="F206" s="36">
        <v>2050</v>
      </c>
    </row>
    <row r="207" spans="2:6">
      <c r="B207" s="43">
        <v>7.6</v>
      </c>
      <c r="C207" s="53">
        <v>456066.468676769</v>
      </c>
      <c r="D207" s="53">
        <v>273154.74282139901</v>
      </c>
      <c r="E207" s="53">
        <v>216041.398007026</v>
      </c>
      <c r="F207" s="53">
        <v>196347.19936666099</v>
      </c>
    </row>
    <row r="208" spans="2:6">
      <c r="B208" s="43">
        <v>7.3699825998713404</v>
      </c>
      <c r="C208" s="53">
        <v>457550.31995271699</v>
      </c>
      <c r="D208" s="53">
        <v>273898.23875635897</v>
      </c>
      <c r="E208" s="53">
        <v>216784.893941986</v>
      </c>
      <c r="F208" s="53">
        <v>197090.69530162099</v>
      </c>
    </row>
    <row r="209" spans="2:6">
      <c r="B209" s="43">
        <v>7.1399651997426901</v>
      </c>
      <c r="C209" s="53">
        <v>460035.18509112298</v>
      </c>
      <c r="D209" s="53">
        <v>279738.37129526201</v>
      </c>
      <c r="E209" s="53">
        <v>217528.389876945</v>
      </c>
      <c r="F209" s="53">
        <v>197834.19123657999</v>
      </c>
    </row>
    <row r="210" spans="2:6">
      <c r="B210" s="43">
        <v>6.9099477996140299</v>
      </c>
      <c r="C210" s="53">
        <v>472005.29982493399</v>
      </c>
      <c r="D210" s="53">
        <v>285958.58404468698</v>
      </c>
      <c r="E210" s="53">
        <v>218271.885811905</v>
      </c>
      <c r="F210" s="53">
        <v>198577.687171539</v>
      </c>
    </row>
    <row r="211" spans="2:6">
      <c r="B211" s="43">
        <v>6.6799303994853698</v>
      </c>
      <c r="C211" s="53">
        <v>474750.09032005101</v>
      </c>
      <c r="D211" s="53">
        <v>296784.58371519402</v>
      </c>
      <c r="E211" s="53">
        <v>219015.381746864</v>
      </c>
      <c r="F211" s="53">
        <v>199321.183106499</v>
      </c>
    </row>
    <row r="212" spans="2:6">
      <c r="B212" s="43">
        <v>6.4499129993567204</v>
      </c>
      <c r="C212" s="53">
        <v>476356.52060118603</v>
      </c>
      <c r="D212" s="53">
        <v>297726.69366124901</v>
      </c>
      <c r="E212" s="53">
        <v>219758.87768182301</v>
      </c>
      <c r="F212" s="53">
        <v>200064.679041458</v>
      </c>
    </row>
    <row r="213" spans="2:6">
      <c r="B213" s="43">
        <v>6.2198955992280602</v>
      </c>
      <c r="C213" s="53">
        <v>477962.95088232198</v>
      </c>
      <c r="D213" s="53">
        <v>298668.80360730499</v>
      </c>
      <c r="E213" s="53">
        <v>220502.37361678301</v>
      </c>
      <c r="F213" s="53">
        <v>200808.17497641701</v>
      </c>
    </row>
    <row r="214" spans="2:6">
      <c r="B214" s="43">
        <v>5.9898781990994001</v>
      </c>
      <c r="C214" s="53">
        <v>479569.38116345799</v>
      </c>
      <c r="D214" s="53">
        <v>299610.91355335998</v>
      </c>
      <c r="E214" s="53">
        <v>221245.86955174201</v>
      </c>
      <c r="F214" s="53">
        <v>201551.670911377</v>
      </c>
    </row>
    <row r="216" spans="2:6" ht="21.75" customHeight="1"/>
    <row r="217" spans="2:6" ht="21.75" customHeight="1"/>
    <row r="218" spans="2:6" ht="21.75" customHeight="1">
      <c r="B218" s="254" t="s">
        <v>21</v>
      </c>
      <c r="C218" s="255" t="s">
        <v>523</v>
      </c>
      <c r="D218" s="256"/>
      <c r="E218" s="257"/>
    </row>
    <row r="219" spans="2:6">
      <c r="B219" s="254"/>
      <c r="C219" s="258"/>
      <c r="D219" s="259"/>
      <c r="E219" s="260"/>
    </row>
    <row r="220" spans="2:6">
      <c r="B220" s="254"/>
      <c r="C220" s="261"/>
      <c r="D220" s="262"/>
      <c r="E220" s="263"/>
    </row>
    <row r="221" spans="2:6">
      <c r="B221" s="35"/>
      <c r="C221" s="36">
        <v>2030</v>
      </c>
      <c r="D221" s="36">
        <v>2040</v>
      </c>
      <c r="E221" s="36">
        <v>2050</v>
      </c>
    </row>
    <row r="222" spans="2:6">
      <c r="B222" s="52">
        <v>0.52467426080000001</v>
      </c>
      <c r="C222" s="53">
        <v>164730.19815389399</v>
      </c>
      <c r="D222" s="53">
        <v>160787.99017819401</v>
      </c>
      <c r="E222" s="53">
        <v>158686.58434712101</v>
      </c>
    </row>
    <row r="223" spans="2:6">
      <c r="B223" s="52">
        <v>0.57467426079999995</v>
      </c>
      <c r="C223" s="53">
        <v>165753.51815389399</v>
      </c>
      <c r="D223" s="53">
        <v>161865.04493935101</v>
      </c>
      <c r="E223" s="53">
        <v>159778.27016857799</v>
      </c>
    </row>
    <row r="224" spans="2:6">
      <c r="B224" s="52">
        <v>0.62467426079999999</v>
      </c>
      <c r="C224" s="53">
        <v>167225.56815389401</v>
      </c>
      <c r="D224" s="53">
        <v>163381.652361949</v>
      </c>
      <c r="E224" s="53">
        <v>161300.09884723101</v>
      </c>
    </row>
    <row r="225" spans="2:5">
      <c r="B225" s="52">
        <v>0.65</v>
      </c>
      <c r="C225" s="53">
        <v>176115.37815389401</v>
      </c>
      <c r="D225" s="53">
        <v>171739.86359701</v>
      </c>
      <c r="E225" s="53">
        <v>169143.57650266701</v>
      </c>
    </row>
    <row r="226" spans="2:5">
      <c r="B226" t="s">
        <v>524</v>
      </c>
    </row>
    <row r="227" spans="2:5">
      <c r="B227" t="s">
        <v>525</v>
      </c>
    </row>
  </sheetData>
  <mergeCells count="39">
    <mergeCell ref="K4:T13"/>
    <mergeCell ref="C82:F84"/>
    <mergeCell ref="C153:F155"/>
    <mergeCell ref="C172:F174"/>
    <mergeCell ref="C119:F121"/>
    <mergeCell ref="C132:F134"/>
    <mergeCell ref="C45:F47"/>
    <mergeCell ref="C65:F67"/>
    <mergeCell ref="C10:F12"/>
    <mergeCell ref="C24:F26"/>
    <mergeCell ref="C97:F99"/>
    <mergeCell ref="B168:D168"/>
    <mergeCell ref="B188:B190"/>
    <mergeCell ref="B203:B205"/>
    <mergeCell ref="B218:B220"/>
    <mergeCell ref="C203:F205"/>
    <mergeCell ref="C188:F190"/>
    <mergeCell ref="C218:E220"/>
    <mergeCell ref="B185:D185"/>
    <mergeCell ref="B10:B12"/>
    <mergeCell ref="B24:B26"/>
    <mergeCell ref="B45:B47"/>
    <mergeCell ref="B65:B67"/>
    <mergeCell ref="B82:B84"/>
    <mergeCell ref="B97:B99"/>
    <mergeCell ref="B119:B121"/>
    <mergeCell ref="B132:B134"/>
    <mergeCell ref="B153:B155"/>
    <mergeCell ref="B172:B174"/>
    <mergeCell ref="B61:D61"/>
    <mergeCell ref="B79:D79"/>
    <mergeCell ref="B112:F112"/>
    <mergeCell ref="B115:D115"/>
    <mergeCell ref="B149:D149"/>
    <mergeCell ref="B1:F1"/>
    <mergeCell ref="B2:F2"/>
    <mergeCell ref="B3:F3"/>
    <mergeCell ref="B6:D6"/>
    <mergeCell ref="B41:D41"/>
  </mergeCells>
  <pageMargins left="0.7" right="0.7" top="0.75" bottom="0.75" header="0.3" footer="0.3"/>
  <pageSetup orientation="portrait"/>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T63"/>
  <sheetViews>
    <sheetView showGridLines="0" workbookViewId="0">
      <pane ySplit="2" topLeftCell="A3" activePane="bottomLeft" state="frozen"/>
      <selection pane="bottomLeft" activeCell="B3" sqref="B3"/>
    </sheetView>
  </sheetViews>
  <sheetFormatPr defaultColWidth="9" defaultRowHeight="14.25"/>
  <cols>
    <col min="1" max="1" width="7.59765625" customWidth="1"/>
    <col min="2" max="2" width="38.265625" customWidth="1"/>
    <col min="3" max="6" width="13.73046875" customWidth="1"/>
  </cols>
  <sheetData>
    <row r="1" spans="2:20" ht="33.75" customHeight="1">
      <c r="B1" s="245" t="s">
        <v>10</v>
      </c>
      <c r="C1" s="246"/>
      <c r="D1" s="246"/>
      <c r="E1" s="246"/>
      <c r="F1" s="247"/>
    </row>
    <row r="2" spans="2:20">
      <c r="B2" s="248" t="s">
        <v>9</v>
      </c>
      <c r="C2" s="249"/>
      <c r="D2" s="249"/>
      <c r="E2" s="249"/>
      <c r="F2" s="249"/>
    </row>
    <row r="4" spans="2:20" ht="16.5" customHeight="1"/>
    <row r="5" spans="2:20" ht="15" customHeight="1">
      <c r="B5" s="29" t="s">
        <v>526</v>
      </c>
      <c r="K5" s="295" t="s">
        <v>527</v>
      </c>
      <c r="L5" s="295"/>
      <c r="M5" s="295"/>
      <c r="N5" s="295"/>
      <c r="O5" s="295"/>
      <c r="P5" s="295"/>
      <c r="Q5" s="295"/>
      <c r="R5" s="295"/>
      <c r="S5" s="295"/>
      <c r="T5" s="295"/>
    </row>
    <row r="6" spans="2:20">
      <c r="B6" s="296">
        <v>2015</v>
      </c>
      <c r="C6" s="296"/>
      <c r="D6" s="296"/>
      <c r="K6" s="295"/>
      <c r="L6" s="295"/>
      <c r="M6" s="295"/>
      <c r="N6" s="295"/>
      <c r="O6" s="295"/>
      <c r="P6" s="295"/>
      <c r="Q6" s="295"/>
      <c r="R6" s="295"/>
      <c r="S6" s="295"/>
      <c r="T6" s="295"/>
    </row>
    <row r="7" spans="2:20">
      <c r="B7" s="31" t="s">
        <v>12</v>
      </c>
      <c r="C7" s="32" t="s">
        <v>528</v>
      </c>
      <c r="D7" s="44">
        <v>3736.1888234674502</v>
      </c>
      <c r="K7" s="295"/>
      <c r="L7" s="295"/>
      <c r="M7" s="295"/>
      <c r="N7" s="295"/>
      <c r="O7" s="295"/>
      <c r="P7" s="295"/>
      <c r="Q7" s="295"/>
      <c r="R7" s="295"/>
      <c r="S7" s="295"/>
      <c r="T7" s="295"/>
    </row>
    <row r="8" spans="2:20">
      <c r="B8" s="31" t="s">
        <v>14</v>
      </c>
      <c r="C8" s="32" t="s">
        <v>529</v>
      </c>
      <c r="D8" s="44">
        <v>109.13255981209301</v>
      </c>
      <c r="K8" s="295"/>
      <c r="L8" s="295"/>
      <c r="M8" s="295"/>
      <c r="N8" s="295"/>
      <c r="O8" s="295"/>
      <c r="P8" s="295"/>
      <c r="Q8" s="295"/>
      <c r="R8" s="295"/>
      <c r="S8" s="295"/>
      <c r="T8" s="295"/>
    </row>
    <row r="9" spans="2:20">
      <c r="K9" s="295"/>
      <c r="L9" s="295"/>
      <c r="M9" s="295"/>
      <c r="N9" s="295"/>
      <c r="O9" s="295"/>
      <c r="P9" s="295"/>
      <c r="Q9" s="295"/>
      <c r="R9" s="295"/>
      <c r="S9" s="295"/>
      <c r="T9" s="295"/>
    </row>
    <row r="10" spans="2:20">
      <c r="B10" s="254" t="s">
        <v>140</v>
      </c>
      <c r="C10" s="254" t="s">
        <v>530</v>
      </c>
      <c r="D10" s="254"/>
      <c r="E10" s="254"/>
      <c r="F10" s="254"/>
      <c r="K10" s="295"/>
      <c r="L10" s="295"/>
      <c r="M10" s="295"/>
      <c r="N10" s="295"/>
      <c r="O10" s="295"/>
      <c r="P10" s="295"/>
      <c r="Q10" s="295"/>
      <c r="R10" s="295"/>
      <c r="S10" s="295"/>
      <c r="T10" s="295"/>
    </row>
    <row r="11" spans="2:20">
      <c r="B11" s="254"/>
      <c r="C11" s="254"/>
      <c r="D11" s="254"/>
      <c r="E11" s="254"/>
      <c r="F11" s="254"/>
      <c r="K11" s="295"/>
      <c r="L11" s="295"/>
      <c r="M11" s="295"/>
      <c r="N11" s="295"/>
      <c r="O11" s="295"/>
      <c r="P11" s="295"/>
      <c r="Q11" s="295"/>
      <c r="R11" s="295"/>
      <c r="S11" s="295"/>
      <c r="T11" s="295"/>
    </row>
    <row r="12" spans="2:20">
      <c r="B12" s="254"/>
      <c r="C12" s="254"/>
      <c r="D12" s="254"/>
      <c r="E12" s="254"/>
      <c r="F12" s="254"/>
      <c r="K12" s="295"/>
      <c r="L12" s="295"/>
      <c r="M12" s="295"/>
      <c r="N12" s="295"/>
      <c r="O12" s="295"/>
      <c r="P12" s="295"/>
      <c r="Q12" s="295"/>
      <c r="R12" s="295"/>
      <c r="S12" s="295"/>
      <c r="T12" s="295"/>
    </row>
    <row r="13" spans="2:20">
      <c r="B13" s="35"/>
      <c r="C13" s="36">
        <v>2020</v>
      </c>
      <c r="D13" s="36">
        <v>2030</v>
      </c>
      <c r="E13" s="36">
        <v>2040</v>
      </c>
      <c r="F13" s="36">
        <v>2050</v>
      </c>
      <c r="K13" s="295"/>
      <c r="L13" s="295"/>
      <c r="M13" s="295"/>
      <c r="N13" s="295"/>
      <c r="O13" s="295"/>
      <c r="P13" s="295"/>
      <c r="Q13" s="295"/>
      <c r="R13" s="295"/>
      <c r="S13" s="295"/>
      <c r="T13" s="295"/>
    </row>
    <row r="14" spans="2:20">
      <c r="B14" s="37">
        <v>2.4494588972306199E-2</v>
      </c>
      <c r="C14" s="42">
        <v>111.115662125928</v>
      </c>
      <c r="D14" s="42">
        <v>110.58446370724199</v>
      </c>
      <c r="E14" s="42">
        <v>110.58446370724199</v>
      </c>
      <c r="F14" s="42">
        <v>110.58446370724199</v>
      </c>
      <c r="K14" s="295"/>
      <c r="L14" s="295"/>
      <c r="M14" s="295"/>
      <c r="N14" s="295"/>
      <c r="O14" s="295"/>
      <c r="P14" s="295"/>
      <c r="Q14" s="295"/>
      <c r="R14" s="295"/>
      <c r="S14" s="295"/>
      <c r="T14" s="295"/>
    </row>
    <row r="15" spans="2:20">
      <c r="B15" s="37">
        <v>9.4494588972306198E-2</v>
      </c>
      <c r="C15" s="42">
        <v>125.71157966459501</v>
      </c>
      <c r="D15" s="42">
        <v>114.733676938595</v>
      </c>
      <c r="E15" s="42">
        <v>114.733676938595</v>
      </c>
      <c r="F15" s="42">
        <v>114.733676938595</v>
      </c>
    </row>
    <row r="16" spans="2:20">
      <c r="B16" s="37">
        <v>0.16449458897230601</v>
      </c>
      <c r="C16" s="42">
        <v>127.405686435755</v>
      </c>
      <c r="D16" s="42">
        <v>118.882890169948</v>
      </c>
      <c r="E16" s="42">
        <v>118.882890169948</v>
      </c>
      <c r="F16" s="42">
        <v>118.882890169948</v>
      </c>
    </row>
    <row r="17" spans="2:6">
      <c r="B17" s="37">
        <v>0.22449458897230601</v>
      </c>
      <c r="C17" s="42">
        <v>136.46207843598501</v>
      </c>
      <c r="D17" s="42">
        <v>124.73701588032</v>
      </c>
      <c r="E17" s="42">
        <v>124.73701588032</v>
      </c>
      <c r="F17" s="42">
        <v>124.73701588032</v>
      </c>
    </row>
    <row r="18" spans="2:6">
      <c r="B18" s="37">
        <v>0.274494588972306</v>
      </c>
      <c r="C18" s="42">
        <v>173.92323783279099</v>
      </c>
      <c r="D18" s="42">
        <v>130.42697934144499</v>
      </c>
      <c r="E18" s="42">
        <v>129.615453972296</v>
      </c>
      <c r="F18" s="42">
        <v>129.615453972296</v>
      </c>
    </row>
    <row r="19" spans="2:6">
      <c r="B19" s="37">
        <v>0.32449458897230599</v>
      </c>
      <c r="C19" s="42">
        <v>249.29966336229401</v>
      </c>
      <c r="D19" s="42">
        <v>145.01955310159801</v>
      </c>
      <c r="E19" s="42">
        <v>134.49389206427301</v>
      </c>
      <c r="F19" s="42">
        <v>134.49389206427301</v>
      </c>
    </row>
    <row r="20" spans="2:6">
      <c r="B20" s="37">
        <v>0.39449458897230599</v>
      </c>
      <c r="C20" s="42">
        <v>326.904386688214</v>
      </c>
      <c r="D20" s="42">
        <v>167.88550278309299</v>
      </c>
      <c r="E20" s="42">
        <v>141.32370539303901</v>
      </c>
      <c r="F20" s="42">
        <v>141.32370539303901</v>
      </c>
    </row>
    <row r="22" spans="2:6" ht="15" customHeight="1"/>
    <row r="24" spans="2:6" ht="15" customHeight="1">
      <c r="B24" s="254" t="s">
        <v>140</v>
      </c>
      <c r="C24" s="255" t="s">
        <v>531</v>
      </c>
      <c r="D24" s="256"/>
      <c r="E24" s="257"/>
    </row>
    <row r="25" spans="2:6">
      <c r="B25" s="254"/>
      <c r="C25" s="258"/>
      <c r="D25" s="259"/>
      <c r="E25" s="260"/>
    </row>
    <row r="26" spans="2:6">
      <c r="B26" s="254"/>
      <c r="C26" s="261"/>
      <c r="D26" s="262"/>
      <c r="E26" s="263"/>
    </row>
    <row r="27" spans="2:6">
      <c r="B27" s="35"/>
      <c r="C27" s="36">
        <v>2030</v>
      </c>
      <c r="D27" s="36">
        <v>2040</v>
      </c>
      <c r="E27" s="36">
        <v>2050</v>
      </c>
    </row>
    <row r="28" spans="2:6">
      <c r="B28" s="37">
        <v>0.13919999999999999</v>
      </c>
      <c r="C28" s="42">
        <v>121.25315586564599</v>
      </c>
      <c r="D28" s="42">
        <v>119.05369229622301</v>
      </c>
      <c r="E28" s="42">
        <v>119.05369229622301</v>
      </c>
    </row>
    <row r="29" spans="2:6">
      <c r="B29" s="37">
        <v>0.22919999999999999</v>
      </c>
      <c r="C29" s="42">
        <v>125.995113844334</v>
      </c>
      <c r="D29" s="42">
        <v>123.79565027491201</v>
      </c>
      <c r="E29" s="42">
        <v>123.79565027491201</v>
      </c>
    </row>
    <row r="30" spans="2:6">
      <c r="B30" s="37">
        <v>0.29920000000000002</v>
      </c>
      <c r="C30" s="42">
        <v>130.14432707568699</v>
      </c>
      <c r="D30" s="42">
        <v>127.94486350626499</v>
      </c>
      <c r="E30" s="42">
        <v>127.94486350626499</v>
      </c>
    </row>
    <row r="31" spans="2:6">
      <c r="B31" s="37">
        <v>0.34920000000000001</v>
      </c>
      <c r="C31" s="42">
        <v>134.29354030703999</v>
      </c>
      <c r="D31" s="42">
        <v>132.094076737617</v>
      </c>
      <c r="E31" s="42">
        <v>132.094076737617</v>
      </c>
    </row>
    <row r="32" spans="2:6">
      <c r="B32" s="37">
        <v>0.3992</v>
      </c>
      <c r="C32" s="42">
        <v>146.25958263566201</v>
      </c>
      <c r="D32" s="42">
        <v>141.416927484762</v>
      </c>
      <c r="E32" s="42">
        <v>141.416927484762</v>
      </c>
    </row>
    <row r="33" spans="2:5">
      <c r="B33" s="37">
        <v>0.44919999999999999</v>
      </c>
      <c r="C33" s="42">
        <v>166.024116054188</v>
      </c>
      <c r="D33" s="42">
        <v>146.29536557673799</v>
      </c>
      <c r="E33" s="42">
        <v>146.29536557673799</v>
      </c>
    </row>
    <row r="34" spans="2:5">
      <c r="B34" s="37">
        <v>0.49919999999999998</v>
      </c>
      <c r="C34" s="42">
        <v>187.76510281456601</v>
      </c>
      <c r="D34" s="42">
        <v>151.17380366871501</v>
      </c>
      <c r="E34" s="42">
        <v>151.17380366871501</v>
      </c>
    </row>
    <row r="35" spans="2:5">
      <c r="B35" s="37">
        <v>0.55320000000000003</v>
      </c>
      <c r="C35" s="42">
        <v>215.14123530123399</v>
      </c>
      <c r="D35" s="42">
        <v>162.10354848146201</v>
      </c>
      <c r="E35" s="42">
        <v>162.10354848146201</v>
      </c>
    </row>
    <row r="39" spans="2:5">
      <c r="B39" s="250">
        <v>2030</v>
      </c>
      <c r="C39" s="250"/>
      <c r="D39" s="250"/>
    </row>
    <row r="40" spans="2:5">
      <c r="B40" s="31" t="s">
        <v>12</v>
      </c>
      <c r="C40" s="32" t="s">
        <v>528</v>
      </c>
      <c r="D40" s="44">
        <v>2146.1736887360298</v>
      </c>
    </row>
    <row r="41" spans="2:5" ht="15" customHeight="1"/>
    <row r="42" spans="2:5">
      <c r="B42" s="254" t="s">
        <v>532</v>
      </c>
      <c r="C42" s="255" t="s">
        <v>533</v>
      </c>
      <c r="D42" s="256"/>
      <c r="E42" s="257"/>
    </row>
    <row r="43" spans="2:5">
      <c r="B43" s="254"/>
      <c r="C43" s="258"/>
      <c r="D43" s="259"/>
      <c r="E43" s="260"/>
    </row>
    <row r="44" spans="2:5">
      <c r="B44" s="254"/>
      <c r="C44" s="261"/>
      <c r="D44" s="262"/>
      <c r="E44" s="263"/>
    </row>
    <row r="45" spans="2:5">
      <c r="B45" s="35"/>
      <c r="C45" s="36">
        <v>2030</v>
      </c>
      <c r="D45" s="36">
        <v>2040</v>
      </c>
      <c r="E45" s="36">
        <v>2050</v>
      </c>
    </row>
    <row r="46" spans="2:5">
      <c r="B46" s="42">
        <v>350</v>
      </c>
      <c r="C46" s="42">
        <v>191.636992203033</v>
      </c>
      <c r="D46" s="42">
        <v>160.07069208278099</v>
      </c>
      <c r="E46" s="42">
        <v>155.151973642423</v>
      </c>
    </row>
    <row r="47" spans="2:5">
      <c r="B47" s="42">
        <v>500</v>
      </c>
      <c r="C47" s="42">
        <v>203.33544546945501</v>
      </c>
      <c r="D47" s="42">
        <v>170.53098217170501</v>
      </c>
      <c r="E47" s="42">
        <v>162.35619861348201</v>
      </c>
    </row>
    <row r="48" spans="2:5">
      <c r="B48" s="42">
        <v>700</v>
      </c>
      <c r="C48" s="42">
        <v>226.935203719013</v>
      </c>
      <c r="D48" s="42">
        <v>187.75180245266901</v>
      </c>
      <c r="E48" s="42">
        <v>176.06815695116299</v>
      </c>
    </row>
    <row r="49" spans="2:5">
      <c r="B49" s="42">
        <v>1100</v>
      </c>
      <c r="C49" s="42">
        <v>308.771871310177</v>
      </c>
      <c r="D49" s="42">
        <v>238.775273693841</v>
      </c>
      <c r="E49" s="42">
        <v>221.00052119590001</v>
      </c>
    </row>
    <row r="53" spans="2:5">
      <c r="B53" s="254" t="s">
        <v>534</v>
      </c>
      <c r="C53" s="255" t="s">
        <v>535</v>
      </c>
      <c r="D53" s="256">
        <v>0</v>
      </c>
      <c r="E53" s="257">
        <v>0</v>
      </c>
    </row>
    <row r="54" spans="2:5">
      <c r="B54" s="254">
        <v>0</v>
      </c>
      <c r="C54" s="258">
        <v>0</v>
      </c>
      <c r="D54" s="259">
        <v>0</v>
      </c>
      <c r="E54" s="260">
        <v>0</v>
      </c>
    </row>
    <row r="55" spans="2:5">
      <c r="B55" s="254">
        <v>0</v>
      </c>
      <c r="C55" s="261">
        <v>0</v>
      </c>
      <c r="D55" s="262">
        <v>0</v>
      </c>
      <c r="E55" s="263">
        <v>0</v>
      </c>
    </row>
    <row r="56" spans="2:5">
      <c r="B56" s="35"/>
      <c r="C56" s="36">
        <v>2030</v>
      </c>
      <c r="D56" s="36">
        <v>2040</v>
      </c>
      <c r="E56" s="36">
        <v>2050</v>
      </c>
    </row>
    <row r="57" spans="2:5">
      <c r="B57" s="51">
        <v>2652.69406466189</v>
      </c>
      <c r="C57" s="42">
        <v>144.61487817724199</v>
      </c>
      <c r="D57" s="42">
        <v>135.66675350407101</v>
      </c>
      <c r="E57" s="42">
        <v>132.80282663892501</v>
      </c>
    </row>
    <row r="58" spans="2:5">
      <c r="B58" s="51">
        <v>2600.7127440353502</v>
      </c>
      <c r="C58" s="42">
        <v>151.213592601941</v>
      </c>
      <c r="D58" s="42">
        <v>139.81596673542401</v>
      </c>
      <c r="E58" s="42">
        <v>136.95203987027801</v>
      </c>
    </row>
    <row r="59" spans="2:5">
      <c r="B59" s="51">
        <v>2452.16187641429</v>
      </c>
      <c r="C59" s="42">
        <v>154.066739686549</v>
      </c>
      <c r="D59" s="42">
        <v>143.96517996677699</v>
      </c>
      <c r="E59" s="42">
        <v>141.10125310163099</v>
      </c>
    </row>
    <row r="60" spans="2:5">
      <c r="B60" s="51">
        <v>2303.6110087932202</v>
      </c>
      <c r="C60" s="42">
        <v>159.72988209406699</v>
      </c>
      <c r="D60" s="42">
        <v>149.819305677149</v>
      </c>
      <c r="E60" s="42">
        <v>146.955378812003</v>
      </c>
    </row>
    <row r="61" spans="2:5">
      <c r="B61" s="51">
        <v>2176.2816936894501</v>
      </c>
      <c r="C61" s="42">
        <v>179.94579120844</v>
      </c>
      <c r="D61" s="42">
        <v>154.697743769125</v>
      </c>
      <c r="E61" s="42">
        <v>151.833816903979</v>
      </c>
    </row>
    <row r="62" spans="2:5">
      <c r="B62" s="51">
        <v>2070.1739311029701</v>
      </c>
      <c r="C62" s="42">
        <v>218.11534666669499</v>
      </c>
      <c r="D62" s="42">
        <v>159.8607569166</v>
      </c>
      <c r="E62" s="42">
        <v>156.71225499595499</v>
      </c>
    </row>
    <row r="63" spans="2:5">
      <c r="B63" s="51">
        <v>1964.0661685165001</v>
      </c>
      <c r="C63" s="42">
        <v>256.00715148744598</v>
      </c>
      <c r="D63" s="42">
        <v>166.50863696409399</v>
      </c>
      <c r="E63" s="42">
        <v>163.54206832472201</v>
      </c>
    </row>
  </sheetData>
  <mergeCells count="13">
    <mergeCell ref="B42:B44"/>
    <mergeCell ref="B53:B55"/>
    <mergeCell ref="K5:T14"/>
    <mergeCell ref="C10:F12"/>
    <mergeCell ref="C42:E44"/>
    <mergeCell ref="C24:E26"/>
    <mergeCell ref="C53:E55"/>
    <mergeCell ref="B1:F1"/>
    <mergeCell ref="B2:F2"/>
    <mergeCell ref="B6:D6"/>
    <mergeCell ref="B39:D39"/>
    <mergeCell ref="B10:B12"/>
    <mergeCell ref="B24:B26"/>
  </mergeCells>
  <pageMargins left="0.7" right="0.7" top="0.75" bottom="0.75" header="0.3" footer="0.3"/>
  <pageSetup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L131"/>
  <sheetViews>
    <sheetView showGridLines="0" workbookViewId="0">
      <pane ySplit="2" topLeftCell="A3" activePane="bottomLeft" state="frozen"/>
      <selection pane="bottomLeft" activeCell="B1" sqref="B1:F1"/>
    </sheetView>
  </sheetViews>
  <sheetFormatPr defaultColWidth="9" defaultRowHeight="14.25"/>
  <cols>
    <col min="1" max="1" width="7.59765625" customWidth="1"/>
    <col min="2" max="2" width="38.265625" customWidth="1"/>
    <col min="3" max="6" width="13.73046875" customWidth="1"/>
  </cols>
  <sheetData>
    <row r="1" spans="2:12" ht="33.75" customHeight="1">
      <c r="B1" s="245" t="s">
        <v>10</v>
      </c>
      <c r="C1" s="246"/>
      <c r="D1" s="246"/>
      <c r="E1" s="246"/>
      <c r="F1" s="247"/>
    </row>
    <row r="2" spans="2:12">
      <c r="B2" s="248" t="s">
        <v>9</v>
      </c>
      <c r="C2" s="249"/>
      <c r="D2" s="249"/>
      <c r="E2" s="249"/>
      <c r="F2" s="249"/>
    </row>
    <row r="5" spans="2:12">
      <c r="B5" s="29" t="s">
        <v>536</v>
      </c>
    </row>
    <row r="6" spans="2:12" ht="15" customHeight="1">
      <c r="B6" s="250">
        <v>2015</v>
      </c>
      <c r="C6" s="250"/>
      <c r="D6" s="250"/>
    </row>
    <row r="7" spans="2:12">
      <c r="B7" s="31" t="s">
        <v>12</v>
      </c>
      <c r="C7" s="32" t="s">
        <v>537</v>
      </c>
      <c r="D7" s="44">
        <v>11.1115917749527</v>
      </c>
      <c r="J7" s="50"/>
    </row>
    <row r="8" spans="2:12">
      <c r="B8" s="31" t="s">
        <v>14</v>
      </c>
      <c r="C8" s="32" t="s">
        <v>529</v>
      </c>
      <c r="D8" s="44">
        <v>8.5198577721008402</v>
      </c>
      <c r="J8" s="50"/>
    </row>
    <row r="10" spans="2:12">
      <c r="B10" s="254" t="s">
        <v>140</v>
      </c>
      <c r="C10" s="254" t="s">
        <v>538</v>
      </c>
      <c r="D10" s="254"/>
      <c r="E10" s="254"/>
      <c r="F10" s="254"/>
    </row>
    <row r="11" spans="2:12">
      <c r="B11" s="254"/>
      <c r="C11" s="254"/>
      <c r="D11" s="254"/>
      <c r="E11" s="254"/>
      <c r="F11" s="254"/>
    </row>
    <row r="12" spans="2:12">
      <c r="B12" s="254"/>
      <c r="C12" s="254"/>
      <c r="D12" s="254"/>
      <c r="E12" s="254"/>
      <c r="F12" s="254"/>
    </row>
    <row r="13" spans="2:12">
      <c r="B13" s="35"/>
      <c r="C13" s="36">
        <v>2020</v>
      </c>
      <c r="D13" s="36">
        <v>2030</v>
      </c>
      <c r="E13" s="36">
        <v>2040</v>
      </c>
      <c r="F13" s="36">
        <v>2050</v>
      </c>
    </row>
    <row r="14" spans="2:12">
      <c r="B14" s="37">
        <v>0.05</v>
      </c>
      <c r="C14" s="48">
        <v>8.7076566191047</v>
      </c>
      <c r="D14" s="48">
        <v>8.7076566191047</v>
      </c>
      <c r="E14" s="48">
        <v>8.7076566191047</v>
      </c>
      <c r="F14" s="48">
        <v>8.7076566191047</v>
      </c>
      <c r="H14" s="49"/>
      <c r="I14" s="50"/>
      <c r="J14" s="50"/>
      <c r="K14" s="50"/>
      <c r="L14" s="50"/>
    </row>
    <row r="15" spans="2:12">
      <c r="B15" s="37">
        <v>0.1</v>
      </c>
      <c r="C15" s="48">
        <v>8.9141553741789306</v>
      </c>
      <c r="D15" s="48">
        <v>8.8954554661085599</v>
      </c>
      <c r="E15" s="48">
        <v>8.8954554661085599</v>
      </c>
      <c r="F15" s="48">
        <v>8.8954554661085599</v>
      </c>
      <c r="H15" s="49"/>
      <c r="I15" s="50"/>
      <c r="J15" s="50"/>
      <c r="K15" s="50"/>
      <c r="L15" s="50"/>
    </row>
    <row r="16" spans="2:12">
      <c r="B16" s="37">
        <v>0.15</v>
      </c>
      <c r="C16" s="48">
        <v>9.5006287361628399</v>
      </c>
      <c r="D16" s="48">
        <v>9.0832543131124108</v>
      </c>
      <c r="E16" s="48">
        <v>9.0832543131124108</v>
      </c>
      <c r="F16" s="48">
        <v>9.0832543131124108</v>
      </c>
      <c r="H16" s="49"/>
      <c r="I16" s="50"/>
      <c r="J16" s="50"/>
      <c r="K16" s="50"/>
      <c r="L16" s="50"/>
    </row>
    <row r="17" spans="2:12">
      <c r="B17" s="37">
        <v>0.22</v>
      </c>
      <c r="C17" s="48">
        <v>9.9000681587016999</v>
      </c>
      <c r="D17" s="48">
        <v>9.34617269891781</v>
      </c>
      <c r="E17" s="48">
        <v>9.34617269891781</v>
      </c>
      <c r="F17" s="48">
        <v>9.34617269891781</v>
      </c>
      <c r="H17" s="49"/>
      <c r="I17" s="50"/>
      <c r="J17" s="50"/>
      <c r="K17" s="50"/>
      <c r="L17" s="50"/>
    </row>
    <row r="18" spans="2:12">
      <c r="B18" s="37">
        <v>0.26</v>
      </c>
      <c r="C18" s="48">
        <v>10.316341855611</v>
      </c>
      <c r="D18" s="48">
        <v>9.7399914950285709</v>
      </c>
      <c r="E18" s="48">
        <v>9.7399914950285709</v>
      </c>
      <c r="F18" s="48">
        <v>9.7399914950285709</v>
      </c>
      <c r="H18" s="49"/>
      <c r="I18" s="50"/>
      <c r="J18" s="50"/>
      <c r="K18" s="50"/>
      <c r="L18" s="50"/>
    </row>
    <row r="19" spans="2:12">
      <c r="B19" s="37">
        <v>0.32</v>
      </c>
      <c r="C19" s="48">
        <v>13.0322082211334</v>
      </c>
      <c r="D19" s="48">
        <v>10.3801991776078</v>
      </c>
      <c r="E19" s="48">
        <v>10.3307196891947</v>
      </c>
      <c r="F19" s="48">
        <v>10.3307196891947</v>
      </c>
      <c r="H19" s="49"/>
      <c r="I19" s="50"/>
      <c r="J19" s="50"/>
      <c r="K19" s="50"/>
      <c r="L19" s="50"/>
    </row>
    <row r="20" spans="2:12">
      <c r="B20" s="37">
        <v>0.38</v>
      </c>
      <c r="C20" s="48">
        <v>21.2715939211452</v>
      </c>
      <c r="D20" s="48">
        <v>13.6375776507097</v>
      </c>
      <c r="E20" s="48">
        <v>10.9215433052777</v>
      </c>
      <c r="F20" s="48">
        <v>10.9214478833609</v>
      </c>
      <c r="H20" s="49"/>
      <c r="I20" s="50"/>
      <c r="J20" s="50"/>
      <c r="K20" s="50"/>
      <c r="L20" s="50"/>
    </row>
    <row r="21" spans="2:12">
      <c r="B21" s="37">
        <v>0.48</v>
      </c>
      <c r="C21" s="48">
        <v>33.803143754653298</v>
      </c>
      <c r="D21" s="48">
        <v>26.074067606167599</v>
      </c>
      <c r="E21" s="48">
        <v>13.4274843498302</v>
      </c>
      <c r="F21" s="48">
        <v>11.905994873637701</v>
      </c>
      <c r="H21" s="49"/>
      <c r="I21" s="50"/>
      <c r="J21" s="50"/>
      <c r="K21" s="50"/>
      <c r="L21" s="50"/>
    </row>
    <row r="25" spans="2:12">
      <c r="B25" s="29" t="s">
        <v>539</v>
      </c>
    </row>
    <row r="26" spans="2:12">
      <c r="B26" s="250">
        <v>2015</v>
      </c>
      <c r="C26" s="250"/>
      <c r="D26" s="250"/>
    </row>
    <row r="27" spans="2:12">
      <c r="B27" s="31" t="s">
        <v>12</v>
      </c>
      <c r="C27" s="32" t="s">
        <v>537</v>
      </c>
      <c r="D27" s="44">
        <v>6.9301768165073598</v>
      </c>
      <c r="J27" s="50"/>
    </row>
    <row r="28" spans="2:12">
      <c r="B28" s="31" t="s">
        <v>14</v>
      </c>
      <c r="C28" s="32" t="s">
        <v>529</v>
      </c>
      <c r="D28" s="44">
        <v>11.629605858917699</v>
      </c>
      <c r="J28" s="50"/>
    </row>
    <row r="29" spans="2:12" ht="15" customHeight="1"/>
    <row r="30" spans="2:12">
      <c r="B30" s="254" t="s">
        <v>140</v>
      </c>
      <c r="C30" s="254" t="s">
        <v>540</v>
      </c>
      <c r="D30" s="254"/>
      <c r="E30" s="254"/>
      <c r="F30" s="254"/>
    </row>
    <row r="31" spans="2:12">
      <c r="B31" s="254"/>
      <c r="C31" s="254"/>
      <c r="D31" s="254"/>
      <c r="E31" s="254"/>
      <c r="F31" s="254"/>
    </row>
    <row r="32" spans="2:12">
      <c r="B32" s="254"/>
      <c r="C32" s="254"/>
      <c r="D32" s="254"/>
      <c r="E32" s="254"/>
      <c r="F32" s="254"/>
    </row>
    <row r="33" spans="2:12">
      <c r="B33" s="35"/>
      <c r="C33" s="36">
        <v>2020</v>
      </c>
      <c r="D33" s="36">
        <v>2030</v>
      </c>
      <c r="E33" s="36">
        <v>2040</v>
      </c>
      <c r="F33" s="36">
        <v>2050</v>
      </c>
    </row>
    <row r="34" spans="2:12">
      <c r="B34" s="37">
        <v>7.0000000000000007E-2</v>
      </c>
      <c r="C34" s="38">
        <v>11.9003066289429</v>
      </c>
      <c r="D34" s="38">
        <v>11.9003066289429</v>
      </c>
      <c r="E34" s="38">
        <v>11.9003066289429</v>
      </c>
      <c r="F34" s="38">
        <v>11.9003066289429</v>
      </c>
      <c r="H34" s="49"/>
      <c r="I34" s="50"/>
      <c r="J34" s="50"/>
      <c r="K34" s="50"/>
      <c r="L34" s="50"/>
    </row>
    <row r="35" spans="2:12">
      <c r="B35" s="37">
        <v>0.12</v>
      </c>
      <c r="C35" s="38">
        <v>12.116768432237199</v>
      </c>
      <c r="D35" s="38">
        <v>12.0936643218181</v>
      </c>
      <c r="E35" s="38">
        <v>12.0936643218181</v>
      </c>
      <c r="F35" s="38">
        <v>12.0936643218181</v>
      </c>
      <c r="H35" s="49"/>
      <c r="I35" s="50"/>
      <c r="J35" s="50"/>
      <c r="K35" s="50"/>
      <c r="L35" s="50"/>
    </row>
    <row r="36" spans="2:12">
      <c r="B36" s="37">
        <v>0.2</v>
      </c>
      <c r="C36" s="38">
        <v>12.976008238382001</v>
      </c>
      <c r="D36" s="38">
        <v>12.403036630418301</v>
      </c>
      <c r="E36" s="38">
        <v>12.403036630418301</v>
      </c>
      <c r="F36" s="38">
        <v>12.403036630418301</v>
      </c>
      <c r="H36" s="49"/>
      <c r="I36" s="50"/>
      <c r="J36" s="50"/>
      <c r="K36" s="50"/>
      <c r="L36" s="50"/>
    </row>
    <row r="37" spans="2:12">
      <c r="B37" s="37">
        <v>0.28000000000000003</v>
      </c>
      <c r="C37" s="38">
        <v>13.438233549519399</v>
      </c>
      <c r="D37" s="38">
        <v>12.7124089390186</v>
      </c>
      <c r="E37" s="38">
        <v>12.7124089390186</v>
      </c>
      <c r="F37" s="38">
        <v>12.7124089390186</v>
      </c>
      <c r="H37" s="49"/>
      <c r="I37" s="50"/>
      <c r="J37" s="50"/>
      <c r="K37" s="50"/>
      <c r="L37" s="50"/>
    </row>
    <row r="38" spans="2:12">
      <c r="B38" s="37">
        <v>0.36</v>
      </c>
      <c r="C38" s="38">
        <v>14.793164693215401</v>
      </c>
      <c r="D38" s="38">
        <v>13.7782276327608</v>
      </c>
      <c r="E38" s="38">
        <v>13.7782276327608</v>
      </c>
      <c r="F38" s="38">
        <v>13.7782276327608</v>
      </c>
      <c r="H38" s="49"/>
      <c r="I38" s="50"/>
      <c r="J38" s="50"/>
      <c r="K38" s="50"/>
      <c r="L38" s="50"/>
    </row>
    <row r="39" spans="2:12">
      <c r="B39" s="37">
        <v>0.42</v>
      </c>
      <c r="C39" s="38">
        <v>18.9754696690758</v>
      </c>
      <c r="D39" s="38">
        <v>14.6581415986854</v>
      </c>
      <c r="E39" s="38">
        <v>14.5775916530675</v>
      </c>
      <c r="F39" s="38">
        <v>14.5775916530675</v>
      </c>
      <c r="H39" s="49"/>
      <c r="I39" s="50"/>
      <c r="J39" s="50"/>
      <c r="K39" s="50"/>
      <c r="L39" s="50"/>
    </row>
    <row r="40" spans="2:12">
      <c r="B40" s="37">
        <v>0.47</v>
      </c>
      <c r="C40" s="38">
        <v>30.819531746093599</v>
      </c>
      <c r="D40" s="38">
        <v>19.331197550743099</v>
      </c>
      <c r="E40" s="38">
        <v>15.243871935888</v>
      </c>
      <c r="F40" s="38">
        <v>15.2437283366563</v>
      </c>
      <c r="H40" s="49"/>
      <c r="I40" s="50"/>
      <c r="J40" s="50"/>
      <c r="K40" s="50"/>
      <c r="L40" s="50"/>
    </row>
    <row r="41" spans="2:12">
      <c r="B41" s="37">
        <v>0.53</v>
      </c>
      <c r="C41" s="38">
        <v>44.583806461004002</v>
      </c>
      <c r="D41" s="38">
        <v>34.509739109087597</v>
      </c>
      <c r="E41" s="38">
        <v>18.026199673275102</v>
      </c>
      <c r="F41" s="38">
        <v>16.043092356963001</v>
      </c>
      <c r="H41" s="49"/>
      <c r="I41" s="50"/>
      <c r="J41" s="50"/>
      <c r="K41" s="50"/>
      <c r="L41" s="50"/>
    </row>
    <row r="45" spans="2:12">
      <c r="B45" s="29" t="s">
        <v>541</v>
      </c>
    </row>
    <row r="46" spans="2:12">
      <c r="B46" s="250">
        <v>2015</v>
      </c>
      <c r="C46" s="250"/>
      <c r="D46" s="250"/>
    </row>
    <row r="47" spans="2:12">
      <c r="B47" s="31" t="s">
        <v>12</v>
      </c>
      <c r="C47" s="32" t="s">
        <v>537</v>
      </c>
      <c r="D47" s="44">
        <v>2.00511882895014</v>
      </c>
      <c r="J47" s="50"/>
    </row>
    <row r="48" spans="2:12">
      <c r="B48" s="31" t="s">
        <v>14</v>
      </c>
      <c r="C48" s="32" t="s">
        <v>529</v>
      </c>
      <c r="D48" s="44">
        <v>27.1827732017803</v>
      </c>
      <c r="J48" s="50"/>
    </row>
    <row r="49" spans="2:12" ht="15" customHeight="1"/>
    <row r="50" spans="2:12">
      <c r="B50" s="254" t="s">
        <v>140</v>
      </c>
      <c r="C50" s="254" t="s">
        <v>542</v>
      </c>
      <c r="D50" s="254"/>
      <c r="E50" s="254"/>
      <c r="F50" s="254"/>
    </row>
    <row r="51" spans="2:12">
      <c r="B51" s="254"/>
      <c r="C51" s="254"/>
      <c r="D51" s="254"/>
      <c r="E51" s="254"/>
      <c r="F51" s="254"/>
    </row>
    <row r="52" spans="2:12">
      <c r="B52" s="254"/>
      <c r="C52" s="254"/>
      <c r="D52" s="254"/>
      <c r="E52" s="254"/>
      <c r="F52" s="254"/>
    </row>
    <row r="53" spans="2:12">
      <c r="B53" s="35"/>
      <c r="C53" s="36">
        <v>2020</v>
      </c>
      <c r="D53" s="36">
        <v>2030</v>
      </c>
      <c r="E53" s="36">
        <v>2040</v>
      </c>
      <c r="F53" s="36">
        <v>2050</v>
      </c>
    </row>
    <row r="54" spans="2:12">
      <c r="B54" s="37">
        <v>7.0000000000000007E-2</v>
      </c>
      <c r="C54" s="38">
        <v>27.7100479955559</v>
      </c>
      <c r="D54" s="38">
        <v>27.7100479955559</v>
      </c>
      <c r="E54" s="38">
        <v>27.7100479955559</v>
      </c>
      <c r="F54" s="38">
        <v>27.7100479955559</v>
      </c>
      <c r="H54" s="49"/>
      <c r="I54" s="50"/>
      <c r="J54" s="50"/>
      <c r="K54" s="50"/>
      <c r="L54" s="50"/>
    </row>
    <row r="55" spans="2:12">
      <c r="B55" s="37">
        <v>0.12</v>
      </c>
      <c r="C55" s="38">
        <v>28.131675361749402</v>
      </c>
      <c r="D55" s="38">
        <v>28.0866728482528</v>
      </c>
      <c r="E55" s="38">
        <v>28.0866728482528</v>
      </c>
      <c r="F55" s="38">
        <v>28.0866728482528</v>
      </c>
      <c r="H55" s="49"/>
      <c r="I55" s="50"/>
      <c r="J55" s="50"/>
      <c r="K55" s="50"/>
      <c r="L55" s="50"/>
    </row>
    <row r="56" spans="2:12">
      <c r="B56" s="37">
        <v>0.2</v>
      </c>
      <c r="C56" s="38">
        <v>29.8053148255255</v>
      </c>
      <c r="D56" s="38">
        <v>28.689272612567802</v>
      </c>
      <c r="E56" s="38">
        <v>28.689272612567802</v>
      </c>
      <c r="F56" s="38">
        <v>28.689272612567802</v>
      </c>
      <c r="H56" s="49"/>
      <c r="I56" s="50"/>
      <c r="J56" s="50"/>
      <c r="K56" s="50"/>
      <c r="L56" s="50"/>
    </row>
    <row r="57" spans="2:12">
      <c r="B57" s="37">
        <v>0.28000000000000003</v>
      </c>
      <c r="C57" s="38">
        <v>30.705643833031299</v>
      </c>
      <c r="D57" s="38">
        <v>29.2918723768828</v>
      </c>
      <c r="E57" s="38">
        <v>29.2918723768828</v>
      </c>
      <c r="F57" s="38">
        <v>29.2918723768828</v>
      </c>
      <c r="H57" s="49"/>
      <c r="I57" s="50"/>
      <c r="J57" s="50"/>
      <c r="K57" s="50"/>
      <c r="L57" s="50"/>
    </row>
    <row r="58" spans="2:12">
      <c r="B58" s="37">
        <v>0.36</v>
      </c>
      <c r="C58" s="38">
        <v>33.262859386737603</v>
      </c>
      <c r="D58" s="38">
        <v>31.312238227753902</v>
      </c>
      <c r="E58" s="38">
        <v>31.312238227753902</v>
      </c>
      <c r="F58" s="38">
        <v>31.312238227753902</v>
      </c>
      <c r="H58" s="49"/>
      <c r="I58" s="50"/>
      <c r="J58" s="50"/>
      <c r="K58" s="50"/>
      <c r="L58" s="50"/>
    </row>
    <row r="59" spans="2:12">
      <c r="B59" s="37">
        <v>0.42</v>
      </c>
      <c r="C59" s="38">
        <v>41.248474285650701</v>
      </c>
      <c r="D59" s="38">
        <v>32.981747908945998</v>
      </c>
      <c r="E59" s="38">
        <v>32.827512615907096</v>
      </c>
      <c r="F59" s="38">
        <v>32.827512615907096</v>
      </c>
      <c r="H59" s="49"/>
      <c r="I59" s="50"/>
      <c r="J59" s="50"/>
      <c r="K59" s="50"/>
      <c r="L59" s="50"/>
    </row>
    <row r="60" spans="2:12">
      <c r="B60" s="37">
        <v>0.47</v>
      </c>
      <c r="C60" s="38">
        <v>63.859394197743399</v>
      </c>
      <c r="D60" s="38">
        <v>41.902390213720302</v>
      </c>
      <c r="E60" s="38">
        <v>34.090515725798703</v>
      </c>
      <c r="F60" s="38">
        <v>34.090241272701498</v>
      </c>
      <c r="H60" s="49"/>
      <c r="I60" s="50"/>
      <c r="J60" s="50"/>
      <c r="K60" s="50"/>
      <c r="L60" s="50"/>
    </row>
    <row r="61" spans="2:12">
      <c r="B61" s="37">
        <v>0.53</v>
      </c>
      <c r="C61" s="38">
        <v>90.072904334838299</v>
      </c>
      <c r="D61" s="38">
        <v>70.847451881739801</v>
      </c>
      <c r="E61" s="38">
        <v>39.3900978050169</v>
      </c>
      <c r="F61" s="38">
        <v>35.605515660854799</v>
      </c>
      <c r="H61" s="49"/>
      <c r="I61" s="50"/>
      <c r="J61" s="50"/>
      <c r="K61" s="50"/>
      <c r="L61" s="50"/>
    </row>
    <row r="65" spans="2:12">
      <c r="B65" s="29" t="s">
        <v>543</v>
      </c>
    </row>
    <row r="66" spans="2:12">
      <c r="B66" s="250">
        <v>2015</v>
      </c>
      <c r="C66" s="250"/>
      <c r="D66" s="250"/>
    </row>
    <row r="67" spans="2:12">
      <c r="B67" s="31" t="s">
        <v>12</v>
      </c>
      <c r="C67" s="32" t="s">
        <v>544</v>
      </c>
      <c r="D67" s="44">
        <v>21.761075973287699</v>
      </c>
      <c r="J67" s="50"/>
    </row>
    <row r="68" spans="2:12" ht="15" customHeight="1">
      <c r="B68" s="31" t="s">
        <v>14</v>
      </c>
      <c r="C68" s="32" t="s">
        <v>529</v>
      </c>
      <c r="D68" s="44">
        <v>8.8007828121538996</v>
      </c>
      <c r="J68" s="50"/>
    </row>
    <row r="70" spans="2:12">
      <c r="B70" s="254" t="s">
        <v>140</v>
      </c>
      <c r="C70" s="254" t="s">
        <v>545</v>
      </c>
      <c r="D70" s="254"/>
      <c r="E70" s="254"/>
      <c r="F70" s="254"/>
    </row>
    <row r="71" spans="2:12">
      <c r="B71" s="254"/>
      <c r="C71" s="254"/>
      <c r="D71" s="254"/>
      <c r="E71" s="254"/>
      <c r="F71" s="254"/>
    </row>
    <row r="72" spans="2:12">
      <c r="B72" s="254"/>
      <c r="C72" s="254"/>
      <c r="D72" s="254"/>
      <c r="E72" s="254"/>
      <c r="F72" s="254"/>
    </row>
    <row r="73" spans="2:12">
      <c r="B73" s="35"/>
      <c r="C73" s="36">
        <v>2020</v>
      </c>
      <c r="D73" s="36">
        <v>2030</v>
      </c>
      <c r="E73" s="36">
        <v>2040</v>
      </c>
      <c r="F73" s="36">
        <v>2050</v>
      </c>
    </row>
    <row r="74" spans="2:12">
      <c r="B74" s="37">
        <v>0.05</v>
      </c>
      <c r="C74" s="38">
        <v>9.1516912177421705</v>
      </c>
      <c r="D74" s="38">
        <v>9.1516912177421705</v>
      </c>
      <c r="E74" s="38">
        <v>9.1516912177421705</v>
      </c>
      <c r="F74" s="38">
        <v>9.1516912177421705</v>
      </c>
      <c r="H74" s="49"/>
      <c r="I74" s="50"/>
      <c r="J74" s="50"/>
      <c r="K74" s="50"/>
      <c r="L74" s="50"/>
    </row>
    <row r="75" spans="2:12">
      <c r="B75" s="37">
        <v>0.12</v>
      </c>
      <c r="C75" s="38">
        <v>9.6848926674374702</v>
      </c>
      <c r="D75" s="38">
        <v>9.6429629855657506</v>
      </c>
      <c r="E75" s="38">
        <v>9.6429629855657506</v>
      </c>
      <c r="F75" s="38">
        <v>9.6429629855657506</v>
      </c>
      <c r="H75" s="49"/>
      <c r="I75" s="50"/>
      <c r="J75" s="50"/>
      <c r="K75" s="50"/>
      <c r="L75" s="50"/>
    </row>
    <row r="76" spans="2:12">
      <c r="B76" s="37">
        <v>0.2</v>
      </c>
      <c r="C76" s="38">
        <v>11.2442537971076</v>
      </c>
      <c r="D76" s="38">
        <v>10.204416434506999</v>
      </c>
      <c r="E76" s="38">
        <v>10.204416434506999</v>
      </c>
      <c r="F76" s="38">
        <v>10.204416434506999</v>
      </c>
      <c r="H76" s="49"/>
      <c r="I76" s="50"/>
      <c r="J76" s="50"/>
      <c r="K76" s="50"/>
      <c r="L76" s="50"/>
    </row>
    <row r="77" spans="2:12">
      <c r="B77" s="37">
        <v>0.27</v>
      </c>
      <c r="C77" s="38">
        <v>11.965881270706999</v>
      </c>
      <c r="D77" s="38">
        <v>10.695688202330601</v>
      </c>
      <c r="E77" s="38">
        <v>10.695688202330601</v>
      </c>
      <c r="F77" s="38">
        <v>10.695688202330601</v>
      </c>
      <c r="H77" s="49"/>
      <c r="I77" s="50"/>
      <c r="J77" s="50"/>
      <c r="K77" s="50"/>
      <c r="L77" s="50"/>
    </row>
    <row r="78" spans="2:12">
      <c r="B78" s="37">
        <v>0.33</v>
      </c>
      <c r="C78" s="38">
        <v>12.889078808186399</v>
      </c>
      <c r="D78" s="38">
        <v>11.577466368583201</v>
      </c>
      <c r="E78" s="38">
        <v>11.577466368583201</v>
      </c>
      <c r="F78" s="38">
        <v>11.577466368583201</v>
      </c>
      <c r="H78" s="49"/>
      <c r="I78" s="50"/>
      <c r="J78" s="50"/>
      <c r="K78" s="50"/>
      <c r="L78" s="50"/>
    </row>
    <row r="79" spans="2:12">
      <c r="B79" s="37">
        <v>0.39</v>
      </c>
      <c r="C79" s="38">
        <v>17.917028088108101</v>
      </c>
      <c r="D79" s="38">
        <v>12.559207327530499</v>
      </c>
      <c r="E79" s="38">
        <v>12.4592445348359</v>
      </c>
      <c r="F79" s="38">
        <v>12.4592445348359</v>
      </c>
      <c r="H79" s="49"/>
      <c r="I79" s="50"/>
      <c r="J79" s="50"/>
      <c r="K79" s="50"/>
      <c r="L79" s="50"/>
    </row>
    <row r="80" spans="2:12">
      <c r="B80" s="37">
        <v>0.44</v>
      </c>
      <c r="C80" s="38">
        <v>32.127788990848302</v>
      </c>
      <c r="D80" s="38">
        <v>18.162730223376201</v>
      </c>
      <c r="E80" s="38">
        <v>13.1942342306023</v>
      </c>
      <c r="F80" s="38">
        <v>13.1940596733797</v>
      </c>
      <c r="H80" s="49"/>
      <c r="I80" s="50"/>
      <c r="J80" s="50"/>
      <c r="K80" s="50"/>
      <c r="L80" s="50"/>
    </row>
    <row r="81" spans="2:12">
      <c r="B81" s="37">
        <v>0.5</v>
      </c>
      <c r="C81" s="38">
        <v>48.188061246008701</v>
      </c>
      <c r="D81" s="38">
        <v>36.147408203245497</v>
      </c>
      <c r="E81" s="38">
        <v>16.4460728507906</v>
      </c>
      <c r="F81" s="38">
        <v>14.075837839632401</v>
      </c>
      <c r="H81" s="49"/>
      <c r="I81" s="50"/>
      <c r="J81" s="50"/>
      <c r="K81" s="50"/>
      <c r="L81" s="50"/>
    </row>
    <row r="83" spans="2:12" ht="15" customHeight="1"/>
    <row r="85" spans="2:12">
      <c r="B85" s="29" t="s">
        <v>546</v>
      </c>
    </row>
    <row r="86" spans="2:12">
      <c r="B86" s="250">
        <v>2015</v>
      </c>
      <c r="C86" s="250"/>
      <c r="D86" s="250"/>
    </row>
    <row r="87" spans="2:12">
      <c r="B87" s="31" t="s">
        <v>12</v>
      </c>
      <c r="C87" s="32" t="s">
        <v>544</v>
      </c>
      <c r="D87" s="44">
        <v>6.8998877204860598</v>
      </c>
      <c r="J87" s="50"/>
    </row>
    <row r="88" spans="2:12">
      <c r="B88" s="31" t="s">
        <v>14</v>
      </c>
      <c r="C88" s="32" t="s">
        <v>529</v>
      </c>
      <c r="D88" s="44">
        <v>11.5840303764976</v>
      </c>
      <c r="J88" s="50"/>
    </row>
    <row r="90" spans="2:12">
      <c r="B90" s="254" t="s">
        <v>140</v>
      </c>
      <c r="C90" s="254" t="s">
        <v>547</v>
      </c>
      <c r="D90" s="254"/>
      <c r="E90" s="254"/>
      <c r="F90" s="254"/>
    </row>
    <row r="91" spans="2:12">
      <c r="B91" s="254"/>
      <c r="C91" s="254"/>
      <c r="D91" s="254"/>
      <c r="E91" s="254"/>
      <c r="F91" s="254"/>
    </row>
    <row r="92" spans="2:12">
      <c r="B92" s="254"/>
      <c r="C92" s="254"/>
      <c r="D92" s="254"/>
      <c r="E92" s="254"/>
      <c r="F92" s="254"/>
    </row>
    <row r="93" spans="2:12">
      <c r="B93" s="35"/>
      <c r="C93" s="36">
        <v>2020</v>
      </c>
      <c r="D93" s="36">
        <v>2030</v>
      </c>
      <c r="E93" s="36">
        <v>2040</v>
      </c>
      <c r="F93" s="36">
        <v>2050</v>
      </c>
    </row>
    <row r="94" spans="2:12">
      <c r="B94" s="37">
        <v>7.0000000000000007E-2</v>
      </c>
      <c r="C94" s="38">
        <v>12.0103840892873</v>
      </c>
      <c r="D94" s="38">
        <v>12.0103840892873</v>
      </c>
      <c r="E94" s="38">
        <v>12.0103840892873</v>
      </c>
      <c r="F94" s="38">
        <v>12.0103840892873</v>
      </c>
      <c r="H94" s="49"/>
      <c r="I94" s="50"/>
      <c r="J94" s="50"/>
      <c r="K94" s="50"/>
      <c r="L94" s="50"/>
    </row>
    <row r="95" spans="2:12">
      <c r="B95" s="37">
        <v>0.12</v>
      </c>
      <c r="C95" s="38">
        <v>12.3513114294758</v>
      </c>
      <c r="D95" s="38">
        <v>12.3149224555657</v>
      </c>
      <c r="E95" s="38">
        <v>12.3149224555657</v>
      </c>
      <c r="F95" s="38">
        <v>12.3149224555657</v>
      </c>
      <c r="H95" s="49"/>
      <c r="I95" s="50"/>
      <c r="J95" s="50"/>
      <c r="K95" s="50"/>
      <c r="L95" s="50"/>
    </row>
    <row r="96" spans="2:12">
      <c r="B96" s="37">
        <v>0.2</v>
      </c>
      <c r="C96" s="38">
        <v>13.704614124153901</v>
      </c>
      <c r="D96" s="38">
        <v>12.8021838416111</v>
      </c>
      <c r="E96" s="38">
        <v>12.8021838416111</v>
      </c>
      <c r="F96" s="38">
        <v>12.8021838416111</v>
      </c>
      <c r="H96" s="49"/>
      <c r="I96" s="50"/>
      <c r="J96" s="50"/>
      <c r="K96" s="50"/>
      <c r="L96" s="50"/>
    </row>
    <row r="97" spans="2:12">
      <c r="B97" s="37">
        <v>0.28000000000000003</v>
      </c>
      <c r="C97" s="38">
        <v>14.4326189891953</v>
      </c>
      <c r="D97" s="38">
        <v>13.2894452276566</v>
      </c>
      <c r="E97" s="38">
        <v>13.2894452276566</v>
      </c>
      <c r="F97" s="38">
        <v>13.2894452276566</v>
      </c>
      <c r="H97" s="49"/>
      <c r="I97" s="50"/>
      <c r="J97" s="50"/>
      <c r="K97" s="50"/>
      <c r="L97" s="50"/>
    </row>
    <row r="98" spans="2:12">
      <c r="B98" s="37">
        <v>0.35</v>
      </c>
      <c r="C98" s="38">
        <v>15.509607548017801</v>
      </c>
      <c r="D98" s="38">
        <v>14.2501987733633</v>
      </c>
      <c r="E98" s="38">
        <v>14.2501987733633</v>
      </c>
      <c r="F98" s="38">
        <v>14.2501987733633</v>
      </c>
      <c r="H98" s="49"/>
      <c r="I98" s="50"/>
      <c r="J98" s="50"/>
      <c r="K98" s="50"/>
      <c r="L98" s="50"/>
    </row>
    <row r="99" spans="2:12">
      <c r="B99" s="37">
        <v>0.42</v>
      </c>
      <c r="C99" s="38">
        <v>20.621684049416601</v>
      </c>
      <c r="D99" s="38">
        <v>15.3100533275668</v>
      </c>
      <c r="E99" s="38">
        <v>15.21095231907</v>
      </c>
      <c r="F99" s="38">
        <v>15.21095231907</v>
      </c>
      <c r="H99" s="49"/>
      <c r="I99" s="50"/>
      <c r="J99" s="50"/>
      <c r="K99" s="50"/>
      <c r="L99" s="50"/>
    </row>
    <row r="100" spans="2:12">
      <c r="B100" s="37">
        <v>0.48</v>
      </c>
      <c r="C100" s="38">
        <v>35.2144762433037</v>
      </c>
      <c r="D100" s="38">
        <v>21.067758799</v>
      </c>
      <c r="E100" s="38">
        <v>16.034632186124998</v>
      </c>
      <c r="F100" s="38">
        <v>16.0344553582472</v>
      </c>
      <c r="H100" s="49"/>
      <c r="I100" s="50"/>
      <c r="J100" s="50"/>
      <c r="K100" s="50"/>
      <c r="L100" s="50"/>
    </row>
    <row r="101" spans="2:12">
      <c r="B101" s="37">
        <v>0.53</v>
      </c>
      <c r="C101" s="38">
        <v>49.938084776039297</v>
      </c>
      <c r="D101" s="38">
        <v>38.213287324403098</v>
      </c>
      <c r="E101" s="38">
        <v>19.028765877443199</v>
      </c>
      <c r="F101" s="38">
        <v>16.720707890894801</v>
      </c>
      <c r="H101" s="49"/>
      <c r="I101" s="50"/>
      <c r="J101" s="50"/>
      <c r="K101" s="50"/>
      <c r="L101" s="50"/>
    </row>
    <row r="104" spans="2:12">
      <c r="B104" s="29" t="s">
        <v>548</v>
      </c>
    </row>
    <row r="105" spans="2:12">
      <c r="B105" s="254" t="s">
        <v>549</v>
      </c>
      <c r="C105" s="254" t="s">
        <v>550</v>
      </c>
      <c r="D105" s="254">
        <v>0</v>
      </c>
      <c r="E105" s="254">
        <v>0</v>
      </c>
      <c r="F105" s="254">
        <v>0</v>
      </c>
    </row>
    <row r="106" spans="2:12">
      <c r="B106" s="254">
        <v>0</v>
      </c>
      <c r="C106" s="254">
        <v>0</v>
      </c>
      <c r="D106" s="254">
        <v>0</v>
      </c>
      <c r="E106" s="254">
        <v>0</v>
      </c>
      <c r="F106" s="254">
        <v>0</v>
      </c>
    </row>
    <row r="107" spans="2:12">
      <c r="B107" s="254">
        <v>0</v>
      </c>
      <c r="C107" s="254">
        <v>0</v>
      </c>
      <c r="D107" s="254">
        <v>0</v>
      </c>
      <c r="E107" s="254">
        <v>0</v>
      </c>
      <c r="F107" s="254">
        <v>0</v>
      </c>
    </row>
    <row r="108" spans="2:12">
      <c r="B108" s="35"/>
      <c r="C108" s="36">
        <v>2020</v>
      </c>
      <c r="D108" s="36">
        <v>2030</v>
      </c>
      <c r="E108" s="36">
        <v>2040</v>
      </c>
      <c r="F108" s="36">
        <v>2050</v>
      </c>
    </row>
    <row r="109" spans="2:12">
      <c r="B109" s="45">
        <v>11.7698993850639</v>
      </c>
      <c r="C109" s="38">
        <v>15.1608998553899</v>
      </c>
      <c r="D109" s="38">
        <v>12.8322959619936</v>
      </c>
      <c r="E109" s="38">
        <v>11.868651766421401</v>
      </c>
      <c r="F109" s="38">
        <v>11.5602288732518</v>
      </c>
    </row>
    <row r="110" spans="2:12">
      <c r="B110" s="45">
        <v>11.108543133903099</v>
      </c>
      <c r="C110" s="38">
        <v>15.7180953703215</v>
      </c>
      <c r="D110" s="38">
        <v>13.345674959369299</v>
      </c>
      <c r="E110" s="38">
        <v>12.382030763796999</v>
      </c>
      <c r="F110" s="38">
        <v>12.0736078706274</v>
      </c>
    </row>
    <row r="111" spans="2:12">
      <c r="B111" s="45">
        <v>10.382732671824201</v>
      </c>
      <c r="C111" s="38">
        <v>17.347627750826799</v>
      </c>
      <c r="D111" s="38">
        <v>13.932393813512901</v>
      </c>
      <c r="E111" s="38">
        <v>12.968749617940601</v>
      </c>
      <c r="F111" s="38">
        <v>12.660326724771</v>
      </c>
    </row>
    <row r="112" spans="2:12">
      <c r="B112" s="45">
        <v>9.7823276853361207</v>
      </c>
      <c r="C112" s="38">
        <v>18.101728460738101</v>
      </c>
      <c r="D112" s="38">
        <v>14.445772810888499</v>
      </c>
      <c r="E112" s="38">
        <v>13.4821286153163</v>
      </c>
      <c r="F112" s="38">
        <v>13.1737057221467</v>
      </c>
    </row>
    <row r="113" spans="2:6">
      <c r="B113" s="45">
        <v>9.3010228711968992</v>
      </c>
      <c r="C113" s="38">
        <v>19.0664698874041</v>
      </c>
      <c r="D113" s="38">
        <v>15.367230994622499</v>
      </c>
      <c r="E113" s="38">
        <v>14.4035867990503</v>
      </c>
      <c r="F113" s="38">
        <v>14.0951639058807</v>
      </c>
    </row>
    <row r="114" spans="2:6">
      <c r="B114" s="45">
        <v>8.8449392700256801</v>
      </c>
      <c r="C114" s="38">
        <v>24.3206768849222</v>
      </c>
      <c r="D114" s="38">
        <v>16.3931502967224</v>
      </c>
      <c r="E114" s="38">
        <v>15.3250449827843</v>
      </c>
      <c r="F114" s="38">
        <v>15.0166220896147</v>
      </c>
    </row>
    <row r="115" spans="2:6">
      <c r="B115" s="45">
        <v>8.4995487702139805</v>
      </c>
      <c r="C115" s="38">
        <v>39.170922028285801</v>
      </c>
      <c r="D115" s="38">
        <v>22.248831722881199</v>
      </c>
      <c r="E115" s="38">
        <v>16.093109214860199</v>
      </c>
      <c r="F115" s="38">
        <v>15.7845039093931</v>
      </c>
    </row>
    <row r="116" spans="2:6">
      <c r="B116" s="45">
        <v>8.0918058272314095</v>
      </c>
      <c r="C116" s="38">
        <v>55.9539065349284</v>
      </c>
      <c r="D116" s="38">
        <v>41.042820211844699</v>
      </c>
      <c r="E116" s="38">
        <v>19.491280572956999</v>
      </c>
      <c r="F116" s="38">
        <v>16.705962093127098</v>
      </c>
    </row>
    <row r="119" spans="2:6">
      <c r="B119" s="29" t="s">
        <v>551</v>
      </c>
    </row>
    <row r="120" spans="2:6">
      <c r="B120" s="254" t="s">
        <v>552</v>
      </c>
      <c r="C120" s="254" t="s">
        <v>553</v>
      </c>
      <c r="D120" s="254">
        <v>0</v>
      </c>
      <c r="E120" s="254">
        <v>0</v>
      </c>
      <c r="F120" s="254">
        <v>0</v>
      </c>
    </row>
    <row r="121" spans="2:6">
      <c r="B121" s="254">
        <v>0</v>
      </c>
      <c r="C121" s="254">
        <v>0</v>
      </c>
      <c r="D121" s="254">
        <v>0</v>
      </c>
      <c r="E121" s="254">
        <v>0</v>
      </c>
      <c r="F121" s="254">
        <v>0</v>
      </c>
    </row>
    <row r="122" spans="2:6">
      <c r="B122" s="254">
        <v>0</v>
      </c>
      <c r="C122" s="254">
        <v>0</v>
      </c>
      <c r="D122" s="254">
        <v>0</v>
      </c>
      <c r="E122" s="254">
        <v>0</v>
      </c>
      <c r="F122" s="254">
        <v>0</v>
      </c>
    </row>
    <row r="123" spans="2:6">
      <c r="B123" s="35"/>
      <c r="C123" s="36">
        <v>2020</v>
      </c>
      <c r="D123" s="36">
        <v>2030</v>
      </c>
      <c r="E123" s="36">
        <v>2040</v>
      </c>
      <c r="F123" s="36">
        <v>2050</v>
      </c>
    </row>
    <row r="124" spans="2:6">
      <c r="B124" s="45">
        <v>6.9588542838017799</v>
      </c>
      <c r="C124" s="38">
        <v>13.7917668147899</v>
      </c>
      <c r="D124" s="38">
        <v>11.9288837000729</v>
      </c>
      <c r="E124" s="38">
        <v>11.157968343615099</v>
      </c>
      <c r="F124" s="38">
        <v>10.911230029079499</v>
      </c>
    </row>
    <row r="125" spans="2:6">
      <c r="B125" s="45">
        <v>6.6813285474835</v>
      </c>
      <c r="C125" s="38">
        <v>14.0075580138425</v>
      </c>
      <c r="D125" s="38">
        <v>12.125133495191999</v>
      </c>
      <c r="E125" s="38">
        <v>11.3542181387342</v>
      </c>
      <c r="F125" s="38">
        <v>11.107479824198499</v>
      </c>
    </row>
    <row r="126" spans="2:6">
      <c r="B126" s="45">
        <v>6.416229336672</v>
      </c>
      <c r="C126" s="38">
        <v>14.6204226771157</v>
      </c>
      <c r="D126" s="38">
        <v>12.321383290310999</v>
      </c>
      <c r="E126" s="38">
        <v>11.5504679338532</v>
      </c>
      <c r="F126" s="38">
        <v>11.303729619317499</v>
      </c>
    </row>
    <row r="127" spans="2:6">
      <c r="B127" s="45">
        <v>6.0550316619413396</v>
      </c>
      <c r="C127" s="38">
        <v>15.0378368736688</v>
      </c>
      <c r="D127" s="38">
        <v>12.5961330034776</v>
      </c>
      <c r="E127" s="38">
        <v>11.8252176470198</v>
      </c>
      <c r="F127" s="38">
        <v>11.5784793324842</v>
      </c>
    </row>
    <row r="128" spans="2:6">
      <c r="B128" s="45">
        <v>5.8702906494070701</v>
      </c>
      <c r="C128" s="38">
        <v>15.472842886939</v>
      </c>
      <c r="D128" s="38">
        <v>13.0076736454134</v>
      </c>
      <c r="E128" s="38">
        <v>12.236758288955601</v>
      </c>
      <c r="F128" s="38">
        <v>11.9900199744199</v>
      </c>
    </row>
    <row r="129" spans="2:6">
      <c r="B129" s="45">
        <v>5.5919364780549996</v>
      </c>
      <c r="C129" s="38">
        <v>18.310923238909901</v>
      </c>
      <c r="D129" s="38">
        <v>13.676690673708601</v>
      </c>
      <c r="E129" s="38">
        <v>12.854069251859199</v>
      </c>
      <c r="F129" s="38">
        <v>12.6073309373235</v>
      </c>
    </row>
    <row r="130" spans="2:6">
      <c r="B130" s="45">
        <v>5.3284941373110799</v>
      </c>
      <c r="C130" s="38">
        <v>26.921081295422201</v>
      </c>
      <c r="D130" s="38">
        <v>17.080651178100101</v>
      </c>
      <c r="E130" s="38">
        <v>13.471479930666</v>
      </c>
      <c r="F130" s="38">
        <v>13.2246419002271</v>
      </c>
    </row>
    <row r="131" spans="2:6">
      <c r="B131" s="45">
        <v>4.8827960891342501</v>
      </c>
      <c r="C131" s="38">
        <v>40.016550871438199</v>
      </c>
      <c r="D131" s="38">
        <v>30.076783181553701</v>
      </c>
      <c r="E131" s="38">
        <v>16.090188322223302</v>
      </c>
      <c r="F131" s="38">
        <v>14.253493505066499</v>
      </c>
    </row>
  </sheetData>
  <mergeCells count="21">
    <mergeCell ref="B90:B92"/>
    <mergeCell ref="B105:B107"/>
    <mergeCell ref="B120:B122"/>
    <mergeCell ref="C70:F72"/>
    <mergeCell ref="C10:F12"/>
    <mergeCell ref="C30:F32"/>
    <mergeCell ref="C50:F52"/>
    <mergeCell ref="C105:F107"/>
    <mergeCell ref="C120:F122"/>
    <mergeCell ref="C90:F92"/>
    <mergeCell ref="B66:D66"/>
    <mergeCell ref="B86:D86"/>
    <mergeCell ref="B10:B12"/>
    <mergeCell ref="B30:B32"/>
    <mergeCell ref="B50:B52"/>
    <mergeCell ref="B70:B72"/>
    <mergeCell ref="B1:F1"/>
    <mergeCell ref="B2:F2"/>
    <mergeCell ref="B6:D6"/>
    <mergeCell ref="B26:D26"/>
    <mergeCell ref="B46:D46"/>
  </mergeCells>
  <pageMargins left="0.7" right="0.7" top="0.75" bottom="0.75" header="0.3" footer="0.3"/>
  <pageSetup orientation="portrait"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F132"/>
  <sheetViews>
    <sheetView showGridLines="0" workbookViewId="0">
      <pane ySplit="2" topLeftCell="A3" activePane="bottomLeft" state="frozen"/>
      <selection pane="bottomLeft" activeCell="B3" sqref="B3:F3"/>
    </sheetView>
  </sheetViews>
  <sheetFormatPr defaultColWidth="9" defaultRowHeight="14.25"/>
  <cols>
    <col min="1" max="1" width="7.59765625" customWidth="1"/>
    <col min="2" max="2" width="38.265625" customWidth="1"/>
    <col min="3" max="6" width="13.73046875" customWidth="1"/>
  </cols>
  <sheetData>
    <row r="1" spans="2:6" ht="33.75" customHeight="1">
      <c r="B1" s="245" t="s">
        <v>10</v>
      </c>
      <c r="C1" s="246"/>
      <c r="D1" s="246"/>
      <c r="E1" s="246"/>
      <c r="F1" s="247"/>
    </row>
    <row r="2" spans="2:6">
      <c r="B2" s="248" t="s">
        <v>9</v>
      </c>
      <c r="C2" s="249"/>
      <c r="D2" s="249"/>
      <c r="E2" s="249"/>
      <c r="F2" s="249"/>
    </row>
    <row r="3" spans="2:6" ht="18">
      <c r="B3" s="286" t="s">
        <v>554</v>
      </c>
      <c r="C3" s="287"/>
      <c r="D3" s="287"/>
      <c r="E3" s="287"/>
      <c r="F3" s="288"/>
    </row>
    <row r="4" spans="2:6" ht="15" customHeight="1"/>
    <row r="5" spans="2:6" ht="15" customHeight="1">
      <c r="B5" s="29" t="s">
        <v>555</v>
      </c>
    </row>
    <row r="6" spans="2:6">
      <c r="B6" s="250">
        <v>2015</v>
      </c>
      <c r="C6" s="250"/>
      <c r="D6" s="250"/>
    </row>
    <row r="7" spans="2:6">
      <c r="B7" s="31" t="s">
        <v>12</v>
      </c>
      <c r="C7" s="32" t="s">
        <v>537</v>
      </c>
      <c r="D7" s="44">
        <v>29.611833051017701</v>
      </c>
    </row>
    <row r="8" spans="2:6">
      <c r="B8" s="31" t="s">
        <v>14</v>
      </c>
      <c r="C8" s="32" t="s">
        <v>556</v>
      </c>
      <c r="D8" s="33">
        <v>6.4552506540638204</v>
      </c>
    </row>
    <row r="10" spans="2:6">
      <c r="B10" s="254" t="s">
        <v>140</v>
      </c>
      <c r="C10" s="254" t="s">
        <v>557</v>
      </c>
      <c r="D10" s="254"/>
      <c r="E10" s="254"/>
      <c r="F10" s="254"/>
    </row>
    <row r="11" spans="2:6">
      <c r="B11" s="254"/>
      <c r="C11" s="254"/>
      <c r="D11" s="254"/>
      <c r="E11" s="254"/>
      <c r="F11" s="254"/>
    </row>
    <row r="12" spans="2:6">
      <c r="B12" s="254"/>
      <c r="C12" s="254"/>
      <c r="D12" s="254"/>
      <c r="E12" s="254"/>
      <c r="F12" s="254"/>
    </row>
    <row r="13" spans="2:6">
      <c r="B13" s="35"/>
      <c r="C13" s="36">
        <v>2020</v>
      </c>
      <c r="D13" s="36">
        <v>2030</v>
      </c>
      <c r="E13" s="36">
        <v>2040</v>
      </c>
      <c r="F13" s="36">
        <v>2050</v>
      </c>
    </row>
    <row r="14" spans="2:6">
      <c r="B14" s="37">
        <v>0.05</v>
      </c>
      <c r="C14" s="38">
        <v>7.6829363612784096</v>
      </c>
      <c r="D14" s="38">
        <v>7.6829363612784096</v>
      </c>
      <c r="E14" s="38">
        <v>7.6829363612784096</v>
      </c>
      <c r="F14" s="38">
        <v>7.6829363612784096</v>
      </c>
    </row>
    <row r="15" spans="2:6">
      <c r="B15" s="37">
        <v>0.1</v>
      </c>
      <c r="C15" s="38">
        <v>7.9556013965743002</v>
      </c>
      <c r="D15" s="38">
        <v>7.8017446555249901</v>
      </c>
      <c r="E15" s="38">
        <v>7.8017446555249901</v>
      </c>
      <c r="F15" s="38">
        <v>7.8017446555249901</v>
      </c>
    </row>
    <row r="16" spans="2:6">
      <c r="B16" s="37">
        <v>0.15</v>
      </c>
      <c r="C16" s="38">
        <v>8.2282664318701801</v>
      </c>
      <c r="D16" s="38">
        <v>7.9205529497715599</v>
      </c>
      <c r="E16" s="38">
        <v>7.9205529497715599</v>
      </c>
      <c r="F16" s="38">
        <v>7.9205529497715599</v>
      </c>
    </row>
    <row r="17" spans="2:6">
      <c r="B17" s="37">
        <v>0.18</v>
      </c>
      <c r="C17" s="38">
        <v>9.7627785432517999</v>
      </c>
      <c r="D17" s="38">
        <v>8.4824653310708698</v>
      </c>
      <c r="E17" s="38">
        <v>8.2175736853879897</v>
      </c>
      <c r="F17" s="38">
        <v>8.2175736853879897</v>
      </c>
    </row>
    <row r="18" spans="2:6">
      <c r="B18" s="37">
        <v>0.2</v>
      </c>
      <c r="C18" s="38">
        <v>10.7275199699178</v>
      </c>
      <c r="D18" s="38">
        <v>9.0443777123701796</v>
      </c>
      <c r="E18" s="38">
        <v>8.5145944210044302</v>
      </c>
      <c r="F18" s="38">
        <v>8.5145944210044302</v>
      </c>
    </row>
    <row r="19" spans="2:6">
      <c r="B19" s="37">
        <v>0.25</v>
      </c>
      <c r="C19" s="38">
        <v>15.9817269674359</v>
      </c>
      <c r="D19" s="38">
        <v>9.6062900936694895</v>
      </c>
      <c r="E19" s="38">
        <v>8.81161515662086</v>
      </c>
      <c r="F19" s="38">
        <v>8.81161515662086</v>
      </c>
    </row>
    <row r="20" spans="2:6">
      <c r="B20" s="37">
        <v>0.26500000000000001</v>
      </c>
      <c r="C20" s="38">
        <v>20.957265302080899</v>
      </c>
      <c r="D20" s="38">
        <v>10.168202474968799</v>
      </c>
      <c r="E20" s="38">
        <v>9.1086358922372899</v>
      </c>
      <c r="F20" s="38">
        <v>9.1086358922372899</v>
      </c>
    </row>
    <row r="24" spans="2:6" ht="15" customHeight="1">
      <c r="B24" s="29" t="s">
        <v>558</v>
      </c>
    </row>
    <row r="25" spans="2:6">
      <c r="B25" s="250">
        <v>2015</v>
      </c>
      <c r="C25" s="250"/>
      <c r="D25" s="250"/>
    </row>
    <row r="26" spans="2:6">
      <c r="B26" s="31" t="s">
        <v>12</v>
      </c>
      <c r="C26" s="32" t="s">
        <v>537</v>
      </c>
      <c r="D26" s="44">
        <v>31.082352651510401</v>
      </c>
    </row>
    <row r="27" spans="2:6">
      <c r="B27" s="31" t="s">
        <v>14</v>
      </c>
      <c r="C27" s="32" t="s">
        <v>556</v>
      </c>
      <c r="D27" s="33">
        <v>7.5156146540638202</v>
      </c>
    </row>
    <row r="29" spans="2:6">
      <c r="B29" s="254" t="s">
        <v>140</v>
      </c>
      <c r="C29" s="254" t="s">
        <v>559</v>
      </c>
      <c r="D29" s="254"/>
      <c r="E29" s="254"/>
      <c r="F29" s="254"/>
    </row>
    <row r="30" spans="2:6">
      <c r="B30" s="254"/>
      <c r="C30" s="254"/>
      <c r="D30" s="254"/>
      <c r="E30" s="254"/>
      <c r="F30" s="254"/>
    </row>
    <row r="31" spans="2:6">
      <c r="B31" s="254"/>
      <c r="C31" s="254"/>
      <c r="D31" s="254"/>
      <c r="E31" s="254"/>
      <c r="F31" s="254"/>
    </row>
    <row r="32" spans="2:6">
      <c r="B32" s="35"/>
      <c r="C32" s="36">
        <v>2020</v>
      </c>
      <c r="D32" s="36">
        <v>2030</v>
      </c>
      <c r="E32" s="36">
        <v>2040</v>
      </c>
      <c r="F32" s="36">
        <v>2050</v>
      </c>
    </row>
    <row r="33" spans="2:6">
      <c r="B33" s="37">
        <v>0.05</v>
      </c>
      <c r="C33" s="38">
        <v>8.7433003612784095</v>
      </c>
      <c r="D33" s="38">
        <v>8.7433003612784095</v>
      </c>
      <c r="E33" s="38">
        <v>8.7433003612784095</v>
      </c>
      <c r="F33" s="38">
        <v>8.7433003612784095</v>
      </c>
    </row>
    <row r="34" spans="2:6">
      <c r="B34" s="37">
        <v>0.1</v>
      </c>
      <c r="C34" s="38">
        <v>9.0159653965743001</v>
      </c>
      <c r="D34" s="38">
        <v>8.8621086555249899</v>
      </c>
      <c r="E34" s="38">
        <v>8.8621086555249899</v>
      </c>
      <c r="F34" s="38">
        <v>8.8621086555249899</v>
      </c>
    </row>
    <row r="35" spans="2:6">
      <c r="B35" s="37">
        <v>0.15</v>
      </c>
      <c r="C35" s="38">
        <v>9.28863043187018</v>
      </c>
      <c r="D35" s="38">
        <v>8.9809169497715597</v>
      </c>
      <c r="E35" s="38">
        <v>8.9809169497715597</v>
      </c>
      <c r="F35" s="38">
        <v>8.9809169497715597</v>
      </c>
    </row>
    <row r="36" spans="2:6">
      <c r="B36" s="37">
        <v>0.18</v>
      </c>
      <c r="C36" s="38">
        <v>10.8231425432518</v>
      </c>
      <c r="D36" s="38">
        <v>9.5428293310708696</v>
      </c>
      <c r="E36" s="38">
        <v>9.2779376853879896</v>
      </c>
      <c r="F36" s="38">
        <v>9.2779376853879896</v>
      </c>
    </row>
    <row r="37" spans="2:6">
      <c r="B37" s="37">
        <v>0.2</v>
      </c>
      <c r="C37" s="38">
        <v>11.7878839699178</v>
      </c>
      <c r="D37" s="38">
        <v>10.104741712370201</v>
      </c>
      <c r="E37" s="38">
        <v>9.5749584210044301</v>
      </c>
      <c r="F37" s="38">
        <v>9.5749584210044301</v>
      </c>
    </row>
    <row r="38" spans="2:6">
      <c r="B38" s="37">
        <v>0.25</v>
      </c>
      <c r="C38" s="38">
        <v>17.0420909674359</v>
      </c>
      <c r="D38" s="38">
        <v>10.6666540936695</v>
      </c>
      <c r="E38" s="38">
        <v>9.8719791566208599</v>
      </c>
      <c r="F38" s="38">
        <v>9.8719791566208599</v>
      </c>
    </row>
    <row r="39" spans="2:6">
      <c r="B39" s="37">
        <v>0.26500000000000001</v>
      </c>
      <c r="C39" s="38">
        <v>22.017629302080898</v>
      </c>
      <c r="D39" s="38">
        <v>11.228566474968799</v>
      </c>
      <c r="E39" s="38">
        <v>10.1689998922373</v>
      </c>
      <c r="F39" s="38">
        <v>10.1689998922373</v>
      </c>
    </row>
    <row r="43" spans="2:6">
      <c r="B43" s="250">
        <v>2030</v>
      </c>
      <c r="C43" s="250"/>
      <c r="D43" s="250"/>
    </row>
    <row r="44" spans="2:6">
      <c r="B44" s="31" t="s">
        <v>560</v>
      </c>
      <c r="C44" s="32" t="s">
        <v>537</v>
      </c>
      <c r="D44" s="33">
        <v>11.054863236058599</v>
      </c>
    </row>
    <row r="46" spans="2:6">
      <c r="B46" s="254" t="s">
        <v>27</v>
      </c>
      <c r="C46" s="255" t="s">
        <v>561</v>
      </c>
      <c r="D46" s="256"/>
      <c r="E46" s="257"/>
    </row>
    <row r="47" spans="2:6">
      <c r="B47" s="254"/>
      <c r="C47" s="258"/>
      <c r="D47" s="259"/>
      <c r="E47" s="260"/>
    </row>
    <row r="48" spans="2:6" ht="15" customHeight="1">
      <c r="B48" s="254"/>
      <c r="C48" s="261"/>
      <c r="D48" s="262"/>
      <c r="E48" s="263"/>
    </row>
    <row r="49" spans="2:5">
      <c r="B49" s="35"/>
      <c r="C49" s="36">
        <v>2030</v>
      </c>
      <c r="D49" s="36">
        <v>2040</v>
      </c>
      <c r="E49" s="36">
        <v>2050</v>
      </c>
    </row>
    <row r="50" spans="2:5">
      <c r="B50" s="42">
        <v>150</v>
      </c>
      <c r="C50" s="43">
        <v>9.0811458456063896</v>
      </c>
      <c r="D50" s="43">
        <v>7.8675122412222498</v>
      </c>
      <c r="E50" s="43">
        <v>7.50480714713661</v>
      </c>
    </row>
    <row r="51" spans="2:5">
      <c r="B51" s="42">
        <v>200</v>
      </c>
      <c r="C51" s="43">
        <v>9.9509398743955906</v>
      </c>
      <c r="D51" s="43">
        <v>8.2363554710648597</v>
      </c>
      <c r="E51" s="43">
        <v>7.6878757763714702</v>
      </c>
    </row>
    <row r="52" spans="2:5">
      <c r="B52" s="42">
        <v>360</v>
      </c>
      <c r="C52" s="43">
        <v>16.734968795611401</v>
      </c>
      <c r="D52" s="43">
        <v>11.2993996645625</v>
      </c>
      <c r="E52" s="43">
        <v>9.13851547625727</v>
      </c>
    </row>
    <row r="56" spans="2:5" ht="15" customHeight="1">
      <c r="B56" s="254" t="s">
        <v>552</v>
      </c>
      <c r="C56" s="255" t="s">
        <v>562</v>
      </c>
      <c r="D56" s="256"/>
      <c r="E56" s="257"/>
    </row>
    <row r="57" spans="2:5">
      <c r="B57" s="254"/>
      <c r="C57" s="258"/>
      <c r="D57" s="259"/>
      <c r="E57" s="260"/>
    </row>
    <row r="58" spans="2:5">
      <c r="B58" s="254"/>
      <c r="C58" s="261"/>
      <c r="D58" s="262"/>
      <c r="E58" s="263"/>
    </row>
    <row r="59" spans="2:5">
      <c r="B59" s="35"/>
      <c r="C59" s="36">
        <v>2030</v>
      </c>
      <c r="D59" s="36">
        <v>2040</v>
      </c>
      <c r="E59" s="36">
        <v>2050</v>
      </c>
    </row>
    <row r="60" spans="2:5">
      <c r="B60" s="45">
        <v>16.405414415529599</v>
      </c>
      <c r="C60" s="38">
        <v>12.549343785278401</v>
      </c>
      <c r="D60" s="38">
        <v>10.0317628477816</v>
      </c>
      <c r="E60" s="38">
        <v>9.4579151767978207</v>
      </c>
    </row>
    <row r="61" spans="2:5">
      <c r="B61" s="45">
        <v>15.541971551554401</v>
      </c>
      <c r="C61" s="38">
        <v>12.668152079525001</v>
      </c>
      <c r="D61" s="38">
        <v>10.1505711420282</v>
      </c>
      <c r="E61" s="38">
        <v>9.5767234710443905</v>
      </c>
    </row>
    <row r="62" spans="2:5">
      <c r="B62" s="45">
        <v>14.678528687579099</v>
      </c>
      <c r="C62" s="38">
        <v>12.786960373771601</v>
      </c>
      <c r="D62" s="38">
        <v>10.2693794362748</v>
      </c>
      <c r="E62" s="38">
        <v>9.6955317652909692</v>
      </c>
    </row>
    <row r="63" spans="2:5">
      <c r="B63" s="45">
        <v>14.160462969194</v>
      </c>
      <c r="C63" s="38">
        <v>13.3488727550709</v>
      </c>
      <c r="D63" s="38">
        <v>10.5664001718912</v>
      </c>
      <c r="E63" s="38">
        <v>9.9925525009074008</v>
      </c>
    </row>
    <row r="64" spans="2:5">
      <c r="B64" s="45">
        <v>13.8150858236039</v>
      </c>
      <c r="C64" s="38">
        <v>13.910785136370199</v>
      </c>
      <c r="D64" s="38">
        <v>10.863420907507701</v>
      </c>
      <c r="E64" s="38">
        <v>10.2895732365238</v>
      </c>
    </row>
    <row r="65" spans="2:6">
      <c r="B65" s="45">
        <v>12.9516429596286</v>
      </c>
      <c r="C65" s="38">
        <v>14.4726975176695</v>
      </c>
      <c r="D65" s="38">
        <v>11.1604416431241</v>
      </c>
      <c r="E65" s="38">
        <v>10.5865939721403</v>
      </c>
    </row>
    <row r="66" spans="2:6">
      <c r="B66" s="45">
        <v>12.6926101004361</v>
      </c>
      <c r="C66" s="38">
        <v>15.0346098989688</v>
      </c>
      <c r="D66" s="38">
        <v>11.4574623787405</v>
      </c>
      <c r="E66" s="38">
        <v>10.883614707756699</v>
      </c>
    </row>
    <row r="67" spans="2:6">
      <c r="B67" s="46"/>
      <c r="C67" s="40"/>
      <c r="D67" s="40"/>
      <c r="E67" s="40"/>
      <c r="F67" s="40"/>
    </row>
    <row r="68" spans="2:6">
      <c r="B68" s="46"/>
      <c r="C68" s="40"/>
      <c r="D68" s="40"/>
      <c r="E68" s="40"/>
      <c r="F68" s="40"/>
    </row>
    <row r="69" spans="2:6" ht="18">
      <c r="B69" s="286" t="s">
        <v>563</v>
      </c>
      <c r="C69" s="287"/>
      <c r="D69" s="287"/>
      <c r="E69" s="287"/>
      <c r="F69" s="288"/>
    </row>
    <row r="71" spans="2:6">
      <c r="B71" s="29" t="s">
        <v>564</v>
      </c>
    </row>
    <row r="72" spans="2:6">
      <c r="B72" s="250">
        <v>2015</v>
      </c>
      <c r="C72" s="250"/>
      <c r="D72" s="250"/>
    </row>
    <row r="73" spans="2:6">
      <c r="B73" s="31" t="s">
        <v>12</v>
      </c>
      <c r="C73" s="32" t="s">
        <v>544</v>
      </c>
      <c r="D73" s="33">
        <v>10.674922959546301</v>
      </c>
    </row>
    <row r="74" spans="2:6">
      <c r="B74" s="31" t="s">
        <v>14</v>
      </c>
      <c r="C74" s="32" t="s">
        <v>556</v>
      </c>
      <c r="D74" s="44">
        <v>7.0154839999999998</v>
      </c>
    </row>
    <row r="76" spans="2:6" ht="15" customHeight="1">
      <c r="B76" s="251" t="s">
        <v>140</v>
      </c>
      <c r="C76" s="255" t="s">
        <v>565</v>
      </c>
      <c r="D76" s="256"/>
      <c r="E76" s="256"/>
      <c r="F76" s="257"/>
    </row>
    <row r="77" spans="2:6">
      <c r="B77" s="252"/>
      <c r="C77" s="258"/>
      <c r="D77" s="259"/>
      <c r="E77" s="259"/>
      <c r="F77" s="260"/>
    </row>
    <row r="78" spans="2:6">
      <c r="B78" s="253"/>
      <c r="C78" s="261"/>
      <c r="D78" s="262"/>
      <c r="E78" s="262"/>
      <c r="F78" s="263"/>
    </row>
    <row r="79" spans="2:6">
      <c r="B79" s="35"/>
      <c r="C79" s="36">
        <v>2020</v>
      </c>
      <c r="D79" s="36">
        <v>2030</v>
      </c>
      <c r="E79" s="36">
        <v>2040</v>
      </c>
      <c r="F79" s="36">
        <v>2050</v>
      </c>
    </row>
    <row r="80" spans="2:6">
      <c r="B80" s="37">
        <v>0.05</v>
      </c>
      <c r="C80" s="38">
        <v>8.6386969299541292</v>
      </c>
      <c r="D80" s="38">
        <v>8.2038993224043697</v>
      </c>
      <c r="E80" s="38">
        <v>8.2038993224043697</v>
      </c>
      <c r="F80" s="38">
        <v>8.2038993224043697</v>
      </c>
    </row>
    <row r="81" spans="2:6">
      <c r="B81" s="37">
        <v>0.1</v>
      </c>
      <c r="C81" s="38">
        <v>9.0692049446062093</v>
      </c>
      <c r="D81" s="38">
        <v>8.3189072568306006</v>
      </c>
      <c r="E81" s="38">
        <v>8.3189072568306006</v>
      </c>
      <c r="F81" s="38">
        <v>8.3189072568306006</v>
      </c>
    </row>
    <row r="82" spans="2:6">
      <c r="B82" s="37">
        <v>0.15</v>
      </c>
      <c r="C82" s="38">
        <v>9.4997129592582894</v>
      </c>
      <c r="D82" s="38">
        <v>8.4339151912568298</v>
      </c>
      <c r="E82" s="38">
        <v>8.4339151912568298</v>
      </c>
      <c r="F82" s="38">
        <v>8.4339151912568298</v>
      </c>
    </row>
    <row r="83" spans="2:6">
      <c r="B83" s="37">
        <v>0.18</v>
      </c>
      <c r="C83" s="38">
        <v>11.8204186526425</v>
      </c>
      <c r="D83" s="38">
        <v>9.1778015504074997</v>
      </c>
      <c r="E83" s="38">
        <v>8.7501870109289595</v>
      </c>
      <c r="F83" s="38">
        <v>8.7501870109289595</v>
      </c>
    </row>
    <row r="84" spans="2:6">
      <c r="B84" s="37">
        <v>0.2</v>
      </c>
      <c r="C84" s="38">
        <v>14.1411243460267</v>
      </c>
      <c r="D84" s="38">
        <v>9.9216879095581803</v>
      </c>
      <c r="E84" s="38">
        <v>9.0664588306010891</v>
      </c>
      <c r="F84" s="38">
        <v>9.0664588306010891</v>
      </c>
    </row>
    <row r="85" spans="2:6">
      <c r="B85" s="37">
        <v>0.25</v>
      </c>
      <c r="C85" s="38">
        <v>16.461830039410899</v>
      </c>
      <c r="D85" s="38">
        <v>10.6655742687089</v>
      </c>
      <c r="E85" s="38">
        <v>9.3827306502732206</v>
      </c>
      <c r="F85" s="38">
        <v>9.3827306502732206</v>
      </c>
    </row>
    <row r="86" spans="2:6">
      <c r="B86" s="37">
        <v>0.26500000000000001</v>
      </c>
      <c r="C86" s="38">
        <v>18.7825357327951</v>
      </c>
      <c r="D86" s="38">
        <v>11.409460627859501</v>
      </c>
      <c r="E86" s="38">
        <v>9.6990024699453503</v>
      </c>
      <c r="F86" s="38">
        <v>9.6990024699453503</v>
      </c>
    </row>
    <row r="90" spans="2:6">
      <c r="B90" s="29" t="s">
        <v>566</v>
      </c>
    </row>
    <row r="91" spans="2:6">
      <c r="B91" s="250">
        <v>2015</v>
      </c>
      <c r="C91" s="250"/>
      <c r="D91" s="250"/>
    </row>
    <row r="92" spans="2:6">
      <c r="B92" s="31" t="s">
        <v>12</v>
      </c>
      <c r="C92" s="32" t="s">
        <v>544</v>
      </c>
      <c r="D92" s="33">
        <v>11.2050381813469</v>
      </c>
    </row>
    <row r="93" spans="2:6">
      <c r="B93" s="31" t="s">
        <v>14</v>
      </c>
      <c r="C93" s="32" t="s">
        <v>556</v>
      </c>
      <c r="D93" s="44">
        <v>10.553001</v>
      </c>
    </row>
    <row r="94" spans="2:6" ht="15" customHeight="1"/>
    <row r="95" spans="2:6">
      <c r="B95" s="251" t="s">
        <v>140</v>
      </c>
      <c r="C95" s="255" t="s">
        <v>567</v>
      </c>
      <c r="D95" s="256"/>
      <c r="E95" s="256"/>
      <c r="F95" s="257"/>
    </row>
    <row r="96" spans="2:6">
      <c r="B96" s="252"/>
      <c r="C96" s="258"/>
      <c r="D96" s="259"/>
      <c r="E96" s="259"/>
      <c r="F96" s="260"/>
    </row>
    <row r="97" spans="2:6">
      <c r="B97" s="253"/>
      <c r="C97" s="261"/>
      <c r="D97" s="262"/>
      <c r="E97" s="262"/>
      <c r="F97" s="263"/>
    </row>
    <row r="98" spans="2:6">
      <c r="B98" s="35"/>
      <c r="C98" s="36">
        <v>2020</v>
      </c>
      <c r="D98" s="36">
        <v>2030</v>
      </c>
      <c r="E98" s="36">
        <v>2040</v>
      </c>
      <c r="F98" s="36">
        <v>2050</v>
      </c>
    </row>
    <row r="99" spans="2:6">
      <c r="B99" s="37">
        <v>0.05</v>
      </c>
      <c r="C99" s="38">
        <v>8.6386969299541292</v>
      </c>
      <c r="D99" s="38">
        <v>8.2038993224043697</v>
      </c>
      <c r="E99" s="38">
        <v>8.2038993224043697</v>
      </c>
      <c r="F99" s="38">
        <v>8.2038993224043697</v>
      </c>
    </row>
    <row r="100" spans="2:6">
      <c r="B100" s="37">
        <v>0.1</v>
      </c>
      <c r="C100" s="38">
        <v>9.0692049446062093</v>
      </c>
      <c r="D100" s="38">
        <v>8.3189072568306006</v>
      </c>
      <c r="E100" s="38">
        <v>8.3189072568306006</v>
      </c>
      <c r="F100" s="38">
        <v>8.3189072568306006</v>
      </c>
    </row>
    <row r="101" spans="2:6">
      <c r="B101" s="37">
        <v>0.15</v>
      </c>
      <c r="C101" s="38">
        <v>9.4997129592582894</v>
      </c>
      <c r="D101" s="38">
        <v>8.4339151912568298</v>
      </c>
      <c r="E101" s="38">
        <v>8.4339151912568298</v>
      </c>
      <c r="F101" s="38">
        <v>8.4339151912568298</v>
      </c>
    </row>
    <row r="102" spans="2:6">
      <c r="B102" s="37">
        <v>0.18</v>
      </c>
      <c r="C102" s="38">
        <v>11.8204186526425</v>
      </c>
      <c r="D102" s="38">
        <v>9.1778015504074997</v>
      </c>
      <c r="E102" s="38">
        <v>8.7501870109289595</v>
      </c>
      <c r="F102" s="38">
        <v>8.7501870109289595</v>
      </c>
    </row>
    <row r="103" spans="2:6">
      <c r="B103" s="37">
        <v>0.2</v>
      </c>
      <c r="C103" s="38">
        <v>14.1411243460267</v>
      </c>
      <c r="D103" s="38">
        <v>9.9216879095581803</v>
      </c>
      <c r="E103" s="38">
        <v>9.0664588306010891</v>
      </c>
      <c r="F103" s="38">
        <v>9.0664588306010891</v>
      </c>
    </row>
    <row r="104" spans="2:6">
      <c r="B104" s="37">
        <v>0.25</v>
      </c>
      <c r="C104" s="38">
        <v>16.461830039410899</v>
      </c>
      <c r="D104" s="38">
        <v>10.6655742687089</v>
      </c>
      <c r="E104" s="38">
        <v>9.3827306502732206</v>
      </c>
      <c r="F104" s="38">
        <v>9.3827306502732206</v>
      </c>
    </row>
    <row r="105" spans="2:6">
      <c r="B105" s="37">
        <v>0.26500000000000001</v>
      </c>
      <c r="C105" s="38">
        <v>18.7825357327951</v>
      </c>
      <c r="D105" s="38">
        <v>11.409460627859501</v>
      </c>
      <c r="E105" s="38">
        <v>9.6990024699453503</v>
      </c>
      <c r="F105" s="38">
        <v>9.6990024699453503</v>
      </c>
    </row>
    <row r="109" spans="2:6">
      <c r="B109" s="250">
        <v>2030</v>
      </c>
      <c r="C109" s="250"/>
      <c r="D109" s="250"/>
    </row>
    <row r="110" spans="2:6">
      <c r="B110" s="31" t="s">
        <v>568</v>
      </c>
      <c r="C110" s="32" t="s">
        <v>544</v>
      </c>
      <c r="D110" s="47">
        <v>3.63868357239443</v>
      </c>
    </row>
    <row r="112" spans="2:6">
      <c r="B112" s="254" t="s">
        <v>27</v>
      </c>
      <c r="C112" s="255" t="s">
        <v>569</v>
      </c>
      <c r="D112" s="256"/>
      <c r="E112" s="257"/>
    </row>
    <row r="113" spans="2:5">
      <c r="B113" s="254"/>
      <c r="C113" s="258"/>
      <c r="D113" s="259"/>
      <c r="E113" s="260"/>
    </row>
    <row r="114" spans="2:5">
      <c r="B114" s="254"/>
      <c r="C114" s="261"/>
      <c r="D114" s="262"/>
      <c r="E114" s="263"/>
    </row>
    <row r="115" spans="2:5" ht="15" customHeight="1">
      <c r="B115" s="35"/>
      <c r="C115" s="36">
        <v>2030</v>
      </c>
      <c r="D115" s="36">
        <v>2040</v>
      </c>
      <c r="E115" s="36">
        <v>2050</v>
      </c>
    </row>
    <row r="116" spans="2:5">
      <c r="B116" s="42">
        <v>150</v>
      </c>
      <c r="C116" s="43">
        <v>15.8896157630356</v>
      </c>
      <c r="D116" s="43">
        <v>13.4231445074681</v>
      </c>
      <c r="E116" s="43">
        <v>12.6860178445458</v>
      </c>
    </row>
    <row r="117" spans="2:5">
      <c r="B117" s="42">
        <v>200</v>
      </c>
      <c r="C117" s="43">
        <v>16.965718767179698</v>
      </c>
      <c r="D117" s="43">
        <v>13.8203745521912</v>
      </c>
      <c r="E117" s="43">
        <v>12.8142080249609</v>
      </c>
    </row>
    <row r="118" spans="2:5">
      <c r="B118" s="42">
        <v>360</v>
      </c>
      <c r="C118" s="43">
        <v>23.133960276149899</v>
      </c>
      <c r="D118" s="43">
        <v>16.4815722496696</v>
      </c>
      <c r="E118" s="43">
        <v>13.836947601483301</v>
      </c>
    </row>
    <row r="122" spans="2:5" ht="15" customHeight="1">
      <c r="B122" s="254" t="s">
        <v>549</v>
      </c>
      <c r="C122" s="255" t="s">
        <v>570</v>
      </c>
      <c r="D122" s="256"/>
      <c r="E122" s="257"/>
    </row>
    <row r="123" spans="2:5">
      <c r="B123" s="254"/>
      <c r="C123" s="258"/>
      <c r="D123" s="259"/>
      <c r="E123" s="260"/>
    </row>
    <row r="124" spans="2:5">
      <c r="B124" s="254"/>
      <c r="C124" s="261"/>
      <c r="D124" s="262"/>
      <c r="E124" s="263"/>
    </row>
    <row r="125" spans="2:5">
      <c r="B125" s="35"/>
      <c r="C125" s="36">
        <v>2030</v>
      </c>
      <c r="D125" s="36">
        <v>2040</v>
      </c>
      <c r="E125" s="36">
        <v>2050</v>
      </c>
    </row>
    <row r="126" spans="2:5">
      <c r="B126" s="45">
        <v>6.0143112739557001</v>
      </c>
      <c r="C126" s="43">
        <v>16.5123130824044</v>
      </c>
      <c r="D126" s="43">
        <v>13.759043952197899</v>
      </c>
      <c r="E126" s="43">
        <v>12.8778356859991</v>
      </c>
    </row>
    <row r="127" spans="2:5">
      <c r="B127" s="45">
        <v>5.6977685753264504</v>
      </c>
      <c r="C127" s="43">
        <v>16.627321016830599</v>
      </c>
      <c r="D127" s="43">
        <v>13.8740518866241</v>
      </c>
      <c r="E127" s="43">
        <v>12.992843620425299</v>
      </c>
    </row>
    <row r="128" spans="2:5">
      <c r="B128" s="45">
        <v>5.3812258766972096</v>
      </c>
      <c r="C128" s="43">
        <v>16.742328951256798</v>
      </c>
      <c r="D128" s="43">
        <v>13.9890598210504</v>
      </c>
      <c r="E128" s="43">
        <v>13.107851554851599</v>
      </c>
    </row>
    <row r="129" spans="2:5">
      <c r="B129" s="45">
        <v>5.1913002575196598</v>
      </c>
      <c r="C129" s="43">
        <v>17.486215310407498</v>
      </c>
      <c r="D129" s="43">
        <v>14.3053316407225</v>
      </c>
      <c r="E129" s="43">
        <v>13.424123374523701</v>
      </c>
    </row>
    <row r="130" spans="2:5">
      <c r="B130" s="45">
        <v>5.06468317806796</v>
      </c>
      <c r="C130" s="43">
        <v>18.230101669558199</v>
      </c>
      <c r="D130" s="43">
        <v>14.621603460394599</v>
      </c>
      <c r="E130" s="43">
        <v>13.7403951941958</v>
      </c>
    </row>
    <row r="131" spans="2:5">
      <c r="B131" s="45">
        <v>4.7481404794387103</v>
      </c>
      <c r="C131" s="43">
        <v>18.973988028708899</v>
      </c>
      <c r="D131" s="43">
        <v>14.9378752800668</v>
      </c>
      <c r="E131" s="43">
        <v>14.056667013867999</v>
      </c>
    </row>
    <row r="132" spans="2:5">
      <c r="B132" s="45">
        <v>4.6531776698499403</v>
      </c>
      <c r="C132" s="43">
        <v>19.717874387859499</v>
      </c>
      <c r="D132" s="43">
        <v>15.254147099738899</v>
      </c>
      <c r="E132" s="43">
        <v>14.3729388335401</v>
      </c>
    </row>
  </sheetData>
  <mergeCells count="26">
    <mergeCell ref="B112:B114"/>
    <mergeCell ref="B122:B124"/>
    <mergeCell ref="C10:F12"/>
    <mergeCell ref="C46:E48"/>
    <mergeCell ref="C29:F31"/>
    <mergeCell ref="C56:E58"/>
    <mergeCell ref="C76:F78"/>
    <mergeCell ref="C95:F97"/>
    <mergeCell ref="C112:E114"/>
    <mergeCell ref="C122:E124"/>
    <mergeCell ref="B29:B31"/>
    <mergeCell ref="B46:B48"/>
    <mergeCell ref="B56:B58"/>
    <mergeCell ref="B76:B78"/>
    <mergeCell ref="B95:B97"/>
    <mergeCell ref="B43:D43"/>
    <mergeCell ref="B69:F69"/>
    <mergeCell ref="B72:D72"/>
    <mergeCell ref="B91:D91"/>
    <mergeCell ref="B109:D109"/>
    <mergeCell ref="B1:F1"/>
    <mergeCell ref="B2:F2"/>
    <mergeCell ref="B3:F3"/>
    <mergeCell ref="B6:D6"/>
    <mergeCell ref="B25:D25"/>
    <mergeCell ref="B10:B12"/>
  </mergeCells>
  <pageMargins left="0.7" right="0.7" top="0.75" bottom="0.75" header="0.3" footer="0.3"/>
  <pageSetup paperSize="9" orientation="portrait"/>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T284"/>
  <sheetViews>
    <sheetView showGridLines="0" workbookViewId="0">
      <pane ySplit="2" topLeftCell="A3" activePane="bottomLeft" state="frozen"/>
      <selection pane="bottomLeft" activeCell="B3" sqref="B3:F3"/>
    </sheetView>
  </sheetViews>
  <sheetFormatPr defaultColWidth="9.06640625" defaultRowHeight="14.25"/>
  <cols>
    <col min="1" max="1" width="7.59765625" customWidth="1"/>
    <col min="2" max="2" width="38.265625" customWidth="1"/>
    <col min="3" max="6" width="13.59765625" customWidth="1"/>
  </cols>
  <sheetData>
    <row r="1" spans="2:20" ht="30.75" customHeight="1">
      <c r="B1" s="245" t="s">
        <v>10</v>
      </c>
      <c r="C1" s="246"/>
      <c r="D1" s="246"/>
      <c r="E1" s="246"/>
      <c r="F1" s="247"/>
    </row>
    <row r="2" spans="2:20">
      <c r="B2" s="248" t="s">
        <v>9</v>
      </c>
      <c r="C2" s="249"/>
      <c r="D2" s="249"/>
      <c r="E2" s="249"/>
      <c r="F2" s="249"/>
    </row>
    <row r="3" spans="2:20" ht="18">
      <c r="B3" s="286" t="s">
        <v>571</v>
      </c>
      <c r="C3" s="287"/>
      <c r="D3" s="287"/>
      <c r="E3" s="287"/>
      <c r="F3" s="288"/>
    </row>
    <row r="4" spans="2:20">
      <c r="B4" s="297" t="s">
        <v>572</v>
      </c>
      <c r="C4" s="298"/>
      <c r="D4" s="298"/>
      <c r="E4" s="298"/>
      <c r="F4" s="299"/>
      <c r="K4" s="295" t="s">
        <v>573</v>
      </c>
      <c r="L4" s="295"/>
      <c r="M4" s="295"/>
      <c r="N4" s="295"/>
      <c r="O4" s="295"/>
      <c r="P4" s="295"/>
      <c r="Q4" s="295"/>
      <c r="R4" s="295"/>
      <c r="S4" s="295"/>
      <c r="T4" s="295"/>
    </row>
    <row r="5" spans="2:20">
      <c r="B5" s="29" t="s">
        <v>574</v>
      </c>
      <c r="K5" s="295"/>
      <c r="L5" s="295"/>
      <c r="M5" s="295"/>
      <c r="N5" s="295"/>
      <c r="O5" s="295"/>
      <c r="P5" s="295"/>
      <c r="Q5" s="295"/>
      <c r="R5" s="295"/>
      <c r="S5" s="295"/>
      <c r="T5" s="295"/>
    </row>
    <row r="6" spans="2:20" ht="15" customHeight="1">
      <c r="B6" s="250">
        <v>2015</v>
      </c>
      <c r="C6" s="250"/>
      <c r="D6" s="250"/>
      <c r="K6" s="295"/>
      <c r="L6" s="295"/>
      <c r="M6" s="295"/>
      <c r="N6" s="295"/>
      <c r="O6" s="295"/>
      <c r="P6" s="295"/>
      <c r="Q6" s="295"/>
      <c r="R6" s="295"/>
      <c r="S6" s="295"/>
      <c r="T6" s="295"/>
    </row>
    <row r="7" spans="2:20">
      <c r="B7" s="31" t="s">
        <v>12</v>
      </c>
      <c r="C7" s="32" t="s">
        <v>544</v>
      </c>
      <c r="D7" s="33">
        <v>8.9857533992520402</v>
      </c>
      <c r="K7" s="295"/>
      <c r="L7" s="295"/>
      <c r="M7" s="295"/>
      <c r="N7" s="295"/>
      <c r="O7" s="295"/>
      <c r="P7" s="295"/>
      <c r="Q7" s="295"/>
      <c r="R7" s="295"/>
      <c r="S7" s="295"/>
      <c r="T7" s="295"/>
    </row>
    <row r="8" spans="2:20">
      <c r="B8" s="31" t="s">
        <v>14</v>
      </c>
      <c r="C8" s="32" t="s">
        <v>556</v>
      </c>
      <c r="D8" s="33">
        <v>21.5</v>
      </c>
      <c r="K8" s="295"/>
      <c r="L8" s="295"/>
      <c r="M8" s="295"/>
      <c r="N8" s="295"/>
      <c r="O8" s="295"/>
      <c r="P8" s="295"/>
      <c r="Q8" s="295"/>
      <c r="R8" s="295"/>
      <c r="S8" s="295"/>
      <c r="T8" s="295"/>
    </row>
    <row r="9" spans="2:20">
      <c r="K9" s="295"/>
      <c r="L9" s="295"/>
      <c r="M9" s="295"/>
      <c r="N9" s="295"/>
      <c r="O9" s="295"/>
      <c r="P9" s="295"/>
      <c r="Q9" s="295"/>
      <c r="R9" s="295"/>
      <c r="S9" s="295"/>
      <c r="T9" s="295"/>
    </row>
    <row r="10" spans="2:20">
      <c r="B10" s="254" t="s">
        <v>140</v>
      </c>
      <c r="C10" s="254" t="s">
        <v>575</v>
      </c>
      <c r="D10" s="254"/>
      <c r="E10" s="254"/>
      <c r="F10" s="254"/>
      <c r="K10" s="295"/>
      <c r="L10" s="295"/>
      <c r="M10" s="295"/>
      <c r="N10" s="295"/>
      <c r="O10" s="295"/>
      <c r="P10" s="295"/>
      <c r="Q10" s="295"/>
      <c r="R10" s="295"/>
      <c r="S10" s="295"/>
      <c r="T10" s="295"/>
    </row>
    <row r="11" spans="2:20">
      <c r="B11" s="254"/>
      <c r="C11" s="254"/>
      <c r="D11" s="254"/>
      <c r="E11" s="254"/>
      <c r="F11" s="254"/>
      <c r="K11" s="295"/>
      <c r="L11" s="295"/>
      <c r="M11" s="295"/>
      <c r="N11" s="295"/>
      <c r="O11" s="295"/>
      <c r="P11" s="295"/>
      <c r="Q11" s="295"/>
      <c r="R11" s="295"/>
      <c r="S11" s="295"/>
      <c r="T11" s="295"/>
    </row>
    <row r="12" spans="2:20">
      <c r="B12" s="254"/>
      <c r="C12" s="254"/>
      <c r="D12" s="254"/>
      <c r="E12" s="254"/>
      <c r="F12" s="254"/>
      <c r="K12" s="295"/>
      <c r="L12" s="295"/>
      <c r="M12" s="295"/>
      <c r="N12" s="295"/>
      <c r="O12" s="295"/>
      <c r="P12" s="295"/>
      <c r="Q12" s="295"/>
      <c r="R12" s="295"/>
      <c r="S12" s="295"/>
      <c r="T12" s="295"/>
    </row>
    <row r="13" spans="2:20">
      <c r="B13" s="35"/>
      <c r="C13" s="36">
        <v>2020</v>
      </c>
      <c r="D13" s="36">
        <v>2030</v>
      </c>
      <c r="E13" s="36">
        <v>2040</v>
      </c>
      <c r="F13" s="36">
        <v>2050</v>
      </c>
      <c r="K13" s="295"/>
      <c r="L13" s="295"/>
      <c r="M13" s="295"/>
      <c r="N13" s="295"/>
      <c r="O13" s="295"/>
      <c r="P13" s="295"/>
      <c r="Q13" s="295"/>
      <c r="R13" s="295"/>
      <c r="S13" s="295"/>
      <c r="T13" s="295"/>
    </row>
    <row r="14" spans="2:20">
      <c r="B14" s="37">
        <v>0.05</v>
      </c>
      <c r="C14" s="38">
        <v>21.508488801177499</v>
      </c>
      <c r="D14" s="38">
        <v>21.508488801177499</v>
      </c>
      <c r="E14" s="38">
        <v>21.508488801177499</v>
      </c>
      <c r="F14" s="38">
        <v>21.508488801177499</v>
      </c>
    </row>
    <row r="15" spans="2:20">
      <c r="B15" s="37">
        <v>0.1</v>
      </c>
      <c r="C15" s="38">
        <v>21.542910351693202</v>
      </c>
      <c r="D15" s="38">
        <v>21.542910351693202</v>
      </c>
      <c r="E15" s="38">
        <v>21.542910351693202</v>
      </c>
      <c r="F15" s="38">
        <v>21.542910351693202</v>
      </c>
    </row>
    <row r="16" spans="2:20">
      <c r="B16" s="37">
        <v>0.12</v>
      </c>
      <c r="C16" s="38">
        <v>21.975789979574699</v>
      </c>
      <c r="D16" s="38">
        <v>21.932536345067899</v>
      </c>
      <c r="E16" s="38">
        <v>21.932536345067899</v>
      </c>
      <c r="F16" s="38">
        <v>21.932536345067899</v>
      </c>
    </row>
    <row r="17" spans="2:6">
      <c r="B17" s="37">
        <v>0.15</v>
      </c>
      <c r="C17" s="38">
        <v>22.914205401947701</v>
      </c>
      <c r="D17" s="38">
        <v>22.696635340109601</v>
      </c>
      <c r="E17" s="38">
        <v>22.5878503091905</v>
      </c>
      <c r="F17" s="38">
        <v>22.5878503091905</v>
      </c>
    </row>
    <row r="18" spans="2:6">
      <c r="B18" s="37">
        <v>0.2</v>
      </c>
      <c r="C18" s="38">
        <v>25.331036199172701</v>
      </c>
      <c r="D18" s="38">
        <v>24.820231372616298</v>
      </c>
      <c r="E18" s="38">
        <v>24.309426546059999</v>
      </c>
      <c r="F18" s="38">
        <v>24.054024132781802</v>
      </c>
    </row>
    <row r="19" spans="2:6">
      <c r="B19" s="37">
        <v>0.25</v>
      </c>
      <c r="C19" s="38">
        <v>38.811974438072198</v>
      </c>
      <c r="D19" s="38">
        <v>35.926645365060203</v>
      </c>
      <c r="E19" s="38">
        <v>34.964869007389503</v>
      </c>
      <c r="F19" s="38">
        <v>33.041316292048201</v>
      </c>
    </row>
    <row r="20" spans="2:6">
      <c r="B20" s="37">
        <v>0.3</v>
      </c>
      <c r="C20" s="38">
        <v>51.585714285714303</v>
      </c>
      <c r="D20" s="38">
        <v>44.3651428571428</v>
      </c>
      <c r="E20" s="38">
        <v>40.754857142857098</v>
      </c>
      <c r="F20" s="38">
        <v>39.551428571428602</v>
      </c>
    </row>
    <row r="24" spans="2:6">
      <c r="B24" s="29" t="s">
        <v>576</v>
      </c>
    </row>
    <row r="25" spans="2:6">
      <c r="B25" s="250">
        <v>2015</v>
      </c>
      <c r="C25" s="250"/>
      <c r="D25" s="250"/>
    </row>
    <row r="26" spans="2:6">
      <c r="B26" s="31" t="s">
        <v>12</v>
      </c>
      <c r="C26" s="32" t="s">
        <v>544</v>
      </c>
      <c r="D26" s="33">
        <v>9.4319846905074005</v>
      </c>
    </row>
    <row r="27" spans="2:6">
      <c r="B27" s="31" t="s">
        <v>14</v>
      </c>
      <c r="C27" s="32" t="s">
        <v>556</v>
      </c>
      <c r="D27" s="33">
        <v>24.001249999999999</v>
      </c>
    </row>
    <row r="29" spans="2:6" ht="15" customHeight="1">
      <c r="B29" s="254" t="s">
        <v>577</v>
      </c>
      <c r="C29" s="254" t="s">
        <v>578</v>
      </c>
      <c r="D29" s="254"/>
      <c r="E29" s="254"/>
      <c r="F29" s="254"/>
    </row>
    <row r="30" spans="2:6">
      <c r="B30" s="254"/>
      <c r="C30" s="254"/>
      <c r="D30" s="254"/>
      <c r="E30" s="254"/>
      <c r="F30" s="254"/>
    </row>
    <row r="31" spans="2:6">
      <c r="B31" s="254"/>
      <c r="C31" s="254"/>
      <c r="D31" s="254"/>
      <c r="E31" s="254"/>
      <c r="F31" s="254"/>
    </row>
    <row r="32" spans="2:6">
      <c r="B32" s="35"/>
      <c r="C32" s="36">
        <v>2020</v>
      </c>
      <c r="D32" s="36">
        <v>2030</v>
      </c>
      <c r="E32" s="36">
        <v>2040</v>
      </c>
      <c r="F32" s="36">
        <v>2050</v>
      </c>
    </row>
    <row r="33" spans="2:6">
      <c r="B33" s="37">
        <v>0.05</v>
      </c>
      <c r="C33" s="38">
        <v>24.009738801177502</v>
      </c>
      <c r="D33" s="38">
        <v>24.009738801177502</v>
      </c>
      <c r="E33" s="38">
        <v>24.009738801177502</v>
      </c>
      <c r="F33" s="38">
        <v>24.009738801177502</v>
      </c>
    </row>
    <row r="34" spans="2:6">
      <c r="B34" s="37">
        <v>0.1</v>
      </c>
      <c r="C34" s="38">
        <v>24.044160351693201</v>
      </c>
      <c r="D34" s="38">
        <v>24.044160351693201</v>
      </c>
      <c r="E34" s="38">
        <v>24.044160351693201</v>
      </c>
      <c r="F34" s="38">
        <v>24.044160351693201</v>
      </c>
    </row>
    <row r="35" spans="2:6">
      <c r="B35" s="37">
        <v>0.12</v>
      </c>
      <c r="C35" s="38">
        <v>24.477039979574698</v>
      </c>
      <c r="D35" s="38">
        <v>24.433786345067901</v>
      </c>
      <c r="E35" s="38">
        <v>24.433786345067901</v>
      </c>
      <c r="F35" s="38">
        <v>24.433786345067901</v>
      </c>
    </row>
    <row r="36" spans="2:6">
      <c r="B36" s="37">
        <v>0.15</v>
      </c>
      <c r="C36" s="38">
        <v>25.4154554019477</v>
      </c>
      <c r="D36" s="38">
        <v>25.1978853401096</v>
      </c>
      <c r="E36" s="38">
        <v>25.089100309190499</v>
      </c>
      <c r="F36" s="38">
        <v>25.089100309190499</v>
      </c>
    </row>
    <row r="37" spans="2:6">
      <c r="B37" s="37">
        <v>0.2</v>
      </c>
      <c r="C37" s="38">
        <v>27.8322861991727</v>
      </c>
      <c r="D37" s="38">
        <v>27.321481372616301</v>
      </c>
      <c r="E37" s="38">
        <v>26.810676546060002</v>
      </c>
      <c r="F37" s="38">
        <v>26.5552741327818</v>
      </c>
    </row>
    <row r="38" spans="2:6">
      <c r="B38" s="37">
        <v>0.25</v>
      </c>
      <c r="C38" s="38">
        <v>41.313224438072197</v>
      </c>
      <c r="D38" s="38">
        <v>38.427895365060202</v>
      </c>
      <c r="E38" s="38">
        <v>37.466119007389501</v>
      </c>
      <c r="F38" s="38">
        <v>35.5425662920482</v>
      </c>
    </row>
    <row r="39" spans="2:6">
      <c r="B39" s="37">
        <v>0.3</v>
      </c>
      <c r="C39" s="38">
        <v>54.086964285714302</v>
      </c>
      <c r="D39" s="38">
        <v>46.866392857142799</v>
      </c>
      <c r="E39" s="38">
        <v>43.256107142857097</v>
      </c>
      <c r="F39" s="38">
        <v>42.052678571428601</v>
      </c>
    </row>
    <row r="42" spans="2:6">
      <c r="B42" s="39"/>
      <c r="C42" s="40"/>
      <c r="D42" s="40"/>
      <c r="E42" s="40"/>
      <c r="F42" s="40"/>
    </row>
    <row r="43" spans="2:6">
      <c r="B43" s="29" t="s">
        <v>579</v>
      </c>
      <c r="E43" s="40"/>
      <c r="F43" s="40"/>
    </row>
    <row r="44" spans="2:6">
      <c r="B44" s="250">
        <v>2030</v>
      </c>
      <c r="C44" s="250"/>
      <c r="D44" s="250"/>
    </row>
    <row r="45" spans="2:6">
      <c r="B45" s="31" t="s">
        <v>12</v>
      </c>
      <c r="C45" s="32" t="s">
        <v>544</v>
      </c>
      <c r="D45" s="33">
        <v>5.4752275318979002</v>
      </c>
    </row>
    <row r="47" spans="2:6" ht="15" customHeight="1">
      <c r="B47" s="254" t="s">
        <v>580</v>
      </c>
      <c r="C47" s="255" t="s">
        <v>581</v>
      </c>
      <c r="D47" s="256"/>
      <c r="E47" s="257"/>
    </row>
    <row r="48" spans="2:6">
      <c r="B48" s="254"/>
      <c r="C48" s="258"/>
      <c r="D48" s="259"/>
      <c r="E48" s="260"/>
    </row>
    <row r="49" spans="2:10">
      <c r="B49" s="254"/>
      <c r="C49" s="261"/>
      <c r="D49" s="262"/>
      <c r="E49" s="263"/>
    </row>
    <row r="50" spans="2:10">
      <c r="B50" s="35"/>
      <c r="C50" s="36">
        <v>2030</v>
      </c>
      <c r="D50" s="36">
        <v>2040</v>
      </c>
      <c r="E50" s="36">
        <v>2050</v>
      </c>
    </row>
    <row r="51" spans="2:10">
      <c r="B51" s="37">
        <v>0.05</v>
      </c>
      <c r="C51" s="38">
        <v>33.0264752371775</v>
      </c>
      <c r="D51" s="38">
        <v>29.9978791939504</v>
      </c>
      <c r="E51" s="38">
        <v>29.0285501011317</v>
      </c>
      <c r="H51" s="41"/>
      <c r="I51" s="41"/>
      <c r="J51" s="41"/>
    </row>
    <row r="52" spans="2:10">
      <c r="B52" s="37">
        <v>0.08</v>
      </c>
      <c r="C52" s="38">
        <v>33.060896787693203</v>
      </c>
      <c r="D52" s="38">
        <v>30.032300744466099</v>
      </c>
      <c r="E52" s="38">
        <v>29.062971651647501</v>
      </c>
    </row>
    <row r="53" spans="2:10">
      <c r="B53" s="37">
        <v>8.4000000000000005E-2</v>
      </c>
      <c r="C53" s="38">
        <v>33.450522781067903</v>
      </c>
      <c r="D53" s="38">
        <v>30.421926737840799</v>
      </c>
      <c r="E53" s="38">
        <v>29.452597645022099</v>
      </c>
    </row>
    <row r="54" spans="2:10">
      <c r="B54" s="37">
        <v>0.09</v>
      </c>
      <c r="C54" s="38">
        <v>34.214621776109603</v>
      </c>
      <c r="D54" s="38">
        <v>31.077240701963401</v>
      </c>
      <c r="E54" s="38">
        <v>30.1079116091448</v>
      </c>
    </row>
    <row r="55" spans="2:10">
      <c r="B55" s="37">
        <v>0.1</v>
      </c>
      <c r="C55" s="38">
        <v>36.338217808616299</v>
      </c>
      <c r="D55" s="38">
        <v>32.7988169388329</v>
      </c>
      <c r="E55" s="38">
        <v>31.574085432735998</v>
      </c>
    </row>
    <row r="56" spans="2:10">
      <c r="B56" s="37">
        <v>0.125</v>
      </c>
      <c r="C56" s="38">
        <v>47.444631801060197</v>
      </c>
      <c r="D56" s="38">
        <v>43.4542594001624</v>
      </c>
      <c r="E56" s="38">
        <v>40.561377592002401</v>
      </c>
    </row>
    <row r="57" spans="2:10">
      <c r="B57" s="37">
        <v>0.15</v>
      </c>
      <c r="C57" s="38">
        <v>55.883129293142801</v>
      </c>
      <c r="D57" s="38">
        <v>49.244247535630002</v>
      </c>
      <c r="E57" s="38">
        <v>47.071489871382802</v>
      </c>
    </row>
    <row r="58" spans="2:10">
      <c r="B58" s="39"/>
      <c r="C58" s="40"/>
      <c r="D58" s="40"/>
      <c r="E58" s="40"/>
      <c r="F58" s="40"/>
    </row>
    <row r="59" spans="2:10">
      <c r="B59" s="39"/>
      <c r="C59" s="40"/>
      <c r="D59" s="40"/>
      <c r="E59" s="40"/>
      <c r="F59" s="40"/>
    </row>
    <row r="61" spans="2:10">
      <c r="B61" s="29" t="s">
        <v>582</v>
      </c>
    </row>
    <row r="62" spans="2:10">
      <c r="B62" s="250">
        <v>2030</v>
      </c>
      <c r="C62" s="250"/>
      <c r="D62" s="250"/>
    </row>
    <row r="63" spans="2:10">
      <c r="B63" s="31" t="s">
        <v>12</v>
      </c>
      <c r="C63" s="32" t="s">
        <v>544</v>
      </c>
      <c r="D63" s="33">
        <v>3.0629085945961201</v>
      </c>
    </row>
    <row r="65" spans="2:6">
      <c r="B65" s="254" t="s">
        <v>27</v>
      </c>
      <c r="C65" s="255" t="s">
        <v>583</v>
      </c>
      <c r="D65" s="256"/>
      <c r="E65" s="257"/>
    </row>
    <row r="66" spans="2:6">
      <c r="B66" s="254"/>
      <c r="C66" s="258"/>
      <c r="D66" s="259"/>
      <c r="E66" s="260"/>
    </row>
    <row r="67" spans="2:6">
      <c r="B67" s="254"/>
      <c r="C67" s="261"/>
      <c r="D67" s="262"/>
      <c r="E67" s="263"/>
    </row>
    <row r="68" spans="2:6">
      <c r="B68" s="35"/>
      <c r="C68" s="36">
        <v>2030</v>
      </c>
      <c r="D68" s="36">
        <v>2040</v>
      </c>
      <c r="E68" s="36">
        <v>2050</v>
      </c>
    </row>
    <row r="69" spans="2:6">
      <c r="B69" s="42">
        <v>150</v>
      </c>
      <c r="C69" s="43">
        <v>36.170276239339103</v>
      </c>
      <c r="D69" s="43">
        <v>32.357157858214897</v>
      </c>
      <c r="E69" s="43">
        <v>31.546318529000398</v>
      </c>
    </row>
    <row r="70" spans="2:6">
      <c r="B70" s="42">
        <v>200</v>
      </c>
      <c r="C70" s="43">
        <v>38.746379243483297</v>
      </c>
      <c r="D70" s="43">
        <v>34.254387902937999</v>
      </c>
      <c r="E70" s="43">
        <v>33.174508709415498</v>
      </c>
    </row>
    <row r="71" spans="2:6">
      <c r="B71" s="42">
        <v>360</v>
      </c>
      <c r="C71" s="43">
        <v>45.414620752453501</v>
      </c>
      <c r="D71" s="43">
        <v>37.415585600416399</v>
      </c>
      <c r="E71" s="43">
        <v>34.697248285937903</v>
      </c>
    </row>
    <row r="72" spans="2:6" ht="15" customHeight="1"/>
    <row r="75" spans="2:6">
      <c r="B75" s="297" t="s">
        <v>584</v>
      </c>
      <c r="C75" s="298"/>
      <c r="D75" s="298"/>
      <c r="E75" s="298"/>
      <c r="F75" s="299"/>
    </row>
    <row r="76" spans="2:6">
      <c r="B76" s="29" t="s">
        <v>585</v>
      </c>
    </row>
    <row r="77" spans="2:6">
      <c r="B77" s="250">
        <v>2015</v>
      </c>
      <c r="C77" s="250"/>
      <c r="D77" s="250"/>
    </row>
    <row r="78" spans="2:6">
      <c r="B78" s="31" t="s">
        <v>12</v>
      </c>
      <c r="C78" s="32" t="s">
        <v>544</v>
      </c>
      <c r="D78" s="33">
        <v>4.0568741817786798</v>
      </c>
    </row>
    <row r="79" spans="2:6">
      <c r="B79" s="31" t="s">
        <v>14</v>
      </c>
      <c r="C79" s="32" t="s">
        <v>556</v>
      </c>
      <c r="D79" s="33">
        <v>25.175000000000001</v>
      </c>
    </row>
    <row r="81" spans="2:6">
      <c r="B81" s="254" t="s">
        <v>140</v>
      </c>
      <c r="C81" s="254" t="s">
        <v>586</v>
      </c>
      <c r="D81" s="254"/>
      <c r="E81" s="254"/>
      <c r="F81" s="254"/>
    </row>
    <row r="82" spans="2:6">
      <c r="B82" s="254"/>
      <c r="C82" s="254"/>
      <c r="D82" s="254"/>
      <c r="E82" s="254"/>
      <c r="F82" s="254"/>
    </row>
    <row r="83" spans="2:6">
      <c r="B83" s="254"/>
      <c r="C83" s="254"/>
      <c r="D83" s="254"/>
      <c r="E83" s="254"/>
      <c r="F83" s="254"/>
    </row>
    <row r="84" spans="2:6">
      <c r="B84" s="35"/>
      <c r="C84" s="36">
        <v>2020</v>
      </c>
      <c r="D84" s="36">
        <v>2030</v>
      </c>
      <c r="E84" s="36">
        <v>2040</v>
      </c>
      <c r="F84" s="36">
        <v>2050</v>
      </c>
    </row>
    <row r="85" spans="2:6">
      <c r="B85" s="37">
        <v>0.05</v>
      </c>
      <c r="C85" s="38">
        <v>25.1799273903368</v>
      </c>
      <c r="D85" s="38">
        <v>25.1799273903368</v>
      </c>
      <c r="E85" s="38">
        <v>25.1799273903368</v>
      </c>
      <c r="F85" s="38">
        <v>25.1799273903368</v>
      </c>
    </row>
    <row r="86" spans="2:6">
      <c r="B86" s="37">
        <v>0.1</v>
      </c>
      <c r="C86" s="38">
        <v>25.219346513031301</v>
      </c>
      <c r="D86" s="38">
        <v>25.219346513031301</v>
      </c>
      <c r="E86" s="38">
        <v>25.219346513031301</v>
      </c>
      <c r="F86" s="38">
        <v>25.219346513031301</v>
      </c>
    </row>
    <row r="87" spans="2:6">
      <c r="B87" s="37">
        <v>0.2</v>
      </c>
      <c r="C87" s="38">
        <v>26.540872601364399</v>
      </c>
      <c r="D87" s="38">
        <v>26.416702364876699</v>
      </c>
      <c r="E87" s="38">
        <v>26.416702364876699</v>
      </c>
      <c r="F87" s="38">
        <v>26.416702364876699</v>
      </c>
    </row>
    <row r="88" spans="2:6">
      <c r="B88" s="37">
        <v>0.25</v>
      </c>
      <c r="C88" s="38">
        <v>28.518727082561</v>
      </c>
      <c r="D88" s="38">
        <v>28.0043075313977</v>
      </c>
      <c r="E88" s="38">
        <v>27.7470977558161</v>
      </c>
      <c r="F88" s="38">
        <v>27.7470977558161</v>
      </c>
    </row>
    <row r="89" spans="2:6">
      <c r="B89" s="37">
        <v>0.3</v>
      </c>
      <c r="C89" s="38">
        <v>33.379104910792798</v>
      </c>
      <c r="D89" s="38">
        <v>32.285224256020399</v>
      </c>
      <c r="E89" s="38">
        <v>31.1913436012481</v>
      </c>
      <c r="F89" s="38">
        <v>30.644403273861901</v>
      </c>
    </row>
    <row r="90" spans="2:6">
      <c r="B90" s="37">
        <v>0.35</v>
      </c>
      <c r="C90" s="38">
        <v>43.758425000000003</v>
      </c>
      <c r="D90" s="38">
        <v>40.661187499999997</v>
      </c>
      <c r="E90" s="38">
        <v>39.628774999999997</v>
      </c>
      <c r="F90" s="38">
        <v>37.563949999999998</v>
      </c>
    </row>
    <row r="91" spans="2:6">
      <c r="B91" s="37">
        <v>0.4</v>
      </c>
      <c r="C91" s="38">
        <v>74.883750000000006</v>
      </c>
      <c r="D91" s="38">
        <v>62.953650000000003</v>
      </c>
      <c r="E91" s="38">
        <v>56.988599999999998</v>
      </c>
      <c r="F91" s="38">
        <v>55.000250000000001</v>
      </c>
    </row>
    <row r="95" spans="2:6" ht="15" customHeight="1">
      <c r="B95" s="29" t="s">
        <v>587</v>
      </c>
    </row>
    <row r="96" spans="2:6">
      <c r="B96" s="250">
        <v>2015</v>
      </c>
      <c r="C96" s="250"/>
      <c r="D96" s="250"/>
    </row>
    <row r="97" spans="2:6">
      <c r="B97" s="31" t="s">
        <v>12</v>
      </c>
      <c r="C97" s="32" t="s">
        <v>544</v>
      </c>
      <c r="D97" s="33">
        <v>4.25833800169013</v>
      </c>
    </row>
    <row r="98" spans="2:6">
      <c r="B98" s="31" t="s">
        <v>14</v>
      </c>
      <c r="C98" s="32" t="s">
        <v>556</v>
      </c>
      <c r="D98" s="33">
        <v>32.049999999999997</v>
      </c>
    </row>
    <row r="100" spans="2:6">
      <c r="B100" s="254" t="s">
        <v>577</v>
      </c>
      <c r="C100" s="254" t="s">
        <v>588</v>
      </c>
      <c r="D100" s="254"/>
      <c r="E100" s="254"/>
      <c r="F100" s="254"/>
    </row>
    <row r="101" spans="2:6">
      <c r="B101" s="254"/>
      <c r="C101" s="254"/>
      <c r="D101" s="254"/>
      <c r="E101" s="254"/>
      <c r="F101" s="254"/>
    </row>
    <row r="102" spans="2:6">
      <c r="B102" s="254"/>
      <c r="C102" s="254"/>
      <c r="D102" s="254"/>
      <c r="E102" s="254"/>
      <c r="F102" s="254"/>
    </row>
    <row r="103" spans="2:6">
      <c r="B103" s="35"/>
      <c r="C103" s="36">
        <v>2020</v>
      </c>
      <c r="D103" s="36">
        <v>2030</v>
      </c>
      <c r="E103" s="36">
        <v>2040</v>
      </c>
      <c r="F103" s="36">
        <v>2050</v>
      </c>
    </row>
    <row r="104" spans="2:6">
      <c r="B104" s="37">
        <v>0.05</v>
      </c>
      <c r="C104" s="38">
        <v>32.0549273903368</v>
      </c>
      <c r="D104" s="38">
        <v>32.0549273903368</v>
      </c>
      <c r="E104" s="38">
        <v>32.0549273903368</v>
      </c>
      <c r="F104" s="38">
        <v>32.0549273903368</v>
      </c>
    </row>
    <row r="105" spans="2:6">
      <c r="B105" s="37">
        <v>0.1</v>
      </c>
      <c r="C105" s="38">
        <v>32.094346513031297</v>
      </c>
      <c r="D105" s="38">
        <v>32.094346513031297</v>
      </c>
      <c r="E105" s="38">
        <v>32.094346513031297</v>
      </c>
      <c r="F105" s="38">
        <v>32.094346513031297</v>
      </c>
    </row>
    <row r="106" spans="2:6">
      <c r="B106" s="37">
        <v>0.2</v>
      </c>
      <c r="C106" s="38">
        <v>33.415872601364399</v>
      </c>
      <c r="D106" s="38">
        <v>33.291702364876699</v>
      </c>
      <c r="E106" s="38">
        <v>33.291702364876699</v>
      </c>
      <c r="F106" s="38">
        <v>33.291702364876699</v>
      </c>
    </row>
    <row r="107" spans="2:6">
      <c r="B107" s="37">
        <v>0.25</v>
      </c>
      <c r="C107" s="38">
        <v>35.393727082561</v>
      </c>
      <c r="D107" s="38">
        <v>34.8793075313977</v>
      </c>
      <c r="E107" s="38">
        <v>34.6220977558161</v>
      </c>
      <c r="F107" s="38">
        <v>34.6220977558161</v>
      </c>
    </row>
    <row r="108" spans="2:6">
      <c r="B108" s="37">
        <v>0.3</v>
      </c>
      <c r="C108" s="38">
        <v>40.254104910792798</v>
      </c>
      <c r="D108" s="38">
        <v>39.160224256020399</v>
      </c>
      <c r="E108" s="38">
        <v>38.0663436012481</v>
      </c>
      <c r="F108" s="38">
        <v>37.519403273861897</v>
      </c>
    </row>
    <row r="109" spans="2:6">
      <c r="B109" s="37">
        <v>0.35</v>
      </c>
      <c r="C109" s="38">
        <v>50.633425000000003</v>
      </c>
      <c r="D109" s="38">
        <v>47.536187499999997</v>
      </c>
      <c r="E109" s="38">
        <v>46.503774999999997</v>
      </c>
      <c r="F109" s="38">
        <v>44.438949999999998</v>
      </c>
    </row>
    <row r="110" spans="2:6">
      <c r="B110" s="37">
        <v>0.4</v>
      </c>
      <c r="C110" s="38">
        <v>81.758750000000006</v>
      </c>
      <c r="D110" s="38">
        <v>69.828649999999996</v>
      </c>
      <c r="E110" s="38">
        <v>63.863599999999998</v>
      </c>
      <c r="F110" s="38">
        <v>61.875250000000001</v>
      </c>
    </row>
    <row r="114" spans="2:6">
      <c r="B114" s="29" t="s">
        <v>589</v>
      </c>
      <c r="E114" s="40"/>
      <c r="F114" s="40"/>
    </row>
    <row r="115" spans="2:6">
      <c r="B115" s="250">
        <v>2030</v>
      </c>
      <c r="C115" s="250"/>
      <c r="D115" s="250"/>
    </row>
    <row r="116" spans="2:6">
      <c r="B116" s="31" t="s">
        <v>12</v>
      </c>
      <c r="C116" s="32" t="s">
        <v>544</v>
      </c>
      <c r="D116" s="33">
        <v>2.5199463175146799</v>
      </c>
    </row>
    <row r="117" spans="2:6" ht="15" customHeight="1"/>
    <row r="118" spans="2:6">
      <c r="B118" s="254" t="s">
        <v>580</v>
      </c>
      <c r="C118" s="255" t="s">
        <v>590</v>
      </c>
      <c r="D118" s="256"/>
      <c r="E118" s="257"/>
    </row>
    <row r="119" spans="2:6">
      <c r="B119" s="254"/>
      <c r="C119" s="258"/>
      <c r="D119" s="259"/>
      <c r="E119" s="260"/>
    </row>
    <row r="120" spans="2:6">
      <c r="B120" s="254"/>
      <c r="C120" s="261"/>
      <c r="D120" s="262"/>
      <c r="E120" s="263"/>
    </row>
    <row r="121" spans="2:6">
      <c r="B121" s="35"/>
      <c r="C121" s="36">
        <v>2030</v>
      </c>
      <c r="D121" s="36">
        <v>2040</v>
      </c>
      <c r="E121" s="36">
        <v>2050</v>
      </c>
    </row>
    <row r="122" spans="2:6">
      <c r="B122" s="37">
        <v>0.05</v>
      </c>
      <c r="C122" s="38">
        <v>37.7450035023368</v>
      </c>
      <c r="D122" s="38">
        <v>34.441080546089097</v>
      </c>
      <c r="E122" s="38">
        <v>33.383630626650501</v>
      </c>
    </row>
    <row r="123" spans="2:6">
      <c r="B123" s="37">
        <v>0.08</v>
      </c>
      <c r="C123" s="38">
        <v>37.784422625031297</v>
      </c>
      <c r="D123" s="38">
        <v>34.480499668783601</v>
      </c>
      <c r="E123" s="38">
        <v>33.423049749344997</v>
      </c>
    </row>
    <row r="124" spans="2:6">
      <c r="B124" s="37">
        <v>0.14000000000000001</v>
      </c>
      <c r="C124" s="38">
        <v>38.981778476876798</v>
      </c>
      <c r="D124" s="38">
        <v>35.677855520629002</v>
      </c>
      <c r="E124" s="38">
        <v>34.620405601190399</v>
      </c>
    </row>
    <row r="125" spans="2:6">
      <c r="B125" s="37">
        <v>0.15</v>
      </c>
      <c r="C125" s="38">
        <v>40.5693836433977</v>
      </c>
      <c r="D125" s="38">
        <v>37.008250911568403</v>
      </c>
      <c r="E125" s="38">
        <v>35.9508009921298</v>
      </c>
    </row>
    <row r="126" spans="2:6">
      <c r="B126" s="37">
        <v>0.15</v>
      </c>
      <c r="C126" s="38">
        <v>44.850300368020399</v>
      </c>
      <c r="D126" s="38">
        <v>40.452496757000297</v>
      </c>
      <c r="E126" s="38">
        <v>38.848106510175597</v>
      </c>
    </row>
    <row r="127" spans="2:6">
      <c r="B127" s="37">
        <v>0.17499999999999999</v>
      </c>
      <c r="C127" s="38">
        <v>53.226263611999997</v>
      </c>
      <c r="D127" s="38">
        <v>48.889928155752301</v>
      </c>
      <c r="E127" s="38">
        <v>45.767653236313699</v>
      </c>
    </row>
    <row r="128" spans="2:6">
      <c r="B128" s="37">
        <v>0.2</v>
      </c>
      <c r="C128" s="38">
        <v>75.518726111999996</v>
      </c>
      <c r="D128" s="38">
        <v>66.249753155752302</v>
      </c>
      <c r="E128" s="38">
        <v>63.203953236313701</v>
      </c>
    </row>
    <row r="132" spans="2:5">
      <c r="B132" s="29" t="s">
        <v>591</v>
      </c>
    </row>
    <row r="133" spans="2:5">
      <c r="B133" s="250">
        <v>2030</v>
      </c>
      <c r="C133" s="250"/>
      <c r="D133" s="250"/>
    </row>
    <row r="134" spans="2:5">
      <c r="B134" s="31" t="s">
        <v>12</v>
      </c>
      <c r="C134" s="32" t="s">
        <v>544</v>
      </c>
      <c r="D134" s="33">
        <v>1.3828372810230201</v>
      </c>
    </row>
    <row r="136" spans="2:5">
      <c r="B136" s="254" t="s">
        <v>27</v>
      </c>
      <c r="C136" s="255" t="s">
        <v>592</v>
      </c>
      <c r="D136" s="256"/>
      <c r="E136" s="257"/>
    </row>
    <row r="137" spans="2:5">
      <c r="B137" s="254"/>
      <c r="C137" s="258"/>
      <c r="D137" s="259"/>
      <c r="E137" s="260"/>
    </row>
    <row r="138" spans="2:5">
      <c r="B138" s="254"/>
      <c r="C138" s="261"/>
      <c r="D138" s="262"/>
      <c r="E138" s="263"/>
    </row>
    <row r="139" spans="2:5">
      <c r="B139" s="35"/>
      <c r="C139" s="36">
        <v>2030</v>
      </c>
      <c r="D139" s="36">
        <v>2040</v>
      </c>
      <c r="E139" s="36">
        <v>2050</v>
      </c>
    </row>
    <row r="140" spans="2:5" ht="15" customHeight="1">
      <c r="B140" s="42">
        <v>150</v>
      </c>
      <c r="C140" s="43">
        <v>41.178937715642697</v>
      </c>
      <c r="D140" s="43">
        <v>37.019172208961798</v>
      </c>
      <c r="E140" s="43">
        <v>36.134620213454902</v>
      </c>
    </row>
    <row r="141" spans="2:5">
      <c r="B141" s="42">
        <v>200</v>
      </c>
      <c r="C141" s="43">
        <v>43.755040719786798</v>
      </c>
      <c r="D141" s="43">
        <v>38.916402253684801</v>
      </c>
      <c r="E141" s="43">
        <v>37.762810393870097</v>
      </c>
    </row>
    <row r="142" spans="2:5">
      <c r="B142" s="42">
        <v>360</v>
      </c>
      <c r="C142" s="43">
        <v>50.423282228757003</v>
      </c>
      <c r="D142" s="43">
        <v>42.077599951163201</v>
      </c>
      <c r="E142" s="43">
        <v>39.285549970392502</v>
      </c>
    </row>
    <row r="146" spans="2:6">
      <c r="B146" s="297" t="s">
        <v>593</v>
      </c>
      <c r="C146" s="298"/>
      <c r="D146" s="298"/>
      <c r="E146" s="298"/>
      <c r="F146" s="299"/>
    </row>
    <row r="147" spans="2:6">
      <c r="B147" s="29" t="s">
        <v>594</v>
      </c>
    </row>
    <row r="148" spans="2:6">
      <c r="B148" s="250">
        <v>2015</v>
      </c>
      <c r="C148" s="250"/>
      <c r="D148" s="250"/>
    </row>
    <row r="149" spans="2:6">
      <c r="B149" s="31" t="s">
        <v>12</v>
      </c>
      <c r="C149" s="32" t="s">
        <v>544</v>
      </c>
      <c r="D149" s="33">
        <v>3.8618319061541899</v>
      </c>
    </row>
    <row r="150" spans="2:6">
      <c r="B150" s="31" t="s">
        <v>14</v>
      </c>
      <c r="C150" s="32" t="s">
        <v>556</v>
      </c>
      <c r="D150" s="33">
        <v>17.0208333333333</v>
      </c>
    </row>
    <row r="152" spans="2:6">
      <c r="B152" s="254" t="s">
        <v>140</v>
      </c>
      <c r="C152" s="254" t="s">
        <v>595</v>
      </c>
      <c r="D152" s="254"/>
      <c r="E152" s="254"/>
      <c r="F152" s="254"/>
    </row>
    <row r="153" spans="2:6">
      <c r="B153" s="254"/>
      <c r="C153" s="254"/>
      <c r="D153" s="254"/>
      <c r="E153" s="254"/>
      <c r="F153" s="254"/>
    </row>
    <row r="154" spans="2:6">
      <c r="B154" s="254"/>
      <c r="C154" s="254"/>
      <c r="D154" s="254"/>
      <c r="E154" s="254"/>
      <c r="F154" s="254"/>
    </row>
    <row r="155" spans="2:6">
      <c r="B155" s="35"/>
      <c r="C155" s="36">
        <v>2020</v>
      </c>
      <c r="D155" s="36">
        <v>2030</v>
      </c>
      <c r="E155" s="36">
        <v>2040</v>
      </c>
      <c r="F155" s="36">
        <v>2050</v>
      </c>
    </row>
    <row r="156" spans="2:6">
      <c r="B156" s="37">
        <v>0.05</v>
      </c>
      <c r="C156" s="38">
        <v>17.026335334096501</v>
      </c>
      <c r="D156" s="38">
        <v>17.026335334096501</v>
      </c>
      <c r="E156" s="38">
        <v>17.026335334096501</v>
      </c>
      <c r="F156" s="38">
        <v>17.026335334096501</v>
      </c>
    </row>
    <row r="157" spans="2:6">
      <c r="B157" s="37">
        <v>0.1</v>
      </c>
      <c r="C157" s="38">
        <v>17.048645598319698</v>
      </c>
      <c r="D157" s="38">
        <v>17.048645598319698</v>
      </c>
      <c r="E157" s="38">
        <v>17.048645598319698</v>
      </c>
      <c r="F157" s="38">
        <v>17.048645598319698</v>
      </c>
    </row>
    <row r="158" spans="2:6">
      <c r="B158" s="37">
        <v>0.2</v>
      </c>
      <c r="C158" s="38">
        <v>17.4834069245865</v>
      </c>
      <c r="D158" s="38">
        <v>17.441354779927099</v>
      </c>
      <c r="E158" s="38">
        <v>17.441354779927099</v>
      </c>
      <c r="F158" s="38">
        <v>17.441354779927099</v>
      </c>
    </row>
    <row r="159" spans="2:6">
      <c r="B159" s="37">
        <v>0.25</v>
      </c>
      <c r="C159" s="38">
        <v>18.487416713130902</v>
      </c>
      <c r="D159" s="38">
        <v>18.261788500854401</v>
      </c>
      <c r="E159" s="38">
        <v>18.148974394716099</v>
      </c>
      <c r="F159" s="38">
        <v>18.148974394716099</v>
      </c>
    </row>
    <row r="160" spans="2:6">
      <c r="B160" s="37">
        <v>0.3</v>
      </c>
      <c r="C160" s="38">
        <v>21.9869913692979</v>
      </c>
      <c r="D160" s="38">
        <v>21.324836964502602</v>
      </c>
      <c r="E160" s="38">
        <v>20.662682559707299</v>
      </c>
      <c r="F160" s="38">
        <v>20.331605357309702</v>
      </c>
    </row>
    <row r="161" spans="2:6">
      <c r="B161" s="37">
        <v>0.35</v>
      </c>
      <c r="C161" s="38">
        <v>28.2415575061579</v>
      </c>
      <c r="D161" s="38">
        <v>26.371436810687101</v>
      </c>
      <c r="E161" s="38">
        <v>25.748063245530201</v>
      </c>
      <c r="F161" s="38">
        <v>24.501316115216301</v>
      </c>
    </row>
    <row r="162" spans="2:6">
      <c r="B162" s="37">
        <v>0.4</v>
      </c>
      <c r="C162" s="38">
        <v>49.5208333333333</v>
      </c>
      <c r="D162" s="38">
        <v>41.720833333333303</v>
      </c>
      <c r="E162" s="38">
        <v>37.820833333333297</v>
      </c>
      <c r="F162" s="38">
        <v>36.5208333333333</v>
      </c>
    </row>
    <row r="166" spans="2:6">
      <c r="B166" s="29" t="s">
        <v>596</v>
      </c>
    </row>
    <row r="167" spans="2:6">
      <c r="B167" s="250">
        <v>2015</v>
      </c>
      <c r="C167" s="250"/>
      <c r="D167" s="250"/>
    </row>
    <row r="168" spans="2:6">
      <c r="B168" s="31" t="s">
        <v>12</v>
      </c>
      <c r="C168" s="32" t="s">
        <v>544</v>
      </c>
      <c r="D168" s="33">
        <v>4.0536099531944902</v>
      </c>
    </row>
    <row r="169" spans="2:6">
      <c r="B169" s="31" t="s">
        <v>14</v>
      </c>
      <c r="C169" s="32" t="s">
        <v>556</v>
      </c>
      <c r="D169" s="33">
        <v>20.995833333333302</v>
      </c>
    </row>
    <row r="171" spans="2:6">
      <c r="B171" s="254" t="s">
        <v>577</v>
      </c>
      <c r="C171" s="254" t="s">
        <v>597</v>
      </c>
      <c r="D171" s="254"/>
      <c r="E171" s="254"/>
      <c r="F171" s="254"/>
    </row>
    <row r="172" spans="2:6">
      <c r="B172" s="254"/>
      <c r="C172" s="254"/>
      <c r="D172" s="254"/>
      <c r="E172" s="254"/>
      <c r="F172" s="254"/>
    </row>
    <row r="173" spans="2:6">
      <c r="B173" s="254"/>
      <c r="C173" s="254"/>
      <c r="D173" s="254"/>
      <c r="E173" s="254"/>
      <c r="F173" s="254"/>
    </row>
    <row r="174" spans="2:6">
      <c r="B174" s="35"/>
      <c r="C174" s="36">
        <v>2020</v>
      </c>
      <c r="D174" s="36">
        <v>2030</v>
      </c>
      <c r="E174" s="36">
        <v>2040</v>
      </c>
      <c r="F174" s="36">
        <v>2050</v>
      </c>
    </row>
    <row r="175" spans="2:6">
      <c r="B175" s="37">
        <v>0.05</v>
      </c>
      <c r="C175" s="38">
        <v>21.001335334096499</v>
      </c>
      <c r="D175" s="38">
        <v>21.001335334096499</v>
      </c>
      <c r="E175" s="38">
        <v>21.001335334096499</v>
      </c>
      <c r="F175" s="38">
        <v>21.001335334096499</v>
      </c>
    </row>
    <row r="176" spans="2:6">
      <c r="B176" s="37">
        <v>0.1</v>
      </c>
      <c r="C176" s="38">
        <v>21.0236455983197</v>
      </c>
      <c r="D176" s="38">
        <v>21.0236455983197</v>
      </c>
      <c r="E176" s="38">
        <v>21.0236455983197</v>
      </c>
      <c r="F176" s="38">
        <v>21.0236455983197</v>
      </c>
    </row>
    <row r="177" spans="2:6">
      <c r="B177" s="37">
        <v>0.2</v>
      </c>
      <c r="C177" s="38">
        <v>21.458406924586502</v>
      </c>
      <c r="D177" s="38">
        <v>21.416354779927101</v>
      </c>
      <c r="E177" s="38">
        <v>21.416354779927101</v>
      </c>
      <c r="F177" s="38">
        <v>21.416354779927101</v>
      </c>
    </row>
    <row r="178" spans="2:6">
      <c r="B178" s="37">
        <v>0.25</v>
      </c>
      <c r="C178" s="38">
        <v>22.462416713130899</v>
      </c>
      <c r="D178" s="38">
        <v>22.236788500854399</v>
      </c>
      <c r="E178" s="38">
        <v>22.1239743947161</v>
      </c>
      <c r="F178" s="38">
        <v>22.1239743947161</v>
      </c>
    </row>
    <row r="179" spans="2:6">
      <c r="B179" s="37">
        <v>0.3</v>
      </c>
      <c r="C179" s="38">
        <v>25.961991369297898</v>
      </c>
      <c r="D179" s="38">
        <v>25.2998369645026</v>
      </c>
      <c r="E179" s="38">
        <v>24.637682559707301</v>
      </c>
      <c r="F179" s="38">
        <v>24.306605357309699</v>
      </c>
    </row>
    <row r="180" spans="2:6">
      <c r="B180" s="37">
        <v>0.35</v>
      </c>
      <c r="C180" s="38">
        <v>32.216557506157898</v>
      </c>
      <c r="D180" s="38">
        <v>30.346436810687099</v>
      </c>
      <c r="E180" s="38">
        <v>29.723063245530199</v>
      </c>
      <c r="F180" s="38">
        <v>28.476316115216299</v>
      </c>
    </row>
    <row r="181" spans="2:6">
      <c r="B181" s="37">
        <v>0.4</v>
      </c>
      <c r="C181" s="38">
        <v>53.495833333333302</v>
      </c>
      <c r="D181" s="38">
        <v>45.695833333333297</v>
      </c>
      <c r="E181" s="38">
        <v>41.795833333333299</v>
      </c>
      <c r="F181" s="38">
        <v>40.495833333333302</v>
      </c>
    </row>
    <row r="185" spans="2:6">
      <c r="B185" s="29" t="s">
        <v>598</v>
      </c>
    </row>
    <row r="186" spans="2:6">
      <c r="B186" s="250">
        <v>2030</v>
      </c>
      <c r="C186" s="250"/>
      <c r="D186" s="250"/>
    </row>
    <row r="187" spans="2:6">
      <c r="B187" s="31" t="s">
        <v>12</v>
      </c>
      <c r="C187" s="32" t="s">
        <v>544</v>
      </c>
      <c r="D187" s="33">
        <v>2.2845665699217999</v>
      </c>
    </row>
    <row r="189" spans="2:6">
      <c r="B189" s="254" t="s">
        <v>580</v>
      </c>
      <c r="C189" s="255" t="s">
        <v>599</v>
      </c>
      <c r="D189" s="256"/>
      <c r="E189" s="257"/>
    </row>
    <row r="190" spans="2:6">
      <c r="B190" s="254"/>
      <c r="C190" s="258"/>
      <c r="D190" s="259"/>
      <c r="E190" s="260"/>
    </row>
    <row r="191" spans="2:6">
      <c r="B191" s="254"/>
      <c r="C191" s="261"/>
      <c r="D191" s="262"/>
      <c r="E191" s="263"/>
    </row>
    <row r="192" spans="2:6">
      <c r="B192" s="35"/>
      <c r="C192" s="36">
        <v>2030</v>
      </c>
      <c r="D192" s="36">
        <v>2040</v>
      </c>
      <c r="E192" s="36">
        <v>2050</v>
      </c>
    </row>
    <row r="193" spans="2:5">
      <c r="B193" s="37">
        <v>0.05</v>
      </c>
      <c r="C193" s="38">
        <v>29.591411446096501</v>
      </c>
      <c r="D193" s="38">
        <v>26.287488489848698</v>
      </c>
      <c r="E193" s="38">
        <v>25.230038570410201</v>
      </c>
    </row>
    <row r="194" spans="2:5">
      <c r="B194" s="37">
        <v>0.08</v>
      </c>
      <c r="C194" s="38">
        <v>29.613721710319702</v>
      </c>
      <c r="D194" s="38">
        <v>26.309798754071899</v>
      </c>
      <c r="E194" s="38">
        <v>25.252348834633398</v>
      </c>
    </row>
    <row r="195" spans="2:5">
      <c r="B195" s="37">
        <v>0.14000000000000001</v>
      </c>
      <c r="C195" s="38">
        <v>30.006430891927099</v>
      </c>
      <c r="D195" s="38">
        <v>26.7025079356793</v>
      </c>
      <c r="E195" s="38">
        <v>25.6450580162408</v>
      </c>
    </row>
    <row r="196" spans="2:5">
      <c r="B196" s="37">
        <v>0.15</v>
      </c>
      <c r="C196" s="38">
        <v>30.826864612854401</v>
      </c>
      <c r="D196" s="38">
        <v>27.4101275504683</v>
      </c>
      <c r="E196" s="38">
        <v>26.352677631029799</v>
      </c>
    </row>
    <row r="197" spans="2:5">
      <c r="B197" s="37">
        <v>0.15</v>
      </c>
      <c r="C197" s="38">
        <v>33.889913076502602</v>
      </c>
      <c r="D197" s="38">
        <v>29.9238357154596</v>
      </c>
      <c r="E197" s="38">
        <v>28.535308593623402</v>
      </c>
    </row>
    <row r="198" spans="2:5">
      <c r="B198" s="37">
        <v>0.17499999999999999</v>
      </c>
      <c r="C198" s="38">
        <v>38.936512922687101</v>
      </c>
      <c r="D198" s="38">
        <v>35.009216401282401</v>
      </c>
      <c r="E198" s="38">
        <v>32.705019351529998</v>
      </c>
    </row>
    <row r="199" spans="2:5">
      <c r="B199" s="37">
        <v>0.2</v>
      </c>
      <c r="C199" s="38">
        <v>54.285909445333303</v>
      </c>
      <c r="D199" s="38">
        <v>47.081986489085601</v>
      </c>
      <c r="E199" s="38">
        <v>44.724536569647</v>
      </c>
    </row>
    <row r="203" spans="2:5">
      <c r="B203" s="29" t="s">
        <v>600</v>
      </c>
    </row>
    <row r="204" spans="2:5">
      <c r="B204" s="250">
        <v>2030</v>
      </c>
      <c r="C204" s="250"/>
      <c r="D204" s="250"/>
    </row>
    <row r="205" spans="2:5">
      <c r="B205" s="31" t="s">
        <v>12</v>
      </c>
      <c r="C205" s="32" t="s">
        <v>544</v>
      </c>
      <c r="D205" s="33">
        <v>1.3163546350192199</v>
      </c>
    </row>
    <row r="207" spans="2:5">
      <c r="B207" s="254" t="s">
        <v>27</v>
      </c>
      <c r="C207" s="255" t="s">
        <v>601</v>
      </c>
      <c r="D207" s="256"/>
      <c r="E207" s="257"/>
    </row>
    <row r="208" spans="2:5">
      <c r="B208" s="254"/>
      <c r="C208" s="258"/>
      <c r="D208" s="259"/>
      <c r="E208" s="260"/>
    </row>
    <row r="209" spans="2:6">
      <c r="B209" s="254"/>
      <c r="C209" s="261"/>
      <c r="D209" s="262"/>
      <c r="E209" s="263"/>
    </row>
    <row r="210" spans="2:6">
      <c r="B210" s="35"/>
      <c r="C210" s="36">
        <v>2030</v>
      </c>
      <c r="D210" s="36">
        <v>2040</v>
      </c>
      <c r="E210" s="36">
        <v>2050</v>
      </c>
    </row>
    <row r="211" spans="2:6">
      <c r="B211" s="42">
        <v>150</v>
      </c>
      <c r="C211" s="43">
        <v>33.024771048976</v>
      </c>
      <c r="D211" s="43">
        <v>28.865005542295101</v>
      </c>
      <c r="E211" s="43">
        <v>27.980453546788201</v>
      </c>
    </row>
    <row r="212" spans="2:6">
      <c r="B212" s="42">
        <v>200</v>
      </c>
      <c r="C212" s="43">
        <v>35.600874053120101</v>
      </c>
      <c r="D212" s="43">
        <v>30.7622355870181</v>
      </c>
      <c r="E212" s="43">
        <v>29.6086437272034</v>
      </c>
    </row>
    <row r="213" spans="2:6">
      <c r="B213" s="42">
        <v>360</v>
      </c>
      <c r="C213" s="43">
        <v>42.269115562090299</v>
      </c>
      <c r="D213" s="43">
        <v>33.923433284496497</v>
      </c>
      <c r="E213" s="43">
        <v>31.131383303725801</v>
      </c>
    </row>
    <row r="217" spans="2:6">
      <c r="B217" s="297" t="s">
        <v>602</v>
      </c>
      <c r="C217" s="298"/>
      <c r="D217" s="298"/>
      <c r="E217" s="298"/>
      <c r="F217" s="299"/>
    </row>
    <row r="218" spans="2:6">
      <c r="B218" s="29" t="s">
        <v>603</v>
      </c>
    </row>
    <row r="219" spans="2:6">
      <c r="B219" s="250">
        <v>2015</v>
      </c>
      <c r="C219" s="250"/>
      <c r="D219" s="250"/>
    </row>
    <row r="220" spans="2:6">
      <c r="B220" s="31" t="s">
        <v>12</v>
      </c>
      <c r="C220" s="32" t="s">
        <v>544</v>
      </c>
      <c r="D220" s="33">
        <v>6.49602034731251</v>
      </c>
    </row>
    <row r="221" spans="2:6">
      <c r="B221" s="31" t="s">
        <v>14</v>
      </c>
      <c r="C221" s="32" t="s">
        <v>556</v>
      </c>
      <c r="D221" s="33">
        <v>29.9166666666667</v>
      </c>
    </row>
    <row r="223" spans="2:6">
      <c r="B223" s="254" t="s">
        <v>140</v>
      </c>
      <c r="C223" s="254" t="s">
        <v>604</v>
      </c>
      <c r="D223" s="254"/>
      <c r="E223" s="254"/>
      <c r="F223" s="254"/>
    </row>
    <row r="224" spans="2:6">
      <c r="B224" s="254"/>
      <c r="C224" s="254"/>
      <c r="D224" s="254"/>
      <c r="E224" s="254"/>
      <c r="F224" s="254"/>
    </row>
    <row r="225" spans="2:6">
      <c r="B225" s="254"/>
      <c r="C225" s="254"/>
      <c r="D225" s="254"/>
      <c r="E225" s="254"/>
      <c r="F225" s="254"/>
    </row>
    <row r="226" spans="2:6">
      <c r="B226" s="35"/>
      <c r="C226" s="36">
        <v>2020</v>
      </c>
      <c r="D226" s="36">
        <v>2030</v>
      </c>
      <c r="E226" s="36">
        <v>2040</v>
      </c>
      <c r="F226" s="36">
        <v>2050</v>
      </c>
    </row>
    <row r="227" spans="2:6">
      <c r="B227" s="37">
        <v>0.03</v>
      </c>
      <c r="C227" s="38">
        <v>29.928434239260199</v>
      </c>
      <c r="D227" s="38">
        <v>29.928434239260199</v>
      </c>
      <c r="E227" s="38">
        <v>29.928434239260199</v>
      </c>
      <c r="F227" s="38">
        <v>29.928434239260199</v>
      </c>
    </row>
    <row r="228" spans="2:6">
      <c r="B228" s="37">
        <v>0.05</v>
      </c>
      <c r="C228" s="38">
        <v>30.081533864166701</v>
      </c>
      <c r="D228" s="38">
        <v>30.081533864166701</v>
      </c>
      <c r="E228" s="38">
        <v>30.081533864166701</v>
      </c>
      <c r="F228" s="38">
        <v>30.081533864166701</v>
      </c>
    </row>
    <row r="229" spans="2:6">
      <c r="B229" s="37">
        <v>7.0000000000000007E-2</v>
      </c>
      <c r="C229" s="38">
        <v>31.232280773730899</v>
      </c>
      <c r="D229" s="38">
        <v>31.112679491270502</v>
      </c>
      <c r="E229" s="38">
        <v>31.112679491270502</v>
      </c>
      <c r="F229" s="38">
        <v>31.112679491270502</v>
      </c>
    </row>
    <row r="230" spans="2:6">
      <c r="B230" s="37">
        <v>0.1</v>
      </c>
      <c r="C230" s="38">
        <v>32.894556497763702</v>
      </c>
      <c r="D230" s="38">
        <v>32.436419600671798</v>
      </c>
      <c r="E230" s="38">
        <v>32.207351152125902</v>
      </c>
      <c r="F230" s="38">
        <v>32.207351152125902</v>
      </c>
    </row>
    <row r="231" spans="2:6">
      <c r="B231" s="37">
        <v>0.15</v>
      </c>
      <c r="C231" s="38">
        <v>38.114905877783897</v>
      </c>
      <c r="D231" s="38">
        <v>37.021807316301597</v>
      </c>
      <c r="E231" s="38">
        <v>35.928708754819297</v>
      </c>
      <c r="F231" s="38">
        <v>35.3821594740782</v>
      </c>
    </row>
    <row r="232" spans="2:6">
      <c r="B232" s="37">
        <v>0.2</v>
      </c>
      <c r="C232" s="38">
        <v>47.196666666666701</v>
      </c>
      <c r="D232" s="38">
        <v>44.316666666666698</v>
      </c>
      <c r="E232" s="38">
        <v>43.356666666666698</v>
      </c>
      <c r="F232" s="38">
        <v>41.436666666666703</v>
      </c>
    </row>
    <row r="233" spans="2:6">
      <c r="B233" s="37">
        <v>0.25</v>
      </c>
      <c r="C233" s="38">
        <v>78.9166666666667</v>
      </c>
      <c r="D233" s="38">
        <v>67.156666666666695</v>
      </c>
      <c r="E233" s="38">
        <v>61.276666666666699</v>
      </c>
      <c r="F233" s="38">
        <v>59.316666666666698</v>
      </c>
    </row>
    <row r="237" spans="2:6">
      <c r="B237" s="29" t="s">
        <v>605</v>
      </c>
    </row>
    <row r="238" spans="2:6">
      <c r="B238" s="250">
        <v>2015</v>
      </c>
      <c r="C238" s="250"/>
      <c r="D238" s="250"/>
    </row>
    <row r="239" spans="2:6">
      <c r="B239" s="31" t="s">
        <v>12</v>
      </c>
      <c r="C239" s="32" t="s">
        <v>544</v>
      </c>
      <c r="D239" s="33">
        <v>6.81861183394774</v>
      </c>
    </row>
    <row r="240" spans="2:6">
      <c r="B240" s="31" t="s">
        <v>14</v>
      </c>
      <c r="C240" s="32" t="s">
        <v>556</v>
      </c>
      <c r="D240" s="33">
        <v>36.1041666666667</v>
      </c>
    </row>
    <row r="242" spans="2:6">
      <c r="B242" s="254" t="s">
        <v>577</v>
      </c>
      <c r="C242" s="254" t="s">
        <v>606</v>
      </c>
      <c r="D242" s="254"/>
      <c r="E242" s="254"/>
      <c r="F242" s="254"/>
    </row>
    <row r="243" spans="2:6">
      <c r="B243" s="254"/>
      <c r="C243" s="254"/>
      <c r="D243" s="254"/>
      <c r="E243" s="254"/>
      <c r="F243" s="254"/>
    </row>
    <row r="244" spans="2:6">
      <c r="B244" s="254"/>
      <c r="C244" s="254"/>
      <c r="D244" s="254"/>
      <c r="E244" s="254"/>
      <c r="F244" s="254"/>
    </row>
    <row r="245" spans="2:6">
      <c r="B245" s="35"/>
      <c r="C245" s="36">
        <v>2020</v>
      </c>
      <c r="D245" s="36">
        <v>2030</v>
      </c>
      <c r="E245" s="36">
        <v>2040</v>
      </c>
      <c r="F245" s="36">
        <v>2050</v>
      </c>
    </row>
    <row r="246" spans="2:6">
      <c r="B246" s="37">
        <v>0.03</v>
      </c>
      <c r="C246" s="38">
        <v>36.115934239260199</v>
      </c>
      <c r="D246" s="38">
        <v>36.115934239260199</v>
      </c>
      <c r="E246" s="38">
        <v>36.115934239260199</v>
      </c>
      <c r="F246" s="38">
        <v>36.115934239260199</v>
      </c>
    </row>
    <row r="247" spans="2:6">
      <c r="B247" s="37">
        <v>0.05</v>
      </c>
      <c r="C247" s="38">
        <v>36.269033864166701</v>
      </c>
      <c r="D247" s="38">
        <v>36.269033864166701</v>
      </c>
      <c r="E247" s="38">
        <v>36.269033864166701</v>
      </c>
      <c r="F247" s="38">
        <v>36.269033864166701</v>
      </c>
    </row>
    <row r="248" spans="2:6">
      <c r="B248" s="37">
        <v>7.0000000000000007E-2</v>
      </c>
      <c r="C248" s="38">
        <v>37.419780773730899</v>
      </c>
      <c r="D248" s="38">
        <v>37.300179491270498</v>
      </c>
      <c r="E248" s="38">
        <v>37.300179491270498</v>
      </c>
      <c r="F248" s="38">
        <v>37.300179491270498</v>
      </c>
    </row>
    <row r="249" spans="2:6">
      <c r="B249" s="37">
        <v>0.1</v>
      </c>
      <c r="C249" s="38">
        <v>39.082056497763702</v>
      </c>
      <c r="D249" s="38">
        <v>38.623919600671798</v>
      </c>
      <c r="E249" s="38">
        <v>38.394851152125902</v>
      </c>
      <c r="F249" s="38">
        <v>38.394851152125902</v>
      </c>
    </row>
    <row r="250" spans="2:6">
      <c r="B250" s="37">
        <v>0.15</v>
      </c>
      <c r="C250" s="38">
        <v>44.302405877783897</v>
      </c>
      <c r="D250" s="38">
        <v>43.209307316301597</v>
      </c>
      <c r="E250" s="38">
        <v>42.116208754819297</v>
      </c>
      <c r="F250" s="38">
        <v>41.5696594740782</v>
      </c>
    </row>
    <row r="251" spans="2:6">
      <c r="B251" s="37">
        <v>0.2</v>
      </c>
      <c r="C251" s="38">
        <v>53.384166666666701</v>
      </c>
      <c r="D251" s="38">
        <v>50.504166666666698</v>
      </c>
      <c r="E251" s="38">
        <v>49.544166666666698</v>
      </c>
      <c r="F251" s="38">
        <v>47.624166666666703</v>
      </c>
    </row>
    <row r="252" spans="2:6">
      <c r="B252" s="37">
        <v>0.25</v>
      </c>
      <c r="C252" s="38">
        <v>85.1041666666667</v>
      </c>
      <c r="D252" s="38">
        <v>73.344166666666695</v>
      </c>
      <c r="E252" s="38">
        <v>67.464166666666699</v>
      </c>
      <c r="F252" s="38">
        <v>65.504166666666706</v>
      </c>
    </row>
    <row r="256" spans="2:6">
      <c r="B256" s="29" t="s">
        <v>607</v>
      </c>
    </row>
    <row r="257" spans="2:5">
      <c r="B257" s="250">
        <v>2030</v>
      </c>
      <c r="C257" s="250"/>
      <c r="D257" s="250"/>
    </row>
    <row r="258" spans="2:5">
      <c r="B258" s="31" t="s">
        <v>12</v>
      </c>
      <c r="C258" s="32" t="s">
        <v>544</v>
      </c>
      <c r="D258" s="33">
        <v>3.84288888891101</v>
      </c>
    </row>
    <row r="260" spans="2:5">
      <c r="B260" s="254" t="s">
        <v>580</v>
      </c>
      <c r="C260" s="255" t="s">
        <v>608</v>
      </c>
      <c r="D260" s="256"/>
      <c r="E260" s="257"/>
    </row>
    <row r="261" spans="2:5">
      <c r="B261" s="254"/>
      <c r="C261" s="258"/>
      <c r="D261" s="259"/>
      <c r="E261" s="260"/>
    </row>
    <row r="262" spans="2:5">
      <c r="B262" s="254"/>
      <c r="C262" s="261"/>
      <c r="D262" s="262"/>
      <c r="E262" s="263"/>
    </row>
    <row r="263" spans="2:5">
      <c r="B263" s="35"/>
      <c r="C263" s="36">
        <v>2030</v>
      </c>
      <c r="D263" s="36">
        <v>2040</v>
      </c>
      <c r="E263" s="36">
        <v>2050</v>
      </c>
    </row>
    <row r="264" spans="2:5">
      <c r="B264" s="37">
        <v>0.03</v>
      </c>
      <c r="C264" s="38">
        <v>42.493510351260198</v>
      </c>
      <c r="D264" s="38">
        <v>39.189587395012502</v>
      </c>
      <c r="E264" s="38">
        <v>38.132137475573899</v>
      </c>
    </row>
    <row r="265" spans="2:5">
      <c r="B265" s="37">
        <v>0.04</v>
      </c>
      <c r="C265" s="38">
        <v>42.646609976166701</v>
      </c>
      <c r="D265" s="38">
        <v>39.342687019918898</v>
      </c>
      <c r="E265" s="38">
        <v>38.285237100480401</v>
      </c>
    </row>
    <row r="266" spans="2:5">
      <c r="B266" s="37">
        <v>4.9000000000000002E-2</v>
      </c>
      <c r="C266" s="38">
        <v>43.677755603270498</v>
      </c>
      <c r="D266" s="38">
        <v>40.373832647022802</v>
      </c>
      <c r="E266" s="38">
        <v>39.316382727584198</v>
      </c>
    </row>
    <row r="267" spans="2:5">
      <c r="B267" s="37">
        <v>0.06</v>
      </c>
      <c r="C267" s="38">
        <v>45.001495712671797</v>
      </c>
      <c r="D267" s="38">
        <v>41.468504307878199</v>
      </c>
      <c r="E267" s="38">
        <v>40.411054388439602</v>
      </c>
    </row>
    <row r="268" spans="2:5">
      <c r="B268" s="37">
        <v>7.4999999999999997E-2</v>
      </c>
      <c r="C268" s="38">
        <v>49.586883428301597</v>
      </c>
      <c r="D268" s="38">
        <v>45.189861910571601</v>
      </c>
      <c r="E268" s="38">
        <v>43.585862710391901</v>
      </c>
    </row>
    <row r="269" spans="2:5">
      <c r="B269" s="37">
        <v>0.1</v>
      </c>
      <c r="C269" s="38">
        <v>56.881742778666698</v>
      </c>
      <c r="D269" s="38">
        <v>52.617819822419001</v>
      </c>
      <c r="E269" s="38">
        <v>49.640369902980403</v>
      </c>
    </row>
    <row r="270" spans="2:5">
      <c r="B270" s="37">
        <v>0.125</v>
      </c>
      <c r="C270" s="38">
        <v>79.721742778666695</v>
      </c>
      <c r="D270" s="38">
        <v>70.537819822418996</v>
      </c>
      <c r="E270" s="38">
        <v>67.520369902980406</v>
      </c>
    </row>
    <row r="274" spans="2:5">
      <c r="B274" s="29" t="s">
        <v>609</v>
      </c>
    </row>
    <row r="275" spans="2:5">
      <c r="B275" s="250">
        <v>2030</v>
      </c>
      <c r="C275" s="250"/>
      <c r="D275" s="250"/>
    </row>
    <row r="276" spans="2:5">
      <c r="B276" s="31" t="s">
        <v>12</v>
      </c>
      <c r="C276" s="32" t="s">
        <v>544</v>
      </c>
      <c r="D276" s="33">
        <v>2.2142513452584698</v>
      </c>
    </row>
    <row r="278" spans="2:5">
      <c r="B278" s="254" t="s">
        <v>27</v>
      </c>
      <c r="C278" s="255" t="s">
        <v>610</v>
      </c>
      <c r="D278" s="256"/>
      <c r="E278" s="257"/>
    </row>
    <row r="279" spans="2:5">
      <c r="B279" s="254"/>
      <c r="C279" s="258"/>
      <c r="D279" s="259"/>
      <c r="E279" s="260"/>
    </row>
    <row r="280" spans="2:5">
      <c r="B280" s="254"/>
      <c r="C280" s="261"/>
      <c r="D280" s="262"/>
      <c r="E280" s="263"/>
    </row>
    <row r="281" spans="2:5">
      <c r="B281" s="35"/>
      <c r="C281" s="36">
        <v>2030</v>
      </c>
      <c r="D281" s="36">
        <v>2040</v>
      </c>
      <c r="E281" s="36">
        <v>2050</v>
      </c>
    </row>
    <row r="282" spans="2:5">
      <c r="B282" s="42">
        <v>150</v>
      </c>
      <c r="C282" s="43">
        <v>45.920604382309399</v>
      </c>
      <c r="D282" s="43">
        <v>41.760838875628501</v>
      </c>
      <c r="E282" s="43">
        <v>40.876286880121597</v>
      </c>
    </row>
    <row r="283" spans="2:5">
      <c r="B283" s="42">
        <v>200</v>
      </c>
      <c r="C283" s="43">
        <v>48.496707386453501</v>
      </c>
      <c r="D283" s="43">
        <v>43.658068920351504</v>
      </c>
      <c r="E283" s="43">
        <v>42.514963781574998</v>
      </c>
    </row>
    <row r="284" spans="2:5">
      <c r="B284" s="42">
        <v>360</v>
      </c>
      <c r="C284" s="43">
        <v>55.164948895423699</v>
      </c>
      <c r="D284" s="43">
        <v>46.819266617829904</v>
      </c>
      <c r="E284" s="43">
        <v>45.173999112932599</v>
      </c>
    </row>
  </sheetData>
  <mergeCells count="56">
    <mergeCell ref="K4:T13"/>
    <mergeCell ref="C100:F102"/>
    <mergeCell ref="C47:E49"/>
    <mergeCell ref="C65:E67"/>
    <mergeCell ref="C10:F12"/>
    <mergeCell ref="B25:D25"/>
    <mergeCell ref="B44:D44"/>
    <mergeCell ref="B62:D62"/>
    <mergeCell ref="B75:F75"/>
    <mergeCell ref="B77:D77"/>
    <mergeCell ref="B242:B244"/>
    <mergeCell ref="B260:B262"/>
    <mergeCell ref="B278:B280"/>
    <mergeCell ref="C136:E138"/>
    <mergeCell ref="C29:F31"/>
    <mergeCell ref="C81:F83"/>
    <mergeCell ref="C278:E280"/>
    <mergeCell ref="C223:F225"/>
    <mergeCell ref="C260:E262"/>
    <mergeCell ref="C242:F244"/>
    <mergeCell ref="C189:E191"/>
    <mergeCell ref="C171:F173"/>
    <mergeCell ref="C152:F154"/>
    <mergeCell ref="C207:E209"/>
    <mergeCell ref="C118:E120"/>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167:D167"/>
    <mergeCell ref="B186:D186"/>
    <mergeCell ref="B204:D204"/>
    <mergeCell ref="B217:F217"/>
    <mergeCell ref="B219:D219"/>
    <mergeCell ref="B96:D96"/>
    <mergeCell ref="B115:D115"/>
    <mergeCell ref="B133:D133"/>
    <mergeCell ref="B146:F146"/>
    <mergeCell ref="B148:D148"/>
    <mergeCell ref="B1:F1"/>
    <mergeCell ref="B2:F2"/>
    <mergeCell ref="B3:F3"/>
    <mergeCell ref="B4:F4"/>
    <mergeCell ref="B6:D6"/>
  </mergeCells>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W17"/>
  <sheetViews>
    <sheetView showGridLines="0" workbookViewId="0">
      <pane ySplit="2" topLeftCell="A3" activePane="bottomLeft" state="frozen"/>
      <selection pane="bottomLeft" activeCell="B2" sqref="B2"/>
    </sheetView>
  </sheetViews>
  <sheetFormatPr defaultColWidth="9" defaultRowHeight="14.25"/>
  <cols>
    <col min="1" max="1" width="7.59765625" customWidth="1"/>
    <col min="2" max="2" width="59" customWidth="1"/>
    <col min="3" max="8" width="13.33203125" customWidth="1"/>
    <col min="9" max="10" width="8.265625" customWidth="1"/>
    <col min="11" max="11" width="10.33203125" customWidth="1"/>
    <col min="12" max="17" width="8.265625" customWidth="1"/>
  </cols>
  <sheetData>
    <row r="1" spans="2:23" ht="33.75" customHeight="1">
      <c r="C1" s="245" t="s">
        <v>10</v>
      </c>
      <c r="D1" s="246"/>
      <c r="E1" s="246"/>
      <c r="F1" s="246"/>
      <c r="G1" s="246"/>
      <c r="H1" s="247"/>
    </row>
    <row r="2" spans="2:23" ht="26.25" customHeight="1">
      <c r="C2" s="300" t="s">
        <v>9</v>
      </c>
      <c r="D2" s="301"/>
      <c r="E2" s="301"/>
      <c r="F2" s="301"/>
      <c r="G2" s="301"/>
      <c r="H2" s="301"/>
      <c r="W2" s="28"/>
    </row>
    <row r="3" spans="2:23" ht="39" customHeight="1">
      <c r="B3" s="1" t="s">
        <v>611</v>
      </c>
      <c r="C3" s="302" t="s">
        <v>612</v>
      </c>
      <c r="D3" s="302">
        <v>0</v>
      </c>
      <c r="E3" s="302">
        <v>0</v>
      </c>
      <c r="F3" s="302" t="s">
        <v>613</v>
      </c>
      <c r="G3" s="302">
        <v>0</v>
      </c>
      <c r="H3" s="302">
        <v>0</v>
      </c>
    </row>
    <row r="4" spans="2:23">
      <c r="B4" s="2"/>
      <c r="C4" s="3">
        <v>2015</v>
      </c>
      <c r="D4" s="3">
        <v>2030</v>
      </c>
      <c r="E4" s="3" t="s">
        <v>614</v>
      </c>
      <c r="F4" s="3">
        <v>2015</v>
      </c>
      <c r="G4" s="3">
        <v>2030</v>
      </c>
      <c r="H4" s="3" t="s">
        <v>614</v>
      </c>
    </row>
    <row r="5" spans="2:23" ht="15.75" customHeight="1">
      <c r="B5" s="4" t="s">
        <v>615</v>
      </c>
      <c r="C5" s="5">
        <v>114</v>
      </c>
      <c r="D5" s="5">
        <v>102</v>
      </c>
      <c r="E5" s="5">
        <v>91</v>
      </c>
      <c r="F5" s="5">
        <v>0.4</v>
      </c>
      <c r="G5" s="5">
        <v>0.4</v>
      </c>
      <c r="H5" s="5">
        <v>0.4</v>
      </c>
    </row>
    <row r="6" spans="2:23" ht="15.75" customHeight="1">
      <c r="B6" s="6" t="s">
        <v>616</v>
      </c>
      <c r="C6" s="7">
        <v>761</v>
      </c>
      <c r="D6" s="7">
        <v>635</v>
      </c>
      <c r="E6" s="7">
        <v>457</v>
      </c>
      <c r="F6" s="7">
        <v>23</v>
      </c>
      <c r="G6" s="7">
        <v>23</v>
      </c>
      <c r="H6" s="7">
        <v>23</v>
      </c>
    </row>
    <row r="7" spans="2:23" ht="15.75" customHeight="1">
      <c r="B7" s="4" t="s">
        <v>617</v>
      </c>
      <c r="C7" s="5">
        <v>855</v>
      </c>
      <c r="D7" s="5">
        <v>759</v>
      </c>
      <c r="E7" s="5">
        <v>568</v>
      </c>
      <c r="F7" s="5">
        <v>1.6</v>
      </c>
      <c r="G7" s="5">
        <v>1.4</v>
      </c>
      <c r="H7" s="5">
        <v>1.1000000000000001</v>
      </c>
    </row>
    <row r="8" spans="2:23" ht="15.75" customHeight="1">
      <c r="B8" s="6" t="s">
        <v>618</v>
      </c>
      <c r="C8" s="8">
        <v>2652.5198938991998</v>
      </c>
      <c r="D8" s="8">
        <v>2279.2217522404499</v>
      </c>
      <c r="E8" s="8">
        <v>2111.7633605245101</v>
      </c>
      <c r="F8" s="8">
        <v>106.10079575596799</v>
      </c>
      <c r="G8" s="8">
        <v>91.168870089617798</v>
      </c>
      <c r="H8" s="8">
        <v>84.4705344209804</v>
      </c>
    </row>
    <row r="9" spans="2:23" ht="15.75" customHeight="1">
      <c r="B9" s="9" t="s">
        <v>619</v>
      </c>
      <c r="C9" s="10">
        <v>1666.6666666666699</v>
      </c>
      <c r="D9" s="10">
        <v>1266.9126691266899</v>
      </c>
      <c r="E9" s="10">
        <v>1190.49815498155</v>
      </c>
      <c r="F9" s="10">
        <v>66.6666666666667</v>
      </c>
      <c r="G9" s="10">
        <v>50.6765067650676</v>
      </c>
      <c r="H9" s="10">
        <v>47.619926199261997</v>
      </c>
    </row>
    <row r="10" spans="2:23" ht="15.75" customHeight="1">
      <c r="B10" s="11" t="s">
        <v>620</v>
      </c>
      <c r="C10" s="12">
        <v>1055.55555555556</v>
      </c>
      <c r="D10" s="12">
        <v>802.22222222222194</v>
      </c>
      <c r="E10" s="12">
        <v>688.22222222222194</v>
      </c>
      <c r="F10" s="12">
        <v>42.2222222222222</v>
      </c>
      <c r="G10" s="12">
        <v>32.088888888888903</v>
      </c>
      <c r="H10" s="12">
        <v>27.528888888888901</v>
      </c>
    </row>
    <row r="11" spans="2:23">
      <c r="B11" s="13" t="s">
        <v>621</v>
      </c>
      <c r="C11" s="14">
        <v>285.45454545454498</v>
      </c>
      <c r="D11" s="14">
        <v>226.06939626608201</v>
      </c>
      <c r="E11" s="14">
        <v>200.12537526323499</v>
      </c>
      <c r="F11" s="15">
        <v>4.56727272727273</v>
      </c>
      <c r="G11" s="15">
        <v>3.6171103402573199</v>
      </c>
      <c r="H11" s="15">
        <v>3.20200600421175</v>
      </c>
    </row>
    <row r="12" spans="2:23">
      <c r="B12" s="16" t="s">
        <v>622</v>
      </c>
      <c r="C12" s="17">
        <v>900</v>
      </c>
      <c r="D12" s="17">
        <v>680.37538744644405</v>
      </c>
      <c r="E12" s="17">
        <v>588.44497525210295</v>
      </c>
      <c r="F12" s="18">
        <v>10.8</v>
      </c>
      <c r="G12" s="18">
        <v>8.1645046493573297</v>
      </c>
      <c r="H12" s="18">
        <v>7.0613397030252303</v>
      </c>
    </row>
    <row r="13" spans="2:23">
      <c r="B13" s="16" t="s">
        <v>623</v>
      </c>
      <c r="C13" s="17">
        <v>600</v>
      </c>
      <c r="D13" s="17">
        <v>425.04459483856101</v>
      </c>
      <c r="E13" s="17">
        <v>354.09197421328798</v>
      </c>
      <c r="F13" s="18">
        <v>7.2</v>
      </c>
      <c r="G13" s="18">
        <v>5.10053513806273</v>
      </c>
      <c r="H13" s="18">
        <v>4.2491036905594601</v>
      </c>
    </row>
    <row r="14" spans="2:23">
      <c r="B14" s="19" t="s">
        <v>624</v>
      </c>
      <c r="C14" s="20">
        <v>657.142857142857</v>
      </c>
      <c r="D14" s="20">
        <v>470.96103183126201</v>
      </c>
      <c r="E14" s="20">
        <v>395.09210051070301</v>
      </c>
      <c r="F14" s="21">
        <v>7.8857142857142897</v>
      </c>
      <c r="G14" s="21">
        <v>5.6515323819751497</v>
      </c>
      <c r="H14" s="21">
        <v>4.74110520612843</v>
      </c>
    </row>
    <row r="15" spans="2:23">
      <c r="B15" s="22" t="s">
        <v>625</v>
      </c>
      <c r="C15" s="23">
        <v>89</v>
      </c>
      <c r="D15" s="23">
        <v>89</v>
      </c>
      <c r="E15" s="23">
        <v>89</v>
      </c>
      <c r="F15" s="24">
        <v>3.56</v>
      </c>
      <c r="G15" s="24">
        <v>3.56</v>
      </c>
      <c r="H15" s="24">
        <v>3.56</v>
      </c>
    </row>
    <row r="16" spans="2:23">
      <c r="B16" s="25" t="s">
        <v>626</v>
      </c>
      <c r="C16" s="26">
        <v>197</v>
      </c>
      <c r="D16" s="26">
        <v>197</v>
      </c>
      <c r="E16" s="26">
        <v>197</v>
      </c>
      <c r="F16" s="27">
        <v>7.88</v>
      </c>
      <c r="G16" s="27">
        <v>7.88</v>
      </c>
      <c r="H16" s="27">
        <v>7.88</v>
      </c>
    </row>
    <row r="17" spans="2:8">
      <c r="B17" s="22" t="s">
        <v>627</v>
      </c>
      <c r="C17" s="23">
        <v>120</v>
      </c>
      <c r="D17" s="23">
        <v>120</v>
      </c>
      <c r="E17" s="23">
        <v>120</v>
      </c>
      <c r="F17" s="23">
        <v>4.8</v>
      </c>
      <c r="G17" s="23">
        <v>4.8</v>
      </c>
      <c r="H17" s="23">
        <v>4.8</v>
      </c>
    </row>
  </sheetData>
  <mergeCells count="4">
    <mergeCell ref="C1:H1"/>
    <mergeCell ref="C2:H2"/>
    <mergeCell ref="C3:E3"/>
    <mergeCell ref="F3:H3"/>
  </mergeCell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2B1BA0128C8824692540477CACFD64B" ma:contentTypeVersion="0" ma:contentTypeDescription="Create a new document." ma:contentTypeScope="" ma:versionID="fa4f5b6f8053053fe6f03e10a5924fbc">
  <xsd:schema xmlns:xsd="http://www.w3.org/2001/XMLSchema" xmlns:xs="http://www.w3.org/2001/XMLSchema" xmlns:p="http://schemas.microsoft.com/office/2006/metadata/properties" targetNamespace="http://schemas.microsoft.com/office/2006/metadata/properties" ma:root="true" ma:fieldsID="bfd3152f43de3846f72b0cf37d3c8fc9">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Amit Kanudia</cp:lastModifiedBy>
  <dcterms:created xsi:type="dcterms:W3CDTF">2021-07-19T13:22:00Z</dcterms:created>
  <dcterms:modified xsi:type="dcterms:W3CDTF">2025-06-23T09:10:09Z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1033-12.2.0.21179</vt:lpwstr>
  </property>
</Properties>
</file>