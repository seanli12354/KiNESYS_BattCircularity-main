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<sst xmlns="http://schemas.openxmlformats.org/spreadsheetml/2006/main" count="7776" uniqueCount="754">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</sst>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imes New Roman"/>
      <charset val="0"/>
    </font>
    <font>
      <b/>
      <sz val="9"/>
      <name val="Tahoma"/>
      <charset val="1"/>
    </font>
    <font>
      <sz val="9"/>
      <name val="Times New Roman"/>
      <charset val="0"/>
    </font>
    <font>
      <b/>
      <sz val="9"/>
      <name val="Tahoma"/>
      <charset val="134"/>
    </font>
    <font>
      <sz val="9"/>
      <name val="Tahoma"/>
      <charset val="1"/>
    </font>
    <font>
      <sz val="9"/>
      <name val="Tahoma"/>
      <charset val="134"/>
    </font>
    <font>
      <b/>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4" zoomScaleNormal="64" workbookViewId="0">
      <selection activeCell="AA187" sqref="AA187"/>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M1" workbookViewId="0">
      <selection activeCell="N29" sqref="N29"/>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E225" workbookViewId="0">
      <selection activeCell="H28" sqref="H28"/>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H1" workbookViewId="0">
      <selection activeCell="M94" sqref="M9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46" zoomScaleNormal="46"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Q32" workbookViewId="0">
      <selection activeCell="BD81" sqref="BD81"/>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2019</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2020</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2020</v>
      </c>
    </row>
    <row r="67" spans="49:54">
      <c r="AW67" s="341" t="s">
        <v>195</v>
      </c>
      <c r="AX67" s="342"/>
      <c r="AY67" s="308" t="s">
        <v>183</v>
      </c>
      <c r="AZ67" s="308"/>
      <c r="BA67" s="344">
        <f t="shared" si="21"/>
        <v>1</v>
      </c>
      <c r="BB67">
        <v>2020</v>
      </c>
    </row>
    <row r="68" spans="49:54">
      <c r="AW68" s="341" t="s">
        <v>195</v>
      </c>
      <c r="AX68" s="342"/>
      <c r="AY68" s="308" t="s">
        <v>184</v>
      </c>
      <c r="AZ68" s="308"/>
      <c r="BA68" s="344">
        <f t="shared" si="21"/>
        <v>1</v>
      </c>
      <c r="BB68">
        <v>2020</v>
      </c>
    </row>
    <row r="69" spans="49:54">
      <c r="AW69" s="341" t="s">
        <v>195</v>
      </c>
      <c r="AX69" s="342"/>
      <c r="AY69" s="308" t="s">
        <v>182</v>
      </c>
      <c r="AZ69" s="308"/>
      <c r="BA69" s="344">
        <f t="shared" si="21"/>
        <v>1</v>
      </c>
      <c r="BB69">
        <v>2020</v>
      </c>
    </row>
    <row r="70" spans="49:54">
      <c r="AW70" s="341" t="s">
        <v>195</v>
      </c>
      <c r="AX70" s="342"/>
      <c r="AY70" s="308" t="s">
        <v>197</v>
      </c>
      <c r="AZ70" s="308"/>
      <c r="BA70" s="344">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6" zoomScaleNormal="26"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3" zoomScaleNormal="53" topLeftCell="F47" workbookViewId="0">
      <selection activeCell="M101" sqref="M101"/>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77" t="s">
        <v>222</v>
      </c>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2020</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15.7</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2020</v>
      </c>
      <c r="U24" s="202"/>
      <c r="V24" s="206" t="str">
        <f t="shared" ref="V24:V29" si="3">V14</f>
        <v>MINBatMaterials_NI</v>
      </c>
      <c r="W24" s="206" t="str">
        <f t="shared" si="2"/>
        <v>m_nickel</v>
      </c>
      <c r="X24" s="206">
        <v>20</v>
      </c>
      <c r="Y24" s="206" t="s">
        <v>327</v>
      </c>
      <c r="Z24" s="171">
        <v>15.7</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2020</v>
      </c>
      <c r="U25" s="202"/>
      <c r="V25" s="206" t="str">
        <f t="shared" si="3"/>
        <v>MINBatMaterials_COB</v>
      </c>
      <c r="W25" s="206" t="str">
        <f t="shared" si="2"/>
        <v>m_cobalt</v>
      </c>
      <c r="X25" s="206">
        <v>29.3</v>
      </c>
      <c r="Y25" s="206" t="s">
        <v>327</v>
      </c>
      <c r="Z25" s="171">
        <v>15.7</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2020</v>
      </c>
      <c r="U26" s="202"/>
      <c r="V26" s="206" t="str">
        <f t="shared" si="3"/>
        <v>MINBatMaterials_MN</v>
      </c>
      <c r="W26" s="206" t="str">
        <f t="shared" si="2"/>
        <v>m_manganese</v>
      </c>
      <c r="X26" s="206">
        <v>2</v>
      </c>
      <c r="Y26" s="206" t="s">
        <v>327</v>
      </c>
      <c r="Z26" s="171">
        <v>15.7</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2020</v>
      </c>
      <c r="U27" s="202"/>
      <c r="V27" s="206" t="str">
        <f t="shared" si="3"/>
        <v>MINBatMaterials_AL</v>
      </c>
      <c r="W27" s="206" t="str">
        <f t="shared" si="2"/>
        <v>m_aluminum</v>
      </c>
      <c r="X27" s="206">
        <v>2.5</v>
      </c>
      <c r="Y27" s="206" t="s">
        <v>327</v>
      </c>
      <c r="Z27" s="171">
        <v>15.7</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2020</v>
      </c>
      <c r="U28" s="202"/>
      <c r="V28" s="206" t="str">
        <f t="shared" si="3"/>
        <v>MINBatMaterials_COP</v>
      </c>
      <c r="W28" s="206" t="str">
        <f t="shared" si="2"/>
        <v>m_copper</v>
      </c>
      <c r="X28" s="206">
        <v>8</v>
      </c>
      <c r="Y28" s="206" t="s">
        <v>327</v>
      </c>
      <c r="Z28" s="171">
        <v>15.7</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15.7</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2019</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2019</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2019</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2019</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2019</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2019</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2019</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X87" s="277"/>
      <c r="Y87" s="277"/>
      <c r="Z87" s="277"/>
    </row>
    <row r="88" spans="2:26">
      <c r="B88" s="171" t="s">
        <v>201</v>
      </c>
      <c r="C88" s="171" t="s">
        <v>257</v>
      </c>
      <c r="F88" s="305" t="s">
        <v>324</v>
      </c>
      <c r="G88" s="305" t="s">
        <v>257</v>
      </c>
      <c r="J88" s="305" t="s">
        <v>257</v>
      </c>
      <c r="K88" s="305" t="s">
        <v>324</v>
      </c>
      <c r="L88" s="171" t="s">
        <v>377</v>
      </c>
      <c r="N88" s="277"/>
      <c r="P88" s="202"/>
      <c r="Q88" s="171" t="s">
        <v>201</v>
      </c>
      <c r="V88" s="277" t="s">
        <v>257</v>
      </c>
      <c r="W88" s="277" t="s">
        <v>322</v>
      </c>
      <c r="X88" s="277" t="s">
        <v>378</v>
      </c>
      <c r="Y88" s="277" t="s">
        <v>379</v>
      </c>
      <c r="Z88" s="277" t="s">
        <v>193</v>
      </c>
    </row>
    <row r="89" ht="14.5" spans="2:26">
      <c r="B89" s="302">
        <v>2020</v>
      </c>
      <c r="C89" s="306" t="s">
        <v>380</v>
      </c>
      <c r="F89" s="305">
        <v>3</v>
      </c>
      <c r="G89" s="307" t="s">
        <v>380</v>
      </c>
      <c r="J89" s="308" t="s">
        <v>297</v>
      </c>
      <c r="L89" s="171">
        <v>30</v>
      </c>
      <c r="N89" s="277"/>
      <c r="O89" s="308">
        <v>15.7</v>
      </c>
      <c r="P89" s="309" t="s">
        <v>381</v>
      </c>
      <c r="Q89" s="171">
        <v>2020</v>
      </c>
      <c r="V89" s="289" t="s">
        <v>297</v>
      </c>
      <c r="W89" s="289" t="s">
        <v>185</v>
      </c>
      <c r="X89" s="310">
        <v>7.5</v>
      </c>
      <c r="Y89" s="310">
        <v>35</v>
      </c>
      <c r="Z89" s="289" t="s">
        <v>327</v>
      </c>
    </row>
    <row r="90" ht="14.5" spans="2:26">
      <c r="B90" s="302">
        <v>2020</v>
      </c>
      <c r="C90" s="306" t="s">
        <v>382</v>
      </c>
      <c r="F90" s="305">
        <v>3</v>
      </c>
      <c r="G90" s="307" t="s">
        <v>382</v>
      </c>
      <c r="J90" s="308" t="s">
        <v>300</v>
      </c>
      <c r="L90" s="171">
        <v>30</v>
      </c>
      <c r="N90" s="277"/>
      <c r="O90" s="308">
        <v>15.7</v>
      </c>
      <c r="P90" s="297"/>
      <c r="Q90" s="171">
        <v>2020</v>
      </c>
      <c r="V90" s="289" t="s">
        <v>300</v>
      </c>
      <c r="W90" s="289" t="s">
        <v>186</v>
      </c>
      <c r="X90" s="310">
        <v>10</v>
      </c>
      <c r="Y90" s="310">
        <v>50</v>
      </c>
      <c r="Z90" s="289" t="s">
        <v>327</v>
      </c>
    </row>
    <row r="91" ht="14.5" spans="2:26">
      <c r="B91" s="302">
        <v>2020</v>
      </c>
      <c r="C91" s="306" t="s">
        <v>383</v>
      </c>
      <c r="F91" s="305">
        <v>3</v>
      </c>
      <c r="G91" s="307" t="s">
        <v>383</v>
      </c>
      <c r="J91" s="308" t="s">
        <v>302</v>
      </c>
      <c r="L91" s="171">
        <v>30</v>
      </c>
      <c r="N91" s="277"/>
      <c r="O91" s="308">
        <v>15.7</v>
      </c>
      <c r="P91" s="297"/>
      <c r="Q91" s="171">
        <v>2020</v>
      </c>
      <c r="V91" s="289" t="s">
        <v>302</v>
      </c>
      <c r="W91" s="289" t="s">
        <v>187</v>
      </c>
      <c r="X91" s="310">
        <v>18</v>
      </c>
      <c r="Y91" s="310">
        <v>80</v>
      </c>
      <c r="Z91" s="289" t="s">
        <v>327</v>
      </c>
    </row>
    <row r="92" ht="14.5" spans="2:26">
      <c r="B92" s="302">
        <v>2020</v>
      </c>
      <c r="C92" s="306" t="s">
        <v>384</v>
      </c>
      <c r="F92" s="305">
        <v>3</v>
      </c>
      <c r="G92" s="307" t="s">
        <v>384</v>
      </c>
      <c r="J92" s="308" t="s">
        <v>305</v>
      </c>
      <c r="L92" s="171">
        <v>30</v>
      </c>
      <c r="N92" s="277"/>
      <c r="O92" s="308">
        <v>15.7</v>
      </c>
      <c r="P92" s="297"/>
      <c r="Q92" s="171">
        <v>2020</v>
      </c>
      <c r="V92" s="289" t="s">
        <v>305</v>
      </c>
      <c r="W92" s="289" t="s">
        <v>188</v>
      </c>
      <c r="X92" s="310">
        <v>1.2</v>
      </c>
      <c r="Y92" s="310">
        <v>8</v>
      </c>
      <c r="Z92" s="289" t="s">
        <v>327</v>
      </c>
    </row>
    <row r="93" ht="14.5" spans="2:26">
      <c r="B93" s="302">
        <v>2020</v>
      </c>
      <c r="C93" s="306" t="s">
        <v>385</v>
      </c>
      <c r="F93" s="305">
        <v>3</v>
      </c>
      <c r="G93" s="307" t="s">
        <v>385</v>
      </c>
      <c r="J93" s="308" t="s">
        <v>307</v>
      </c>
      <c r="L93" s="171">
        <v>30</v>
      </c>
      <c r="N93" s="277"/>
      <c r="O93" s="308">
        <v>15.7</v>
      </c>
      <c r="P93" s="297" t="s">
        <v>386</v>
      </c>
      <c r="Q93" s="171">
        <v>2020</v>
      </c>
      <c r="V93" s="289" t="s">
        <v>307</v>
      </c>
      <c r="W93" s="289" t="s">
        <v>189</v>
      </c>
      <c r="X93" s="310">
        <v>1.5</v>
      </c>
      <c r="Y93" s="310">
        <v>10</v>
      </c>
      <c r="Z93" s="289" t="s">
        <v>327</v>
      </c>
    </row>
    <row r="94" ht="14.5" spans="2:26">
      <c r="B94" s="302">
        <v>2020</v>
      </c>
      <c r="C94" s="306" t="s">
        <v>387</v>
      </c>
      <c r="F94" s="305">
        <v>3</v>
      </c>
      <c r="G94" s="307" t="s">
        <v>387</v>
      </c>
      <c r="J94" s="308" t="s">
        <v>309</v>
      </c>
      <c r="L94" s="171">
        <v>30</v>
      </c>
      <c r="N94" s="277"/>
      <c r="O94" s="308">
        <v>15.7</v>
      </c>
      <c r="P94" s="297"/>
      <c r="Q94" s="171">
        <v>2020</v>
      </c>
      <c r="V94" s="289" t="s">
        <v>309</v>
      </c>
      <c r="W94" s="289" t="s">
        <v>190</v>
      </c>
      <c r="X94" s="310">
        <v>2.5</v>
      </c>
      <c r="Y94" s="310">
        <v>12</v>
      </c>
      <c r="Z94" s="289" t="s">
        <v>327</v>
      </c>
    </row>
    <row r="95" ht="14.5" spans="2:26">
      <c r="B95" s="302">
        <v>2020</v>
      </c>
      <c r="C95" s="306" t="s">
        <v>388</v>
      </c>
      <c r="F95" s="305">
        <v>3</v>
      </c>
      <c r="G95" s="307" t="s">
        <v>388</v>
      </c>
      <c r="J95" s="308" t="s">
        <v>311</v>
      </c>
      <c r="L95" s="171">
        <v>30</v>
      </c>
      <c r="N95" s="277"/>
      <c r="O95" s="308">
        <v>15.7</v>
      </c>
      <c r="P95" s="297"/>
      <c r="Q95" s="171">
        <v>2020</v>
      </c>
      <c r="V95" s="289" t="s">
        <v>311</v>
      </c>
      <c r="W95" s="289" t="s">
        <v>191</v>
      </c>
      <c r="X95" s="310">
        <v>0.8</v>
      </c>
      <c r="Y95" s="310">
        <v>18</v>
      </c>
      <c r="Z95" s="289" t="s">
        <v>327</v>
      </c>
    </row>
    <row r="96" ht="14.5" spans="2:26">
      <c r="B96" s="302">
        <v>2020</v>
      </c>
      <c r="C96" s="306" t="s">
        <v>389</v>
      </c>
      <c r="D96" s="192"/>
      <c r="E96" s="192"/>
      <c r="F96" s="305">
        <v>3</v>
      </c>
      <c r="G96" s="307" t="s">
        <v>389</v>
      </c>
      <c r="H96" s="192"/>
      <c r="I96" s="192"/>
      <c r="J96" s="192"/>
    </row>
    <row r="97" ht="14.5" spans="2:24">
      <c r="B97" s="302">
        <v>2020</v>
      </c>
      <c r="C97" s="306" t="s">
        <v>390</v>
      </c>
      <c r="D97" s="192"/>
      <c r="E97" s="192"/>
      <c r="F97" s="305">
        <v>3</v>
      </c>
      <c r="G97" s="307" t="s">
        <v>390</v>
      </c>
      <c r="H97" s="192"/>
      <c r="I97" s="192"/>
      <c r="J97" s="192"/>
    </row>
    <row r="98" ht="14.5" spans="2:24">
      <c r="B98" s="302">
        <v>2020</v>
      </c>
      <c r="C98" s="306" t="s">
        <v>391</v>
      </c>
      <c r="D98" s="192"/>
      <c r="E98" s="192"/>
      <c r="F98" s="305">
        <v>3</v>
      </c>
      <c r="G98" s="307" t="s">
        <v>391</v>
      </c>
      <c r="H98" s="192"/>
      <c r="I98" s="192"/>
      <c r="J98" s="192"/>
    </row>
    <row r="99" ht="14.5" spans="2:24">
      <c r="B99" s="302">
        <v>2020</v>
      </c>
      <c r="C99" s="306" t="s">
        <v>392</v>
      </c>
      <c r="D99" s="192"/>
      <c r="E99" s="192"/>
      <c r="F99" s="305">
        <v>3</v>
      </c>
      <c r="G99" s="307" t="s">
        <v>392</v>
      </c>
    </row>
    <row r="100" ht="14.5" spans="2:24">
      <c r="B100" s="302">
        <v>2020</v>
      </c>
      <c r="C100" s="306" t="s">
        <v>393</v>
      </c>
      <c r="D100" s="192"/>
      <c r="E100" s="192"/>
      <c r="F100" s="305">
        <v>3</v>
      </c>
      <c r="G100" s="307" t="s">
        <v>393</v>
      </c>
    </row>
    <row r="101" ht="14.5" spans="2:24">
      <c r="B101" s="302">
        <v>2020</v>
      </c>
      <c r="C101" s="306" t="s">
        <v>394</v>
      </c>
      <c r="D101" s="192"/>
      <c r="E101" s="192"/>
      <c r="F101" s="305">
        <v>3</v>
      </c>
      <c r="G101" s="307" t="s">
        <v>394</v>
      </c>
    </row>
    <row r="102" ht="14.5" spans="2:24">
      <c r="B102" s="302">
        <v>2020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74" zoomScaleNormal="74"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41" zoomScaleNormal="41" topLeftCell="U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1" workbookViewId="0">
      <selection activeCell="L25" sqref="L25"/>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751</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334</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335</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329</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331</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2026-08-07T04:07:48Z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