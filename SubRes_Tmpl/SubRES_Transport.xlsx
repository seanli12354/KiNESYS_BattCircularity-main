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<sst xmlns="http://schemas.openxmlformats.org/spreadsheetml/2006/main" count="7748" uniqueCount="752">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</sst>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imes New Roman"/>
      <charset val="0"/>
    </font>
    <font>
      <sz val="9"/>
      <name val="Tahoma"/>
      <charset val="134"/>
    </font>
    <font>
      <sz val="9"/>
      <name val="Times New Roman"/>
      <charset val="0"/>
    </font>
    <font>
      <b/>
      <sz val="9"/>
      <name val="Tahoma"/>
      <charset val="134"/>
    </font>
    <font>
      <sz val="9"/>
      <name val="Tahoma"/>
      <charset val="1"/>
    </font>
    <font>
      <b/>
      <sz val="9"/>
      <name val="Times New Roman"/>
      <charset val="134"/>
    </font>
    <font>
      <b/>
      <sz val="9"/>
      <name val="Tahoma"/>
      <charset val="1"/>
    </font>
  </fonts>
  <fills count="70">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9" borderId="27" applyNumberFormat="0" applyAlignment="0" applyProtection="0">
      <alignment vertical="center"/>
    </xf>
    <xf numFmtId="0" fontId="71" fillId="49" borderId="9" applyNumberFormat="0" applyAlignment="0" applyProtection="0">
      <alignment vertical="center"/>
    </xf>
    <xf numFmtId="0" fontId="72" fillId="50"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1" borderId="0" applyNumberFormat="0" applyBorder="0" applyAlignment="0" applyProtection="0">
      <alignment vertical="center"/>
    </xf>
    <xf numFmtId="0" fontId="76" fillId="52"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3" borderId="0" applyNumberFormat="0" applyBorder="0" applyAlignment="0" applyProtection="0">
      <alignment vertical="center"/>
    </xf>
    <xf numFmtId="0" fontId="77" fillId="54" borderId="0" applyNumberFormat="0" applyBorder="0" applyAlignment="0" applyProtection="0">
      <alignment vertical="center"/>
    </xf>
    <xf numFmtId="0" fontId="77" fillId="44" borderId="0" applyNumberFormat="0" applyBorder="0" applyAlignment="0" applyProtection="0">
      <alignment vertical="center"/>
    </xf>
    <xf numFmtId="0" fontId="78" fillId="55" borderId="0" applyNumberFormat="0" applyBorder="0" applyAlignment="0" applyProtection="0">
      <alignment vertical="center"/>
    </xf>
    <xf numFmtId="0" fontId="78" fillId="56" borderId="0" applyNumberFormat="0" applyBorder="0" applyAlignment="0" applyProtection="0">
      <alignment vertical="center"/>
    </xf>
    <xf numFmtId="0" fontId="77" fillId="57" borderId="0" applyNumberFormat="0" applyBorder="0" applyAlignment="0" applyProtection="0">
      <alignment vertical="center"/>
    </xf>
    <xf numFmtId="0" fontId="77"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0" fillId="13" borderId="0" applyNumberFormat="0" applyBorder="0" applyAlignment="0" applyProtection="0"/>
    <xf numFmtId="0" fontId="78" fillId="63" borderId="0" applyNumberFormat="0" applyBorder="0" applyAlignment="0" applyProtection="0">
      <alignment vertical="center"/>
    </xf>
    <xf numFmtId="0" fontId="77" fillId="64" borderId="0" applyNumberFormat="0" applyBorder="0" applyAlignment="0" applyProtection="0">
      <alignment vertical="center"/>
    </xf>
    <xf numFmtId="0" fontId="77" fillId="65"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6" borderId="0" applyNumberFormat="0" applyBorder="0" applyAlignment="0" applyProtection="0">
      <alignment vertical="center"/>
    </xf>
    <xf numFmtId="0" fontId="77" fillId="67" borderId="0" applyNumberFormat="0" applyBorder="0" applyAlignment="0" applyProtection="0">
      <alignment vertical="center"/>
    </xf>
    <xf numFmtId="0" fontId="78" fillId="23" borderId="0" applyNumberFormat="0" applyBorder="0" applyAlignment="0" applyProtection="0">
      <alignment vertical="center"/>
    </xf>
    <xf numFmtId="0" fontId="78" fillId="68" borderId="0" applyNumberFormat="0" applyBorder="0" applyAlignment="0" applyProtection="0">
      <alignment vertical="center"/>
    </xf>
    <xf numFmtId="0" fontId="77" fillId="69"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0" fillId="46" borderId="0" xfId="0" applyFont="1" applyFill="1"/>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7"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8" borderId="0" xfId="0" applyNumberFormat="1" applyFont="1" applyFill="1"/>
    <xf numFmtId="0" fontId="9" fillId="0" borderId="0" xfId="0" applyFont="1" applyAlignment="1">
      <alignment horizontal="right"/>
    </xf>
    <xf numFmtId="2" fontId="0" fillId="48" borderId="0" xfId="0" applyNumberFormat="1" applyFill="1"/>
    <xf numFmtId="1" fontId="0" fillId="27" borderId="0" xfId="0" applyNumberFormat="1" applyFill="1"/>
    <xf numFmtId="0" fontId="9" fillId="47"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8"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7"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7" customFormat="1" ht="156" customHeight="1" spans="2:6">
      <c r="B7" s="418" t="s">
        <v>8</v>
      </c>
      <c r="C7" s="419"/>
      <c r="D7" s="419"/>
      <c r="E7" s="419"/>
      <c r="F7" s="419"/>
    </row>
    <row r="9" spans="2:6">
      <c r="B9" s="420"/>
    </row>
    <row r="10" ht="15.5" spans="2:6">
      <c r="B10" s="421" t="s">
        <v>9</v>
      </c>
    </row>
    <row r="11" spans="2:6">
      <c r="B11" s="4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0.721601948104536</v>
      </c>
      <c r="C43" s="86">
        <v>20812.7133591781</v>
      </c>
      <c r="D43" s="86">
        <v>17365.3568320155</v>
      </c>
      <c r="E43" s="86">
        <v>16391.8817697786</v>
      </c>
      <c r="F43" s="86">
        <v>16107.9621769284</v>
      </c>
    </row>
    <row r="44" spans="2:6">
      <c r="B44" s="404">
        <v>0.731601948104536</v>
      </c>
      <c r="C44" s="86">
        <v>20851.3897050157</v>
      </c>
      <c r="D44" s="86">
        <v>17382.3083966418</v>
      </c>
      <c r="E44" s="86">
        <v>16398.0451175294</v>
      </c>
      <c r="F44" s="86">
        <v>16110.4092865014</v>
      </c>
    </row>
    <row r="45" spans="2:6">
      <c r="B45" s="404">
        <v>0.744101948104536</v>
      </c>
      <c r="C45" s="86">
        <v>20931.9431774786</v>
      </c>
      <c r="D45" s="86">
        <v>17404.5453307715</v>
      </c>
      <c r="E45" s="86">
        <v>16408.4434288326</v>
      </c>
      <c r="F45" s="86">
        <v>16116.8340630847</v>
      </c>
    </row>
    <row r="46" spans="2:6">
      <c r="B46" s="404">
        <v>0.754101948104536</v>
      </c>
      <c r="C46" s="86">
        <v>21037.7835001907</v>
      </c>
      <c r="D46" s="86">
        <v>17418.0069824979</v>
      </c>
      <c r="E46" s="86">
        <v>16417.1598686968</v>
      </c>
      <c r="F46" s="86">
        <v>16124.0886285498</v>
      </c>
    </row>
    <row r="47" spans="2:6">
      <c r="B47" s="404">
        <v>0.764101948104536</v>
      </c>
      <c r="C47" s="86">
        <v>21236.3171139848</v>
      </c>
      <c r="D47" s="86">
        <v>17424.2997644047</v>
      </c>
      <c r="E47" s="86">
        <v>16427.4256488727</v>
      </c>
      <c r="F47" s="86">
        <v>16136.0835188483</v>
      </c>
    </row>
    <row r="48" spans="2:6">
      <c r="B48" s="404">
        <v>0.811601948104536</v>
      </c>
      <c r="C48" s="86">
        <v>59492.3733506709</v>
      </c>
      <c r="D48" s="86">
        <v>18038.1548667216</v>
      </c>
      <c r="E48" s="86">
        <v>16838.025219281</v>
      </c>
      <c r="F48" s="86">
        <v>16485.1364888066</v>
      </c>
    </row>
    <row r="49" spans="2:6">
      <c r="B49" s="404">
        <v>0.819101948104536</v>
      </c>
      <c r="C49" s="86">
        <v>103206.415841584</v>
      </c>
      <c r="D49" s="86">
        <v>18410.7431620057</v>
      </c>
      <c r="E49" s="86">
        <v>17196.0487970128</v>
      </c>
      <c r="F49" s="86">
        <v>16848.2003984707</v>
      </c>
    </row>
    <row r="50" spans="2:6">
      <c r="B50" s="40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0.738964852080722</v>
      </c>
      <c r="C92" s="86">
        <v>23212.7756758373</v>
      </c>
      <c r="D92" s="86">
        <v>19821.2097898767</v>
      </c>
      <c r="E92" s="86">
        <v>18883.5786556431</v>
      </c>
      <c r="F92" s="86">
        <v>18610.1131502571</v>
      </c>
    </row>
    <row r="93" spans="2:6">
      <c r="B93" s="404">
        <v>0.748964852080722</v>
      </c>
      <c r="C93" s="86">
        <v>23245.1719509279</v>
      </c>
      <c r="D93" s="86">
        <v>19835.3294001618</v>
      </c>
      <c r="E93" s="86">
        <v>18887.3935814335</v>
      </c>
      <c r="F93" s="86">
        <v>18610.3188052591</v>
      </c>
    </row>
    <row r="94" spans="2:6">
      <c r="B94" s="404">
        <v>0.758964852080722</v>
      </c>
      <c r="C94" s="86">
        <v>23332.8004095118</v>
      </c>
      <c r="D94" s="86">
        <v>19856.7086648975</v>
      </c>
      <c r="E94" s="86">
        <v>18901.4352903486</v>
      </c>
      <c r="F94" s="86">
        <v>18622.1162109176</v>
      </c>
    </row>
    <row r="95" spans="2:6">
      <c r="B95" s="404">
        <v>0.768964852080722</v>
      </c>
      <c r="C95" s="86">
        <v>23598.5211216196</v>
      </c>
      <c r="D95" s="86">
        <v>19920.8585524424</v>
      </c>
      <c r="E95" s="86">
        <v>18954.9502341197</v>
      </c>
      <c r="F95" s="86">
        <v>18673.3320676582</v>
      </c>
    </row>
    <row r="96" spans="2:6">
      <c r="B96" s="404">
        <v>0.778964852080722</v>
      </c>
      <c r="C96" s="86">
        <v>24105.6371789567</v>
      </c>
      <c r="D96" s="86">
        <v>19990.4900793941</v>
      </c>
      <c r="E96" s="86">
        <v>19029.9871027869</v>
      </c>
      <c r="F96" s="86">
        <v>18752.4778030617</v>
      </c>
    </row>
    <row r="97" spans="2:6">
      <c r="B97" s="404">
        <v>0.821464852080722</v>
      </c>
      <c r="C97" s="86">
        <v>62041.5748450451</v>
      </c>
      <c r="D97" s="86">
        <v>20649.567937699</v>
      </c>
      <c r="E97" s="86">
        <v>19513.0905822758</v>
      </c>
      <c r="F97" s="86">
        <v>19185.9657397574</v>
      </c>
    </row>
    <row r="98" spans="2:6">
      <c r="B98" s="40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0.825473325119398</v>
      </c>
      <c r="C125" s="86">
        <v>38790.2507063985</v>
      </c>
      <c r="D125" s="86">
        <v>26275.8323091074</v>
      </c>
      <c r="E125" s="86">
        <v>21981.4594899507</v>
      </c>
      <c r="F125" s="86">
        <v>20924.2567986138</v>
      </c>
    </row>
    <row r="126" spans="2:6">
      <c r="B126" s="405">
        <v>0.790095896899995</v>
      </c>
      <c r="C126" s="86">
        <v>38995.3914357923</v>
      </c>
      <c r="D126" s="86">
        <v>26441.685967644</v>
      </c>
      <c r="E126" s="86">
        <v>22123.2713366406</v>
      </c>
      <c r="F126" s="86">
        <v>21062.2358926905</v>
      </c>
    </row>
    <row r="127" spans="2:6">
      <c r="B127" s="405">
        <v>0.754718468680593</v>
      </c>
      <c r="C127" s="86">
        <v>39349.3407829814</v>
      </c>
      <c r="D127" s="86">
        <v>26607.5396261806</v>
      </c>
      <c r="E127" s="86">
        <v>22265.0831833305</v>
      </c>
      <c r="F127" s="86">
        <v>21200.2149867671</v>
      </c>
    </row>
    <row r="128" spans="2:6">
      <c r="B128" s="405">
        <v>0.71934104046119</v>
      </c>
      <c r="C128" s="86">
        <v>41112.1865178866</v>
      </c>
      <c r="D128" s="86">
        <v>26773.3932847172</v>
      </c>
      <c r="E128" s="86">
        <v>22406.8950300204</v>
      </c>
      <c r="F128" s="86">
        <v>21338.1940808438</v>
      </c>
    </row>
    <row r="129" spans="2:6">
      <c r="B129" s="405">
        <v>0.688208903628116</v>
      </c>
      <c r="C129" s="86">
        <v>41503.3848501339</v>
      </c>
      <c r="D129" s="86">
        <v>27942.636601134</v>
      </c>
      <c r="E129" s="86">
        <v>22548.7068767103</v>
      </c>
      <c r="F129" s="86">
        <v>21476.1731749205</v>
      </c>
    </row>
    <row r="130" spans="2:6">
      <c r="B130" s="405">
        <v>0.666274898132086</v>
      </c>
      <c r="C130" s="86">
        <v>41725.4719857748</v>
      </c>
      <c r="D130" s="86">
        <v>28117.4747821718</v>
      </c>
      <c r="E130" s="86">
        <v>22690.5187234002</v>
      </c>
      <c r="F130" s="86">
        <v>21614.1522689971</v>
      </c>
    </row>
    <row r="131" spans="2:6">
      <c r="B131" s="405">
        <v>0.646227688807758</v>
      </c>
      <c r="C131" s="86">
        <v>41947.5591214156</v>
      </c>
      <c r="D131" s="86">
        <v>28292.3129632096</v>
      </c>
      <c r="E131" s="86">
        <v>22832.3305700901</v>
      </c>
      <c r="F131" s="86">
        <v>21752.1313630738</v>
      </c>
    </row>
    <row r="132" spans="2:6">
      <c r="B132" s="4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0.67394485824384</v>
      </c>
      <c r="C43" s="86">
        <v>46420.5894379047</v>
      </c>
      <c r="D43" s="86">
        <v>41366.3503226909</v>
      </c>
      <c r="E43" s="86">
        <v>40062.051264038</v>
      </c>
      <c r="F43" s="86">
        <v>39681.6449526152</v>
      </c>
    </row>
    <row r="44" spans="2:6">
      <c r="B44" s="404">
        <v>0.68394485824384</v>
      </c>
      <c r="C44" s="86">
        <v>46586.7153388341</v>
      </c>
      <c r="D44" s="86">
        <v>41403.0640612314</v>
      </c>
      <c r="E44" s="86">
        <v>40074.718798282</v>
      </c>
      <c r="F44" s="86">
        <v>39685.9984662329</v>
      </c>
    </row>
    <row r="45" spans="2:6">
      <c r="B45" s="404">
        <v>0.69644485824384</v>
      </c>
      <c r="C45" s="86">
        <v>46895.5549242849</v>
      </c>
      <c r="D45" s="86">
        <v>41450.0904967378</v>
      </c>
      <c r="E45" s="86">
        <v>40091.6431393694</v>
      </c>
      <c r="F45" s="86">
        <v>39692.5456257088</v>
      </c>
    </row>
    <row r="46" spans="2:6">
      <c r="B46" s="404">
        <v>0.70644485824384</v>
      </c>
      <c r="C46" s="86">
        <v>47296.9339030488</v>
      </c>
      <c r="D46" s="86">
        <v>41477.6046442004</v>
      </c>
      <c r="E46" s="86">
        <v>40099.9929086037</v>
      </c>
      <c r="F46" s="86">
        <v>39694.2190592769</v>
      </c>
    </row>
    <row r="47" spans="2:6">
      <c r="B47" s="404">
        <v>0.71644485824384</v>
      </c>
      <c r="C47" s="86">
        <v>48114.0274154616</v>
      </c>
      <c r="D47" s="86">
        <v>41493.4285240087</v>
      </c>
      <c r="E47" s="86">
        <v>40105.0232544859</v>
      </c>
      <c r="F47" s="86">
        <v>39695.4986628482</v>
      </c>
    </row>
    <row r="48" spans="2:6">
      <c r="B48" s="404">
        <v>0.76394485824384</v>
      </c>
      <c r="C48" s="86">
        <v>108321.206334626</v>
      </c>
      <c r="D48" s="86">
        <v>42684.1712265634</v>
      </c>
      <c r="E48" s="86">
        <v>40858.0547139347</v>
      </c>
      <c r="F48" s="86">
        <v>40312.2161868235</v>
      </c>
    </row>
    <row r="49" spans="2:6">
      <c r="B49" s="40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0.681174187474557</v>
      </c>
      <c r="C92" s="86">
        <v>51440.7459313854</v>
      </c>
      <c r="D92" s="86">
        <v>46706.7080184522</v>
      </c>
      <c r="E92" s="86">
        <v>45580.1340914831</v>
      </c>
      <c r="F92" s="86">
        <v>45251.5623354427</v>
      </c>
    </row>
    <row r="93" spans="2:6">
      <c r="B93" s="404">
        <v>0.691174187474557</v>
      </c>
      <c r="C93" s="86">
        <v>51577.4854864152</v>
      </c>
      <c r="D93" s="86">
        <v>46741.3895358659</v>
      </c>
      <c r="E93" s="86">
        <v>45593.9298490815</v>
      </c>
      <c r="F93" s="86">
        <v>45258.2171330664</v>
      </c>
    </row>
    <row r="94" spans="2:6">
      <c r="B94" s="404">
        <v>0.701174187474558</v>
      </c>
      <c r="C94" s="86">
        <v>51744.7385893361</v>
      </c>
      <c r="D94" s="86">
        <v>46767.8651887659</v>
      </c>
      <c r="E94" s="86">
        <v>45609.6055331491</v>
      </c>
      <c r="F94" s="86">
        <v>45270.4459129525</v>
      </c>
    </row>
    <row r="95" spans="2:6">
      <c r="B95" s="404">
        <v>0.711174187474558</v>
      </c>
      <c r="C95" s="86">
        <v>52142.2598779451</v>
      </c>
      <c r="D95" s="86">
        <v>46815.2390501714</v>
      </c>
      <c r="E95" s="86">
        <v>45655.1275196581</v>
      </c>
      <c r="F95" s="86">
        <v>45316.6087676516</v>
      </c>
    </row>
    <row r="96" spans="2:6">
      <c r="B96" s="404">
        <v>0.721174187474558</v>
      </c>
      <c r="C96" s="86">
        <v>89000.5769890931</v>
      </c>
      <c r="D96" s="86">
        <v>46947.3311112412</v>
      </c>
      <c r="E96" s="86">
        <v>45791.8210350174</v>
      </c>
      <c r="F96" s="86">
        <v>45458.8942731283</v>
      </c>
    </row>
    <row r="97" spans="2:6">
      <c r="B97" s="404">
        <v>0.763674187474558</v>
      </c>
      <c r="C97" s="86">
        <v>132026.044813868</v>
      </c>
      <c r="D97" s="86">
        <v>49050.9346681268</v>
      </c>
      <c r="E97" s="86">
        <v>47340.1327279361</v>
      </c>
      <c r="F97" s="86">
        <v>46851.3291719859</v>
      </c>
    </row>
    <row r="98" spans="2:6">
      <c r="B98" s="40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1.21127654163236</v>
      </c>
      <c r="C125" s="86">
        <v>79718.0909809694</v>
      </c>
      <c r="D125" s="86">
        <v>61463.5157484667</v>
      </c>
      <c r="E125" s="86">
        <v>52764.0624504946</v>
      </c>
      <c r="F125" s="86">
        <v>50622.4026954895</v>
      </c>
    </row>
    <row r="126" spans="2:6">
      <c r="B126" s="405">
        <v>1.15936468984812</v>
      </c>
      <c r="C126" s="86">
        <v>80087.3442938782</v>
      </c>
      <c r="D126" s="86">
        <v>61762.0523338325</v>
      </c>
      <c r="E126" s="86">
        <v>53019.3237745364</v>
      </c>
      <c r="F126" s="86">
        <v>50870.7650648275</v>
      </c>
    </row>
    <row r="127" spans="2:6">
      <c r="B127" s="405">
        <v>1.10745283806388</v>
      </c>
      <c r="C127" s="86">
        <v>80720.8345572165</v>
      </c>
      <c r="D127" s="86">
        <v>62060.5889191984</v>
      </c>
      <c r="E127" s="86">
        <v>53274.5850985782</v>
      </c>
      <c r="F127" s="86">
        <v>51119.1274341655</v>
      </c>
    </row>
    <row r="128" spans="2:6">
      <c r="B128" s="405">
        <v>1.05554098627963</v>
      </c>
      <c r="C128" s="86">
        <v>83856.4532804314</v>
      </c>
      <c r="D128" s="86">
        <v>62359.1255045642</v>
      </c>
      <c r="E128" s="86">
        <v>53529.84642262</v>
      </c>
      <c r="F128" s="86">
        <v>51367.4898035034</v>
      </c>
    </row>
    <row r="129" spans="2:6">
      <c r="B129" s="405">
        <v>1.00362913449539</v>
      </c>
      <c r="C129" s="86">
        <v>84556.5351760012</v>
      </c>
      <c r="D129" s="86">
        <v>64439.8011173345</v>
      </c>
      <c r="E129" s="86">
        <v>53785.1077466618</v>
      </c>
      <c r="F129" s="86">
        <v>51615.8521728414</v>
      </c>
    </row>
    <row r="130" spans="2:6">
      <c r="B130" s="405">
        <v>0.951717282711143</v>
      </c>
      <c r="C130" s="86">
        <v>84956.2920201548</v>
      </c>
      <c r="D130" s="86">
        <v>64754.5098432026</v>
      </c>
      <c r="E130" s="86">
        <v>54040.3690707036</v>
      </c>
      <c r="F130" s="86">
        <v>51864.2145421794</v>
      </c>
    </row>
    <row r="131" spans="2:6">
      <c r="B131" s="405">
        <v>0.899805430926899</v>
      </c>
      <c r="C131" s="86">
        <v>85356.0488643084</v>
      </c>
      <c r="D131" s="86">
        <v>65069.2185690706</v>
      </c>
      <c r="E131" s="86">
        <v>54295.6303947454</v>
      </c>
      <c r="F131" s="86">
        <v>52112.5769115174</v>
      </c>
    </row>
    <row r="132" spans="2:6">
      <c r="B132" s="4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A155" workbookViewId="0">
      <selection activeCell="R189" sqref="R189"/>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2" t="s">
        <v>9</v>
      </c>
      <c r="C2" s="373"/>
      <c r="D2" s="373"/>
      <c r="E2" s="373"/>
      <c r="F2" s="373"/>
      <c r="I2" s="355">
        <v>0.0520099378899987</v>
      </c>
      <c r="J2" s="354" t="s">
        <v>44</v>
      </c>
      <c r="Q2" t="s">
        <v>45</v>
      </c>
      <c r="R2" t="s">
        <v>46</v>
      </c>
      <c r="S2" t="str">
        <f t="shared" ref="S2:S11" si="0">"Trd_car_"&amp;Q2</f>
        <v>Trd_car_gsl-hyb</v>
      </c>
    </row>
    <row r="3" spans="2:24">
      <c r="I3" s="374">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6">
        <f>1/G12</f>
        <v>0.466052868011556</v>
      </c>
    </row>
    <row r="13" ht="15.5" spans="2:24">
      <c r="B13" s="46" t="s">
        <v>14</v>
      </c>
      <c r="C13" s="47" t="s">
        <v>15</v>
      </c>
      <c r="D13" s="68">
        <v>19114.1080717123</v>
      </c>
      <c r="I13" s="368" t="s">
        <v>70</v>
      </c>
      <c r="S13" s="407">
        <v>0.9015</v>
      </c>
    </row>
    <row r="14" spans="2:24">
      <c r="B14" s="381"/>
      <c r="C14" s="382"/>
      <c r="D14" s="383"/>
      <c r="I14" s="368"/>
    </row>
    <row r="15" ht="15.25" spans="2:24">
      <c r="B15" s="381"/>
      <c r="C15" s="382"/>
      <c r="D15" s="383"/>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2">
        <f>D13</f>
        <v>19114.1080717123</v>
      </c>
      <c r="N20" s="365"/>
      <c r="O20" s="365"/>
      <c r="P20" s="365"/>
      <c r="R20" s="361"/>
      <c r="T20" t="s">
        <v>83</v>
      </c>
      <c r="U20" t="str">
        <f t="shared" si="1"/>
        <v>Trd_car_gsl_00</v>
      </c>
      <c r="V20" t="str">
        <f ca="1" t="shared" si="2"/>
        <v>ICE medium size gasoline car -- 00%</v>
      </c>
      <c r="W20" s="363" t="s">
        <v>84</v>
      </c>
      <c r="X20" s="36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spans="2:24">
      <c r="B50" s="40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spans="2:24">
      <c r="B51" s="40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spans="2:24">
      <c r="B52" s="40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spans="2:24">
      <c r="B53" s="40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spans="2:24">
      <c r="B54" s="40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spans="2:24">
      <c r="B55" s="40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spans="2:24">
      <c r="B56" s="40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spans="2:24">
      <c r="B57" s="40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spans="2:24">
      <c r="B64" s="46" t="s">
        <v>12</v>
      </c>
      <c r="C64" s="47" t="s">
        <v>13</v>
      </c>
      <c r="D64" s="48">
        <v>4.98666897284823</v>
      </c>
      <c r="G64" s="75">
        <f>D64*$I$4/100*10^9/10^6</f>
        <v>1.89493420968233</v>
      </c>
      <c r="H64" s="75"/>
      <c r="I64" s="406">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2">
        <f>D65</f>
        <v>21914.2647910521</v>
      </c>
      <c r="N70" s="365"/>
      <c r="O70" s="365"/>
      <c r="P70" s="365"/>
      <c r="R70" s="361"/>
      <c r="U70" t="str">
        <f t="shared" si="12"/>
        <v>Trd_car_dsl_00</v>
      </c>
      <c r="V70" t="str">
        <f ca="1" t="shared" si="13"/>
        <v>ICE medium size diesel car -- 00%</v>
      </c>
      <c r="W70" s="363" t="s">
        <v>84</v>
      </c>
      <c r="X70" s="36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spans="2:24">
      <c r="B99" s="40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spans="2:24">
      <c r="B100" s="40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spans="2:24">
      <c r="B101" s="40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spans="2:24">
      <c r="B102" s="40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spans="2:24">
      <c r="B103" s="40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spans="2:24">
      <c r="B104" s="40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spans="2:24">
      <c r="B105" s="40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spans="2:24">
      <c r="B113" s="46" t="s">
        <v>12</v>
      </c>
      <c r="C113" s="47" t="s">
        <v>88</v>
      </c>
      <c r="D113" s="48">
        <v>4.32975739881566</v>
      </c>
      <c r="G113" s="75">
        <f>D113*$I$5/100*10^9/10^6</f>
        <v>2.32912687100081</v>
      </c>
      <c r="H113" s="75"/>
      <c r="I113" s="406">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2">
        <f>D114</f>
        <v>21195.1012717123</v>
      </c>
      <c r="N119" s="365"/>
      <c r="O119" s="365"/>
      <c r="P119" s="365"/>
      <c r="R119" s="361"/>
      <c r="U119" t="str">
        <f t="shared" si="27"/>
        <v>Trd_car_cng_00</v>
      </c>
      <c r="V119" t="str">
        <f ca="1" t="shared" si="28"/>
        <v>ICE medium size CNG car -- 00%</v>
      </c>
      <c r="W119" s="363" t="s">
        <v>84</v>
      </c>
      <c r="X119" s="36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spans="2:24">
      <c r="B133" s="46" t="s">
        <v>12</v>
      </c>
      <c r="C133" s="47" t="s">
        <v>13</v>
      </c>
      <c r="D133" s="48">
        <v>8.21770281816034</v>
      </c>
      <c r="G133" s="75">
        <f>D133*$I$6/100*10^9/10^6</f>
        <v>2.10291015116723</v>
      </c>
      <c r="H133" s="75"/>
      <c r="I133" s="406">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spans="2:24">
      <c r="B171" s="46" t="s">
        <v>94</v>
      </c>
      <c r="C171" s="47" t="s">
        <v>26</v>
      </c>
      <c r="D171" s="74">
        <v>0.15</v>
      </c>
      <c r="G171" s="75">
        <f>D171/3.6/100*10^9/10^6</f>
        <v>0.416666666666667</v>
      </c>
      <c r="H171" s="75"/>
      <c r="I171" s="384">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70">
        <f>IF($K177="\I:","",C177*70%)</f>
        <v>16210.3603073576</v>
      </c>
      <c r="N177" s="370">
        <f>IF($K177="\I:","",D177*70%)</f>
        <v>14526.2045637632</v>
      </c>
      <c r="O177" s="370">
        <f>IF($K177="\I:","",E177*70%)</f>
        <v>14152.2683940977</v>
      </c>
      <c r="P177" s="370">
        <f>IF($K177="\I:","",F177*70%)</f>
        <v>14022.7741759406</v>
      </c>
      <c r="R177" s="371">
        <v>0.05</v>
      </c>
      <c r="U177" t="str">
        <f t="shared" ref="U177:U199" si="40">K177</f>
        <v>Trd_car_elc_120</v>
      </c>
      <c r="V177" t="str">
        <f ca="1" t="shared" ref="V177:V184" si="41">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2">$I$171/$I$12</f>
        <v>4.29135863605588</v>
      </c>
      <c r="J178" t="str">
        <f t="shared" si="33"/>
        <v>Trd_car_elc</v>
      </c>
      <c r="K178" t="str">
        <f t="shared" ref="K178:K184" si="43">IFERROR(IF(VALUE(C178)&gt;2020,J178&amp;"_"&amp;TEXT(B178,"000"),"\I:"),"\I:")</f>
        <v>Trd_car_elc_160</v>
      </c>
      <c r="L178" t="str">
        <f t="shared" si="35"/>
        <v>Trd_car</v>
      </c>
      <c r="M178" s="370">
        <f>IF($K178="\I:","",C178*70%)</f>
        <v>17358.1373618472</v>
      </c>
      <c r="N178" s="370">
        <f>IF($K178="\I:","",D178*70%)</f>
        <v>14628.8282950728</v>
      </c>
      <c r="O178" s="370">
        <f>IF($K178="\I:","",E178*70%)</f>
        <v>14221.4159349802</v>
      </c>
      <c r="P178" s="370">
        <f>IF($K178="\I:","",F178*70%)</f>
        <v>14080.3289011022</v>
      </c>
      <c r="R178" s="371">
        <v>0.075</v>
      </c>
      <c r="U178" t="str">
        <f t="shared" si="40"/>
        <v>Trd_car_elc_160</v>
      </c>
      <c r="V178" t="str">
        <f ca="1" t="shared" si="41"/>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2"/>
        <v>4.29135863605588</v>
      </c>
      <c r="J179" t="str">
        <f t="shared" si="33"/>
        <v>Trd_car_elc</v>
      </c>
      <c r="K179" t="str">
        <f t="shared" si="43"/>
        <v>Trd_car_elc_200</v>
      </c>
      <c r="L179" t="str">
        <f t="shared" si="35"/>
        <v>Trd_car</v>
      </c>
      <c r="M179" s="370">
        <f t="shared" ref="M179:M184" si="44">IF($K179="\I:","",C179*70%)</f>
        <v>18505.9144163367</v>
      </c>
      <c r="N179" s="370">
        <f t="shared" ref="N179:N184" si="45">IF($K179="\I:","",D179*70%)</f>
        <v>14831.8922740471</v>
      </c>
      <c r="O179" s="370">
        <f t="shared" ref="O179:O184" si="46">IF($K179="\I:","",E179*70%)</f>
        <v>14358.2397924708</v>
      </c>
      <c r="P179" s="370">
        <f t="shared" ref="P179:P184" si="47">IF($K179="\I:","",F179*70%)</f>
        <v>14194.2137828051</v>
      </c>
      <c r="R179" s="371">
        <v>0.1</v>
      </c>
      <c r="U179" t="str">
        <f t="shared" si="40"/>
        <v>Trd_car_elc_200</v>
      </c>
      <c r="V179" t="str">
        <f ca="1" t="shared" si="41"/>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2"/>
        <v>4.29135863605588</v>
      </c>
      <c r="J180" t="str">
        <f t="shared" si="33"/>
        <v>Trd_car_elc</v>
      </c>
      <c r="K180" t="str">
        <f t="shared" si="43"/>
        <v>Trd_car_elc_250</v>
      </c>
      <c r="L180" t="str">
        <f t="shared" si="35"/>
        <v>Trd_car</v>
      </c>
      <c r="M180" s="370">
        <f t="shared" si="44"/>
        <v>19994.8076649869</v>
      </c>
      <c r="N180" s="370">
        <f t="shared" si="45"/>
        <v>15249.7320562558</v>
      </c>
      <c r="O180" s="370">
        <f t="shared" si="46"/>
        <v>14639.7788970607</v>
      </c>
      <c r="P180" s="370">
        <f t="shared" si="47"/>
        <v>14428.5519180468</v>
      </c>
      <c r="R180" s="371">
        <v>0.125</v>
      </c>
      <c r="U180" t="str">
        <f t="shared" si="40"/>
        <v>Trd_car_elc_250</v>
      </c>
      <c r="V180" t="str">
        <f ca="1" t="shared" si="41"/>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2"/>
        <v>4.29135863605588</v>
      </c>
      <c r="J181" t="str">
        <f t="shared" si="33"/>
        <v>Trd_car_elc</v>
      </c>
      <c r="K181" t="str">
        <f t="shared" si="43"/>
        <v>Trd_car_elc_300</v>
      </c>
      <c r="L181" t="str">
        <f t="shared" si="35"/>
        <v>Trd_car</v>
      </c>
      <c r="M181" s="370">
        <f t="shared" si="44"/>
        <v>21483.7009136371</v>
      </c>
      <c r="N181" s="370">
        <f t="shared" si="45"/>
        <v>15667.5718384645</v>
      </c>
      <c r="O181" s="370">
        <f t="shared" si="46"/>
        <v>14921.3180016505</v>
      </c>
      <c r="P181" s="370">
        <f t="shared" si="47"/>
        <v>14662.8900532884</v>
      </c>
      <c r="R181" s="371">
        <v>0.15</v>
      </c>
      <c r="U181" t="str">
        <f t="shared" si="40"/>
        <v>Trd_car_elc_300</v>
      </c>
      <c r="V181" t="str">
        <f ca="1" t="shared" si="41"/>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2"/>
        <v>4.29135863605588</v>
      </c>
      <c r="J182" t="str">
        <f t="shared" si="33"/>
        <v>Trd_car_elc</v>
      </c>
      <c r="K182" t="str">
        <f t="shared" si="43"/>
        <v>Trd_car_elc_350</v>
      </c>
      <c r="L182" t="str">
        <f t="shared" si="35"/>
        <v>Trd_car</v>
      </c>
      <c r="M182" s="370">
        <f t="shared" si="44"/>
        <v>23500.7660873647</v>
      </c>
      <c r="N182" s="370">
        <f t="shared" si="45"/>
        <v>16171.304055636</v>
      </c>
      <c r="O182" s="370">
        <f t="shared" si="46"/>
        <v>15205.9489542073</v>
      </c>
      <c r="P182" s="370">
        <f t="shared" si="47"/>
        <v>14899.8016778792</v>
      </c>
      <c r="R182" s="371">
        <v>0.175</v>
      </c>
      <c r="U182" t="str">
        <f t="shared" si="40"/>
        <v>Trd_car_elc_350</v>
      </c>
      <c r="V182" t="str">
        <f ca="1" t="shared" si="41"/>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2"/>
        <v>4.29135863605588</v>
      </c>
      <c r="J183" t="str">
        <f t="shared" si="33"/>
        <v>Trd_car_elc</v>
      </c>
      <c r="K183" t="str">
        <f t="shared" si="43"/>
        <v>Trd_car_elc_400</v>
      </c>
      <c r="L183" t="str">
        <f t="shared" si="35"/>
        <v>Trd_car</v>
      </c>
      <c r="M183" s="370">
        <f t="shared" si="44"/>
        <v>25671.3430620976</v>
      </c>
      <c r="N183" s="370">
        <f t="shared" si="45"/>
        <v>16700.3819814401</v>
      </c>
      <c r="O183" s="370">
        <f t="shared" si="46"/>
        <v>15490.5799067642</v>
      </c>
      <c r="P183" s="370">
        <f t="shared" si="47"/>
        <v>15136.7133024701</v>
      </c>
      <c r="R183" s="371">
        <v>0.2</v>
      </c>
      <c r="U183" t="str">
        <f t="shared" si="40"/>
        <v>Trd_car_elc_400</v>
      </c>
      <c r="V183" t="str">
        <f ca="1" t="shared" si="41"/>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2"/>
        <v>4.29135863605588</v>
      </c>
      <c r="J184" t="str">
        <f t="shared" si="33"/>
        <v>Trd_car_elc</v>
      </c>
      <c r="K184" t="str">
        <f t="shared" si="43"/>
        <v>Trd_car_elc_500</v>
      </c>
      <c r="L184" t="str">
        <f t="shared" si="35"/>
        <v>Trd_car</v>
      </c>
      <c r="M184" s="370">
        <f t="shared" si="44"/>
        <v>30473.0324145793</v>
      </c>
      <c r="N184" s="370">
        <f t="shared" si="45"/>
        <v>17953.8972618584</v>
      </c>
      <c r="O184" s="370">
        <f t="shared" si="46"/>
        <v>16167.0404583451</v>
      </c>
      <c r="P184" s="370">
        <f t="shared" si="47"/>
        <v>15610.5365516518</v>
      </c>
      <c r="R184" s="361"/>
      <c r="U184" t="str">
        <f t="shared" si="40"/>
        <v>Trd_car_elc_500</v>
      </c>
      <c r="V184" t="str">
        <f ca="1" t="shared" si="41"/>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0"/>
        <v>\I:</v>
      </c>
      <c r="V185" t="str">
        <f ca="1" t="shared" ref="V185:V191" si="48">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0"/>
        <v>\I:</v>
      </c>
      <c r="V186" t="str">
        <f ca="1" t="shared" si="48"/>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0"/>
        <v>\I:</v>
      </c>
      <c r="V187" t="str">
        <f ca="1" t="shared" si="48"/>
        <v>Medium size battery electric car -- 00%</v>
      </c>
      <c r="W187" s="363" t="s">
        <v>84</v>
      </c>
      <c r="X187" s="363" t="s">
        <v>85</v>
      </c>
    </row>
    <row r="188" ht="15" customHeight="1" spans="2:24">
      <c r="B188" s="362" t="s">
        <v>29</v>
      </c>
      <c r="C188" s="386" t="s">
        <v>69</v>
      </c>
      <c r="D188" s="409"/>
      <c r="E188" s="409"/>
      <c r="F188" s="410"/>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0"/>
        <v>\I:</v>
      </c>
      <c r="V188" t="str">
        <f ca="1" t="shared" si="48"/>
        <v>Medium size hydrogen fuel cell -- Energy consumption (kg H2/100km)</v>
      </c>
      <c r="W188" s="363" t="s">
        <v>84</v>
      </c>
      <c r="X188" s="363" t="s">
        <v>85</v>
      </c>
    </row>
    <row r="189" ht="15.75" customHeight="1" spans="2:24">
      <c r="B189" s="362"/>
      <c r="C189" s="411"/>
      <c r="D189" s="412"/>
      <c r="E189" s="412"/>
      <c r="F189" s="413"/>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0"/>
        <v>\I:</v>
      </c>
      <c r="V189" t="str">
        <f ca="1" t="shared" si="48"/>
        <v>Medium size hydrogen fuel cell -- 00%</v>
      </c>
      <c r="W189" s="363" t="s">
        <v>84</v>
      </c>
      <c r="X189" s="363" t="s">
        <v>85</v>
      </c>
    </row>
    <row r="190" ht="21.75" customHeight="1" spans="2:24">
      <c r="B190" s="362"/>
      <c r="C190" s="414"/>
      <c r="D190" s="415"/>
      <c r="E190" s="415"/>
      <c r="F190" s="416"/>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0"/>
        <v>\I:</v>
      </c>
      <c r="V190" t="str">
        <f ca="1" t="shared" si="48"/>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0"/>
        <v>\I:</v>
      </c>
      <c r="V191" t="str">
        <f ca="1" t="shared" si="48"/>
        <v>Medium size hydrogen fuel cell -- 00%</v>
      </c>
      <c r="W191" s="363" t="s">
        <v>84</v>
      </c>
      <c r="X191" s="363" t="s">
        <v>85</v>
      </c>
    </row>
    <row r="192" spans="2:24">
      <c r="B192" s="405">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0"/>
        <v>Trd_car_hh2_95</v>
      </c>
      <c r="V192" t="str">
        <f ca="1">OFFSET($S$1,MATCH(J192,$S$1:$S$11,0)-1,-1)&amp;" -- "&amp;TEXT(B192,"0.00")</f>
        <v>Medium size hydrogen fuel cell -- 0.95</v>
      </c>
      <c r="W192" s="363" t="s">
        <v>84</v>
      </c>
      <c r="X192" s="363" t="s">
        <v>85</v>
      </c>
    </row>
    <row r="193" spans="2:24">
      <c r="B193" s="405">
        <v>0.906159691293763</v>
      </c>
      <c r="C193" s="86">
        <v>51333.6668176655</v>
      </c>
      <c r="D193" s="86">
        <v>36060.4543841275</v>
      </c>
      <c r="E193" s="86">
        <v>30065.5019981684</v>
      </c>
      <c r="F193" s="86">
        <v>28592.3568093659</v>
      </c>
      <c r="G193" s="75">
        <f t="shared" ref="G193:G199" si="49">B193*0.12/100*10^9/10^6</f>
        <v>1.08739162955252</v>
      </c>
      <c r="H193" s="75"/>
      <c r="I193" s="357">
        <f t="shared" ref="I193:I199" si="50">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0"/>
        <v>Trd_car_hh2_91</v>
      </c>
      <c r="V193" t="str">
        <f ca="1" t="shared" ref="V193:V199" si="51">OFFSET($S$1,MATCH(J193,$S$1:$S$11,0)-1,-1)&amp;" -- "&amp;TEXT(B193,"0.00")</f>
        <v>Medium size hydrogen fuel cell -- 0.91</v>
      </c>
      <c r="W193" s="363" t="s">
        <v>84</v>
      </c>
      <c r="X193" s="363" t="s">
        <v>85</v>
      </c>
    </row>
    <row r="194" spans="2:24">
      <c r="B194" s="405">
        <v>0.865585376758221</v>
      </c>
      <c r="C194" s="86">
        <v>51791.4017053404</v>
      </c>
      <c r="D194" s="86">
        <v>36276.064140225</v>
      </c>
      <c r="E194" s="86">
        <v>30249.8573988653</v>
      </c>
      <c r="F194" s="86">
        <v>28771.7296316655</v>
      </c>
      <c r="G194" s="75">
        <f t="shared" si="49"/>
        <v>1.03870245210987</v>
      </c>
      <c r="H194" s="75"/>
      <c r="I194" s="357">
        <f t="shared" si="50"/>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0"/>
        <v>Trd_car_hh2_87</v>
      </c>
      <c r="V194" t="str">
        <f ca="1" t="shared" si="51"/>
        <v>Medium size hydrogen fuel cell -- 0.87</v>
      </c>
      <c r="W194" s="363" t="s">
        <v>84</v>
      </c>
      <c r="X194" s="363" t="s">
        <v>85</v>
      </c>
    </row>
    <row r="195" spans="2:24">
      <c r="B195" s="405">
        <v>0.82501106222268</v>
      </c>
      <c r="C195" s="86">
        <v>54058.2346435814</v>
      </c>
      <c r="D195" s="86">
        <v>36491.6738963226</v>
      </c>
      <c r="E195" s="86">
        <v>30434.2127995621</v>
      </c>
      <c r="F195" s="86">
        <v>28951.1024539652</v>
      </c>
      <c r="G195" s="75">
        <f t="shared" si="49"/>
        <v>0.990013274667216</v>
      </c>
      <c r="H195" s="75"/>
      <c r="I195" s="357">
        <f t="shared" si="50"/>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0"/>
        <v>Trd_car_hh2_83</v>
      </c>
      <c r="V195" t="str">
        <f ca="1" t="shared" si="51"/>
        <v>Medium size hydrogen fuel cell -- 0.83</v>
      </c>
      <c r="W195" s="363" t="s">
        <v>84</v>
      </c>
      <c r="X195" s="363" t="s">
        <v>85</v>
      </c>
    </row>
    <row r="196" spans="2:24">
      <c r="B196" s="405">
        <v>0.786871206559271</v>
      </c>
      <c r="C196" s="86">
        <v>54564.0905053834</v>
      </c>
      <c r="D196" s="86">
        <v>37995.8021232778</v>
      </c>
      <c r="E196" s="86">
        <v>30618.568200259</v>
      </c>
      <c r="F196" s="86">
        <v>29130.4752762648</v>
      </c>
      <c r="G196" s="75">
        <f t="shared" si="49"/>
        <v>0.944245447871125</v>
      </c>
      <c r="H196" s="75"/>
      <c r="I196" s="357">
        <f t="shared" si="50"/>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0"/>
        <v>Trd_car_hh2_79</v>
      </c>
      <c r="V196" t="str">
        <f ca="1" t="shared" si="51"/>
        <v>Medium size hydrogen fuel cell -- 0.79</v>
      </c>
      <c r="W196" s="363" t="s">
        <v>84</v>
      </c>
      <c r="X196" s="363" t="s">
        <v>85</v>
      </c>
    </row>
    <row r="197" spans="2:24">
      <c r="B197" s="405">
        <v>0.754006011785482</v>
      </c>
      <c r="C197" s="86">
        <v>54852.8037817166</v>
      </c>
      <c r="D197" s="86">
        <v>38223.0917586269</v>
      </c>
      <c r="E197" s="86">
        <v>30802.9236009559</v>
      </c>
      <c r="F197" s="86">
        <v>29309.8480985645</v>
      </c>
      <c r="G197" s="75">
        <f t="shared" si="49"/>
        <v>0.904807214142578</v>
      </c>
      <c r="H197" s="75"/>
      <c r="I197" s="357">
        <f t="shared" si="50"/>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0"/>
        <v>Trd_car_hh2_75</v>
      </c>
      <c r="V197" t="str">
        <f ca="1" t="shared" si="51"/>
        <v>Medium size hydrogen fuel cell -- 0.75</v>
      </c>
      <c r="W197" s="363" t="s">
        <v>84</v>
      </c>
      <c r="X197" s="363" t="s">
        <v>85</v>
      </c>
    </row>
    <row r="198" spans="2:24">
      <c r="B198" s="405">
        <v>0.722222798732641</v>
      </c>
      <c r="C198" s="86">
        <v>55141.5170580497</v>
      </c>
      <c r="D198" s="86">
        <v>38450.381393976</v>
      </c>
      <c r="E198" s="86">
        <v>30987.2790016527</v>
      </c>
      <c r="F198" s="86">
        <v>29489.2209208641</v>
      </c>
      <c r="G198" s="75">
        <f t="shared" si="49"/>
        <v>0.866667358479169</v>
      </c>
      <c r="H198" s="75"/>
      <c r="I198" s="357">
        <f t="shared" si="50"/>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0"/>
        <v>Trd_car_hh2_72</v>
      </c>
      <c r="V198" t="str">
        <f ca="1" t="shared" si="51"/>
        <v>Medium size hydrogen fuel cell -- 0.72</v>
      </c>
      <c r="W198" s="363" t="s">
        <v>84</v>
      </c>
      <c r="X198" s="363" t="s">
        <v>85</v>
      </c>
    </row>
    <row r="199" spans="2:24">
      <c r="B199" s="405">
        <v>0.695849494284539</v>
      </c>
      <c r="C199" s="86">
        <v>55430.2303343829</v>
      </c>
      <c r="D199" s="86">
        <v>38677.6710293252</v>
      </c>
      <c r="E199" s="86">
        <v>31171.6344023496</v>
      </c>
      <c r="F199" s="86">
        <v>29668.5937431638</v>
      </c>
      <c r="G199" s="75">
        <f t="shared" si="49"/>
        <v>0.835019393141447</v>
      </c>
      <c r="H199" s="75"/>
      <c r="I199" s="357">
        <f t="shared" si="50"/>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0"/>
        <v>Trd_car_hh2_70</v>
      </c>
      <c r="V199" t="str">
        <f ca="1" t="shared" si="51"/>
        <v>Medium size hydrogen fuel cell -- 0.70</v>
      </c>
      <c r="W199" s="363" t="s">
        <v>84</v>
      </c>
      <c r="X199" s="36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B129"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7"/>
      <c r="C3" s="398"/>
      <c r="D3" s="397"/>
      <c r="E3" s="397"/>
      <c r="F3" s="397"/>
      <c r="Q3" t="s">
        <v>48</v>
      </c>
      <c r="R3" t="s">
        <v>97</v>
      </c>
      <c r="S3" t="str">
        <f t="shared" si="0"/>
        <v>Trd_lcv_gsl-pih</v>
      </c>
    </row>
    <row r="4" spans="2:24">
      <c r="B4" s="397"/>
      <c r="C4" s="398"/>
      <c r="D4" s="397"/>
      <c r="E4" s="397"/>
      <c r="F4" s="397"/>
      <c r="Q4" t="s">
        <v>51</v>
      </c>
      <c r="R4" t="s">
        <v>98</v>
      </c>
      <c r="S4" t="str">
        <f t="shared" si="0"/>
        <v>Trd_lcv_dsl</v>
      </c>
    </row>
    <row r="5" spans="2:24">
      <c r="B5" s="397"/>
      <c r="C5" s="398"/>
      <c r="D5" s="397"/>
      <c r="E5" s="397"/>
      <c r="F5" s="397"/>
      <c r="Q5" t="s">
        <v>54</v>
      </c>
      <c r="R5" t="s">
        <v>99</v>
      </c>
      <c r="S5" t="str">
        <f t="shared" si="0"/>
        <v>Trd_lcv_dsl-hyb</v>
      </c>
    </row>
    <row r="6" spans="2:24">
      <c r="B6" s="397"/>
      <c r="C6" s="398"/>
      <c r="D6" s="397"/>
      <c r="E6" s="397"/>
      <c r="F6" s="397"/>
      <c r="Q6" t="s">
        <v>57</v>
      </c>
      <c r="R6" t="s">
        <v>100</v>
      </c>
      <c r="S6" t="str">
        <f t="shared" si="0"/>
        <v>Trd_lcv_dsl-pih</v>
      </c>
    </row>
    <row r="7" spans="2:24">
      <c r="F7" s="374">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1"/>
      <c r="C13" s="382"/>
      <c r="D13" s="383"/>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9"/>
      <c r="S16" s="400"/>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9"/>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9"/>
      <c r="S18" s="365"/>
      <c r="T18" t="s">
        <v>83</v>
      </c>
      <c r="U18" t="str">
        <f t="shared" si="1"/>
        <v>\I:</v>
      </c>
      <c r="V18" t="str">
        <f ca="1" t="shared" si="2"/>
        <v>ICE gasoline LCV -- 00%</v>
      </c>
      <c r="W18" s="363" t="s">
        <v>84</v>
      </c>
      <c r="X18" s="363" t="s">
        <v>85</v>
      </c>
    </row>
    <row r="19" spans="2:24">
      <c r="B19" s="88"/>
      <c r="C19" s="401">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2">
        <f>D12</f>
        <v>17407.9785320185</v>
      </c>
      <c r="N19" s="365"/>
      <c r="O19" s="365"/>
      <c r="P19" s="365"/>
      <c r="R19" s="399"/>
      <c r="S19" s="365"/>
      <c r="T19" t="s">
        <v>83</v>
      </c>
      <c r="U19" t="str">
        <f t="shared" si="1"/>
        <v>Trd_lcv_gsl_00</v>
      </c>
      <c r="V19" t="str">
        <f ca="1" t="shared" si="2"/>
        <v>ICE gasoline LCV -- 00%</v>
      </c>
      <c r="W19" s="363" t="s">
        <v>84</v>
      </c>
      <c r="X19" s="363" t="s">
        <v>85</v>
      </c>
    </row>
    <row r="20" spans="2:24">
      <c r="B20" s="85">
        <v>0.145560583753408</v>
      </c>
      <c r="C20" s="40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9"/>
      <c r="S20" s="365"/>
      <c r="T20" t="s">
        <v>83</v>
      </c>
      <c r="U20" t="str">
        <f t="shared" si="1"/>
        <v>Trd_lcv_gsl_15</v>
      </c>
      <c r="V20" t="str">
        <f ca="1" t="shared" si="2"/>
        <v>ICE gasoline LCV -- 15%</v>
      </c>
      <c r="W20" s="363" t="s">
        <v>84</v>
      </c>
      <c r="X20" s="363" t="s">
        <v>85</v>
      </c>
    </row>
    <row r="21" spans="2:24">
      <c r="B21" s="85">
        <v>0.245560583753408</v>
      </c>
      <c r="C21" s="40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9"/>
      <c r="S21" s="365"/>
      <c r="T21" t="s">
        <v>83</v>
      </c>
      <c r="U21" t="str">
        <f t="shared" si="1"/>
        <v>Trd_lcv_gsl_25</v>
      </c>
      <c r="V21" t="str">
        <f ca="1" t="shared" si="2"/>
        <v>ICE gasoline LCV -- 25%</v>
      </c>
      <c r="W21" s="363" t="s">
        <v>84</v>
      </c>
      <c r="X21" s="363" t="s">
        <v>85</v>
      </c>
    </row>
    <row r="22" spans="2:24">
      <c r="B22" s="85">
        <v>0.345560583753408</v>
      </c>
      <c r="C22" s="40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9"/>
      <c r="S22" s="365"/>
      <c r="T22" t="s">
        <v>83</v>
      </c>
      <c r="U22" t="str">
        <f t="shared" si="1"/>
        <v>Trd_lcv_gsl_35</v>
      </c>
      <c r="V22" t="str">
        <f ca="1" t="shared" si="2"/>
        <v>ICE gasoline LCV -- 35%</v>
      </c>
      <c r="W22" s="363" t="s">
        <v>84</v>
      </c>
      <c r="X22" s="363" t="s">
        <v>85</v>
      </c>
    </row>
    <row r="23" spans="2:24">
      <c r="B23" s="85">
        <v>0.395560583753408</v>
      </c>
      <c r="C23" s="40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9"/>
      <c r="S23" s="365"/>
      <c r="T23" t="s">
        <v>83</v>
      </c>
      <c r="U23" t="str">
        <f t="shared" si="1"/>
        <v>Trd_lcv_gsl_40</v>
      </c>
      <c r="V23" t="str">
        <f ca="1" t="shared" si="2"/>
        <v>ICE gasoline LCV -- 40%</v>
      </c>
      <c r="W23" s="363" t="s">
        <v>84</v>
      </c>
      <c r="X23" s="363" t="s">
        <v>85</v>
      </c>
    </row>
    <row r="24" spans="2:24">
      <c r="B24" s="85">
        <v>0.445560583753408</v>
      </c>
      <c r="C24" s="40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9"/>
      <c r="S24" s="365"/>
      <c r="T24" t="s">
        <v>83</v>
      </c>
      <c r="U24" t="str">
        <f t="shared" si="1"/>
        <v>Trd_lcv_gsl_45</v>
      </c>
      <c r="V24" t="str">
        <f ca="1" t="shared" si="2"/>
        <v>ICE gasoline LCV -- 45%</v>
      </c>
      <c r="W24" s="363" t="s">
        <v>84</v>
      </c>
      <c r="X24" s="363" t="s">
        <v>85</v>
      </c>
    </row>
    <row r="25" spans="2:24">
      <c r="B25" s="85">
        <v>0.495560583753408</v>
      </c>
      <c r="C25" s="40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9"/>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1">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1">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4">
        <v>0.825</v>
      </c>
      <c r="C49" s="40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4">
        <v>0.835</v>
      </c>
      <c r="C50" s="40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4">
        <v>0.8475</v>
      </c>
      <c r="C51" s="40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4">
        <v>0.8575</v>
      </c>
      <c r="C52" s="40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4">
        <v>0.8675</v>
      </c>
      <c r="C53" s="40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4">
        <v>0.915</v>
      </c>
      <c r="C54" s="40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4">
        <v>0.9225</v>
      </c>
      <c r="C55" s="40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4">
        <v>0.93</v>
      </c>
      <c r="C56" s="40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1">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2">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3"/>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1">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1">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4">
        <v>0.85</v>
      </c>
      <c r="C98" s="40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4">
        <v>0.86</v>
      </c>
      <c r="C99" s="40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4">
        <v>0.87</v>
      </c>
      <c r="C100" s="40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4">
        <v>0.88</v>
      </c>
      <c r="C101" s="40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4">
        <v>0.89</v>
      </c>
      <c r="C102" s="40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4">
        <v>0.9325</v>
      </c>
      <c r="C103" s="40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4">
        <v>0.9375</v>
      </c>
      <c r="C104" s="403"/>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1">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2">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1">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4">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1">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3">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70">
        <f>IF($K156="\I:","",C156*70%)</f>
        <v>15442.6229234745</v>
      </c>
      <c r="N156" s="370">
        <f>IF($K156="\I:","",D156*70%)</f>
        <v>13284.6139127677</v>
      </c>
      <c r="O156" s="370">
        <f>IF($K156="\I:","",E156*70%)</f>
        <v>12926.1071461279</v>
      </c>
      <c r="P156" s="370">
        <f>IF($K156="\I:","",F156*70%)</f>
        <v>12801.9561352973</v>
      </c>
      <c r="R156" s="371">
        <v>0.05</v>
      </c>
      <c r="U156" t="str">
        <f t="shared" si="34"/>
        <v>Trd_lcv_elc_120</v>
      </c>
      <c r="V156" t="str">
        <f ca="1" t="shared" ref="V156:V163" si="43">OFFSET($S$1,MATCH(J156,$S$1:$S$10,0)-1,-1)&amp;" -- "&amp;TEXT(B156,"000")</f>
        <v>Battery electric LCV -- 120</v>
      </c>
      <c r="W156" s="363" t="s">
        <v>84</v>
      </c>
      <c r="X156" s="363" t="s">
        <v>85</v>
      </c>
    </row>
    <row r="157" spans="2:24">
      <c r="B157" s="66">
        <v>160</v>
      </c>
      <c r="C157" s="403">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70">
        <f t="shared" ref="M157:M163" si="46">IF($K157="\I:","",C157*70%)</f>
        <v>16693.357530625</v>
      </c>
      <c r="N157" s="370">
        <f t="shared" ref="N157:N163" si="47">IF($K157="\I:","",D157*70%)</f>
        <v>14062.2545917648</v>
      </c>
      <c r="O157" s="370">
        <f t="shared" ref="O157:O163" si="48">IF($K157="\I:","",E157*70%)</f>
        <v>13450.0789405324</v>
      </c>
      <c r="P157" s="370">
        <f t="shared" ref="P157:P163" si="49">IF($K157="\I:","",F157*70%)</f>
        <v>13238.0823117973</v>
      </c>
      <c r="R157" s="371">
        <v>0.05</v>
      </c>
      <c r="U157" t="str">
        <f t="shared" si="34"/>
        <v>Trd_lcv_elc_160</v>
      </c>
      <c r="V157" t="str">
        <f ca="1" t="shared" si="43"/>
        <v>Battery electric LCV -- 160</v>
      </c>
      <c r="W157" s="363" t="s">
        <v>84</v>
      </c>
      <c r="X157" s="363" t="s">
        <v>85</v>
      </c>
    </row>
    <row r="158" spans="2:24">
      <c r="B158" s="66">
        <v>200</v>
      </c>
      <c r="C158" s="403">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70">
        <f t="shared" si="46"/>
        <v>17944.0921377755</v>
      </c>
      <c r="N158" s="370">
        <f t="shared" si="47"/>
        <v>14531.598388589</v>
      </c>
      <c r="O158" s="370">
        <f t="shared" si="48"/>
        <v>13766.3212849166</v>
      </c>
      <c r="P158" s="370">
        <f t="shared" si="49"/>
        <v>13501.3055730043</v>
      </c>
      <c r="R158" s="371">
        <v>0.05</v>
      </c>
      <c r="U158" t="str">
        <f t="shared" si="34"/>
        <v>Trd_lcv_elc_200</v>
      </c>
      <c r="V158" t="str">
        <f ca="1" t="shared" si="43"/>
        <v>Battery electric LCV -- 200</v>
      </c>
      <c r="W158" s="363" t="s">
        <v>84</v>
      </c>
      <c r="X158" s="363" t="s">
        <v>85</v>
      </c>
    </row>
    <row r="159" spans="2:24">
      <c r="B159" s="66">
        <v>250</v>
      </c>
      <c r="C159" s="403">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70">
        <f t="shared" si="46"/>
        <v>19563.8466582579</v>
      </c>
      <c r="N159" s="370">
        <f t="shared" si="47"/>
        <v>15173.7087553668</v>
      </c>
      <c r="O159" s="370">
        <f t="shared" si="48"/>
        <v>14198.9731898043</v>
      </c>
      <c r="P159" s="370">
        <f t="shared" si="49"/>
        <v>13861.4219438646</v>
      </c>
      <c r="R159" s="371">
        <v>0.125</v>
      </c>
      <c r="U159" t="str">
        <f t="shared" si="34"/>
        <v>Trd_lcv_elc_250</v>
      </c>
      <c r="V159" t="str">
        <f ca="1" t="shared" si="43"/>
        <v>Battery electric LCV -- 250</v>
      </c>
      <c r="W159" s="363" t="s">
        <v>84</v>
      </c>
      <c r="X159" s="363" t="s">
        <v>85</v>
      </c>
    </row>
    <row r="160" spans="2:24">
      <c r="B160" s="66">
        <v>300</v>
      </c>
      <c r="C160" s="403">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70">
        <f t="shared" si="46"/>
        <v>21183.6011787403</v>
      </c>
      <c r="N160" s="370">
        <f t="shared" si="47"/>
        <v>15815.8191221446</v>
      </c>
      <c r="O160" s="370">
        <f t="shared" si="48"/>
        <v>14631.625094692</v>
      </c>
      <c r="P160" s="370">
        <f t="shared" si="49"/>
        <v>14221.5383147249</v>
      </c>
      <c r="R160" s="371">
        <v>0.15</v>
      </c>
      <c r="U160" t="str">
        <f t="shared" si="34"/>
        <v>Trd_lcv_elc_300</v>
      </c>
      <c r="V160" t="str">
        <f ca="1" t="shared" si="43"/>
        <v>Battery electric LCV -- 300</v>
      </c>
      <c r="W160" s="363" t="s">
        <v>84</v>
      </c>
      <c r="X160" s="363" t="s">
        <v>85</v>
      </c>
    </row>
    <row r="161" spans="1:24">
      <c r="B161" s="66">
        <v>350</v>
      </c>
      <c r="C161" s="403">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70">
        <f t="shared" si="46"/>
        <v>23385.7970002485</v>
      </c>
      <c r="N161" s="370">
        <f t="shared" si="47"/>
        <v>16592.0779156143</v>
      </c>
      <c r="O161" s="370">
        <f t="shared" si="48"/>
        <v>15068.1876973149</v>
      </c>
      <c r="P161" s="370">
        <f t="shared" si="49"/>
        <v>14584.9097418094</v>
      </c>
      <c r="R161" s="371">
        <v>0.175</v>
      </c>
      <c r="U161" t="str">
        <f t="shared" si="34"/>
        <v>Trd_lcv_elc_350</v>
      </c>
      <c r="V161" t="str">
        <f ca="1" t="shared" si="43"/>
        <v>Battery electric LCV -- 350</v>
      </c>
      <c r="W161" s="363" t="s">
        <v>84</v>
      </c>
      <c r="X161" s="363" t="s">
        <v>85</v>
      </c>
    </row>
    <row r="162" spans="1:24">
      <c r="B162" s="66">
        <v>400</v>
      </c>
      <c r="C162" s="403">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70">
        <f t="shared" si="46"/>
        <v>25754.8780609177</v>
      </c>
      <c r="N162" s="370">
        <f t="shared" si="47"/>
        <v>17407.2115694129</v>
      </c>
      <c r="O162" s="370">
        <f t="shared" si="48"/>
        <v>15504.7502999379</v>
      </c>
      <c r="P162" s="370">
        <f t="shared" si="49"/>
        <v>14948.2811688939</v>
      </c>
      <c r="R162" s="371">
        <v>0.2</v>
      </c>
      <c r="U162" t="str">
        <f t="shared" si="34"/>
        <v>Trd_lcv_elc_400</v>
      </c>
      <c r="V162" t="str">
        <f ca="1" t="shared" si="43"/>
        <v>Battery electric LCV -- 400</v>
      </c>
      <c r="W162" s="363" t="s">
        <v>84</v>
      </c>
      <c r="X162" s="363" t="s">
        <v>85</v>
      </c>
    </row>
    <row r="163" spans="1:24">
      <c r="B163" s="66">
        <v>500</v>
      </c>
      <c r="C163" s="403">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70">
        <f t="shared" si="46"/>
        <v>30993.6958997396</v>
      </c>
      <c r="N163" s="370">
        <f t="shared" si="47"/>
        <v>19340.760203146</v>
      </c>
      <c r="O163" s="370">
        <f t="shared" si="48"/>
        <v>16545.5671264946</v>
      </c>
      <c r="P163" s="370">
        <f t="shared" si="49"/>
        <v>15675.0240230629</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50">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50"/>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50"/>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50"/>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50"/>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50"/>
        <v>Hydrogen fuel cell LCV -- 00%</v>
      </c>
      <c r="W169" s="363" t="s">
        <v>84</v>
      </c>
      <c r="X169" s="363" t="s">
        <v>85</v>
      </c>
    </row>
    <row r="170" spans="1:24">
      <c r="B170" s="88"/>
      <c r="C170" s="401">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50"/>
        <v>Hydrogen fuel cell LCV -- 00%</v>
      </c>
      <c r="W170" s="363" t="s">
        <v>84</v>
      </c>
      <c r="X170" s="363" t="s">
        <v>85</v>
      </c>
    </row>
    <row r="171" spans="1:24">
      <c r="A171" s="75"/>
      <c r="B171" s="405">
        <v>1.20554299239837</v>
      </c>
      <c r="C171" s="403">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5">
        <v>1.15387686415272</v>
      </c>
      <c r="C172" s="403">
        <v>46326.8277788115</v>
      </c>
      <c r="D172" s="86">
        <v>33899.2903831972</v>
      </c>
      <c r="E172" s="86">
        <v>28102.7819901918</v>
      </c>
      <c r="F172" s="86">
        <v>26680.6458603409</v>
      </c>
      <c r="G172" s="75">
        <f t="shared" ref="G172:G178" si="51">B172*0.12/100*10^9/10^6</f>
        <v>1.38465223698326</v>
      </c>
      <c r="H172" s="75"/>
      <c r="I172" s="357">
        <f t="shared" ref="I172:I178" si="52">1/G172/$I$11</f>
        <v>1.93769077347827</v>
      </c>
      <c r="J172" t="str">
        <f t="shared" si="38"/>
        <v>Trd_lcv_hh2</v>
      </c>
      <c r="K172" t="str">
        <f t="shared" ref="K172:K178" si="53">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4">OFFSET($S$1,MATCH(J172,$S$1:$S$10,0)-1,-1)&amp;" -- "&amp;TEXT(B172,"0.0")</f>
        <v>Hydrogen fuel cell LCV -- 1.2</v>
      </c>
      <c r="W172" s="363" t="s">
        <v>84</v>
      </c>
      <c r="X172" s="363" t="s">
        <v>85</v>
      </c>
    </row>
    <row r="173" spans="1:24">
      <c r="A173" s="75"/>
      <c r="B173" s="405">
        <v>1.10221073590708</v>
      </c>
      <c r="C173" s="403">
        <v>47015.1741892966</v>
      </c>
      <c r="D173" s="86">
        <v>34286.2822531159</v>
      </c>
      <c r="E173" s="86">
        <v>28433.6762991349</v>
      </c>
      <c r="F173" s="86">
        <v>27002.5970798531</v>
      </c>
      <c r="G173" s="75">
        <f t="shared" si="51"/>
        <v>1.3226528830885</v>
      </c>
      <c r="H173" s="75"/>
      <c r="I173" s="357">
        <f t="shared" si="52"/>
        <v>2.02852002848505</v>
      </c>
      <c r="J173" t="str">
        <f t="shared" si="38"/>
        <v>Trd_lcv_hh2</v>
      </c>
      <c r="K173" t="str">
        <f t="shared" si="53"/>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4"/>
        <v>Hydrogen fuel cell LCV -- 1.1</v>
      </c>
      <c r="W173" s="363" t="s">
        <v>84</v>
      </c>
      <c r="X173" s="363" t="s">
        <v>85</v>
      </c>
    </row>
    <row r="174" spans="1:24">
      <c r="A174" s="75"/>
      <c r="B174" s="405">
        <v>1.05054460766144</v>
      </c>
      <c r="C174" s="403">
        <v>49703.0325829883</v>
      </c>
      <c r="D174" s="86">
        <v>34673.2741230346</v>
      </c>
      <c r="E174" s="86">
        <v>28764.570608078</v>
      </c>
      <c r="F174" s="86">
        <v>27324.5482993653</v>
      </c>
      <c r="G174" s="75">
        <f t="shared" si="51"/>
        <v>1.26065352919373</v>
      </c>
      <c r="H174" s="75"/>
      <c r="I174" s="357">
        <f t="shared" si="52"/>
        <v>2.12828330857447</v>
      </c>
      <c r="J174" t="str">
        <f t="shared" si="38"/>
        <v>Trd_lcv_hh2</v>
      </c>
      <c r="K174" t="str">
        <f t="shared" si="53"/>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4"/>
        <v>Hydrogen fuel cell LCV -- 1.1</v>
      </c>
      <c r="W174" s="363" t="s">
        <v>84</v>
      </c>
      <c r="X174" s="363" t="s">
        <v>85</v>
      </c>
    </row>
    <row r="175" spans="1:24">
      <c r="A175" s="75"/>
      <c r="B175" s="405">
        <v>0.998878479415791</v>
      </c>
      <c r="C175" s="403">
        <v>50460.9409463544</v>
      </c>
      <c r="D175" s="86">
        <v>36490.73991933</v>
      </c>
      <c r="E175" s="86">
        <v>29095.4649170211</v>
      </c>
      <c r="F175" s="86">
        <v>27646.4995188775</v>
      </c>
      <c r="G175" s="75">
        <f t="shared" si="51"/>
        <v>1.19865417529895</v>
      </c>
      <c r="H175" s="75"/>
      <c r="I175" s="357">
        <f t="shared" si="52"/>
        <v>2.23836692798351</v>
      </c>
      <c r="J175" t="str">
        <f t="shared" si="38"/>
        <v>Trd_lcv_hh2</v>
      </c>
      <c r="K175" t="str">
        <f t="shared" si="53"/>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4"/>
        <v>Hydrogen fuel cell LCV -- 1.0</v>
      </c>
      <c r="W175" s="363" t="s">
        <v>84</v>
      </c>
      <c r="X175" s="363" t="s">
        <v>85</v>
      </c>
    </row>
    <row r="176" spans="1:24">
      <c r="A176" s="75"/>
      <c r="B176" s="405">
        <v>0.947212351170146</v>
      </c>
      <c r="C176" s="403">
        <v>50979.1442628498</v>
      </c>
      <c r="D176" s="86">
        <v>36898.6956750849</v>
      </c>
      <c r="E176" s="86">
        <v>29426.3592259642</v>
      </c>
      <c r="F176" s="86">
        <v>27968.4507383897</v>
      </c>
      <c r="G176" s="75">
        <f t="shared" si="51"/>
        <v>1.13665482140418</v>
      </c>
      <c r="H176" s="75"/>
      <c r="I176" s="357">
        <f t="shared" si="52"/>
        <v>2.36045966950988</v>
      </c>
      <c r="J176" t="str">
        <f t="shared" si="38"/>
        <v>Trd_lcv_hh2</v>
      </c>
      <c r="K176" t="str">
        <f t="shared" si="53"/>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4"/>
        <v>Hydrogen fuel cell LCV -- 0.9</v>
      </c>
      <c r="W176" s="363" t="s">
        <v>84</v>
      </c>
      <c r="X176" s="363" t="s">
        <v>85</v>
      </c>
    </row>
    <row r="177" ht="15.75" customHeight="1" spans="1:24">
      <c r="A177" s="75"/>
      <c r="B177" s="405">
        <v>0.895546222924502</v>
      </c>
      <c r="C177" s="403">
        <v>51497.3475793452</v>
      </c>
      <c r="D177" s="86">
        <v>37306.6514308397</v>
      </c>
      <c r="E177" s="86">
        <v>29757.2535349073</v>
      </c>
      <c r="F177" s="86">
        <v>28290.4019579018</v>
      </c>
      <c r="G177" s="75">
        <f t="shared" si="51"/>
        <v>1.0746554675094</v>
      </c>
      <c r="H177" s="75"/>
      <c r="I177" s="357">
        <f t="shared" si="52"/>
        <v>2.49664003505853</v>
      </c>
      <c r="J177" t="str">
        <f t="shared" si="38"/>
        <v>Trd_lcv_hh2</v>
      </c>
      <c r="K177" t="str">
        <f t="shared" si="53"/>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4"/>
        <v>Hydrogen fuel cell LCV -- 0.9</v>
      </c>
      <c r="W177" s="363" t="s">
        <v>84</v>
      </c>
      <c r="X177" s="363" t="s">
        <v>85</v>
      </c>
    </row>
    <row r="178" ht="15.75" customHeight="1" spans="1:24">
      <c r="A178" s="75"/>
      <c r="B178" s="405">
        <v>0.843880094678858</v>
      </c>
      <c r="C178" s="403">
        <v>52015.5508958406</v>
      </c>
      <c r="D178" s="86">
        <v>37714.6071865946</v>
      </c>
      <c r="E178" s="86">
        <v>30088.1478438504</v>
      </c>
      <c r="F178" s="86">
        <v>28612.3531774141</v>
      </c>
      <c r="G178" s="75">
        <f t="shared" si="51"/>
        <v>1.01265611361463</v>
      </c>
      <c r="H178" s="75"/>
      <c r="I178" s="357">
        <f t="shared" si="52"/>
        <v>2.64949554740905</v>
      </c>
      <c r="J178" t="str">
        <f t="shared" si="38"/>
        <v>Trd_lcv_hh2</v>
      </c>
      <c r="K178" t="str">
        <f t="shared" si="53"/>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4"/>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8"/>
      <c r="E1" s="378"/>
      <c r="F1" s="379"/>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80" t="s">
        <v>112</v>
      </c>
      <c r="C3" s="352"/>
      <c r="D3" s="352"/>
      <c r="E3" s="352"/>
      <c r="F3" s="353"/>
      <c r="I3" s="374">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1"/>
      <c r="C9" s="382"/>
      <c r="D9" s="383"/>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5" t="s">
        <v>119</v>
      </c>
      <c r="C12" s="362" t="s">
        <v>110</v>
      </c>
      <c r="D12" s="375"/>
      <c r="E12" s="375"/>
      <c r="F12" s="37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5"/>
      <c r="C13" s="362"/>
      <c r="D13" s="375"/>
      <c r="E13" s="375"/>
      <c r="F13" s="3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5"/>
      <c r="C14" s="362"/>
      <c r="D14" s="375"/>
      <c r="E14" s="375"/>
      <c r="F14" s="375"/>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5" t="s">
        <v>119</v>
      </c>
      <c r="C26" s="362" t="s">
        <v>111</v>
      </c>
      <c r="D26" s="375"/>
      <c r="E26" s="375"/>
      <c r="F26" s="375"/>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5"/>
      <c r="C27" s="362"/>
      <c r="D27" s="375"/>
      <c r="E27" s="375"/>
      <c r="F27" s="375"/>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5"/>
      <c r="C28" s="362"/>
      <c r="D28" s="375"/>
      <c r="E28" s="375"/>
      <c r="F28" s="375"/>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5" t="s">
        <v>121</v>
      </c>
      <c r="C47" s="362" t="s">
        <v>114</v>
      </c>
      <c r="D47" s="375"/>
      <c r="E47" s="375"/>
      <c r="F47" s="375"/>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5"/>
      <c r="C48" s="362"/>
      <c r="D48" s="375"/>
      <c r="E48" s="375"/>
      <c r="F48" s="375"/>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5"/>
      <c r="C49" s="362"/>
      <c r="D49" s="375"/>
      <c r="E49" s="375"/>
      <c r="F49" s="375"/>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5" t="s">
        <v>123</v>
      </c>
      <c r="C67" s="362" t="s">
        <v>115</v>
      </c>
      <c r="D67" s="375"/>
      <c r="E67" s="375"/>
      <c r="F67" s="375"/>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5"/>
      <c r="C68" s="362"/>
      <c r="D68" s="375"/>
      <c r="E68" s="375"/>
      <c r="F68" s="375"/>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5"/>
      <c r="C69" s="362"/>
      <c r="D69" s="375"/>
      <c r="E69" s="375"/>
      <c r="F69" s="375"/>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4">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5" t="s">
        <v>27</v>
      </c>
      <c r="C85" s="362" t="s">
        <v>117</v>
      </c>
      <c r="D85" s="375"/>
      <c r="E85" s="375"/>
      <c r="F85" s="375"/>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5"/>
      <c r="C86" s="362"/>
      <c r="D86" s="375"/>
      <c r="E86" s="375"/>
      <c r="F86" s="375"/>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5"/>
      <c r="C87" s="362"/>
      <c r="D87" s="375"/>
      <c r="E87" s="375"/>
      <c r="F87" s="375"/>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70">
        <f>IF($K89="\I:","",C89*60%)</f>
        <v>86624.3432540802</v>
      </c>
      <c r="N89" s="370">
        <f>IF($K89="\I:","",D89*60%)</f>
        <v>57468.4381787456</v>
      </c>
      <c r="O89" s="370">
        <f>IF($K89="\I:","",E89*60%)</f>
        <v>54377.9442125153</v>
      </c>
      <c r="P89" s="370">
        <f>IF($K89="\I:","",F89*60%)</f>
        <v>53251.5096705915</v>
      </c>
      <c r="R89" s="371">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70">
        <f t="shared" ref="M90:M96" si="35">IF($K90="\I:","",C90*60%)</f>
        <v>88681.4173278942</v>
      </c>
      <c r="N90" s="370">
        <f t="shared" ref="N90:N96" si="36">IF($K90="\I:","",D90*60%)</f>
        <v>58676.0996226578</v>
      </c>
      <c r="O90" s="370">
        <f t="shared" ref="O90:O96" si="37">IF($K90="\I:","",E90*60%)</f>
        <v>55228.0495597441</v>
      </c>
      <c r="P90" s="370">
        <f t="shared" ref="P90:P96" si="38">IF($K90="\I:","",F90*60%)</f>
        <v>53866.1535904939</v>
      </c>
      <c r="R90" s="371">
        <v>0.01</v>
      </c>
      <c r="U90" t="str">
        <f t="shared" si="31"/>
        <v>Trd_hdt_elc_179</v>
      </c>
      <c r="V90" t="str">
        <f ca="1" t="shared" ref="V90:V96" si="39">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70">
        <f t="shared" si="35"/>
        <v>89573.286336993</v>
      </c>
      <c r="N91" s="370">
        <f t="shared" si="36"/>
        <v>60351.5002289814</v>
      </c>
      <c r="O91" s="370">
        <f t="shared" si="37"/>
        <v>56195.0631300376</v>
      </c>
      <c r="P91" s="370">
        <f t="shared" si="38"/>
        <v>54578.5709679478</v>
      </c>
      <c r="R91" s="371">
        <v>0.01</v>
      </c>
      <c r="U91" t="str">
        <f t="shared" si="31"/>
        <v>Trd_hdt_elc_207</v>
      </c>
      <c r="V91" t="str">
        <f ca="1" t="shared" si="39"/>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70">
        <f t="shared" si="35"/>
        <v>91496.4652574448</v>
      </c>
      <c r="N92" s="370">
        <f t="shared" si="36"/>
        <v>61532.6060667516</v>
      </c>
      <c r="O92" s="370">
        <f t="shared" si="37"/>
        <v>56796.0083199599</v>
      </c>
      <c r="P92" s="370">
        <f t="shared" si="38"/>
        <v>55208.712294415</v>
      </c>
      <c r="R92" s="371">
        <v>0.01</v>
      </c>
      <c r="U92" t="str">
        <f t="shared" si="31"/>
        <v>Trd_hdt_elc_236</v>
      </c>
      <c r="V92" t="str">
        <f ca="1" t="shared" si="39"/>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70">
        <f t="shared" si="35"/>
        <v>93379.4118489276</v>
      </c>
      <c r="N93" s="370">
        <f t="shared" si="36"/>
        <v>62748.1373482224</v>
      </c>
      <c r="O93" s="370">
        <f t="shared" si="37"/>
        <v>57341.8935080517</v>
      </c>
      <c r="P93" s="370">
        <f t="shared" si="38"/>
        <v>55758.5427049549</v>
      </c>
      <c r="R93" s="371">
        <v>0.05</v>
      </c>
      <c r="U93" t="str">
        <f t="shared" si="31"/>
        <v>Trd_hdt_elc_264</v>
      </c>
      <c r="V93" t="str">
        <f ca="1" t="shared" si="39"/>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70">
        <f t="shared" si="35"/>
        <v>95822.8595058366</v>
      </c>
      <c r="N94" s="370">
        <f t="shared" si="36"/>
        <v>64671.723467682</v>
      </c>
      <c r="O94" s="370">
        <f t="shared" si="37"/>
        <v>58952.608819669</v>
      </c>
      <c r="P94" s="370">
        <f t="shared" si="38"/>
        <v>57199.0990396085</v>
      </c>
      <c r="R94" s="371">
        <v>0.1</v>
      </c>
      <c r="U94" t="str">
        <f t="shared" si="31"/>
        <v>Trd_hdt_elc_350</v>
      </c>
      <c r="V94" t="str">
        <f ca="1" t="shared" si="39"/>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70">
        <f t="shared" si="35"/>
        <v>107767.65508343</v>
      </c>
      <c r="N95" s="370">
        <f t="shared" si="36"/>
        <v>71739.098986686</v>
      </c>
      <c r="O95" s="370">
        <f t="shared" si="37"/>
        <v>62452.1669037558</v>
      </c>
      <c r="P95" s="370">
        <f t="shared" si="38"/>
        <v>60018.2046081324</v>
      </c>
      <c r="R95" s="371">
        <v>0.2</v>
      </c>
      <c r="U95" t="str">
        <f t="shared" si="31"/>
        <v>Trd_hdt_elc_500</v>
      </c>
      <c r="V95" t="str">
        <f ca="1" t="shared" si="39"/>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70">
        <f t="shared" si="35"/>
        <v>115841.697096823</v>
      </c>
      <c r="N96" s="370">
        <f t="shared" si="36"/>
        <v>75334.0919048736</v>
      </c>
      <c r="O96" s="370">
        <f t="shared" si="37"/>
        <v>66676.9449022596</v>
      </c>
      <c r="P96" s="370">
        <f t="shared" si="38"/>
        <v>62752.2748084374</v>
      </c>
      <c r="R96" s="361"/>
      <c r="U96" t="str">
        <f t="shared" si="31"/>
        <v>Trd_hdt_elc_600</v>
      </c>
      <c r="V96" t="str">
        <f ca="1" t="shared" si="39"/>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5" t="s">
        <v>29</v>
      </c>
      <c r="C100" s="386" t="s">
        <v>118</v>
      </c>
      <c r="D100" s="387"/>
      <c r="E100" s="387"/>
      <c r="F100" s="388"/>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9"/>
      <c r="C101" s="390"/>
      <c r="D101" s="391"/>
      <c r="E101" s="391"/>
      <c r="F101" s="392"/>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3"/>
      <c r="C102" s="394"/>
      <c r="D102" s="395"/>
      <c r="E102" s="395"/>
      <c r="F102" s="396"/>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7">
        <f t="shared" ref="I105:I111" si="41">1/G105/$I$7</f>
        <v>1.71280076190358</v>
      </c>
      <c r="J105" t="str">
        <f t="shared" si="23"/>
        <v>Trd_hdt_hh2</v>
      </c>
      <c r="K105" t="str">
        <f t="shared" ref="K105:K111" si="42">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43">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40"/>
        <v>4.05850653459058</v>
      </c>
      <c r="H106" s="75"/>
      <c r="I106" s="357">
        <f t="shared" si="41"/>
        <v>1.76797945916189</v>
      </c>
      <c r="J106" t="str">
        <f t="shared" si="23"/>
        <v>Trd_hdt_hh2</v>
      </c>
      <c r="K106" t="str">
        <f t="shared" si="42"/>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43"/>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40"/>
        <v>3.92775980188586</v>
      </c>
      <c r="H107" s="75"/>
      <c r="I107" s="357">
        <f t="shared" si="41"/>
        <v>1.82683171832078</v>
      </c>
      <c r="J107" t="str">
        <f t="shared" si="23"/>
        <v>Trd_hdt_hh2</v>
      </c>
      <c r="K107" t="str">
        <f t="shared" si="42"/>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43"/>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40"/>
        <v>3.79701306918116</v>
      </c>
      <c r="H108" s="75"/>
      <c r="I108" s="357">
        <f t="shared" si="41"/>
        <v>1.88973702678822</v>
      </c>
      <c r="J108" t="str">
        <f t="shared" si="23"/>
        <v>Trd_hdt_hh2</v>
      </c>
      <c r="K108" t="str">
        <f t="shared" si="42"/>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43"/>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40"/>
        <v>3.66626633647645</v>
      </c>
      <c r="H109" s="75"/>
      <c r="I109" s="357">
        <f t="shared" si="41"/>
        <v>1.95712900523383</v>
      </c>
      <c r="J109" t="str">
        <f t="shared" si="23"/>
        <v>Trd_hdt_hh2</v>
      </c>
      <c r="K109" t="str">
        <f t="shared" si="42"/>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43"/>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40"/>
        <v>3.53551960377174</v>
      </c>
      <c r="H110" s="75"/>
      <c r="I110" s="357">
        <f t="shared" si="41"/>
        <v>2.02950541707523</v>
      </c>
      <c r="J110" t="str">
        <f t="shared" si="23"/>
        <v>Trd_hdt_hh2</v>
      </c>
      <c r="K110" t="str">
        <f t="shared" si="42"/>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43"/>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40"/>
        <v>3.40477287106703</v>
      </c>
      <c r="H111" s="75"/>
      <c r="I111" s="357">
        <f t="shared" si="41"/>
        <v>2.10744048421113</v>
      </c>
      <c r="J111" t="str">
        <f t="shared" si="23"/>
        <v>Trd_hdt_hh2</v>
      </c>
      <c r="K111" t="str">
        <f t="shared" si="42"/>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43"/>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2" t="s">
        <v>9</v>
      </c>
      <c r="C2" s="373"/>
      <c r="D2" s="373"/>
      <c r="E2" s="373"/>
      <c r="F2" s="373"/>
      <c r="Q2" t="s">
        <v>127</v>
      </c>
      <c r="R2" t="s">
        <v>128</v>
      </c>
      <c r="S2" t="str">
        <f t="shared" ref="S2:S8" si="0">"Trd_2w_"&amp;Q2</f>
        <v>Trd_2w_gsl500</v>
      </c>
    </row>
    <row r="3" spans="2:25">
      <c r="Q3" t="s">
        <v>42</v>
      </c>
      <c r="R3" t="s">
        <v>129</v>
      </c>
      <c r="S3" t="str">
        <f>"Trd_3w_"&amp;Q3</f>
        <v>Trd_3w_gsl</v>
      </c>
    </row>
    <row r="4" spans="2:25">
      <c r="I4" s="374">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5" t="s">
        <v>140</v>
      </c>
      <c r="C12" s="375" t="s">
        <v>126</v>
      </c>
      <c r="D12" s="375"/>
      <c r="E12" s="375"/>
      <c r="F12" s="3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5"/>
      <c r="C13" s="375"/>
      <c r="D13" s="375"/>
      <c r="E13" s="375"/>
      <c r="F13" s="3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5"/>
      <c r="C14" s="375"/>
      <c r="D14" s="375"/>
      <c r="E14" s="375"/>
      <c r="F14" s="375"/>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5" t="s">
        <v>140</v>
      </c>
      <c r="C32" s="375" t="s">
        <v>128</v>
      </c>
      <c r="D32" s="375"/>
      <c r="E32" s="375"/>
      <c r="F32" s="375"/>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5"/>
      <c r="C33" s="375"/>
      <c r="D33" s="375"/>
      <c r="E33" s="375"/>
      <c r="F33" s="375"/>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5"/>
      <c r="C34" s="375"/>
      <c r="D34" s="375"/>
      <c r="E34" s="375"/>
      <c r="F34" s="375"/>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5" t="s">
        <v>140</v>
      </c>
      <c r="C52" s="375" t="s">
        <v>129</v>
      </c>
      <c r="D52" s="375"/>
      <c r="E52" s="375"/>
      <c r="F52" s="375"/>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5"/>
      <c r="C53" s="375"/>
      <c r="D53" s="375"/>
      <c r="E53" s="375"/>
      <c r="F53" s="375"/>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5"/>
      <c r="C54" s="375"/>
      <c r="D54" s="375"/>
      <c r="E54" s="375"/>
      <c r="F54" s="375"/>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5" t="s">
        <v>140</v>
      </c>
      <c r="C72" s="375" t="s">
        <v>131</v>
      </c>
      <c r="D72" s="375"/>
      <c r="E72" s="375"/>
      <c r="F72" s="375"/>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5"/>
      <c r="C73" s="375"/>
      <c r="D73" s="375"/>
      <c r="E73" s="375"/>
      <c r="F73" s="375"/>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5"/>
      <c r="C74" s="375"/>
      <c r="D74" s="375"/>
      <c r="E74" s="375"/>
      <c r="F74" s="375"/>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6">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6">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6">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6">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5" t="s">
        <v>27</v>
      </c>
      <c r="C90" s="375" t="s">
        <v>134</v>
      </c>
      <c r="D90" s="375"/>
      <c r="E90" s="375"/>
      <c r="F90" s="375"/>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5"/>
      <c r="C91" s="375"/>
      <c r="D91" s="375"/>
      <c r="E91" s="375"/>
      <c r="F91" s="375"/>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5"/>
      <c r="C92" s="375"/>
      <c r="D92" s="375"/>
      <c r="E92" s="375"/>
      <c r="F92" s="375"/>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0">
        <f>IF($K94="\I:","",C94*80%)</f>
        <v>4014.7718090792</v>
      </c>
      <c r="N94" s="370">
        <f>IF($K94="\I:","",D94*80%)</f>
        <v>3145.61726915557</v>
      </c>
      <c r="O94" s="370">
        <f>IF($K94="\I:","",E94*80%)</f>
        <v>2702.07620778208</v>
      </c>
      <c r="P94" s="370">
        <f>IF($K94="\I:","",F94*80%)</f>
        <v>2572.94622653951</v>
      </c>
      <c r="S94" s="371">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0">
        <f t="shared" ref="M95:M101" si="31">IF($K95="\I:","",C95*80%)</f>
        <v>4204.14304157066</v>
      </c>
      <c r="N95" s="370">
        <f t="shared" ref="N95:N101" si="32">IF($K95="\I:","",D95*80%)</f>
        <v>3252.21187879717</v>
      </c>
      <c r="O95" s="370">
        <f t="shared" ref="O95:O101" si="33">IF($K95="\I:","",E95*80%)</f>
        <v>2766.42881157858</v>
      </c>
      <c r="P95" s="370">
        <f t="shared" ref="P95:P101" si="34">IF($K95="\I:","",F95*80%)</f>
        <v>2625.00073688434</v>
      </c>
      <c r="S95" s="371">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0">
        <f t="shared" si="31"/>
        <v>4294.88342380616</v>
      </c>
      <c r="N96" s="370">
        <f t="shared" si="32"/>
        <v>3303.28846258377</v>
      </c>
      <c r="O96" s="370">
        <f t="shared" si="33"/>
        <v>2797.26443423107</v>
      </c>
      <c r="P96" s="370">
        <f t="shared" si="34"/>
        <v>2649.94352309123</v>
      </c>
      <c r="S96" s="371">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0">
        <f t="shared" si="31"/>
        <v>4327.23434269012</v>
      </c>
      <c r="N97" s="370">
        <f t="shared" si="32"/>
        <v>3321.4983750642</v>
      </c>
      <c r="O97" s="370">
        <f t="shared" si="33"/>
        <v>2808.2580040463</v>
      </c>
      <c r="P97" s="370">
        <f t="shared" si="34"/>
        <v>2658.83616860847</v>
      </c>
      <c r="S97" s="371">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0">
        <f t="shared" si="31"/>
        <v>4429.02138015428</v>
      </c>
      <c r="N98" s="370">
        <f t="shared" si="32"/>
        <v>3378.79297774656</v>
      </c>
      <c r="O98" s="370">
        <f t="shared" si="33"/>
        <v>2842.84752858693</v>
      </c>
      <c r="P98" s="370">
        <f t="shared" si="34"/>
        <v>2686.81546791882</v>
      </c>
      <c r="S98" s="371">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0">
        <f t="shared" si="31"/>
        <v>4521.33985599387</v>
      </c>
      <c r="N99" s="370">
        <f t="shared" si="32"/>
        <v>3430.75784994684</v>
      </c>
      <c r="O99" s="370">
        <f t="shared" si="33"/>
        <v>2874.21942293772</v>
      </c>
      <c r="P99" s="370">
        <f t="shared" si="34"/>
        <v>2712.19204171192</v>
      </c>
      <c r="S99" s="371">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0">
        <f t="shared" si="31"/>
        <v>4656.26685914404</v>
      </c>
      <c r="N100" s="370">
        <f t="shared" si="32"/>
        <v>3506.70650931647</v>
      </c>
      <c r="O100" s="370">
        <f t="shared" si="33"/>
        <v>2920.07065314273</v>
      </c>
      <c r="P100" s="370">
        <f t="shared" si="34"/>
        <v>2749.28088033262</v>
      </c>
      <c r="S100" s="371">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0">
        <f t="shared" si="31"/>
        <v>4788.03767508602</v>
      </c>
      <c r="N101" s="370">
        <f t="shared" si="32"/>
        <v>3580.87859185875</v>
      </c>
      <c r="O101" s="370">
        <f t="shared" si="33"/>
        <v>2964.84933995113</v>
      </c>
      <c r="P101" s="370">
        <f t="shared" si="34"/>
        <v>2785.50214378089</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5" t="s">
        <v>27</v>
      </c>
      <c r="C108" s="375" t="s">
        <v>136</v>
      </c>
      <c r="D108" s="375"/>
      <c r="E108" s="375"/>
      <c r="F108" s="375"/>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5"/>
      <c r="C109" s="375"/>
      <c r="D109" s="375"/>
      <c r="E109" s="375"/>
      <c r="F109" s="375"/>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5"/>
      <c r="C110" s="375"/>
      <c r="D110" s="375"/>
      <c r="E110" s="375"/>
      <c r="F110" s="375"/>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0">
        <f>IF($K112="\I:","",C112*80%)</f>
        <v>7204.06712718381</v>
      </c>
      <c r="N112" s="370">
        <f>IF($K112="\I:","",D112*80%)</f>
        <v>6155.37009229882</v>
      </c>
      <c r="O112" s="370">
        <f>IF($K112="\I:","",E112*80%)</f>
        <v>5620.20612024731</v>
      </c>
      <c r="P112" s="370">
        <f>IF($K112="\I:","",F112*80%)</f>
        <v>5464.40157430806</v>
      </c>
      <c r="S112" s="371">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0">
        <f t="shared" ref="M113:M119" si="36">IF($K113="\I:","",C113*80%)</f>
        <v>7423.40152631826</v>
      </c>
      <c r="N113" s="370">
        <f t="shared" ref="N113:N119" si="37">IF($K113="\I:","",D113*80%)</f>
        <v>6278.83057966594</v>
      </c>
      <c r="O113" s="370">
        <f t="shared" ref="O113:O119" si="38">IF($K113="\I:","",E113*80%)</f>
        <v>5694.74088194655</v>
      </c>
      <c r="P113" s="370">
        <f t="shared" ref="P113:P119" si="39">IF($K113="\I:","",F113*80%)</f>
        <v>5524.69238299378</v>
      </c>
      <c r="S113" s="371">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0">
        <f t="shared" si="36"/>
        <v>7522.96779960955</v>
      </c>
      <c r="N114" s="370">
        <f t="shared" si="37"/>
        <v>6334.87514301023</v>
      </c>
      <c r="O114" s="370">
        <f t="shared" si="38"/>
        <v>5728.57574087581</v>
      </c>
      <c r="P114" s="370">
        <f t="shared" si="39"/>
        <v>5552.06123693663</v>
      </c>
      <c r="S114" s="371">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0">
        <f t="shared" si="36"/>
        <v>7552.05647695393</v>
      </c>
      <c r="N115" s="370">
        <f t="shared" si="37"/>
        <v>6351.24878205625</v>
      </c>
      <c r="O115" s="370">
        <f t="shared" si="38"/>
        <v>5738.46072764745</v>
      </c>
      <c r="P115" s="370">
        <f t="shared" si="39"/>
        <v>5560.0571549851</v>
      </c>
      <c r="S115" s="371">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0">
        <f t="shared" si="36"/>
        <v>7663.48511883725</v>
      </c>
      <c r="N116" s="370">
        <f t="shared" si="37"/>
        <v>6413.9705187645</v>
      </c>
      <c r="O116" s="370">
        <f t="shared" si="38"/>
        <v>5776.32668621126</v>
      </c>
      <c r="P116" s="370">
        <f t="shared" si="39"/>
        <v>5590.68674594944</v>
      </c>
      <c r="S116" s="371">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0">
        <f t="shared" si="36"/>
        <v>7762.83245579547</v>
      </c>
      <c r="N117" s="370">
        <f t="shared" si="37"/>
        <v>6469.89184568764</v>
      </c>
      <c r="O117" s="370">
        <f t="shared" si="38"/>
        <v>5810.08714565062</v>
      </c>
      <c r="P117" s="370">
        <f t="shared" si="39"/>
        <v>5617.99541850431</v>
      </c>
      <c r="S117" s="371">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0">
        <f t="shared" si="36"/>
        <v>7911.73901724052</v>
      </c>
      <c r="N118" s="370">
        <f t="shared" si="37"/>
        <v>6553.70941703402</v>
      </c>
      <c r="O118" s="370">
        <f t="shared" si="38"/>
        <v>5860.68894416722</v>
      </c>
      <c r="P118" s="370">
        <f t="shared" si="39"/>
        <v>5658.92696888382</v>
      </c>
      <c r="S118" s="371">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0">
        <f t="shared" si="36"/>
        <v>8055.79580718624</v>
      </c>
      <c r="N119" s="370">
        <f t="shared" si="37"/>
        <v>6634.79711493016</v>
      </c>
      <c r="O119" s="370">
        <f t="shared" si="38"/>
        <v>5909.64268125604</v>
      </c>
      <c r="P119" s="370">
        <f t="shared" si="39"/>
        <v>5698.52541033565</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5" t="s">
        <v>27</v>
      </c>
      <c r="C126" s="375" t="s">
        <v>137</v>
      </c>
      <c r="D126" s="375"/>
      <c r="E126" s="375"/>
      <c r="F126" s="375"/>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5"/>
      <c r="C127" s="375"/>
      <c r="D127" s="375"/>
      <c r="E127" s="375"/>
      <c r="F127" s="375"/>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5"/>
      <c r="C128" s="375"/>
      <c r="D128" s="375"/>
      <c r="E128" s="375"/>
      <c r="F128" s="375"/>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7">
        <f>$I$124/$I$49</f>
        <v>9.73530650437647</v>
      </c>
      <c r="J130" t="str">
        <f t="shared" si="19"/>
        <v>Trd_3w_elc</v>
      </c>
      <c r="K130" t="str">
        <f t="shared" si="30"/>
        <v>Trd_3w_elc_120</v>
      </c>
      <c r="L130" t="str">
        <f t="shared" si="21"/>
        <v>Trd_3w</v>
      </c>
      <c r="M130" s="370">
        <f>IF($K130="\I:","",C130*80%)</f>
        <v>11533.5893241338</v>
      </c>
      <c r="N130" s="370">
        <f>IF($K130="\I:","",D130*80%)</f>
        <v>10360.230695237</v>
      </c>
      <c r="O130" s="370">
        <f>IF($K130="\I:","",E130*80%)</f>
        <v>9761.4502623828</v>
      </c>
      <c r="P130" s="370">
        <f>IF($K130="\I:","",F130*80%)</f>
        <v>9587.12478770528</v>
      </c>
      <c r="S130" s="371">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7">
        <f t="shared" ref="I131:I137" si="40">$I$124/$I$49</f>
        <v>9.73530650437647</v>
      </c>
      <c r="J131" t="str">
        <f t="shared" si="19"/>
        <v>Trd_3w_elc</v>
      </c>
      <c r="K131" t="str">
        <f t="shared" si="30"/>
        <v>Trd_3w_elc_131</v>
      </c>
      <c r="L131" t="str">
        <f t="shared" si="21"/>
        <v>Trd_3w</v>
      </c>
      <c r="M131" s="370">
        <f t="shared" ref="M131:M137" si="41">IF($K131="\I:","",C131*80%)</f>
        <v>11779.9071915389</v>
      </c>
      <c r="N131" s="370">
        <f t="shared" ref="N131:N137" si="42">IF($K131="\I:","",D131*80%)</f>
        <v>10498.8798267779</v>
      </c>
      <c r="O131" s="370">
        <f t="shared" ref="O131:O137" si="43">IF($K131="\I:","",E131*80%)</f>
        <v>9845.15461346376</v>
      </c>
      <c r="P131" s="370">
        <f t="shared" ref="P131:P137" si="44">IF($K131="\I:","",F131*80%)</f>
        <v>9654.83283294664</v>
      </c>
      <c r="S131" s="371">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7">
        <f t="shared" si="40"/>
        <v>9.73530650437647</v>
      </c>
      <c r="J132" t="str">
        <f t="shared" si="19"/>
        <v>Trd_3w_elc</v>
      </c>
      <c r="K132" t="str">
        <f t="shared" si="30"/>
        <v>Trd_3w_elc_143</v>
      </c>
      <c r="L132" t="str">
        <f t="shared" si="21"/>
        <v>Trd_3w</v>
      </c>
      <c r="M132" s="370">
        <f t="shared" si="41"/>
        <v>11892.2956363934</v>
      </c>
      <c r="N132" s="370">
        <f t="shared" si="42"/>
        <v>10562.141824125</v>
      </c>
      <c r="O132" s="370">
        <f t="shared" si="43"/>
        <v>9883.34673466336</v>
      </c>
      <c r="P132" s="370">
        <f t="shared" si="44"/>
        <v>9685.72625529152</v>
      </c>
      <c r="S132" s="371">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7">
        <f t="shared" si="40"/>
        <v>9.73530650437647</v>
      </c>
      <c r="J133" t="str">
        <f t="shared" si="19"/>
        <v>Trd_3w_elc</v>
      </c>
      <c r="K133" t="str">
        <f t="shared" si="30"/>
        <v>Trd_3w_elc_154</v>
      </c>
      <c r="L133" t="str">
        <f t="shared" si="21"/>
        <v>Trd_3w</v>
      </c>
      <c r="M133" s="370">
        <f t="shared" si="41"/>
        <v>11925.8312526902</v>
      </c>
      <c r="N133" s="370">
        <f t="shared" si="42"/>
        <v>10581.0185874074</v>
      </c>
      <c r="O133" s="370">
        <f t="shared" si="43"/>
        <v>9894.74289130352</v>
      </c>
      <c r="P133" s="370">
        <f t="shared" si="44"/>
        <v>9694.94455134664</v>
      </c>
      <c r="S133" s="371">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7">
        <f t="shared" si="40"/>
        <v>9.73530650437647</v>
      </c>
      <c r="J134" t="str">
        <f t="shared" si="19"/>
        <v>Trd_3w_elc</v>
      </c>
      <c r="K134" t="str">
        <f t="shared" si="30"/>
        <v>Trd_3w_elc_166</v>
      </c>
      <c r="L134" t="str">
        <f t="shared" si="21"/>
        <v>Trd_3w</v>
      </c>
      <c r="M134" s="370">
        <f t="shared" si="41"/>
        <v>12051.6380020183</v>
      </c>
      <c r="N134" s="370">
        <f t="shared" si="42"/>
        <v>10651.8335742378</v>
      </c>
      <c r="O134" s="370">
        <f t="shared" si="43"/>
        <v>9937.4948541436</v>
      </c>
      <c r="P134" s="370">
        <f t="shared" si="44"/>
        <v>9729.52640756736</v>
      </c>
      <c r="S134" s="371">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7">
        <f t="shared" si="40"/>
        <v>9.73530650437647</v>
      </c>
      <c r="J135" t="str">
        <f t="shared" si="19"/>
        <v>Trd_3w_elc</v>
      </c>
      <c r="K135" t="str">
        <f t="shared" si="30"/>
        <v>Trd_3w_elc_177</v>
      </c>
      <c r="L135" t="str">
        <f t="shared" si="21"/>
        <v>Trd_3w</v>
      </c>
      <c r="M135" s="370">
        <f t="shared" si="41"/>
        <v>12163.9926305814</v>
      </c>
      <c r="N135" s="370">
        <f t="shared" si="42"/>
        <v>10715.0765368332</v>
      </c>
      <c r="O135" s="370">
        <f t="shared" si="43"/>
        <v>9975.6754838068</v>
      </c>
      <c r="P135" s="370">
        <f t="shared" si="44"/>
        <v>9760.41053446392</v>
      </c>
      <c r="S135" s="371">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7">
        <f t="shared" si="40"/>
        <v>9.73530650437647</v>
      </c>
      <c r="J136" t="str">
        <f t="shared" si="19"/>
        <v>Trd_3w_elc</v>
      </c>
      <c r="K136" t="str">
        <f t="shared" si="30"/>
        <v>Trd_3w_elc_189</v>
      </c>
      <c r="L136" t="str">
        <f t="shared" si="21"/>
        <v>Trd_3w</v>
      </c>
      <c r="M136" s="370">
        <f t="shared" si="41"/>
        <v>12331.981821947</v>
      </c>
      <c r="N136" s="370">
        <f t="shared" si="42"/>
        <v>10809.6354729611</v>
      </c>
      <c r="O136" s="370">
        <f t="shared" si="43"/>
        <v>10032.7619891425</v>
      </c>
      <c r="P136" s="370">
        <f t="shared" si="44"/>
        <v>9806.58753286392</v>
      </c>
      <c r="S136" s="371">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7">
        <f t="shared" si="40"/>
        <v>9.73530650437647</v>
      </c>
      <c r="J137" t="str">
        <f t="shared" si="19"/>
        <v>Trd_3w_elc</v>
      </c>
      <c r="K137" t="str">
        <f t="shared" si="30"/>
        <v>Trd_3w_elc_200</v>
      </c>
      <c r="L137" t="str">
        <f t="shared" si="21"/>
        <v>Trd_3w</v>
      </c>
      <c r="M137" s="370">
        <f t="shared" si="41"/>
        <v>12494.6483290281</v>
      </c>
      <c r="N137" s="370">
        <f t="shared" si="42"/>
        <v>10901.1983391681</v>
      </c>
      <c r="O137" s="370">
        <f t="shared" si="43"/>
        <v>10088.03972665</v>
      </c>
      <c r="P137" s="370">
        <f t="shared" si="44"/>
        <v>9851.30142770528</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45">IFERROR(VLOOKUP(C141,$R$1:$S$8,2,FALSE),J140)</f>
        <v>Trd_3w_elc</v>
      </c>
      <c r="K141" t="str">
        <f t="shared" si="30"/>
        <v>\I:</v>
      </c>
      <c r="L141" t="str">
        <f t="shared" ref="L141:L155" si="46">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45"/>
        <v>Trd_3w_elc</v>
      </c>
      <c r="K142" t="str">
        <f t="shared" si="30"/>
        <v>\I:</v>
      </c>
      <c r="L142" t="str">
        <f t="shared" si="46"/>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45"/>
        <v>Trd_3w_elc</v>
      </c>
      <c r="K143" t="str">
        <f t="shared" si="30"/>
        <v>\I:</v>
      </c>
      <c r="L143" t="str">
        <f t="shared" si="46"/>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5" t="s">
        <v>27</v>
      </c>
      <c r="C144" s="375" t="s">
        <v>139</v>
      </c>
      <c r="D144" s="375"/>
      <c r="E144" s="375"/>
      <c r="F144" s="375"/>
      <c r="J144" t="str">
        <f t="shared" si="45"/>
        <v>Trd_2w_elc50</v>
      </c>
      <c r="K144" t="str">
        <f t="shared" si="30"/>
        <v>\I:</v>
      </c>
      <c r="L144" t="str">
        <f t="shared" si="46"/>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5"/>
      <c r="C145" s="375"/>
      <c r="D145" s="375"/>
      <c r="E145" s="375"/>
      <c r="F145" s="375"/>
      <c r="J145" t="str">
        <f t="shared" si="45"/>
        <v>Trd_2w_elc50</v>
      </c>
      <c r="K145" t="str">
        <f t="shared" si="30"/>
        <v>\I:</v>
      </c>
      <c r="L145" t="str">
        <f t="shared" si="46"/>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5"/>
      <c r="C146" s="375"/>
      <c r="D146" s="375"/>
      <c r="E146" s="375"/>
      <c r="F146" s="375"/>
      <c r="J146" t="str">
        <f t="shared" si="45"/>
        <v>Trd_2w_elc50</v>
      </c>
      <c r="K146" t="str">
        <f t="shared" si="30"/>
        <v>\I:</v>
      </c>
      <c r="L146" t="str">
        <f t="shared" si="46"/>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45"/>
        <v>Trd_2w_elc50</v>
      </c>
      <c r="K147" t="str">
        <f t="shared" si="30"/>
        <v>\I:</v>
      </c>
      <c r="L147" t="str">
        <f t="shared" si="46"/>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0">
        <f>IF($K148="\I:","",C148*80%)</f>
        <v>3679.14347146747</v>
      </c>
      <c r="N148" s="370">
        <f>IF($K148="\I:","",D148*80%)</f>
        <v>2404.61567046235</v>
      </c>
      <c r="O148" s="370">
        <f>IF($K148="\I:","",E148*80%)</f>
        <v>2195.19324454916</v>
      </c>
      <c r="P148" s="370">
        <f>IF($K148="\I:","",F148*80%)</f>
        <v>2049.21693078874</v>
      </c>
      <c r="S148" s="371">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0">
        <f t="shared" ref="M149:M155" si="48">IF($K149="\I:","",C149*80%)</f>
        <v>3860.91748839131</v>
      </c>
      <c r="N149" s="370">
        <f t="shared" ref="N149:N155" si="49">IF($K149="\I:","",D149*80%)</f>
        <v>2483.3220055192</v>
      </c>
      <c r="O149" s="370">
        <f t="shared" ref="O149:O155" si="50">IF($K149="\I:","",E149*80%)</f>
        <v>2256.96414363293</v>
      </c>
      <c r="P149" s="370">
        <f t="shared" ref="P149:P155" si="51">IF($K149="\I:","",F149*80%)</f>
        <v>2099.1831126628</v>
      </c>
      <c r="S149" s="371">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0">
        <f t="shared" si="48"/>
        <v>3932.23655260236</v>
      </c>
      <c r="N150" s="370">
        <f t="shared" si="49"/>
        <v>2514.202448493</v>
      </c>
      <c r="O150" s="370">
        <f t="shared" si="50"/>
        <v>2281.19996563149</v>
      </c>
      <c r="P150" s="370">
        <f t="shared" si="51"/>
        <v>2118.78735200218</v>
      </c>
      <c r="S150" s="371">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0">
        <f t="shared" si="48"/>
        <v>3940.50813050182</v>
      </c>
      <c r="N151" s="370">
        <f t="shared" si="49"/>
        <v>2517.78395916554</v>
      </c>
      <c r="O151" s="370">
        <f t="shared" si="50"/>
        <v>2284.01083383112</v>
      </c>
      <c r="P151" s="370">
        <f t="shared" si="51"/>
        <v>2121.0610497105</v>
      </c>
      <c r="S151" s="371">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0">
        <f t="shared" si="48"/>
        <v>4025.34556205981</v>
      </c>
      <c r="N152" s="370">
        <f t="shared" si="49"/>
        <v>2554.51772027488</v>
      </c>
      <c r="O152" s="370">
        <f t="shared" si="50"/>
        <v>2312.84050108488</v>
      </c>
      <c r="P152" s="370">
        <f t="shared" si="51"/>
        <v>2144.38122828547</v>
      </c>
      <c r="S152" s="371">
        <v>0.15</v>
      </c>
      <c r="V152" t="str">
        <f t="shared" ref="V152:V155" si="52">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0">
        <f t="shared" si="48"/>
        <v>4099.89011158694</v>
      </c>
      <c r="N153" s="370">
        <f t="shared" si="49"/>
        <v>2586.79476619725</v>
      </c>
      <c r="O153" s="370">
        <f t="shared" si="50"/>
        <v>2338.17241553563</v>
      </c>
      <c r="P153" s="370">
        <f t="shared" si="51"/>
        <v>2164.87209151458</v>
      </c>
      <c r="S153" s="371">
        <v>0.175</v>
      </c>
      <c r="V153" t="str">
        <f t="shared" si="52"/>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0">
        <f t="shared" si="48"/>
        <v>4219.48155011357</v>
      </c>
      <c r="N154" s="370">
        <f t="shared" si="49"/>
        <v>2638.57666544719</v>
      </c>
      <c r="O154" s="370">
        <f t="shared" si="50"/>
        <v>2378.81227598173</v>
      </c>
      <c r="P154" s="370">
        <f t="shared" si="51"/>
        <v>2197.74547831169</v>
      </c>
      <c r="S154" s="371">
        <v>0.2</v>
      </c>
      <c r="V154" t="str">
        <f t="shared" si="52"/>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0">
        <f t="shared" si="48"/>
        <v>4334.75322756503</v>
      </c>
      <c r="N155" s="370">
        <f t="shared" si="49"/>
        <v>2688.48815126675</v>
      </c>
      <c r="O155" s="370">
        <f t="shared" si="50"/>
        <v>2417.98418446222</v>
      </c>
      <c r="P155" s="370">
        <f t="shared" si="51"/>
        <v>2229.43144585501</v>
      </c>
      <c r="S155" s="361"/>
      <c r="V155" t="str">
        <f t="shared" si="52"/>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70">
        <f>IF($K89="\I:","",C89*60%)</f>
        <v>248569.549098833</v>
      </c>
      <c r="N89" s="370">
        <f>IF($K89="\I:","",D89*60%)</f>
        <v>181901.67594212</v>
      </c>
      <c r="O89" s="370">
        <f>IF($K89="\I:","",E89*60%)</f>
        <v>173880.63199609</v>
      </c>
      <c r="P89" s="370">
        <f>IF($K89="\I:","",F89*60%)</f>
        <v>170554.245063821</v>
      </c>
      <c r="R89" s="371">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70">
        <f t="shared" ref="M90:M96" si="31">IF($K90="\I:","",C90*60%)</f>
        <v>251206.434816054</v>
      </c>
      <c r="N90" s="370">
        <f t="shared" ref="N90:N96" si="32">IF($K90="\I:","",D90*60%)</f>
        <v>183776.745811267</v>
      </c>
      <c r="O90" s="370">
        <f t="shared" ref="O90:O96" si="33">IF($K90="\I:","",E90*60%)</f>
        <v>174839.28395317</v>
      </c>
      <c r="P90" s="370">
        <f t="shared" ref="P90:P96" si="34">IF($K90="\I:","",F90*60%)</f>
        <v>171132.851656769</v>
      </c>
      <c r="R90" s="371">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70">
        <f t="shared" si="31"/>
        <v>252639.359911568</v>
      </c>
      <c r="N91" s="370">
        <f t="shared" si="32"/>
        <v>184795.688215102</v>
      </c>
      <c r="O91" s="370">
        <f t="shared" si="33"/>
        <v>175360.230476638</v>
      </c>
      <c r="P91" s="370">
        <f t="shared" si="34"/>
        <v>171447.27556299</v>
      </c>
      <c r="R91" s="371">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70">
        <f t="shared" si="31"/>
        <v>254090.582539462</v>
      </c>
      <c r="N92" s="370">
        <f t="shared" si="32"/>
        <v>185827.641858452</v>
      </c>
      <c r="O92" s="370">
        <f t="shared" si="33"/>
        <v>175887.829152342</v>
      </c>
      <c r="P92" s="370">
        <f t="shared" si="34"/>
        <v>171765.71446038</v>
      </c>
      <c r="R92" s="371">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70">
        <f t="shared" si="31"/>
        <v>255627.202374243</v>
      </c>
      <c r="N93" s="370">
        <f t="shared" si="32"/>
        <v>186920.320822017</v>
      </c>
      <c r="O93" s="370">
        <f t="shared" si="33"/>
        <v>176446.474376245</v>
      </c>
      <c r="P93" s="370">
        <f t="shared" si="34"/>
        <v>172102.891897177</v>
      </c>
      <c r="R93" s="371">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70">
        <f t="shared" si="31"/>
        <v>257960.652922549</v>
      </c>
      <c r="N94" s="370">
        <f t="shared" si="32"/>
        <v>188579.620193885</v>
      </c>
      <c r="O94" s="370">
        <f t="shared" si="33"/>
        <v>177524.032068125</v>
      </c>
      <c r="P94" s="370">
        <f t="shared" si="34"/>
        <v>172753.265560111</v>
      </c>
      <c r="R94" s="371">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70">
        <f t="shared" si="31"/>
        <v>260902.393126749</v>
      </c>
      <c r="N95" s="370">
        <f t="shared" si="32"/>
        <v>190671.469826854</v>
      </c>
      <c r="O95" s="370">
        <f t="shared" si="33"/>
        <v>178607.206821184</v>
      </c>
      <c r="P95" s="370">
        <f t="shared" si="34"/>
        <v>173407.029471826</v>
      </c>
      <c r="R95" s="371">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70">
        <f t="shared" si="31"/>
        <v>263865.374234347</v>
      </c>
      <c r="N96" s="370">
        <f t="shared" si="32"/>
        <v>192778.423708633</v>
      </c>
      <c r="O96" s="370">
        <f t="shared" si="33"/>
        <v>179441.499729403</v>
      </c>
      <c r="P96" s="370">
        <f t="shared" si="34"/>
        <v>173910.577577664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7">
        <f t="shared" ref="I105:I111" si="36">1/G105/$I$7</f>
        <v>1.3249087691195</v>
      </c>
      <c r="J105" t="str">
        <f t="shared" si="20"/>
        <v>Trd_bus_hh2</v>
      </c>
      <c r="K105" t="str">
        <f t="shared" ref="K105:K111" si="37">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5"/>
        <v>10.1462663364765</v>
      </c>
      <c r="H106" s="75"/>
      <c r="I106" s="357">
        <f t="shared" si="36"/>
        <v>1.36759133996614</v>
      </c>
      <c r="J106" t="str">
        <f t="shared" si="20"/>
        <v>Trd_bus_hh2</v>
      </c>
      <c r="K106" t="str">
        <f t="shared" si="37"/>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5"/>
        <v>9.81939950471467</v>
      </c>
      <c r="H107" s="75"/>
      <c r="I107" s="357">
        <f t="shared" si="36"/>
        <v>1.41311553400926</v>
      </c>
      <c r="J107" t="str">
        <f t="shared" si="20"/>
        <v>Trd_bus_hh2</v>
      </c>
      <c r="K107" t="str">
        <f t="shared" si="37"/>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5"/>
        <v>9.4925326729529</v>
      </c>
      <c r="H108" s="75"/>
      <c r="I108" s="357">
        <f t="shared" si="36"/>
        <v>1.46177489747198</v>
      </c>
      <c r="J108" t="str">
        <f t="shared" si="20"/>
        <v>Trd_bus_hh2</v>
      </c>
      <c r="K108" t="str">
        <f t="shared" si="37"/>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5"/>
        <v>9.16566584119112</v>
      </c>
      <c r="H109" s="75"/>
      <c r="I109" s="357">
        <f t="shared" si="36"/>
        <v>1.51390485046877</v>
      </c>
      <c r="J109" t="str">
        <f t="shared" si="20"/>
        <v>Trd_bus_hh2</v>
      </c>
      <c r="K109" t="str">
        <f t="shared" si="37"/>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5"/>
        <v>8.83879900942934</v>
      </c>
      <c r="H110" s="75"/>
      <c r="I110" s="357">
        <f t="shared" si="36"/>
        <v>1.56989042967852</v>
      </c>
      <c r="J110" t="str">
        <f t="shared" si="20"/>
        <v>Trd_bus_hh2</v>
      </c>
      <c r="K110" t="str">
        <f t="shared" si="37"/>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5"/>
        <v>8.51193217766758</v>
      </c>
      <c r="H111" s="75"/>
      <c r="I111" s="357">
        <f t="shared" si="36"/>
        <v>1.63017581497664</v>
      </c>
      <c r="J111" t="str">
        <f t="shared" si="20"/>
        <v>Trd_bus_hh2</v>
      </c>
      <c r="K111" t="str">
        <f t="shared" si="37"/>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8"/>
        <v>\I:Trd_bus_</v>
      </c>
      <c r="K147" t="str">
        <f t="shared" si="22"/>
        <v>\I:</v>
      </c>
      <c r="L147" t="str">
        <f t="shared" si="39"/>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8"/>
        <v>\I:Trd_bus_</v>
      </c>
      <c r="K148" t="str">
        <f t="shared" si="22"/>
        <v>\I:</v>
      </c>
      <c r="L148" t="str">
        <f t="shared" si="39"/>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8"/>
        <v>\I:Trd_bus_</v>
      </c>
      <c r="K149" t="str">
        <f t="shared" si="22"/>
        <v>\I:</v>
      </c>
      <c r="L149" t="str">
        <f t="shared" si="39"/>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8"/>
        <v>\I:Trd_bus_</v>
      </c>
      <c r="K150" t="str">
        <f t="shared" si="22"/>
        <v>\I:</v>
      </c>
      <c r="L150" t="str">
        <f t="shared" si="39"/>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8"/>
        <v>\I:Trd_bus_</v>
      </c>
      <c r="K151" t="str">
        <f t="shared" si="22"/>
        <v>\I:</v>
      </c>
      <c r="L151" t="str">
        <f t="shared" si="39"/>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8"/>
        <v>\I:Trd_bus_</v>
      </c>
      <c r="K152" t="str">
        <f t="shared" ref="K152:K215" si="40">IFERROR(IF(VALUE(C152)&gt;2020,J152&amp;"_"&amp;TEXT(B152*100,"00"),"\I:"),"\I:")</f>
        <v>\I:</v>
      </c>
      <c r="L152" t="str">
        <f t="shared" si="39"/>
        <v>\I:</v>
      </c>
      <c r="M152" s="365" t="str">
        <f t="shared" ref="M152:M215" si="41">IF($K152="\I:","",C152)</f>
        <v/>
      </c>
      <c r="N152" s="365" t="str">
        <f t="shared" ref="N152:N215" si="42">IF($K152="\I:","",D152)</f>
        <v/>
      </c>
      <c r="O152" s="365" t="str">
        <f t="shared" ref="O152:O215" si="43">IF($K152="\I:","",E152)</f>
        <v/>
      </c>
      <c r="P152" s="365" t="str">
        <f t="shared" ref="P152:P215" si="44">IF($K152="\I:","",F152)</f>
        <v/>
      </c>
      <c r="R152" s="361"/>
      <c r="T152" t="s">
        <v>83</v>
      </c>
      <c r="U152" t="str">
        <f t="shared" ref="U152:U215" si="45">K152</f>
        <v>\I:</v>
      </c>
      <c r="V152" t="str">
        <f ca="1" t="shared" ref="V152:V215" si="46">OFFSET($S$1,MATCH(J152,$S$1:$S$12,0)-1,-1)&amp;" -- "&amp;TEXT(B152,"00%")</f>
        <v>Hybrid diesel coach -- 201500%</v>
      </c>
      <c r="W152" s="363" t="s">
        <v>84</v>
      </c>
      <c r="X152" s="363" t="s">
        <v>85</v>
      </c>
    </row>
    <row r="153" spans="2:24">
      <c r="B153" s="46" t="s">
        <v>12</v>
      </c>
      <c r="C153" s="47" t="s">
        <v>88</v>
      </c>
      <c r="D153" s="48">
        <v>21.9255423798406</v>
      </c>
      <c r="J153" t="str">
        <f t="shared" si="38"/>
        <v>\I:Trd_bus_</v>
      </c>
      <c r="K153" t="str">
        <f t="shared" si="40"/>
        <v>\I:</v>
      </c>
      <c r="L153" t="str">
        <f t="shared" si="39"/>
        <v>\I:</v>
      </c>
      <c r="M153" s="365" t="str">
        <f t="shared" si="41"/>
        <v/>
      </c>
      <c r="N153" s="365" t="str">
        <f t="shared" si="42"/>
        <v/>
      </c>
      <c r="O153" s="365" t="str">
        <f t="shared" si="43"/>
        <v/>
      </c>
      <c r="P153" s="365" t="str">
        <f t="shared" si="44"/>
        <v/>
      </c>
      <c r="R153" s="361"/>
      <c r="T153" t="s">
        <v>83</v>
      </c>
      <c r="U153" t="str">
        <f t="shared" si="45"/>
        <v>\I:</v>
      </c>
      <c r="V153" t="str">
        <f ca="1" t="shared" si="46"/>
        <v>Hybrid diesel coach -- Energy consumption</v>
      </c>
      <c r="W153" s="363" t="s">
        <v>84</v>
      </c>
      <c r="X153" s="363" t="s">
        <v>85</v>
      </c>
    </row>
    <row r="154" spans="2:24">
      <c r="B154" s="46" t="s">
        <v>14</v>
      </c>
      <c r="C154" s="47" t="s">
        <v>15</v>
      </c>
      <c r="D154" s="68">
        <v>321393.556544713</v>
      </c>
      <c r="J154" t="str">
        <f t="shared" si="38"/>
        <v>\I:Trd_bus_</v>
      </c>
      <c r="K154" t="str">
        <f t="shared" si="40"/>
        <v>\I:</v>
      </c>
      <c r="L154" t="str">
        <f t="shared" si="39"/>
        <v>\I:</v>
      </c>
      <c r="M154" s="365" t="str">
        <f t="shared" si="41"/>
        <v/>
      </c>
      <c r="N154" s="365" t="str">
        <f t="shared" si="42"/>
        <v/>
      </c>
      <c r="O154" s="365" t="str">
        <f t="shared" si="43"/>
        <v/>
      </c>
      <c r="P154" s="365" t="str">
        <f t="shared" si="44"/>
        <v/>
      </c>
      <c r="R154" s="361"/>
      <c r="T154" t="s">
        <v>83</v>
      </c>
      <c r="U154" t="str">
        <f t="shared" si="45"/>
        <v>\I:</v>
      </c>
      <c r="V154" t="str">
        <f ca="1" t="shared" si="46"/>
        <v>Hybrid diesel coach -- Capital cost</v>
      </c>
      <c r="W154" s="363" t="s">
        <v>84</v>
      </c>
      <c r="X154" s="363" t="s">
        <v>85</v>
      </c>
    </row>
    <row r="155" spans="2:24">
      <c r="J155" t="str">
        <f t="shared" si="38"/>
        <v>\I:Trd_bus_</v>
      </c>
      <c r="K155" t="str">
        <f t="shared" si="40"/>
        <v>\I:</v>
      </c>
      <c r="L155" t="str">
        <f t="shared" si="39"/>
        <v>\I:</v>
      </c>
      <c r="M155" s="365" t="str">
        <f t="shared" si="41"/>
        <v/>
      </c>
      <c r="N155" s="365" t="str">
        <f t="shared" si="42"/>
        <v/>
      </c>
      <c r="O155" s="365" t="str">
        <f t="shared" si="43"/>
        <v/>
      </c>
      <c r="P155" s="365" t="str">
        <f t="shared" si="44"/>
        <v/>
      </c>
      <c r="R155" s="361"/>
      <c r="T155" t="s">
        <v>83</v>
      </c>
      <c r="U155" t="str">
        <f t="shared" si="45"/>
        <v>\I:</v>
      </c>
      <c r="V155" t="str">
        <f ca="1" t="shared" si="46"/>
        <v>Hybrid diesel coach -- 00%</v>
      </c>
      <c r="W155" s="363" t="s">
        <v>84</v>
      </c>
      <c r="X155" s="363" t="s">
        <v>85</v>
      </c>
    </row>
    <row r="156" ht="15" customHeight="1" spans="2:24">
      <c r="B156" s="362" t="s">
        <v>121</v>
      </c>
      <c r="C156" s="362" t="s">
        <v>166</v>
      </c>
      <c r="D156" s="362"/>
      <c r="E156" s="362"/>
      <c r="F156" s="362"/>
      <c r="J156" t="str">
        <f t="shared" si="38"/>
        <v>\I:Trd_bus_</v>
      </c>
      <c r="K156" t="str">
        <f t="shared" si="40"/>
        <v>\I:</v>
      </c>
      <c r="L156" t="str">
        <f t="shared" si="39"/>
        <v>\I:</v>
      </c>
      <c r="M156" s="365" t="str">
        <f t="shared" si="41"/>
        <v/>
      </c>
      <c r="N156" s="365" t="str">
        <f t="shared" si="42"/>
        <v/>
      </c>
      <c r="O156" s="365" t="str">
        <f t="shared" si="43"/>
        <v/>
      </c>
      <c r="P156" s="365" t="str">
        <f t="shared" si="44"/>
        <v/>
      </c>
      <c r="R156" s="361"/>
      <c r="T156" t="s">
        <v>83</v>
      </c>
      <c r="U156" t="str">
        <f t="shared" si="45"/>
        <v>\I:</v>
      </c>
      <c r="V156" t="str">
        <f ca="1" t="shared" si="46"/>
        <v>Hybrid diesel coach -- Reduction of specific energy consumption relative to 2015 LNG vehicle (%)</v>
      </c>
      <c r="W156" s="363" t="s">
        <v>84</v>
      </c>
      <c r="X156" s="363" t="s">
        <v>85</v>
      </c>
    </row>
    <row r="157" spans="2:24">
      <c r="B157" s="362"/>
      <c r="C157" s="362"/>
      <c r="D157" s="362"/>
      <c r="E157" s="362"/>
      <c r="F157" s="362"/>
      <c r="J157" t="str">
        <f t="shared" si="38"/>
        <v>\I:Trd_bus_</v>
      </c>
      <c r="K157" t="str">
        <f t="shared" si="40"/>
        <v>\I:</v>
      </c>
      <c r="L157" t="str">
        <f t="shared" si="39"/>
        <v>\I:</v>
      </c>
      <c r="M157" s="365" t="str">
        <f t="shared" si="41"/>
        <v/>
      </c>
      <c r="N157" s="365" t="str">
        <f t="shared" si="42"/>
        <v/>
      </c>
      <c r="O157" s="365" t="str">
        <f t="shared" si="43"/>
        <v/>
      </c>
      <c r="P157" s="365" t="str">
        <f t="shared" si="44"/>
        <v/>
      </c>
      <c r="R157" s="361"/>
      <c r="T157" t="s">
        <v>83</v>
      </c>
      <c r="U157" t="str">
        <f t="shared" si="45"/>
        <v>\I:</v>
      </c>
      <c r="V157" t="str">
        <f ca="1" t="shared" si="46"/>
        <v>Hybrid diesel coach -- 00%</v>
      </c>
      <c r="W157" s="363" t="s">
        <v>84</v>
      </c>
      <c r="X157" s="363" t="s">
        <v>85</v>
      </c>
    </row>
    <row r="158" spans="2:24">
      <c r="B158" s="362"/>
      <c r="C158" s="362"/>
      <c r="D158" s="362"/>
      <c r="E158" s="362"/>
      <c r="F158" s="362"/>
      <c r="J158" t="str">
        <f t="shared" si="38"/>
        <v>\I:Trd_bus_</v>
      </c>
      <c r="K158" t="str">
        <f t="shared" si="40"/>
        <v>\I:</v>
      </c>
      <c r="L158" t="str">
        <f t="shared" si="39"/>
        <v>\I:</v>
      </c>
      <c r="M158" s="365" t="str">
        <f t="shared" si="41"/>
        <v/>
      </c>
      <c r="N158" s="365" t="str">
        <f t="shared" si="42"/>
        <v/>
      </c>
      <c r="O158" s="365" t="str">
        <f t="shared" si="43"/>
        <v/>
      </c>
      <c r="P158" s="365" t="str">
        <f t="shared" si="44"/>
        <v/>
      </c>
      <c r="R158" s="361"/>
      <c r="T158" t="s">
        <v>83</v>
      </c>
      <c r="U158" t="str">
        <f t="shared" si="45"/>
        <v>\I:</v>
      </c>
      <c r="V158" t="str">
        <f ca="1" t="shared" si="46"/>
        <v>Hybrid diesel coach -- 00%</v>
      </c>
      <c r="W158" s="363" t="s">
        <v>84</v>
      </c>
      <c r="X158" s="363" t="s">
        <v>85</v>
      </c>
    </row>
    <row r="159" spans="2:24">
      <c r="B159" s="50"/>
      <c r="C159" s="51">
        <v>2020</v>
      </c>
      <c r="D159" s="51">
        <v>2030</v>
      </c>
      <c r="E159" s="51">
        <v>2040</v>
      </c>
      <c r="F159" s="51">
        <v>2050</v>
      </c>
      <c r="J159" t="str">
        <f t="shared" si="38"/>
        <v>\I:Trd_bus_</v>
      </c>
      <c r="K159" t="str">
        <f t="shared" si="40"/>
        <v>\I:</v>
      </c>
      <c r="L159" t="str">
        <f t="shared" si="39"/>
        <v>\I:</v>
      </c>
      <c r="M159" s="365" t="str">
        <f t="shared" si="41"/>
        <v/>
      </c>
      <c r="N159" s="365" t="str">
        <f t="shared" si="42"/>
        <v/>
      </c>
      <c r="O159" s="365" t="str">
        <f t="shared" si="43"/>
        <v/>
      </c>
      <c r="P159" s="365" t="str">
        <f t="shared" si="44"/>
        <v/>
      </c>
      <c r="R159" s="361"/>
      <c r="T159" t="s">
        <v>83</v>
      </c>
      <c r="U159" t="str">
        <f t="shared" si="45"/>
        <v>\I:</v>
      </c>
      <c r="V159" t="str">
        <f ca="1" t="shared" si="46"/>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5">
        <f t="shared" si="41"/>
        <v>322213.921573696</v>
      </c>
      <c r="N160" s="365">
        <f t="shared" si="42"/>
        <v>322213.921573696</v>
      </c>
      <c r="O160" s="365">
        <f t="shared" si="43"/>
        <v>322213.921573696</v>
      </c>
      <c r="P160" s="365">
        <f t="shared" si="44"/>
        <v>322213.921573696</v>
      </c>
      <c r="R160" s="361"/>
      <c r="T160" t="s">
        <v>83</v>
      </c>
      <c r="U160" t="str">
        <f t="shared" si="45"/>
        <v>\I:Trd_bus__04</v>
      </c>
      <c r="V160" t="str">
        <f ca="1" t="shared" si="46"/>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5">
        <f t="shared" si="41"/>
        <v>323718.211257641</v>
      </c>
      <c r="N161" s="365">
        <f t="shared" si="42"/>
        <v>323221.069737195</v>
      </c>
      <c r="O161" s="365">
        <f t="shared" si="43"/>
        <v>323221.069737195</v>
      </c>
      <c r="P161" s="365">
        <f t="shared" si="44"/>
        <v>323221.069737195</v>
      </c>
      <c r="R161" s="361"/>
      <c r="T161" t="s">
        <v>83</v>
      </c>
      <c r="U161" t="str">
        <f t="shared" si="45"/>
        <v>\I:Trd_bus__09</v>
      </c>
      <c r="V161" t="str">
        <f ca="1" t="shared" si="46"/>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5">
        <f t="shared" si="41"/>
        <v>325145.498992476</v>
      </c>
      <c r="N162" s="365">
        <f t="shared" si="42"/>
        <v>324735.294564148</v>
      </c>
      <c r="O162" s="365">
        <f t="shared" si="43"/>
        <v>324735.294564148</v>
      </c>
      <c r="P162" s="365">
        <f t="shared" si="44"/>
        <v>324735.294564148</v>
      </c>
      <c r="R162" s="361"/>
      <c r="T162" t="s">
        <v>83</v>
      </c>
      <c r="U162" t="str">
        <f t="shared" si="45"/>
        <v>\I:Trd_bus__14</v>
      </c>
      <c r="V162" t="str">
        <f ca="1" t="shared" si="46"/>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5">
        <f t="shared" si="41"/>
        <v>330223.215291406</v>
      </c>
      <c r="N163" s="365">
        <f t="shared" si="42"/>
        <v>327011.897858143</v>
      </c>
      <c r="O163" s="365">
        <f t="shared" si="43"/>
        <v>327011.897858143</v>
      </c>
      <c r="P163" s="365">
        <f t="shared" si="44"/>
        <v>327011.897858143</v>
      </c>
      <c r="R163" s="361"/>
      <c r="T163" t="s">
        <v>83</v>
      </c>
      <c r="U163" t="str">
        <f t="shared" si="45"/>
        <v>\I:Trd_bus__19</v>
      </c>
      <c r="V163" t="str">
        <f ca="1" t="shared" si="46"/>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5">
        <f t="shared" si="41"/>
        <v>336044.223477435</v>
      </c>
      <c r="N164" s="365">
        <f t="shared" si="42"/>
        <v>330434.720193354</v>
      </c>
      <c r="O164" s="365">
        <f t="shared" si="43"/>
        <v>330434.720193354</v>
      </c>
      <c r="P164" s="365">
        <f t="shared" si="44"/>
        <v>330434.720193354</v>
      </c>
      <c r="R164" s="361"/>
      <c r="T164" t="s">
        <v>83</v>
      </c>
      <c r="U164" t="str">
        <f t="shared" si="45"/>
        <v>\I:Trd_bus__24</v>
      </c>
      <c r="V164" t="str">
        <f ca="1" t="shared" si="46"/>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5">
        <f t="shared" si="41"/>
        <v>361776.063243984</v>
      </c>
      <c r="N165" s="365">
        <f t="shared" si="42"/>
        <v>335707.326466266</v>
      </c>
      <c r="O165" s="365">
        <f t="shared" si="43"/>
        <v>335580.857321997</v>
      </c>
      <c r="P165" s="365">
        <f t="shared" si="44"/>
        <v>335580.857321997</v>
      </c>
      <c r="R165" s="361"/>
      <c r="T165" t="s">
        <v>83</v>
      </c>
      <c r="U165" t="str">
        <f t="shared" si="45"/>
        <v>\I:Trd_bus__26</v>
      </c>
      <c r="V165" t="str">
        <f ca="1" t="shared" si="46"/>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5">
        <f t="shared" si="41"/>
        <v>446864.791159275</v>
      </c>
      <c r="N166" s="365">
        <f t="shared" si="42"/>
        <v>351817.60135664</v>
      </c>
      <c r="O166" s="365">
        <f t="shared" si="43"/>
        <v>343317.959851208</v>
      </c>
      <c r="P166" s="365">
        <f t="shared" si="44"/>
        <v>343317.959851208</v>
      </c>
      <c r="R166" s="361"/>
      <c r="T166" t="s">
        <v>83</v>
      </c>
      <c r="U166" t="str">
        <f t="shared" si="45"/>
        <v>\I:Trd_bus__29</v>
      </c>
      <c r="V166" t="str">
        <f ca="1" t="shared" si="46"/>
        <v>Hybrid diesel coach -- 29%</v>
      </c>
      <c r="W166" s="363" t="s">
        <v>84</v>
      </c>
      <c r="X166" s="363" t="s">
        <v>85</v>
      </c>
    </row>
    <row r="167" spans="2:24">
      <c r="J167" t="str">
        <f t="shared" si="38"/>
        <v>\I:Trd_bus_</v>
      </c>
      <c r="K167" t="str">
        <f t="shared" si="40"/>
        <v>\I:</v>
      </c>
      <c r="L167" t="str">
        <f t="shared" si="39"/>
        <v>\I:</v>
      </c>
      <c r="M167" s="365" t="str">
        <f t="shared" si="41"/>
        <v/>
      </c>
      <c r="N167" s="365" t="str">
        <f t="shared" si="42"/>
        <v/>
      </c>
      <c r="O167" s="365" t="str">
        <f t="shared" si="43"/>
        <v/>
      </c>
      <c r="P167" s="365" t="str">
        <f t="shared" si="44"/>
        <v/>
      </c>
      <c r="R167" s="361"/>
      <c r="T167" t="s">
        <v>83</v>
      </c>
      <c r="U167" t="str">
        <f t="shared" si="45"/>
        <v>\I:</v>
      </c>
      <c r="V167" t="str">
        <f ca="1" t="shared" si="46"/>
        <v>Hybrid diesel coach -- 00%</v>
      </c>
      <c r="W167" s="363" t="s">
        <v>84</v>
      </c>
      <c r="X167" s="363" t="s">
        <v>85</v>
      </c>
    </row>
    <row r="168" spans="2:24">
      <c r="J168" t="str">
        <f t="shared" si="38"/>
        <v>\I:Trd_bus_</v>
      </c>
      <c r="K168" t="str">
        <f t="shared" si="40"/>
        <v>\I:</v>
      </c>
      <c r="L168" t="str">
        <f t="shared" si="39"/>
        <v>\I:</v>
      </c>
      <c r="M168" s="365" t="str">
        <f t="shared" si="41"/>
        <v/>
      </c>
      <c r="N168" s="365" t="str">
        <f t="shared" si="42"/>
        <v/>
      </c>
      <c r="O168" s="365" t="str">
        <f t="shared" si="43"/>
        <v/>
      </c>
      <c r="P168" s="365" t="str">
        <f t="shared" si="44"/>
        <v/>
      </c>
      <c r="R168" s="361"/>
      <c r="T168" t="s">
        <v>83</v>
      </c>
      <c r="U168" t="str">
        <f t="shared" si="45"/>
        <v>\I:</v>
      </c>
      <c r="V168" t="str">
        <f ca="1" t="shared" si="46"/>
        <v>Hybrid diesel coach -- 00%</v>
      </c>
      <c r="W168" s="363" t="s">
        <v>84</v>
      </c>
      <c r="X168" s="363" t="s">
        <v>85</v>
      </c>
    </row>
    <row r="169" spans="2:24">
      <c r="J169" t="str">
        <f t="shared" si="38"/>
        <v>\I:Trd_bus_</v>
      </c>
      <c r="K169" t="str">
        <f t="shared" si="40"/>
        <v>\I:</v>
      </c>
      <c r="L169" t="str">
        <f t="shared" si="39"/>
        <v>\I:</v>
      </c>
      <c r="M169" s="365" t="str">
        <f t="shared" si="41"/>
        <v/>
      </c>
      <c r="N169" s="365" t="str">
        <f t="shared" si="42"/>
        <v/>
      </c>
      <c r="O169" s="365" t="str">
        <f t="shared" si="43"/>
        <v/>
      </c>
      <c r="P169" s="365" t="str">
        <f t="shared" si="44"/>
        <v/>
      </c>
      <c r="R169" s="361"/>
      <c r="T169" t="s">
        <v>83</v>
      </c>
      <c r="U169" t="str">
        <f t="shared" si="45"/>
        <v>\I:</v>
      </c>
      <c r="V169" t="str">
        <f ca="1" t="shared" si="46"/>
        <v>Hybrid diesel coach -- 00%</v>
      </c>
      <c r="W169" s="363" t="s">
        <v>84</v>
      </c>
      <c r="X169" s="363" t="s">
        <v>85</v>
      </c>
    </row>
    <row r="170" spans="2:24">
      <c r="J170" t="str">
        <f t="shared" si="38"/>
        <v>\I:Trd_bus_</v>
      </c>
      <c r="K170" t="str">
        <f t="shared" si="40"/>
        <v>\I:</v>
      </c>
      <c r="L170" t="str">
        <f t="shared" si="39"/>
        <v>\I:</v>
      </c>
      <c r="M170" s="365" t="str">
        <f t="shared" si="41"/>
        <v/>
      </c>
      <c r="N170" s="365" t="str">
        <f t="shared" si="42"/>
        <v/>
      </c>
      <c r="O170" s="365" t="str">
        <f t="shared" si="43"/>
        <v/>
      </c>
      <c r="P170" s="365" t="str">
        <f t="shared" si="44"/>
        <v/>
      </c>
      <c r="R170" s="361"/>
      <c r="T170" t="s">
        <v>83</v>
      </c>
      <c r="U170" t="str">
        <f t="shared" si="45"/>
        <v>\I:</v>
      </c>
      <c r="V170" t="str">
        <f ca="1" t="shared" si="46"/>
        <v>Hybrid diesel coach -- 00%</v>
      </c>
      <c r="W170" s="363" t="s">
        <v>84</v>
      </c>
      <c r="X170" s="363" t="s">
        <v>85</v>
      </c>
    </row>
    <row r="171" spans="2:24">
      <c r="B171" s="44" t="s">
        <v>167</v>
      </c>
      <c r="J171" t="str">
        <f t="shared" si="38"/>
        <v>\I:Trd_bus_</v>
      </c>
      <c r="K171" t="str">
        <f t="shared" si="40"/>
        <v>\I:</v>
      </c>
      <c r="L171" t="str">
        <f t="shared" si="39"/>
        <v>\I:</v>
      </c>
      <c r="M171" s="365" t="str">
        <f t="shared" si="41"/>
        <v/>
      </c>
      <c r="N171" s="365" t="str">
        <f t="shared" si="42"/>
        <v/>
      </c>
      <c r="O171" s="365" t="str">
        <f t="shared" si="43"/>
        <v/>
      </c>
      <c r="P171" s="365" t="str">
        <f t="shared" si="44"/>
        <v/>
      </c>
      <c r="R171" s="361"/>
      <c r="T171" t="s">
        <v>83</v>
      </c>
      <c r="U171" t="str">
        <f t="shared" si="45"/>
        <v>\I:</v>
      </c>
      <c r="V171" t="str">
        <f ca="1" t="shared" si="46"/>
        <v>Hybrid diesel coach -- Reference values for LPG coach</v>
      </c>
      <c r="W171" s="363" t="s">
        <v>84</v>
      </c>
      <c r="X171" s="363" t="s">
        <v>85</v>
      </c>
    </row>
    <row r="172" spans="2:24">
      <c r="B172" s="356">
        <v>2015</v>
      </c>
      <c r="C172" s="356"/>
      <c r="D172" s="356"/>
      <c r="J172" t="str">
        <f t="shared" si="38"/>
        <v>\I:Trd_bus_</v>
      </c>
      <c r="K172" t="str">
        <f t="shared" si="40"/>
        <v>\I:</v>
      </c>
      <c r="L172" t="str">
        <f t="shared" si="39"/>
        <v>\I:</v>
      </c>
      <c r="M172" s="365" t="str">
        <f t="shared" si="41"/>
        <v/>
      </c>
      <c r="N172" s="365" t="str">
        <f t="shared" si="42"/>
        <v/>
      </c>
      <c r="O172" s="365" t="str">
        <f t="shared" si="43"/>
        <v/>
      </c>
      <c r="P172" s="365" t="str">
        <f t="shared" si="44"/>
        <v/>
      </c>
      <c r="R172" s="361"/>
      <c r="T172" t="s">
        <v>83</v>
      </c>
      <c r="U172" t="str">
        <f t="shared" si="45"/>
        <v>\I:</v>
      </c>
      <c r="V172" t="str">
        <f ca="1" t="shared" si="46"/>
        <v>Hybrid diesel coach -- 201500%</v>
      </c>
      <c r="W172" s="363" t="s">
        <v>84</v>
      </c>
      <c r="X172" s="363" t="s">
        <v>85</v>
      </c>
    </row>
    <row r="173" spans="2:24">
      <c r="B173" s="46" t="s">
        <v>12</v>
      </c>
      <c r="C173" s="47" t="s">
        <v>13</v>
      </c>
      <c r="D173" s="48">
        <v>32.1825557678347</v>
      </c>
      <c r="J173" t="str">
        <f t="shared" si="38"/>
        <v>\I:Trd_bus_</v>
      </c>
      <c r="K173" t="str">
        <f t="shared" si="40"/>
        <v>\I:</v>
      </c>
      <c r="L173" t="str">
        <f t="shared" si="39"/>
        <v>\I:</v>
      </c>
      <c r="M173" s="365" t="str">
        <f t="shared" si="41"/>
        <v/>
      </c>
      <c r="N173" s="365" t="str">
        <f t="shared" si="42"/>
        <v/>
      </c>
      <c r="O173" s="365" t="str">
        <f t="shared" si="43"/>
        <v/>
      </c>
      <c r="P173" s="365" t="str">
        <f t="shared" si="44"/>
        <v/>
      </c>
      <c r="R173" s="361"/>
      <c r="T173" t="s">
        <v>83</v>
      </c>
      <c r="U173" t="str">
        <f t="shared" si="45"/>
        <v>\I:</v>
      </c>
      <c r="V173" t="str">
        <f ca="1" t="shared" si="46"/>
        <v>Hybrid diesel coach -- Energy consumption</v>
      </c>
      <c r="W173" s="363" t="s">
        <v>84</v>
      </c>
      <c r="X173" s="363" t="s">
        <v>85</v>
      </c>
    </row>
    <row r="174" spans="2:24">
      <c r="B174" s="46" t="s">
        <v>14</v>
      </c>
      <c r="C174" s="47" t="s">
        <v>15</v>
      </c>
      <c r="D174" s="68">
        <v>314033.258144713</v>
      </c>
      <c r="J174" t="str">
        <f t="shared" si="38"/>
        <v>\I:Trd_bus_</v>
      </c>
      <c r="K174" t="str">
        <f t="shared" si="40"/>
        <v>\I:</v>
      </c>
      <c r="L174" t="str">
        <f t="shared" si="39"/>
        <v>\I:</v>
      </c>
      <c r="M174" s="365" t="str">
        <f t="shared" si="41"/>
        <v/>
      </c>
      <c r="N174" s="365" t="str">
        <f t="shared" si="42"/>
        <v/>
      </c>
      <c r="O174" s="365" t="str">
        <f t="shared" si="43"/>
        <v/>
      </c>
      <c r="P174" s="365" t="str">
        <f t="shared" si="44"/>
        <v/>
      </c>
      <c r="R174" s="361"/>
      <c r="T174" t="s">
        <v>83</v>
      </c>
      <c r="U174" t="str">
        <f t="shared" si="45"/>
        <v>\I:</v>
      </c>
      <c r="V174" t="str">
        <f ca="1" t="shared" si="46"/>
        <v>Hybrid diesel coach -- Capital cost</v>
      </c>
      <c r="W174" s="363" t="s">
        <v>84</v>
      </c>
      <c r="X174" s="363" t="s">
        <v>85</v>
      </c>
    </row>
    <row r="175" spans="2:24">
      <c r="J175" t="str">
        <f t="shared" si="38"/>
        <v>\I:Trd_bus_</v>
      </c>
      <c r="K175" t="str">
        <f t="shared" si="40"/>
        <v>\I:</v>
      </c>
      <c r="L175" t="str">
        <f t="shared" si="39"/>
        <v>\I:</v>
      </c>
      <c r="M175" s="365" t="str">
        <f t="shared" si="41"/>
        <v/>
      </c>
      <c r="N175" s="365" t="str">
        <f t="shared" si="42"/>
        <v/>
      </c>
      <c r="O175" s="365" t="str">
        <f t="shared" si="43"/>
        <v/>
      </c>
      <c r="P175" s="365" t="str">
        <f t="shared" si="44"/>
        <v/>
      </c>
      <c r="R175" s="361"/>
      <c r="T175" t="s">
        <v>83</v>
      </c>
      <c r="U175" t="str">
        <f t="shared" si="45"/>
        <v>\I:</v>
      </c>
      <c r="V175" t="str">
        <f ca="1" t="shared" si="46"/>
        <v>Hybrid diesel coach -- 00%</v>
      </c>
      <c r="W175" s="363" t="s">
        <v>84</v>
      </c>
      <c r="X175" s="363" t="s">
        <v>85</v>
      </c>
    </row>
    <row r="176" ht="15" customHeight="1" spans="2:24">
      <c r="B176" s="362" t="s">
        <v>91</v>
      </c>
      <c r="C176" s="362" t="s">
        <v>168</v>
      </c>
      <c r="D176" s="362"/>
      <c r="E176" s="362"/>
      <c r="F176" s="362"/>
      <c r="J176" t="str">
        <f t="shared" si="38"/>
        <v>\I:Trd_bus_</v>
      </c>
      <c r="K176" t="str">
        <f t="shared" si="40"/>
        <v>\I:</v>
      </c>
      <c r="L176" t="str">
        <f t="shared" si="39"/>
        <v>\I:</v>
      </c>
      <c r="M176" s="365" t="str">
        <f t="shared" si="41"/>
        <v/>
      </c>
      <c r="N176" s="365" t="str">
        <f t="shared" si="42"/>
        <v/>
      </c>
      <c r="O176" s="365" t="str">
        <f t="shared" si="43"/>
        <v/>
      </c>
      <c r="P176" s="365" t="str">
        <f t="shared" si="44"/>
        <v/>
      </c>
      <c r="R176" s="361"/>
      <c r="T176" t="s">
        <v>83</v>
      </c>
      <c r="U176" t="str">
        <f t="shared" si="45"/>
        <v>\I:</v>
      </c>
      <c r="V176" t="str">
        <f ca="1" t="shared" si="46"/>
        <v>Hybrid diesel coach -- Reduction of specific energy consumption relative to 2015 LPG vehicle (%)</v>
      </c>
      <c r="W176" s="363" t="s">
        <v>84</v>
      </c>
      <c r="X176" s="363" t="s">
        <v>85</v>
      </c>
    </row>
    <row r="177" spans="2:24">
      <c r="B177" s="362"/>
      <c r="C177" s="362"/>
      <c r="D177" s="362"/>
      <c r="E177" s="362"/>
      <c r="F177" s="362"/>
      <c r="J177" t="str">
        <f t="shared" si="38"/>
        <v>\I:Trd_bus_</v>
      </c>
      <c r="K177" t="str">
        <f t="shared" si="40"/>
        <v>\I:</v>
      </c>
      <c r="L177" t="str">
        <f t="shared" si="39"/>
        <v>\I:</v>
      </c>
      <c r="M177" s="365" t="str">
        <f t="shared" si="41"/>
        <v/>
      </c>
      <c r="N177" s="365" t="str">
        <f t="shared" si="42"/>
        <v/>
      </c>
      <c r="O177" s="365" t="str">
        <f t="shared" si="43"/>
        <v/>
      </c>
      <c r="P177" s="365" t="str">
        <f t="shared" si="44"/>
        <v/>
      </c>
      <c r="R177" s="361"/>
      <c r="T177" t="s">
        <v>83</v>
      </c>
      <c r="U177" t="str">
        <f t="shared" si="45"/>
        <v>\I:</v>
      </c>
      <c r="V177" t="str">
        <f ca="1" t="shared" si="46"/>
        <v>Hybrid diesel coach -- 00%</v>
      </c>
      <c r="W177" s="363" t="s">
        <v>84</v>
      </c>
      <c r="X177" s="363" t="s">
        <v>85</v>
      </c>
    </row>
    <row r="178" spans="2:24">
      <c r="B178" s="362"/>
      <c r="C178" s="362"/>
      <c r="D178" s="362"/>
      <c r="E178" s="362"/>
      <c r="F178" s="362"/>
      <c r="J178" t="str">
        <f t="shared" si="38"/>
        <v>\I:Trd_bus_</v>
      </c>
      <c r="K178" t="str">
        <f t="shared" si="40"/>
        <v>\I:</v>
      </c>
      <c r="L178" t="str">
        <f t="shared" si="39"/>
        <v>\I:</v>
      </c>
      <c r="M178" s="365" t="str">
        <f t="shared" si="41"/>
        <v/>
      </c>
      <c r="N178" s="365" t="str">
        <f t="shared" si="42"/>
        <v/>
      </c>
      <c r="O178" s="365" t="str">
        <f t="shared" si="43"/>
        <v/>
      </c>
      <c r="P178" s="365" t="str">
        <f t="shared" si="44"/>
        <v/>
      </c>
      <c r="R178" s="361"/>
      <c r="T178" t="s">
        <v>83</v>
      </c>
      <c r="U178" t="str">
        <f t="shared" si="45"/>
        <v>\I:</v>
      </c>
      <c r="V178" t="str">
        <f ca="1" t="shared" si="46"/>
        <v>Hybrid diesel coach -- 00%</v>
      </c>
      <c r="W178" s="363" t="s">
        <v>84</v>
      </c>
      <c r="X178" s="363" t="s">
        <v>85</v>
      </c>
    </row>
    <row r="179" spans="2:24">
      <c r="B179" s="50"/>
      <c r="C179" s="51">
        <v>2020</v>
      </c>
      <c r="D179" s="51">
        <v>2030</v>
      </c>
      <c r="E179" s="51">
        <v>2040</v>
      </c>
      <c r="F179" s="51">
        <v>2050</v>
      </c>
      <c r="J179" t="str">
        <f t="shared" si="38"/>
        <v>\I:Trd_bus_</v>
      </c>
      <c r="K179" t="str">
        <f t="shared" si="40"/>
        <v>\I:</v>
      </c>
      <c r="L179" t="str">
        <f t="shared" si="39"/>
        <v>\I:</v>
      </c>
      <c r="M179" s="365" t="str">
        <f t="shared" si="41"/>
        <v/>
      </c>
      <c r="N179" s="365" t="str">
        <f t="shared" si="42"/>
        <v/>
      </c>
      <c r="O179" s="365" t="str">
        <f t="shared" si="43"/>
        <v/>
      </c>
      <c r="P179" s="365" t="str">
        <f t="shared" si="44"/>
        <v/>
      </c>
      <c r="R179" s="361"/>
      <c r="T179" t="s">
        <v>83</v>
      </c>
      <c r="U179" t="str">
        <f t="shared" si="45"/>
        <v>\I:</v>
      </c>
      <c r="V179" t="str">
        <f ca="1" t="shared" si="46"/>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5">
        <f t="shared" si="41"/>
        <v>314853.623173696</v>
      </c>
      <c r="N180" s="365">
        <f t="shared" si="42"/>
        <v>314853.623173696</v>
      </c>
      <c r="O180" s="365">
        <f t="shared" si="43"/>
        <v>314853.623173696</v>
      </c>
      <c r="P180" s="365">
        <f t="shared" si="44"/>
        <v>314853.623173696</v>
      </c>
      <c r="R180" s="361"/>
      <c r="T180" t="s">
        <v>83</v>
      </c>
      <c r="U180" t="str">
        <f t="shared" si="45"/>
        <v>\I:Trd_bus__04</v>
      </c>
      <c r="V180" t="str">
        <f ca="1" t="shared" si="46"/>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5">
        <f t="shared" si="41"/>
        <v>316357.912857641</v>
      </c>
      <c r="N181" s="365">
        <f t="shared" si="42"/>
        <v>315860.771337195</v>
      </c>
      <c r="O181" s="365">
        <f t="shared" si="43"/>
        <v>315860.771337195</v>
      </c>
      <c r="P181" s="365">
        <f t="shared" si="44"/>
        <v>315860.771337195</v>
      </c>
      <c r="R181" s="361"/>
      <c r="T181" t="s">
        <v>83</v>
      </c>
      <c r="U181" t="str">
        <f t="shared" si="45"/>
        <v>\I:Trd_bus__09</v>
      </c>
      <c r="V181" t="str">
        <f ca="1" t="shared" si="46"/>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5">
        <f t="shared" si="41"/>
        <v>317785.200592476</v>
      </c>
      <c r="N182" s="365">
        <f t="shared" si="42"/>
        <v>317374.996164148</v>
      </c>
      <c r="O182" s="365">
        <f t="shared" si="43"/>
        <v>317374.996164148</v>
      </c>
      <c r="P182" s="365">
        <f t="shared" si="44"/>
        <v>317374.996164148</v>
      </c>
      <c r="R182" s="361"/>
      <c r="T182" t="s">
        <v>83</v>
      </c>
      <c r="U182" t="str">
        <f t="shared" si="45"/>
        <v>\I:Trd_bus__14</v>
      </c>
      <c r="V182" t="str">
        <f ca="1" t="shared" si="46"/>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5">
        <f t="shared" si="41"/>
        <v>322862.916891406</v>
      </c>
      <c r="N183" s="365">
        <f t="shared" si="42"/>
        <v>319651.599458143</v>
      </c>
      <c r="O183" s="365">
        <f t="shared" si="43"/>
        <v>319651.599458143</v>
      </c>
      <c r="P183" s="365">
        <f t="shared" si="44"/>
        <v>319651.599458143</v>
      </c>
      <c r="R183" s="361"/>
      <c r="T183" t="s">
        <v>83</v>
      </c>
      <c r="U183" t="str">
        <f t="shared" si="45"/>
        <v>\I:Trd_bus__19</v>
      </c>
      <c r="V183" t="str">
        <f ca="1" t="shared" si="46"/>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5">
        <f t="shared" si="41"/>
        <v>328683.925077435</v>
      </c>
      <c r="N184" s="365">
        <f t="shared" si="42"/>
        <v>323074.421793354</v>
      </c>
      <c r="O184" s="365">
        <f t="shared" si="43"/>
        <v>323074.421793354</v>
      </c>
      <c r="P184" s="365">
        <f t="shared" si="44"/>
        <v>323074.421793354</v>
      </c>
      <c r="R184" s="361"/>
      <c r="T184" t="s">
        <v>83</v>
      </c>
      <c r="U184" t="str">
        <f t="shared" si="45"/>
        <v>\I:Trd_bus__24</v>
      </c>
      <c r="V184" t="str">
        <f ca="1" t="shared" si="46"/>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5">
        <f t="shared" si="41"/>
        <v>354415.764843984</v>
      </c>
      <c r="N185" s="365">
        <f t="shared" si="42"/>
        <v>328347.028066266</v>
      </c>
      <c r="O185" s="365">
        <f t="shared" si="43"/>
        <v>328220.558921997</v>
      </c>
      <c r="P185" s="365">
        <f t="shared" si="44"/>
        <v>328220.558921997</v>
      </c>
      <c r="R185" s="361"/>
      <c r="T185" t="s">
        <v>83</v>
      </c>
      <c r="U185" t="str">
        <f t="shared" si="45"/>
        <v>\I:Trd_bus__26</v>
      </c>
      <c r="V185" t="str">
        <f ca="1" t="shared" si="46"/>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5">
        <f t="shared" si="41"/>
        <v>439504.492759275</v>
      </c>
      <c r="N186" s="365">
        <f t="shared" si="42"/>
        <v>344457.30295664</v>
      </c>
      <c r="O186" s="365">
        <f t="shared" si="43"/>
        <v>335957.661451208</v>
      </c>
      <c r="P186" s="365">
        <f t="shared" si="44"/>
        <v>335957.661451208</v>
      </c>
      <c r="R186" s="361"/>
      <c r="T186" t="s">
        <v>83</v>
      </c>
      <c r="U186" t="str">
        <f t="shared" si="45"/>
        <v>\I:Trd_bus__29</v>
      </c>
      <c r="V186" t="str">
        <f ca="1" t="shared" si="46"/>
        <v>Hybrid diesel coach -- 29%</v>
      </c>
      <c r="W186" s="363" t="s">
        <v>84</v>
      </c>
      <c r="X186" s="363" t="s">
        <v>85</v>
      </c>
    </row>
    <row r="187" spans="2:24">
      <c r="J187" t="str">
        <f t="shared" si="38"/>
        <v>\I:Trd_bus_</v>
      </c>
      <c r="K187" t="str">
        <f t="shared" si="40"/>
        <v>\I:</v>
      </c>
      <c r="L187" t="str">
        <f t="shared" si="39"/>
        <v>\I:</v>
      </c>
      <c r="M187" s="365" t="str">
        <f t="shared" si="41"/>
        <v/>
      </c>
      <c r="N187" s="365" t="str">
        <f t="shared" si="42"/>
        <v/>
      </c>
      <c r="O187" s="365" t="str">
        <f t="shared" si="43"/>
        <v/>
      </c>
      <c r="P187" s="365" t="str">
        <f t="shared" si="44"/>
        <v/>
      </c>
      <c r="R187" s="361"/>
      <c r="T187" t="s">
        <v>83</v>
      </c>
      <c r="U187" t="str">
        <f t="shared" si="45"/>
        <v>\I:</v>
      </c>
      <c r="V187" t="str">
        <f ca="1" t="shared" si="46"/>
        <v>Hybrid diesel coach -- 00%</v>
      </c>
      <c r="W187" s="363" t="s">
        <v>84</v>
      </c>
      <c r="X187" s="363" t="s">
        <v>85</v>
      </c>
    </row>
    <row r="188" spans="2:24">
      <c r="J188" t="str">
        <f t="shared" si="38"/>
        <v>\I:Trd_bus_</v>
      </c>
      <c r="K188" t="str">
        <f t="shared" si="40"/>
        <v>\I:</v>
      </c>
      <c r="L188" t="str">
        <f t="shared" si="39"/>
        <v>\I:</v>
      </c>
      <c r="M188" s="365" t="str">
        <f t="shared" si="41"/>
        <v/>
      </c>
      <c r="N188" s="365" t="str">
        <f t="shared" si="42"/>
        <v/>
      </c>
      <c r="O188" s="365" t="str">
        <f t="shared" si="43"/>
        <v/>
      </c>
      <c r="P188" s="365" t="str">
        <f t="shared" si="44"/>
        <v/>
      </c>
      <c r="R188" s="361"/>
      <c r="T188" t="s">
        <v>83</v>
      </c>
      <c r="U188" t="str">
        <f t="shared" si="45"/>
        <v>\I:</v>
      </c>
      <c r="V188" t="str">
        <f ca="1" t="shared" si="46"/>
        <v>Hybrid diesel coach -- 00%</v>
      </c>
      <c r="W188" s="363" t="s">
        <v>84</v>
      </c>
      <c r="X188" s="363" t="s">
        <v>85</v>
      </c>
    </row>
    <row r="189" spans="2:24">
      <c r="J189" t="str">
        <f t="shared" si="38"/>
        <v>\I:Trd_bus_</v>
      </c>
      <c r="K189" t="str">
        <f t="shared" si="40"/>
        <v>\I:</v>
      </c>
      <c r="L189" t="str">
        <f t="shared" si="39"/>
        <v>\I:</v>
      </c>
      <c r="M189" s="365" t="str">
        <f t="shared" si="41"/>
        <v/>
      </c>
      <c r="N189" s="365" t="str">
        <f t="shared" si="42"/>
        <v/>
      </c>
      <c r="O189" s="365" t="str">
        <f t="shared" si="43"/>
        <v/>
      </c>
      <c r="P189" s="365" t="str">
        <f t="shared" si="44"/>
        <v/>
      </c>
      <c r="R189" s="361"/>
      <c r="T189" t="s">
        <v>83</v>
      </c>
      <c r="U189" t="str">
        <f t="shared" si="45"/>
        <v>\I:</v>
      </c>
      <c r="V189" t="str">
        <f ca="1" t="shared" si="46"/>
        <v>Hybrid diesel coach -- 00%</v>
      </c>
      <c r="W189" s="363" t="s">
        <v>84</v>
      </c>
      <c r="X189" s="363" t="s">
        <v>85</v>
      </c>
    </row>
    <row r="190" spans="2:24">
      <c r="B190" s="356">
        <v>2020</v>
      </c>
      <c r="C190" s="356"/>
      <c r="D190" s="356"/>
      <c r="J190" t="str">
        <f t="shared" si="38"/>
        <v>\I:Trd_bus_</v>
      </c>
      <c r="K190" t="str">
        <f t="shared" si="40"/>
        <v>\I:</v>
      </c>
      <c r="L190" t="str">
        <f t="shared" si="39"/>
        <v>\I:</v>
      </c>
      <c r="M190" s="365" t="str">
        <f t="shared" si="41"/>
        <v/>
      </c>
      <c r="N190" s="365" t="str">
        <f t="shared" si="42"/>
        <v/>
      </c>
      <c r="O190" s="365" t="str">
        <f t="shared" si="43"/>
        <v/>
      </c>
      <c r="P190" s="365" t="str">
        <f t="shared" si="44"/>
        <v/>
      </c>
      <c r="R190" s="361"/>
      <c r="T190" t="s">
        <v>83</v>
      </c>
      <c r="U190" t="str">
        <f t="shared" si="45"/>
        <v>\I:</v>
      </c>
      <c r="V190" t="str">
        <f ca="1" t="shared" si="46"/>
        <v>Hybrid diesel coach -- 202000%</v>
      </c>
      <c r="W190" s="363" t="s">
        <v>84</v>
      </c>
      <c r="X190" s="363" t="s">
        <v>85</v>
      </c>
    </row>
    <row r="191" spans="2:24">
      <c r="B191" s="46" t="s">
        <v>169</v>
      </c>
      <c r="C191" s="47" t="s">
        <v>26</v>
      </c>
      <c r="D191" s="74">
        <v>1.15</v>
      </c>
      <c r="J191" t="str">
        <f t="shared" si="38"/>
        <v>\I:Trd_bus_</v>
      </c>
      <c r="K191" t="str">
        <f t="shared" si="40"/>
        <v>\I:</v>
      </c>
      <c r="L191" t="str">
        <f t="shared" si="39"/>
        <v>\I:</v>
      </c>
      <c r="M191" s="365" t="str">
        <f t="shared" si="41"/>
        <v/>
      </c>
      <c r="N191" s="365" t="str">
        <f t="shared" si="42"/>
        <v/>
      </c>
      <c r="O191" s="365" t="str">
        <f t="shared" si="43"/>
        <v/>
      </c>
      <c r="P191" s="365" t="str">
        <f t="shared" si="44"/>
        <v/>
      </c>
      <c r="R191" s="361"/>
      <c r="T191" t="s">
        <v>83</v>
      </c>
      <c r="U191" t="str">
        <f t="shared" si="45"/>
        <v>\I:</v>
      </c>
      <c r="V191" t="str">
        <f ca="1" t="shared" si="46"/>
        <v>Hybrid diesel coach -- Energy consumption of Battery electric coach</v>
      </c>
      <c r="W191" s="363" t="s">
        <v>84</v>
      </c>
      <c r="X191" s="363" t="s">
        <v>85</v>
      </c>
    </row>
    <row r="192" spans="2:24">
      <c r="J192" t="str">
        <f t="shared" si="38"/>
        <v>\I:Trd_bus_</v>
      </c>
      <c r="K192" t="str">
        <f t="shared" si="40"/>
        <v>\I:</v>
      </c>
      <c r="L192" t="str">
        <f t="shared" si="39"/>
        <v>\I:</v>
      </c>
      <c r="M192" s="365" t="str">
        <f t="shared" si="41"/>
        <v/>
      </c>
      <c r="N192" s="365" t="str">
        <f t="shared" si="42"/>
        <v/>
      </c>
      <c r="O192" s="365" t="str">
        <f t="shared" si="43"/>
        <v/>
      </c>
      <c r="P192" s="365" t="str">
        <f t="shared" si="44"/>
        <v/>
      </c>
      <c r="R192" s="361"/>
      <c r="T192" t="s">
        <v>83</v>
      </c>
      <c r="U192" t="str">
        <f t="shared" si="45"/>
        <v>\I:</v>
      </c>
      <c r="V192" t="str">
        <f ca="1" t="shared" si="46"/>
        <v>Hybrid diesel coach -- 00%</v>
      </c>
      <c r="W192" s="363" t="s">
        <v>84</v>
      </c>
      <c r="X192" s="363" t="s">
        <v>85</v>
      </c>
    </row>
    <row r="193" ht="15" customHeight="1" spans="2:24">
      <c r="B193" s="362" t="s">
        <v>27</v>
      </c>
      <c r="C193" s="362" t="s">
        <v>157</v>
      </c>
      <c r="D193" s="362"/>
      <c r="E193" s="362"/>
      <c r="F193" s="362"/>
      <c r="J193" t="str">
        <f t="shared" si="38"/>
        <v>\I:Trd_bus_</v>
      </c>
      <c r="K193" t="str">
        <f t="shared" si="40"/>
        <v>\I:</v>
      </c>
      <c r="L193" t="str">
        <f t="shared" si="39"/>
        <v>\I:</v>
      </c>
      <c r="M193" s="365" t="str">
        <f t="shared" si="41"/>
        <v/>
      </c>
      <c r="N193" s="365" t="str">
        <f t="shared" si="42"/>
        <v/>
      </c>
      <c r="O193" s="365" t="str">
        <f t="shared" si="43"/>
        <v/>
      </c>
      <c r="P193" s="365" t="str">
        <f t="shared" si="44"/>
        <v/>
      </c>
      <c r="R193" s="361"/>
      <c r="T193" t="s">
        <v>83</v>
      </c>
      <c r="U193" t="str">
        <f t="shared" si="45"/>
        <v>\I:</v>
      </c>
      <c r="V193" t="str">
        <f ca="1" t="shared" si="46"/>
        <v>Hybrid diesel coach -- Electric range (km)</v>
      </c>
      <c r="W193" s="363" t="s">
        <v>84</v>
      </c>
      <c r="X193" s="363" t="s">
        <v>85</v>
      </c>
    </row>
    <row r="194" spans="2:24">
      <c r="B194" s="362"/>
      <c r="C194" s="362"/>
      <c r="D194" s="362"/>
      <c r="E194" s="362"/>
      <c r="F194" s="362"/>
      <c r="J194" t="str">
        <f t="shared" si="38"/>
        <v>\I:Trd_bus_</v>
      </c>
      <c r="K194" t="str">
        <f t="shared" si="40"/>
        <v>\I:</v>
      </c>
      <c r="L194" t="str">
        <f t="shared" si="39"/>
        <v>\I:</v>
      </c>
      <c r="M194" s="365" t="str">
        <f t="shared" si="41"/>
        <v/>
      </c>
      <c r="N194" s="365" t="str">
        <f t="shared" si="42"/>
        <v/>
      </c>
      <c r="O194" s="365" t="str">
        <f t="shared" si="43"/>
        <v/>
      </c>
      <c r="P194" s="365" t="str">
        <f t="shared" si="44"/>
        <v/>
      </c>
      <c r="R194" s="361"/>
      <c r="T194" t="s">
        <v>83</v>
      </c>
      <c r="U194" t="str">
        <f t="shared" si="45"/>
        <v>\I:</v>
      </c>
      <c r="V194" t="str">
        <f ca="1" t="shared" si="46"/>
        <v>Hybrid diesel coach -- 00%</v>
      </c>
      <c r="W194" s="363" t="s">
        <v>84</v>
      </c>
      <c r="X194" s="363" t="s">
        <v>85</v>
      </c>
    </row>
    <row r="195" spans="2:24">
      <c r="B195" s="362"/>
      <c r="C195" s="362"/>
      <c r="D195" s="362"/>
      <c r="E195" s="362"/>
      <c r="F195" s="362"/>
      <c r="J195" t="str">
        <f t="shared" si="38"/>
        <v>\I:Trd_bus_</v>
      </c>
      <c r="K195" t="str">
        <f t="shared" si="40"/>
        <v>\I:</v>
      </c>
      <c r="L195" t="str">
        <f t="shared" si="39"/>
        <v>\I:</v>
      </c>
      <c r="M195" s="365" t="str">
        <f t="shared" si="41"/>
        <v/>
      </c>
      <c r="N195" s="365" t="str">
        <f t="shared" si="42"/>
        <v/>
      </c>
      <c r="O195" s="365" t="str">
        <f t="shared" si="43"/>
        <v/>
      </c>
      <c r="P195" s="365" t="str">
        <f t="shared" si="44"/>
        <v/>
      </c>
      <c r="R195" s="361"/>
      <c r="T195" t="s">
        <v>83</v>
      </c>
      <c r="U195" t="str">
        <f t="shared" si="45"/>
        <v>\I:</v>
      </c>
      <c r="V195" t="str">
        <f ca="1" t="shared" si="46"/>
        <v>Hybrid diesel coach -- 00%</v>
      </c>
      <c r="W195" s="363" t="s">
        <v>84</v>
      </c>
      <c r="X195" s="363" t="s">
        <v>85</v>
      </c>
    </row>
    <row r="196" spans="2:24">
      <c r="B196" s="50"/>
      <c r="C196" s="51">
        <v>2020</v>
      </c>
      <c r="D196" s="51">
        <v>2030</v>
      </c>
      <c r="E196" s="51">
        <v>2040</v>
      </c>
      <c r="F196" s="51">
        <v>2050</v>
      </c>
      <c r="J196" t="str">
        <f t="shared" si="38"/>
        <v>\I:Trd_bus_</v>
      </c>
      <c r="K196" t="str">
        <f t="shared" si="40"/>
        <v>\I:</v>
      </c>
      <c r="L196" t="str">
        <f t="shared" si="39"/>
        <v>\I:</v>
      </c>
      <c r="M196" s="365" t="str">
        <f t="shared" si="41"/>
        <v/>
      </c>
      <c r="N196" s="365" t="str">
        <f t="shared" si="42"/>
        <v/>
      </c>
      <c r="O196" s="365" t="str">
        <f t="shared" si="43"/>
        <v/>
      </c>
      <c r="P196" s="365" t="str">
        <f t="shared" si="44"/>
        <v/>
      </c>
      <c r="R196" s="361"/>
      <c r="T196" t="s">
        <v>83</v>
      </c>
      <c r="U196" t="str">
        <f t="shared" si="45"/>
        <v>\I:</v>
      </c>
      <c r="V196" t="str">
        <f ca="1" t="shared" si="46"/>
        <v>Hybrid diesel coach -- 00%</v>
      </c>
      <c r="W196" s="363" t="s">
        <v>84</v>
      </c>
      <c r="X196" s="36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5">
        <f t="shared" si="41"/>
        <v>432403.149196547</v>
      </c>
      <c r="N197" s="365">
        <f t="shared" si="42"/>
        <v>321623.420926528</v>
      </c>
      <c r="O197" s="365">
        <f t="shared" si="43"/>
        <v>308656.066547112</v>
      </c>
      <c r="P197" s="365">
        <f t="shared" si="44"/>
        <v>303278.407673277</v>
      </c>
      <c r="R197" s="361"/>
      <c r="T197" t="s">
        <v>83</v>
      </c>
      <c r="U197" t="str">
        <f t="shared" si="45"/>
        <v>\I:Trd_bus__12000</v>
      </c>
      <c r="V197" t="str">
        <f ca="1" t="shared" si="46"/>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5">
        <f t="shared" si="41"/>
        <v>436722.073356786</v>
      </c>
      <c r="N198" s="365">
        <f t="shared" si="42"/>
        <v>324694.575852623</v>
      </c>
      <c r="O198" s="365">
        <f t="shared" si="43"/>
        <v>310226.231333419</v>
      </c>
      <c r="P198" s="365">
        <f t="shared" si="44"/>
        <v>304226.100619255</v>
      </c>
      <c r="R198" s="361"/>
      <c r="T198" t="s">
        <v>83</v>
      </c>
      <c r="U198" t="str">
        <f t="shared" si="45"/>
        <v>\I:Trd_bus__13429</v>
      </c>
      <c r="V198" t="str">
        <f ca="1" t="shared" si="46"/>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5">
        <f t="shared" si="41"/>
        <v>439101.341331762</v>
      </c>
      <c r="N199" s="365">
        <f t="shared" si="42"/>
        <v>326386.455656653</v>
      </c>
      <c r="O199" s="365">
        <f t="shared" si="43"/>
        <v>311091.225172832</v>
      </c>
      <c r="P199" s="365">
        <f t="shared" si="44"/>
        <v>304748.178662957</v>
      </c>
      <c r="R199" s="361"/>
      <c r="T199" t="s">
        <v>83</v>
      </c>
      <c r="U199" t="str">
        <f t="shared" si="45"/>
        <v>\I:Trd_bus__14857</v>
      </c>
      <c r="V199" t="str">
        <f ca="1" t="shared" si="46"/>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5">
        <f t="shared" si="41"/>
        <v>441517.145494916</v>
      </c>
      <c r="N200" s="365">
        <f t="shared" si="42"/>
        <v>328104.316073016</v>
      </c>
      <c r="O200" s="365">
        <f t="shared" si="43"/>
        <v>311969.501911868</v>
      </c>
      <c r="P200" s="365">
        <f t="shared" si="44"/>
        <v>305278.273769826</v>
      </c>
      <c r="R200" s="361"/>
      <c r="T200" t="s">
        <v>83</v>
      </c>
      <c r="U200" t="str">
        <f t="shared" si="45"/>
        <v>\I:Trd_bus__16286</v>
      </c>
      <c r="V200" t="str">
        <f ca="1" t="shared" si="46"/>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5">
        <f t="shared" si="41"/>
        <v>444078.767318675</v>
      </c>
      <c r="N201" s="365">
        <f t="shared" si="42"/>
        <v>329925.866345942</v>
      </c>
      <c r="O201" s="365">
        <f t="shared" si="43"/>
        <v>312900.791333556</v>
      </c>
      <c r="P201" s="365">
        <f t="shared" si="44"/>
        <v>305840.365356196</v>
      </c>
      <c r="R201" s="361"/>
      <c r="T201" t="s">
        <v>83</v>
      </c>
      <c r="U201" t="str">
        <f t="shared" si="45"/>
        <v>\I:Trd_bus__17714</v>
      </c>
      <c r="V201" t="str">
        <f ca="1" t="shared" si="46"/>
        <v>Hybrid diesel coach -- 17714%</v>
      </c>
      <c r="W201" s="363" t="s">
        <v>84</v>
      </c>
      <c r="X201" s="36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5">
        <f t="shared" si="41"/>
        <v>488912.15374367</v>
      </c>
      <c r="N202" s="365">
        <f t="shared" si="42"/>
        <v>365809.482166322</v>
      </c>
      <c r="O202" s="365">
        <f t="shared" si="43"/>
        <v>330905.629479526</v>
      </c>
      <c r="P202" s="365">
        <f t="shared" si="44"/>
        <v>316707.414632298</v>
      </c>
      <c r="R202" s="361"/>
      <c r="T202" t="s">
        <v>83</v>
      </c>
      <c r="U202" t="str">
        <f t="shared" si="45"/>
        <v>\I:Trd_bus__35000</v>
      </c>
      <c r="V202" t="str">
        <f ca="1" t="shared" si="46"/>
        <v>Hybrid diesel coach -- 35000%</v>
      </c>
      <c r="W202" s="363" t="s">
        <v>84</v>
      </c>
      <c r="X202" s="36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5">
        <f t="shared" si="41"/>
        <v>530094.963307474</v>
      </c>
      <c r="N203" s="365">
        <f t="shared" si="42"/>
        <v>398620.776220214</v>
      </c>
      <c r="O203" s="365">
        <f t="shared" si="43"/>
        <v>348984.265806477</v>
      </c>
      <c r="P203" s="365">
        <f t="shared" si="44"/>
        <v>327038.150254399</v>
      </c>
      <c r="R203" s="361"/>
      <c r="T203" t="s">
        <v>83</v>
      </c>
      <c r="U203" t="str">
        <f t="shared" si="45"/>
        <v>\I:Trd_bus__50000</v>
      </c>
      <c r="V203" t="str">
        <f ca="1" t="shared" si="46"/>
        <v>Hybrid diesel coach -- 50000%</v>
      </c>
      <c r="W203" s="363" t="s">
        <v>84</v>
      </c>
      <c r="X203" s="36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5">
        <f t="shared" si="41"/>
        <v>565928.361387453</v>
      </c>
      <c r="N204" s="365">
        <f t="shared" si="42"/>
        <v>427615.94590543</v>
      </c>
      <c r="O204" s="365">
        <f t="shared" si="43"/>
        <v>362846.01604123</v>
      </c>
      <c r="P204" s="365">
        <f t="shared" si="44"/>
        <v>335985.441563159</v>
      </c>
      <c r="R204" s="361"/>
      <c r="T204" t="s">
        <v>83</v>
      </c>
      <c r="U204" t="str">
        <f t="shared" si="45"/>
        <v>\I:Trd_bus__60000</v>
      </c>
      <c r="V204" t="str">
        <f ca="1" t="shared" si="46"/>
        <v>Hybrid diesel coach -- 60000%</v>
      </c>
      <c r="W204" s="363" t="s">
        <v>84</v>
      </c>
      <c r="X204" s="363" t="s">
        <v>85</v>
      </c>
    </row>
    <row r="205" spans="2:24">
      <c r="B205" s="365"/>
      <c r="J205" t="str">
        <f t="shared" si="38"/>
        <v>\I:Trd_bus_</v>
      </c>
      <c r="K205" t="str">
        <f t="shared" si="40"/>
        <v>\I:</v>
      </c>
      <c r="L205" t="str">
        <f t="shared" si="39"/>
        <v>\I:</v>
      </c>
      <c r="M205" s="365" t="str">
        <f t="shared" si="41"/>
        <v/>
      </c>
      <c r="N205" s="365" t="str">
        <f t="shared" si="42"/>
        <v/>
      </c>
      <c r="O205" s="365" t="str">
        <f t="shared" si="43"/>
        <v/>
      </c>
      <c r="P205" s="365" t="str">
        <f t="shared" si="44"/>
        <v/>
      </c>
      <c r="R205" s="361"/>
      <c r="T205" t="s">
        <v>83</v>
      </c>
      <c r="U205" t="str">
        <f t="shared" si="45"/>
        <v>\I:</v>
      </c>
      <c r="V205" t="str">
        <f ca="1" t="shared" si="46"/>
        <v>Hybrid diesel coach -- 00%</v>
      </c>
      <c r="W205" s="363" t="s">
        <v>84</v>
      </c>
      <c r="X205" s="363" t="s">
        <v>85</v>
      </c>
    </row>
    <row r="206" spans="2:24">
      <c r="J206" t="str">
        <f t="shared" ref="J206:J219" si="47">IFERROR(VLOOKUP(C206,$R$1:$S$9,2,FALSE),J205)</f>
        <v>\I:Trd_bus_</v>
      </c>
      <c r="K206" t="str">
        <f t="shared" si="40"/>
        <v>\I:</v>
      </c>
      <c r="L206" t="str">
        <f t="shared" ref="L206:L219" si="48">LEFT(K206,7)</f>
        <v>\I:</v>
      </c>
      <c r="M206" s="365" t="str">
        <f t="shared" si="41"/>
        <v/>
      </c>
      <c r="N206" s="365" t="str">
        <f t="shared" si="42"/>
        <v/>
      </c>
      <c r="O206" s="365" t="str">
        <f t="shared" si="43"/>
        <v/>
      </c>
      <c r="P206" s="365" t="str">
        <f t="shared" si="44"/>
        <v/>
      </c>
      <c r="R206" s="361"/>
      <c r="T206" t="s">
        <v>83</v>
      </c>
      <c r="U206" t="str">
        <f t="shared" si="45"/>
        <v>\I:</v>
      </c>
      <c r="V206" t="str">
        <f ca="1" t="shared" si="46"/>
        <v>Hybrid diesel coach -- 00%</v>
      </c>
      <c r="W206" s="363" t="s">
        <v>84</v>
      </c>
      <c r="X206" s="363" t="s">
        <v>85</v>
      </c>
    </row>
    <row r="207" spans="2:24">
      <c r="J207" t="str">
        <f t="shared" si="47"/>
        <v>\I:Trd_bus_</v>
      </c>
      <c r="K207" t="str">
        <f t="shared" si="40"/>
        <v>\I:</v>
      </c>
      <c r="L207" t="str">
        <f t="shared" si="48"/>
        <v>\I:</v>
      </c>
      <c r="M207" s="365" t="str">
        <f t="shared" si="41"/>
        <v/>
      </c>
      <c r="N207" s="365" t="str">
        <f t="shared" si="42"/>
        <v/>
      </c>
      <c r="O207" s="365" t="str">
        <f t="shared" si="43"/>
        <v/>
      </c>
      <c r="P207" s="365" t="str">
        <f t="shared" si="44"/>
        <v/>
      </c>
      <c r="R207" s="361"/>
      <c r="T207" t="s">
        <v>83</v>
      </c>
      <c r="U207" t="str">
        <f t="shared" si="45"/>
        <v>\I:</v>
      </c>
      <c r="V207" t="str">
        <f ca="1" t="shared" si="46"/>
        <v>Hybrid diesel coach -- 00%</v>
      </c>
      <c r="W207" s="363" t="s">
        <v>84</v>
      </c>
      <c r="X207" s="363" t="s">
        <v>85</v>
      </c>
    </row>
    <row r="208" ht="21.75" customHeight="1" spans="2:24">
      <c r="B208" s="362" t="s">
        <v>29</v>
      </c>
      <c r="C208" s="362" t="s">
        <v>170</v>
      </c>
      <c r="D208" s="362"/>
      <c r="E208" s="362"/>
      <c r="F208" s="362"/>
      <c r="J208" t="str">
        <f t="shared" si="47"/>
        <v>\I:Trd_bus_</v>
      </c>
      <c r="K208" t="str">
        <f t="shared" si="40"/>
        <v>\I:</v>
      </c>
      <c r="L208" t="str">
        <f t="shared" si="48"/>
        <v>\I:</v>
      </c>
      <c r="M208" s="365" t="str">
        <f t="shared" si="41"/>
        <v/>
      </c>
      <c r="N208" s="365" t="str">
        <f t="shared" si="42"/>
        <v/>
      </c>
      <c r="O208" s="365" t="str">
        <f t="shared" si="43"/>
        <v/>
      </c>
      <c r="P208" s="365" t="str">
        <f t="shared" si="44"/>
        <v/>
      </c>
      <c r="R208" s="361"/>
      <c r="T208" t="s">
        <v>83</v>
      </c>
      <c r="U208" t="str">
        <f t="shared" si="45"/>
        <v>\I:</v>
      </c>
      <c r="V208" t="str">
        <f ca="1" t="shared" si="46"/>
        <v>Hybrid diesel coach -- Energy consumption (kg H2/100km)</v>
      </c>
      <c r="W208" s="363" t="s">
        <v>84</v>
      </c>
      <c r="X208" s="363" t="s">
        <v>85</v>
      </c>
    </row>
    <row r="209" ht="21.75" customHeight="1" spans="2:24">
      <c r="B209" s="362"/>
      <c r="C209" s="362"/>
      <c r="D209" s="362"/>
      <c r="E209" s="362"/>
      <c r="F209" s="362"/>
      <c r="J209" t="str">
        <f t="shared" si="47"/>
        <v>\I:Trd_bus_</v>
      </c>
      <c r="K209" t="str">
        <f t="shared" si="40"/>
        <v>\I:</v>
      </c>
      <c r="L209" t="str">
        <f t="shared" si="48"/>
        <v>\I:</v>
      </c>
      <c r="M209" s="365" t="str">
        <f t="shared" si="41"/>
        <v/>
      </c>
      <c r="N209" s="365" t="str">
        <f t="shared" si="42"/>
        <v/>
      </c>
      <c r="O209" s="365" t="str">
        <f t="shared" si="43"/>
        <v/>
      </c>
      <c r="P209" s="365" t="str">
        <f t="shared" si="44"/>
        <v/>
      </c>
      <c r="R209" s="361"/>
      <c r="T209" t="s">
        <v>83</v>
      </c>
      <c r="U209" t="str">
        <f t="shared" si="45"/>
        <v>\I:</v>
      </c>
      <c r="V209" t="str">
        <f ca="1" t="shared" si="46"/>
        <v>Hybrid diesel coach -- 00%</v>
      </c>
      <c r="W209" s="363" t="s">
        <v>84</v>
      </c>
      <c r="X209" s="363" t="s">
        <v>85</v>
      </c>
    </row>
    <row r="210" spans="2:24">
      <c r="B210" s="362"/>
      <c r="C210" s="362"/>
      <c r="D210" s="362"/>
      <c r="E210" s="362"/>
      <c r="F210" s="362"/>
      <c r="J210" t="str">
        <f t="shared" si="47"/>
        <v>\I:Trd_bus_</v>
      </c>
      <c r="K210" t="str">
        <f t="shared" si="40"/>
        <v>\I:</v>
      </c>
      <c r="L210" t="str">
        <f t="shared" si="48"/>
        <v>\I:</v>
      </c>
      <c r="M210" s="365" t="str">
        <f t="shared" si="41"/>
        <v/>
      </c>
      <c r="N210" s="365" t="str">
        <f t="shared" si="42"/>
        <v/>
      </c>
      <c r="O210" s="365" t="str">
        <f t="shared" si="43"/>
        <v/>
      </c>
      <c r="P210" s="365" t="str">
        <f t="shared" si="44"/>
        <v/>
      </c>
      <c r="R210" s="361"/>
      <c r="T210" t="s">
        <v>83</v>
      </c>
      <c r="U210" t="str">
        <f t="shared" si="45"/>
        <v>\I:</v>
      </c>
      <c r="V210" t="str">
        <f ca="1" t="shared" si="46"/>
        <v>Hybrid diesel coach -- 00%</v>
      </c>
      <c r="W210" s="363" t="s">
        <v>84</v>
      </c>
      <c r="X210" s="363" t="s">
        <v>85</v>
      </c>
    </row>
    <row r="211" spans="2:24">
      <c r="B211" s="50"/>
      <c r="C211" s="51">
        <v>2020</v>
      </c>
      <c r="D211" s="51">
        <v>2030</v>
      </c>
      <c r="E211" s="51">
        <v>2040</v>
      </c>
      <c r="F211" s="51">
        <v>2050</v>
      </c>
      <c r="J211" t="str">
        <f t="shared" si="47"/>
        <v>\I:Trd_bus_</v>
      </c>
      <c r="K211" t="str">
        <f t="shared" si="40"/>
        <v>\I:</v>
      </c>
      <c r="L211" t="str">
        <f t="shared" si="48"/>
        <v>\I:</v>
      </c>
      <c r="M211" s="365" t="str">
        <f t="shared" si="41"/>
        <v/>
      </c>
      <c r="N211" s="365" t="str">
        <f t="shared" si="42"/>
        <v/>
      </c>
      <c r="O211" s="365" t="str">
        <f t="shared" si="43"/>
        <v/>
      </c>
      <c r="P211" s="365" t="str">
        <f t="shared" si="44"/>
        <v/>
      </c>
      <c r="R211" s="361"/>
      <c r="T211" t="s">
        <v>83</v>
      </c>
      <c r="U211" t="str">
        <f t="shared" si="45"/>
        <v>\I:</v>
      </c>
      <c r="V211" t="str">
        <f ca="1" t="shared" si="46"/>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5">
        <f t="shared" si="41"/>
        <v>645414.917881523</v>
      </c>
      <c r="N212" s="365">
        <f t="shared" si="42"/>
        <v>417379.007105806</v>
      </c>
      <c r="O212" s="365">
        <f t="shared" si="43"/>
        <v>354901.720144819</v>
      </c>
      <c r="P212" s="365">
        <f t="shared" si="44"/>
        <v>338590.059493097</v>
      </c>
      <c r="R212" s="361"/>
      <c r="T212" t="s">
        <v>83</v>
      </c>
      <c r="U212" t="str">
        <f t="shared" si="45"/>
        <v>\I:Trd_bus__665</v>
      </c>
      <c r="V212" t="str">
        <f ca="1" t="shared" si="46"/>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5">
        <f t="shared" si="41"/>
        <v>646209.342968632</v>
      </c>
      <c r="N213" s="365">
        <f t="shared" si="42"/>
        <v>417926.742297443</v>
      </c>
      <c r="O213" s="365">
        <f t="shared" si="43"/>
        <v>355381.16265353</v>
      </c>
      <c r="P213" s="365">
        <f t="shared" si="44"/>
        <v>339001.209318881</v>
      </c>
      <c r="R213" s="361"/>
      <c r="T213" t="s">
        <v>83</v>
      </c>
      <c r="U213" t="str">
        <f t="shared" si="45"/>
        <v>\I:Trd_bus__645</v>
      </c>
      <c r="V213" t="str">
        <f ca="1" t="shared" si="46"/>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5">
        <f t="shared" si="41"/>
        <v>647003.76805574</v>
      </c>
      <c r="N214" s="365">
        <f t="shared" si="42"/>
        <v>418474.477489081</v>
      </c>
      <c r="O214" s="365">
        <f t="shared" si="43"/>
        <v>355860.605162241</v>
      </c>
      <c r="P214" s="365">
        <f t="shared" si="44"/>
        <v>339412.359144665</v>
      </c>
      <c r="R214" s="361"/>
      <c r="T214" t="s">
        <v>83</v>
      </c>
      <c r="U214" t="str">
        <f t="shared" si="45"/>
        <v>\I:Trd_bus__625</v>
      </c>
      <c r="V214" t="str">
        <f ca="1" t="shared" si="46"/>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5">
        <f t="shared" si="41"/>
        <v>647798.193142848</v>
      </c>
      <c r="N215" s="365">
        <f t="shared" si="42"/>
        <v>419022.212680718</v>
      </c>
      <c r="O215" s="365">
        <f t="shared" si="43"/>
        <v>356340.047670951</v>
      </c>
      <c r="P215" s="365">
        <f t="shared" si="44"/>
        <v>339823.508970449</v>
      </c>
      <c r="R215" s="361"/>
      <c r="T215" t="s">
        <v>83</v>
      </c>
      <c r="U215" t="str">
        <f t="shared" si="45"/>
        <v>\I:Trd_bus__605</v>
      </c>
      <c r="V215" t="str">
        <f ca="1" t="shared" si="46"/>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5">
        <f t="shared" ref="M216:M219" si="50">IF($K216="\I:","",C216)</f>
        <v>648592.618229956</v>
      </c>
      <c r="N216" s="365">
        <f t="shared" ref="N216:N219" si="51">IF($K216="\I:","",D216)</f>
        <v>419569.947872356</v>
      </c>
      <c r="O216" s="365">
        <f t="shared" ref="O216:O219" si="52">IF($K216="\I:","",E216)</f>
        <v>356819.490179662</v>
      </c>
      <c r="P216" s="365">
        <f t="shared" ref="P216:P219" si="53">IF($K216="\I:","",F216)</f>
        <v>340234.658796233</v>
      </c>
      <c r="R216" s="361"/>
      <c r="T216" t="s">
        <v>83</v>
      </c>
      <c r="U216" t="str">
        <f t="shared" ref="U216:U219" si="54">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5">
        <f t="shared" si="50"/>
        <v>649387.043317064</v>
      </c>
      <c r="N217" s="365">
        <f t="shared" si="51"/>
        <v>420117.683063994</v>
      </c>
      <c r="O217" s="365">
        <f t="shared" si="52"/>
        <v>357298.932688373</v>
      </c>
      <c r="P217" s="365">
        <f t="shared" si="53"/>
        <v>340645.808622017</v>
      </c>
      <c r="R217" s="361"/>
      <c r="T217" t="s">
        <v>83</v>
      </c>
      <c r="U217" t="str">
        <f t="shared" si="54"/>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5">
        <f t="shared" si="50"/>
        <v>650181.468404172</v>
      </c>
      <c r="N218" s="365">
        <f t="shared" si="51"/>
        <v>420665.418255631</v>
      </c>
      <c r="O218" s="365">
        <f t="shared" si="52"/>
        <v>357778.375197084</v>
      </c>
      <c r="P218" s="365">
        <f t="shared" si="53"/>
        <v>341056.958447801</v>
      </c>
      <c r="R218" s="361"/>
      <c r="T218" t="s">
        <v>83</v>
      </c>
      <c r="U218" t="str">
        <f t="shared" si="54"/>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5">
        <f t="shared" si="50"/>
        <v>650975.89349128</v>
      </c>
      <c r="N219" s="365">
        <f t="shared" si="51"/>
        <v>421213.153447269</v>
      </c>
      <c r="O219" s="365">
        <f t="shared" si="52"/>
        <v>358257.817705795</v>
      </c>
      <c r="P219" s="365">
        <f t="shared" si="53"/>
        <v>341468.108273585</v>
      </c>
      <c r="R219" s="361"/>
      <c r="T219" t="s">
        <v>83</v>
      </c>
      <c r="U219" t="str">
        <f t="shared" si="54"/>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C87"/>
  <sheetViews>
    <sheetView tabSelected="1" zoomScale="45" zoomScaleNormal="45" topLeftCell="AR21" workbookViewId="0">
      <selection activeCell="BG57" sqref="BG5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5">
      <c r="AW49" s="338"/>
      <c r="AX49" s="305"/>
      <c r="AY49" s="305"/>
      <c r="AZ49" s="305" t="s">
        <v>198</v>
      </c>
      <c r="BA49" s="339"/>
    </row>
    <row r="50" spans="49:55">
      <c r="AW50" s="340" t="s">
        <v>193</v>
      </c>
      <c r="AX50" s="305" t="s">
        <v>76</v>
      </c>
      <c r="AY50" s="305" t="s">
        <v>79</v>
      </c>
      <c r="AZ50" s="305" t="s">
        <v>194</v>
      </c>
      <c r="BA50" s="339">
        <v>2020</v>
      </c>
    </row>
    <row r="51" spans="49:55">
      <c r="AW51" s="341" t="s">
        <v>195</v>
      </c>
      <c r="AX51" s="342"/>
      <c r="AY51" s="339" t="str">
        <f>O22</f>
        <v>Tra_EV_Batt-LFP_virgin</v>
      </c>
      <c r="AZ51" s="308"/>
      <c r="BC51" s="343">
        <v>5</v>
      </c>
    </row>
    <row r="52" spans="49:55">
      <c r="AW52" s="341" t="s">
        <v>195</v>
      </c>
      <c r="AX52" s="342"/>
      <c r="AY52" s="308" t="str">
        <f>U22</f>
        <v>Tra_EV_Batt-LMO_virgin</v>
      </c>
      <c r="AZ52" s="308"/>
      <c r="BC52" s="343">
        <v>5</v>
      </c>
    </row>
    <row r="53" spans="49:55">
      <c r="AW53" s="341" t="s">
        <v>195</v>
      </c>
      <c r="AX53" s="342"/>
      <c r="AY53" s="308" t="str">
        <f>AA22</f>
        <v>Tra_EV_Batt-NCA_virgin</v>
      </c>
      <c r="AZ53" s="308"/>
      <c r="BC53" s="343">
        <v>5</v>
      </c>
    </row>
    <row r="54" spans="49:55">
      <c r="AW54" s="341" t="s">
        <v>195</v>
      </c>
      <c r="AX54" s="342"/>
      <c r="AY54" s="308" t="str">
        <f>AS22</f>
        <v>Tra_EV_Batt-NMC622_virgin</v>
      </c>
      <c r="AZ54" s="308"/>
      <c r="BC54" s="343">
        <v>5</v>
      </c>
    </row>
    <row r="55" spans="49:55">
      <c r="AW55" s="341" t="s">
        <v>195</v>
      </c>
      <c r="AX55" s="342"/>
      <c r="AY55" s="308" t="str">
        <f>AY22</f>
        <v>Tra_EV_Batt-NMC811_virgin</v>
      </c>
      <c r="AZ55" s="308"/>
      <c r="BC55" s="343">
        <v>5</v>
      </c>
    </row>
    <row r="56" spans="49:55">
      <c r="AW56" s="341" t="s">
        <v>195</v>
      </c>
      <c r="AX56" s="342"/>
      <c r="AY56" s="308" t="str">
        <f>AM22</f>
        <v>Tra_EV_Batt-NMC532_virgin</v>
      </c>
      <c r="AZ56" s="308"/>
      <c r="BC56" s="343">
        <v>5</v>
      </c>
    </row>
    <row r="57" spans="49:55">
      <c r="AW57" s="341" t="s">
        <v>195</v>
      </c>
      <c r="AX57" s="342"/>
      <c r="AY57" s="308" t="str">
        <f>AY36</f>
        <v>Tra_EV_Batt-Sodium_virgin</v>
      </c>
      <c r="AZ57" s="308"/>
      <c r="BC57" s="343">
        <v>5</v>
      </c>
    </row>
    <row r="58" spans="49:55">
      <c r="BC58" s="344"/>
    </row>
    <row r="62" spans="49:55">
      <c r="AW62" s="338"/>
      <c r="AX62" s="305"/>
      <c r="AY62" s="305"/>
      <c r="AZ62" s="305" t="s">
        <v>199</v>
      </c>
      <c r="BA62" s="339"/>
    </row>
    <row r="63" spans="49:55">
      <c r="AW63" s="340" t="s">
        <v>193</v>
      </c>
      <c r="AX63" s="305" t="s">
        <v>76</v>
      </c>
      <c r="AY63" s="305" t="s">
        <v>79</v>
      </c>
      <c r="AZ63" s="305" t="s">
        <v>194</v>
      </c>
      <c r="BA63" s="339" t="s">
        <v>200</v>
      </c>
      <c r="BB63" t="s">
        <v>201</v>
      </c>
    </row>
    <row r="64" spans="49:55">
      <c r="AW64" s="341" t="s">
        <v>195</v>
      </c>
      <c r="AX64" s="342"/>
      <c r="AY64" s="339" t="s">
        <v>178</v>
      </c>
      <c r="AZ64" s="308"/>
      <c r="BA64" s="345">
        <v>1</v>
      </c>
      <c r="BB64">
        <v>2021</v>
      </c>
    </row>
    <row r="65" spans="49:54">
      <c r="AW65" s="341" t="s">
        <v>195</v>
      </c>
      <c r="AX65" s="342"/>
      <c r="AY65" s="308" t="s">
        <v>179</v>
      </c>
      <c r="AZ65" s="308"/>
      <c r="BA65" s="345">
        <v>1</v>
      </c>
      <c r="BB65">
        <v>2021</v>
      </c>
    </row>
    <row r="66" spans="49:54">
      <c r="AW66" s="341" t="s">
        <v>195</v>
      </c>
      <c r="AX66" s="342"/>
      <c r="AY66" s="308" t="s">
        <v>180</v>
      </c>
      <c r="AZ66" s="308"/>
      <c r="BA66" s="345">
        <f t="shared" ref="BA66:BA70" si="21">BA65</f>
        <v>1</v>
      </c>
      <c r="BB66">
        <v>2021</v>
      </c>
    </row>
    <row r="67" spans="49:54">
      <c r="AW67" s="341" t="s">
        <v>195</v>
      </c>
      <c r="AX67" s="342"/>
      <c r="AY67" s="308" t="s">
        <v>183</v>
      </c>
      <c r="AZ67" s="308"/>
      <c r="BA67" s="345">
        <f t="shared" si="21"/>
        <v>1</v>
      </c>
      <c r="BB67">
        <v>2021</v>
      </c>
    </row>
    <row r="68" spans="49:54">
      <c r="AW68" s="341" t="s">
        <v>195</v>
      </c>
      <c r="AX68" s="342"/>
      <c r="AY68" s="308" t="s">
        <v>184</v>
      </c>
      <c r="AZ68" s="308"/>
      <c r="BA68" s="345">
        <f t="shared" si="21"/>
        <v>1</v>
      </c>
      <c r="BB68">
        <v>2021</v>
      </c>
    </row>
    <row r="69" spans="49:54">
      <c r="AW69" s="341" t="s">
        <v>195</v>
      </c>
      <c r="AX69" s="342"/>
      <c r="AY69" s="308" t="s">
        <v>182</v>
      </c>
      <c r="AZ69" s="308"/>
      <c r="BA69" s="345">
        <f t="shared" si="21"/>
        <v>1</v>
      </c>
      <c r="BB69">
        <v>2021</v>
      </c>
    </row>
    <row r="70" spans="49:54">
      <c r="AW70" s="341" t="s">
        <v>195</v>
      </c>
      <c r="AX70" s="342"/>
      <c r="AY70" s="308" t="s">
        <v>197</v>
      </c>
      <c r="AZ70" s="308"/>
      <c r="BA70" s="345">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9" zoomScaleNormal="49" topLeftCell="F54" workbookViewId="0">
      <selection activeCell="M50" sqref="M5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2021</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2021</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2021</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2021</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2021</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2021</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2021</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2021</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2026-07-31T22:41:57Z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