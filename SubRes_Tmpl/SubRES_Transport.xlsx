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<sst xmlns="http://schemas.openxmlformats.org/spreadsheetml/2006/main" count="7786" uniqueCount="767">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</sst>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ahoma"/>
      <charset val="134"/>
    </font>
    <font>
      <sz val="9"/>
      <name val="Times New Roman"/>
      <charset val="0"/>
    </font>
    <font>
      <sz val="9"/>
      <name val="Tahoma"/>
      <charset val="1"/>
    </font>
    <font>
      <b/>
      <sz val="9"/>
      <name val="Tahoma"/>
      <charset val="1"/>
    </font>
    <font>
      <b/>
      <sz val="9"/>
      <name val="Times New Roman"/>
      <charset val="134"/>
    </font>
    <font>
      <b/>
      <sz val="9"/>
      <name val="Tahoma"/>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zoomScale="115" zoomScaleNormal="115" topLeftCell="U9" workbookViewId="0">
      <selection activeCell="Z30" sqref="Z3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86" zoomScaleNormal="86" topLeftCell="U88" workbookViewId="0">
      <selection activeCell="AC116" sqref="AC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2">
      <c r="B97" s="307">
        <v>2020</v>
      </c>
      <c r="C97" s="312" t="s">
        <v>393</v>
      </c>
      <c r="D97" s="192"/>
      <c r="E97" s="192"/>
      <c r="G97" s="313" t="s">
        <v>393</v>
      </c>
      <c r="H97" s="192"/>
      <c r="I97" s="311">
        <v>3</v>
      </c>
      <c r="J97" s="192"/>
      <c r="U97" s="296"/>
      <c r="V97" s="296"/>
      <c r="W97" s="296"/>
      <c r="X97" s="296"/>
      <c r="Y97" s="296"/>
      <c r="Z97" s="296"/>
      <c r="AA97" s="296"/>
      <c r="AB97" s="296"/>
      <c r="AC97" s="296"/>
    </row>
    <row r="98" ht="14.5" spans="2:32">
      <c r="B98" s="307">
        <v>2020</v>
      </c>
      <c r="C98" s="312" t="s">
        <v>394</v>
      </c>
      <c r="D98" s="192"/>
      <c r="E98" s="192"/>
      <c r="G98" s="313" t="s">
        <v>394</v>
      </c>
      <c r="H98" s="192"/>
      <c r="I98" s="311">
        <v>3</v>
      </c>
      <c r="J98" s="192"/>
    </row>
    <row r="99" ht="14.5" spans="2:32">
      <c r="B99" s="307">
        <v>2020</v>
      </c>
      <c r="C99" s="312" t="s">
        <v>395</v>
      </c>
      <c r="D99" s="192"/>
      <c r="E99" s="192"/>
      <c r="G99" s="313" t="s">
        <v>395</v>
      </c>
      <c r="I99" s="311">
        <v>3</v>
      </c>
      <c r="X99" s="317"/>
    </row>
    <row r="100" ht="14.5" spans="2:32">
      <c r="B100" s="307">
        <v>2020</v>
      </c>
      <c r="C100" s="312" t="s">
        <v>396</v>
      </c>
      <c r="D100" s="192"/>
      <c r="E100" s="192"/>
      <c r="G100" s="313" t="s">
        <v>396</v>
      </c>
      <c r="I100" s="311">
        <v>3</v>
      </c>
      <c r="W100" s="296" t="s">
        <v>222</v>
      </c>
      <c r="X100" s="317"/>
    </row>
    <row r="101" ht="14.5" spans="2:32">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2">
      <c r="B102" s="307">
        <v>2020</v>
      </c>
      <c r="C102" s="312" t="s">
        <v>406</v>
      </c>
      <c r="D102" s="192"/>
      <c r="E102" s="192"/>
      <c r="G102" s="313" t="s">
        <v>406</v>
      </c>
      <c r="I102" s="311">
        <v>3</v>
      </c>
      <c r="V102" s="318" t="s">
        <v>297</v>
      </c>
      <c r="W102" s="319" t="s">
        <v>185</v>
      </c>
      <c r="X102" s="320">
        <v>5.3</v>
      </c>
      <c r="Y102" s="320">
        <v>45</v>
      </c>
      <c r="Z102" s="171" t="s">
        <v>338</v>
      </c>
      <c r="AA102" s="277">
        <v>6</v>
      </c>
      <c r="AB102" s="171">
        <v>5</v>
      </c>
      <c r="AC102" s="171">
        <f t="shared" ref="AC102:AC107" si="15">Y102*3%</f>
        <v>1.35</v>
      </c>
      <c r="AD102" s="171">
        <v>0.9</v>
      </c>
      <c r="AE102" s="171">
        <v>30</v>
      </c>
    </row>
    <row r="103" ht="14.5" spans="2:32">
      <c r="B103" s="307">
        <v>2030</v>
      </c>
      <c r="C103" s="312" t="s">
        <v>407</v>
      </c>
      <c r="D103" s="192"/>
      <c r="E103" s="192"/>
      <c r="G103" s="313" t="s">
        <v>407</v>
      </c>
      <c r="I103" s="311">
        <v>3</v>
      </c>
      <c r="V103" s="297" t="s">
        <v>300</v>
      </c>
      <c r="W103" s="171" t="s">
        <v>186</v>
      </c>
      <c r="X103" s="320">
        <v>8</v>
      </c>
      <c r="Y103" s="320">
        <v>50</v>
      </c>
      <c r="Z103" s="171" t="s">
        <v>338</v>
      </c>
      <c r="AA103" s="171">
        <v>4</v>
      </c>
      <c r="AB103" s="171">
        <v>5</v>
      </c>
      <c r="AC103" s="171">
        <f t="shared" si="15"/>
        <v>1.5</v>
      </c>
      <c r="AD103" s="171">
        <v>0.9</v>
      </c>
      <c r="AE103" s="171">
        <v>30</v>
      </c>
    </row>
    <row r="104" ht="14.5" spans="2:32">
      <c r="B104" s="307">
        <v>2030</v>
      </c>
      <c r="C104" s="312" t="s">
        <v>408</v>
      </c>
      <c r="D104" s="192"/>
      <c r="E104" s="192"/>
      <c r="G104" s="313" t="s">
        <v>408</v>
      </c>
      <c r="I104" s="311">
        <v>3</v>
      </c>
      <c r="V104" s="297" t="s">
        <v>305</v>
      </c>
      <c r="W104" s="171" t="s">
        <v>188</v>
      </c>
      <c r="X104" s="321">
        <v>3.3</v>
      </c>
      <c r="Y104" s="321">
        <v>10</v>
      </c>
      <c r="Z104" s="171" t="s">
        <v>338</v>
      </c>
      <c r="AA104" s="171">
        <v>4</v>
      </c>
      <c r="AB104" s="171">
        <v>5</v>
      </c>
      <c r="AC104" s="171">
        <f t="shared" si="15"/>
        <v>0.3</v>
      </c>
      <c r="AD104" s="171">
        <v>0.9</v>
      </c>
      <c r="AE104" s="171">
        <v>30</v>
      </c>
    </row>
    <row r="105" ht="14.5" spans="2:32">
      <c r="B105" s="307">
        <v>2030</v>
      </c>
      <c r="C105" s="312" t="s">
        <v>409</v>
      </c>
      <c r="G105" s="313" t="s">
        <v>409</v>
      </c>
      <c r="I105" s="311">
        <v>3</v>
      </c>
      <c r="V105" s="297" t="s">
        <v>307</v>
      </c>
      <c r="W105" s="171" t="s">
        <v>189</v>
      </c>
      <c r="X105" s="320">
        <v>1.5</v>
      </c>
      <c r="Y105" s="320">
        <v>10</v>
      </c>
      <c r="Z105" s="171" t="s">
        <v>338</v>
      </c>
      <c r="AA105" s="171">
        <v>5</v>
      </c>
      <c r="AB105" s="171">
        <v>5</v>
      </c>
      <c r="AC105" s="171">
        <f t="shared" si="15"/>
        <v>0.3</v>
      </c>
      <c r="AD105" s="171">
        <v>0.9</v>
      </c>
      <c r="AE105" s="171">
        <v>30</v>
      </c>
    </row>
    <row r="106" ht="14.5" spans="2:32">
      <c r="B106" s="307">
        <v>2030</v>
      </c>
      <c r="C106" s="312" t="s">
        <v>410</v>
      </c>
      <c r="G106" s="313" t="s">
        <v>410</v>
      </c>
      <c r="I106" s="311">
        <v>3</v>
      </c>
      <c r="V106" s="297" t="s">
        <v>309</v>
      </c>
      <c r="W106" s="171" t="s">
        <v>190</v>
      </c>
      <c r="X106" s="320">
        <v>4.5</v>
      </c>
      <c r="Y106" s="320">
        <v>18.5</v>
      </c>
      <c r="Z106" s="171" t="s">
        <v>338</v>
      </c>
      <c r="AA106" s="171">
        <v>4</v>
      </c>
      <c r="AB106" s="171">
        <v>5</v>
      </c>
      <c r="AC106" s="171">
        <f t="shared" si="15"/>
        <v>0.555</v>
      </c>
      <c r="AD106" s="171">
        <v>0.9</v>
      </c>
      <c r="AE106" s="171">
        <v>30</v>
      </c>
    </row>
    <row r="107" ht="14.5" spans="2:32">
      <c r="B107" s="307">
        <v>2030</v>
      </c>
      <c r="C107" s="312" t="s">
        <v>411</v>
      </c>
      <c r="G107" s="313" t="s">
        <v>411</v>
      </c>
      <c r="I107" s="311">
        <v>3</v>
      </c>
      <c r="V107" s="297" t="s">
        <v>311</v>
      </c>
      <c r="W107" s="171" t="s">
        <v>191</v>
      </c>
      <c r="X107" s="320">
        <v>1.7</v>
      </c>
      <c r="Y107" s="320">
        <v>1.9</v>
      </c>
      <c r="Z107" s="171" t="s">
        <v>338</v>
      </c>
      <c r="AA107" s="171">
        <v>9</v>
      </c>
      <c r="AB107" s="171">
        <v>5</v>
      </c>
      <c r="AC107" s="171">
        <f t="shared" si="15"/>
        <v>0.057</v>
      </c>
      <c r="AD107" s="171">
        <v>0.9</v>
      </c>
      <c r="AE107" s="171">
        <v>30</v>
      </c>
    </row>
    <row r="108" ht="14.5" spans="2:32">
      <c r="B108" s="307">
        <v>2030</v>
      </c>
      <c r="C108" s="312" t="s">
        <v>412</v>
      </c>
      <c r="D108" s="192"/>
      <c r="E108" s="192"/>
      <c r="G108" s="313" t="s">
        <v>412</v>
      </c>
      <c r="I108" s="311">
        <v>3</v>
      </c>
      <c r="V108" s="297" t="s">
        <v>315</v>
      </c>
      <c r="W108" s="171" t="s">
        <v>187</v>
      </c>
      <c r="X108" s="321">
        <v>24</v>
      </c>
      <c r="Y108" s="171">
        <v>30</v>
      </c>
      <c r="Z108" s="171" t="s">
        <v>338</v>
      </c>
      <c r="AA108" s="171">
        <v>4</v>
      </c>
      <c r="AB108" s="171">
        <v>5</v>
      </c>
      <c r="AC108" s="171">
        <v>0.24</v>
      </c>
      <c r="AD108" s="171">
        <v>0.9</v>
      </c>
      <c r="AE108" s="171">
        <v>30</v>
      </c>
      <c r="AF108" s="322">
        <v>0.03</v>
      </c>
    </row>
    <row r="109" spans="2:32">
      <c r="B109" s="307">
        <v>2030</v>
      </c>
      <c r="C109" s="323" t="s">
        <v>413</v>
      </c>
      <c r="G109" s="324" t="s">
        <v>413</v>
      </c>
      <c r="I109" s="311">
        <v>3</v>
      </c>
      <c r="W109" s="171" t="s">
        <v>190</v>
      </c>
    </row>
    <row r="110" ht="14.5" spans="2:32">
      <c r="C110" s="192"/>
      <c r="V110" s="295" t="s">
        <v>321</v>
      </c>
      <c r="W110" s="171" t="s">
        <v>187</v>
      </c>
      <c r="X110" s="321">
        <v>24</v>
      </c>
      <c r="Y110" s="171">
        <v>30</v>
      </c>
      <c r="Z110" s="171" t="s">
        <v>338</v>
      </c>
      <c r="AA110" s="171">
        <v>4</v>
      </c>
      <c r="AB110" s="171">
        <v>5</v>
      </c>
      <c r="AC110" s="171">
        <f>Y110*3%</f>
        <v>0.9</v>
      </c>
      <c r="AD110" s="171">
        <v>0.9</v>
      </c>
      <c r="AE110" s="171">
        <v>30</v>
      </c>
      <c r="AF110" s="322">
        <v>0.03</v>
      </c>
    </row>
    <row r="111" ht="14.5" spans="2:32">
      <c r="C111" s="192"/>
      <c r="W111" s="171" t="s">
        <v>190</v>
      </c>
    </row>
    <row r="112" ht="14.5" spans="2:32">
      <c r="C112" s="192"/>
      <c r="V112" s="297" t="s">
        <v>327</v>
      </c>
      <c r="W112" s="171" t="s">
        <v>187</v>
      </c>
      <c r="X112" s="171">
        <f>X110</f>
        <v>24</v>
      </c>
      <c r="Y112" s="171">
        <v>50</v>
      </c>
      <c r="Z112" s="171" t="s">
        <v>338</v>
      </c>
      <c r="AA112" s="171">
        <v>4</v>
      </c>
      <c r="AB112" s="171">
        <f>AB110</f>
        <v>5</v>
      </c>
      <c r="AC112" s="171">
        <f>Y112*3%</f>
        <v>1.5</v>
      </c>
      <c r="AD112" s="171">
        <f>AD110</f>
        <v>0.9</v>
      </c>
      <c r="AE112" s="171">
        <f>AE110</f>
        <v>30</v>
      </c>
      <c r="AF112" s="322">
        <v>0.03</v>
      </c>
    </row>
    <row r="113" ht="14.5" spans="1:46">
      <c r="C113" s="192"/>
      <c r="W113" s="171" t="s">
        <v>190</v>
      </c>
    </row>
    <row r="114" ht="14.5" spans="1:46">
      <c r="C114" s="192"/>
      <c r="V114" s="171" t="s">
        <v>324</v>
      </c>
      <c r="W114" s="171" t="s">
        <v>187</v>
      </c>
      <c r="X114" s="171">
        <f>X112</f>
        <v>24</v>
      </c>
      <c r="Y114" s="171">
        <v>50</v>
      </c>
      <c r="Z114" s="171" t="s">
        <v>338</v>
      </c>
      <c r="AA114" s="171">
        <v>4</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2026-08-14T02:41:29Z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