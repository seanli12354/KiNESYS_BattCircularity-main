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 name="Existing battery stock-PREDEFIN" sheetId="29" r:id="rId26"/>
  </sheets>
  <externalReferences>
    <externalReference r:id="rId30"/>
    <externalReference r:id="rId31"/>
    <externalReference r:id="rId32"/>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 ref="N177"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2.xml><?xml version="1.0" encoding="utf-8"?>
<comments xmlns="http://schemas.openxmlformats.org/spreadsheetml/2006/main">
  <authors>
    <author>xli9</author>
  </authors>
  <commentList>
    <comment ref="N156"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3.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4.xml><?xml version="1.0" encoding="utf-8"?>
<comments xmlns="http://schemas.openxmlformats.org/spreadsheetml/2006/main">
  <authors>
    <author>Author</author>
    <author>xli9</author>
  </authors>
  <commentList>
    <comment ref="K76" authorId="0">
      <text>
        <r>
          <rPr>
            <b/>
            <sz val="9"/>
            <rFont val="Tahoma"/>
            <charset val="134"/>
          </rPr>
          <t>Author:</t>
        </r>
        <r>
          <rPr>
            <sz val="9"/>
            <rFont val="Tahoma"/>
            <charset val="134"/>
          </rPr>
          <t xml:space="preserve">
18-01-2023
different condition
</t>
        </r>
      </text>
    </comment>
    <comment ref="N94"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12"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30"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48"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5.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6.xml><?xml version="1.0" encoding="utf-8"?>
<comments xmlns="http://schemas.openxmlformats.org/spreadsheetml/2006/main">
  <authors>
    <author>xli9</author>
  </authors>
  <commentList>
    <comment ref="BB50" authorId="0">
      <text>
        <r>
          <rPr>
            <b/>
            <sz val="9"/>
            <rFont val="Times New Roman"/>
            <charset val="0"/>
          </rPr>
          <t>xli9:</t>
        </r>
        <r>
          <rPr>
            <sz val="9"/>
            <rFont val="Times New Roman"/>
            <charset val="0"/>
          </rPr>
          <t xml:space="preserve">
You have to define this, or the backward interpolation will turn off the PASTI</t>
        </r>
      </text>
    </comment>
    <comment ref="BD64" authorId="0">
      <text>
        <r>
          <rPr>
            <b/>
            <sz val="9"/>
            <rFont val="Times New Roman"/>
            <charset val="0"/>
          </rPr>
          <t>xli9:</t>
        </r>
        <r>
          <rPr>
            <sz val="9"/>
            <rFont val="Times New Roman"/>
            <charset val="0"/>
          </rPr>
          <t xml:space="preserve">
Should remove bcz if you put this then 2019 will need IMPMATZ</t>
        </r>
      </text>
    </comment>
    <comment ref="AY81" authorId="0">
      <text>
        <r>
          <rPr>
            <b/>
            <sz val="9"/>
            <rFont val="Times New Roman"/>
            <charset val="134"/>
          </rPr>
          <t>xli9:</t>
        </r>
        <r>
          <rPr>
            <sz val="9"/>
            <rFont val="Times New Roman"/>
            <charset val="134"/>
          </rPr>
          <t xml:space="preserve">
gigafactory</t>
        </r>
      </text>
    </comment>
  </commentList>
</comments>
</file>

<file path=xl/comments7.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I88" authorId="0">
      <text>
        <r>
          <rPr>
            <b/>
            <sz val="9"/>
            <rFont val="Times New Roman"/>
            <charset val="0"/>
          </rPr>
          <t>xli9:</t>
        </r>
        <r>
          <rPr>
            <sz val="9"/>
            <rFont val="Times New Roman"/>
            <charset val="0"/>
          </rPr>
          <t xml:space="preserve">
NO NEED TO SET THIS</t>
        </r>
      </text>
    </comment>
    <comment ref="O89" authorId="0">
      <text>
        <r>
          <rPr>
            <b/>
            <sz val="9"/>
            <rFont val="Times New Roman"/>
            <charset val="0"/>
          </rPr>
          <t>xli9:</t>
        </r>
        <r>
          <rPr>
            <sz val="9"/>
            <rFont val="Times New Roman"/>
            <charset val="0"/>
          </rPr>
          <t xml:space="preserve">
I have to remove or lithium be bound before 2030</t>
        </r>
      </text>
    </comment>
    <comment ref="AH102" authorId="0">
      <text>
        <r>
          <rPr>
            <b/>
            <sz val="9"/>
            <rFont val="Times New Roman"/>
            <charset val="0"/>
          </rPr>
          <t>xli9:</t>
        </r>
        <r>
          <rPr>
            <sz val="9"/>
            <rFont val="Times New Roman"/>
            <charset val="0"/>
          </rPr>
          <t xml:space="preserve">
bcz 15.7 can cause fatal error when running, the G_RATE threshold is 15
15 is too long which cause the model lack materials before 2035 and rise so heavily during 2030-2035...so we need to impose real numbers (should be shorter, yes); and also impose PASTI until 2025..
No it seems we have to move or the model choose to invest in 2030 or 2025 because of the perfect foresight characters</t>
        </r>
      </text>
    </comment>
    <comment ref="X108" authorId="0">
      <text>
        <r>
          <rPr>
            <b/>
            <sz val="9"/>
            <rFont val="Times New Roman"/>
            <charset val="0"/>
          </rPr>
          <t>xli9:</t>
        </r>
        <r>
          <rPr>
            <sz val="9"/>
            <rFont val="Times New Roman"/>
            <charset val="0"/>
          </rPr>
          <t xml:space="preserve">
Just by-product of Cu/Ni, market price is 24. and we use market price as its flow cost</t>
        </r>
      </text>
    </comment>
    <comment ref="X110" authorId="0">
      <text>
        <r>
          <rPr>
            <b/>
            <sz val="9"/>
            <rFont val="Times New Roman"/>
            <charset val="0"/>
          </rPr>
          <t>xli9:</t>
        </r>
        <r>
          <rPr>
            <sz val="9"/>
            <rFont val="Times New Roman"/>
            <charset val="0"/>
          </rPr>
          <t xml:space="preserve">
Just by-product of Cu/Ni, market price is 24. and we use market price as its flow cost</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E174" authorId="0">
      <text>
        <r>
          <rPr>
            <b/>
            <sz val="9"/>
            <rFont val="Times New Roman"/>
            <charset val="0"/>
          </rPr>
          <t>xli9:</t>
        </r>
        <r>
          <rPr>
            <sz val="9"/>
            <rFont val="Times New Roman"/>
            <charset val="0"/>
          </rPr>
          <t xml:space="preserve">
colelction rate, should vary over time</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8.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9.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1.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2.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<sst xmlns="http://schemas.openxmlformats.org/spreadsheetml/2006/main" count="7791" uniqueCount="768">
  <si>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</si>
  <si>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</si>
  <si>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</si>
  <si>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</si>
  <si>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</si>
  <si>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</si>
  <si>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</si>
  <si>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</si>
  <si>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</si>
  <si>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</si>
  <si>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</si>
  <si>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</si>
  <si>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</si>
  <si>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</si>
  <si>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</si>
  <si>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</si>
  <si>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</si>
  <si>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</si>
  <si>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</si>
  <si>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</si>
  <si>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</si>
  <si>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</si>
  <si>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</si>
  <si>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</si>
  <si>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</si>
  <si>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</si>
  <si>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</si>
  <si>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</si>
  <si>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</si>
  <si>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</si>
  <si>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</si>
  <si>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</si>
  <si>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</si>
  <si>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</si>
  <si>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</si>
  <si>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</si>
  <si>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</si>
  <si>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</si>
  <si>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</si>
  <si>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</si>
  <si>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</si>
  <si>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</si>
  <si>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</si>
  <si>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</si>
  <si>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</si>
  <si>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</si>
  <si>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</si>
  <si>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</si>
  <si>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</si>
  <si>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</si>
  <si>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</si>
  <si>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</si>
  <si>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</si>
  <si>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</si>
  <si>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</si>
  <si>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</si>
  <si>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</si>
  <si>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</si>
  <si>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</si>
  <si>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</si>
  <si>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</si>
  <si>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</si>
  <si>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</si>
  <si>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</si>
  <si>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</si>
  <si>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</si>
  <si>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</si>
  <si>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</si>
  <si>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</si>
  <si>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</si>
  <si>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</si>
  <si>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</si>
  <si>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</si>
  <si>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</si>
  <si>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</si>
  <si>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</si>
  <si>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</si>
  <si>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2050, 2100</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</si>
  <si>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</si>
  <si>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</si>
  <si>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</si>
  <si>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</si>
  <si>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</si>
  <si>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</si>
  <si>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</si>
  <si>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</si>
  <si>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</si>
  <si>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</si>
  <si>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</si>
  <si>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</si>
  <si>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</si>
  <si>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</si>
  <si>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</si>
  <si>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</si>
  <si>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</si>
  <si>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</si>
  <si>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</si>
  <si>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</si>
  <si>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</si>
  <si>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</si>
  <si>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</si>
  <si>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</si>
  <si>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</si>
  <si>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</si>
  <si>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</si>
  <si>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</si>
  <si>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</si>
  <si>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</si>
  <si>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</si>
  <si>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</si>
  <si>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</si>
  <si>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</si>
  <si>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</si>
  <si>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</si>
  <si>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</si>
  <si>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</si>
  <si>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</si>
  <si>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</si>
  <si>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</si>
  <si>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</si>
  <si>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</si>
  <si>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</si>
  <si>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</si>
  <si>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</si>
  <si>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</si>
  <si>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</si>
  <si>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</si>
  <si>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</si>
  <si>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</si>
  <si>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</si>
  <si>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</si>
  <si>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</si>
  <si>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</si>
  <si>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</si>
  <si>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</si>
  <si>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</si>
  <si>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</si>
  <si>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</si>
  <si>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</si>
  <si>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</si>
  <si>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</si>
  <si>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</si>
  <si>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</si>
  <si>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</si>
  <si>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</si>
  <si>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</si>
  <si>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</si>
  <si>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</si>
  <si>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</si>
  <si>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</si>
  <si>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</si>
  <si>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</si>
  <si>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</si>
  <si>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</si>
  <si>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</si>
  <si>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</si>
  <si>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</si>
  <si>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</si>
  <si>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</si>
  <si>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</si>
  <si>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</si>
  <si>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</si>
  <si>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</si>
  <si>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</si>
  <si>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</si>
  <si>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</si>
  <si>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</si>
  <si>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</si>
  <si>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</si>
  <si>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</si>
  <si>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</si>
  <si>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</si>
  <si>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</si>
  <si>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</si>
  <si>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</si>
  <si>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</si>
  <si>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</si>
  <si>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</si>
  <si>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</si>
  <si>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</si>
  <si>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</si>
  <si>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</si>
  <si>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</si>
  <si>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</si>
  <si>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</si>
  <si>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</si>
  <si>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</si>
  <si>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</si>
  <si>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</si>
  <si>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</si>
  <si>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</si>
  <si>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</si>
  <si>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</si>
  <si>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</si>
  <si>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</si>
  <si>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</si>
  <si>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</si>
  <si>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</si>
  <si>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</si>
  <si>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</si>
  <si>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</si>
  <si>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</si>
  <si>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</si>
  <si>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</si>
  <si>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</si>
  <si>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</si>
  <si>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</si>
  <si>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</si>
  <si>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</si>
  <si>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</si>
  <si>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</si>
  <si>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</si>
  <si>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</si>
  <si>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</si>
  <si>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</si>
  <si>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</si>
  <si>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</si>
  <si>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</si>
  <si>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</si>
  <si>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</si>
  <si>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</si>
  <si>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</si>
  <si>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</si>
  <si>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</si>
  <si>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</si>
  <si>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</si>
  <si>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</si>
  <si>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</si>
  <si>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</si>
  <si>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</si>
  <si>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</si>
  <si>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</si>
  <si>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</si>
  <si>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</si>
  <si>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</si>
  <si>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</si>
  <si>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</si>
  <si>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</si>
  <si>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</si>
  <si>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</si>
  <si>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</si>
  <si>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</si>
  <si>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NCAP_FOM~2030</t>
  </si>
  <si>
    <t>NCAP_FOM~2100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</si>
  <si>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</si>
  <si>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</si>
  <si>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</si>
  <si>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</si>
  <si>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</si>
  <si>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</si>
  <si>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</si>
  <si>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</si>
  <si>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</si>
  <si>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</si>
  <si>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</si>
  <si>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</si>
  <si>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</si>
  <si>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</si>
  <si>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</si>
  <si>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</si>
  <si>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</si>
  <si>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</si>
  <si>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</si>
  <si>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</si>
  <si>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</si>
  <si>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</si>
  <si>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</si>
  <si>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</si>
  <si>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</si>
  <si>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</si>
  <si>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</si>
  <si>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</si>
  <si>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</si>
  <si>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</si>
  <si>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</si>
  <si>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</si>
  <si>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</si>
  <si>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</si>
  <si>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</si>
  <si>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</si>
  <si>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</si>
  <si>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</si>
  <si>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</si>
  <si>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</si>
  <si>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</si>
  <si>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</si>
  <si>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</si>
  <si>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</si>
  <si>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</si>
  <si>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</si>
  <si>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</si>
  <si>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</si>
  <si>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</si>
  <si>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</si>
  <si>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</si>
  <si>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</si>
  <si>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</si>
  <si>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</si>
  <si>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</si>
  <si>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</si>
  <si>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</si>
  <si>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</si>
  <si>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</si>
  <si>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</si>
  <si>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</si>
  <si>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</si>
  <si>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</si>
  <si>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</si>
  <si>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</si>
  <si>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</si>
  <si>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</si>
  <si>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</si>
  <si>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</si>
  <si>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</si>
  <si>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</si>
  <si>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</si>
  <si>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MINBatMaterials_COB_byCop</t>
  </si>
  <si>
    <t>rep_Batt-LMO</t>
  </si>
  <si>
    <t>Cap2Act</t>
  </si>
  <si>
    <t>AFC~DAYNITE~UP~NRG</t>
  </si>
  <si>
    <t>AFC~DAYNITE~UP~ACT</t>
  </si>
  <si>
    <t>STG_MAXCYC</t>
  </si>
  <si>
    <t>MINBatMaterials_COB_byNI_sulfide</t>
  </si>
  <si>
    <t>rep_Batt-NCA</t>
  </si>
  <si>
    <t>Tra_EV_Batt-LFP_virgin_pack</t>
  </si>
  <si>
    <t>MINBatMaterials_COB_direct</t>
  </si>
  <si>
    <t>rep_Batt-NMC111</t>
  </si>
  <si>
    <t>Tra_EV_Batt-LMO_virgin_pack</t>
  </si>
  <si>
    <t>MINBatMaterials_COB_byNI_HPAL</t>
  </si>
  <si>
    <t>rep_Batt-NMC532</t>
  </si>
  <si>
    <t>Tra_EV_Batt-NCA_virgin_pack</t>
  </si>
  <si>
    <t>rep_Batt-NMC622</t>
  </si>
  <si>
    <t>Tra_EV_Batt-NMC111_virgin_pack</t>
  </si>
  <si>
    <t>comm-out</t>
  </si>
  <si>
    <t>FLO_COST</t>
  </si>
  <si>
    <t>NCAP_ILED~2020</t>
  </si>
  <si>
    <t>NCAP_ILED~0</t>
  </si>
  <si>
    <t>rep_Batt-NMC811</t>
  </si>
  <si>
    <t>Tra_EV_Batt-NMC532_virgin_pack</t>
  </si>
  <si>
    <t>UP</t>
  </si>
  <si>
    <t>Tra_EV_Batt-NMC622_virgin_pack</t>
  </si>
  <si>
    <t>Tra_EV_Batt-NMC811_virgin_pack</t>
  </si>
  <si>
    <t>Tra_EV_Batt-Sodium_virgin_pack</t>
  </si>
  <si>
    <t>lithium</t>
  </si>
  <si>
    <t>nickel</t>
  </si>
  <si>
    <t>mr_lithium</t>
  </si>
  <si>
    <t>cobalt</t>
  </si>
  <si>
    <t>mr_nickel</t>
  </si>
  <si>
    <t>Lithium</t>
  </si>
  <si>
    <t>Nickel</t>
  </si>
  <si>
    <t>Cobalt</t>
  </si>
  <si>
    <t>Manganes</t>
  </si>
  <si>
    <t>Alumium</t>
  </si>
  <si>
    <t>Copper</t>
  </si>
  <si>
    <t>Graphite</t>
  </si>
  <si>
    <t>manganese</t>
  </si>
  <si>
    <t>mr_cobalt</t>
  </si>
  <si>
    <t>aluminum</t>
  </si>
  <si>
    <t>mr_manganese</t>
  </si>
  <si>
    <t>PRE</t>
  </si>
  <si>
    <t>copper</t>
  </si>
  <si>
    <t>mr_aluminum</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</si>
  <si>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</si>
  <si>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</si>
  <si>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</si>
  <si>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</si>
  <si>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</si>
  <si>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</si>
  <si>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</si>
  <si>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</si>
  <si>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</si>
  <si>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</si>
  <si>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</si>
  <si>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</si>
  <si>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</si>
  <si>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</si>
  <si>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</si>
  <si>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</si>
  <si>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</si>
  <si>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</si>
  <si>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</si>
  <si>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</si>
  <si>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</si>
  <si>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</si>
  <si>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</si>
  <si>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</si>
  <si>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</si>
  <si>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</si>
  <si>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</si>
  <si>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</si>
  <si>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</si>
  <si>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</si>
  <si>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</si>
  <si>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</si>
  <si>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</si>
  <si>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</si>
  <si>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</si>
  <si>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</si>
  <si>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</si>
  <si>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ACT_COST</t>
  </si>
  <si>
    <t>NCAP_COST</t>
  </si>
  <si>
    <t>LimType</t>
  </si>
  <si>
    <t>NCAP_ILED~2019</t>
  </si>
  <si>
    <t>NCAP_FOM</t>
  </si>
  <si>
    <t>NCAP_AF</t>
  </si>
  <si>
    <t>NCAP_TLIFE</t>
  </si>
  <si>
    <t>FLO_SHAR~UP</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</si>
  <si>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</si>
  <si>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</si>
  <si>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</si>
  <si>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</si>
  <si>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</si>
  <si>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</si>
  <si>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</si>
  <si>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</si>
  <si>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</si>
  <si>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</si>
  <si>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</si>
  <si>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</si>
  <si>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</si>
  <si>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</si>
  <si>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</si>
  <si>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</si>
  <si>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</si>
  <si>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</si>
  <si>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</si>
  <si>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</si>
  <si>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</si>
  <si>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</si>
  <si>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</si>
  <si>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</si>
  <si>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</si>
  <si>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</si>
  <si>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</si>
  <si>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</si>
  <si>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</si>
  <si>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</si>
  <si>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</si>
  <si>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</si>
  <si>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</si>
  <si>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</si>
  <si>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</si>
  <si>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</si>
  <si>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</si>
  <si>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</si>
  <si>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</si>
  <si>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</si>
  <si>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</si>
  <si>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</si>
  <si>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</si>
  <si>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</si>
  <si>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</si>
  <si>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</si>
  <si>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</si>
  <si>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</si>
  <si>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</si>
  <si>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</si>
  <si>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</si>
  <si>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</si>
  <si>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</si>
  <si>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</si>
  <si>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</si>
  <si>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</si>
  <si>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</si>
  <si>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*AK27-06-2026: CLAG applies to decomissioning related flows only - not the activity related ones</t>
  </si>
  <si>
    <t>Direct recycling</t>
  </si>
  <si>
    <t>EFF~2025</t>
  </si>
  <si>
    <t>*NCAP_CLAG</t>
  </si>
  <si>
    <t>EFF~2050</t>
  </si>
  <si>
    <t>EFF~2100</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</si>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</sst>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8">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_ "/>
    <numFmt numFmtId="188" formatCode="0.0_ "/>
    <numFmt numFmtId="189" formatCode="\Te\x\t"/>
    <numFmt numFmtId="190" formatCode="0.00000"/>
    <numFmt numFmtId="191"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imes New Roman"/>
      <charset val="134"/>
    </font>
    <font>
      <sz val="9"/>
      <name val="Tahoma"/>
      <charset val="134"/>
    </font>
    <font>
      <b/>
      <sz val="9"/>
      <name val="Times New Roman"/>
      <charset val="0"/>
    </font>
    <font>
      <sz val="9"/>
      <name val="Times New Roman"/>
      <charset val="0"/>
    </font>
    <font>
      <b/>
      <sz val="9"/>
      <name val="Tahoma"/>
      <charset val="134"/>
    </font>
    <font>
      <b/>
      <sz val="9"/>
      <name val="Tahoma"/>
      <charset val="1"/>
    </font>
    <font>
      <b/>
      <sz val="9"/>
      <name val="Times New Roman"/>
      <charset val="134"/>
    </font>
    <font>
      <sz val="9"/>
      <name val="Tahoma"/>
      <charset val="1"/>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7"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7"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34">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0" fillId="0" borderId="0" xfId="0" applyAlignment="1">
      <alignment horizontal="center" wrapText="1"/>
    </xf>
    <xf numFmtId="0" fontId="24" fillId="0" borderId="0" xfId="61" applyFill="1"/>
    <xf numFmtId="0" fontId="0" fillId="0" borderId="0" xfId="0" applyAlignment="1">
      <alignment wrapText="1"/>
    </xf>
    <xf numFmtId="0" fontId="24" fillId="0" borderId="0" xfId="61" applyFill="1" applyAlignment="1">
      <alignment horizont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187" fontId="24" fillId="0" borderId="0" xfId="61" applyNumberFormat="1"/>
    <xf numFmtId="9" fontId="55" fillId="16" borderId="9" xfId="3" applyFont="1" applyFill="1" applyBorder="1"/>
    <xf numFmtId="0" fontId="0" fillId="34" borderId="0" xfId="61" applyFont="1" applyFill="1" applyAlignment="1">
      <alignment horizontal="left"/>
    </xf>
    <xf numFmtId="0" fontId="24" fillId="34"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8" fillId="29"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0" borderId="0" xfId="0" applyFont="1" applyFill="1" applyAlignment="1">
      <alignment horizontal="right" wrapText="1"/>
    </xf>
    <xf numFmtId="188" fontId="24" fillId="0" borderId="0" xfId="61" applyNumberFormat="1"/>
    <xf numFmtId="0" fontId="9" fillId="0" borderId="0" xfId="0" applyFont="1" applyAlignment="1">
      <alignment horizontal="center" wrapText="1"/>
    </xf>
    <xf numFmtId="0" fontId="9" fillId="0" borderId="0" xfId="0" applyFont="1" applyAlignment="1">
      <alignment horizontal="right" wrapText="1"/>
    </xf>
    <xf numFmtId="0" fontId="9" fillId="27" borderId="0" xfId="0" applyFont="1" applyFill="1" applyAlignment="1">
      <alignment horizontal="right" wrapText="1"/>
    </xf>
    <xf numFmtId="0" fontId="9" fillId="33" borderId="0" xfId="0" applyFont="1" applyFill="1" applyAlignment="1">
      <alignment horizontal="right" wrapText="1"/>
    </xf>
    <xf numFmtId="9" fontId="24" fillId="0" borderId="0" xfId="61" applyNumberFormat="1"/>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27" borderId="8" xfId="61" applyFill="1" applyBorder="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9" fontId="0" fillId="44" borderId="0" xfId="0" applyNumberFormat="1" applyFill="1"/>
    <xf numFmtId="2" fontId="0" fillId="44" borderId="0" xfId="0" applyNumberFormat="1" applyFill="1"/>
    <xf numFmtId="189"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90"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1" fontId="0" fillId="44"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91"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6" Type="http://schemas.openxmlformats.org/officeDocument/2006/relationships/styles" Target="styles.xml"/><Relationship Id="rId35" Type="http://schemas.openxmlformats.org/officeDocument/2006/relationships/sheetMetadata" Target="metadata.xml"/><Relationship Id="rId34" Type="http://schemas.openxmlformats.org/officeDocument/2006/relationships/sharedStrings" Target="sharedStrings.xml"/><Relationship Id="rId33" Type="http://schemas.openxmlformats.org/officeDocument/2006/relationships/theme" Target="theme/theme1.xml"/><Relationship Id="rId32" Type="http://schemas.openxmlformats.org/officeDocument/2006/relationships/externalLink" Target="externalLinks/externalLink3.xml"/><Relationship Id="rId31" Type="http://schemas.openxmlformats.org/officeDocument/2006/relationships/externalLink" Target="externalLinks/externalLink2.xml"/><Relationship Id="rId30" Type="http://schemas.openxmlformats.org/officeDocument/2006/relationships/externalLink" Target="externalLinks/externalLink1.xml"/><Relationship Id="rId3" Type="http://schemas.openxmlformats.org/officeDocument/2006/relationships/worksheet" Target="worksheets/sheet3.xml"/><Relationship Id="rId29" Type="http://schemas.openxmlformats.org/officeDocument/2006/relationships/customXml" Target="../customXml/item3.xml"/><Relationship Id="rId28" Type="http://schemas.openxmlformats.org/officeDocument/2006/relationships/customXml" Target="../customXml/item2.xml"/><Relationship Id="rId27" Type="http://schemas.openxmlformats.org/officeDocument/2006/relationships/customXml" Target="../customXml/item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49364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9199125" y="407314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4595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1418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32</xdr:row>
      <xdr:rowOff>93980</xdr:rowOff>
    </xdr:from>
    <xdr:to>
      <xdr:col>22</xdr:col>
      <xdr:colOff>5315585</xdr:colOff>
      <xdr:row>83</xdr:row>
      <xdr:rowOff>59055</xdr:rowOff>
    </xdr:to>
    <xdr:cxnSp>
      <xdr:nvCxnSpPr>
        <xdr:cNvPr id="3" name="Straight Arrow Connector 2"/>
        <xdr:cNvCxnSpPr/>
      </xdr:nvCxnSpPr>
      <xdr:spPr>
        <a:xfrm>
          <a:off x="54738905" y="5878195"/>
          <a:ext cx="0" cy="875982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comments" Target="../comments4.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7.xml"/><Relationship Id="rId1" Type="http://schemas.openxmlformats.org/officeDocument/2006/relationships/comments" Target="../comments7.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8.xml"/><Relationship Id="rId1" Type="http://schemas.openxmlformats.org/officeDocument/2006/relationships/comments" Target="../comments8.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11.vml"/><Relationship Id="rId1" Type="http://schemas.openxmlformats.org/officeDocument/2006/relationships/comments" Target="../comments11.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12.vml"/><Relationship Id="rId1" Type="http://schemas.openxmlformats.org/officeDocument/2006/relationships/comments" Target="../comments12.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3.vml"/><Relationship Id="rId1" Type="http://schemas.openxmlformats.org/officeDocument/2006/relationships/comments" Target="../comments13.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33"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27" customFormat="1" ht="156" customHeight="1" spans="2:6">
      <c r="B7" s="428" t="s">
        <v>8</v>
      </c>
      <c r="C7" s="429"/>
      <c r="D7" s="429"/>
      <c r="E7" s="429"/>
      <c r="F7" s="429"/>
    </row>
    <row r="9" spans="2:6">
      <c r="B9" s="430"/>
    </row>
    <row r="10" ht="15.5" spans="2:6">
      <c r="B10" s="431" t="s">
        <v>9</v>
      </c>
    </row>
    <row r="11" spans="2:6">
      <c r="B11" s="432"/>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25" zoomScaleNormal="25" workbookViewId="0">
      <pane ySplit="2" topLeftCell="A20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14">
        <v>0.721601948104536</v>
      </c>
      <c r="C43" s="86">
        <v>20812.7133591781</v>
      </c>
      <c r="D43" s="86">
        <v>17365.3568320155</v>
      </c>
      <c r="E43" s="86">
        <v>16391.8817697786</v>
      </c>
      <c r="F43" s="86">
        <v>16107.9621769284</v>
      </c>
    </row>
    <row r="44" spans="2:6">
      <c r="B44" s="414">
        <v>0.731601948104536</v>
      </c>
      <c r="C44" s="86">
        <v>20851.3897050157</v>
      </c>
      <c r="D44" s="86">
        <v>17382.3083966418</v>
      </c>
      <c r="E44" s="86">
        <v>16398.0451175294</v>
      </c>
      <c r="F44" s="86">
        <v>16110.4092865014</v>
      </c>
    </row>
    <row r="45" spans="2:6">
      <c r="B45" s="414">
        <v>0.744101948104536</v>
      </c>
      <c r="C45" s="86">
        <v>20931.9431774786</v>
      </c>
      <c r="D45" s="86">
        <v>17404.5453307715</v>
      </c>
      <c r="E45" s="86">
        <v>16408.4434288326</v>
      </c>
      <c r="F45" s="86">
        <v>16116.8340630847</v>
      </c>
    </row>
    <row r="46" spans="2:6">
      <c r="B46" s="414">
        <v>0.754101948104536</v>
      </c>
      <c r="C46" s="86">
        <v>21037.7835001907</v>
      </c>
      <c r="D46" s="86">
        <v>17418.0069824979</v>
      </c>
      <c r="E46" s="86">
        <v>16417.1598686968</v>
      </c>
      <c r="F46" s="86">
        <v>16124.0886285498</v>
      </c>
    </row>
    <row r="47" spans="2:6">
      <c r="B47" s="414">
        <v>0.764101948104536</v>
      </c>
      <c r="C47" s="86">
        <v>21236.3171139848</v>
      </c>
      <c r="D47" s="86">
        <v>17424.2997644047</v>
      </c>
      <c r="E47" s="86">
        <v>16427.4256488727</v>
      </c>
      <c r="F47" s="86">
        <v>16136.0835188483</v>
      </c>
    </row>
    <row r="48" spans="2:6">
      <c r="B48" s="414">
        <v>0.811601948104536</v>
      </c>
      <c r="C48" s="86">
        <v>59492.3733506709</v>
      </c>
      <c r="D48" s="86">
        <v>18038.1548667216</v>
      </c>
      <c r="E48" s="86">
        <v>16838.025219281</v>
      </c>
      <c r="F48" s="86">
        <v>16485.1364888066</v>
      </c>
    </row>
    <row r="49" spans="2:6">
      <c r="B49" s="414">
        <v>0.819101948104536</v>
      </c>
      <c r="C49" s="86">
        <v>103206.415841584</v>
      </c>
      <c r="D49" s="86">
        <v>18410.7431620057</v>
      </c>
      <c r="E49" s="86">
        <v>17196.0487970128</v>
      </c>
      <c r="F49" s="86">
        <v>16848.2003984707</v>
      </c>
    </row>
    <row r="50" spans="2:6">
      <c r="B50" s="414">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14">
        <v>0.738964852080722</v>
      </c>
      <c r="C92" s="86">
        <v>23212.7756758373</v>
      </c>
      <c r="D92" s="86">
        <v>19821.2097898767</v>
      </c>
      <c r="E92" s="86">
        <v>18883.5786556431</v>
      </c>
      <c r="F92" s="86">
        <v>18610.1131502571</v>
      </c>
    </row>
    <row r="93" spans="2:6">
      <c r="B93" s="414">
        <v>0.748964852080722</v>
      </c>
      <c r="C93" s="86">
        <v>23245.1719509279</v>
      </c>
      <c r="D93" s="86">
        <v>19835.3294001618</v>
      </c>
      <c r="E93" s="86">
        <v>18887.3935814335</v>
      </c>
      <c r="F93" s="86">
        <v>18610.3188052591</v>
      </c>
    </row>
    <row r="94" spans="2:6">
      <c r="B94" s="414">
        <v>0.758964852080722</v>
      </c>
      <c r="C94" s="86">
        <v>23332.8004095118</v>
      </c>
      <c r="D94" s="86">
        <v>19856.7086648975</v>
      </c>
      <c r="E94" s="86">
        <v>18901.4352903486</v>
      </c>
      <c r="F94" s="86">
        <v>18622.1162109176</v>
      </c>
    </row>
    <row r="95" spans="2:6">
      <c r="B95" s="414">
        <v>0.768964852080722</v>
      </c>
      <c r="C95" s="86">
        <v>23598.5211216196</v>
      </c>
      <c r="D95" s="86">
        <v>19920.8585524424</v>
      </c>
      <c r="E95" s="86">
        <v>18954.9502341197</v>
      </c>
      <c r="F95" s="86">
        <v>18673.3320676582</v>
      </c>
    </row>
    <row r="96" spans="2:6">
      <c r="B96" s="414">
        <v>0.778964852080722</v>
      </c>
      <c r="C96" s="86">
        <v>24105.6371789567</v>
      </c>
      <c r="D96" s="86">
        <v>19990.4900793941</v>
      </c>
      <c r="E96" s="86">
        <v>19029.9871027869</v>
      </c>
      <c r="F96" s="86">
        <v>18752.4778030617</v>
      </c>
    </row>
    <row r="97" spans="2:6">
      <c r="B97" s="414">
        <v>0.821464852080722</v>
      </c>
      <c r="C97" s="86">
        <v>62041.5748450451</v>
      </c>
      <c r="D97" s="86">
        <v>20649.567937699</v>
      </c>
      <c r="E97" s="86">
        <v>19513.0905822758</v>
      </c>
      <c r="F97" s="86">
        <v>19185.9657397574</v>
      </c>
    </row>
    <row r="98" spans="2:6">
      <c r="B98" s="414">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15">
        <v>0.825473325119398</v>
      </c>
      <c r="C125" s="86">
        <v>38790.2507063985</v>
      </c>
      <c r="D125" s="86">
        <v>26275.8323091074</v>
      </c>
      <c r="E125" s="86">
        <v>21981.4594899507</v>
      </c>
      <c r="F125" s="86">
        <v>20924.2567986138</v>
      </c>
    </row>
    <row r="126" spans="2:6">
      <c r="B126" s="415">
        <v>0.790095896899995</v>
      </c>
      <c r="C126" s="86">
        <v>38995.3914357923</v>
      </c>
      <c r="D126" s="86">
        <v>26441.685967644</v>
      </c>
      <c r="E126" s="86">
        <v>22123.2713366406</v>
      </c>
      <c r="F126" s="86">
        <v>21062.2358926905</v>
      </c>
    </row>
    <row r="127" spans="2:6">
      <c r="B127" s="415">
        <v>0.754718468680593</v>
      </c>
      <c r="C127" s="86">
        <v>39349.3407829814</v>
      </c>
      <c r="D127" s="86">
        <v>26607.5396261806</v>
      </c>
      <c r="E127" s="86">
        <v>22265.0831833305</v>
      </c>
      <c r="F127" s="86">
        <v>21200.2149867671</v>
      </c>
    </row>
    <row r="128" spans="2:6">
      <c r="B128" s="415">
        <v>0.71934104046119</v>
      </c>
      <c r="C128" s="86">
        <v>41112.1865178866</v>
      </c>
      <c r="D128" s="86">
        <v>26773.3932847172</v>
      </c>
      <c r="E128" s="86">
        <v>22406.8950300204</v>
      </c>
      <c r="F128" s="86">
        <v>21338.1940808438</v>
      </c>
    </row>
    <row r="129" spans="2:6">
      <c r="B129" s="415">
        <v>0.688208903628116</v>
      </c>
      <c r="C129" s="86">
        <v>41503.3848501339</v>
      </c>
      <c r="D129" s="86">
        <v>27942.636601134</v>
      </c>
      <c r="E129" s="86">
        <v>22548.7068767103</v>
      </c>
      <c r="F129" s="86">
        <v>21476.1731749205</v>
      </c>
    </row>
    <row r="130" spans="2:6">
      <c r="B130" s="415">
        <v>0.666274898132086</v>
      </c>
      <c r="C130" s="86">
        <v>41725.4719857748</v>
      </c>
      <c r="D130" s="86">
        <v>28117.4747821718</v>
      </c>
      <c r="E130" s="86">
        <v>22690.5187234002</v>
      </c>
      <c r="F130" s="86">
        <v>21614.1522689971</v>
      </c>
    </row>
    <row r="131" spans="2:6">
      <c r="B131" s="415">
        <v>0.646227688807758</v>
      </c>
      <c r="C131" s="86">
        <v>41947.5591214156</v>
      </c>
      <c r="D131" s="86">
        <v>28292.3129632096</v>
      </c>
      <c r="E131" s="86">
        <v>22832.3305700901</v>
      </c>
      <c r="F131" s="86">
        <v>21752.1313630738</v>
      </c>
    </row>
    <row r="132" spans="2:6">
      <c r="B132" s="415">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3"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14">
        <v>0.67394485824384</v>
      </c>
      <c r="C43" s="86">
        <v>46420.5894379047</v>
      </c>
      <c r="D43" s="86">
        <v>41366.3503226909</v>
      </c>
      <c r="E43" s="86">
        <v>40062.051264038</v>
      </c>
      <c r="F43" s="86">
        <v>39681.6449526152</v>
      </c>
    </row>
    <row r="44" spans="2:6">
      <c r="B44" s="414">
        <v>0.68394485824384</v>
      </c>
      <c r="C44" s="86">
        <v>46586.7153388341</v>
      </c>
      <c r="D44" s="86">
        <v>41403.0640612314</v>
      </c>
      <c r="E44" s="86">
        <v>40074.718798282</v>
      </c>
      <c r="F44" s="86">
        <v>39685.9984662329</v>
      </c>
    </row>
    <row r="45" spans="2:6">
      <c r="B45" s="414">
        <v>0.69644485824384</v>
      </c>
      <c r="C45" s="86">
        <v>46895.5549242849</v>
      </c>
      <c r="D45" s="86">
        <v>41450.0904967378</v>
      </c>
      <c r="E45" s="86">
        <v>40091.6431393694</v>
      </c>
      <c r="F45" s="86">
        <v>39692.5456257088</v>
      </c>
    </row>
    <row r="46" spans="2:6">
      <c r="B46" s="414">
        <v>0.70644485824384</v>
      </c>
      <c r="C46" s="86">
        <v>47296.9339030488</v>
      </c>
      <c r="D46" s="86">
        <v>41477.6046442004</v>
      </c>
      <c r="E46" s="86">
        <v>40099.9929086037</v>
      </c>
      <c r="F46" s="86">
        <v>39694.2190592769</v>
      </c>
    </row>
    <row r="47" spans="2:6">
      <c r="B47" s="414">
        <v>0.71644485824384</v>
      </c>
      <c r="C47" s="86">
        <v>48114.0274154616</v>
      </c>
      <c r="D47" s="86">
        <v>41493.4285240087</v>
      </c>
      <c r="E47" s="86">
        <v>40105.0232544859</v>
      </c>
      <c r="F47" s="86">
        <v>39695.4986628482</v>
      </c>
    </row>
    <row r="48" spans="2:6">
      <c r="B48" s="414">
        <v>0.76394485824384</v>
      </c>
      <c r="C48" s="86">
        <v>108321.206334626</v>
      </c>
      <c r="D48" s="86">
        <v>42684.1712265634</v>
      </c>
      <c r="E48" s="86">
        <v>40858.0547139347</v>
      </c>
      <c r="F48" s="86">
        <v>40312.2161868235</v>
      </c>
    </row>
    <row r="49" spans="2:6">
      <c r="B49" s="414">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14">
        <v>0.681174187474557</v>
      </c>
      <c r="C92" s="86">
        <v>51440.7459313854</v>
      </c>
      <c r="D92" s="86">
        <v>46706.7080184522</v>
      </c>
      <c r="E92" s="86">
        <v>45580.1340914831</v>
      </c>
      <c r="F92" s="86">
        <v>45251.5623354427</v>
      </c>
    </row>
    <row r="93" spans="2:6">
      <c r="B93" s="414">
        <v>0.691174187474557</v>
      </c>
      <c r="C93" s="86">
        <v>51577.4854864152</v>
      </c>
      <c r="D93" s="86">
        <v>46741.3895358659</v>
      </c>
      <c r="E93" s="86">
        <v>45593.9298490815</v>
      </c>
      <c r="F93" s="86">
        <v>45258.2171330664</v>
      </c>
    </row>
    <row r="94" spans="2:6">
      <c r="B94" s="414">
        <v>0.701174187474558</v>
      </c>
      <c r="C94" s="86">
        <v>51744.7385893361</v>
      </c>
      <c r="D94" s="86">
        <v>46767.8651887659</v>
      </c>
      <c r="E94" s="86">
        <v>45609.6055331491</v>
      </c>
      <c r="F94" s="86">
        <v>45270.4459129525</v>
      </c>
    </row>
    <row r="95" spans="2:6">
      <c r="B95" s="414">
        <v>0.711174187474558</v>
      </c>
      <c r="C95" s="86">
        <v>52142.2598779451</v>
      </c>
      <c r="D95" s="86">
        <v>46815.2390501714</v>
      </c>
      <c r="E95" s="86">
        <v>45655.1275196581</v>
      </c>
      <c r="F95" s="86">
        <v>45316.6087676516</v>
      </c>
    </row>
    <row r="96" spans="2:6">
      <c r="B96" s="414">
        <v>0.721174187474558</v>
      </c>
      <c r="C96" s="86">
        <v>89000.5769890931</v>
      </c>
      <c r="D96" s="86">
        <v>46947.3311112412</v>
      </c>
      <c r="E96" s="86">
        <v>45791.8210350174</v>
      </c>
      <c r="F96" s="86">
        <v>45458.8942731283</v>
      </c>
    </row>
    <row r="97" spans="2:6">
      <c r="B97" s="414">
        <v>0.763674187474558</v>
      </c>
      <c r="C97" s="86">
        <v>132026.044813868</v>
      </c>
      <c r="D97" s="86">
        <v>49050.9346681268</v>
      </c>
      <c r="E97" s="86">
        <v>47340.1327279361</v>
      </c>
      <c r="F97" s="86">
        <v>46851.3291719859</v>
      </c>
    </row>
    <row r="98" spans="2:6">
      <c r="B98" s="414">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15">
        <v>1.21127654163236</v>
      </c>
      <c r="C125" s="86">
        <v>79718.0909809694</v>
      </c>
      <c r="D125" s="86">
        <v>61463.5157484667</v>
      </c>
      <c r="E125" s="86">
        <v>52764.0624504946</v>
      </c>
      <c r="F125" s="86">
        <v>50622.4026954895</v>
      </c>
    </row>
    <row r="126" spans="2:6">
      <c r="B126" s="415">
        <v>1.15936468984812</v>
      </c>
      <c r="C126" s="86">
        <v>80087.3442938782</v>
      </c>
      <c r="D126" s="86">
        <v>61762.0523338325</v>
      </c>
      <c r="E126" s="86">
        <v>53019.3237745364</v>
      </c>
      <c r="F126" s="86">
        <v>50870.7650648275</v>
      </c>
    </row>
    <row r="127" spans="2:6">
      <c r="B127" s="415">
        <v>1.10745283806388</v>
      </c>
      <c r="C127" s="86">
        <v>80720.8345572165</v>
      </c>
      <c r="D127" s="86">
        <v>62060.5889191984</v>
      </c>
      <c r="E127" s="86">
        <v>53274.5850985782</v>
      </c>
      <c r="F127" s="86">
        <v>51119.1274341655</v>
      </c>
    </row>
    <row r="128" spans="2:6">
      <c r="B128" s="415">
        <v>1.05554098627963</v>
      </c>
      <c r="C128" s="86">
        <v>83856.4532804314</v>
      </c>
      <c r="D128" s="86">
        <v>62359.1255045642</v>
      </c>
      <c r="E128" s="86">
        <v>53529.84642262</v>
      </c>
      <c r="F128" s="86">
        <v>51367.4898035034</v>
      </c>
    </row>
    <row r="129" spans="2:6">
      <c r="B129" s="415">
        <v>1.00362913449539</v>
      </c>
      <c r="C129" s="86">
        <v>84556.5351760012</v>
      </c>
      <c r="D129" s="86">
        <v>64439.8011173345</v>
      </c>
      <c r="E129" s="86">
        <v>53785.1077466618</v>
      </c>
      <c r="F129" s="86">
        <v>51615.8521728414</v>
      </c>
    </row>
    <row r="130" spans="2:6">
      <c r="B130" s="415">
        <v>0.951717282711143</v>
      </c>
      <c r="C130" s="86">
        <v>84956.2920201548</v>
      </c>
      <c r="D130" s="86">
        <v>64754.5098432026</v>
      </c>
      <c r="E130" s="86">
        <v>54040.3690707036</v>
      </c>
      <c r="F130" s="86">
        <v>51864.2145421794</v>
      </c>
    </row>
    <row r="131" spans="2:6">
      <c r="B131" s="415">
        <v>0.899805430926899</v>
      </c>
      <c r="C131" s="86">
        <v>85356.0488643084</v>
      </c>
      <c r="D131" s="86">
        <v>65069.2185690706</v>
      </c>
      <c r="E131" s="86">
        <v>54295.6303947454</v>
      </c>
      <c r="F131" s="86">
        <v>52112.5769115174</v>
      </c>
    </row>
    <row r="132" spans="2:6">
      <c r="B132" s="415">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118" zoomScaleNormal="118" topLeftCell="H169" workbookViewId="0">
      <selection activeCell="P177" sqref="P177"/>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55" t="s">
        <v>10</v>
      </c>
      <c r="C1" s="356"/>
      <c r="D1" s="356"/>
      <c r="E1" s="356"/>
      <c r="F1" s="357"/>
      <c r="Q1" t="s">
        <v>42</v>
      </c>
      <c r="R1" t="s">
        <v>43</v>
      </c>
      <c r="S1" t="str">
        <f>"Trd_car_"&amp;Q1</f>
        <v>Trd_car_gsl</v>
      </c>
    </row>
    <row r="2" spans="2:24">
      <c r="B2" s="382" t="s">
        <v>9</v>
      </c>
      <c r="C2" s="383"/>
      <c r="D2" s="383"/>
      <c r="E2" s="383"/>
      <c r="F2" s="383"/>
      <c r="I2" s="364">
        <v>0.0520099378899987</v>
      </c>
      <c r="J2" s="363" t="s">
        <v>44</v>
      </c>
      <c r="Q2" t="s">
        <v>45</v>
      </c>
      <c r="R2" t="s">
        <v>46</v>
      </c>
      <c r="S2" t="str">
        <f t="shared" ref="S2:S11" si="0">"Trd_car_"&amp;Q2</f>
        <v>Trd_car_gsl-hyb</v>
      </c>
    </row>
    <row r="3" spans="2:24">
      <c r="I3" s="384">
        <f>31536000/10^9</f>
        <v>0.031536</v>
      </c>
      <c r="J3" s="363" t="s">
        <v>47</v>
      </c>
      <c r="Q3" t="s">
        <v>48</v>
      </c>
      <c r="R3" t="s">
        <v>49</v>
      </c>
      <c r="S3" t="str">
        <f t="shared" si="0"/>
        <v>Trd_car_gsl-pih</v>
      </c>
    </row>
    <row r="4" spans="2:24">
      <c r="I4" s="363">
        <v>0.038</v>
      </c>
      <c r="J4" s="363" t="s">
        <v>50</v>
      </c>
      <c r="Q4" t="s">
        <v>51</v>
      </c>
      <c r="R4" t="s">
        <v>52</v>
      </c>
      <c r="S4" t="str">
        <f t="shared" si="0"/>
        <v>Trd_car_dsl</v>
      </c>
    </row>
    <row r="5" spans="2:24">
      <c r="I5" s="364">
        <f>1.406/26.137</f>
        <v>0.053793472854574</v>
      </c>
      <c r="J5" s="363" t="s">
        <v>53</v>
      </c>
      <c r="Q5" t="s">
        <v>54</v>
      </c>
      <c r="R5" t="s">
        <v>55</v>
      </c>
      <c r="S5" t="str">
        <f t="shared" si="0"/>
        <v>Trd_car_dsl-hyb</v>
      </c>
    </row>
    <row r="6" spans="2:24">
      <c r="I6" s="364">
        <v>0.02559</v>
      </c>
      <c r="J6" s="363"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65">
        <v>2015</v>
      </c>
      <c r="C11" s="365"/>
      <c r="D11" s="365"/>
      <c r="Q11" t="s">
        <v>68</v>
      </c>
      <c r="R11" t="s">
        <v>69</v>
      </c>
      <c r="S11" t="str">
        <f t="shared" si="0"/>
        <v>Trd_car_hh2</v>
      </c>
    </row>
    <row r="12" ht="15.75" customHeight="1" spans="2:24">
      <c r="B12" s="46" t="s">
        <v>12</v>
      </c>
      <c r="C12" s="47" t="s">
        <v>13</v>
      </c>
      <c r="D12" s="48">
        <v>6.80390448385318</v>
      </c>
      <c r="G12" s="75">
        <f>D12*$I$3/100*10^9/10^6</f>
        <v>2.14567931802794</v>
      </c>
      <c r="H12" s="75"/>
      <c r="I12" s="416">
        <f>1/G12</f>
        <v>0.466052868011556</v>
      </c>
    </row>
    <row r="13" ht="15.5" spans="2:24">
      <c r="B13" s="46" t="s">
        <v>14</v>
      </c>
      <c r="C13" s="47" t="s">
        <v>15</v>
      </c>
      <c r="D13" s="68">
        <v>19114.1080717123</v>
      </c>
      <c r="I13" s="377" t="s">
        <v>70</v>
      </c>
      <c r="S13" s="417">
        <v>0.9015</v>
      </c>
    </row>
    <row r="14" spans="2:24">
      <c r="B14" s="391"/>
      <c r="C14" s="392"/>
      <c r="D14" s="393"/>
      <c r="I14" s="377"/>
    </row>
    <row r="15" ht="15.25" spans="2:24">
      <c r="B15" s="391"/>
      <c r="C15" s="392"/>
      <c r="D15" s="393"/>
      <c r="I15" s="377"/>
      <c r="K15" s="368" t="s">
        <v>71</v>
      </c>
      <c r="T15" s="368" t="s">
        <v>72</v>
      </c>
      <c r="U15" s="369"/>
      <c r="V15" s="369"/>
      <c r="W15" s="369"/>
      <c r="X15" s="369"/>
    </row>
    <row r="16" spans="2:24">
      <c r="I16" t="s">
        <v>73</v>
      </c>
      <c r="J16" t="s">
        <v>74</v>
      </c>
      <c r="K16" t="s">
        <v>75</v>
      </c>
      <c r="L16" t="s">
        <v>76</v>
      </c>
      <c r="M16">
        <f>C20</f>
        <v>2020</v>
      </c>
      <c r="N16">
        <f>D20</f>
        <v>2030</v>
      </c>
      <c r="O16">
        <f>E20</f>
        <v>2040</v>
      </c>
      <c r="P16" t="s">
        <v>77</v>
      </c>
      <c r="R16" s="370" t="s">
        <v>78</v>
      </c>
      <c r="T16" s="369" t="s">
        <v>79</v>
      </c>
      <c r="U16" s="369" t="s">
        <v>80</v>
      </c>
      <c r="V16" s="369" t="s">
        <v>81</v>
      </c>
      <c r="W16" s="369" t="s">
        <v>82</v>
      </c>
      <c r="X16" s="369" t="s">
        <v>83</v>
      </c>
    </row>
    <row r="17" ht="15" customHeight="1" spans="2:24">
      <c r="B17" s="371" t="s">
        <v>16</v>
      </c>
      <c r="C17" s="371" t="s">
        <v>43</v>
      </c>
      <c r="D17" s="371"/>
      <c r="E17" s="371"/>
      <c r="F17" s="371"/>
      <c r="J17" t="str">
        <f>IFERROR(VLOOKUP(C17,$R$1:$S$11,2,FALSE),J16)</f>
        <v>Trd_car_gsl</v>
      </c>
      <c r="K17" t="str">
        <f>IFERROR(IF(VALUE(C17)&gt;2020,J17&amp;"_"&amp;TEXT(B17*100,"00"),"\I:"),"\I:")</f>
        <v>\I:</v>
      </c>
      <c r="L17" t="str">
        <f>LEFT(K17,7)</f>
        <v>\I:</v>
      </c>
      <c r="M17" s="374" t="str">
        <f>IF($K17="\I:","",C17)</f>
        <v/>
      </c>
      <c r="N17" s="374" t="str">
        <f>IF($K17="\I:","",D17)</f>
        <v/>
      </c>
      <c r="O17" s="374" t="str">
        <f>IF($K17="\I:","",E17)</f>
        <v/>
      </c>
      <c r="P17" s="374" t="str">
        <f>IF($K17="\I:","",F17)</f>
        <v/>
      </c>
      <c r="R17" s="370"/>
      <c r="T17" t="s">
        <v>84</v>
      </c>
      <c r="U17" t="str">
        <f t="shared" ref="U17:U48" si="1">K17</f>
        <v>\I:</v>
      </c>
      <c r="V17" t="str">
        <f ca="1" t="shared" ref="V17:V48" si="2">OFFSET($S$1,MATCH(J17,$S$1:$S$11,0)-1,-1)&amp;" -- "&amp;TEXT(B17,"00%")</f>
        <v>ICE medium size gasoline car -- Reduction of specific energy consumption relative to 2015 gasoline vehicle (%)</v>
      </c>
      <c r="W17" s="372" t="s">
        <v>85</v>
      </c>
      <c r="X17" s="372" t="s">
        <v>86</v>
      </c>
    </row>
    <row r="18" spans="2:24">
      <c r="B18" s="371"/>
      <c r="C18" s="371"/>
      <c r="D18" s="371"/>
      <c r="E18" s="371"/>
      <c r="F18" s="371"/>
      <c r="J18" t="str">
        <f t="shared" ref="J18:J81" si="3">IFERROR(VLOOKUP(C18,$R$1:$S$11,2,FALSE),J17)</f>
        <v>Trd_car_gsl</v>
      </c>
      <c r="K18" t="str">
        <f t="shared" ref="K18:K81" si="4">IFERROR(IF(VALUE(C18)&gt;2020,J18&amp;"_"&amp;TEXT(B18*100,"00"),"\I:"),"\I:")</f>
        <v>\I:</v>
      </c>
      <c r="L18" t="str">
        <f t="shared" ref="L18:L81" si="5">LEFT(K18,7)</f>
        <v>\I:</v>
      </c>
      <c r="M18" s="374" t="str">
        <f t="shared" ref="M18:M81" si="6">IF($K18="\I:","",C18)</f>
        <v/>
      </c>
      <c r="N18" s="374" t="str">
        <f t="shared" ref="N18:N81" si="7">IF($K18="\I:","",D18)</f>
        <v/>
      </c>
      <c r="O18" s="374" t="str">
        <f t="shared" ref="O18:O81" si="8">IF($K18="\I:","",E18)</f>
        <v/>
      </c>
      <c r="P18" s="374" t="str">
        <f t="shared" ref="P18:P81" si="9">IF($K18="\I:","",F18)</f>
        <v/>
      </c>
      <c r="R18" s="370"/>
      <c r="T18" t="s">
        <v>84</v>
      </c>
      <c r="U18" t="str">
        <f t="shared" si="1"/>
        <v>\I:</v>
      </c>
      <c r="V18" t="str">
        <f ca="1" t="shared" si="2"/>
        <v>ICE medium size gasoline car -- 00%</v>
      </c>
      <c r="W18" s="372" t="s">
        <v>85</v>
      </c>
      <c r="X18" s="372" t="s">
        <v>86</v>
      </c>
    </row>
    <row r="19" spans="2:24">
      <c r="B19" s="371"/>
      <c r="C19" s="371"/>
      <c r="D19" s="371"/>
      <c r="E19" s="371"/>
      <c r="F19" s="371"/>
      <c r="J19" t="str">
        <f t="shared" si="3"/>
        <v>Trd_car_gsl</v>
      </c>
      <c r="K19" t="str">
        <f t="shared" si="4"/>
        <v>\I:</v>
      </c>
      <c r="L19" t="str">
        <f t="shared" si="5"/>
        <v>\I:</v>
      </c>
      <c r="M19" s="374" t="str">
        <f t="shared" si="6"/>
        <v/>
      </c>
      <c r="N19" s="374" t="str">
        <f t="shared" si="7"/>
        <v/>
      </c>
      <c r="O19" s="374" t="str">
        <f t="shared" si="8"/>
        <v/>
      </c>
      <c r="P19" s="374" t="str">
        <f t="shared" si="9"/>
        <v/>
      </c>
      <c r="R19" s="370"/>
      <c r="T19" t="s">
        <v>84</v>
      </c>
      <c r="U19" t="str">
        <f t="shared" si="1"/>
        <v>\I:</v>
      </c>
      <c r="V19" t="str">
        <f ca="1" t="shared" si="2"/>
        <v>ICE medium size gasoline car -- 00%</v>
      </c>
      <c r="W19" s="372" t="s">
        <v>85</v>
      </c>
      <c r="X19" s="372" t="s">
        <v>86</v>
      </c>
    </row>
    <row r="20" spans="2:24">
      <c r="B20" s="88">
        <v>0</v>
      </c>
      <c r="C20" s="51">
        <v>2020</v>
      </c>
      <c r="D20" s="51">
        <v>2030</v>
      </c>
      <c r="E20" s="51">
        <v>2040</v>
      </c>
      <c r="F20" s="51">
        <v>2050</v>
      </c>
      <c r="I20" s="366">
        <v>1</v>
      </c>
      <c r="J20" s="44" t="str">
        <f t="shared" si="3"/>
        <v>Trd_car_gsl</v>
      </c>
      <c r="K20" s="44" t="str">
        <f>IFERROR(IF(VALUE(C20)&gt;200,J20&amp;"_"&amp;TEXT(B20*100,"00"),"\I:"),"\I:")</f>
        <v>Trd_car_gsl_00</v>
      </c>
      <c r="L20" t="str">
        <f t="shared" si="5"/>
        <v>Trd_car</v>
      </c>
      <c r="M20" s="412">
        <f>D13</f>
        <v>19114.1080717123</v>
      </c>
      <c r="N20" s="374"/>
      <c r="O20" s="374"/>
      <c r="P20" s="374"/>
      <c r="R20" s="370"/>
      <c r="T20" t="s">
        <v>84</v>
      </c>
      <c r="U20" t="str">
        <f t="shared" si="1"/>
        <v>Trd_car_gsl_00</v>
      </c>
      <c r="V20" t="str">
        <f ca="1" t="shared" si="2"/>
        <v>ICE medium size gasoline car -- 00%</v>
      </c>
      <c r="W20" s="372" t="s">
        <v>85</v>
      </c>
      <c r="X20" s="372" t="s">
        <v>86</v>
      </c>
    </row>
    <row r="2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74">
        <f t="shared" si="6"/>
        <v>19378.3288901274</v>
      </c>
      <c r="N21" s="374">
        <f t="shared" si="7"/>
        <v>19184.953531911</v>
      </c>
      <c r="O21" s="374">
        <f t="shared" si="8"/>
        <v>19184.953531911</v>
      </c>
      <c r="P21" s="374">
        <f t="shared" si="9"/>
        <v>19184.953531911</v>
      </c>
      <c r="R21" s="370"/>
      <c r="T21" t="s">
        <v>84</v>
      </c>
      <c r="U21" t="str">
        <f t="shared" si="1"/>
        <v>Trd_car_gsl_13</v>
      </c>
      <c r="V21" t="str">
        <f ca="1" t="shared" si="2"/>
        <v>ICE medium size gasoline car -- 13%</v>
      </c>
      <c r="W21" s="372" t="s">
        <v>85</v>
      </c>
      <c r="X21" s="372" t="s">
        <v>86</v>
      </c>
    </row>
    <row r="22"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74">
        <f t="shared" si="6"/>
        <v>20194.1761225306</v>
      </c>
      <c r="N22" s="374">
        <f t="shared" si="7"/>
        <v>19445.9060345472</v>
      </c>
      <c r="O22" s="374">
        <f t="shared" si="8"/>
        <v>19445.9060345472</v>
      </c>
      <c r="P22" s="374">
        <f t="shared" si="9"/>
        <v>19445.9060345472</v>
      </c>
      <c r="R22" s="370"/>
      <c r="T22" t="s">
        <v>84</v>
      </c>
      <c r="U22" t="str">
        <f t="shared" si="1"/>
        <v>Trd_car_gsl_23</v>
      </c>
      <c r="V22" t="str">
        <f ca="1" t="shared" si="2"/>
        <v>ICE medium size gasoline car -- 23%</v>
      </c>
      <c r="W22" s="372" t="s">
        <v>85</v>
      </c>
      <c r="X22" s="372" t="s">
        <v>86</v>
      </c>
    </row>
    <row r="23"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74">
        <f t="shared" si="6"/>
        <v>21957.3236536115</v>
      </c>
      <c r="N23" s="374">
        <f t="shared" si="7"/>
        <v>20077.20524873</v>
      </c>
      <c r="O23" s="374">
        <f t="shared" si="8"/>
        <v>20077.20524873</v>
      </c>
      <c r="P23" s="374">
        <f t="shared" si="9"/>
        <v>20077.20524873</v>
      </c>
      <c r="R23" s="370"/>
      <c r="T23" t="s">
        <v>84</v>
      </c>
      <c r="U23" t="str">
        <f t="shared" si="1"/>
        <v>Trd_car_gsl_33</v>
      </c>
      <c r="V23" t="str">
        <f ca="1" t="shared" si="2"/>
        <v>ICE medium size gasoline car -- 33%</v>
      </c>
      <c r="W23" s="372" t="s">
        <v>85</v>
      </c>
      <c r="X23" s="372" t="s">
        <v>86</v>
      </c>
    </row>
    <row r="24"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74">
        <f t="shared" si="6"/>
        <v>24470.6482852451</v>
      </c>
      <c r="N24" s="374">
        <f t="shared" si="7"/>
        <v>20810.3469623741</v>
      </c>
      <c r="O24" s="374">
        <f t="shared" si="8"/>
        <v>20810.3469623741</v>
      </c>
      <c r="P24" s="374">
        <f t="shared" si="9"/>
        <v>20810.3469623741</v>
      </c>
      <c r="R24" s="370"/>
      <c r="T24" t="s">
        <v>84</v>
      </c>
      <c r="U24" t="str">
        <f t="shared" si="1"/>
        <v>Trd_car_gsl_38</v>
      </c>
      <c r="V24" t="str">
        <f ca="1" t="shared" si="2"/>
        <v>ICE medium size gasoline car -- 38%</v>
      </c>
      <c r="W24" s="372" t="s">
        <v>85</v>
      </c>
      <c r="X24" s="372" t="s">
        <v>86</v>
      </c>
    </row>
    <row r="25"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74">
        <f t="shared" si="6"/>
        <v>53739.8034564757</v>
      </c>
      <c r="N25" s="374">
        <f t="shared" si="7"/>
        <v>22623.2610961166</v>
      </c>
      <c r="O25" s="374">
        <f t="shared" si="8"/>
        <v>22623.2610961166</v>
      </c>
      <c r="P25" s="374">
        <f t="shared" si="9"/>
        <v>22623.2610961166</v>
      </c>
      <c r="R25" s="370"/>
      <c r="T25" t="s">
        <v>84</v>
      </c>
      <c r="U25" t="str">
        <f t="shared" si="1"/>
        <v>Trd_car_gsl_43</v>
      </c>
      <c r="V25" t="str">
        <f ca="1" t="shared" si="2"/>
        <v>ICE medium size gasoline car -- 43%</v>
      </c>
      <c r="W25" s="372" t="s">
        <v>85</v>
      </c>
      <c r="X25" s="372" t="s">
        <v>86</v>
      </c>
    </row>
    <row r="26"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74">
        <f t="shared" si="6"/>
        <v>118918.12</v>
      </c>
      <c r="N26" s="374">
        <f t="shared" si="7"/>
        <v>41097.3054936037</v>
      </c>
      <c r="O26" s="374">
        <f t="shared" si="8"/>
        <v>41097.3054936037</v>
      </c>
      <c r="P26" s="374">
        <f t="shared" si="9"/>
        <v>41097.3054936037</v>
      </c>
      <c r="R26" s="370"/>
      <c r="T26" t="s">
        <v>84</v>
      </c>
      <c r="U26" t="str">
        <f t="shared" si="1"/>
        <v>Trd_car_gsl_48</v>
      </c>
      <c r="V26" t="str">
        <f ca="1" t="shared" si="2"/>
        <v>ICE medium size gasoline car -- 48%</v>
      </c>
      <c r="W26" s="372" t="s">
        <v>85</v>
      </c>
      <c r="X26" s="372" t="s">
        <v>86</v>
      </c>
    </row>
    <row r="27" spans="2:24">
      <c r="C27" s="97"/>
      <c r="D27" s="97"/>
      <c r="E27" s="97"/>
      <c r="F27" s="97"/>
      <c r="J27" t="str">
        <f t="shared" si="3"/>
        <v>Trd_car_gsl</v>
      </c>
      <c r="K27" t="str">
        <f t="shared" si="4"/>
        <v>\I:</v>
      </c>
      <c r="L27" t="str">
        <f t="shared" si="5"/>
        <v>\I:</v>
      </c>
      <c r="M27" s="374" t="str">
        <f t="shared" si="6"/>
        <v/>
      </c>
      <c r="N27" s="374" t="str">
        <f t="shared" si="7"/>
        <v/>
      </c>
      <c r="O27" s="374" t="str">
        <f t="shared" si="8"/>
        <v/>
      </c>
      <c r="P27" s="374" t="str">
        <f t="shared" si="9"/>
        <v/>
      </c>
      <c r="R27" s="370"/>
      <c r="U27" t="str">
        <f t="shared" si="1"/>
        <v>\I:</v>
      </c>
      <c r="V27" t="str">
        <f ca="1" t="shared" si="2"/>
        <v>ICE medium size gasoline car -- 00%</v>
      </c>
      <c r="W27" s="372" t="s">
        <v>85</v>
      </c>
      <c r="X27" s="372" t="s">
        <v>86</v>
      </c>
    </row>
    <row r="28" spans="2:24">
      <c r="J28" t="str">
        <f t="shared" si="3"/>
        <v>Trd_car_gsl</v>
      </c>
      <c r="K28" t="str">
        <f t="shared" si="4"/>
        <v>\I:</v>
      </c>
      <c r="L28" t="str">
        <f t="shared" si="5"/>
        <v>\I:</v>
      </c>
      <c r="M28" s="374" t="str">
        <f t="shared" si="6"/>
        <v/>
      </c>
      <c r="N28" s="374" t="str">
        <f t="shared" si="7"/>
        <v/>
      </c>
      <c r="O28" s="374" t="str">
        <f t="shared" si="8"/>
        <v/>
      </c>
      <c r="P28" s="374" t="str">
        <f t="shared" si="9"/>
        <v/>
      </c>
      <c r="R28" s="370"/>
      <c r="U28" t="str">
        <f t="shared" si="1"/>
        <v>\I:</v>
      </c>
      <c r="V28" t="str">
        <f ca="1" t="shared" si="2"/>
        <v>ICE medium size gasoline car -- 00%</v>
      </c>
      <c r="W28" s="372" t="s">
        <v>85</v>
      </c>
      <c r="X28" s="372" t="s">
        <v>86</v>
      </c>
    </row>
    <row r="29" spans="2:24">
      <c r="J29" t="str">
        <f t="shared" si="3"/>
        <v>Trd_car_gsl</v>
      </c>
      <c r="K29" t="str">
        <f t="shared" si="4"/>
        <v>\I:</v>
      </c>
      <c r="L29" t="str">
        <f t="shared" si="5"/>
        <v>\I:</v>
      </c>
      <c r="M29" s="374" t="str">
        <f t="shared" si="6"/>
        <v/>
      </c>
      <c r="N29" s="374" t="str">
        <f t="shared" si="7"/>
        <v/>
      </c>
      <c r="O29" s="374" t="str">
        <f t="shared" si="8"/>
        <v/>
      </c>
      <c r="P29" s="374" t="str">
        <f t="shared" si="9"/>
        <v/>
      </c>
      <c r="R29" s="370"/>
      <c r="U29" t="str">
        <f t="shared" si="1"/>
        <v>\I:</v>
      </c>
      <c r="V29" t="str">
        <f ca="1" t="shared" si="2"/>
        <v>ICE medium size gasoline car -- 00%</v>
      </c>
      <c r="W29" s="372" t="s">
        <v>85</v>
      </c>
      <c r="X29" s="372" t="s">
        <v>86</v>
      </c>
    </row>
    <row r="30" spans="2:24">
      <c r="J30" t="str">
        <f t="shared" si="3"/>
        <v>Trd_car_gsl</v>
      </c>
      <c r="K30" t="str">
        <f t="shared" si="4"/>
        <v>\I:</v>
      </c>
      <c r="L30" t="str">
        <f t="shared" si="5"/>
        <v>\I:</v>
      </c>
      <c r="M30" s="374" t="str">
        <f t="shared" si="6"/>
        <v/>
      </c>
      <c r="N30" s="374" t="str">
        <f t="shared" si="7"/>
        <v/>
      </c>
      <c r="O30" s="374" t="str">
        <f t="shared" si="8"/>
        <v/>
      </c>
      <c r="P30" s="374" t="str">
        <f t="shared" si="9"/>
        <v/>
      </c>
      <c r="R30" s="370"/>
      <c r="U30" t="str">
        <f t="shared" si="1"/>
        <v>\I:</v>
      </c>
      <c r="V30" t="str">
        <f ca="1" t="shared" si="2"/>
        <v>ICE medium size gasoline car -- 00%</v>
      </c>
      <c r="W30" s="372" t="s">
        <v>85</v>
      </c>
      <c r="X30" s="372" t="s">
        <v>86</v>
      </c>
    </row>
    <row r="31" ht="15" customHeight="1" spans="2:24">
      <c r="B31" s="371" t="s">
        <v>16</v>
      </c>
      <c r="C31" s="371" t="s">
        <v>46</v>
      </c>
      <c r="D31" s="371"/>
      <c r="E31" s="371"/>
      <c r="F31" s="371"/>
      <c r="J31" t="str">
        <f t="shared" si="3"/>
        <v>Trd_car_gsl-hyb</v>
      </c>
      <c r="K31" t="str">
        <f t="shared" si="4"/>
        <v>\I:</v>
      </c>
      <c r="L31" t="str">
        <f t="shared" si="5"/>
        <v>\I:</v>
      </c>
      <c r="M31" s="374" t="str">
        <f t="shared" si="6"/>
        <v/>
      </c>
      <c r="N31" s="374" t="str">
        <f t="shared" si="7"/>
        <v/>
      </c>
      <c r="O31" s="374" t="str">
        <f t="shared" si="8"/>
        <v/>
      </c>
      <c r="P31" s="374" t="str">
        <f t="shared" si="9"/>
        <v/>
      </c>
      <c r="R31" s="370"/>
      <c r="U31" t="str">
        <f t="shared" si="1"/>
        <v>\I:</v>
      </c>
      <c r="V31" t="str">
        <f ca="1" t="shared" si="2"/>
        <v>ICE medium size hybrid gasoline car -- Reduction of specific energy consumption relative to 2015 gasoline vehicle (%)</v>
      </c>
      <c r="W31" s="372" t="s">
        <v>85</v>
      </c>
      <c r="X31" s="372" t="s">
        <v>86</v>
      </c>
    </row>
    <row r="32" spans="2:24">
      <c r="B32" s="371"/>
      <c r="C32" s="371"/>
      <c r="D32" s="371"/>
      <c r="E32" s="371"/>
      <c r="F32" s="371"/>
      <c r="J32" t="str">
        <f t="shared" si="3"/>
        <v>Trd_car_gsl-hyb</v>
      </c>
      <c r="K32" t="str">
        <f t="shared" si="4"/>
        <v>\I:</v>
      </c>
      <c r="L32" t="str">
        <f t="shared" si="5"/>
        <v>\I:</v>
      </c>
      <c r="M32" s="374" t="str">
        <f t="shared" si="6"/>
        <v/>
      </c>
      <c r="N32" s="374" t="str">
        <f t="shared" si="7"/>
        <v/>
      </c>
      <c r="O32" s="374" t="str">
        <f t="shared" si="8"/>
        <v/>
      </c>
      <c r="P32" s="374" t="str">
        <f t="shared" si="9"/>
        <v/>
      </c>
      <c r="R32" s="370"/>
      <c r="U32" t="str">
        <f t="shared" si="1"/>
        <v>\I:</v>
      </c>
      <c r="V32" t="str">
        <f ca="1" t="shared" si="2"/>
        <v>ICE medium size hybrid gasoline car -- 00%</v>
      </c>
      <c r="W32" s="372" t="s">
        <v>85</v>
      </c>
      <c r="X32" s="372" t="s">
        <v>86</v>
      </c>
    </row>
    <row r="33" spans="2:24">
      <c r="B33" s="371"/>
      <c r="C33" s="371"/>
      <c r="D33" s="371"/>
      <c r="E33" s="371"/>
      <c r="F33" s="371"/>
      <c r="J33" t="str">
        <f t="shared" si="3"/>
        <v>Trd_car_gsl-hyb</v>
      </c>
      <c r="K33" t="str">
        <f t="shared" si="4"/>
        <v>\I:</v>
      </c>
      <c r="L33" t="str">
        <f t="shared" si="5"/>
        <v>\I:</v>
      </c>
      <c r="M33" s="374" t="str">
        <f t="shared" si="6"/>
        <v/>
      </c>
      <c r="N33" s="374" t="str">
        <f t="shared" si="7"/>
        <v/>
      </c>
      <c r="O33" s="374" t="str">
        <f t="shared" si="8"/>
        <v/>
      </c>
      <c r="P33" s="374" t="str">
        <f t="shared" si="9"/>
        <v/>
      </c>
      <c r="R33" s="370"/>
      <c r="U33" t="str">
        <f t="shared" si="1"/>
        <v>\I:</v>
      </c>
      <c r="V33" t="str">
        <f ca="1" t="shared" si="2"/>
        <v>ICE medium size hybrid gasoline car -- 00%</v>
      </c>
      <c r="W33" s="372" t="s">
        <v>85</v>
      </c>
      <c r="X33" s="372" t="s">
        <v>86</v>
      </c>
    </row>
    <row r="34" spans="2:24">
      <c r="B34" s="88"/>
      <c r="C34" s="51">
        <v>2020</v>
      </c>
      <c r="D34" s="51">
        <v>2030</v>
      </c>
      <c r="E34" s="51">
        <v>2040</v>
      </c>
      <c r="F34" s="51">
        <v>2050</v>
      </c>
      <c r="J34" t="str">
        <f t="shared" si="3"/>
        <v>Trd_car_gsl-hyb</v>
      </c>
      <c r="K34" t="str">
        <f t="shared" si="4"/>
        <v>\I:</v>
      </c>
      <c r="L34" t="str">
        <f t="shared" si="5"/>
        <v>\I:</v>
      </c>
      <c r="M34" s="374" t="str">
        <f t="shared" si="6"/>
        <v/>
      </c>
      <c r="N34" s="374" t="str">
        <f t="shared" si="7"/>
        <v/>
      </c>
      <c r="O34" s="374" t="str">
        <f t="shared" si="8"/>
        <v/>
      </c>
      <c r="P34" s="374" t="str">
        <f t="shared" si="9"/>
        <v/>
      </c>
      <c r="R34" s="370"/>
      <c r="U34" t="str">
        <f t="shared" si="1"/>
        <v>\I:</v>
      </c>
      <c r="V34" t="str">
        <f ca="1" t="shared" si="2"/>
        <v>ICE medium size hybrid gasoline car -- 00%</v>
      </c>
      <c r="W34" s="372" t="s">
        <v>85</v>
      </c>
      <c r="X34" s="372" t="s">
        <v>86</v>
      </c>
    </row>
    <row r="35"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74">
        <f t="shared" si="6"/>
        <v>21857.3437291488</v>
      </c>
      <c r="N35" s="374">
        <f t="shared" si="7"/>
        <v>20782.1308961293</v>
      </c>
      <c r="O35" s="374">
        <f t="shared" si="8"/>
        <v>20782.1308961293</v>
      </c>
      <c r="P35" s="374">
        <f t="shared" si="9"/>
        <v>20782.1308961293</v>
      </c>
      <c r="R35" s="370"/>
      <c r="U35" t="str">
        <f t="shared" si="1"/>
        <v>Trd_car_gsl-hyb_24</v>
      </c>
      <c r="V35" t="str">
        <f ca="1" t="shared" si="2"/>
        <v>ICE medium size hybrid gasoline car -- 24%</v>
      </c>
      <c r="W35" s="372" t="s">
        <v>85</v>
      </c>
      <c r="X35" s="372" t="s">
        <v>86</v>
      </c>
    </row>
    <row r="36"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74">
        <f t="shared" si="6"/>
        <v>22033.1168992347</v>
      </c>
      <c r="N36" s="374">
        <f t="shared" si="7"/>
        <v>20950.8914334757</v>
      </c>
      <c r="O36" s="374">
        <f t="shared" si="8"/>
        <v>20950.8914334757</v>
      </c>
      <c r="P36" s="374">
        <f t="shared" si="9"/>
        <v>20950.8914334757</v>
      </c>
      <c r="R36" s="370"/>
      <c r="U36" t="str">
        <f t="shared" si="1"/>
        <v>Trd_car_gsl-hyb_34</v>
      </c>
      <c r="V36" t="str">
        <f ca="1" t="shared" si="2"/>
        <v>ICE medium size hybrid gasoline car -- 34%</v>
      </c>
      <c r="W36" s="372" t="s">
        <v>85</v>
      </c>
      <c r="X36" s="372" t="s">
        <v>86</v>
      </c>
    </row>
    <row r="37"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74">
        <f t="shared" si="6"/>
        <v>22246.2283331628</v>
      </c>
      <c r="N37" s="374">
        <f t="shared" si="7"/>
        <v>21100.8204868737</v>
      </c>
      <c r="O37" s="374">
        <f t="shared" si="8"/>
        <v>21100.8204868737</v>
      </c>
      <c r="P37" s="374">
        <f t="shared" si="9"/>
        <v>21100.8204868737</v>
      </c>
      <c r="R37" s="370"/>
      <c r="U37" t="str">
        <f t="shared" si="1"/>
        <v>Trd_car_gsl-hyb_39</v>
      </c>
      <c r="V37" t="str">
        <f ca="1" t="shared" si="2"/>
        <v>ICE medium size hybrid gasoline car -- 39%</v>
      </c>
      <c r="W37" s="372" t="s">
        <v>85</v>
      </c>
      <c r="X37" s="372" t="s">
        <v>86</v>
      </c>
    </row>
    <row r="38"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74">
        <f t="shared" si="6"/>
        <v>22681.2653604884</v>
      </c>
      <c r="N38" s="374">
        <f t="shared" si="7"/>
        <v>21227.4251408085</v>
      </c>
      <c r="O38" s="374">
        <f t="shared" si="8"/>
        <v>21227.4251408085</v>
      </c>
      <c r="P38" s="374">
        <f t="shared" si="9"/>
        <v>21227.4251408085</v>
      </c>
      <c r="R38" s="370"/>
      <c r="U38" t="str">
        <f t="shared" si="1"/>
        <v>Trd_car_gsl-hyb_44</v>
      </c>
      <c r="V38" t="str">
        <f ca="1" t="shared" si="2"/>
        <v>ICE medium size hybrid gasoline car -- 44%</v>
      </c>
      <c r="W38" s="372" t="s">
        <v>85</v>
      </c>
      <c r="X38" s="372" t="s">
        <v>86</v>
      </c>
    </row>
    <row r="39"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74">
        <f t="shared" si="6"/>
        <v>23657.6075827596</v>
      </c>
      <c r="N39" s="374">
        <f t="shared" si="7"/>
        <v>21496.8410810268</v>
      </c>
      <c r="O39" s="374">
        <f t="shared" si="8"/>
        <v>21496.8410810268</v>
      </c>
      <c r="P39" s="374">
        <f t="shared" si="9"/>
        <v>21496.8410810268</v>
      </c>
      <c r="R39" s="370"/>
      <c r="U39" t="str">
        <f t="shared" si="1"/>
        <v>Trd_car_gsl-hyb_49</v>
      </c>
      <c r="V39" t="str">
        <f ca="1" t="shared" si="2"/>
        <v>ICE medium size hybrid gasoline car -- 49%</v>
      </c>
      <c r="W39" s="372" t="s">
        <v>85</v>
      </c>
      <c r="X39" s="372" t="s">
        <v>86</v>
      </c>
    </row>
    <row r="40"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74">
        <f t="shared" si="6"/>
        <v>45787.5851645581</v>
      </c>
      <c r="N40" s="374">
        <f t="shared" si="7"/>
        <v>22147.3500545445</v>
      </c>
      <c r="O40" s="374">
        <f t="shared" si="8"/>
        <v>22147.3500545445</v>
      </c>
      <c r="P40" s="374">
        <f t="shared" si="9"/>
        <v>22147.3500545445</v>
      </c>
      <c r="R40" s="370"/>
      <c r="U40" t="str">
        <f t="shared" si="1"/>
        <v>Trd_car_gsl-hyb_54</v>
      </c>
      <c r="V40" t="str">
        <f ca="1" t="shared" si="2"/>
        <v>ICE medium size hybrid gasoline car -- 54%</v>
      </c>
      <c r="W40" s="372" t="s">
        <v>85</v>
      </c>
      <c r="X40" s="372" t="s">
        <v>86</v>
      </c>
    </row>
    <row r="4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74">
        <f t="shared" si="6"/>
        <v>118918.12</v>
      </c>
      <c r="N41" s="374">
        <f t="shared" si="7"/>
        <v>34938.6606193537</v>
      </c>
      <c r="O41" s="374">
        <f t="shared" si="8"/>
        <v>34938.6606193537</v>
      </c>
      <c r="P41" s="374">
        <f t="shared" si="9"/>
        <v>34938.6606193537</v>
      </c>
      <c r="R41" s="370"/>
      <c r="U41" t="str">
        <f t="shared" si="1"/>
        <v>Trd_car_gsl-hyb_59</v>
      </c>
      <c r="V41" t="str">
        <f ca="1" t="shared" si="2"/>
        <v>ICE medium size hybrid gasoline car -- 59%</v>
      </c>
      <c r="W41" s="372" t="s">
        <v>85</v>
      </c>
      <c r="X41" s="372" t="s">
        <v>86</v>
      </c>
    </row>
    <row r="42" spans="2:24">
      <c r="C42" s="97"/>
      <c r="D42" s="97"/>
      <c r="E42" s="97"/>
      <c r="F42" s="97"/>
      <c r="J42" t="str">
        <f t="shared" si="3"/>
        <v>Trd_car_gsl-hyb</v>
      </c>
      <c r="K42" t="str">
        <f t="shared" si="4"/>
        <v>\I:</v>
      </c>
      <c r="L42" t="str">
        <f t="shared" si="5"/>
        <v>\I:</v>
      </c>
      <c r="M42" s="374" t="str">
        <f t="shared" si="6"/>
        <v/>
      </c>
      <c r="N42" s="374" t="str">
        <f t="shared" si="7"/>
        <v/>
      </c>
      <c r="O42" s="374" t="str">
        <f t="shared" si="8"/>
        <v/>
      </c>
      <c r="P42" s="374" t="str">
        <f t="shared" si="9"/>
        <v/>
      </c>
      <c r="R42" s="370"/>
      <c r="U42" t="str">
        <f t="shared" si="1"/>
        <v>\I:</v>
      </c>
      <c r="V42" t="str">
        <f ca="1" t="shared" si="2"/>
        <v>ICE medium size hybrid gasoline car -- 00%</v>
      </c>
      <c r="W42" s="372" t="s">
        <v>85</v>
      </c>
      <c r="X42" s="372" t="s">
        <v>86</v>
      </c>
    </row>
    <row r="43" spans="2:24">
      <c r="J43" t="str">
        <f t="shared" si="3"/>
        <v>Trd_car_gsl-hyb</v>
      </c>
      <c r="K43" t="str">
        <f t="shared" si="4"/>
        <v>\I:</v>
      </c>
      <c r="L43" t="str">
        <f t="shared" si="5"/>
        <v>\I:</v>
      </c>
      <c r="M43" s="374" t="str">
        <f t="shared" si="6"/>
        <v/>
      </c>
      <c r="N43" s="374" t="str">
        <f t="shared" si="7"/>
        <v/>
      </c>
      <c r="O43" s="374" t="str">
        <f t="shared" si="8"/>
        <v/>
      </c>
      <c r="P43" s="374" t="str">
        <f t="shared" si="9"/>
        <v/>
      </c>
      <c r="R43" s="370"/>
      <c r="U43" t="str">
        <f t="shared" si="1"/>
        <v>\I:</v>
      </c>
      <c r="V43" t="str">
        <f ca="1" t="shared" si="2"/>
        <v>ICE medium size hybrid gasoline car -- 00%</v>
      </c>
      <c r="W43" s="372" t="s">
        <v>85</v>
      </c>
      <c r="X43" s="372" t="s">
        <v>86</v>
      </c>
    </row>
    <row r="44" spans="2:24">
      <c r="J44" t="str">
        <f t="shared" si="3"/>
        <v>Trd_car_gsl-hyb</v>
      </c>
      <c r="K44" t="str">
        <f t="shared" si="4"/>
        <v>\I:</v>
      </c>
      <c r="L44" t="str">
        <f t="shared" si="5"/>
        <v>\I:</v>
      </c>
      <c r="M44" s="374" t="str">
        <f t="shared" si="6"/>
        <v/>
      </c>
      <c r="N44" s="374" t="str">
        <f t="shared" si="7"/>
        <v/>
      </c>
      <c r="O44" s="374" t="str">
        <f t="shared" si="8"/>
        <v/>
      </c>
      <c r="P44" s="374" t="str">
        <f t="shared" si="9"/>
        <v/>
      </c>
      <c r="R44" s="370"/>
      <c r="U44" t="str">
        <f t="shared" si="1"/>
        <v>\I:</v>
      </c>
      <c r="V44" t="str">
        <f ca="1" t="shared" si="2"/>
        <v>ICE medium size hybrid gasoline car -- 00%</v>
      </c>
      <c r="W44" s="372" t="s">
        <v>85</v>
      </c>
      <c r="X44" s="372" t="s">
        <v>86</v>
      </c>
    </row>
    <row r="45" spans="2:24">
      <c r="J45" t="str">
        <f t="shared" si="3"/>
        <v>Trd_car_gsl-hyb</v>
      </c>
      <c r="K45" t="str">
        <f t="shared" si="4"/>
        <v>\I:</v>
      </c>
      <c r="L45" t="str">
        <f t="shared" si="5"/>
        <v>\I:</v>
      </c>
      <c r="M45" s="374" t="str">
        <f t="shared" si="6"/>
        <v/>
      </c>
      <c r="N45" s="374" t="str">
        <f t="shared" si="7"/>
        <v/>
      </c>
      <c r="O45" s="374" t="str">
        <f t="shared" si="8"/>
        <v/>
      </c>
      <c r="P45" s="374" t="str">
        <f t="shared" si="9"/>
        <v/>
      </c>
      <c r="R45" s="370"/>
      <c r="U45" t="str">
        <f t="shared" si="1"/>
        <v>\I:</v>
      </c>
      <c r="V45" t="str">
        <f ca="1" t="shared" si="2"/>
        <v>ICE medium size hybrid gasoline car -- 00%</v>
      </c>
      <c r="W45" s="372" t="s">
        <v>85</v>
      </c>
      <c r="X45" s="372" t="s">
        <v>86</v>
      </c>
    </row>
    <row r="46" ht="15" customHeight="1" spans="2:24">
      <c r="B46" s="371" t="s">
        <v>16</v>
      </c>
      <c r="C46" s="371" t="s">
        <v>49</v>
      </c>
      <c r="D46" s="371"/>
      <c r="E46" s="371"/>
      <c r="F46" s="371"/>
      <c r="J46" t="str">
        <f t="shared" si="3"/>
        <v>Trd_car_gsl-pih</v>
      </c>
      <c r="K46" t="str">
        <f t="shared" si="4"/>
        <v>\I:</v>
      </c>
      <c r="L46" t="str">
        <f t="shared" si="5"/>
        <v>\I:</v>
      </c>
      <c r="M46" s="374" t="str">
        <f t="shared" si="6"/>
        <v/>
      </c>
      <c r="N46" s="374" t="str">
        <f t="shared" si="7"/>
        <v/>
      </c>
      <c r="O46" s="374" t="str">
        <f t="shared" si="8"/>
        <v/>
      </c>
      <c r="P46" s="374" t="str">
        <f t="shared" si="9"/>
        <v/>
      </c>
      <c r="R46" s="370"/>
      <c r="U46" t="str">
        <f t="shared" si="1"/>
        <v>\I:</v>
      </c>
      <c r="V46" t="str">
        <f ca="1" t="shared" si="2"/>
        <v>ICE medium size plug-in hybrid gasoline car -- Reduction of specific energy consumption relative to 2015 gasoline vehicle (%)</v>
      </c>
      <c r="W46" s="372" t="s">
        <v>85</v>
      </c>
      <c r="X46" s="372" t="s">
        <v>86</v>
      </c>
    </row>
    <row r="47" spans="2:24">
      <c r="B47" s="371"/>
      <c r="C47" s="371"/>
      <c r="D47" s="371"/>
      <c r="E47" s="371"/>
      <c r="F47" s="371"/>
      <c r="J47" t="str">
        <f t="shared" si="3"/>
        <v>Trd_car_gsl-pih</v>
      </c>
      <c r="K47" t="str">
        <f t="shared" si="4"/>
        <v>\I:</v>
      </c>
      <c r="L47" t="str">
        <f t="shared" si="5"/>
        <v>\I:</v>
      </c>
      <c r="M47" s="374" t="str">
        <f t="shared" si="6"/>
        <v/>
      </c>
      <c r="N47" s="374" t="str">
        <f t="shared" si="7"/>
        <v/>
      </c>
      <c r="O47" s="374" t="str">
        <f t="shared" si="8"/>
        <v/>
      </c>
      <c r="P47" s="374" t="str">
        <f t="shared" si="9"/>
        <v/>
      </c>
      <c r="R47" s="370"/>
      <c r="U47" t="str">
        <f t="shared" si="1"/>
        <v>\I:</v>
      </c>
      <c r="V47" t="str">
        <f ca="1" t="shared" si="2"/>
        <v>ICE medium size plug-in hybrid gasoline car -- 00%</v>
      </c>
      <c r="W47" s="372" t="s">
        <v>85</v>
      </c>
      <c r="X47" s="372" t="s">
        <v>86</v>
      </c>
    </row>
    <row r="48" spans="2:24">
      <c r="B48" s="371"/>
      <c r="C48" s="371"/>
      <c r="D48" s="371"/>
      <c r="E48" s="371"/>
      <c r="F48" s="371"/>
      <c r="J48" t="str">
        <f t="shared" si="3"/>
        <v>Trd_car_gsl-pih</v>
      </c>
      <c r="K48" t="str">
        <f t="shared" si="4"/>
        <v>\I:</v>
      </c>
      <c r="L48" t="str">
        <f t="shared" si="5"/>
        <v>\I:</v>
      </c>
      <c r="M48" s="374" t="str">
        <f t="shared" si="6"/>
        <v/>
      </c>
      <c r="N48" s="374" t="str">
        <f t="shared" si="7"/>
        <v/>
      </c>
      <c r="O48" s="374" t="str">
        <f t="shared" si="8"/>
        <v/>
      </c>
      <c r="P48" s="374" t="str">
        <f t="shared" si="9"/>
        <v/>
      </c>
      <c r="R48" s="370"/>
      <c r="U48" t="str">
        <f t="shared" si="1"/>
        <v>\I:</v>
      </c>
      <c r="V48" t="str">
        <f ca="1" t="shared" si="2"/>
        <v>ICE medium size plug-in hybrid gasoline car -- 00%</v>
      </c>
      <c r="W48" s="372" t="s">
        <v>85</v>
      </c>
      <c r="X48" s="372" t="s">
        <v>86</v>
      </c>
    </row>
    <row r="49" spans="2:24">
      <c r="B49" s="88"/>
      <c r="C49" s="51">
        <v>2020</v>
      </c>
      <c r="D49" s="51">
        <v>2030</v>
      </c>
      <c r="E49" s="51">
        <v>2040</v>
      </c>
      <c r="F49" s="51">
        <v>2050</v>
      </c>
      <c r="J49" t="str">
        <f t="shared" si="3"/>
        <v>Trd_car_gsl-pih</v>
      </c>
      <c r="K49" t="str">
        <f t="shared" si="4"/>
        <v>\I:</v>
      </c>
      <c r="L49" t="str">
        <f t="shared" si="5"/>
        <v>\I:</v>
      </c>
      <c r="M49" s="374" t="str">
        <f t="shared" si="6"/>
        <v/>
      </c>
      <c r="N49" s="374" t="str">
        <f t="shared" si="7"/>
        <v/>
      </c>
      <c r="O49" s="374" t="str">
        <f t="shared" si="8"/>
        <v/>
      </c>
      <c r="P49" s="374" t="str">
        <f t="shared" si="9"/>
        <v/>
      </c>
      <c r="R49" s="370"/>
      <c r="U49" t="str">
        <f t="shared" ref="U49:U80" si="12">K49</f>
        <v>\I:</v>
      </c>
      <c r="V49" t="str">
        <f ca="1" t="shared" ref="V49:V80" si="13">OFFSET($S$1,MATCH(J49,$S$1:$S$11,0)-1,-1)&amp;" -- "&amp;TEXT(B49,"00%")</f>
        <v>ICE medium size plug-in hybrid gasoline car -- 00%</v>
      </c>
      <c r="W49" s="372" t="s">
        <v>85</v>
      </c>
      <c r="X49" s="372" t="s">
        <v>86</v>
      </c>
    </row>
    <row r="50" spans="2:24">
      <c r="B50" s="414">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74">
        <f t="shared" si="6"/>
        <v>26539.4776993029</v>
      </c>
      <c r="N50" s="374">
        <f t="shared" si="7"/>
        <v>22587.5779404125</v>
      </c>
      <c r="O50" s="374">
        <f t="shared" si="8"/>
        <v>21510.7791581879</v>
      </c>
      <c r="P50" s="374">
        <f t="shared" si="9"/>
        <v>21196.7246089853</v>
      </c>
      <c r="R50" s="370"/>
      <c r="U50" t="str">
        <f t="shared" si="12"/>
        <v>Trd_car_gsl-pih_71</v>
      </c>
      <c r="V50" t="str">
        <f ca="1" t="shared" si="13"/>
        <v>ICE medium size plug-in hybrid gasoline car -- 71%</v>
      </c>
      <c r="W50" s="372" t="s">
        <v>85</v>
      </c>
      <c r="X50" s="372" t="s">
        <v>86</v>
      </c>
    </row>
    <row r="51" spans="2:24">
      <c r="B51" s="414">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74">
        <f t="shared" si="6"/>
        <v>26628.2779926644</v>
      </c>
      <c r="N51" s="374">
        <f t="shared" si="7"/>
        <v>22611.9323485899</v>
      </c>
      <c r="O51" s="374">
        <f t="shared" si="8"/>
        <v>21520.1811773365</v>
      </c>
      <c r="P51" s="374">
        <f t="shared" si="9"/>
        <v>21201.000673427</v>
      </c>
      <c r="R51" s="370"/>
      <c r="U51" t="str">
        <f t="shared" si="12"/>
        <v>Trd_car_gsl-pih_72</v>
      </c>
      <c r="V51" t="str">
        <f ca="1" t="shared" si="13"/>
        <v>ICE medium size plug-in hybrid gasoline car -- 72%</v>
      </c>
      <c r="W51" s="372" t="s">
        <v>85</v>
      </c>
      <c r="X51" s="372" t="s">
        <v>86</v>
      </c>
    </row>
    <row r="52" spans="2:24">
      <c r="B52" s="414">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74">
        <f t="shared" si="6"/>
        <v>26773.522519625</v>
      </c>
      <c r="N52" s="374">
        <f t="shared" si="7"/>
        <v>22633.6537180433</v>
      </c>
      <c r="O52" s="374">
        <f t="shared" si="8"/>
        <v>21527.0530849486</v>
      </c>
      <c r="P52" s="374">
        <f t="shared" si="9"/>
        <v>21202.7110068848</v>
      </c>
      <c r="R52" s="370"/>
      <c r="U52" t="str">
        <f t="shared" si="12"/>
        <v>Trd_car_gsl-pih_73</v>
      </c>
      <c r="V52" t="str">
        <f ca="1" t="shared" si="13"/>
        <v>ICE medium size plug-in hybrid gasoline car -- 73%</v>
      </c>
      <c r="W52" s="372" t="s">
        <v>85</v>
      </c>
      <c r="X52" s="372" t="s">
        <v>86</v>
      </c>
    </row>
    <row r="53" spans="2:24">
      <c r="B53" s="414">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74">
        <f t="shared" si="6"/>
        <v>26989.6744690472</v>
      </c>
      <c r="N53" s="374">
        <f t="shared" si="7"/>
        <v>22654.2157331532</v>
      </c>
      <c r="O53" s="374">
        <f t="shared" si="8"/>
        <v>21537.4777446133</v>
      </c>
      <c r="P53" s="374">
        <f t="shared" si="9"/>
        <v>21209.7768815691</v>
      </c>
      <c r="R53" s="370"/>
      <c r="U53" t="str">
        <f t="shared" si="12"/>
        <v>Trd_car_gsl-pih_74</v>
      </c>
      <c r="V53" t="str">
        <f ca="1" t="shared" si="13"/>
        <v>ICE medium size plug-in hybrid gasoline car -- 74%</v>
      </c>
      <c r="W53" s="372" t="s">
        <v>85</v>
      </c>
      <c r="X53" s="372" t="s">
        <v>86</v>
      </c>
    </row>
    <row r="54" spans="2:24">
      <c r="B54" s="414">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74">
        <f t="shared" si="6"/>
        <v>27401.4001530307</v>
      </c>
      <c r="N54" s="374">
        <f t="shared" si="7"/>
        <v>22660.3968650687</v>
      </c>
      <c r="O54" s="374">
        <f t="shared" si="8"/>
        <v>21543.4172520826</v>
      </c>
      <c r="P54" s="374">
        <f t="shared" si="9"/>
        <v>21215.8000066854</v>
      </c>
      <c r="R54" s="370"/>
      <c r="U54" t="str">
        <f t="shared" si="12"/>
        <v>Trd_car_gsl-pih_75</v>
      </c>
      <c r="V54" t="str">
        <f ca="1" t="shared" si="13"/>
        <v>ICE medium size plug-in hybrid gasoline car -- 75%</v>
      </c>
      <c r="W54" s="372" t="s">
        <v>85</v>
      </c>
      <c r="X54" s="372" t="s">
        <v>86</v>
      </c>
    </row>
    <row r="55" spans="2:24">
      <c r="B55" s="414">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74">
        <f t="shared" si="6"/>
        <v>73086.7752868817</v>
      </c>
      <c r="N55" s="374">
        <f t="shared" si="7"/>
        <v>23523.7845036998</v>
      </c>
      <c r="O55" s="374">
        <f t="shared" si="8"/>
        <v>22095.4342540872</v>
      </c>
      <c r="P55" s="374">
        <f t="shared" si="9"/>
        <v>21671.3185501023</v>
      </c>
      <c r="R55" s="370"/>
      <c r="U55" t="str">
        <f t="shared" si="12"/>
        <v>Trd_car_gsl-pih_80</v>
      </c>
      <c r="V55" t="str">
        <f ca="1" t="shared" si="13"/>
        <v>ICE medium size plug-in hybrid gasoline car -- 80%</v>
      </c>
      <c r="W55" s="372" t="s">
        <v>85</v>
      </c>
      <c r="X55" s="372" t="s">
        <v>86</v>
      </c>
    </row>
    <row r="56" spans="2:24">
      <c r="B56" s="414">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74">
        <f t="shared" si="6"/>
        <v>108076.535841584</v>
      </c>
      <c r="N56" s="374">
        <f t="shared" si="7"/>
        <v>23678.9935851968</v>
      </c>
      <c r="O56" s="374">
        <f t="shared" si="8"/>
        <v>22244.5761121578</v>
      </c>
      <c r="P56" s="374">
        <f t="shared" si="9"/>
        <v>21822.5600589121</v>
      </c>
      <c r="R56" s="370"/>
      <c r="U56" t="str">
        <f t="shared" si="12"/>
        <v>Trd_car_gsl-pih_81</v>
      </c>
      <c r="V56" t="str">
        <f ca="1" t="shared" si="13"/>
        <v>ICE medium size plug-in hybrid gasoline car -- 81%</v>
      </c>
      <c r="W56" s="372" t="s">
        <v>85</v>
      </c>
      <c r="X56" s="372" t="s">
        <v>86</v>
      </c>
    </row>
    <row r="57" spans="2:24">
      <c r="B57" s="418">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74">
        <f t="shared" si="6"/>
        <v>108076.535841584</v>
      </c>
      <c r="N57" s="374">
        <f t="shared" si="7"/>
        <v>42903.2293099449</v>
      </c>
      <c r="O57" s="374">
        <f t="shared" si="8"/>
        <v>40717.324023051</v>
      </c>
      <c r="P57" s="374">
        <f t="shared" si="9"/>
        <v>40555.3712364839</v>
      </c>
      <c r="R57" s="370"/>
      <c r="U57" t="str">
        <f t="shared" si="12"/>
        <v>Trd_car_gsl-pih_82</v>
      </c>
      <c r="V57" t="str">
        <f ca="1" t="shared" si="13"/>
        <v>ICE medium size plug-in hybrid gasoline car -- 82%</v>
      </c>
      <c r="W57" s="372" t="s">
        <v>85</v>
      </c>
      <c r="X57" s="372" t="s">
        <v>86</v>
      </c>
    </row>
    <row r="58" spans="2:24">
      <c r="J58" t="str">
        <f t="shared" si="3"/>
        <v>Trd_car_gsl-pih</v>
      </c>
      <c r="K58" t="str">
        <f t="shared" si="4"/>
        <v>\I:</v>
      </c>
      <c r="L58" t="str">
        <f t="shared" si="5"/>
        <v>\I:</v>
      </c>
      <c r="M58" s="374" t="str">
        <f t="shared" si="6"/>
        <v/>
      </c>
      <c r="N58" s="374" t="str">
        <f t="shared" si="7"/>
        <v/>
      </c>
      <c r="O58" s="374" t="str">
        <f t="shared" si="8"/>
        <v/>
      </c>
      <c r="P58" s="374" t="str">
        <f t="shared" si="9"/>
        <v/>
      </c>
      <c r="R58" s="370"/>
      <c r="U58" t="str">
        <f t="shared" si="12"/>
        <v>\I:</v>
      </c>
      <c r="V58" t="str">
        <f ca="1" t="shared" si="13"/>
        <v>ICE medium size plug-in hybrid gasoline car -- 00%</v>
      </c>
      <c r="W58" s="372" t="s">
        <v>85</v>
      </c>
      <c r="X58" s="372" t="s">
        <v>86</v>
      </c>
    </row>
    <row r="59" spans="2:24">
      <c r="J59" t="str">
        <f t="shared" si="3"/>
        <v>Trd_car_gsl-pih</v>
      </c>
      <c r="K59" t="str">
        <f t="shared" si="4"/>
        <v>\I:</v>
      </c>
      <c r="L59" t="str">
        <f t="shared" si="5"/>
        <v>\I:</v>
      </c>
      <c r="M59" s="374" t="str">
        <f t="shared" si="6"/>
        <v/>
      </c>
      <c r="N59" s="374" t="str">
        <f t="shared" si="7"/>
        <v/>
      </c>
      <c r="O59" s="374" t="str">
        <f t="shared" si="8"/>
        <v/>
      </c>
      <c r="P59" s="374" t="str">
        <f t="shared" si="9"/>
        <v/>
      </c>
      <c r="R59" s="370"/>
      <c r="U59" t="str">
        <f t="shared" si="12"/>
        <v>\I:</v>
      </c>
      <c r="V59" t="str">
        <f ca="1" t="shared" si="13"/>
        <v>ICE medium size plug-in hybrid gasoline car -- 00%</v>
      </c>
      <c r="W59" s="372" t="s">
        <v>85</v>
      </c>
      <c r="X59" s="372" t="s">
        <v>86</v>
      </c>
    </row>
    <row r="60" spans="2:24">
      <c r="J60" t="str">
        <f t="shared" si="3"/>
        <v>Trd_car_gsl-pih</v>
      </c>
      <c r="K60" t="str">
        <f t="shared" si="4"/>
        <v>\I:</v>
      </c>
      <c r="L60" t="str">
        <f t="shared" si="5"/>
        <v>\I:</v>
      </c>
      <c r="M60" s="374" t="str">
        <f t="shared" si="6"/>
        <v/>
      </c>
      <c r="N60" s="374" t="str">
        <f t="shared" si="7"/>
        <v/>
      </c>
      <c r="O60" s="374" t="str">
        <f t="shared" si="8"/>
        <v/>
      </c>
      <c r="P60" s="374" t="str">
        <f t="shared" si="9"/>
        <v/>
      </c>
      <c r="R60" s="370"/>
      <c r="U60" t="str">
        <f t="shared" si="12"/>
        <v>\I:</v>
      </c>
      <c r="V60" t="str">
        <f ca="1" t="shared" si="13"/>
        <v>ICE medium size plug-in hybrid gasoline car -- 00%</v>
      </c>
      <c r="W60" s="372" t="s">
        <v>85</v>
      </c>
      <c r="X60" s="372" t="s">
        <v>86</v>
      </c>
    </row>
    <row r="61" spans="2:24">
      <c r="J61" t="str">
        <f t="shared" si="3"/>
        <v>Trd_car_gsl-pih</v>
      </c>
      <c r="K61" t="str">
        <f t="shared" si="4"/>
        <v>\I:</v>
      </c>
      <c r="L61" t="str">
        <f t="shared" si="5"/>
        <v>\I:</v>
      </c>
      <c r="M61" s="374" t="str">
        <f t="shared" si="6"/>
        <v/>
      </c>
      <c r="N61" s="374" t="str">
        <f t="shared" si="7"/>
        <v/>
      </c>
      <c r="O61" s="374" t="str">
        <f t="shared" si="8"/>
        <v/>
      </c>
      <c r="P61" s="374" t="str">
        <f t="shared" si="9"/>
        <v/>
      </c>
      <c r="R61" s="370"/>
      <c r="U61" t="str">
        <f t="shared" si="12"/>
        <v>\I:</v>
      </c>
      <c r="V61" t="str">
        <f ca="1" t="shared" si="13"/>
        <v>ICE medium size plug-in hybrid gasoline car -- 00%</v>
      </c>
      <c r="W61" s="372" t="s">
        <v>85</v>
      </c>
      <c r="X61" s="372" t="s">
        <v>86</v>
      </c>
    </row>
    <row r="62" spans="2:24">
      <c r="B62" s="44" t="s">
        <v>87</v>
      </c>
      <c r="J62" t="str">
        <f t="shared" si="3"/>
        <v>Trd_car_gsl-pih</v>
      </c>
      <c r="K62" t="str">
        <f t="shared" si="4"/>
        <v>\I:</v>
      </c>
      <c r="L62" t="str">
        <f t="shared" si="5"/>
        <v>\I:</v>
      </c>
      <c r="M62" s="374" t="str">
        <f t="shared" si="6"/>
        <v/>
      </c>
      <c r="N62" s="374" t="str">
        <f t="shared" si="7"/>
        <v/>
      </c>
      <c r="O62" s="374" t="str">
        <f t="shared" si="8"/>
        <v/>
      </c>
      <c r="P62" s="374" t="str">
        <f t="shared" si="9"/>
        <v/>
      </c>
      <c r="R62" s="370"/>
      <c r="U62" t="str">
        <f t="shared" si="12"/>
        <v>\I:</v>
      </c>
      <c r="V62" t="str">
        <f ca="1" t="shared" si="13"/>
        <v>ICE medium size plug-in hybrid gasoline car -- Reference values for medium size ICE diesel </v>
      </c>
      <c r="W62" s="372" t="s">
        <v>85</v>
      </c>
      <c r="X62" s="372" t="s">
        <v>86</v>
      </c>
    </row>
    <row r="63" spans="2:24">
      <c r="B63" s="365">
        <v>2015</v>
      </c>
      <c r="C63" s="365"/>
      <c r="D63" s="365"/>
      <c r="J63" t="str">
        <f t="shared" si="3"/>
        <v>Trd_car_gsl-pih</v>
      </c>
      <c r="K63" t="str">
        <f t="shared" si="4"/>
        <v>\I:</v>
      </c>
      <c r="L63" t="str">
        <f t="shared" si="5"/>
        <v>\I:</v>
      </c>
      <c r="M63" s="374" t="str">
        <f t="shared" si="6"/>
        <v/>
      </c>
      <c r="N63" s="374" t="str">
        <f t="shared" si="7"/>
        <v/>
      </c>
      <c r="O63" s="374" t="str">
        <f t="shared" si="8"/>
        <v/>
      </c>
      <c r="P63" s="374" t="str">
        <f t="shared" si="9"/>
        <v/>
      </c>
      <c r="R63" s="370"/>
      <c r="U63" t="str">
        <f t="shared" si="12"/>
        <v>\I:</v>
      </c>
      <c r="V63" t="str">
        <f ca="1" t="shared" si="13"/>
        <v>ICE medium size plug-in hybrid gasoline car -- 201500%</v>
      </c>
      <c r="W63" s="372" t="s">
        <v>85</v>
      </c>
      <c r="X63" s="372" t="s">
        <v>86</v>
      </c>
    </row>
    <row r="64" spans="2:24">
      <c r="B64" s="46" t="s">
        <v>12</v>
      </c>
      <c r="C64" s="47" t="s">
        <v>13</v>
      </c>
      <c r="D64" s="48">
        <v>4.98666897284823</v>
      </c>
      <c r="G64" s="75">
        <f>D64*$I$4/100*10^9/10^6</f>
        <v>1.89493420968233</v>
      </c>
      <c r="H64" s="75"/>
      <c r="I64" s="416">
        <f>1/G64</f>
        <v>0.527722806887128</v>
      </c>
      <c r="J64" t="str">
        <f t="shared" si="3"/>
        <v>Trd_car_gsl-pih</v>
      </c>
      <c r="K64" t="str">
        <f t="shared" si="4"/>
        <v>\I:</v>
      </c>
      <c r="L64" t="str">
        <f t="shared" si="5"/>
        <v>\I:</v>
      </c>
      <c r="M64" s="374" t="str">
        <f t="shared" si="6"/>
        <v/>
      </c>
      <c r="N64" s="374" t="str">
        <f t="shared" si="7"/>
        <v/>
      </c>
      <c r="O64" s="374" t="str">
        <f t="shared" si="8"/>
        <v/>
      </c>
      <c r="P64" s="374" t="str">
        <f t="shared" si="9"/>
        <v/>
      </c>
      <c r="R64" s="370"/>
      <c r="U64" t="str">
        <f t="shared" si="12"/>
        <v>\I:</v>
      </c>
      <c r="V64" t="str">
        <f ca="1" t="shared" si="13"/>
        <v>ICE medium size plug-in hybrid gasoline car -- Energy consumption</v>
      </c>
      <c r="W64" s="372" t="s">
        <v>85</v>
      </c>
      <c r="X64" s="372" t="s">
        <v>86</v>
      </c>
    </row>
    <row r="65" spans="2:24">
      <c r="B65" s="46" t="s">
        <v>14</v>
      </c>
      <c r="C65" s="47" t="s">
        <v>15</v>
      </c>
      <c r="D65" s="68">
        <v>21914.2647910521</v>
      </c>
      <c r="I65" s="377" t="s">
        <v>70</v>
      </c>
      <c r="J65" t="str">
        <f t="shared" si="3"/>
        <v>Trd_car_gsl-pih</v>
      </c>
      <c r="K65" t="str">
        <f t="shared" si="4"/>
        <v>\I:</v>
      </c>
      <c r="L65" t="str">
        <f t="shared" si="5"/>
        <v>\I:</v>
      </c>
      <c r="M65" s="374" t="str">
        <f t="shared" si="6"/>
        <v/>
      </c>
      <c r="N65" s="374" t="str">
        <f t="shared" si="7"/>
        <v/>
      </c>
      <c r="O65" s="374" t="str">
        <f t="shared" si="8"/>
        <v/>
      </c>
      <c r="P65" s="374" t="str">
        <f t="shared" si="9"/>
        <v/>
      </c>
      <c r="R65" s="370"/>
      <c r="U65" t="str">
        <f t="shared" si="12"/>
        <v>\I:</v>
      </c>
      <c r="V65" t="str">
        <f ca="1" t="shared" si="13"/>
        <v>ICE medium size plug-in hybrid gasoline car -- Capital cost</v>
      </c>
      <c r="W65" s="372" t="s">
        <v>85</v>
      </c>
      <c r="X65" s="372" t="s">
        <v>86</v>
      </c>
    </row>
    <row r="66" spans="2:24">
      <c r="J66" t="str">
        <f t="shared" si="3"/>
        <v>Trd_car_gsl-pih</v>
      </c>
      <c r="K66" t="str">
        <f t="shared" si="4"/>
        <v>\I:</v>
      </c>
      <c r="L66" t="str">
        <f t="shared" si="5"/>
        <v>\I:</v>
      </c>
      <c r="M66" s="374" t="str">
        <f t="shared" si="6"/>
        <v/>
      </c>
      <c r="N66" s="374" t="str">
        <f t="shared" si="7"/>
        <v/>
      </c>
      <c r="O66" s="374" t="str">
        <f t="shared" si="8"/>
        <v/>
      </c>
      <c r="P66" s="374" t="str">
        <f t="shared" si="9"/>
        <v/>
      </c>
      <c r="R66" s="370"/>
      <c r="U66" t="str">
        <f t="shared" si="12"/>
        <v>\I:</v>
      </c>
      <c r="V66" t="str">
        <f ca="1" t="shared" si="13"/>
        <v>ICE medium size plug-in hybrid gasoline car -- 00%</v>
      </c>
      <c r="W66" s="372" t="s">
        <v>85</v>
      </c>
      <c r="X66" s="372" t="s">
        <v>86</v>
      </c>
    </row>
    <row r="67" ht="15" customHeight="1" spans="2:24">
      <c r="B67" s="371" t="s">
        <v>21</v>
      </c>
      <c r="C67" s="371" t="s">
        <v>52</v>
      </c>
      <c r="D67" s="371"/>
      <c r="E67" s="371"/>
      <c r="F67" s="371"/>
      <c r="J67" t="str">
        <f t="shared" si="3"/>
        <v>Trd_car_dsl</v>
      </c>
      <c r="K67" t="str">
        <f t="shared" si="4"/>
        <v>\I:</v>
      </c>
      <c r="L67" t="str">
        <f t="shared" si="5"/>
        <v>\I:</v>
      </c>
      <c r="M67" s="374" t="str">
        <f t="shared" si="6"/>
        <v/>
      </c>
      <c r="N67" s="374" t="str">
        <f t="shared" si="7"/>
        <v/>
      </c>
      <c r="O67" s="374" t="str">
        <f t="shared" si="8"/>
        <v/>
      </c>
      <c r="P67" s="374" t="str">
        <f t="shared" si="9"/>
        <v/>
      </c>
      <c r="R67" s="370"/>
      <c r="U67" t="str">
        <f t="shared" si="12"/>
        <v>\I:</v>
      </c>
      <c r="V67" t="str">
        <f ca="1" t="shared" si="13"/>
        <v>ICE medium size diesel car -- Reduction of specific energy consumption relative to 2015 diesel vehicle (%)</v>
      </c>
      <c r="W67" s="372" t="s">
        <v>85</v>
      </c>
      <c r="X67" s="372" t="s">
        <v>86</v>
      </c>
    </row>
    <row r="68" spans="2:24">
      <c r="B68" s="371"/>
      <c r="C68" s="371"/>
      <c r="D68" s="371"/>
      <c r="E68" s="371"/>
      <c r="F68" s="371"/>
      <c r="J68" t="str">
        <f t="shared" si="3"/>
        <v>Trd_car_dsl</v>
      </c>
      <c r="K68" t="str">
        <f t="shared" si="4"/>
        <v>\I:</v>
      </c>
      <c r="L68" t="str">
        <f t="shared" si="5"/>
        <v>\I:</v>
      </c>
      <c r="M68" s="374" t="str">
        <f t="shared" si="6"/>
        <v/>
      </c>
      <c r="N68" s="374" t="str">
        <f t="shared" si="7"/>
        <v/>
      </c>
      <c r="O68" s="374" t="str">
        <f t="shared" si="8"/>
        <v/>
      </c>
      <c r="P68" s="374" t="str">
        <f t="shared" si="9"/>
        <v/>
      </c>
      <c r="R68" s="370"/>
      <c r="U68" t="str">
        <f t="shared" si="12"/>
        <v>\I:</v>
      </c>
      <c r="V68" t="str">
        <f ca="1" t="shared" si="13"/>
        <v>ICE medium size diesel car -- 00%</v>
      </c>
      <c r="W68" s="372" t="s">
        <v>85</v>
      </c>
      <c r="X68" s="372" t="s">
        <v>86</v>
      </c>
    </row>
    <row r="69" spans="2:24">
      <c r="B69" s="371"/>
      <c r="C69" s="371"/>
      <c r="D69" s="371"/>
      <c r="E69" s="371"/>
      <c r="F69" s="371"/>
      <c r="J69" t="str">
        <f t="shared" si="3"/>
        <v>Trd_car_dsl</v>
      </c>
      <c r="K69" t="str">
        <f t="shared" si="4"/>
        <v>\I:</v>
      </c>
      <c r="L69" t="str">
        <f t="shared" si="5"/>
        <v>\I:</v>
      </c>
      <c r="M69" s="374" t="str">
        <f t="shared" si="6"/>
        <v/>
      </c>
      <c r="N69" s="374" t="str">
        <f t="shared" si="7"/>
        <v/>
      </c>
      <c r="O69" s="374" t="str">
        <f t="shared" si="8"/>
        <v/>
      </c>
      <c r="P69" s="374" t="str">
        <f t="shared" si="9"/>
        <v/>
      </c>
      <c r="R69" s="370"/>
      <c r="U69" t="str">
        <f t="shared" si="12"/>
        <v>\I:</v>
      </c>
      <c r="V69" t="str">
        <f ca="1" t="shared" si="13"/>
        <v>ICE medium size diesel car -- 00%</v>
      </c>
      <c r="W69" s="372" t="s">
        <v>85</v>
      </c>
      <c r="X69" s="372" t="s">
        <v>86</v>
      </c>
    </row>
    <row r="70" spans="2:24">
      <c r="B70" s="88"/>
      <c r="C70" s="51">
        <v>2020</v>
      </c>
      <c r="D70" s="51">
        <v>2030</v>
      </c>
      <c r="E70" s="51">
        <v>2040</v>
      </c>
      <c r="F70" s="51">
        <v>2050</v>
      </c>
      <c r="I70" s="366">
        <v>1</v>
      </c>
      <c r="J70" s="44" t="str">
        <f t="shared" ref="J70" si="15">IFERROR(VLOOKUP(C70,$R$1:$S$11,2,FALSE),J69)</f>
        <v>Trd_car_dsl</v>
      </c>
      <c r="K70" s="44" t="str">
        <f>IFERROR(IF(VALUE(C70)&gt;200,J70&amp;"_"&amp;TEXT(B70*100,"00"),"\I:"),"\I:")</f>
        <v>Trd_car_dsl_00</v>
      </c>
      <c r="L70" t="str">
        <f t="shared" si="5"/>
        <v>Trd_car</v>
      </c>
      <c r="M70" s="412">
        <f>D65</f>
        <v>21914.2647910521</v>
      </c>
      <c r="N70" s="374"/>
      <c r="O70" s="374"/>
      <c r="P70" s="374"/>
      <c r="R70" s="370"/>
      <c r="U70" t="str">
        <f t="shared" si="12"/>
        <v>Trd_car_dsl_00</v>
      </c>
      <c r="V70" t="str">
        <f ca="1" t="shared" si="13"/>
        <v>ICE medium size diesel car -- 00%</v>
      </c>
      <c r="W70" s="372" t="s">
        <v>85</v>
      </c>
      <c r="X70" s="372" t="s">
        <v>86</v>
      </c>
    </row>
    <row r="7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74">
        <f t="shared" si="6"/>
        <v>22692.9991331875</v>
      </c>
      <c r="N71" s="374">
        <f t="shared" si="7"/>
        <v>22131.4789656656</v>
      </c>
      <c r="O71" s="374">
        <f t="shared" si="8"/>
        <v>22131.4789656656</v>
      </c>
      <c r="P71" s="374">
        <f t="shared" si="9"/>
        <v>22131.4789656656</v>
      </c>
      <c r="R71" s="370"/>
      <c r="U71" t="str">
        <f t="shared" si="12"/>
        <v>Trd_car_dsl_20</v>
      </c>
      <c r="V71" t="str">
        <f ca="1" t="shared" si="13"/>
        <v>ICE medium size diesel car -- 20%</v>
      </c>
      <c r="W71" s="372" t="s">
        <v>85</v>
      </c>
      <c r="X71" s="372" t="s">
        <v>86</v>
      </c>
    </row>
    <row r="72"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74">
        <f t="shared" si="6"/>
        <v>24299.0380820457</v>
      </c>
      <c r="N72" s="374">
        <f t="shared" si="7"/>
        <v>22868.8307949444</v>
      </c>
      <c r="O72" s="374">
        <f t="shared" si="8"/>
        <v>22868.8307949444</v>
      </c>
      <c r="P72" s="374">
        <f t="shared" si="9"/>
        <v>22868.8307949444</v>
      </c>
      <c r="R72" s="370"/>
      <c r="U72" t="str">
        <f t="shared" si="12"/>
        <v>Trd_car_dsl_30</v>
      </c>
      <c r="V72" t="str">
        <f ca="1" t="shared" si="13"/>
        <v>ICE medium size diesel car -- 30%</v>
      </c>
      <c r="W72" s="372" t="s">
        <v>85</v>
      </c>
      <c r="X72" s="372" t="s">
        <v>86</v>
      </c>
    </row>
    <row r="73"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74">
        <f t="shared" si="6"/>
        <v>26423.1165385091</v>
      </c>
      <c r="N73" s="374">
        <f t="shared" si="7"/>
        <v>23526.51219185</v>
      </c>
      <c r="O73" s="374">
        <f t="shared" si="8"/>
        <v>23526.51219185</v>
      </c>
      <c r="P73" s="374">
        <f t="shared" si="9"/>
        <v>23526.51219185</v>
      </c>
      <c r="R73" s="370"/>
      <c r="U73" t="str">
        <f t="shared" si="12"/>
        <v>Trd_car_dsl_35</v>
      </c>
      <c r="V73" t="str">
        <f ca="1" t="shared" si="13"/>
        <v>ICE medium size diesel car -- 35%</v>
      </c>
      <c r="W73" s="372" t="s">
        <v>85</v>
      </c>
      <c r="X73" s="372" t="s">
        <v>86</v>
      </c>
    </row>
    <row r="74"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74">
        <f t="shared" si="6"/>
        <v>39644.745949074</v>
      </c>
      <c r="N74" s="374">
        <f t="shared" si="7"/>
        <v>24942.2235642788</v>
      </c>
      <c r="O74" s="374">
        <f t="shared" si="8"/>
        <v>24942.2235642788</v>
      </c>
      <c r="P74" s="374">
        <f t="shared" si="9"/>
        <v>24942.2235642788</v>
      </c>
      <c r="R74" s="370"/>
      <c r="U74" t="str">
        <f t="shared" si="12"/>
        <v>Trd_car_dsl_40</v>
      </c>
      <c r="V74" t="str">
        <f ca="1" t="shared" si="13"/>
        <v>ICE medium size diesel car -- 40%</v>
      </c>
      <c r="W74" s="372" t="s">
        <v>85</v>
      </c>
      <c r="X74" s="372" t="s">
        <v>86</v>
      </c>
    </row>
    <row r="75"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74">
        <f t="shared" si="6"/>
        <v>122116.432</v>
      </c>
      <c r="N75" s="374">
        <f t="shared" si="7"/>
        <v>33656.2953808642</v>
      </c>
      <c r="O75" s="374">
        <f t="shared" si="8"/>
        <v>33656.2953808642</v>
      </c>
      <c r="P75" s="374">
        <f t="shared" si="9"/>
        <v>33656.2953808642</v>
      </c>
      <c r="R75" s="370"/>
      <c r="U75" t="str">
        <f t="shared" si="12"/>
        <v>Trd_car_dsl_45</v>
      </c>
      <c r="V75" t="str">
        <f ca="1" t="shared" si="13"/>
        <v>ICE medium size diesel car -- 45%</v>
      </c>
      <c r="W75" s="372" t="s">
        <v>85</v>
      </c>
      <c r="X75" s="372" t="s">
        <v>86</v>
      </c>
    </row>
    <row r="76" spans="2:24">
      <c r="C76" s="97"/>
      <c r="D76" s="97"/>
      <c r="E76" s="97"/>
      <c r="F76" s="97"/>
      <c r="J76" t="str">
        <f t="shared" si="3"/>
        <v>Trd_car_dsl</v>
      </c>
      <c r="K76" t="str">
        <f t="shared" si="4"/>
        <v>\I:</v>
      </c>
      <c r="L76" t="str">
        <f t="shared" si="5"/>
        <v>\I:</v>
      </c>
      <c r="M76" s="374" t="str">
        <f t="shared" si="6"/>
        <v/>
      </c>
      <c r="N76" s="374" t="str">
        <f t="shared" si="7"/>
        <v/>
      </c>
      <c r="O76" s="374" t="str">
        <f t="shared" si="8"/>
        <v/>
      </c>
      <c r="P76" s="374" t="str">
        <f t="shared" si="9"/>
        <v/>
      </c>
      <c r="R76" s="370"/>
      <c r="U76" t="str">
        <f t="shared" si="12"/>
        <v>\I:</v>
      </c>
      <c r="V76" t="str">
        <f ca="1" t="shared" si="13"/>
        <v>ICE medium size diesel car -- 00%</v>
      </c>
      <c r="W76" s="372" t="s">
        <v>85</v>
      </c>
      <c r="X76" s="372" t="s">
        <v>86</v>
      </c>
    </row>
    <row r="77" spans="2:24">
      <c r="J77" t="str">
        <f t="shared" si="3"/>
        <v>Trd_car_dsl</v>
      </c>
      <c r="K77" t="str">
        <f t="shared" si="4"/>
        <v>\I:</v>
      </c>
      <c r="L77" t="str">
        <f t="shared" si="5"/>
        <v>\I:</v>
      </c>
      <c r="M77" s="374" t="str">
        <f t="shared" si="6"/>
        <v/>
      </c>
      <c r="N77" s="374" t="str">
        <f t="shared" si="7"/>
        <v/>
      </c>
      <c r="O77" s="374" t="str">
        <f t="shared" si="8"/>
        <v/>
      </c>
      <c r="P77" s="374" t="str">
        <f t="shared" si="9"/>
        <v/>
      </c>
      <c r="R77" s="370"/>
      <c r="U77" t="str">
        <f t="shared" si="12"/>
        <v>\I:</v>
      </c>
      <c r="V77" t="str">
        <f ca="1" t="shared" si="13"/>
        <v>ICE medium size diesel car -- 00%</v>
      </c>
      <c r="W77" s="372" t="s">
        <v>85</v>
      </c>
      <c r="X77" s="372" t="s">
        <v>86</v>
      </c>
    </row>
    <row r="78" spans="2:24">
      <c r="J78" t="str">
        <f t="shared" si="3"/>
        <v>Trd_car_dsl</v>
      </c>
      <c r="K78" t="str">
        <f t="shared" si="4"/>
        <v>\I:</v>
      </c>
      <c r="L78" t="str">
        <f t="shared" si="5"/>
        <v>\I:</v>
      </c>
      <c r="M78" s="374" t="str">
        <f t="shared" si="6"/>
        <v/>
      </c>
      <c r="N78" s="374" t="str">
        <f t="shared" si="7"/>
        <v/>
      </c>
      <c r="O78" s="374" t="str">
        <f t="shared" si="8"/>
        <v/>
      </c>
      <c r="P78" s="374" t="str">
        <f t="shared" si="9"/>
        <v/>
      </c>
      <c r="R78" s="370"/>
      <c r="U78" t="str">
        <f t="shared" si="12"/>
        <v>\I:</v>
      </c>
      <c r="V78" t="str">
        <f ca="1" t="shared" si="13"/>
        <v>ICE medium size diesel car -- 00%</v>
      </c>
      <c r="W78" s="372" t="s">
        <v>85</v>
      </c>
      <c r="X78" s="372" t="s">
        <v>86</v>
      </c>
    </row>
    <row r="79" spans="2:24">
      <c r="J79" t="str">
        <f t="shared" si="3"/>
        <v>Trd_car_dsl</v>
      </c>
      <c r="K79" t="str">
        <f t="shared" si="4"/>
        <v>\I:</v>
      </c>
      <c r="L79" t="str">
        <f t="shared" si="5"/>
        <v>\I:</v>
      </c>
      <c r="M79" s="374" t="str">
        <f t="shared" si="6"/>
        <v/>
      </c>
      <c r="N79" s="374" t="str">
        <f t="shared" si="7"/>
        <v/>
      </c>
      <c r="O79" s="374" t="str">
        <f t="shared" si="8"/>
        <v/>
      </c>
      <c r="P79" s="374" t="str">
        <f t="shared" si="9"/>
        <v/>
      </c>
      <c r="R79" s="370"/>
      <c r="U79" t="str">
        <f t="shared" si="12"/>
        <v>\I:</v>
      </c>
      <c r="V79" t="str">
        <f ca="1" t="shared" si="13"/>
        <v>ICE medium size diesel car -- 00%</v>
      </c>
      <c r="W79" s="372" t="s">
        <v>85</v>
      </c>
      <c r="X79" s="372" t="s">
        <v>86</v>
      </c>
    </row>
    <row r="80" ht="15" customHeight="1" spans="2:24">
      <c r="B80" s="371" t="s">
        <v>21</v>
      </c>
      <c r="C80" s="371" t="s">
        <v>55</v>
      </c>
      <c r="D80" s="371"/>
      <c r="E80" s="371"/>
      <c r="F80" s="371"/>
      <c r="J80" t="str">
        <f t="shared" si="3"/>
        <v>Trd_car_dsl-hyb</v>
      </c>
      <c r="K80" t="str">
        <f t="shared" si="4"/>
        <v>\I:</v>
      </c>
      <c r="L80" t="str">
        <f t="shared" si="5"/>
        <v>\I:</v>
      </c>
      <c r="M80" s="374" t="str">
        <f t="shared" si="6"/>
        <v/>
      </c>
      <c r="N80" s="374" t="str">
        <f t="shared" si="7"/>
        <v/>
      </c>
      <c r="O80" s="374" t="str">
        <f t="shared" si="8"/>
        <v/>
      </c>
      <c r="P80" s="374" t="str">
        <f t="shared" si="9"/>
        <v/>
      </c>
      <c r="R80" s="370"/>
      <c r="U80" t="str">
        <f t="shared" si="12"/>
        <v>\I:</v>
      </c>
      <c r="V80" t="str">
        <f ca="1" t="shared" si="13"/>
        <v>ICE medium size hybrid diesel car -- Reduction of specific energy consumption relative to 2015 diesel vehicle (%)</v>
      </c>
      <c r="W80" s="372" t="s">
        <v>85</v>
      </c>
      <c r="X80" s="372" t="s">
        <v>86</v>
      </c>
    </row>
    <row r="81" spans="2:24">
      <c r="B81" s="371"/>
      <c r="C81" s="371"/>
      <c r="D81" s="371"/>
      <c r="E81" s="371"/>
      <c r="F81" s="371"/>
      <c r="J81" t="str">
        <f t="shared" si="3"/>
        <v>Trd_car_dsl-hyb</v>
      </c>
      <c r="K81" t="str">
        <f t="shared" si="4"/>
        <v>\I:</v>
      </c>
      <c r="L81" t="str">
        <f t="shared" si="5"/>
        <v>\I:</v>
      </c>
      <c r="M81" s="374" t="str">
        <f t="shared" si="6"/>
        <v/>
      </c>
      <c r="N81" s="374" t="str">
        <f t="shared" si="7"/>
        <v/>
      </c>
      <c r="O81" s="374" t="str">
        <f t="shared" si="8"/>
        <v/>
      </c>
      <c r="P81" s="374" t="str">
        <f t="shared" si="9"/>
        <v/>
      </c>
      <c r="R81" s="370"/>
      <c r="U81" t="str">
        <f t="shared" ref="U81:U112" si="16">K81</f>
        <v>\I:</v>
      </c>
      <c r="V81" t="str">
        <f ca="1" t="shared" ref="V81:V112" si="17">OFFSET($S$1,MATCH(J81,$S$1:$S$11,0)-1,-1)&amp;" -- "&amp;TEXT(B81,"00%")</f>
        <v>ICE medium size hybrid diesel car -- 00%</v>
      </c>
      <c r="W81" s="372" t="s">
        <v>85</v>
      </c>
      <c r="X81" s="372" t="s">
        <v>86</v>
      </c>
    </row>
    <row r="82" spans="2:24">
      <c r="B82" s="371"/>
      <c r="C82" s="371"/>
      <c r="D82" s="371"/>
      <c r="E82" s="371"/>
      <c r="F82" s="371"/>
      <c r="J82" t="str">
        <f t="shared" ref="J82:J145" si="18">IFERROR(VLOOKUP(C82,$R$1:$S$11,2,FALSE),J81)</f>
        <v>Trd_car_dsl-hyb</v>
      </c>
      <c r="K82" t="str">
        <f t="shared" ref="K82:K145" si="19">IFERROR(IF(VALUE(C82)&gt;2020,J82&amp;"_"&amp;TEXT(B82*100,"00"),"\I:"),"\I:")</f>
        <v>\I:</v>
      </c>
      <c r="L82" t="str">
        <f t="shared" ref="L82:L145" si="20">LEFT(K82,7)</f>
        <v>\I:</v>
      </c>
      <c r="M82" s="374" t="str">
        <f t="shared" ref="M82:M145" si="21">IF($K82="\I:","",C82)</f>
        <v/>
      </c>
      <c r="N82" s="374" t="str">
        <f t="shared" ref="N82:N145" si="22">IF($K82="\I:","",D82)</f>
        <v/>
      </c>
      <c r="O82" s="374" t="str">
        <f t="shared" ref="O82:O145" si="23">IF($K82="\I:","",E82)</f>
        <v/>
      </c>
      <c r="P82" s="374" t="str">
        <f t="shared" ref="P82:P145" si="24">IF($K82="\I:","",F82)</f>
        <v/>
      </c>
      <c r="R82" s="370"/>
      <c r="U82" t="str">
        <f t="shared" si="16"/>
        <v>\I:</v>
      </c>
      <c r="V82" t="str">
        <f ca="1" t="shared" si="17"/>
        <v>ICE medium size hybrid diesel car -- 00%</v>
      </c>
      <c r="W82" s="372" t="s">
        <v>85</v>
      </c>
      <c r="X82" s="372" t="s">
        <v>86</v>
      </c>
    </row>
    <row r="83" spans="2:24">
      <c r="B83" s="88"/>
      <c r="C83" s="51">
        <v>2020</v>
      </c>
      <c r="D83" s="51">
        <v>2030</v>
      </c>
      <c r="E83" s="51">
        <v>2040</v>
      </c>
      <c r="F83" s="51">
        <v>2050</v>
      </c>
      <c r="J83" t="str">
        <f t="shared" si="18"/>
        <v>Trd_car_dsl-hyb</v>
      </c>
      <c r="K83" t="str">
        <f t="shared" si="19"/>
        <v>\I:</v>
      </c>
      <c r="L83" t="str">
        <f t="shared" si="20"/>
        <v>\I:</v>
      </c>
      <c r="M83" s="374" t="str">
        <f t="shared" si="21"/>
        <v/>
      </c>
      <c r="N83" s="374" t="str">
        <f t="shared" si="22"/>
        <v/>
      </c>
      <c r="O83" s="374" t="str">
        <f t="shared" si="23"/>
        <v/>
      </c>
      <c r="P83" s="374" t="str">
        <f t="shared" si="24"/>
        <v/>
      </c>
      <c r="R83" s="370"/>
      <c r="U83" t="str">
        <f t="shared" si="16"/>
        <v>\I:</v>
      </c>
      <c r="V83" t="str">
        <f ca="1" t="shared" si="17"/>
        <v>ICE medium size hybrid diesel car -- 00%</v>
      </c>
      <c r="W83" s="372" t="s">
        <v>85</v>
      </c>
      <c r="X83" s="372" t="s">
        <v>86</v>
      </c>
    </row>
    <row r="84"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74">
        <f t="shared" si="21"/>
        <v>25058.7494468874</v>
      </c>
      <c r="N84" s="374">
        <f t="shared" si="22"/>
        <v>23982.6880941969</v>
      </c>
      <c r="O84" s="374">
        <f t="shared" si="23"/>
        <v>23982.6880941969</v>
      </c>
      <c r="P84" s="374">
        <f t="shared" si="24"/>
        <v>23982.6880941969</v>
      </c>
      <c r="R84" s="370"/>
      <c r="U84" t="str">
        <f t="shared" si="16"/>
        <v>Trd_car_dsl-hyb_18</v>
      </c>
      <c r="V84" t="str">
        <f ca="1" t="shared" si="17"/>
        <v>ICE medium size hybrid diesel car -- 18%</v>
      </c>
      <c r="W84" s="372" t="s">
        <v>85</v>
      </c>
      <c r="X84" s="372" t="s">
        <v>86</v>
      </c>
    </row>
    <row r="85"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74">
        <f t="shared" si="21"/>
        <v>25136.2280373902</v>
      </c>
      <c r="N85" s="374">
        <f t="shared" si="22"/>
        <v>24097.0510525927</v>
      </c>
      <c r="O85" s="374">
        <f t="shared" si="23"/>
        <v>24097.0510525927</v>
      </c>
      <c r="P85" s="374">
        <f t="shared" si="24"/>
        <v>24097.0510525927</v>
      </c>
      <c r="R85" s="370"/>
      <c r="U85" t="str">
        <f t="shared" si="16"/>
        <v>Trd_car_dsl-hyb_28</v>
      </c>
      <c r="V85" t="str">
        <f ca="1" t="shared" si="17"/>
        <v>ICE medium size hybrid diesel car -- 28%</v>
      </c>
      <c r="W85" s="372" t="s">
        <v>85</v>
      </c>
      <c r="X85" s="372" t="s">
        <v>86</v>
      </c>
    </row>
    <row r="86"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74">
        <f t="shared" si="21"/>
        <v>25231.5365940607</v>
      </c>
      <c r="N86" s="374">
        <f t="shared" si="22"/>
        <v>24214.5141580812</v>
      </c>
      <c r="O86" s="374">
        <f t="shared" si="23"/>
        <v>24214.5141580812</v>
      </c>
      <c r="P86" s="374">
        <f t="shared" si="24"/>
        <v>24214.5141580812</v>
      </c>
      <c r="R86" s="370"/>
      <c r="U86" t="str">
        <f t="shared" si="16"/>
        <v>Trd_car_dsl-hyb_33</v>
      </c>
      <c r="V86" t="str">
        <f ca="1" t="shared" si="17"/>
        <v>ICE medium size hybrid diesel car -- 33%</v>
      </c>
      <c r="W86" s="372" t="s">
        <v>85</v>
      </c>
      <c r="X86" s="372" t="s">
        <v>86</v>
      </c>
    </row>
    <row r="87"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74">
        <f t="shared" si="21"/>
        <v>25440.7877522533</v>
      </c>
      <c r="N87" s="374">
        <f t="shared" si="22"/>
        <v>24383.7215565591</v>
      </c>
      <c r="O87" s="374">
        <f t="shared" si="23"/>
        <v>24383.7215565591</v>
      </c>
      <c r="P87" s="374">
        <f t="shared" si="24"/>
        <v>24383.7215565591</v>
      </c>
      <c r="R87" s="370"/>
      <c r="U87" t="str">
        <f t="shared" si="16"/>
        <v>Trd_car_dsl-hyb_38</v>
      </c>
      <c r="V87" t="str">
        <f ca="1" t="shared" si="17"/>
        <v>ICE medium size hybrid diesel car -- 38%</v>
      </c>
      <c r="W87" s="372" t="s">
        <v>85</v>
      </c>
      <c r="X87" s="372" t="s">
        <v>86</v>
      </c>
    </row>
    <row r="88"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74">
        <f t="shared" si="21"/>
        <v>25786.5870673617</v>
      </c>
      <c r="N88" s="374">
        <f t="shared" si="22"/>
        <v>24612.8789983703</v>
      </c>
      <c r="O88" s="374">
        <f t="shared" si="23"/>
        <v>24612.8789983703</v>
      </c>
      <c r="P88" s="374">
        <f t="shared" si="24"/>
        <v>24612.8789983703</v>
      </c>
      <c r="R88" s="370"/>
      <c r="U88" t="str">
        <f t="shared" si="16"/>
        <v>Trd_car_dsl-hyb_43</v>
      </c>
      <c r="V88" t="str">
        <f ca="1" t="shared" si="17"/>
        <v>ICE medium size hybrid diesel car -- 43%</v>
      </c>
      <c r="W88" s="372" t="s">
        <v>85</v>
      </c>
      <c r="X88" s="372" t="s">
        <v>86</v>
      </c>
    </row>
    <row r="89"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74">
        <f t="shared" si="21"/>
        <v>35085.4217040498</v>
      </c>
      <c r="N89" s="374">
        <f t="shared" si="22"/>
        <v>25042.6899697562</v>
      </c>
      <c r="O89" s="374">
        <f t="shared" si="23"/>
        <v>25042.6899697562</v>
      </c>
      <c r="P89" s="374">
        <f t="shared" si="24"/>
        <v>25042.6899697562</v>
      </c>
      <c r="R89" s="370"/>
      <c r="U89" t="str">
        <f t="shared" si="16"/>
        <v>Trd_car_dsl-hyb_48</v>
      </c>
      <c r="V89" t="str">
        <f ca="1" t="shared" si="17"/>
        <v>ICE medium size hybrid diesel car -- 48%</v>
      </c>
      <c r="W89" s="372" t="s">
        <v>85</v>
      </c>
      <c r="X89" s="372" t="s">
        <v>86</v>
      </c>
    </row>
    <row r="90"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74">
        <f t="shared" si="21"/>
        <v>117946.536011697</v>
      </c>
      <c r="N90" s="374">
        <f t="shared" si="22"/>
        <v>32577.2698197311</v>
      </c>
      <c r="O90" s="374">
        <f t="shared" si="23"/>
        <v>32577.2698197311</v>
      </c>
      <c r="P90" s="374">
        <f t="shared" si="24"/>
        <v>32577.2698197311</v>
      </c>
      <c r="R90" s="370"/>
      <c r="U90" t="str">
        <f t="shared" si="16"/>
        <v>Trd_car_dsl-hyb_53</v>
      </c>
      <c r="V90" t="str">
        <f ca="1" t="shared" si="17"/>
        <v>ICE medium size hybrid diesel car -- 53%</v>
      </c>
      <c r="W90" s="372" t="s">
        <v>85</v>
      </c>
      <c r="X90" s="372" t="s">
        <v>86</v>
      </c>
    </row>
    <row r="91" spans="2:24">
      <c r="C91" s="97"/>
      <c r="D91" s="97"/>
      <c r="E91" s="97"/>
      <c r="F91" s="97"/>
      <c r="J91" t="str">
        <f t="shared" si="18"/>
        <v>Trd_car_dsl-hyb</v>
      </c>
      <c r="K91" t="str">
        <f t="shared" si="19"/>
        <v>\I:</v>
      </c>
      <c r="L91" t="str">
        <f t="shared" si="20"/>
        <v>\I:</v>
      </c>
      <c r="M91" s="374" t="str">
        <f t="shared" si="21"/>
        <v/>
      </c>
      <c r="N91" s="374" t="str">
        <f t="shared" si="22"/>
        <v/>
      </c>
      <c r="O91" s="374" t="str">
        <f t="shared" si="23"/>
        <v/>
      </c>
      <c r="P91" s="374" t="str">
        <f t="shared" si="24"/>
        <v/>
      </c>
      <c r="R91" s="370"/>
      <c r="U91" t="str">
        <f t="shared" si="16"/>
        <v>\I:</v>
      </c>
      <c r="V91" t="str">
        <f ca="1" t="shared" si="17"/>
        <v>ICE medium size hybrid diesel car -- 00%</v>
      </c>
      <c r="W91" s="372" t="s">
        <v>85</v>
      </c>
      <c r="X91" s="372" t="s">
        <v>86</v>
      </c>
    </row>
    <row r="92" spans="2:24">
      <c r="J92" t="str">
        <f t="shared" si="18"/>
        <v>Trd_car_dsl-hyb</v>
      </c>
      <c r="K92" t="str">
        <f t="shared" si="19"/>
        <v>\I:</v>
      </c>
      <c r="L92" t="str">
        <f t="shared" si="20"/>
        <v>\I:</v>
      </c>
      <c r="M92" s="374" t="str">
        <f t="shared" si="21"/>
        <v/>
      </c>
      <c r="N92" s="374" t="str">
        <f t="shared" si="22"/>
        <v/>
      </c>
      <c r="O92" s="374" t="str">
        <f t="shared" si="23"/>
        <v/>
      </c>
      <c r="P92" s="374" t="str">
        <f t="shared" si="24"/>
        <v/>
      </c>
      <c r="R92" s="370"/>
      <c r="U92" t="str">
        <f t="shared" si="16"/>
        <v>\I:</v>
      </c>
      <c r="V92" t="str">
        <f ca="1" t="shared" si="17"/>
        <v>ICE medium size hybrid diesel car -- 00%</v>
      </c>
      <c r="W92" s="372" t="s">
        <v>85</v>
      </c>
      <c r="X92" s="372" t="s">
        <v>86</v>
      </c>
    </row>
    <row r="93" spans="2:24">
      <c r="J93" t="str">
        <f t="shared" si="18"/>
        <v>Trd_car_dsl-hyb</v>
      </c>
      <c r="K93" t="str">
        <f t="shared" si="19"/>
        <v>\I:</v>
      </c>
      <c r="L93" t="str">
        <f t="shared" si="20"/>
        <v>\I:</v>
      </c>
      <c r="M93" s="374" t="str">
        <f t="shared" si="21"/>
        <v/>
      </c>
      <c r="N93" s="374" t="str">
        <f t="shared" si="22"/>
        <v/>
      </c>
      <c r="O93" s="374" t="str">
        <f t="shared" si="23"/>
        <v/>
      </c>
      <c r="P93" s="374" t="str">
        <f t="shared" si="24"/>
        <v/>
      </c>
      <c r="R93" s="370"/>
      <c r="U93" t="str">
        <f t="shared" si="16"/>
        <v>\I:</v>
      </c>
      <c r="V93" t="str">
        <f ca="1" t="shared" si="17"/>
        <v>ICE medium size hybrid diesel car -- 00%</v>
      </c>
      <c r="W93" s="372" t="s">
        <v>85</v>
      </c>
      <c r="X93" s="372" t="s">
        <v>86</v>
      </c>
    </row>
    <row r="94" spans="2:24">
      <c r="J94" t="str">
        <f t="shared" si="18"/>
        <v>Trd_car_dsl-hyb</v>
      </c>
      <c r="K94" t="str">
        <f t="shared" si="19"/>
        <v>\I:</v>
      </c>
      <c r="L94" t="str">
        <f t="shared" si="20"/>
        <v>\I:</v>
      </c>
      <c r="M94" s="374" t="str">
        <f t="shared" si="21"/>
        <v/>
      </c>
      <c r="N94" s="374" t="str">
        <f t="shared" si="22"/>
        <v/>
      </c>
      <c r="O94" s="374" t="str">
        <f t="shared" si="23"/>
        <v/>
      </c>
      <c r="P94" s="374" t="str">
        <f t="shared" si="24"/>
        <v/>
      </c>
      <c r="R94" s="370"/>
      <c r="U94" t="str">
        <f t="shared" si="16"/>
        <v>\I:</v>
      </c>
      <c r="V94" t="str">
        <f ca="1" t="shared" si="17"/>
        <v>ICE medium size hybrid diesel car -- 00%</v>
      </c>
      <c r="W94" s="372" t="s">
        <v>85</v>
      </c>
      <c r="X94" s="372" t="s">
        <v>86</v>
      </c>
    </row>
    <row r="95" ht="15" customHeight="1" spans="2:24">
      <c r="B95" s="371" t="s">
        <v>21</v>
      </c>
      <c r="C95" s="371" t="s">
        <v>58</v>
      </c>
      <c r="D95" s="371"/>
      <c r="E95" s="371"/>
      <c r="F95" s="371"/>
      <c r="J95" t="str">
        <f t="shared" si="18"/>
        <v>Trd_car_dsl-pih</v>
      </c>
      <c r="K95" t="str">
        <f t="shared" si="19"/>
        <v>\I:</v>
      </c>
      <c r="L95" t="str">
        <f t="shared" si="20"/>
        <v>\I:</v>
      </c>
      <c r="M95" s="374" t="str">
        <f t="shared" si="21"/>
        <v/>
      </c>
      <c r="N95" s="374" t="str">
        <f t="shared" si="22"/>
        <v/>
      </c>
      <c r="O95" s="374" t="str">
        <f t="shared" si="23"/>
        <v/>
      </c>
      <c r="P95" s="374" t="str">
        <f t="shared" si="24"/>
        <v/>
      </c>
      <c r="R95" s="370"/>
      <c r="U95" t="str">
        <f t="shared" si="16"/>
        <v>\I:</v>
      </c>
      <c r="V95" t="str">
        <f ca="1" t="shared" si="17"/>
        <v>ICE medium size plug-in hybrid diesel car -- Reduction of specific energy consumption relative to 2015 diesel vehicle (%)</v>
      </c>
      <c r="W95" s="372" t="s">
        <v>85</v>
      </c>
      <c r="X95" s="372" t="s">
        <v>86</v>
      </c>
    </row>
    <row r="96" spans="2:24">
      <c r="B96" s="371"/>
      <c r="C96" s="371"/>
      <c r="D96" s="371"/>
      <c r="E96" s="371"/>
      <c r="F96" s="371"/>
      <c r="J96" t="str">
        <f t="shared" si="18"/>
        <v>Trd_car_dsl-pih</v>
      </c>
      <c r="K96" t="str">
        <f t="shared" si="19"/>
        <v>\I:</v>
      </c>
      <c r="L96" t="str">
        <f t="shared" si="20"/>
        <v>\I:</v>
      </c>
      <c r="M96" s="374" t="str">
        <f t="shared" si="21"/>
        <v/>
      </c>
      <c r="N96" s="374" t="str">
        <f t="shared" si="22"/>
        <v/>
      </c>
      <c r="O96" s="374" t="str">
        <f t="shared" si="23"/>
        <v/>
      </c>
      <c r="P96" s="374" t="str">
        <f t="shared" si="24"/>
        <v/>
      </c>
      <c r="R96" s="370"/>
      <c r="U96" t="str">
        <f t="shared" si="16"/>
        <v>\I:</v>
      </c>
      <c r="V96" t="str">
        <f ca="1" t="shared" si="17"/>
        <v>ICE medium size plug-in hybrid diesel car -- 00%</v>
      </c>
      <c r="W96" s="372" t="s">
        <v>85</v>
      </c>
      <c r="X96" s="372" t="s">
        <v>86</v>
      </c>
    </row>
    <row r="97" spans="2:24">
      <c r="B97" s="371"/>
      <c r="C97" s="371"/>
      <c r="D97" s="371"/>
      <c r="E97" s="371"/>
      <c r="F97" s="371"/>
      <c r="J97" t="str">
        <f t="shared" si="18"/>
        <v>Trd_car_dsl-pih</v>
      </c>
      <c r="K97" t="str">
        <f t="shared" si="19"/>
        <v>\I:</v>
      </c>
      <c r="L97" t="str">
        <f t="shared" si="20"/>
        <v>\I:</v>
      </c>
      <c r="M97" s="374" t="str">
        <f t="shared" si="21"/>
        <v/>
      </c>
      <c r="N97" s="374" t="str">
        <f t="shared" si="22"/>
        <v/>
      </c>
      <c r="O97" s="374" t="str">
        <f t="shared" si="23"/>
        <v/>
      </c>
      <c r="P97" s="374" t="str">
        <f t="shared" si="24"/>
        <v/>
      </c>
      <c r="R97" s="370"/>
      <c r="U97" t="str">
        <f t="shared" si="16"/>
        <v>\I:</v>
      </c>
      <c r="V97" t="str">
        <f ca="1" t="shared" si="17"/>
        <v>ICE medium size plug-in hybrid diesel car -- 00%</v>
      </c>
      <c r="W97" s="372" t="s">
        <v>85</v>
      </c>
      <c r="X97" s="372" t="s">
        <v>86</v>
      </c>
    </row>
    <row r="98" spans="2:24">
      <c r="B98" s="88"/>
      <c r="C98" s="51">
        <v>2020</v>
      </c>
      <c r="D98" s="51">
        <v>2030</v>
      </c>
      <c r="E98" s="51">
        <v>2040</v>
      </c>
      <c r="F98" s="51">
        <v>2050</v>
      </c>
      <c r="J98" t="str">
        <f t="shared" si="18"/>
        <v>Trd_car_dsl-pih</v>
      </c>
      <c r="K98" t="str">
        <f t="shared" si="19"/>
        <v>\I:</v>
      </c>
      <c r="L98" t="str">
        <f t="shared" si="20"/>
        <v>\I:</v>
      </c>
      <c r="M98" s="374" t="str">
        <f t="shared" si="21"/>
        <v/>
      </c>
      <c r="N98" s="374" t="str">
        <f t="shared" si="22"/>
        <v/>
      </c>
      <c r="O98" s="374" t="str">
        <f t="shared" si="23"/>
        <v/>
      </c>
      <c r="P98" s="374" t="str">
        <f t="shared" si="24"/>
        <v/>
      </c>
      <c r="R98" s="370"/>
      <c r="U98" t="str">
        <f t="shared" si="16"/>
        <v>\I:</v>
      </c>
      <c r="V98" t="str">
        <f ca="1" t="shared" si="17"/>
        <v>ICE medium size plug-in hybrid diesel car -- 00%</v>
      </c>
      <c r="W98" s="372" t="s">
        <v>85</v>
      </c>
      <c r="X98" s="372" t="s">
        <v>86</v>
      </c>
    </row>
    <row r="99" spans="2:24">
      <c r="B99" s="414">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74">
        <f t="shared" si="21"/>
        <v>29170.6892983358</v>
      </c>
      <c r="N99" s="374">
        <f t="shared" si="22"/>
        <v>25403.4529654573</v>
      </c>
      <c r="O99" s="374">
        <f t="shared" si="23"/>
        <v>24438.8799330837</v>
      </c>
      <c r="P99" s="374">
        <f t="shared" si="24"/>
        <v>24157.55666837</v>
      </c>
      <c r="R99" s="370"/>
      <c r="U99" t="str">
        <f t="shared" si="16"/>
        <v>Trd_car_dsl-pih_70</v>
      </c>
      <c r="V99" t="str">
        <f ca="1" t="shared" si="17"/>
        <v>ICE medium size plug-in hybrid diesel car -- 70%</v>
      </c>
      <c r="W99" s="372" t="s">
        <v>85</v>
      </c>
      <c r="X99" s="372" t="s">
        <v>86</v>
      </c>
    </row>
    <row r="100" spans="2:24">
      <c r="B100" s="414">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74">
        <f t="shared" si="21"/>
        <v>29227.3194893523</v>
      </c>
      <c r="N100" s="374">
        <f t="shared" si="22"/>
        <v>25418.5790027565</v>
      </c>
      <c r="O100" s="374">
        <f t="shared" si="23"/>
        <v>24443.3817087263</v>
      </c>
      <c r="P100" s="374">
        <f t="shared" si="24"/>
        <v>24158.3535908089</v>
      </c>
      <c r="R100" s="370"/>
      <c r="U100" t="str">
        <f t="shared" si="16"/>
        <v>Trd_car_dsl-pih_71</v>
      </c>
      <c r="V100" t="str">
        <f ca="1" t="shared" si="17"/>
        <v>ICE medium size plug-in hybrid diesel car -- 71%</v>
      </c>
      <c r="W100" s="372" t="s">
        <v>85</v>
      </c>
      <c r="X100" s="372" t="s">
        <v>86</v>
      </c>
    </row>
    <row r="101" spans="2:24">
      <c r="B101" s="414">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74">
        <f t="shared" si="21"/>
        <v>29350.9249451451</v>
      </c>
      <c r="N101" s="374">
        <f t="shared" si="22"/>
        <v>25446.4476084895</v>
      </c>
      <c r="O101" s="374">
        <f t="shared" si="23"/>
        <v>24463.4722625811</v>
      </c>
      <c r="P101" s="374">
        <f t="shared" si="24"/>
        <v>24176.2148303079</v>
      </c>
      <c r="R101" s="370"/>
      <c r="U101" t="str">
        <f t="shared" si="16"/>
        <v>Trd_car_dsl-pih_72</v>
      </c>
      <c r="V101" t="str">
        <f ca="1" t="shared" si="17"/>
        <v>ICE medium size plug-in hybrid diesel car -- 72%</v>
      </c>
      <c r="W101" s="372" t="s">
        <v>85</v>
      </c>
      <c r="X101" s="372" t="s">
        <v>86</v>
      </c>
    </row>
    <row r="102" spans="2:24">
      <c r="B102" s="414">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74">
        <f t="shared" si="21"/>
        <v>29732.6055916618</v>
      </c>
      <c r="N102" s="374">
        <f t="shared" si="22"/>
        <v>25529.0970397392</v>
      </c>
      <c r="O102" s="374">
        <f t="shared" si="23"/>
        <v>24534.5300615244</v>
      </c>
      <c r="P102" s="374">
        <f t="shared" si="24"/>
        <v>24245.1328042321</v>
      </c>
      <c r="R102" s="370"/>
      <c r="U102" t="str">
        <f t="shared" si="16"/>
        <v>Trd_car_dsl-pih_73</v>
      </c>
      <c r="V102" t="str">
        <f ca="1" t="shared" si="17"/>
        <v>ICE medium size plug-in hybrid diesel car -- 73%</v>
      </c>
      <c r="W102" s="372" t="s">
        <v>85</v>
      </c>
      <c r="X102" s="372" t="s">
        <v>86</v>
      </c>
    </row>
    <row r="103" spans="2:24">
      <c r="B103" s="414">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74">
        <f t="shared" si="21"/>
        <v>30854.8981288947</v>
      </c>
      <c r="N103" s="374">
        <f t="shared" si="22"/>
        <v>25641.1808245847</v>
      </c>
      <c r="O103" s="374">
        <f t="shared" si="23"/>
        <v>24650.5932312536</v>
      </c>
      <c r="P103" s="374">
        <f t="shared" si="24"/>
        <v>24365.9701277014</v>
      </c>
      <c r="R103" s="370"/>
      <c r="U103" t="str">
        <f t="shared" si="16"/>
        <v>Trd_car_dsl-pih_74</v>
      </c>
      <c r="V103" t="str">
        <f ca="1" t="shared" si="17"/>
        <v>ICE medium size plug-in hybrid diesel car -- 74%</v>
      </c>
      <c r="W103" s="372" t="s">
        <v>85</v>
      </c>
      <c r="X103" s="372" t="s">
        <v>86</v>
      </c>
    </row>
    <row r="104" spans="2:24">
      <c r="B104" s="414">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74">
        <f t="shared" si="21"/>
        <v>103823.332049919</v>
      </c>
      <c r="N104" s="374">
        <f t="shared" si="22"/>
        <v>26945.9567365033</v>
      </c>
      <c r="O104" s="374">
        <f t="shared" si="23"/>
        <v>25607.4793042998</v>
      </c>
      <c r="P104" s="374">
        <f t="shared" si="24"/>
        <v>25224.8219206379</v>
      </c>
      <c r="R104" s="370"/>
      <c r="U104" t="str">
        <f t="shared" si="16"/>
        <v>Trd_car_dsl-pih_78</v>
      </c>
      <c r="V104" t="str">
        <f ca="1" t="shared" si="17"/>
        <v>ICE medium size plug-in hybrid diesel car -- 78%</v>
      </c>
      <c r="W104" s="372" t="s">
        <v>85</v>
      </c>
      <c r="X104" s="372" t="s">
        <v>86</v>
      </c>
    </row>
    <row r="105" spans="2:24">
      <c r="B105" s="414">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74">
        <f t="shared" si="21"/>
        <v>111274.847841584</v>
      </c>
      <c r="N105" s="374">
        <f t="shared" si="22"/>
        <v>46386.2300830788</v>
      </c>
      <c r="O105" s="374">
        <f t="shared" si="23"/>
        <v>44287.8197865924</v>
      </c>
      <c r="P105" s="374">
        <f t="shared" si="24"/>
        <v>44168.1482018991</v>
      </c>
      <c r="R105" s="370"/>
      <c r="U105" t="str">
        <f t="shared" si="16"/>
        <v>Trd_car_dsl-pih_78</v>
      </c>
      <c r="V105" t="str">
        <f ca="1" t="shared" si="17"/>
        <v>ICE medium size plug-in hybrid diesel car -- 78%</v>
      </c>
      <c r="W105" s="372" t="s">
        <v>85</v>
      </c>
      <c r="X105" s="372" t="s">
        <v>86</v>
      </c>
    </row>
    <row r="106" spans="2:24">
      <c r="C106" s="97"/>
      <c r="D106" s="97"/>
      <c r="E106" s="97"/>
      <c r="F106" s="97"/>
      <c r="J106" t="str">
        <f t="shared" si="18"/>
        <v>Trd_car_dsl-pih</v>
      </c>
      <c r="K106" t="str">
        <f t="shared" si="19"/>
        <v>\I:</v>
      </c>
      <c r="L106" t="str">
        <f t="shared" si="20"/>
        <v>\I:</v>
      </c>
      <c r="M106" s="374" t="str">
        <f t="shared" si="21"/>
        <v/>
      </c>
      <c r="N106" s="374" t="str">
        <f t="shared" si="22"/>
        <v/>
      </c>
      <c r="O106" s="374" t="str">
        <f t="shared" si="23"/>
        <v/>
      </c>
      <c r="P106" s="374" t="str">
        <f t="shared" si="24"/>
        <v/>
      </c>
      <c r="R106" s="370"/>
      <c r="U106" t="str">
        <f t="shared" si="16"/>
        <v>\I:</v>
      </c>
      <c r="V106" t="str">
        <f ca="1" t="shared" si="17"/>
        <v>ICE medium size plug-in hybrid diesel car -- 00%</v>
      </c>
      <c r="W106" s="372" t="s">
        <v>85</v>
      </c>
      <c r="X106" s="372" t="s">
        <v>86</v>
      </c>
    </row>
    <row r="107" spans="2:24">
      <c r="J107" t="str">
        <f t="shared" si="18"/>
        <v>Trd_car_dsl-pih</v>
      </c>
      <c r="K107" t="str">
        <f t="shared" si="19"/>
        <v>\I:</v>
      </c>
      <c r="L107" t="str">
        <f t="shared" si="20"/>
        <v>\I:</v>
      </c>
      <c r="M107" s="374" t="str">
        <f t="shared" si="21"/>
        <v/>
      </c>
      <c r="N107" s="374" t="str">
        <f t="shared" si="22"/>
        <v/>
      </c>
      <c r="O107" s="374" t="str">
        <f t="shared" si="23"/>
        <v/>
      </c>
      <c r="P107" s="374" t="str">
        <f t="shared" si="24"/>
        <v/>
      </c>
      <c r="R107" s="370"/>
      <c r="U107" t="str">
        <f t="shared" si="16"/>
        <v>\I:</v>
      </c>
      <c r="V107" t="str">
        <f ca="1" t="shared" si="17"/>
        <v>ICE medium size plug-in hybrid diesel car -- 00%</v>
      </c>
      <c r="W107" s="372" t="s">
        <v>85</v>
      </c>
      <c r="X107" s="372" t="s">
        <v>86</v>
      </c>
    </row>
    <row r="108" spans="2:24">
      <c r="J108" t="str">
        <f t="shared" si="18"/>
        <v>Trd_car_dsl-pih</v>
      </c>
      <c r="K108" t="str">
        <f t="shared" si="19"/>
        <v>\I:</v>
      </c>
      <c r="L108" t="str">
        <f t="shared" si="20"/>
        <v>\I:</v>
      </c>
      <c r="M108" s="374" t="str">
        <f t="shared" si="21"/>
        <v/>
      </c>
      <c r="N108" s="374" t="str">
        <f t="shared" si="22"/>
        <v/>
      </c>
      <c r="O108" s="374" t="str">
        <f t="shared" si="23"/>
        <v/>
      </c>
      <c r="P108" s="374" t="str">
        <f t="shared" si="24"/>
        <v/>
      </c>
      <c r="R108" s="370"/>
      <c r="U108" t="str">
        <f t="shared" si="16"/>
        <v>\I:</v>
      </c>
      <c r="V108" t="str">
        <f ca="1" t="shared" si="17"/>
        <v>ICE medium size plug-in hybrid diesel car -- 00%</v>
      </c>
      <c r="W108" s="372" t="s">
        <v>85</v>
      </c>
      <c r="X108" s="372" t="s">
        <v>86</v>
      </c>
    </row>
    <row r="109" spans="2:24">
      <c r="J109" t="str">
        <f t="shared" si="18"/>
        <v>Trd_car_dsl-pih</v>
      </c>
      <c r="K109" t="str">
        <f t="shared" si="19"/>
        <v>\I:</v>
      </c>
      <c r="L109" t="str">
        <f t="shared" si="20"/>
        <v>\I:</v>
      </c>
      <c r="M109" s="374" t="str">
        <f t="shared" si="21"/>
        <v/>
      </c>
      <c r="N109" s="374" t="str">
        <f t="shared" si="22"/>
        <v/>
      </c>
      <c r="O109" s="374" t="str">
        <f t="shared" si="23"/>
        <v/>
      </c>
      <c r="P109" s="374" t="str">
        <f t="shared" si="24"/>
        <v/>
      </c>
      <c r="R109" s="370"/>
      <c r="U109" t="str">
        <f t="shared" si="16"/>
        <v>\I:</v>
      </c>
      <c r="V109" t="str">
        <f ca="1" t="shared" si="17"/>
        <v>ICE medium size plug-in hybrid diesel car -- 00%</v>
      </c>
      <c r="W109" s="372" t="s">
        <v>85</v>
      </c>
      <c r="X109" s="372" t="s">
        <v>86</v>
      </c>
    </row>
    <row r="110" spans="2:24">
      <c r="J110" t="str">
        <f t="shared" si="18"/>
        <v>Trd_car_dsl-pih</v>
      </c>
      <c r="K110" t="str">
        <f t="shared" si="19"/>
        <v>\I:</v>
      </c>
      <c r="L110" t="str">
        <f t="shared" si="20"/>
        <v>\I:</v>
      </c>
      <c r="M110" s="374" t="str">
        <f t="shared" si="21"/>
        <v/>
      </c>
      <c r="N110" s="374" t="str">
        <f t="shared" si="22"/>
        <v/>
      </c>
      <c r="O110" s="374" t="str">
        <f t="shared" si="23"/>
        <v/>
      </c>
      <c r="P110" s="374" t="str">
        <f t="shared" si="24"/>
        <v/>
      </c>
      <c r="R110" s="370"/>
      <c r="U110" t="str">
        <f t="shared" si="16"/>
        <v>\I:</v>
      </c>
      <c r="V110" t="str">
        <f ca="1" t="shared" si="17"/>
        <v>ICE medium size plug-in hybrid diesel car -- 00%</v>
      </c>
      <c r="W110" s="372" t="s">
        <v>85</v>
      </c>
      <c r="X110" s="372" t="s">
        <v>86</v>
      </c>
    </row>
    <row r="111" spans="2:24">
      <c r="B111" s="44" t="s">
        <v>88</v>
      </c>
      <c r="J111" t="str">
        <f t="shared" si="18"/>
        <v>Trd_car_dsl-pih</v>
      </c>
      <c r="K111" t="str">
        <f t="shared" si="19"/>
        <v>\I:</v>
      </c>
      <c r="L111" t="str">
        <f t="shared" si="20"/>
        <v>\I:</v>
      </c>
      <c r="M111" s="374" t="str">
        <f t="shared" si="21"/>
        <v/>
      </c>
      <c r="N111" s="374" t="str">
        <f t="shared" si="22"/>
        <v/>
      </c>
      <c r="O111" s="374" t="str">
        <f t="shared" si="23"/>
        <v/>
      </c>
      <c r="P111" s="374" t="str">
        <f t="shared" si="24"/>
        <v/>
      </c>
      <c r="R111" s="370"/>
      <c r="U111" t="str">
        <f t="shared" si="16"/>
        <v>\I:</v>
      </c>
      <c r="V111" t="str">
        <f ca="1" t="shared" si="17"/>
        <v>ICE medium size plug-in hybrid diesel car -- Reference values for medium size CNG</v>
      </c>
      <c r="W111" s="372" t="s">
        <v>85</v>
      </c>
      <c r="X111" s="372" t="s">
        <v>86</v>
      </c>
    </row>
    <row r="112" spans="2:24">
      <c r="B112" s="365">
        <v>2015</v>
      </c>
      <c r="C112" s="365"/>
      <c r="D112" s="365"/>
      <c r="J112" t="str">
        <f t="shared" si="18"/>
        <v>Trd_car_dsl-pih</v>
      </c>
      <c r="K112" t="str">
        <f t="shared" si="19"/>
        <v>\I:</v>
      </c>
      <c r="L112" t="str">
        <f t="shared" si="20"/>
        <v>\I:</v>
      </c>
      <c r="M112" s="374" t="str">
        <f t="shared" si="21"/>
        <v/>
      </c>
      <c r="N112" s="374" t="str">
        <f t="shared" si="22"/>
        <v/>
      </c>
      <c r="O112" s="374" t="str">
        <f t="shared" si="23"/>
        <v/>
      </c>
      <c r="P112" s="374" t="str">
        <f t="shared" si="24"/>
        <v/>
      </c>
      <c r="R112" s="370"/>
      <c r="U112" t="str">
        <f t="shared" si="16"/>
        <v>\I:</v>
      </c>
      <c r="V112" t="str">
        <f ca="1" t="shared" si="17"/>
        <v>ICE medium size plug-in hybrid diesel car -- 201500%</v>
      </c>
      <c r="W112" s="372" t="s">
        <v>85</v>
      </c>
      <c r="X112" s="372" t="s">
        <v>86</v>
      </c>
    </row>
    <row r="113" spans="2:24">
      <c r="B113" s="46" t="s">
        <v>12</v>
      </c>
      <c r="C113" s="47" t="s">
        <v>89</v>
      </c>
      <c r="D113" s="48">
        <v>4.32975739881566</v>
      </c>
      <c r="G113" s="75">
        <f>D113*$I$5/100*10^9/10^6</f>
        <v>2.32912687100081</v>
      </c>
      <c r="H113" s="75"/>
      <c r="I113" s="416">
        <f>1/G113</f>
        <v>0.429345439465179</v>
      </c>
      <c r="J113" t="str">
        <f t="shared" si="18"/>
        <v>Trd_car_dsl-pih</v>
      </c>
      <c r="K113" t="str">
        <f t="shared" si="19"/>
        <v>\I:</v>
      </c>
      <c r="L113" t="str">
        <f t="shared" si="20"/>
        <v>\I:</v>
      </c>
      <c r="M113" s="374" t="str">
        <f t="shared" si="21"/>
        <v/>
      </c>
      <c r="N113" s="374" t="str">
        <f t="shared" si="22"/>
        <v/>
      </c>
      <c r="O113" s="374" t="str">
        <f t="shared" si="23"/>
        <v/>
      </c>
      <c r="P113" s="374" t="str">
        <f t="shared" si="24"/>
        <v/>
      </c>
      <c r="R113" s="370"/>
      <c r="U113" t="str">
        <f t="shared" ref="U113:U144" si="27">K113</f>
        <v>\I:</v>
      </c>
      <c r="V113" t="str">
        <f ca="1" t="shared" ref="V113:V144" si="28">OFFSET($S$1,MATCH(J113,$S$1:$S$11,0)-1,-1)&amp;" -- "&amp;TEXT(B113,"00%")</f>
        <v>ICE medium size plug-in hybrid diesel car -- Energy consumption</v>
      </c>
      <c r="W113" s="372" t="s">
        <v>85</v>
      </c>
      <c r="X113" s="372" t="s">
        <v>86</v>
      </c>
    </row>
    <row r="114" spans="2:24">
      <c r="B114" s="46" t="s">
        <v>14</v>
      </c>
      <c r="C114" s="47" t="s">
        <v>15</v>
      </c>
      <c r="D114" s="68">
        <v>21195.1012717123</v>
      </c>
      <c r="I114" s="377" t="s">
        <v>70</v>
      </c>
      <c r="J114" t="str">
        <f t="shared" si="18"/>
        <v>Trd_car_dsl-pih</v>
      </c>
      <c r="K114" t="str">
        <f t="shared" si="19"/>
        <v>\I:</v>
      </c>
      <c r="L114" t="str">
        <f t="shared" si="20"/>
        <v>\I:</v>
      </c>
      <c r="M114" s="374" t="str">
        <f t="shared" si="21"/>
        <v/>
      </c>
      <c r="N114" s="374" t="str">
        <f t="shared" si="22"/>
        <v/>
      </c>
      <c r="O114" s="374" t="str">
        <f t="shared" si="23"/>
        <v/>
      </c>
      <c r="P114" s="374" t="str">
        <f t="shared" si="24"/>
        <v/>
      </c>
      <c r="R114" s="370"/>
      <c r="U114" t="str">
        <f t="shared" si="27"/>
        <v>\I:</v>
      </c>
      <c r="V114" t="str">
        <f ca="1" t="shared" si="28"/>
        <v>ICE medium size plug-in hybrid diesel car -- Capital cost</v>
      </c>
      <c r="W114" s="372" t="s">
        <v>85</v>
      </c>
      <c r="X114" s="372" t="s">
        <v>86</v>
      </c>
    </row>
    <row r="115" spans="2:24">
      <c r="J115" t="str">
        <f t="shared" si="18"/>
        <v>Trd_car_dsl-pih</v>
      </c>
      <c r="K115" t="str">
        <f t="shared" si="19"/>
        <v>\I:</v>
      </c>
      <c r="L115" t="str">
        <f t="shared" si="20"/>
        <v>\I:</v>
      </c>
      <c r="M115" s="374" t="str">
        <f t="shared" si="21"/>
        <v/>
      </c>
      <c r="N115" s="374" t="str">
        <f t="shared" si="22"/>
        <v/>
      </c>
      <c r="O115" s="374" t="str">
        <f t="shared" si="23"/>
        <v/>
      </c>
      <c r="P115" s="374" t="str">
        <f t="shared" si="24"/>
        <v/>
      </c>
      <c r="R115" s="370"/>
      <c r="U115" t="str">
        <f t="shared" si="27"/>
        <v>\I:</v>
      </c>
      <c r="V115" t="str">
        <f ca="1" t="shared" si="28"/>
        <v>ICE medium size plug-in hybrid diesel car -- 00%</v>
      </c>
      <c r="W115" s="372" t="s">
        <v>85</v>
      </c>
      <c r="X115" s="372" t="s">
        <v>86</v>
      </c>
    </row>
    <row r="116" ht="15" customHeight="1" spans="2:24">
      <c r="B116" s="371" t="s">
        <v>90</v>
      </c>
      <c r="C116" s="371" t="s">
        <v>60</v>
      </c>
      <c r="D116" s="371"/>
      <c r="E116" s="371"/>
      <c r="F116" s="371"/>
      <c r="J116" t="str">
        <f t="shared" si="18"/>
        <v>Trd_car_cng</v>
      </c>
      <c r="K116" t="str">
        <f t="shared" si="19"/>
        <v>\I:</v>
      </c>
      <c r="L116" t="str">
        <f t="shared" si="20"/>
        <v>\I:</v>
      </c>
      <c r="M116" s="374" t="str">
        <f t="shared" si="21"/>
        <v/>
      </c>
      <c r="N116" s="374" t="str">
        <f t="shared" si="22"/>
        <v/>
      </c>
      <c r="O116" s="374" t="str">
        <f t="shared" si="23"/>
        <v/>
      </c>
      <c r="P116" s="374" t="str">
        <f t="shared" si="24"/>
        <v/>
      </c>
      <c r="R116" s="370"/>
      <c r="U116" t="str">
        <f t="shared" si="27"/>
        <v>\I:</v>
      </c>
      <c r="V116" t="str">
        <f ca="1" t="shared" si="28"/>
        <v>ICE medium size CNG car -- Reduction of specific energy consumption relative to 2015 CNG vehicle (%)</v>
      </c>
      <c r="W116" s="372" t="s">
        <v>85</v>
      </c>
      <c r="X116" s="372" t="s">
        <v>86</v>
      </c>
    </row>
    <row r="117" spans="2:24">
      <c r="B117" s="371"/>
      <c r="C117" s="371"/>
      <c r="D117" s="371"/>
      <c r="E117" s="371"/>
      <c r="F117" s="371"/>
      <c r="J117" t="str">
        <f t="shared" si="18"/>
        <v>Trd_car_cng</v>
      </c>
      <c r="K117" t="str">
        <f t="shared" si="19"/>
        <v>\I:</v>
      </c>
      <c r="L117" t="str">
        <f t="shared" si="20"/>
        <v>\I:</v>
      </c>
      <c r="M117" s="374" t="str">
        <f t="shared" si="21"/>
        <v/>
      </c>
      <c r="N117" s="374" t="str">
        <f t="shared" si="22"/>
        <v/>
      </c>
      <c r="O117" s="374" t="str">
        <f t="shared" si="23"/>
        <v/>
      </c>
      <c r="P117" s="374" t="str">
        <f t="shared" si="24"/>
        <v/>
      </c>
      <c r="R117" s="370"/>
      <c r="U117" t="str">
        <f t="shared" si="27"/>
        <v>\I:</v>
      </c>
      <c r="V117" t="str">
        <f ca="1" t="shared" si="28"/>
        <v>ICE medium size CNG car -- 00%</v>
      </c>
      <c r="W117" s="372" t="s">
        <v>85</v>
      </c>
      <c r="X117" s="372" t="s">
        <v>86</v>
      </c>
    </row>
    <row r="118" spans="2:24">
      <c r="B118" s="371"/>
      <c r="C118" s="371"/>
      <c r="D118" s="371"/>
      <c r="E118" s="371"/>
      <c r="F118" s="371"/>
      <c r="J118" t="str">
        <f t="shared" si="18"/>
        <v>Trd_car_cng</v>
      </c>
      <c r="K118" t="str">
        <f t="shared" si="19"/>
        <v>\I:</v>
      </c>
      <c r="L118" t="str">
        <f t="shared" si="20"/>
        <v>\I:</v>
      </c>
      <c r="M118" s="374" t="str">
        <f t="shared" si="21"/>
        <v/>
      </c>
      <c r="N118" s="374" t="str">
        <f t="shared" si="22"/>
        <v/>
      </c>
      <c r="O118" s="374" t="str">
        <f t="shared" si="23"/>
        <v/>
      </c>
      <c r="P118" s="374" t="str">
        <f t="shared" si="24"/>
        <v/>
      </c>
      <c r="R118" s="370"/>
      <c r="U118" t="str">
        <f t="shared" si="27"/>
        <v>\I:</v>
      </c>
      <c r="V118" t="str">
        <f ca="1" t="shared" si="28"/>
        <v>ICE medium size CNG car -- 00%</v>
      </c>
      <c r="W118" s="372" t="s">
        <v>85</v>
      </c>
      <c r="X118" s="372" t="s">
        <v>86</v>
      </c>
    </row>
    <row r="119" spans="2:24">
      <c r="B119" s="88"/>
      <c r="C119" s="51">
        <v>2020</v>
      </c>
      <c r="D119" s="51">
        <v>2030</v>
      </c>
      <c r="E119" s="51">
        <v>2040</v>
      </c>
      <c r="F119" s="51">
        <v>2050</v>
      </c>
      <c r="I119" s="366">
        <v>1</v>
      </c>
      <c r="J119" s="44" t="str">
        <f t="shared" si="18"/>
        <v>Trd_car_cng</v>
      </c>
      <c r="K119" s="44" t="str">
        <f>IFERROR(IF(VALUE(C119)&gt;200,J119&amp;"_"&amp;TEXT(B119*100,"00"),"\I:"),"\I:")</f>
        <v>Trd_car_cng_00</v>
      </c>
      <c r="L119" t="str">
        <f t="shared" si="20"/>
        <v>Trd_car</v>
      </c>
      <c r="M119" s="412">
        <f>D114</f>
        <v>21195.1012717123</v>
      </c>
      <c r="N119" s="374"/>
      <c r="O119" s="374"/>
      <c r="P119" s="374"/>
      <c r="R119" s="370"/>
      <c r="U119" t="str">
        <f t="shared" si="27"/>
        <v>Trd_car_cng_00</v>
      </c>
      <c r="V119" t="str">
        <f ca="1" t="shared" si="28"/>
        <v>ICE medium size CNG car -- 00%</v>
      </c>
      <c r="W119" s="372" t="s">
        <v>85</v>
      </c>
      <c r="X119" s="372" t="s">
        <v>86</v>
      </c>
    </row>
    <row r="120"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74">
        <f t="shared" si="21"/>
        <v>21459.3220901274</v>
      </c>
      <c r="N120" s="374">
        <f t="shared" si="22"/>
        <v>21265.946731911</v>
      </c>
      <c r="O120" s="374">
        <f t="shared" si="23"/>
        <v>21265.946731911</v>
      </c>
      <c r="P120" s="374">
        <f t="shared" si="24"/>
        <v>21265.946731911</v>
      </c>
      <c r="R120" s="370"/>
      <c r="U120" t="str">
        <f t="shared" si="27"/>
        <v>Trd_car_cng_13</v>
      </c>
      <c r="V120" t="str">
        <f ca="1" t="shared" si="28"/>
        <v>ICE medium size CNG car -- 13%</v>
      </c>
      <c r="W120" s="372" t="s">
        <v>85</v>
      </c>
      <c r="X120" s="372" t="s">
        <v>86</v>
      </c>
    </row>
    <row r="12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74">
        <f t="shared" si="21"/>
        <v>22275.1693225306</v>
      </c>
      <c r="N121" s="374">
        <f t="shared" si="22"/>
        <v>21526.8992345472</v>
      </c>
      <c r="O121" s="374">
        <f t="shared" si="23"/>
        <v>21526.8992345472</v>
      </c>
      <c r="P121" s="374">
        <f t="shared" si="24"/>
        <v>21526.8992345472</v>
      </c>
      <c r="R121" s="370"/>
      <c r="U121" t="str">
        <f t="shared" si="27"/>
        <v>Trd_car_cng_23</v>
      </c>
      <c r="V121" t="str">
        <f ca="1" t="shared" si="28"/>
        <v>ICE medium size CNG car -- 23%</v>
      </c>
      <c r="W121" s="372" t="s">
        <v>85</v>
      </c>
      <c r="X121" s="372" t="s">
        <v>86</v>
      </c>
    </row>
    <row r="122"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74">
        <f t="shared" si="21"/>
        <v>24038.3168536115</v>
      </c>
      <c r="N122" s="374">
        <f t="shared" si="22"/>
        <v>22158.19844873</v>
      </c>
      <c r="O122" s="374">
        <f t="shared" si="23"/>
        <v>22158.19844873</v>
      </c>
      <c r="P122" s="374">
        <f t="shared" si="24"/>
        <v>22158.19844873</v>
      </c>
      <c r="R122" s="370"/>
      <c r="U122" t="str">
        <f t="shared" si="27"/>
        <v>Trd_car_cng_33</v>
      </c>
      <c r="V122" t="str">
        <f ca="1" t="shared" si="28"/>
        <v>ICE medium size CNG car -- 33%</v>
      </c>
      <c r="W122" s="372" t="s">
        <v>85</v>
      </c>
      <c r="X122" s="372" t="s">
        <v>86</v>
      </c>
    </row>
    <row r="123"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74">
        <f t="shared" si="21"/>
        <v>26551.6414852451</v>
      </c>
      <c r="N123" s="374">
        <f t="shared" si="22"/>
        <v>22891.3401623741</v>
      </c>
      <c r="O123" s="374">
        <f t="shared" si="23"/>
        <v>22891.3401623741</v>
      </c>
      <c r="P123" s="374">
        <f t="shared" si="24"/>
        <v>22891.3401623741</v>
      </c>
      <c r="R123" s="370"/>
      <c r="U123" t="str">
        <f t="shared" si="27"/>
        <v>Trd_car_cng_38</v>
      </c>
      <c r="V123" t="str">
        <f ca="1" t="shared" si="28"/>
        <v>ICE medium size CNG car -- 38%</v>
      </c>
      <c r="W123" s="372" t="s">
        <v>85</v>
      </c>
      <c r="X123" s="372" t="s">
        <v>86</v>
      </c>
    </row>
    <row r="124"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74">
        <f t="shared" si="21"/>
        <v>55820.7966564757</v>
      </c>
      <c r="N124" s="374">
        <f t="shared" si="22"/>
        <v>24704.2542961166</v>
      </c>
      <c r="O124" s="374">
        <f t="shared" si="23"/>
        <v>24704.2542961166</v>
      </c>
      <c r="P124" s="374">
        <f t="shared" si="24"/>
        <v>24704.2542961166</v>
      </c>
      <c r="R124" s="370"/>
      <c r="U124" t="str">
        <f t="shared" si="27"/>
        <v>Trd_car_cng_43</v>
      </c>
      <c r="V124" t="str">
        <f ca="1" t="shared" si="28"/>
        <v>ICE medium size CNG car -- 43%</v>
      </c>
      <c r="W124" s="372" t="s">
        <v>85</v>
      </c>
      <c r="X124" s="372" t="s">
        <v>86</v>
      </c>
    </row>
    <row r="125"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74">
        <f t="shared" si="21"/>
        <v>120999.1132</v>
      </c>
      <c r="N125" s="374">
        <f t="shared" si="22"/>
        <v>43178.2986936037</v>
      </c>
      <c r="O125" s="374">
        <f t="shared" si="23"/>
        <v>43178.2986936037</v>
      </c>
      <c r="P125" s="374">
        <f t="shared" si="24"/>
        <v>43178.2986936037</v>
      </c>
      <c r="R125" s="370"/>
      <c r="U125" t="str">
        <f t="shared" si="27"/>
        <v>Trd_car_cng_48</v>
      </c>
      <c r="V125" t="str">
        <f ca="1" t="shared" si="28"/>
        <v>ICE medium size CNG car -- 48%</v>
      </c>
      <c r="W125" s="372" t="s">
        <v>85</v>
      </c>
      <c r="X125" s="372" t="s">
        <v>86</v>
      </c>
    </row>
    <row r="126" spans="2:24">
      <c r="C126" s="97"/>
      <c r="D126" s="97"/>
      <c r="E126" s="97"/>
      <c r="F126" s="97"/>
      <c r="J126" t="str">
        <f t="shared" si="18"/>
        <v>Trd_car_cng</v>
      </c>
      <c r="K126" t="str">
        <f t="shared" si="19"/>
        <v>\I:</v>
      </c>
      <c r="L126" t="str">
        <f t="shared" si="20"/>
        <v>\I:</v>
      </c>
      <c r="M126" s="374" t="str">
        <f t="shared" si="21"/>
        <v/>
      </c>
      <c r="N126" s="374" t="str">
        <f t="shared" si="22"/>
        <v/>
      </c>
      <c r="O126" s="374" t="str">
        <f t="shared" si="23"/>
        <v/>
      </c>
      <c r="P126" s="374" t="str">
        <f t="shared" si="24"/>
        <v/>
      </c>
      <c r="R126" s="370"/>
      <c r="U126" t="str">
        <f t="shared" si="27"/>
        <v>\I:</v>
      </c>
      <c r="V126" t="str">
        <f ca="1" t="shared" si="28"/>
        <v>ICE medium size CNG car -- 00%</v>
      </c>
      <c r="W126" s="372" t="s">
        <v>85</v>
      </c>
      <c r="X126" s="372" t="s">
        <v>86</v>
      </c>
    </row>
    <row r="127" spans="2:24">
      <c r="J127" t="str">
        <f t="shared" si="18"/>
        <v>Trd_car_cng</v>
      </c>
      <c r="K127" t="str">
        <f t="shared" si="19"/>
        <v>\I:</v>
      </c>
      <c r="L127" t="str">
        <f t="shared" si="20"/>
        <v>\I:</v>
      </c>
      <c r="M127" s="374" t="str">
        <f t="shared" si="21"/>
        <v/>
      </c>
      <c r="N127" s="374" t="str">
        <f t="shared" si="22"/>
        <v/>
      </c>
      <c r="O127" s="374" t="str">
        <f t="shared" si="23"/>
        <v/>
      </c>
      <c r="P127" s="374" t="str">
        <f t="shared" si="24"/>
        <v/>
      </c>
      <c r="R127" s="370"/>
      <c r="U127" t="str">
        <f t="shared" si="27"/>
        <v>\I:</v>
      </c>
      <c r="V127" t="str">
        <f ca="1" t="shared" si="28"/>
        <v>ICE medium size CNG car -- 00%</v>
      </c>
      <c r="W127" s="372" t="s">
        <v>85</v>
      </c>
      <c r="X127" s="372" t="s">
        <v>86</v>
      </c>
    </row>
    <row r="128" spans="2:24">
      <c r="J128" t="str">
        <f t="shared" si="18"/>
        <v>Trd_car_cng</v>
      </c>
      <c r="K128" t="str">
        <f t="shared" si="19"/>
        <v>\I:</v>
      </c>
      <c r="L128" t="str">
        <f t="shared" si="20"/>
        <v>\I:</v>
      </c>
      <c r="M128" s="374" t="str">
        <f t="shared" si="21"/>
        <v/>
      </c>
      <c r="N128" s="374" t="str">
        <f t="shared" si="22"/>
        <v/>
      </c>
      <c r="O128" s="374" t="str">
        <f t="shared" si="23"/>
        <v/>
      </c>
      <c r="P128" s="374" t="str">
        <f t="shared" si="24"/>
        <v/>
      </c>
      <c r="R128" s="370"/>
      <c r="U128" t="str">
        <f t="shared" si="27"/>
        <v>\I:</v>
      </c>
      <c r="V128" t="str">
        <f ca="1" t="shared" si="28"/>
        <v>ICE medium size CNG car -- 00%</v>
      </c>
      <c r="W128" s="372" t="s">
        <v>85</v>
      </c>
      <c r="X128" s="372" t="s">
        <v>86</v>
      </c>
    </row>
    <row r="129" spans="2:24">
      <c r="J129" t="str">
        <f t="shared" si="18"/>
        <v>Trd_car_cng</v>
      </c>
      <c r="K129" t="str">
        <f t="shared" si="19"/>
        <v>\I:</v>
      </c>
      <c r="L129" t="str">
        <f t="shared" si="20"/>
        <v>\I:</v>
      </c>
      <c r="M129" s="374" t="str">
        <f t="shared" si="21"/>
        <v/>
      </c>
      <c r="N129" s="374" t="str">
        <f t="shared" si="22"/>
        <v/>
      </c>
      <c r="O129" s="374" t="str">
        <f t="shared" si="23"/>
        <v/>
      </c>
      <c r="P129" s="374" t="str">
        <f t="shared" si="24"/>
        <v/>
      </c>
      <c r="R129" s="370"/>
      <c r="U129" t="str">
        <f t="shared" si="27"/>
        <v>\I:</v>
      </c>
      <c r="V129" t="str">
        <f ca="1" t="shared" si="28"/>
        <v>ICE medium size CNG car -- 00%</v>
      </c>
      <c r="W129" s="372" t="s">
        <v>85</v>
      </c>
      <c r="X129" s="372" t="s">
        <v>86</v>
      </c>
    </row>
    <row r="130" spans="2:24">
      <c r="J130" t="str">
        <f t="shared" si="18"/>
        <v>Trd_car_cng</v>
      </c>
      <c r="K130" t="str">
        <f t="shared" si="19"/>
        <v>\I:</v>
      </c>
      <c r="L130" t="str">
        <f t="shared" si="20"/>
        <v>\I:</v>
      </c>
      <c r="M130" s="374" t="str">
        <f t="shared" si="21"/>
        <v/>
      </c>
      <c r="N130" s="374" t="str">
        <f t="shared" si="22"/>
        <v/>
      </c>
      <c r="O130" s="374" t="str">
        <f t="shared" si="23"/>
        <v/>
      </c>
      <c r="P130" s="374" t="str">
        <f t="shared" si="24"/>
        <v/>
      </c>
      <c r="R130" s="370"/>
      <c r="U130" t="str">
        <f t="shared" si="27"/>
        <v>\I:</v>
      </c>
      <c r="V130" t="str">
        <f ca="1" t="shared" si="28"/>
        <v>ICE medium size CNG car -- 00%</v>
      </c>
      <c r="W130" s="372" t="s">
        <v>85</v>
      </c>
      <c r="X130" s="372" t="s">
        <v>86</v>
      </c>
    </row>
    <row r="131" spans="2:24">
      <c r="B131" s="44" t="s">
        <v>91</v>
      </c>
      <c r="J131" t="str">
        <f t="shared" si="18"/>
        <v>Trd_car_cng</v>
      </c>
      <c r="K131" t="str">
        <f t="shared" si="19"/>
        <v>\I:</v>
      </c>
      <c r="L131" t="str">
        <f t="shared" si="20"/>
        <v>\I:</v>
      </c>
      <c r="M131" s="374" t="str">
        <f t="shared" si="21"/>
        <v/>
      </c>
      <c r="N131" s="374" t="str">
        <f t="shared" si="22"/>
        <v/>
      </c>
      <c r="O131" s="374" t="str">
        <f t="shared" si="23"/>
        <v/>
      </c>
      <c r="P131" s="374" t="str">
        <f t="shared" si="24"/>
        <v/>
      </c>
      <c r="R131" s="370"/>
      <c r="U131" t="str">
        <f t="shared" si="27"/>
        <v>\I:</v>
      </c>
      <c r="V131" t="str">
        <f ca="1" t="shared" si="28"/>
        <v>ICE medium size CNG car -- Reference values for medium size LPG</v>
      </c>
      <c r="W131" s="372" t="s">
        <v>85</v>
      </c>
      <c r="X131" s="372" t="s">
        <v>86</v>
      </c>
    </row>
    <row r="132" spans="2:24">
      <c r="B132" s="365">
        <v>2015</v>
      </c>
      <c r="C132" s="365"/>
      <c r="D132" s="365"/>
      <c r="J132" t="str">
        <f t="shared" si="18"/>
        <v>Trd_car_cng</v>
      </c>
      <c r="K132" t="str">
        <f t="shared" si="19"/>
        <v>\I:</v>
      </c>
      <c r="L132" t="str">
        <f t="shared" si="20"/>
        <v>\I:</v>
      </c>
      <c r="M132" s="374" t="str">
        <f t="shared" si="21"/>
        <v/>
      </c>
      <c r="N132" s="374" t="str">
        <f t="shared" si="22"/>
        <v/>
      </c>
      <c r="O132" s="374" t="str">
        <f t="shared" si="23"/>
        <v/>
      </c>
      <c r="P132" s="374" t="str">
        <f t="shared" si="24"/>
        <v/>
      </c>
      <c r="R132" s="370"/>
      <c r="U132" t="str">
        <f t="shared" si="27"/>
        <v>\I:</v>
      </c>
      <c r="V132" t="str">
        <f ca="1" t="shared" si="28"/>
        <v>ICE medium size CNG car -- 201500%</v>
      </c>
      <c r="W132" s="372" t="s">
        <v>85</v>
      </c>
      <c r="X132" s="372" t="s">
        <v>86</v>
      </c>
    </row>
    <row r="133" spans="2:24">
      <c r="B133" s="46" t="s">
        <v>12</v>
      </c>
      <c r="C133" s="47" t="s">
        <v>13</v>
      </c>
      <c r="D133" s="48">
        <v>8.21770281816034</v>
      </c>
      <c r="G133" s="75">
        <f>D133*$I$6/100*10^9/10^6</f>
        <v>2.10291015116723</v>
      </c>
      <c r="H133" s="75"/>
      <c r="I133" s="416">
        <f>1/G133</f>
        <v>0.475531491178995</v>
      </c>
      <c r="J133" t="str">
        <f t="shared" si="18"/>
        <v>Trd_car_cng</v>
      </c>
      <c r="K133" t="str">
        <f t="shared" si="19"/>
        <v>\I:</v>
      </c>
      <c r="L133" t="str">
        <f t="shared" si="20"/>
        <v>\I:</v>
      </c>
      <c r="M133" s="374" t="str">
        <f t="shared" si="21"/>
        <v/>
      </c>
      <c r="N133" s="374" t="str">
        <f t="shared" si="22"/>
        <v/>
      </c>
      <c r="O133" s="374" t="str">
        <f t="shared" si="23"/>
        <v/>
      </c>
      <c r="P133" s="374" t="str">
        <f t="shared" si="24"/>
        <v/>
      </c>
      <c r="R133" s="370"/>
      <c r="U133" t="str">
        <f t="shared" si="27"/>
        <v>\I:</v>
      </c>
      <c r="V133" t="str">
        <f ca="1" t="shared" si="28"/>
        <v>ICE medium size CNG car -- Energy consumption</v>
      </c>
      <c r="W133" s="372" t="s">
        <v>85</v>
      </c>
      <c r="X133" s="372" t="s">
        <v>86</v>
      </c>
    </row>
    <row r="134" spans="2:24">
      <c r="B134" s="46" t="s">
        <v>14</v>
      </c>
      <c r="C134" s="47" t="s">
        <v>15</v>
      </c>
      <c r="D134" s="68">
        <v>20627.5576717123</v>
      </c>
      <c r="I134" s="377" t="s">
        <v>70</v>
      </c>
      <c r="J134" t="str">
        <f t="shared" si="18"/>
        <v>Trd_car_cng</v>
      </c>
      <c r="K134" t="str">
        <f t="shared" si="19"/>
        <v>\I:</v>
      </c>
      <c r="L134" t="str">
        <f t="shared" si="20"/>
        <v>\I:</v>
      </c>
      <c r="M134" s="374" t="str">
        <f t="shared" si="21"/>
        <v/>
      </c>
      <c r="N134" s="374" t="str">
        <f t="shared" si="22"/>
        <v/>
      </c>
      <c r="O134" s="374" t="str">
        <f t="shared" si="23"/>
        <v/>
      </c>
      <c r="P134" s="374" t="str">
        <f t="shared" si="24"/>
        <v/>
      </c>
      <c r="R134" s="370"/>
      <c r="U134" t="str">
        <f t="shared" si="27"/>
        <v>\I:</v>
      </c>
      <c r="V134" t="str">
        <f ca="1" t="shared" si="28"/>
        <v>ICE medium size CNG car -- Capital cost</v>
      </c>
      <c r="W134" s="372" t="s">
        <v>85</v>
      </c>
      <c r="X134" s="372" t="s">
        <v>86</v>
      </c>
    </row>
    <row r="135" spans="2:24">
      <c r="J135" t="str">
        <f t="shared" si="18"/>
        <v>Trd_car_cng</v>
      </c>
      <c r="K135" t="str">
        <f t="shared" si="19"/>
        <v>\I:</v>
      </c>
      <c r="L135" t="str">
        <f t="shared" si="20"/>
        <v>\I:</v>
      </c>
      <c r="M135" s="374" t="str">
        <f t="shared" si="21"/>
        <v/>
      </c>
      <c r="N135" s="374" t="str">
        <f t="shared" si="22"/>
        <v/>
      </c>
      <c r="O135" s="374" t="str">
        <f t="shared" si="23"/>
        <v/>
      </c>
      <c r="P135" s="374" t="str">
        <f t="shared" si="24"/>
        <v/>
      </c>
      <c r="R135" s="370"/>
      <c r="U135" t="str">
        <f t="shared" si="27"/>
        <v>\I:</v>
      </c>
      <c r="V135" t="str">
        <f ca="1" t="shared" si="28"/>
        <v>ICE medium size CNG car -- 00%</v>
      </c>
      <c r="W135" s="372" t="s">
        <v>85</v>
      </c>
      <c r="X135" s="372" t="s">
        <v>86</v>
      </c>
    </row>
    <row r="136" ht="15" customHeight="1" spans="2:24">
      <c r="B136" s="371" t="s">
        <v>92</v>
      </c>
      <c r="C136" s="371" t="s">
        <v>62</v>
      </c>
      <c r="D136" s="371"/>
      <c r="E136" s="371"/>
      <c r="F136" s="371"/>
      <c r="J136" t="str">
        <f t="shared" si="18"/>
        <v>\I:Trd_car_lpg</v>
      </c>
      <c r="K136" t="str">
        <f t="shared" si="19"/>
        <v>\I:</v>
      </c>
      <c r="L136" t="str">
        <f t="shared" si="20"/>
        <v>\I:</v>
      </c>
      <c r="M136" s="374" t="str">
        <f t="shared" si="21"/>
        <v/>
      </c>
      <c r="N136" s="374" t="str">
        <f t="shared" si="22"/>
        <v/>
      </c>
      <c r="O136" s="374" t="str">
        <f t="shared" si="23"/>
        <v/>
      </c>
      <c r="P136" s="374" t="str">
        <f t="shared" si="24"/>
        <v/>
      </c>
      <c r="R136" s="370"/>
      <c r="U136" t="str">
        <f t="shared" si="27"/>
        <v>\I:</v>
      </c>
      <c r="V136" t="str">
        <f ca="1" t="shared" si="28"/>
        <v>ICE medium size LPG car -- Reduction of specific energy consumption relative to 2015 LPG vehicle (%)</v>
      </c>
      <c r="W136" s="372" t="s">
        <v>85</v>
      </c>
      <c r="X136" s="372" t="s">
        <v>86</v>
      </c>
    </row>
    <row r="137" spans="2:24">
      <c r="B137" s="371"/>
      <c r="C137" s="371"/>
      <c r="D137" s="371"/>
      <c r="E137" s="371"/>
      <c r="F137" s="371"/>
      <c r="J137" t="str">
        <f t="shared" si="18"/>
        <v>\I:Trd_car_lpg</v>
      </c>
      <c r="K137" t="str">
        <f t="shared" si="19"/>
        <v>\I:</v>
      </c>
      <c r="L137" t="str">
        <f t="shared" si="20"/>
        <v>\I:</v>
      </c>
      <c r="M137" s="374" t="str">
        <f t="shared" si="21"/>
        <v/>
      </c>
      <c r="N137" s="374" t="str">
        <f t="shared" si="22"/>
        <v/>
      </c>
      <c r="O137" s="374" t="str">
        <f t="shared" si="23"/>
        <v/>
      </c>
      <c r="P137" s="374" t="str">
        <f t="shared" si="24"/>
        <v/>
      </c>
      <c r="R137" s="370"/>
      <c r="U137" t="str">
        <f t="shared" si="27"/>
        <v>\I:</v>
      </c>
      <c r="V137" t="str">
        <f ca="1" t="shared" si="28"/>
        <v>ICE medium size LPG car -- 00%</v>
      </c>
      <c r="W137" s="372" t="s">
        <v>85</v>
      </c>
      <c r="X137" s="372" t="s">
        <v>86</v>
      </c>
    </row>
    <row r="138" spans="2:24">
      <c r="B138" s="371"/>
      <c r="C138" s="371"/>
      <c r="D138" s="371"/>
      <c r="E138" s="371"/>
      <c r="F138" s="371"/>
      <c r="J138" t="str">
        <f t="shared" si="18"/>
        <v>\I:Trd_car_lpg</v>
      </c>
      <c r="K138" t="str">
        <f t="shared" si="19"/>
        <v>\I:</v>
      </c>
      <c r="L138" t="str">
        <f t="shared" si="20"/>
        <v>\I:</v>
      </c>
      <c r="M138" s="374" t="str">
        <f t="shared" si="21"/>
        <v/>
      </c>
      <c r="N138" s="374" t="str">
        <f t="shared" si="22"/>
        <v/>
      </c>
      <c r="O138" s="374" t="str">
        <f t="shared" si="23"/>
        <v/>
      </c>
      <c r="P138" s="374" t="str">
        <f t="shared" si="24"/>
        <v/>
      </c>
      <c r="R138" s="370"/>
      <c r="U138" t="str">
        <f t="shared" si="27"/>
        <v>\I:</v>
      </c>
      <c r="V138" t="str">
        <f ca="1" t="shared" si="28"/>
        <v>ICE medium size LPG car -- 00%</v>
      </c>
      <c r="W138" s="372" t="s">
        <v>85</v>
      </c>
      <c r="X138" s="372" t="s">
        <v>86</v>
      </c>
    </row>
    <row r="139" spans="2:24">
      <c r="B139" s="88"/>
      <c r="C139" s="51">
        <v>2020</v>
      </c>
      <c r="D139" s="51">
        <v>2030</v>
      </c>
      <c r="E139" s="51">
        <v>2040</v>
      </c>
      <c r="F139" s="51">
        <v>2050</v>
      </c>
      <c r="J139" t="str">
        <f t="shared" si="18"/>
        <v>\I:Trd_car_lpg</v>
      </c>
      <c r="K139" t="str">
        <f t="shared" si="19"/>
        <v>\I:</v>
      </c>
      <c r="L139" t="str">
        <f t="shared" si="20"/>
        <v>\I:</v>
      </c>
      <c r="M139" s="374" t="str">
        <f t="shared" si="21"/>
        <v/>
      </c>
      <c r="N139" s="374" t="str">
        <f t="shared" si="22"/>
        <v/>
      </c>
      <c r="O139" s="374" t="str">
        <f t="shared" si="23"/>
        <v/>
      </c>
      <c r="P139" s="374" t="str">
        <f t="shared" si="24"/>
        <v/>
      </c>
      <c r="R139" s="370"/>
      <c r="U139" t="str">
        <f t="shared" si="27"/>
        <v>\I:</v>
      </c>
      <c r="V139" t="str">
        <f ca="1" t="shared" si="28"/>
        <v>ICE medium size LPG car -- 00%</v>
      </c>
      <c r="W139" s="372" t="s">
        <v>85</v>
      </c>
      <c r="X139" s="372" t="s">
        <v>86</v>
      </c>
    </row>
    <row r="140"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74">
        <f t="shared" si="21"/>
        <v>20891.7784901274</v>
      </c>
      <c r="N140" s="374">
        <f t="shared" si="22"/>
        <v>20698.403131911</v>
      </c>
      <c r="O140" s="374">
        <f t="shared" si="23"/>
        <v>20698.403131911</v>
      </c>
      <c r="P140" s="374">
        <f t="shared" si="24"/>
        <v>20698.403131911</v>
      </c>
      <c r="R140" s="370"/>
      <c r="U140" t="str">
        <f t="shared" si="27"/>
        <v>\I:Trd_car_lpg_13</v>
      </c>
      <c r="V140" t="str">
        <f ca="1" t="shared" si="28"/>
        <v>ICE medium size LPG car -- 13%</v>
      </c>
      <c r="W140" s="372" t="s">
        <v>85</v>
      </c>
      <c r="X140" s="372" t="s">
        <v>86</v>
      </c>
    </row>
    <row r="14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74">
        <f t="shared" si="21"/>
        <v>21707.6257225306</v>
      </c>
      <c r="N141" s="374">
        <f t="shared" si="22"/>
        <v>20959.3556345472</v>
      </c>
      <c r="O141" s="374">
        <f t="shared" si="23"/>
        <v>20959.3556345472</v>
      </c>
      <c r="P141" s="374">
        <f t="shared" si="24"/>
        <v>20959.3556345472</v>
      </c>
      <c r="R141" s="370"/>
      <c r="U141" t="str">
        <f t="shared" si="27"/>
        <v>\I:Trd_car_lpg_23</v>
      </c>
      <c r="V141" t="str">
        <f ca="1" t="shared" si="28"/>
        <v>ICE medium size LPG car -- 23%</v>
      </c>
      <c r="W141" s="372" t="s">
        <v>85</v>
      </c>
      <c r="X141" s="372" t="s">
        <v>86</v>
      </c>
    </row>
    <row r="142"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74">
        <f t="shared" si="21"/>
        <v>23470.7732536115</v>
      </c>
      <c r="N142" s="374">
        <f t="shared" si="22"/>
        <v>21590.65484873</v>
      </c>
      <c r="O142" s="374">
        <f t="shared" si="23"/>
        <v>21590.65484873</v>
      </c>
      <c r="P142" s="374">
        <f t="shared" si="24"/>
        <v>21590.65484873</v>
      </c>
      <c r="R142" s="370"/>
      <c r="U142" t="str">
        <f t="shared" si="27"/>
        <v>\I:Trd_car_lpg_33</v>
      </c>
      <c r="V142" t="str">
        <f ca="1" t="shared" si="28"/>
        <v>ICE medium size LPG car -- 33%</v>
      </c>
      <c r="W142" s="372" t="s">
        <v>85</v>
      </c>
      <c r="X142" s="372" t="s">
        <v>86</v>
      </c>
    </row>
    <row r="143"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74">
        <f t="shared" si="21"/>
        <v>25984.0978852451</v>
      </c>
      <c r="N143" s="374">
        <f t="shared" si="22"/>
        <v>22323.7965623741</v>
      </c>
      <c r="O143" s="374">
        <f t="shared" si="23"/>
        <v>22323.7965623741</v>
      </c>
      <c r="P143" s="374">
        <f t="shared" si="24"/>
        <v>22323.7965623741</v>
      </c>
      <c r="R143" s="370"/>
      <c r="U143" t="str">
        <f t="shared" si="27"/>
        <v>\I:Trd_car_lpg_38</v>
      </c>
      <c r="V143" t="str">
        <f ca="1" t="shared" si="28"/>
        <v>ICE medium size LPG car -- 38%</v>
      </c>
      <c r="W143" s="372" t="s">
        <v>85</v>
      </c>
      <c r="X143" s="372" t="s">
        <v>86</v>
      </c>
    </row>
    <row r="144"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74">
        <f t="shared" si="21"/>
        <v>55253.2530564757</v>
      </c>
      <c r="N144" s="374">
        <f t="shared" si="22"/>
        <v>24136.7106961166</v>
      </c>
      <c r="O144" s="374">
        <f t="shared" si="23"/>
        <v>24136.7106961166</v>
      </c>
      <c r="P144" s="374">
        <f t="shared" si="24"/>
        <v>24136.7106961166</v>
      </c>
      <c r="R144" s="370"/>
      <c r="U144" t="str">
        <f t="shared" si="27"/>
        <v>\I:Trd_car_lpg_43</v>
      </c>
      <c r="V144" t="str">
        <f ca="1" t="shared" si="28"/>
        <v>ICE medium size LPG car -- 43%</v>
      </c>
      <c r="W144" s="372" t="s">
        <v>85</v>
      </c>
      <c r="X144" s="372" t="s">
        <v>86</v>
      </c>
    </row>
    <row r="145"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74">
        <f t="shared" si="21"/>
        <v>120431.5696</v>
      </c>
      <c r="N145" s="374">
        <f t="shared" si="22"/>
        <v>42610.7550936037</v>
      </c>
      <c r="O145" s="374">
        <f t="shared" si="23"/>
        <v>42610.7550936037</v>
      </c>
      <c r="P145" s="374">
        <f t="shared" si="24"/>
        <v>42610.7550936037</v>
      </c>
      <c r="R145" s="370"/>
      <c r="U145" t="str">
        <f t="shared" ref="U145:U176" si="31">K145</f>
        <v>\I:Trd_car_lpg_48</v>
      </c>
      <c r="V145" t="str">
        <f ca="1" t="shared" ref="V145:V176" si="32">OFFSET($S$1,MATCH(J145,$S$1:$S$11,0)-1,-1)&amp;" -- "&amp;TEXT(B145,"00%")</f>
        <v>ICE medium size LPG car -- 48%</v>
      </c>
      <c r="W145" s="372" t="s">
        <v>85</v>
      </c>
      <c r="X145" s="372" t="s">
        <v>86</v>
      </c>
    </row>
    <row r="146"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74" t="str">
        <f t="shared" ref="M146:M199" si="36">IF($K146="\I:","",C146)</f>
        <v/>
      </c>
      <c r="N146" s="374" t="str">
        <f t="shared" ref="N146:N199" si="37">IF($K146="\I:","",D146)</f>
        <v/>
      </c>
      <c r="O146" s="374" t="str">
        <f t="shared" ref="O146:O199" si="38">IF($K146="\I:","",E146)</f>
        <v/>
      </c>
      <c r="P146" s="374" t="str">
        <f t="shared" ref="P146:P199" si="39">IF($K146="\I:","",F146)</f>
        <v/>
      </c>
      <c r="R146" s="370"/>
      <c r="U146" t="str">
        <f t="shared" si="31"/>
        <v>\I:</v>
      </c>
      <c r="V146" t="str">
        <f ca="1" t="shared" si="32"/>
        <v>ICE medium size LPG car -- 00%</v>
      </c>
      <c r="W146" s="372" t="s">
        <v>85</v>
      </c>
      <c r="X146" s="372" t="s">
        <v>86</v>
      </c>
    </row>
    <row r="147" spans="2:24">
      <c r="J147" t="str">
        <f t="shared" si="33"/>
        <v>\I:Trd_car_lpg</v>
      </c>
      <c r="K147" t="str">
        <f t="shared" si="34"/>
        <v>\I:</v>
      </c>
      <c r="L147" t="str">
        <f t="shared" si="35"/>
        <v>\I:</v>
      </c>
      <c r="M147" s="374" t="str">
        <f t="shared" si="36"/>
        <v/>
      </c>
      <c r="N147" s="374" t="str">
        <f t="shared" si="37"/>
        <v/>
      </c>
      <c r="O147" s="374" t="str">
        <f t="shared" si="38"/>
        <v/>
      </c>
      <c r="P147" s="374" t="str">
        <f t="shared" si="39"/>
        <v/>
      </c>
      <c r="R147" s="370"/>
      <c r="U147" t="str">
        <f t="shared" si="31"/>
        <v>\I:</v>
      </c>
      <c r="V147" t="str">
        <f ca="1" t="shared" si="32"/>
        <v>ICE medium size LPG car -- 00%</v>
      </c>
      <c r="W147" s="372" t="s">
        <v>85</v>
      </c>
      <c r="X147" s="372" t="s">
        <v>86</v>
      </c>
    </row>
    <row r="148" spans="2:24">
      <c r="J148" t="str">
        <f t="shared" si="33"/>
        <v>\I:Trd_car_lpg</v>
      </c>
      <c r="K148" t="str">
        <f t="shared" si="34"/>
        <v>\I:</v>
      </c>
      <c r="L148" t="str">
        <f t="shared" si="35"/>
        <v>\I:</v>
      </c>
      <c r="M148" s="374" t="str">
        <f t="shared" si="36"/>
        <v/>
      </c>
      <c r="N148" s="374" t="str">
        <f t="shared" si="37"/>
        <v/>
      </c>
      <c r="O148" s="374" t="str">
        <f t="shared" si="38"/>
        <v/>
      </c>
      <c r="P148" s="374" t="str">
        <f t="shared" si="39"/>
        <v/>
      </c>
      <c r="R148" s="370"/>
      <c r="U148" t="str">
        <f t="shared" si="31"/>
        <v>\I:</v>
      </c>
      <c r="V148" t="str">
        <f ca="1" t="shared" si="32"/>
        <v>ICE medium size LPG car -- 00%</v>
      </c>
      <c r="W148" s="372" t="s">
        <v>85</v>
      </c>
      <c r="X148" s="372" t="s">
        <v>86</v>
      </c>
    </row>
    <row r="149" spans="2:24">
      <c r="J149" t="str">
        <f t="shared" si="33"/>
        <v>\I:Trd_car_lpg</v>
      </c>
      <c r="K149" t="str">
        <f t="shared" si="34"/>
        <v>\I:</v>
      </c>
      <c r="L149" t="str">
        <f t="shared" si="35"/>
        <v>\I:</v>
      </c>
      <c r="M149" s="374" t="str">
        <f t="shared" si="36"/>
        <v/>
      </c>
      <c r="N149" s="374" t="str">
        <f t="shared" si="37"/>
        <v/>
      </c>
      <c r="O149" s="374" t="str">
        <f t="shared" si="38"/>
        <v/>
      </c>
      <c r="P149" s="374" t="str">
        <f t="shared" si="39"/>
        <v/>
      </c>
      <c r="R149" s="370"/>
      <c r="U149" t="str">
        <f t="shared" si="31"/>
        <v>\I:</v>
      </c>
      <c r="V149" t="str">
        <f ca="1" t="shared" si="32"/>
        <v>ICE medium size LPG car -- 00%</v>
      </c>
      <c r="W149" s="372" t="s">
        <v>85</v>
      </c>
      <c r="X149" s="372" t="s">
        <v>86</v>
      </c>
    </row>
    <row r="150" spans="2:24">
      <c r="J150" t="str">
        <f t="shared" si="33"/>
        <v>\I:Trd_car_lpg</v>
      </c>
      <c r="K150" t="str">
        <f t="shared" si="34"/>
        <v>\I:</v>
      </c>
      <c r="L150" t="str">
        <f t="shared" si="35"/>
        <v>\I:</v>
      </c>
      <c r="M150" s="374" t="str">
        <f t="shared" si="36"/>
        <v/>
      </c>
      <c r="N150" s="374" t="str">
        <f t="shared" si="37"/>
        <v/>
      </c>
      <c r="O150" s="374" t="str">
        <f t="shared" si="38"/>
        <v/>
      </c>
      <c r="P150" s="374" t="str">
        <f t="shared" si="39"/>
        <v/>
      </c>
      <c r="R150" s="370"/>
      <c r="U150" t="str">
        <f t="shared" si="31"/>
        <v>\I:</v>
      </c>
      <c r="V150" t="str">
        <f ca="1" t="shared" si="32"/>
        <v>ICE medium size LPG car -- 00%</v>
      </c>
      <c r="W150" s="372" t="s">
        <v>85</v>
      </c>
      <c r="X150" s="372" t="s">
        <v>86</v>
      </c>
    </row>
    <row r="151" spans="2:24">
      <c r="B151" s="44" t="s">
        <v>93</v>
      </c>
      <c r="J151" t="str">
        <f t="shared" si="33"/>
        <v>\I:Trd_car_lpg</v>
      </c>
      <c r="K151" t="str">
        <f t="shared" si="34"/>
        <v>\I:</v>
      </c>
      <c r="L151" t="str">
        <f t="shared" si="35"/>
        <v>\I:</v>
      </c>
      <c r="M151" s="374" t="str">
        <f t="shared" si="36"/>
        <v/>
      </c>
      <c r="N151" s="374" t="str">
        <f t="shared" si="37"/>
        <v/>
      </c>
      <c r="O151" s="374" t="str">
        <f t="shared" si="38"/>
        <v/>
      </c>
      <c r="P151" s="374" t="str">
        <f t="shared" si="39"/>
        <v/>
      </c>
      <c r="R151" s="370"/>
      <c r="U151" t="str">
        <f t="shared" si="31"/>
        <v>\I:</v>
      </c>
      <c r="V151" t="str">
        <f ca="1" t="shared" si="32"/>
        <v>ICE medium size LPG car -- Reference values for medium size E85 flex fuel</v>
      </c>
      <c r="W151" s="372" t="s">
        <v>85</v>
      </c>
      <c r="X151" s="372" t="s">
        <v>86</v>
      </c>
    </row>
    <row r="152" spans="2:24">
      <c r="B152" s="365">
        <v>2015</v>
      </c>
      <c r="C152" s="365"/>
      <c r="D152" s="365"/>
      <c r="J152" t="str">
        <f t="shared" si="33"/>
        <v>\I:Trd_car_lpg</v>
      </c>
      <c r="K152" t="str">
        <f t="shared" si="34"/>
        <v>\I:</v>
      </c>
      <c r="L152" t="str">
        <f t="shared" si="35"/>
        <v>\I:</v>
      </c>
      <c r="M152" s="374" t="str">
        <f t="shared" si="36"/>
        <v/>
      </c>
      <c r="N152" s="374" t="str">
        <f t="shared" si="37"/>
        <v/>
      </c>
      <c r="O152" s="374" t="str">
        <f t="shared" si="38"/>
        <v/>
      </c>
      <c r="P152" s="374" t="str">
        <f t="shared" si="39"/>
        <v/>
      </c>
      <c r="R152" s="370"/>
      <c r="U152" t="str">
        <f t="shared" si="31"/>
        <v>\I:</v>
      </c>
      <c r="V152" t="str">
        <f ca="1" t="shared" si="32"/>
        <v>ICE medium size LPG car -- 201500%</v>
      </c>
      <c r="W152" s="372" t="s">
        <v>85</v>
      </c>
      <c r="X152" s="372" t="s">
        <v>86</v>
      </c>
    </row>
    <row r="153" spans="2:24">
      <c r="B153" s="46" t="s">
        <v>12</v>
      </c>
      <c r="C153" s="47" t="s">
        <v>13</v>
      </c>
      <c r="D153" s="48">
        <v>9.2</v>
      </c>
      <c r="J153" t="str">
        <f t="shared" si="33"/>
        <v>\I:Trd_car_lpg</v>
      </c>
      <c r="K153" t="str">
        <f t="shared" si="34"/>
        <v>\I:</v>
      </c>
      <c r="L153" t="str">
        <f t="shared" si="35"/>
        <v>\I:</v>
      </c>
      <c r="M153" s="374" t="str">
        <f t="shared" si="36"/>
        <v/>
      </c>
      <c r="N153" s="374" t="str">
        <f t="shared" si="37"/>
        <v/>
      </c>
      <c r="O153" s="374" t="str">
        <f t="shared" si="38"/>
        <v/>
      </c>
      <c r="P153" s="374" t="str">
        <f t="shared" si="39"/>
        <v/>
      </c>
      <c r="R153" s="370"/>
      <c r="U153" t="str">
        <f t="shared" si="31"/>
        <v>\I:</v>
      </c>
      <c r="V153" t="str">
        <f ca="1" t="shared" si="32"/>
        <v>ICE medium size LPG car -- Energy consumption</v>
      </c>
      <c r="W153" s="372" t="s">
        <v>85</v>
      </c>
      <c r="X153" s="372" t="s">
        <v>86</v>
      </c>
    </row>
    <row r="154" spans="2:24">
      <c r="B154" s="46" t="s">
        <v>14</v>
      </c>
      <c r="C154" s="47" t="s">
        <v>15</v>
      </c>
      <c r="D154" s="68">
        <v>19587.048</v>
      </c>
      <c r="J154" t="str">
        <f t="shared" si="33"/>
        <v>\I:Trd_car_lpg</v>
      </c>
      <c r="K154" t="str">
        <f t="shared" si="34"/>
        <v>\I:</v>
      </c>
      <c r="L154" t="str">
        <f t="shared" si="35"/>
        <v>\I:</v>
      </c>
      <c r="M154" s="374" t="str">
        <f t="shared" si="36"/>
        <v/>
      </c>
      <c r="N154" s="374" t="str">
        <f t="shared" si="37"/>
        <v/>
      </c>
      <c r="O154" s="374" t="str">
        <f t="shared" si="38"/>
        <v/>
      </c>
      <c r="P154" s="374" t="str">
        <f t="shared" si="39"/>
        <v/>
      </c>
      <c r="R154" s="370"/>
      <c r="U154" t="str">
        <f t="shared" si="31"/>
        <v>\I:</v>
      </c>
      <c r="V154" t="str">
        <f ca="1" t="shared" si="32"/>
        <v>ICE medium size LPG car -- Capital cost</v>
      </c>
      <c r="W154" s="372" t="s">
        <v>85</v>
      </c>
      <c r="X154" s="372" t="s">
        <v>86</v>
      </c>
    </row>
    <row r="155" spans="2:24">
      <c r="J155" t="str">
        <f t="shared" si="33"/>
        <v>\I:Trd_car_lpg</v>
      </c>
      <c r="K155" t="str">
        <f t="shared" si="34"/>
        <v>\I:</v>
      </c>
      <c r="L155" t="str">
        <f t="shared" si="35"/>
        <v>\I:</v>
      </c>
      <c r="M155" s="374" t="str">
        <f t="shared" si="36"/>
        <v/>
      </c>
      <c r="N155" s="374" t="str">
        <f t="shared" si="37"/>
        <v/>
      </c>
      <c r="O155" s="374" t="str">
        <f t="shared" si="38"/>
        <v/>
      </c>
      <c r="P155" s="374" t="str">
        <f t="shared" si="39"/>
        <v/>
      </c>
      <c r="R155" s="370"/>
      <c r="U155" t="str">
        <f t="shared" si="31"/>
        <v>\I:</v>
      </c>
      <c r="V155" t="str">
        <f ca="1" t="shared" si="32"/>
        <v>ICE medium size LPG car -- 00%</v>
      </c>
      <c r="W155" s="372" t="s">
        <v>85</v>
      </c>
      <c r="X155" s="372" t="s">
        <v>86</v>
      </c>
    </row>
    <row r="156" ht="15" customHeight="1" spans="2:24">
      <c r="B156" s="371" t="s">
        <v>94</v>
      </c>
      <c r="C156" s="371" t="s">
        <v>64</v>
      </c>
      <c r="D156" s="371"/>
      <c r="E156" s="371"/>
      <c r="F156" s="371"/>
      <c r="J156" t="str">
        <f t="shared" si="33"/>
        <v>\I:Trd_car_E85</v>
      </c>
      <c r="K156" t="str">
        <f t="shared" si="34"/>
        <v>\I:</v>
      </c>
      <c r="L156" t="str">
        <f t="shared" si="35"/>
        <v>\I:</v>
      </c>
      <c r="M156" s="374" t="str">
        <f t="shared" si="36"/>
        <v/>
      </c>
      <c r="N156" s="374" t="str">
        <f t="shared" si="37"/>
        <v/>
      </c>
      <c r="O156" s="374" t="str">
        <f t="shared" si="38"/>
        <v/>
      </c>
      <c r="P156" s="374" t="str">
        <f t="shared" si="39"/>
        <v/>
      </c>
      <c r="R156" s="370"/>
      <c r="U156" t="str">
        <f t="shared" si="31"/>
        <v>\I:</v>
      </c>
      <c r="V156" t="str">
        <f ca="1" t="shared" si="32"/>
        <v>ICE medium size E85 flex-fuel car -- Reduction of specific energy consumption relative to 2015 E85 vehicle (%)</v>
      </c>
      <c r="W156" s="372" t="s">
        <v>85</v>
      </c>
      <c r="X156" s="372" t="s">
        <v>86</v>
      </c>
    </row>
    <row r="157" spans="2:24">
      <c r="B157" s="371"/>
      <c r="C157" s="371"/>
      <c r="D157" s="371"/>
      <c r="E157" s="371"/>
      <c r="F157" s="371"/>
      <c r="J157" t="str">
        <f t="shared" si="33"/>
        <v>\I:Trd_car_E85</v>
      </c>
      <c r="K157" t="str">
        <f t="shared" si="34"/>
        <v>\I:</v>
      </c>
      <c r="L157" t="str">
        <f t="shared" si="35"/>
        <v>\I:</v>
      </c>
      <c r="M157" s="374" t="str">
        <f t="shared" si="36"/>
        <v/>
      </c>
      <c r="N157" s="374" t="str">
        <f t="shared" si="37"/>
        <v/>
      </c>
      <c r="O157" s="374" t="str">
        <f t="shared" si="38"/>
        <v/>
      </c>
      <c r="P157" s="374" t="str">
        <f t="shared" si="39"/>
        <v/>
      </c>
      <c r="R157" s="370"/>
      <c r="U157" t="str">
        <f t="shared" si="31"/>
        <v>\I:</v>
      </c>
      <c r="V157" t="str">
        <f ca="1" t="shared" si="32"/>
        <v>ICE medium size E85 flex-fuel car -- 00%</v>
      </c>
      <c r="W157" s="372" t="s">
        <v>85</v>
      </c>
      <c r="X157" s="372" t="s">
        <v>86</v>
      </c>
    </row>
    <row r="158" spans="2:24">
      <c r="B158" s="371"/>
      <c r="C158" s="371"/>
      <c r="D158" s="371"/>
      <c r="E158" s="371"/>
      <c r="F158" s="371"/>
      <c r="J158" t="str">
        <f t="shared" si="33"/>
        <v>\I:Trd_car_E85</v>
      </c>
      <c r="K158" t="str">
        <f t="shared" si="34"/>
        <v>\I:</v>
      </c>
      <c r="L158" t="str">
        <f t="shared" si="35"/>
        <v>\I:</v>
      </c>
      <c r="M158" s="374" t="str">
        <f t="shared" si="36"/>
        <v/>
      </c>
      <c r="N158" s="374" t="str">
        <f t="shared" si="37"/>
        <v/>
      </c>
      <c r="O158" s="374" t="str">
        <f t="shared" si="38"/>
        <v/>
      </c>
      <c r="P158" s="374" t="str">
        <f t="shared" si="39"/>
        <v/>
      </c>
      <c r="R158" s="370"/>
      <c r="U158" t="str">
        <f t="shared" si="31"/>
        <v>\I:</v>
      </c>
      <c r="V158" t="str">
        <f ca="1" t="shared" si="32"/>
        <v>ICE medium size E85 flex-fuel car -- 00%</v>
      </c>
      <c r="W158" s="372" t="s">
        <v>85</v>
      </c>
      <c r="X158" s="372" t="s">
        <v>86</v>
      </c>
    </row>
    <row r="159" spans="2:24">
      <c r="B159" s="88"/>
      <c r="C159" s="51">
        <v>2020</v>
      </c>
      <c r="D159" s="51">
        <v>2030</v>
      </c>
      <c r="E159" s="51">
        <v>2040</v>
      </c>
      <c r="F159" s="51">
        <v>2050</v>
      </c>
      <c r="J159" t="str">
        <f t="shared" si="33"/>
        <v>\I:Trd_car_E85</v>
      </c>
      <c r="K159" t="str">
        <f t="shared" si="34"/>
        <v>\I:</v>
      </c>
      <c r="L159" t="str">
        <f t="shared" si="35"/>
        <v>\I:</v>
      </c>
      <c r="M159" s="374" t="str">
        <f t="shared" si="36"/>
        <v/>
      </c>
      <c r="N159" s="374" t="str">
        <f t="shared" si="37"/>
        <v/>
      </c>
      <c r="O159" s="374" t="str">
        <f t="shared" si="38"/>
        <v/>
      </c>
      <c r="P159" s="374" t="str">
        <f t="shared" si="39"/>
        <v/>
      </c>
      <c r="R159" s="370"/>
      <c r="U159" t="str">
        <f t="shared" si="31"/>
        <v>\I:</v>
      </c>
      <c r="V159" t="str">
        <f ca="1" t="shared" si="32"/>
        <v>ICE medium size E85 flex-fuel car -- 00%</v>
      </c>
      <c r="W159" s="372" t="s">
        <v>85</v>
      </c>
      <c r="X159" s="372" t="s">
        <v>86</v>
      </c>
    </row>
    <row r="160"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74">
        <f t="shared" si="36"/>
        <v>19851.2688184151</v>
      </c>
      <c r="N160" s="374">
        <f t="shared" si="37"/>
        <v>19657.8934601988</v>
      </c>
      <c r="O160" s="374">
        <f t="shared" si="38"/>
        <v>19657.8934601988</v>
      </c>
      <c r="P160" s="374">
        <f t="shared" si="39"/>
        <v>19657.8934601988</v>
      </c>
      <c r="R160" s="370"/>
      <c r="U160" t="str">
        <f t="shared" si="31"/>
        <v>\I:Trd_car_E85_13</v>
      </c>
      <c r="V160" t="str">
        <f ca="1" t="shared" si="32"/>
        <v>ICE medium size E85 flex-fuel car -- 13%</v>
      </c>
      <c r="W160" s="372" t="s">
        <v>85</v>
      </c>
      <c r="X160" s="372" t="s">
        <v>86</v>
      </c>
    </row>
    <row r="16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74">
        <f t="shared" si="36"/>
        <v>20667.1160508183</v>
      </c>
      <c r="N161" s="374">
        <f t="shared" si="37"/>
        <v>19918.845962835</v>
      </c>
      <c r="O161" s="374">
        <f t="shared" si="38"/>
        <v>19918.845962835</v>
      </c>
      <c r="P161" s="374">
        <f t="shared" si="39"/>
        <v>19918.845962835</v>
      </c>
      <c r="R161" s="370"/>
      <c r="U161" t="str">
        <f t="shared" si="31"/>
        <v>\I:Trd_car_E85_23</v>
      </c>
      <c r="V161" t="str">
        <f ca="1" t="shared" si="32"/>
        <v>ICE medium size E85 flex-fuel car -- 23%</v>
      </c>
      <c r="W161" s="372" t="s">
        <v>85</v>
      </c>
      <c r="X161" s="372" t="s">
        <v>86</v>
      </c>
    </row>
    <row r="162"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74">
        <f t="shared" si="36"/>
        <v>22430.2635818993</v>
      </c>
      <c r="N162" s="374">
        <f t="shared" si="37"/>
        <v>20550.1451770178</v>
      </c>
      <c r="O162" s="374">
        <f t="shared" si="38"/>
        <v>20550.1451770178</v>
      </c>
      <c r="P162" s="374">
        <f t="shared" si="39"/>
        <v>20550.1451770178</v>
      </c>
      <c r="R162" s="370"/>
      <c r="U162" t="str">
        <f t="shared" si="31"/>
        <v>\I:Trd_car_E85_33</v>
      </c>
      <c r="V162" t="str">
        <f ca="1" t="shared" si="32"/>
        <v>ICE medium size E85 flex-fuel car -- 33%</v>
      </c>
      <c r="W162" s="372" t="s">
        <v>85</v>
      </c>
      <c r="X162" s="372" t="s">
        <v>86</v>
      </c>
    </row>
    <row r="163"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74">
        <f t="shared" si="36"/>
        <v>24943.5882135329</v>
      </c>
      <c r="N163" s="374">
        <f t="shared" si="37"/>
        <v>21283.2868906618</v>
      </c>
      <c r="O163" s="374">
        <f t="shared" si="38"/>
        <v>21283.2868906618</v>
      </c>
      <c r="P163" s="374">
        <f t="shared" si="39"/>
        <v>21283.2868906618</v>
      </c>
      <c r="R163" s="370"/>
      <c r="U163" t="str">
        <f t="shared" si="31"/>
        <v>\I:Trd_car_E85_38</v>
      </c>
      <c r="V163" t="str">
        <f ca="1" t="shared" si="32"/>
        <v>ICE medium size E85 flex-fuel car -- 38%</v>
      </c>
      <c r="W163" s="372" t="s">
        <v>85</v>
      </c>
      <c r="X163" s="372" t="s">
        <v>86</v>
      </c>
    </row>
    <row r="164" ht="15"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74">
        <f t="shared" si="36"/>
        <v>54212.7433847634</v>
      </c>
      <c r="N164" s="374">
        <f t="shared" si="37"/>
        <v>23096.2010244043</v>
      </c>
      <c r="O164" s="374">
        <f t="shared" si="38"/>
        <v>23096.2010244043</v>
      </c>
      <c r="P164" s="374">
        <f t="shared" si="39"/>
        <v>23096.2010244043</v>
      </c>
      <c r="R164" s="370"/>
      <c r="U164" t="str">
        <f t="shared" si="31"/>
        <v>\I:Trd_car_E85_43</v>
      </c>
      <c r="V164" t="str">
        <f ca="1" t="shared" si="32"/>
        <v>ICE medium size E85 flex-fuel car -- 43%</v>
      </c>
      <c r="W164" s="372" t="s">
        <v>85</v>
      </c>
      <c r="X164" s="372" t="s">
        <v>86</v>
      </c>
    </row>
    <row r="165"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74">
        <f t="shared" si="36"/>
        <v>119391.059928288</v>
      </c>
      <c r="N165" s="374">
        <f t="shared" si="37"/>
        <v>41570.2454218915</v>
      </c>
      <c r="O165" s="374">
        <f t="shared" si="38"/>
        <v>41570.2454218915</v>
      </c>
      <c r="P165" s="374">
        <f t="shared" si="39"/>
        <v>41570.2454218915</v>
      </c>
      <c r="R165" s="370"/>
      <c r="U165" t="str">
        <f t="shared" si="31"/>
        <v>\I:Trd_car_E85_48</v>
      </c>
      <c r="V165" t="str">
        <f ca="1" t="shared" si="32"/>
        <v>ICE medium size E85 flex-fuel car -- 48%</v>
      </c>
      <c r="W165" s="372" t="s">
        <v>85</v>
      </c>
      <c r="X165" s="372" t="s">
        <v>86</v>
      </c>
    </row>
    <row r="166" spans="2:24">
      <c r="C166" s="97"/>
      <c r="D166" s="97"/>
      <c r="E166" s="97"/>
      <c r="F166" s="97"/>
      <c r="J166" t="str">
        <f t="shared" si="33"/>
        <v>\I:Trd_car_E85</v>
      </c>
      <c r="K166" t="str">
        <f t="shared" si="34"/>
        <v>\I:</v>
      </c>
      <c r="L166" t="str">
        <f t="shared" si="35"/>
        <v>\I:</v>
      </c>
      <c r="M166" s="374" t="str">
        <f t="shared" si="36"/>
        <v/>
      </c>
      <c r="N166" s="374" t="str">
        <f t="shared" si="37"/>
        <v/>
      </c>
      <c r="O166" s="374" t="str">
        <f t="shared" si="38"/>
        <v/>
      </c>
      <c r="P166" s="374" t="str">
        <f t="shared" si="39"/>
        <v/>
      </c>
      <c r="R166" s="370"/>
      <c r="U166" t="str">
        <f t="shared" si="31"/>
        <v>\I:</v>
      </c>
      <c r="V166" t="str">
        <f ca="1" t="shared" si="32"/>
        <v>ICE medium size E85 flex-fuel car -- 00%</v>
      </c>
      <c r="W166" s="372" t="s">
        <v>85</v>
      </c>
      <c r="X166" s="372" t="s">
        <v>86</v>
      </c>
    </row>
    <row r="167" spans="2:24">
      <c r="J167" t="str">
        <f t="shared" si="33"/>
        <v>\I:Trd_car_E85</v>
      </c>
      <c r="K167" t="str">
        <f t="shared" si="34"/>
        <v>\I:</v>
      </c>
      <c r="L167" t="str">
        <f t="shared" si="35"/>
        <v>\I:</v>
      </c>
      <c r="M167" s="374" t="str">
        <f t="shared" si="36"/>
        <v/>
      </c>
      <c r="N167" s="374" t="str">
        <f t="shared" si="37"/>
        <v/>
      </c>
      <c r="O167" s="374" t="str">
        <f t="shared" si="38"/>
        <v/>
      </c>
      <c r="P167" s="374" t="str">
        <f t="shared" si="39"/>
        <v/>
      </c>
      <c r="R167" s="370"/>
      <c r="U167" t="str">
        <f t="shared" si="31"/>
        <v>\I:</v>
      </c>
      <c r="V167" t="str">
        <f ca="1" t="shared" si="32"/>
        <v>ICE medium size E85 flex-fuel car -- 00%</v>
      </c>
      <c r="W167" s="372" t="s">
        <v>85</v>
      </c>
      <c r="X167" s="372" t="s">
        <v>86</v>
      </c>
    </row>
    <row r="168" spans="2:24">
      <c r="J168" t="str">
        <f t="shared" si="33"/>
        <v>\I:Trd_car_E85</v>
      </c>
      <c r="K168" t="str">
        <f t="shared" si="34"/>
        <v>\I:</v>
      </c>
      <c r="L168" t="str">
        <f t="shared" si="35"/>
        <v>\I:</v>
      </c>
      <c r="M168" s="374" t="str">
        <f t="shared" si="36"/>
        <v/>
      </c>
      <c r="N168" s="374" t="str">
        <f t="shared" si="37"/>
        <v/>
      </c>
      <c r="O168" s="374" t="str">
        <f t="shared" si="38"/>
        <v/>
      </c>
      <c r="P168" s="374" t="str">
        <f t="shared" si="39"/>
        <v/>
      </c>
      <c r="R168" s="370"/>
      <c r="U168" t="str">
        <f t="shared" si="31"/>
        <v>\I:</v>
      </c>
      <c r="V168" t="str">
        <f ca="1" t="shared" si="32"/>
        <v>ICE medium size E85 flex-fuel car -- 00%</v>
      </c>
      <c r="W168" s="372" t="s">
        <v>85</v>
      </c>
      <c r="X168" s="372" t="s">
        <v>86</v>
      </c>
    </row>
    <row r="169" spans="2:24">
      <c r="J169" t="str">
        <f t="shared" si="33"/>
        <v>\I:Trd_car_E85</v>
      </c>
      <c r="K169" t="str">
        <f t="shared" si="34"/>
        <v>\I:</v>
      </c>
      <c r="L169" t="str">
        <f t="shared" si="35"/>
        <v>\I:</v>
      </c>
      <c r="M169" s="374" t="str">
        <f t="shared" si="36"/>
        <v/>
      </c>
      <c r="N169" s="374" t="str">
        <f t="shared" si="37"/>
        <v/>
      </c>
      <c r="O169" s="374" t="str">
        <f t="shared" si="38"/>
        <v/>
      </c>
      <c r="P169" s="374" t="str">
        <f t="shared" si="39"/>
        <v/>
      </c>
      <c r="R169" s="370"/>
      <c r="U169" t="str">
        <f t="shared" si="31"/>
        <v>\I:</v>
      </c>
      <c r="V169" t="str">
        <f ca="1" t="shared" si="32"/>
        <v>ICE medium size E85 flex-fuel car -- 00%</v>
      </c>
      <c r="W169" s="372" t="s">
        <v>85</v>
      </c>
      <c r="X169" s="372" t="s">
        <v>86</v>
      </c>
    </row>
    <row r="170" ht="15" customHeight="1" spans="2:24">
      <c r="B170" s="365">
        <v>2020</v>
      </c>
      <c r="C170" s="365"/>
      <c r="D170" s="365"/>
      <c r="J170" t="str">
        <f t="shared" si="33"/>
        <v>\I:Trd_car_E85</v>
      </c>
      <c r="K170" t="str">
        <f t="shared" si="34"/>
        <v>\I:</v>
      </c>
      <c r="L170" t="str">
        <f t="shared" si="35"/>
        <v>\I:</v>
      </c>
      <c r="M170" s="374" t="str">
        <f t="shared" si="36"/>
        <v/>
      </c>
      <c r="N170" s="374" t="str">
        <f t="shared" si="37"/>
        <v/>
      </c>
      <c r="O170" s="374" t="str">
        <f t="shared" si="38"/>
        <v/>
      </c>
      <c r="P170" s="374" t="str">
        <f t="shared" si="39"/>
        <v/>
      </c>
      <c r="R170" s="370"/>
      <c r="U170" t="str">
        <f t="shared" si="31"/>
        <v>\I:</v>
      </c>
      <c r="V170" t="str">
        <f ca="1" t="shared" si="32"/>
        <v>ICE medium size E85 flex-fuel car -- 202000%</v>
      </c>
      <c r="W170" s="372" t="s">
        <v>85</v>
      </c>
      <c r="X170" s="372" t="s">
        <v>86</v>
      </c>
    </row>
    <row r="171" spans="2:24">
      <c r="B171" s="46" t="s">
        <v>95</v>
      </c>
      <c r="C171" s="47" t="s">
        <v>26</v>
      </c>
      <c r="D171" s="74">
        <v>0.15</v>
      </c>
      <c r="G171" s="75">
        <f>D171/3.6/100*10^9/10^6</f>
        <v>0.416666666666667</v>
      </c>
      <c r="H171" s="75"/>
      <c r="I171" s="394">
        <f>1/G171-0.4</f>
        <v>2</v>
      </c>
      <c r="J171" t="str">
        <f t="shared" si="33"/>
        <v>\I:Trd_car_E85</v>
      </c>
      <c r="K171" t="str">
        <f t="shared" si="34"/>
        <v>\I:</v>
      </c>
      <c r="L171" t="str">
        <f t="shared" si="35"/>
        <v>\I:</v>
      </c>
      <c r="M171" s="374" t="str">
        <f t="shared" si="36"/>
        <v/>
      </c>
      <c r="N171" s="374" t="str">
        <f t="shared" si="37"/>
        <v/>
      </c>
      <c r="O171" s="374" t="str">
        <f t="shared" si="38"/>
        <v/>
      </c>
      <c r="P171" s="374" t="str">
        <f t="shared" si="39"/>
        <v/>
      </c>
      <c r="R171" s="370"/>
      <c r="U171" t="str">
        <f t="shared" si="31"/>
        <v>\I:</v>
      </c>
      <c r="V171" t="str">
        <f ca="1" t="shared" si="32"/>
        <v>ICE medium size E85 flex-fuel car -- Energy consumption οf Medium size battery electric car</v>
      </c>
      <c r="W171" s="372" t="s">
        <v>85</v>
      </c>
      <c r="X171" s="372" t="s">
        <v>86</v>
      </c>
    </row>
    <row r="172" spans="2:24">
      <c r="I172" s="377" t="s">
        <v>70</v>
      </c>
      <c r="J172" t="str">
        <f t="shared" si="33"/>
        <v>\I:Trd_car_E85</v>
      </c>
      <c r="K172" t="str">
        <f t="shared" si="34"/>
        <v>\I:</v>
      </c>
      <c r="L172" t="str">
        <f t="shared" si="35"/>
        <v>\I:</v>
      </c>
      <c r="M172" s="374" t="str">
        <f t="shared" si="36"/>
        <v/>
      </c>
      <c r="N172" s="374" t="str">
        <f t="shared" si="37"/>
        <v/>
      </c>
      <c r="O172" s="374" t="str">
        <f t="shared" si="38"/>
        <v/>
      </c>
      <c r="P172" s="374" t="str">
        <f t="shared" si="39"/>
        <v/>
      </c>
      <c r="R172" s="370"/>
      <c r="U172" t="str">
        <f t="shared" si="31"/>
        <v>\I:</v>
      </c>
      <c r="V172" t="str">
        <f ca="1" t="shared" si="32"/>
        <v>ICE medium size E85 flex-fuel car -- 00%</v>
      </c>
      <c r="W172" s="372" t="s">
        <v>85</v>
      </c>
      <c r="X172" s="372" t="s">
        <v>86</v>
      </c>
    </row>
    <row r="173" ht="15" customHeight="1" spans="2:24">
      <c r="B173" s="371" t="s">
        <v>27</v>
      </c>
      <c r="C173" s="371" t="s">
        <v>67</v>
      </c>
      <c r="D173" s="371"/>
      <c r="E173" s="371"/>
      <c r="F173" s="371"/>
      <c r="J173" t="str">
        <f t="shared" si="33"/>
        <v>Trd_car_elc</v>
      </c>
      <c r="K173" t="str">
        <f t="shared" si="34"/>
        <v>\I:</v>
      </c>
      <c r="L173" t="str">
        <f t="shared" si="35"/>
        <v>\I:</v>
      </c>
      <c r="M173" s="374" t="str">
        <f t="shared" si="36"/>
        <v/>
      </c>
      <c r="N173" s="374" t="str">
        <f t="shared" si="37"/>
        <v/>
      </c>
      <c r="O173" s="374" t="str">
        <f t="shared" si="38"/>
        <v/>
      </c>
      <c r="P173" s="374" t="str">
        <f t="shared" si="39"/>
        <v/>
      </c>
      <c r="R173" s="370"/>
      <c r="U173" t="str">
        <f t="shared" si="31"/>
        <v>\I:</v>
      </c>
      <c r="V173" t="str">
        <f ca="1" t="shared" si="32"/>
        <v>Medium size battery electric car -- Electric range (km)</v>
      </c>
      <c r="W173" s="372" t="s">
        <v>85</v>
      </c>
      <c r="X173" s="372" t="s">
        <v>86</v>
      </c>
    </row>
    <row r="174" spans="2:24">
      <c r="B174" s="371"/>
      <c r="C174" s="371"/>
      <c r="D174" s="371"/>
      <c r="E174" s="371"/>
      <c r="F174" s="371"/>
      <c r="J174" t="str">
        <f t="shared" si="33"/>
        <v>Trd_car_elc</v>
      </c>
      <c r="K174" t="str">
        <f t="shared" si="34"/>
        <v>\I:</v>
      </c>
      <c r="L174" t="str">
        <f t="shared" si="35"/>
        <v>\I:</v>
      </c>
      <c r="M174" s="374" t="str">
        <f t="shared" si="36"/>
        <v/>
      </c>
      <c r="N174" s="374" t="str">
        <f t="shared" si="37"/>
        <v/>
      </c>
      <c r="O174" s="374" t="str">
        <f t="shared" si="38"/>
        <v/>
      </c>
      <c r="P174" s="374" t="str">
        <f t="shared" si="39"/>
        <v/>
      </c>
      <c r="R174" s="370"/>
      <c r="U174" t="str">
        <f t="shared" si="31"/>
        <v>\I:</v>
      </c>
      <c r="V174" t="str">
        <f ca="1" t="shared" si="32"/>
        <v>Medium size battery electric car -- 00%</v>
      </c>
      <c r="W174" s="372" t="s">
        <v>85</v>
      </c>
      <c r="X174" s="372" t="s">
        <v>86</v>
      </c>
    </row>
    <row r="175" spans="2:24">
      <c r="B175" s="371"/>
      <c r="C175" s="371"/>
      <c r="D175" s="371"/>
      <c r="E175" s="371"/>
      <c r="F175" s="371"/>
      <c r="J175" t="str">
        <f t="shared" si="33"/>
        <v>Trd_car_elc</v>
      </c>
      <c r="K175" t="str">
        <f t="shared" si="34"/>
        <v>\I:</v>
      </c>
      <c r="L175" t="str">
        <f t="shared" si="35"/>
        <v>\I:</v>
      </c>
      <c r="M175" s="374" t="str">
        <f t="shared" si="36"/>
        <v/>
      </c>
      <c r="N175" s="374" t="str">
        <f t="shared" si="37"/>
        <v/>
      </c>
      <c r="O175" s="374" t="str">
        <f t="shared" si="38"/>
        <v/>
      </c>
      <c r="P175" s="374" t="str">
        <f t="shared" si="39"/>
        <v/>
      </c>
      <c r="R175" s="370"/>
      <c r="U175" t="str">
        <f t="shared" si="31"/>
        <v>\I:</v>
      </c>
      <c r="V175" t="str">
        <f ca="1" t="shared" si="32"/>
        <v>Medium size battery electric car -- 00%</v>
      </c>
      <c r="W175" s="372" t="s">
        <v>85</v>
      </c>
      <c r="X175" s="372" t="s">
        <v>86</v>
      </c>
    </row>
    <row r="176" spans="2:24">
      <c r="B176" s="88"/>
      <c r="C176" s="51">
        <v>2020</v>
      </c>
      <c r="D176" s="51">
        <v>2030</v>
      </c>
      <c r="E176" s="51">
        <v>2040</v>
      </c>
      <c r="F176" s="51">
        <v>2050</v>
      </c>
      <c r="J176" t="str">
        <f t="shared" si="33"/>
        <v>Trd_car_elc</v>
      </c>
      <c r="K176" t="str">
        <f t="shared" si="34"/>
        <v>\I:</v>
      </c>
      <c r="L176" t="str">
        <f t="shared" si="35"/>
        <v>\I:</v>
      </c>
      <c r="M176" s="374" t="str">
        <f t="shared" si="36"/>
        <v/>
      </c>
      <c r="N176" s="374" t="str">
        <f t="shared" si="37"/>
        <v/>
      </c>
      <c r="O176" s="374" t="str">
        <f t="shared" si="38"/>
        <v/>
      </c>
      <c r="P176" s="374" t="str">
        <f t="shared" si="39"/>
        <v/>
      </c>
      <c r="R176" s="370"/>
      <c r="U176" t="str">
        <f t="shared" si="31"/>
        <v>\I:</v>
      </c>
      <c r="V176" t="str">
        <f ca="1" t="shared" si="32"/>
        <v>Medium size battery electric car -- 00%</v>
      </c>
      <c r="W176" s="372" t="s">
        <v>85</v>
      </c>
      <c r="X176" s="372" t="s">
        <v>86</v>
      </c>
    </row>
    <row r="177" spans="2:24">
      <c r="B177" s="66">
        <v>120</v>
      </c>
      <c r="C177" s="86">
        <v>23157.6575819394</v>
      </c>
      <c r="D177" s="86">
        <v>20751.720805376</v>
      </c>
      <c r="E177" s="86">
        <v>20217.5262772825</v>
      </c>
      <c r="F177" s="86">
        <v>20032.534537058</v>
      </c>
      <c r="I177" s="378">
        <f>$I$171/$I$12</f>
        <v>4.29135863605588</v>
      </c>
      <c r="J177" t="str">
        <f t="shared" si="33"/>
        <v>Trd_car_elc</v>
      </c>
      <c r="K177" t="str">
        <f>IFERROR(IF(VALUE(C177)&gt;2020,J177&amp;"_"&amp;TEXT(B177,"000"),"\I:"),"\I:")</f>
        <v>Trd_car_elc_120</v>
      </c>
      <c r="L177" t="str">
        <f t="shared" si="35"/>
        <v>Trd_car</v>
      </c>
      <c r="M177" s="379">
        <f t="shared" ref="M177:M184" si="40">IF($K177="\I:","",C177*70%)</f>
        <v>16210.3603073576</v>
      </c>
      <c r="N177" s="380">
        <f>M177*93%</f>
        <v>15075.6350858426</v>
      </c>
      <c r="O177" s="380">
        <f t="shared" ref="O177:O184" si="41">N177*95%</f>
        <v>14321.8533315504</v>
      </c>
      <c r="P177" s="380">
        <f t="shared" ref="P177:P184" si="42">O177*95%</f>
        <v>13605.7606649729</v>
      </c>
      <c r="R177" s="381">
        <v>0.05</v>
      </c>
      <c r="U177" t="str">
        <f t="shared" ref="U177:U199" si="43">K177</f>
        <v>Trd_car_elc_120</v>
      </c>
      <c r="V177" t="str">
        <f ca="1" t="shared" ref="V177:V184" si="44">OFFSET($S$1,MATCH(J177,$S$1:$S$11,0)-1,-1)&amp;" -- "&amp;TEXT(B177,"000")</f>
        <v>Medium size battery electric car -- 120</v>
      </c>
      <c r="W177" s="372" t="s">
        <v>85</v>
      </c>
      <c r="X177" s="372" t="s">
        <v>86</v>
      </c>
    </row>
    <row r="178" spans="2:24">
      <c r="B178" s="66">
        <v>160</v>
      </c>
      <c r="C178" s="86">
        <v>24797.3390883531</v>
      </c>
      <c r="D178" s="86">
        <v>20898.3261358183</v>
      </c>
      <c r="E178" s="86">
        <v>20316.3084785431</v>
      </c>
      <c r="F178" s="86">
        <v>20114.7555730032</v>
      </c>
      <c r="I178" s="378">
        <f t="shared" ref="I178:I184" si="45">$I$171/$I$12</f>
        <v>4.29135863605588</v>
      </c>
      <c r="J178" t="str">
        <f t="shared" si="33"/>
        <v>Trd_car_elc</v>
      </c>
      <c r="K178" t="str">
        <f t="shared" ref="K178:K184" si="46">IFERROR(IF(VALUE(C178)&gt;2020,J178&amp;"_"&amp;TEXT(B178,"000"),"\I:"),"\I:")</f>
        <v>Trd_car_elc_160</v>
      </c>
      <c r="L178" t="str">
        <f t="shared" si="35"/>
        <v>Trd_car</v>
      </c>
      <c r="M178" s="379">
        <f t="shared" si="40"/>
        <v>17358.1373618472</v>
      </c>
      <c r="N178" s="380">
        <f t="shared" ref="N178:N184" si="47">M178*93%</f>
        <v>16143.0677465179</v>
      </c>
      <c r="O178" s="380">
        <f t="shared" si="41"/>
        <v>15335.914359192</v>
      </c>
      <c r="P178" s="380">
        <f t="shared" si="42"/>
        <v>14569.1186412324</v>
      </c>
      <c r="R178" s="381">
        <v>0.075</v>
      </c>
      <c r="U178" t="str">
        <f t="shared" si="43"/>
        <v>Trd_car_elc_160</v>
      </c>
      <c r="V178" t="str">
        <f ca="1" t="shared" si="44"/>
        <v>Medium size battery electric car -- 160</v>
      </c>
      <c r="W178" s="372" t="s">
        <v>85</v>
      </c>
      <c r="X178" s="372" t="s">
        <v>86</v>
      </c>
    </row>
    <row r="179" spans="2:24">
      <c r="B179" s="66">
        <v>200</v>
      </c>
      <c r="C179" s="86">
        <v>26437.0205947667</v>
      </c>
      <c r="D179" s="86">
        <v>21188.417534353</v>
      </c>
      <c r="E179" s="86">
        <v>20511.7711321012</v>
      </c>
      <c r="F179" s="86">
        <v>20277.4482611501</v>
      </c>
      <c r="I179" s="378">
        <f t="shared" si="45"/>
        <v>4.29135863605588</v>
      </c>
      <c r="J179" t="str">
        <f t="shared" si="33"/>
        <v>Trd_car_elc</v>
      </c>
      <c r="K179" t="str">
        <f t="shared" si="46"/>
        <v>Trd_car_elc_200</v>
      </c>
      <c r="L179" t="str">
        <f t="shared" si="35"/>
        <v>Trd_car</v>
      </c>
      <c r="M179" s="379">
        <f t="shared" si="40"/>
        <v>18505.9144163367</v>
      </c>
      <c r="N179" s="380">
        <f t="shared" si="47"/>
        <v>17210.5004071931</v>
      </c>
      <c r="O179" s="380">
        <f t="shared" si="41"/>
        <v>16349.9753868335</v>
      </c>
      <c r="P179" s="380">
        <f t="shared" si="42"/>
        <v>15532.4766174918</v>
      </c>
      <c r="R179" s="381">
        <v>0.1</v>
      </c>
      <c r="U179" t="str">
        <f t="shared" si="43"/>
        <v>Trd_car_elc_200</v>
      </c>
      <c r="V179" t="str">
        <f ca="1" t="shared" si="44"/>
        <v>Medium size battery electric car -- 200</v>
      </c>
      <c r="W179" s="372" t="s">
        <v>85</v>
      </c>
      <c r="X179" s="372" t="s">
        <v>86</v>
      </c>
    </row>
    <row r="180" spans="2:24">
      <c r="B180" s="66">
        <v>250</v>
      </c>
      <c r="C180" s="86">
        <v>28564.0109499813</v>
      </c>
      <c r="D180" s="86">
        <v>21785.3315089368</v>
      </c>
      <c r="E180" s="86">
        <v>20913.9698529438</v>
      </c>
      <c r="F180" s="86">
        <v>20612.2170257811</v>
      </c>
      <c r="I180" s="378">
        <f t="shared" si="45"/>
        <v>4.29135863605588</v>
      </c>
      <c r="J180" t="str">
        <f t="shared" si="33"/>
        <v>Trd_car_elc</v>
      </c>
      <c r="K180" t="str">
        <f t="shared" si="46"/>
        <v>Trd_car_elc_250</v>
      </c>
      <c r="L180" t="str">
        <f t="shared" si="35"/>
        <v>Trd_car</v>
      </c>
      <c r="M180" s="379">
        <f t="shared" si="40"/>
        <v>19994.8076649869</v>
      </c>
      <c r="N180" s="380">
        <f t="shared" si="47"/>
        <v>18595.1711284378</v>
      </c>
      <c r="O180" s="380">
        <f t="shared" si="41"/>
        <v>17665.4125720159</v>
      </c>
      <c r="P180" s="380">
        <f t="shared" si="42"/>
        <v>16782.1419434151</v>
      </c>
      <c r="R180" s="381">
        <v>0.125</v>
      </c>
      <c r="U180" t="str">
        <f t="shared" si="43"/>
        <v>Trd_car_elc_250</v>
      </c>
      <c r="V180" t="str">
        <f ca="1" t="shared" si="44"/>
        <v>Medium size battery electric car -- 250</v>
      </c>
      <c r="W180" s="372" t="s">
        <v>85</v>
      </c>
      <c r="X180" s="372" t="s">
        <v>86</v>
      </c>
    </row>
    <row r="181" spans="2:24">
      <c r="B181" s="66">
        <v>300</v>
      </c>
      <c r="C181" s="86">
        <v>30691.0013051959</v>
      </c>
      <c r="D181" s="86">
        <v>22382.2454835207</v>
      </c>
      <c r="E181" s="86">
        <v>21316.1685737864</v>
      </c>
      <c r="F181" s="86">
        <v>20946.985790412</v>
      </c>
      <c r="I181" s="378">
        <f t="shared" si="45"/>
        <v>4.29135863605588</v>
      </c>
      <c r="J181" t="str">
        <f t="shared" si="33"/>
        <v>Trd_car_elc</v>
      </c>
      <c r="K181" t="str">
        <f t="shared" si="46"/>
        <v>Trd_car_elc_300</v>
      </c>
      <c r="L181" t="str">
        <f t="shared" si="35"/>
        <v>Trd_car</v>
      </c>
      <c r="M181" s="379">
        <f t="shared" si="40"/>
        <v>21483.7009136371</v>
      </c>
      <c r="N181" s="380">
        <f t="shared" si="47"/>
        <v>19979.8418496825</v>
      </c>
      <c r="O181" s="380">
        <f t="shared" si="41"/>
        <v>18980.8497571984</v>
      </c>
      <c r="P181" s="380">
        <f t="shared" si="42"/>
        <v>18031.8072693385</v>
      </c>
      <c r="R181" s="381">
        <v>0.15</v>
      </c>
      <c r="U181" t="str">
        <f t="shared" si="43"/>
        <v>Trd_car_elc_300</v>
      </c>
      <c r="V181" t="str">
        <f ca="1" t="shared" si="44"/>
        <v>Medium size battery electric car -- 300</v>
      </c>
      <c r="W181" s="372" t="s">
        <v>85</v>
      </c>
      <c r="X181" s="372" t="s">
        <v>86</v>
      </c>
    </row>
    <row r="182" spans="2:24">
      <c r="B182" s="66">
        <v>350</v>
      </c>
      <c r="C182" s="86">
        <v>33572.5229819496</v>
      </c>
      <c r="D182" s="86">
        <v>23101.8629366229</v>
      </c>
      <c r="E182" s="86">
        <v>21722.7842202962</v>
      </c>
      <c r="F182" s="86">
        <v>21285.4309683989</v>
      </c>
      <c r="I182" s="378">
        <f t="shared" si="45"/>
        <v>4.29135863605588</v>
      </c>
      <c r="J182" t="str">
        <f t="shared" si="33"/>
        <v>Trd_car_elc</v>
      </c>
      <c r="K182" t="str">
        <f t="shared" si="46"/>
        <v>Trd_car_elc_350</v>
      </c>
      <c r="L182" t="str">
        <f t="shared" si="35"/>
        <v>Trd_car</v>
      </c>
      <c r="M182" s="379">
        <f t="shared" si="40"/>
        <v>23500.7660873647</v>
      </c>
      <c r="N182" s="380">
        <f t="shared" si="47"/>
        <v>21855.7124612492</v>
      </c>
      <c r="O182" s="380">
        <f t="shared" si="41"/>
        <v>20762.9268381867</v>
      </c>
      <c r="P182" s="380">
        <f t="shared" si="42"/>
        <v>19724.7804962774</v>
      </c>
      <c r="R182" s="381">
        <v>0.175</v>
      </c>
      <c r="U182" t="str">
        <f t="shared" si="43"/>
        <v>Trd_car_elc_350</v>
      </c>
      <c r="V182" t="str">
        <f ca="1" t="shared" si="44"/>
        <v>Medium size battery electric car -- 350</v>
      </c>
      <c r="W182" s="372" t="s">
        <v>85</v>
      </c>
      <c r="X182" s="372" t="s">
        <v>86</v>
      </c>
    </row>
    <row r="183" spans="2:24">
      <c r="B183" s="66">
        <v>400</v>
      </c>
      <c r="C183" s="86">
        <v>36673.347231568</v>
      </c>
      <c r="D183" s="86">
        <v>23857.6885449144</v>
      </c>
      <c r="E183" s="86">
        <v>22129.399866806</v>
      </c>
      <c r="F183" s="86">
        <v>21623.8761463858</v>
      </c>
      <c r="I183" s="378">
        <f t="shared" si="45"/>
        <v>4.29135863605588</v>
      </c>
      <c r="J183" t="str">
        <f t="shared" si="33"/>
        <v>Trd_car_elc</v>
      </c>
      <c r="K183" t="str">
        <f t="shared" si="46"/>
        <v>Trd_car_elc_400</v>
      </c>
      <c r="L183" t="str">
        <f t="shared" si="35"/>
        <v>Trd_car</v>
      </c>
      <c r="M183" s="379">
        <f t="shared" si="40"/>
        <v>25671.3430620976</v>
      </c>
      <c r="N183" s="380">
        <f t="shared" si="47"/>
        <v>23874.3490477508</v>
      </c>
      <c r="O183" s="380">
        <f t="shared" si="41"/>
        <v>22680.6315953632</v>
      </c>
      <c r="P183" s="380">
        <f t="shared" si="42"/>
        <v>21546.6000155951</v>
      </c>
      <c r="R183" s="381">
        <v>0.2</v>
      </c>
      <c r="U183" t="str">
        <f t="shared" si="43"/>
        <v>Trd_car_elc_400</v>
      </c>
      <c r="V183" t="str">
        <f ca="1" t="shared" si="44"/>
        <v>Medium size battery electric car -- 400</v>
      </c>
      <c r="W183" s="372" t="s">
        <v>85</v>
      </c>
      <c r="X183" s="372" t="s">
        <v>86</v>
      </c>
    </row>
    <row r="184" spans="2:24">
      <c r="B184" s="66">
        <v>500</v>
      </c>
      <c r="C184" s="86">
        <v>43532.903449399</v>
      </c>
      <c r="D184" s="86">
        <v>25648.4246597977</v>
      </c>
      <c r="E184" s="86">
        <v>23095.7720833501</v>
      </c>
      <c r="F184" s="86">
        <v>22300.7665023597</v>
      </c>
      <c r="I184" s="378">
        <f t="shared" si="45"/>
        <v>4.29135863605588</v>
      </c>
      <c r="J184" t="str">
        <f t="shared" si="33"/>
        <v>Trd_car_elc</v>
      </c>
      <c r="K184" t="str">
        <f t="shared" si="46"/>
        <v>Trd_car_elc_500</v>
      </c>
      <c r="L184" t="str">
        <f t="shared" si="35"/>
        <v>Trd_car</v>
      </c>
      <c r="M184" s="379">
        <f t="shared" si="40"/>
        <v>30473.0324145793</v>
      </c>
      <c r="N184" s="380">
        <f t="shared" si="47"/>
        <v>28339.9201455587</v>
      </c>
      <c r="O184" s="380">
        <f t="shared" si="41"/>
        <v>26922.9241382808</v>
      </c>
      <c r="P184" s="380">
        <f t="shared" si="42"/>
        <v>25576.7779313668</v>
      </c>
      <c r="R184" s="370"/>
      <c r="U184" t="str">
        <f t="shared" si="43"/>
        <v>Trd_car_elc_500</v>
      </c>
      <c r="V184" t="str">
        <f ca="1" t="shared" si="44"/>
        <v>Medium size battery electric car -- 500</v>
      </c>
      <c r="W184" s="372" t="s">
        <v>85</v>
      </c>
      <c r="X184" s="372" t="s">
        <v>86</v>
      </c>
    </row>
    <row r="185" spans="2:24">
      <c r="J185" t="str">
        <f t="shared" si="33"/>
        <v>Trd_car_elc</v>
      </c>
      <c r="K185" t="str">
        <f t="shared" si="34"/>
        <v>\I:</v>
      </c>
      <c r="L185" t="str">
        <f t="shared" si="35"/>
        <v>\I:</v>
      </c>
      <c r="M185" s="374" t="str">
        <f t="shared" si="36"/>
        <v/>
      </c>
      <c r="N185" s="374" t="str">
        <f t="shared" si="37"/>
        <v/>
      </c>
      <c r="O185" s="374" t="str">
        <f t="shared" si="38"/>
        <v/>
      </c>
      <c r="P185" s="374" t="str">
        <f t="shared" si="39"/>
        <v/>
      </c>
      <c r="R185" s="370"/>
      <c r="U185" t="str">
        <f t="shared" si="43"/>
        <v>\I:</v>
      </c>
      <c r="V185" t="str">
        <f ca="1" t="shared" ref="V185:V191" si="48">OFFSET($S$1,MATCH(J185,$S$1:$S$11,0)-1,-1)&amp;" -- "&amp;TEXT(B185,"00%")</f>
        <v>Medium size battery electric car -- 00%</v>
      </c>
      <c r="W185" s="372" t="s">
        <v>85</v>
      </c>
      <c r="X185" s="372" t="s">
        <v>86</v>
      </c>
    </row>
    <row r="186" spans="2:24">
      <c r="J186" t="str">
        <f t="shared" si="33"/>
        <v>Trd_car_elc</v>
      </c>
      <c r="K186" t="str">
        <f t="shared" si="34"/>
        <v>\I:</v>
      </c>
      <c r="L186" t="str">
        <f t="shared" si="35"/>
        <v>\I:</v>
      </c>
      <c r="M186" s="374" t="str">
        <f t="shared" si="36"/>
        <v/>
      </c>
      <c r="N186" s="374" t="str">
        <f t="shared" si="37"/>
        <v/>
      </c>
      <c r="O186" s="374" t="str">
        <f t="shared" si="38"/>
        <v/>
      </c>
      <c r="P186" s="374" t="str">
        <f t="shared" si="39"/>
        <v/>
      </c>
      <c r="R186" s="370"/>
      <c r="U186" t="str">
        <f t="shared" si="43"/>
        <v>\I:</v>
      </c>
      <c r="V186" t="str">
        <f ca="1" t="shared" si="48"/>
        <v>Medium size battery electric car -- 00%</v>
      </c>
      <c r="W186" s="372" t="s">
        <v>85</v>
      </c>
      <c r="X186" s="372" t="s">
        <v>86</v>
      </c>
    </row>
    <row r="187" spans="2:24">
      <c r="J187" t="str">
        <f t="shared" si="33"/>
        <v>Trd_car_elc</v>
      </c>
      <c r="K187" t="str">
        <f t="shared" si="34"/>
        <v>\I:</v>
      </c>
      <c r="L187" t="str">
        <f t="shared" si="35"/>
        <v>\I:</v>
      </c>
      <c r="M187" s="374" t="str">
        <f t="shared" si="36"/>
        <v/>
      </c>
      <c r="N187" s="374" t="str">
        <f t="shared" si="37"/>
        <v/>
      </c>
      <c r="O187" s="374" t="str">
        <f t="shared" si="38"/>
        <v/>
      </c>
      <c r="P187" s="374" t="str">
        <f t="shared" si="39"/>
        <v/>
      </c>
      <c r="R187" s="370"/>
      <c r="U187" t="str">
        <f t="shared" si="43"/>
        <v>\I:</v>
      </c>
      <c r="V187" t="str">
        <f ca="1" t="shared" si="48"/>
        <v>Medium size battery electric car -- 00%</v>
      </c>
      <c r="W187" s="372" t="s">
        <v>85</v>
      </c>
      <c r="X187" s="372" t="s">
        <v>86</v>
      </c>
    </row>
    <row r="188" ht="15" customHeight="1" spans="2:24">
      <c r="B188" s="371" t="s">
        <v>29</v>
      </c>
      <c r="C188" s="396" t="s">
        <v>69</v>
      </c>
      <c r="D188" s="419"/>
      <c r="E188" s="419"/>
      <c r="F188" s="420"/>
      <c r="J188" t="str">
        <f t="shared" si="33"/>
        <v>Trd_car_hh2</v>
      </c>
      <c r="K188" t="str">
        <f t="shared" si="34"/>
        <v>\I:</v>
      </c>
      <c r="L188" t="str">
        <f t="shared" si="35"/>
        <v>\I:</v>
      </c>
      <c r="M188" s="374" t="str">
        <f t="shared" si="36"/>
        <v/>
      </c>
      <c r="N188" s="374" t="str">
        <f t="shared" si="37"/>
        <v/>
      </c>
      <c r="O188" s="374" t="str">
        <f t="shared" si="38"/>
        <v/>
      </c>
      <c r="P188" s="374" t="str">
        <f t="shared" si="39"/>
        <v/>
      </c>
      <c r="R188" s="370"/>
      <c r="U188" t="str">
        <f t="shared" si="43"/>
        <v>\I:</v>
      </c>
      <c r="V188" t="str">
        <f ca="1" t="shared" si="48"/>
        <v>Medium size hydrogen fuel cell -- Energy consumption (kg H2/100km)</v>
      </c>
      <c r="W188" s="372" t="s">
        <v>85</v>
      </c>
      <c r="X188" s="372" t="s">
        <v>86</v>
      </c>
    </row>
    <row r="189" ht="15.75" customHeight="1" spans="2:24">
      <c r="B189" s="371"/>
      <c r="C189" s="421"/>
      <c r="D189" s="422"/>
      <c r="E189" s="422"/>
      <c r="F189" s="423"/>
      <c r="J189" t="str">
        <f t="shared" si="33"/>
        <v>Trd_car_hh2</v>
      </c>
      <c r="K189" t="str">
        <f t="shared" si="34"/>
        <v>\I:</v>
      </c>
      <c r="L189" t="str">
        <f t="shared" si="35"/>
        <v>\I:</v>
      </c>
      <c r="M189" s="374" t="str">
        <f t="shared" si="36"/>
        <v/>
      </c>
      <c r="N189" s="374" t="str">
        <f t="shared" si="37"/>
        <v/>
      </c>
      <c r="O189" s="374" t="str">
        <f t="shared" si="38"/>
        <v/>
      </c>
      <c r="P189" s="374" t="str">
        <f t="shared" si="39"/>
        <v/>
      </c>
      <c r="R189" s="370"/>
      <c r="U189" t="str">
        <f t="shared" si="43"/>
        <v>\I:</v>
      </c>
      <c r="V189" t="str">
        <f ca="1" t="shared" si="48"/>
        <v>Medium size hydrogen fuel cell -- 00%</v>
      </c>
      <c r="W189" s="372" t="s">
        <v>85</v>
      </c>
      <c r="X189" s="372" t="s">
        <v>86</v>
      </c>
    </row>
    <row r="190" ht="21.75" customHeight="1" spans="2:24">
      <c r="B190" s="371"/>
      <c r="C190" s="424"/>
      <c r="D190" s="425"/>
      <c r="E190" s="425"/>
      <c r="F190" s="426"/>
      <c r="J190" t="str">
        <f t="shared" si="33"/>
        <v>Trd_car_hh2</v>
      </c>
      <c r="K190" t="str">
        <f t="shared" si="34"/>
        <v>\I:</v>
      </c>
      <c r="L190" t="str">
        <f t="shared" si="35"/>
        <v>\I:</v>
      </c>
      <c r="M190" s="374" t="str">
        <f t="shared" si="36"/>
        <v/>
      </c>
      <c r="N190" s="374" t="str">
        <f t="shared" si="37"/>
        <v/>
      </c>
      <c r="O190" s="374" t="str">
        <f t="shared" si="38"/>
        <v/>
      </c>
      <c r="P190" s="374" t="str">
        <f t="shared" si="39"/>
        <v/>
      </c>
      <c r="R190" s="370"/>
      <c r="U190" t="str">
        <f t="shared" si="43"/>
        <v>\I:</v>
      </c>
      <c r="V190" t="str">
        <f ca="1" t="shared" si="48"/>
        <v>Medium size hydrogen fuel cell -- 00%</v>
      </c>
      <c r="W190" s="372" t="s">
        <v>85</v>
      </c>
      <c r="X190" s="372" t="s">
        <v>86</v>
      </c>
    </row>
    <row r="191" ht="18" customHeight="1" spans="2:24">
      <c r="B191" s="88"/>
      <c r="C191" s="51">
        <v>2020</v>
      </c>
      <c r="D191" s="51">
        <v>2030</v>
      </c>
      <c r="E191" s="51">
        <v>2040</v>
      </c>
      <c r="F191" s="51">
        <v>2050</v>
      </c>
      <c r="J191" t="str">
        <f t="shared" si="33"/>
        <v>Trd_car_hh2</v>
      </c>
      <c r="K191" t="str">
        <f t="shared" si="34"/>
        <v>\I:</v>
      </c>
      <c r="L191" t="str">
        <f t="shared" si="35"/>
        <v>\I:</v>
      </c>
      <c r="M191" s="374" t="str">
        <f t="shared" si="36"/>
        <v/>
      </c>
      <c r="N191" s="374" t="str">
        <f t="shared" si="37"/>
        <v/>
      </c>
      <c r="O191" s="374" t="str">
        <f t="shared" si="38"/>
        <v/>
      </c>
      <c r="P191" s="374" t="str">
        <f t="shared" si="39"/>
        <v/>
      </c>
      <c r="R191" s="370"/>
      <c r="U191" t="str">
        <f t="shared" si="43"/>
        <v>\I:</v>
      </c>
      <c r="V191" t="str">
        <f ca="1" t="shared" si="48"/>
        <v>Medium size hydrogen fuel cell -- 00%</v>
      </c>
      <c r="W191" s="372" t="s">
        <v>85</v>
      </c>
      <c r="X191" s="372" t="s">
        <v>86</v>
      </c>
    </row>
    <row r="192" spans="2:24">
      <c r="B192" s="415">
        <v>0.946734005829305</v>
      </c>
      <c r="C192" s="86">
        <v>51066.9838694536</v>
      </c>
      <c r="D192" s="86">
        <v>35844.8446280299</v>
      </c>
      <c r="E192" s="86">
        <v>29881.1465974715</v>
      </c>
      <c r="F192" s="86">
        <v>28412.9839870662</v>
      </c>
      <c r="G192" s="75">
        <f>B192*0.12/100*10^9/10^6</f>
        <v>1.13608080699517</v>
      </c>
      <c r="H192" s="75"/>
      <c r="I192" s="366">
        <f>1/G192/$I$12</f>
        <v>1.88866787011663</v>
      </c>
      <c r="J192" t="str">
        <f t="shared" si="33"/>
        <v>Trd_car_hh2</v>
      </c>
      <c r="K192" t="str">
        <f t="shared" si="34"/>
        <v>Trd_car_hh2_95</v>
      </c>
      <c r="L192" t="str">
        <f t="shared" si="35"/>
        <v>Trd_car</v>
      </c>
      <c r="M192" s="374">
        <f t="shared" si="36"/>
        <v>51066.9838694536</v>
      </c>
      <c r="N192" s="374">
        <f t="shared" si="37"/>
        <v>35844.8446280299</v>
      </c>
      <c r="O192" s="374">
        <f t="shared" si="38"/>
        <v>29881.1465974715</v>
      </c>
      <c r="P192" s="374">
        <f t="shared" si="39"/>
        <v>28412.9839870662</v>
      </c>
      <c r="R192" s="370"/>
      <c r="U192" t="str">
        <f t="shared" si="43"/>
        <v>Trd_car_hh2_95</v>
      </c>
      <c r="V192" t="str">
        <f ca="1">OFFSET($S$1,MATCH(J192,$S$1:$S$11,0)-1,-1)&amp;" -- "&amp;TEXT(B192,"0.00")</f>
        <v>Medium size hydrogen fuel cell -- 0.95</v>
      </c>
      <c r="W192" s="372" t="s">
        <v>85</v>
      </c>
      <c r="X192" s="372" t="s">
        <v>86</v>
      </c>
    </row>
    <row r="193" spans="2:24">
      <c r="B193" s="415">
        <v>0.906159691293763</v>
      </c>
      <c r="C193" s="86">
        <v>51333.6668176655</v>
      </c>
      <c r="D193" s="86">
        <v>36060.4543841275</v>
      </c>
      <c r="E193" s="86">
        <v>30065.5019981684</v>
      </c>
      <c r="F193" s="86">
        <v>28592.3568093659</v>
      </c>
      <c r="G193" s="75">
        <f t="shared" ref="G193:G199" si="49">B193*0.12/100*10^9/10^6</f>
        <v>1.08739162955252</v>
      </c>
      <c r="H193" s="75"/>
      <c r="I193" s="366">
        <f t="shared" ref="I193:I199" si="50">1/G193/$I$12</f>
        <v>1.97323508818155</v>
      </c>
      <c r="J193" t="str">
        <f t="shared" si="33"/>
        <v>Trd_car_hh2</v>
      </c>
      <c r="K193" t="str">
        <f t="shared" si="34"/>
        <v>Trd_car_hh2_91</v>
      </c>
      <c r="L193" t="str">
        <f t="shared" si="35"/>
        <v>Trd_car</v>
      </c>
      <c r="M193" s="374">
        <f t="shared" si="36"/>
        <v>51333.6668176655</v>
      </c>
      <c r="N193" s="374">
        <f t="shared" si="37"/>
        <v>36060.4543841275</v>
      </c>
      <c r="O193" s="374">
        <f t="shared" si="38"/>
        <v>30065.5019981684</v>
      </c>
      <c r="P193" s="374">
        <f t="shared" si="39"/>
        <v>28592.3568093659</v>
      </c>
      <c r="R193" s="370"/>
      <c r="U193" t="str">
        <f t="shared" si="43"/>
        <v>Trd_car_hh2_91</v>
      </c>
      <c r="V193" t="str">
        <f ca="1" t="shared" ref="V193:V199" si="51">OFFSET($S$1,MATCH(J193,$S$1:$S$11,0)-1,-1)&amp;" -- "&amp;TEXT(B193,"0.00")</f>
        <v>Medium size hydrogen fuel cell -- 0.91</v>
      </c>
      <c r="W193" s="372" t="s">
        <v>85</v>
      </c>
      <c r="X193" s="372" t="s">
        <v>86</v>
      </c>
    </row>
    <row r="194" spans="2:24">
      <c r="B194" s="415">
        <v>0.865585376758221</v>
      </c>
      <c r="C194" s="86">
        <v>51791.4017053404</v>
      </c>
      <c r="D194" s="86">
        <v>36276.064140225</v>
      </c>
      <c r="E194" s="86">
        <v>30249.8573988653</v>
      </c>
      <c r="F194" s="86">
        <v>28771.7296316655</v>
      </c>
      <c r="G194" s="75">
        <f t="shared" si="49"/>
        <v>1.03870245210987</v>
      </c>
      <c r="H194" s="75"/>
      <c r="I194" s="366">
        <f t="shared" si="50"/>
        <v>2.06573048294006</v>
      </c>
      <c r="J194" t="str">
        <f t="shared" si="33"/>
        <v>Trd_car_hh2</v>
      </c>
      <c r="K194" t="str">
        <f t="shared" si="34"/>
        <v>Trd_car_hh2_87</v>
      </c>
      <c r="L194" t="str">
        <f t="shared" si="35"/>
        <v>Trd_car</v>
      </c>
      <c r="M194" s="374">
        <f t="shared" si="36"/>
        <v>51791.4017053404</v>
      </c>
      <c r="N194" s="374">
        <f t="shared" si="37"/>
        <v>36276.064140225</v>
      </c>
      <c r="O194" s="374">
        <f t="shared" si="38"/>
        <v>30249.8573988653</v>
      </c>
      <c r="P194" s="374">
        <f t="shared" si="39"/>
        <v>28771.7296316655</v>
      </c>
      <c r="R194" s="370"/>
      <c r="U194" t="str">
        <f t="shared" si="43"/>
        <v>Trd_car_hh2_87</v>
      </c>
      <c r="V194" t="str">
        <f ca="1" t="shared" si="51"/>
        <v>Medium size hydrogen fuel cell -- 0.87</v>
      </c>
      <c r="W194" s="372" t="s">
        <v>85</v>
      </c>
      <c r="X194" s="372" t="s">
        <v>86</v>
      </c>
    </row>
    <row r="195" spans="2:24">
      <c r="B195" s="415">
        <v>0.82501106222268</v>
      </c>
      <c r="C195" s="86">
        <v>54058.2346435814</v>
      </c>
      <c r="D195" s="86">
        <v>36491.6738963226</v>
      </c>
      <c r="E195" s="86">
        <v>30434.2127995621</v>
      </c>
      <c r="F195" s="86">
        <v>28951.1024539652</v>
      </c>
      <c r="G195" s="75">
        <f t="shared" si="49"/>
        <v>0.990013274667216</v>
      </c>
      <c r="H195" s="75"/>
      <c r="I195" s="366">
        <f t="shared" si="50"/>
        <v>2.16732378537974</v>
      </c>
      <c r="J195" t="str">
        <f t="shared" si="33"/>
        <v>Trd_car_hh2</v>
      </c>
      <c r="K195" t="str">
        <f t="shared" si="34"/>
        <v>Trd_car_hh2_83</v>
      </c>
      <c r="L195" t="str">
        <f t="shared" si="35"/>
        <v>Trd_car</v>
      </c>
      <c r="M195" s="374">
        <f t="shared" si="36"/>
        <v>54058.2346435814</v>
      </c>
      <c r="N195" s="374">
        <f t="shared" si="37"/>
        <v>36491.6738963226</v>
      </c>
      <c r="O195" s="374">
        <f t="shared" si="38"/>
        <v>30434.2127995621</v>
      </c>
      <c r="P195" s="374">
        <f t="shared" si="39"/>
        <v>28951.1024539652</v>
      </c>
      <c r="R195" s="370"/>
      <c r="U195" t="str">
        <f t="shared" si="43"/>
        <v>Trd_car_hh2_83</v>
      </c>
      <c r="V195" t="str">
        <f ca="1" t="shared" si="51"/>
        <v>Medium size hydrogen fuel cell -- 0.83</v>
      </c>
      <c r="W195" s="372" t="s">
        <v>85</v>
      </c>
      <c r="X195" s="372" t="s">
        <v>86</v>
      </c>
    </row>
    <row r="196" spans="2:24">
      <c r="B196" s="415">
        <v>0.786871206559271</v>
      </c>
      <c r="C196" s="86">
        <v>54564.0905053834</v>
      </c>
      <c r="D196" s="86">
        <v>37995.8021232778</v>
      </c>
      <c r="E196" s="86">
        <v>30618.568200259</v>
      </c>
      <c r="F196" s="86">
        <v>29130.4752762648</v>
      </c>
      <c r="G196" s="75">
        <f t="shared" si="49"/>
        <v>0.944245447871125</v>
      </c>
      <c r="H196" s="75"/>
      <c r="I196" s="366">
        <f t="shared" si="50"/>
        <v>2.27237454293853</v>
      </c>
      <c r="J196" t="str">
        <f t="shared" si="33"/>
        <v>Trd_car_hh2</v>
      </c>
      <c r="K196" t="str">
        <f t="shared" si="34"/>
        <v>Trd_car_hh2_79</v>
      </c>
      <c r="L196" t="str">
        <f t="shared" si="35"/>
        <v>Trd_car</v>
      </c>
      <c r="M196" s="374">
        <f t="shared" si="36"/>
        <v>54564.0905053834</v>
      </c>
      <c r="N196" s="374">
        <f t="shared" si="37"/>
        <v>37995.8021232778</v>
      </c>
      <c r="O196" s="374">
        <f t="shared" si="38"/>
        <v>30618.568200259</v>
      </c>
      <c r="P196" s="374">
        <f t="shared" si="39"/>
        <v>29130.4752762648</v>
      </c>
      <c r="R196" s="370"/>
      <c r="U196" t="str">
        <f t="shared" si="43"/>
        <v>Trd_car_hh2_79</v>
      </c>
      <c r="V196" t="str">
        <f ca="1" t="shared" si="51"/>
        <v>Medium size hydrogen fuel cell -- 0.79</v>
      </c>
      <c r="W196" s="372" t="s">
        <v>85</v>
      </c>
      <c r="X196" s="372" t="s">
        <v>86</v>
      </c>
    </row>
    <row r="197" spans="2:24">
      <c r="B197" s="415">
        <v>0.754006011785482</v>
      </c>
      <c r="C197" s="86">
        <v>54852.8037817166</v>
      </c>
      <c r="D197" s="86">
        <v>38223.0917586269</v>
      </c>
      <c r="E197" s="86">
        <v>30802.9236009559</v>
      </c>
      <c r="F197" s="86">
        <v>29309.8480985645</v>
      </c>
      <c r="G197" s="75">
        <f t="shared" si="49"/>
        <v>0.904807214142578</v>
      </c>
      <c r="H197" s="75"/>
      <c r="I197" s="366">
        <f t="shared" si="50"/>
        <v>2.37142154095361</v>
      </c>
      <c r="J197" t="str">
        <f t="shared" si="33"/>
        <v>Trd_car_hh2</v>
      </c>
      <c r="K197" t="str">
        <f t="shared" si="34"/>
        <v>Trd_car_hh2_75</v>
      </c>
      <c r="L197" t="str">
        <f t="shared" si="35"/>
        <v>Trd_car</v>
      </c>
      <c r="M197" s="374">
        <f t="shared" si="36"/>
        <v>54852.8037817166</v>
      </c>
      <c r="N197" s="374">
        <f t="shared" si="37"/>
        <v>38223.0917586269</v>
      </c>
      <c r="O197" s="374">
        <f t="shared" si="38"/>
        <v>30802.9236009559</v>
      </c>
      <c r="P197" s="374">
        <f t="shared" si="39"/>
        <v>29309.8480985645</v>
      </c>
      <c r="R197" s="370"/>
      <c r="U197" t="str">
        <f t="shared" si="43"/>
        <v>Trd_car_hh2_75</v>
      </c>
      <c r="V197" t="str">
        <f ca="1" t="shared" si="51"/>
        <v>Medium size hydrogen fuel cell -- 0.75</v>
      </c>
      <c r="W197" s="372" t="s">
        <v>85</v>
      </c>
      <c r="X197" s="372" t="s">
        <v>86</v>
      </c>
    </row>
    <row r="198" spans="2:24">
      <c r="B198" s="415">
        <v>0.722222798732641</v>
      </c>
      <c r="C198" s="86">
        <v>55141.5170580497</v>
      </c>
      <c r="D198" s="86">
        <v>38450.381393976</v>
      </c>
      <c r="E198" s="86">
        <v>30987.2790016527</v>
      </c>
      <c r="F198" s="86">
        <v>29489.2209208641</v>
      </c>
      <c r="G198" s="75">
        <f t="shared" si="49"/>
        <v>0.866667358479169</v>
      </c>
      <c r="H198" s="75"/>
      <c r="I198" s="366">
        <f t="shared" si="50"/>
        <v>2.47578185221281</v>
      </c>
      <c r="J198" t="str">
        <f t="shared" si="33"/>
        <v>Trd_car_hh2</v>
      </c>
      <c r="K198" t="str">
        <f t="shared" si="34"/>
        <v>Trd_car_hh2_72</v>
      </c>
      <c r="L198" t="str">
        <f t="shared" si="35"/>
        <v>Trd_car</v>
      </c>
      <c r="M198" s="374">
        <f t="shared" si="36"/>
        <v>55141.5170580497</v>
      </c>
      <c r="N198" s="374">
        <f t="shared" si="37"/>
        <v>38450.381393976</v>
      </c>
      <c r="O198" s="374">
        <f t="shared" si="38"/>
        <v>30987.2790016527</v>
      </c>
      <c r="P198" s="374">
        <f t="shared" si="39"/>
        <v>29489.2209208641</v>
      </c>
      <c r="R198" s="370"/>
      <c r="U198" t="str">
        <f t="shared" si="43"/>
        <v>Trd_car_hh2_72</v>
      </c>
      <c r="V198" t="str">
        <f ca="1" t="shared" si="51"/>
        <v>Medium size hydrogen fuel cell -- 0.72</v>
      </c>
      <c r="W198" s="372" t="s">
        <v>85</v>
      </c>
      <c r="X198" s="372" t="s">
        <v>86</v>
      </c>
    </row>
    <row r="199" spans="2:24">
      <c r="B199" s="415">
        <v>0.695849494284539</v>
      </c>
      <c r="C199" s="86">
        <v>55430.2303343829</v>
      </c>
      <c r="D199" s="86">
        <v>38677.6710293252</v>
      </c>
      <c r="E199" s="86">
        <v>31171.6344023496</v>
      </c>
      <c r="F199" s="86">
        <v>29668.5937431638</v>
      </c>
      <c r="G199" s="75">
        <f t="shared" si="49"/>
        <v>0.835019393141447</v>
      </c>
      <c r="H199" s="75"/>
      <c r="I199" s="366">
        <f t="shared" si="50"/>
        <v>2.56961614981854</v>
      </c>
      <c r="J199" t="str">
        <f t="shared" si="33"/>
        <v>Trd_car_hh2</v>
      </c>
      <c r="K199" t="str">
        <f t="shared" si="34"/>
        <v>Trd_car_hh2_70</v>
      </c>
      <c r="L199" t="str">
        <f t="shared" si="35"/>
        <v>Trd_car</v>
      </c>
      <c r="M199" s="374">
        <f t="shared" si="36"/>
        <v>55430.2303343829</v>
      </c>
      <c r="N199" s="374">
        <f t="shared" si="37"/>
        <v>38677.6710293252</v>
      </c>
      <c r="O199" s="374">
        <f t="shared" si="38"/>
        <v>31171.6344023496</v>
      </c>
      <c r="P199" s="374">
        <f t="shared" si="39"/>
        <v>29668.5937431638</v>
      </c>
      <c r="R199" s="370"/>
      <c r="U199" t="str">
        <f t="shared" si="43"/>
        <v>Trd_car_hh2_70</v>
      </c>
      <c r="V199" t="str">
        <f ca="1" t="shared" si="51"/>
        <v>Medium size hydrogen fuel cell -- 0.70</v>
      </c>
      <c r="W199" s="372" t="s">
        <v>85</v>
      </c>
      <c r="X199" s="372" t="s">
        <v>86</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76" zoomScaleNormal="76" topLeftCell="C1" workbookViewId="0">
      <selection activeCell="Q18" sqref="Q18"/>
    </sheetView>
  </sheetViews>
  <sheetFormatPr defaultColWidth="9" defaultRowHeight="14.5"/>
  <cols>
    <col min="1" max="1" width="7.6" customWidth="1"/>
    <col min="2" max="2" width="38.2636363636364" style="97" customWidth="1"/>
    <col min="3" max="3" width="29.1818181818182"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55" t="s">
        <v>10</v>
      </c>
      <c r="C1" s="356"/>
      <c r="D1" s="356"/>
      <c r="E1" s="356"/>
      <c r="F1" s="357"/>
      <c r="Q1" t="s">
        <v>42</v>
      </c>
      <c r="R1" t="s">
        <v>96</v>
      </c>
      <c r="S1" t="str">
        <f>"Trd_lcv_"&amp;Q1</f>
        <v>Trd_lcv_gsl</v>
      </c>
    </row>
    <row r="2" spans="2:24">
      <c r="B2" s="35" t="s">
        <v>9</v>
      </c>
      <c r="C2" s="36"/>
      <c r="D2" s="36"/>
      <c r="E2" s="36"/>
      <c r="F2" s="36"/>
      <c r="Q2" t="s">
        <v>45</v>
      </c>
      <c r="R2" t="s">
        <v>97</v>
      </c>
      <c r="S2" t="str">
        <f t="shared" ref="S2:S10" si="0">"Trd_lcv_"&amp;Q2</f>
        <v>Trd_lcv_gsl-hyb</v>
      </c>
    </row>
    <row r="3" spans="2:24">
      <c r="B3" s="407"/>
      <c r="C3" s="408"/>
      <c r="D3" s="407"/>
      <c r="E3" s="407"/>
      <c r="F3" s="407"/>
      <c r="Q3" t="s">
        <v>48</v>
      </c>
      <c r="R3" t="s">
        <v>98</v>
      </c>
      <c r="S3" t="str">
        <f t="shared" si="0"/>
        <v>Trd_lcv_gsl-pih</v>
      </c>
    </row>
    <row r="4" spans="2:24">
      <c r="B4" s="407"/>
      <c r="C4" s="408"/>
      <c r="D4" s="407"/>
      <c r="E4" s="407"/>
      <c r="F4" s="407"/>
      <c r="Q4" t="s">
        <v>51</v>
      </c>
      <c r="R4" t="s">
        <v>99</v>
      </c>
      <c r="S4" t="str">
        <f t="shared" si="0"/>
        <v>Trd_lcv_dsl</v>
      </c>
    </row>
    <row r="5" spans="2:24">
      <c r="B5" s="407"/>
      <c r="C5" s="408"/>
      <c r="D5" s="407"/>
      <c r="E5" s="407"/>
      <c r="F5" s="407"/>
      <c r="Q5" t="s">
        <v>54</v>
      </c>
      <c r="R5" t="s">
        <v>100</v>
      </c>
      <c r="S5" t="str">
        <f t="shared" si="0"/>
        <v>Trd_lcv_dsl-hyb</v>
      </c>
    </row>
    <row r="6" spans="2:24">
      <c r="B6" s="407"/>
      <c r="C6" s="408"/>
      <c r="D6" s="407"/>
      <c r="E6" s="407"/>
      <c r="F6" s="407"/>
      <c r="Q6" t="s">
        <v>57</v>
      </c>
      <c r="R6" t="s">
        <v>101</v>
      </c>
      <c r="S6" t="str">
        <f t="shared" si="0"/>
        <v>Trd_lcv_dsl-pih</v>
      </c>
    </row>
    <row r="7" spans="2:24">
      <c r="F7" s="384">
        <f>31536000/10^9</f>
        <v>0.031536</v>
      </c>
      <c r="G7" s="363" t="s">
        <v>47</v>
      </c>
      <c r="H7" s="363"/>
      <c r="Q7" t="s">
        <v>59</v>
      </c>
      <c r="R7" t="s">
        <v>102</v>
      </c>
      <c r="S7" t="str">
        <f t="shared" si="0"/>
        <v>Trd_lcv_cng</v>
      </c>
    </row>
    <row r="8" spans="2:24">
      <c r="F8" s="363">
        <v>0.038</v>
      </c>
      <c r="G8" s="363" t="s">
        <v>50</v>
      </c>
      <c r="H8" s="363"/>
      <c r="Q8" t="s">
        <v>61</v>
      </c>
      <c r="R8" t="s">
        <v>103</v>
      </c>
      <c r="S8" t="str">
        <f>"\I:Trd_lcv_"&amp;Q8</f>
        <v>\I:Trd_lcv_lpg</v>
      </c>
    </row>
    <row r="9" ht="15" customHeight="1" spans="2:24">
      <c r="B9" s="44" t="s">
        <v>104</v>
      </c>
      <c r="F9" s="364">
        <f>1.406/26.137</f>
        <v>0.053793472854574</v>
      </c>
      <c r="G9" s="363" t="s">
        <v>53</v>
      </c>
      <c r="H9" s="363"/>
      <c r="Q9" t="s">
        <v>66</v>
      </c>
      <c r="R9" t="s">
        <v>105</v>
      </c>
      <c r="S9" t="str">
        <f t="shared" si="0"/>
        <v>Trd_lcv_elc</v>
      </c>
    </row>
    <row r="10" spans="2:24">
      <c r="B10" s="45">
        <v>2015</v>
      </c>
      <c r="C10" s="365"/>
      <c r="D10" s="45"/>
      <c r="F10" s="364">
        <v>0.02559</v>
      </c>
      <c r="G10" s="363" t="s">
        <v>56</v>
      </c>
      <c r="H10" s="363"/>
      <c r="Q10" t="s">
        <v>68</v>
      </c>
      <c r="R10" t="s">
        <v>106</v>
      </c>
      <c r="S10" t="str">
        <f t="shared" si="0"/>
        <v>Trd_lcv_hh2</v>
      </c>
    </row>
    <row r="11" spans="2:24">
      <c r="B11" s="46" t="s">
        <v>12</v>
      </c>
      <c r="C11" s="47" t="s">
        <v>13</v>
      </c>
      <c r="D11" s="48">
        <v>8.50782554565738</v>
      </c>
      <c r="G11" s="75">
        <f>D11*$F$7/100*10^9/10^6</f>
        <v>2.68302786407851</v>
      </c>
      <c r="H11" s="75"/>
      <c r="I11" s="366">
        <f>1/G11</f>
        <v>0.372713236932204</v>
      </c>
      <c r="J11" s="366"/>
    </row>
    <row r="12" spans="2:24">
      <c r="B12" s="46" t="s">
        <v>14</v>
      </c>
      <c r="C12" s="47" t="s">
        <v>15</v>
      </c>
      <c r="D12" s="68">
        <v>17407.9785320185</v>
      </c>
      <c r="I12" s="377" t="s">
        <v>70</v>
      </c>
      <c r="J12" s="377"/>
    </row>
    <row r="13" spans="2:24">
      <c r="B13" s="391"/>
      <c r="C13" s="392"/>
      <c r="D13" s="393"/>
      <c r="I13" s="377"/>
      <c r="J13" s="377"/>
    </row>
    <row r="14" ht="15.25" spans="2:24">
      <c r="K14" s="368" t="s">
        <v>71</v>
      </c>
      <c r="T14" s="368" t="s">
        <v>72</v>
      </c>
      <c r="U14" s="369"/>
      <c r="V14" s="369"/>
      <c r="W14" s="369"/>
      <c r="X14" s="369"/>
    </row>
    <row r="15" spans="2:24">
      <c r="I15" t="s">
        <v>73</v>
      </c>
      <c r="J15" t="s">
        <v>74</v>
      </c>
      <c r="K15" t="s">
        <v>75</v>
      </c>
      <c r="L15" t="s">
        <v>76</v>
      </c>
      <c r="M15">
        <f>C19</f>
        <v>2020</v>
      </c>
      <c r="N15">
        <f>D19</f>
        <v>2030</v>
      </c>
      <c r="O15">
        <f>E19</f>
        <v>2040</v>
      </c>
      <c r="P15" t="s">
        <v>77</v>
      </c>
      <c r="R15" s="370" t="s">
        <v>78</v>
      </c>
      <c r="T15" s="369" t="s">
        <v>79</v>
      </c>
      <c r="U15" s="369" t="s">
        <v>80</v>
      </c>
      <c r="V15" s="369" t="s">
        <v>81</v>
      </c>
      <c r="W15" s="369" t="s">
        <v>82</v>
      </c>
      <c r="X15" s="369" t="s">
        <v>83</v>
      </c>
    </row>
    <row r="16" ht="15" customHeight="1" spans="2:24">
      <c r="B16" s="49" t="s">
        <v>16</v>
      </c>
      <c r="C16" s="371" t="s">
        <v>96</v>
      </c>
      <c r="D16" s="49"/>
      <c r="E16" s="49"/>
      <c r="F16" s="49"/>
      <c r="J16" t="str">
        <f>IFERROR(VLOOKUP(C16,$R$1:$S$10,2,FALSE),J14)</f>
        <v>Trd_lcv_gsl</v>
      </c>
      <c r="K16" t="str">
        <f>IFERROR(IF(VALUE(C16)&gt;2020,J16&amp;"_"&amp;TEXT(B16*100,"00"),"\I:"),"\I:")</f>
        <v>\I:</v>
      </c>
      <c r="L16" t="str">
        <f>LEFT(K16,7)</f>
        <v>\I:</v>
      </c>
      <c r="M16" s="374" t="str">
        <f>IF($K16="\I:","",C16)</f>
        <v/>
      </c>
      <c r="N16" s="374" t="str">
        <f>IF($K16="\I:","",D16)</f>
        <v/>
      </c>
      <c r="O16" s="374" t="str">
        <f>IF($K16="\I:","",E16)</f>
        <v/>
      </c>
      <c r="P16" s="374" t="str">
        <f>IF($K16="\I:","",F16)</f>
        <v/>
      </c>
      <c r="R16" s="409"/>
      <c r="S16" s="410"/>
      <c r="T16" t="s">
        <v>84</v>
      </c>
      <c r="U16" t="str">
        <f t="shared" ref="U16:U47" si="1">K16</f>
        <v>\I:</v>
      </c>
      <c r="V16" t="str">
        <f ca="1" t="shared" ref="V16:V47" si="2">OFFSET($S$1,MATCH(J16,$S$1:$S$10,0)-1,-1)&amp;" -- "&amp;TEXT(B16,"00%")</f>
        <v>ICE gasoline LCV -- Reduction of specific energy consumption relative to 2015 gasoline vehicle (%)</v>
      </c>
      <c r="W16" s="372" t="s">
        <v>85</v>
      </c>
      <c r="X16" s="372" t="s">
        <v>86</v>
      </c>
    </row>
    <row r="17" spans="2:24">
      <c r="B17" s="49"/>
      <c r="C17" s="371"/>
      <c r="D17" s="49"/>
      <c r="E17" s="49"/>
      <c r="F17" s="49"/>
      <c r="J17" t="str">
        <f>IFERROR(VLOOKUP(C17,$R$1:$S$10,2,FALSE),J16)</f>
        <v>Trd_lcv_gsl</v>
      </c>
      <c r="K17" t="str">
        <f t="shared" ref="K17:K80" si="3">IFERROR(IF(VALUE(C17)&gt;2020,J17&amp;"_"&amp;TEXT(B17*100,"00"),"\I:"),"\I:")</f>
        <v>\I:</v>
      </c>
      <c r="L17" t="str">
        <f t="shared" ref="L17:L80" si="4">LEFT(K17,7)</f>
        <v>\I:</v>
      </c>
      <c r="M17" s="374" t="str">
        <f t="shared" ref="M17:M25" si="5">IF($K17="\I:","",C17)</f>
        <v/>
      </c>
      <c r="N17" s="374" t="str">
        <f t="shared" ref="N17:P18" si="6">IF($K17="\I:","",D17)</f>
        <v/>
      </c>
      <c r="O17" s="374" t="str">
        <f t="shared" si="6"/>
        <v/>
      </c>
      <c r="P17" s="374" t="str">
        <f t="shared" si="6"/>
        <v/>
      </c>
      <c r="R17" s="409"/>
      <c r="S17" s="374"/>
      <c r="T17" t="s">
        <v>84</v>
      </c>
      <c r="U17" t="str">
        <f t="shared" si="1"/>
        <v>\I:</v>
      </c>
      <c r="V17" t="str">
        <f ca="1" t="shared" si="2"/>
        <v>ICE gasoline LCV -- 00%</v>
      </c>
      <c r="W17" s="372" t="s">
        <v>85</v>
      </c>
      <c r="X17" s="372" t="s">
        <v>86</v>
      </c>
    </row>
    <row r="18" spans="2:24">
      <c r="B18" s="49"/>
      <c r="C18" s="371"/>
      <c r="D18" s="49"/>
      <c r="E18" s="49"/>
      <c r="F18" s="49"/>
      <c r="J18" t="str">
        <f>IFERROR(VLOOKUP(C18,$R$1:$S$10,2,FALSE),J17)</f>
        <v>Trd_lcv_gsl</v>
      </c>
      <c r="K18" t="str">
        <f t="shared" si="3"/>
        <v>\I:</v>
      </c>
      <c r="L18" t="str">
        <f t="shared" si="4"/>
        <v>\I:</v>
      </c>
      <c r="M18" s="374" t="str">
        <f t="shared" si="5"/>
        <v/>
      </c>
      <c r="N18" s="374" t="str">
        <f t="shared" si="6"/>
        <v/>
      </c>
      <c r="O18" s="374" t="str">
        <f t="shared" si="6"/>
        <v/>
      </c>
      <c r="P18" s="374" t="str">
        <f t="shared" si="6"/>
        <v/>
      </c>
      <c r="R18" s="409"/>
      <c r="S18" s="374"/>
      <c r="T18" t="s">
        <v>84</v>
      </c>
      <c r="U18" t="str">
        <f t="shared" si="1"/>
        <v>\I:</v>
      </c>
      <c r="V18" t="str">
        <f ca="1" t="shared" si="2"/>
        <v>ICE gasoline LCV -- 00%</v>
      </c>
      <c r="W18" s="372" t="s">
        <v>85</v>
      </c>
      <c r="X18" s="372" t="s">
        <v>86</v>
      </c>
    </row>
    <row r="19" spans="2:24">
      <c r="B19" s="88"/>
      <c r="C19" s="411">
        <v>2020</v>
      </c>
      <c r="D19" s="51">
        <v>2030</v>
      </c>
      <c r="E19" s="51">
        <v>2040</v>
      </c>
      <c r="F19" s="51">
        <v>2050</v>
      </c>
      <c r="I19" s="366">
        <v>1</v>
      </c>
      <c r="J19" s="44" t="str">
        <f t="shared" ref="J19" si="7">IFERROR(VLOOKUP(C19,$R$1:$S$11,2,FALSE),J18)</f>
        <v>Trd_lcv_gsl</v>
      </c>
      <c r="K19" s="44" t="str">
        <f>IFERROR(IF(VALUE(C19)&gt;200,J19&amp;"_"&amp;TEXT(B19*100,"00"),"\I:"),"\I:")</f>
        <v>Trd_lcv_gsl_00</v>
      </c>
      <c r="L19" t="str">
        <f t="shared" si="4"/>
        <v>Trd_lcv</v>
      </c>
      <c r="M19" s="412">
        <f>D12</f>
        <v>17407.9785320185</v>
      </c>
      <c r="N19" s="374"/>
      <c r="O19" s="374"/>
      <c r="P19" s="374"/>
      <c r="R19" s="409"/>
      <c r="S19" s="374"/>
      <c r="T19" t="s">
        <v>84</v>
      </c>
      <c r="U19" t="str">
        <f t="shared" si="1"/>
        <v>Trd_lcv_gsl_00</v>
      </c>
      <c r="V19" t="str">
        <f ca="1" t="shared" si="2"/>
        <v>ICE gasoline LCV -- 00%</v>
      </c>
      <c r="W19" s="372" t="s">
        <v>85</v>
      </c>
      <c r="X19" s="372" t="s">
        <v>86</v>
      </c>
    </row>
    <row r="20" spans="2:24">
      <c r="B20" s="85">
        <v>0.145560583753408</v>
      </c>
      <c r="C20" s="413">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74">
        <f t="shared" si="5"/>
        <v>17878.5978132433</v>
      </c>
      <c r="N20" s="374">
        <f t="shared" ref="N20:P25" si="9">IF($K20="\I:","",D20)</f>
        <v>17417.4266041105</v>
      </c>
      <c r="O20" s="374">
        <f t="shared" si="9"/>
        <v>17417.4266041105</v>
      </c>
      <c r="P20" s="374">
        <f t="shared" si="9"/>
        <v>17417.4266041105</v>
      </c>
      <c r="R20" s="409"/>
      <c r="S20" s="374"/>
      <c r="T20" t="s">
        <v>84</v>
      </c>
      <c r="U20" t="str">
        <f t="shared" si="1"/>
        <v>Trd_lcv_gsl_15</v>
      </c>
      <c r="V20" t="str">
        <f ca="1" t="shared" si="2"/>
        <v>ICE gasoline LCV -- 15%</v>
      </c>
      <c r="W20" s="372" t="s">
        <v>85</v>
      </c>
      <c r="X20" s="372" t="s">
        <v>86</v>
      </c>
    </row>
    <row r="21" spans="2:24">
      <c r="B21" s="85">
        <v>0.245560583753408</v>
      </c>
      <c r="C21" s="413">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74">
        <f t="shared" si="5"/>
        <v>19243.4316461009</v>
      </c>
      <c r="N21" s="374">
        <f t="shared" si="9"/>
        <v>17966.6005607638</v>
      </c>
      <c r="O21" s="374">
        <f t="shared" si="9"/>
        <v>17966.6005607638</v>
      </c>
      <c r="P21" s="374">
        <f t="shared" si="9"/>
        <v>17966.6005607638</v>
      </c>
      <c r="R21" s="409"/>
      <c r="S21" s="374"/>
      <c r="T21" t="s">
        <v>84</v>
      </c>
      <c r="U21" t="str">
        <f t="shared" si="1"/>
        <v>Trd_lcv_gsl_25</v>
      </c>
      <c r="V21" t="str">
        <f ca="1" t="shared" si="2"/>
        <v>ICE gasoline LCV -- 25%</v>
      </c>
      <c r="W21" s="372" t="s">
        <v>85</v>
      </c>
      <c r="X21" s="372" t="s">
        <v>86</v>
      </c>
    </row>
    <row r="22" spans="2:24">
      <c r="B22" s="85">
        <v>0.345560583753408</v>
      </c>
      <c r="C22" s="413">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74">
        <f t="shared" si="5"/>
        <v>24327.6038120321</v>
      </c>
      <c r="N22" s="374">
        <f t="shared" si="9"/>
        <v>19194.380760066</v>
      </c>
      <c r="O22" s="374">
        <f t="shared" si="9"/>
        <v>19194.380760066</v>
      </c>
      <c r="P22" s="374">
        <f t="shared" si="9"/>
        <v>19194.380760066</v>
      </c>
      <c r="R22" s="409"/>
      <c r="S22" s="374"/>
      <c r="T22" t="s">
        <v>84</v>
      </c>
      <c r="U22" t="str">
        <f t="shared" si="1"/>
        <v>Trd_lcv_gsl_35</v>
      </c>
      <c r="V22" t="str">
        <f ca="1" t="shared" si="2"/>
        <v>ICE gasoline LCV -- 35%</v>
      </c>
      <c r="W22" s="372" t="s">
        <v>85</v>
      </c>
      <c r="X22" s="372" t="s">
        <v>86</v>
      </c>
    </row>
    <row r="23" spans="2:24">
      <c r="B23" s="85">
        <v>0.395560583753408</v>
      </c>
      <c r="C23" s="413">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74">
        <f t="shared" si="5"/>
        <v>32775.022169116</v>
      </c>
      <c r="N23" s="374">
        <f t="shared" si="9"/>
        <v>21558.4773052488</v>
      </c>
      <c r="O23" s="374">
        <f t="shared" si="9"/>
        <v>21558.4773052488</v>
      </c>
      <c r="P23" s="374">
        <f t="shared" si="9"/>
        <v>21558.4773052488</v>
      </c>
      <c r="R23" s="409"/>
      <c r="S23" s="374"/>
      <c r="T23" t="s">
        <v>84</v>
      </c>
      <c r="U23" t="str">
        <f t="shared" si="1"/>
        <v>Trd_lcv_gsl_40</v>
      </c>
      <c r="V23" t="str">
        <f ca="1" t="shared" si="2"/>
        <v>ICE gasoline LCV -- 40%</v>
      </c>
      <c r="W23" s="372" t="s">
        <v>85</v>
      </c>
      <c r="X23" s="372" t="s">
        <v>86</v>
      </c>
    </row>
    <row r="24" spans="2:24">
      <c r="B24" s="85">
        <v>0.445560583753408</v>
      </c>
      <c r="C24" s="413">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74">
        <f t="shared" si="5"/>
        <v>99589.7033153908</v>
      </c>
      <c r="N24" s="374">
        <f t="shared" si="9"/>
        <v>26988.3309410172</v>
      </c>
      <c r="O24" s="374">
        <f t="shared" si="9"/>
        <v>26988.3309410172</v>
      </c>
      <c r="P24" s="374">
        <f t="shared" si="9"/>
        <v>26988.3309410172</v>
      </c>
      <c r="R24" s="409"/>
      <c r="S24" s="374"/>
      <c r="T24" t="s">
        <v>84</v>
      </c>
      <c r="U24" t="str">
        <f t="shared" si="1"/>
        <v>Trd_lcv_gsl_45</v>
      </c>
      <c r="V24" t="str">
        <f ca="1" t="shared" si="2"/>
        <v>ICE gasoline LCV -- 45%</v>
      </c>
      <c r="W24" s="372" t="s">
        <v>85</v>
      </c>
      <c r="X24" s="372" t="s">
        <v>86</v>
      </c>
    </row>
    <row r="25" spans="2:24">
      <c r="B25" s="85">
        <v>0.495560583753408</v>
      </c>
      <c r="C25" s="413">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74">
        <f t="shared" si="5"/>
        <v>116875.343716562</v>
      </c>
      <c r="N25" s="374">
        <f t="shared" si="9"/>
        <v>78477.0793321692</v>
      </c>
      <c r="O25" s="374">
        <f t="shared" si="9"/>
        <v>78477.0793321692</v>
      </c>
      <c r="P25" s="374">
        <f t="shared" si="9"/>
        <v>78477.0793321692</v>
      </c>
      <c r="R25" s="409"/>
      <c r="S25" s="374"/>
      <c r="T25" t="s">
        <v>84</v>
      </c>
      <c r="U25" t="str">
        <f t="shared" si="1"/>
        <v>Trd_lcv_gsl_50</v>
      </c>
      <c r="V25" t="str">
        <f ca="1" t="shared" si="2"/>
        <v>ICE gasoline LCV -- 50%</v>
      </c>
      <c r="W25" s="372" t="s">
        <v>85</v>
      </c>
      <c r="X25" s="372" t="s">
        <v>86</v>
      </c>
    </row>
    <row r="26" spans="2:24">
      <c r="D26" s="97"/>
      <c r="E26" s="97"/>
      <c r="F26" s="97"/>
      <c r="J26" t="str">
        <f t="shared" si="8"/>
        <v>Trd_lcv_gsl</v>
      </c>
      <c r="K26" t="str">
        <f t="shared" si="3"/>
        <v>\I:</v>
      </c>
      <c r="L26" t="str">
        <f t="shared" si="4"/>
        <v>\I:</v>
      </c>
      <c r="M26" s="374" t="str">
        <f t="shared" ref="M26:M89" si="11">IF($K26="\I:","",C26)</f>
        <v/>
      </c>
      <c r="N26" s="374" t="str">
        <f t="shared" ref="N26:N89" si="12">IF($K26="\I:","",D26)</f>
        <v/>
      </c>
      <c r="O26" s="374" t="str">
        <f t="shared" ref="O26:O89" si="13">IF($K26="\I:","",E26)</f>
        <v/>
      </c>
      <c r="P26" s="374" t="str">
        <f t="shared" ref="P26:P89" si="14">IF($K26="\I:","",F26)</f>
        <v/>
      </c>
      <c r="R26" s="370"/>
      <c r="U26" t="str">
        <f t="shared" si="1"/>
        <v>\I:</v>
      </c>
      <c r="V26" t="str">
        <f ca="1" t="shared" si="2"/>
        <v>ICE gasoline LCV -- 00%</v>
      </c>
      <c r="W26" s="372" t="s">
        <v>85</v>
      </c>
      <c r="X26" s="372" t="s">
        <v>86</v>
      </c>
    </row>
    <row r="27" spans="2:24">
      <c r="J27" t="str">
        <f t="shared" si="8"/>
        <v>Trd_lcv_gsl</v>
      </c>
      <c r="K27" t="str">
        <f t="shared" si="3"/>
        <v>\I:</v>
      </c>
      <c r="L27" t="str">
        <f t="shared" si="4"/>
        <v>\I:</v>
      </c>
      <c r="M27" s="374" t="str">
        <f t="shared" si="11"/>
        <v/>
      </c>
      <c r="N27" s="374" t="str">
        <f t="shared" si="12"/>
        <v/>
      </c>
      <c r="O27" s="374" t="str">
        <f t="shared" si="13"/>
        <v/>
      </c>
      <c r="P27" s="374" t="str">
        <f t="shared" si="14"/>
        <v/>
      </c>
      <c r="R27" s="370"/>
      <c r="U27" t="str">
        <f t="shared" si="1"/>
        <v>\I:</v>
      </c>
      <c r="V27" t="str">
        <f ca="1" t="shared" si="2"/>
        <v>ICE gasoline LCV -- 00%</v>
      </c>
      <c r="W27" s="372" t="s">
        <v>85</v>
      </c>
      <c r="X27" s="372" t="s">
        <v>86</v>
      </c>
    </row>
    <row r="28" spans="2:24">
      <c r="J28" t="str">
        <f t="shared" si="8"/>
        <v>Trd_lcv_gsl</v>
      </c>
      <c r="K28" t="str">
        <f t="shared" si="3"/>
        <v>\I:</v>
      </c>
      <c r="L28" t="str">
        <f t="shared" si="4"/>
        <v>\I:</v>
      </c>
      <c r="M28" s="374" t="str">
        <f t="shared" si="11"/>
        <v/>
      </c>
      <c r="N28" s="374" t="str">
        <f t="shared" si="12"/>
        <v/>
      </c>
      <c r="O28" s="374" t="str">
        <f t="shared" si="13"/>
        <v/>
      </c>
      <c r="P28" s="374" t="str">
        <f t="shared" si="14"/>
        <v/>
      </c>
      <c r="R28" s="370"/>
      <c r="U28" t="str">
        <f t="shared" si="1"/>
        <v>\I:</v>
      </c>
      <c r="V28" t="str">
        <f ca="1" t="shared" si="2"/>
        <v>ICE gasoline LCV -- 00%</v>
      </c>
      <c r="W28" s="372" t="s">
        <v>85</v>
      </c>
      <c r="X28" s="372" t="s">
        <v>86</v>
      </c>
    </row>
    <row r="29" spans="2:24">
      <c r="J29" t="str">
        <f t="shared" si="8"/>
        <v>Trd_lcv_gsl</v>
      </c>
      <c r="K29" t="str">
        <f t="shared" si="3"/>
        <v>\I:</v>
      </c>
      <c r="L29" t="str">
        <f t="shared" si="4"/>
        <v>\I:</v>
      </c>
      <c r="M29" s="374" t="str">
        <f t="shared" si="11"/>
        <v/>
      </c>
      <c r="N29" s="374" t="str">
        <f t="shared" si="12"/>
        <v/>
      </c>
      <c r="O29" s="374" t="str">
        <f t="shared" si="13"/>
        <v/>
      </c>
      <c r="P29" s="374" t="str">
        <f t="shared" si="14"/>
        <v/>
      </c>
      <c r="R29" s="370"/>
      <c r="U29" t="str">
        <f t="shared" si="1"/>
        <v>\I:</v>
      </c>
      <c r="V29" t="str">
        <f ca="1" t="shared" si="2"/>
        <v>ICE gasoline LCV -- 00%</v>
      </c>
      <c r="W29" s="372" t="s">
        <v>85</v>
      </c>
      <c r="X29" s="372" t="s">
        <v>86</v>
      </c>
    </row>
    <row r="30" ht="15" customHeight="1" spans="2:24">
      <c r="B30" s="49" t="s">
        <v>16</v>
      </c>
      <c r="C30" s="371" t="s">
        <v>97</v>
      </c>
      <c r="D30" s="49"/>
      <c r="E30" s="49"/>
      <c r="F30" s="49"/>
      <c r="J30" t="str">
        <f t="shared" si="8"/>
        <v>Trd_lcv_gsl-hyb</v>
      </c>
      <c r="K30" t="str">
        <f t="shared" si="3"/>
        <v>\I:</v>
      </c>
      <c r="L30" t="str">
        <f t="shared" si="4"/>
        <v>\I:</v>
      </c>
      <c r="M30" s="374" t="str">
        <f t="shared" si="11"/>
        <v/>
      </c>
      <c r="N30" s="374" t="str">
        <f t="shared" si="12"/>
        <v/>
      </c>
      <c r="O30" s="374" t="str">
        <f t="shared" si="13"/>
        <v/>
      </c>
      <c r="P30" s="374" t="str">
        <f t="shared" si="14"/>
        <v/>
      </c>
      <c r="R30" s="370"/>
      <c r="U30" t="str">
        <f t="shared" si="1"/>
        <v>\I:</v>
      </c>
      <c r="V30" t="str">
        <f ca="1" t="shared" si="2"/>
        <v>ICE gasoline hybrid LCV -- Reduction of specific energy consumption relative to 2015 gasoline vehicle (%)</v>
      </c>
      <c r="W30" s="372" t="s">
        <v>85</v>
      </c>
      <c r="X30" s="372" t="s">
        <v>86</v>
      </c>
    </row>
    <row r="31" spans="2:24">
      <c r="B31" s="49"/>
      <c r="C31" s="371"/>
      <c r="D31" s="49"/>
      <c r="E31" s="49"/>
      <c r="F31" s="49"/>
      <c r="J31" t="str">
        <f t="shared" si="8"/>
        <v>Trd_lcv_gsl-hyb</v>
      </c>
      <c r="K31" t="str">
        <f t="shared" si="3"/>
        <v>\I:</v>
      </c>
      <c r="L31" t="str">
        <f t="shared" si="4"/>
        <v>\I:</v>
      </c>
      <c r="M31" s="374" t="str">
        <f t="shared" si="11"/>
        <v/>
      </c>
      <c r="N31" s="374" t="str">
        <f t="shared" si="12"/>
        <v/>
      </c>
      <c r="O31" s="374" t="str">
        <f t="shared" si="13"/>
        <v/>
      </c>
      <c r="P31" s="374" t="str">
        <f t="shared" si="14"/>
        <v/>
      </c>
      <c r="R31" s="370"/>
      <c r="U31" t="str">
        <f t="shared" si="1"/>
        <v>\I:</v>
      </c>
      <c r="V31" t="str">
        <f ca="1" t="shared" si="2"/>
        <v>ICE gasoline hybrid LCV -- 00%</v>
      </c>
      <c r="W31" s="372" t="s">
        <v>85</v>
      </c>
      <c r="X31" s="372" t="s">
        <v>86</v>
      </c>
    </row>
    <row r="32" spans="2:24">
      <c r="B32" s="49"/>
      <c r="C32" s="371"/>
      <c r="D32" s="49"/>
      <c r="E32" s="49"/>
      <c r="F32" s="49"/>
      <c r="J32" t="str">
        <f t="shared" si="8"/>
        <v>Trd_lcv_gsl-hyb</v>
      </c>
      <c r="K32" t="str">
        <f t="shared" si="3"/>
        <v>\I:</v>
      </c>
      <c r="L32" t="str">
        <f t="shared" si="4"/>
        <v>\I:</v>
      </c>
      <c r="M32" s="374" t="str">
        <f t="shared" si="11"/>
        <v/>
      </c>
      <c r="N32" s="374" t="str">
        <f t="shared" si="12"/>
        <v/>
      </c>
      <c r="O32" s="374" t="str">
        <f t="shared" si="13"/>
        <v/>
      </c>
      <c r="P32" s="374" t="str">
        <f t="shared" si="14"/>
        <v/>
      </c>
      <c r="R32" s="370"/>
      <c r="U32" t="str">
        <f t="shared" si="1"/>
        <v>\I:</v>
      </c>
      <c r="V32" t="str">
        <f ca="1" t="shared" si="2"/>
        <v>ICE gasoline hybrid LCV -- 00%</v>
      </c>
      <c r="W32" s="372" t="s">
        <v>85</v>
      </c>
      <c r="X32" s="372" t="s">
        <v>86</v>
      </c>
    </row>
    <row r="33" spans="2:24">
      <c r="B33" s="88"/>
      <c r="C33" s="411">
        <v>2020</v>
      </c>
      <c r="D33" s="51">
        <v>2030</v>
      </c>
      <c r="E33" s="51">
        <v>2040</v>
      </c>
      <c r="F33" s="51">
        <v>2050</v>
      </c>
      <c r="J33" t="str">
        <f t="shared" si="8"/>
        <v>Trd_lcv_gsl-hyb</v>
      </c>
      <c r="K33" t="str">
        <f t="shared" si="3"/>
        <v>\I:</v>
      </c>
      <c r="L33" t="str">
        <f t="shared" si="4"/>
        <v>\I:</v>
      </c>
      <c r="M33" s="374" t="str">
        <f t="shared" si="11"/>
        <v/>
      </c>
      <c r="N33" s="374" t="str">
        <f t="shared" si="12"/>
        <v/>
      </c>
      <c r="O33" s="374" t="str">
        <f t="shared" si="13"/>
        <v/>
      </c>
      <c r="P33" s="374" t="str">
        <f t="shared" si="14"/>
        <v/>
      </c>
      <c r="R33" s="370"/>
      <c r="U33" t="str">
        <f t="shared" si="1"/>
        <v>\I:</v>
      </c>
      <c r="V33" t="str">
        <f ca="1" t="shared" si="2"/>
        <v>ICE gasoline hybrid LCV -- 00%</v>
      </c>
      <c r="W33" s="372" t="s">
        <v>85</v>
      </c>
      <c r="X33" s="372" t="s">
        <v>86</v>
      </c>
    </row>
    <row r="34" spans="2:24">
      <c r="B34" s="85">
        <v>0.141858664420856</v>
      </c>
      <c r="C34" s="413">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74">
        <f t="shared" si="11"/>
        <v>20504.4559655839</v>
      </c>
      <c r="N34" s="374">
        <f t="shared" si="12"/>
        <v>19138.7491883351</v>
      </c>
      <c r="O34" s="374">
        <f t="shared" si="13"/>
        <v>19138.7491883351</v>
      </c>
      <c r="P34" s="374">
        <f t="shared" si="14"/>
        <v>19138.7491883351</v>
      </c>
      <c r="R34" s="370"/>
      <c r="U34" t="str">
        <f t="shared" si="1"/>
        <v>Trd_lcv_gsl-hyb_14</v>
      </c>
      <c r="V34" t="str">
        <f ca="1" t="shared" si="2"/>
        <v>ICE gasoline hybrid LCV -- 14%</v>
      </c>
      <c r="W34" s="372" t="s">
        <v>85</v>
      </c>
      <c r="X34" s="372" t="s">
        <v>86</v>
      </c>
    </row>
    <row r="35" spans="2:24">
      <c r="B35" s="85">
        <v>0.241858664420856</v>
      </c>
      <c r="C35" s="413">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74">
        <f t="shared" si="11"/>
        <v>20722.2426519634</v>
      </c>
      <c r="N35" s="374">
        <f t="shared" si="12"/>
        <v>19390.0828167076</v>
      </c>
      <c r="O35" s="374">
        <f t="shared" si="13"/>
        <v>19390.0828167076</v>
      </c>
      <c r="P35" s="374">
        <f t="shared" si="14"/>
        <v>19390.0828167076</v>
      </c>
      <c r="R35" s="370"/>
      <c r="U35" t="str">
        <f t="shared" si="1"/>
        <v>Trd_lcv_gsl-hyb_24</v>
      </c>
      <c r="V35" t="str">
        <f ca="1" t="shared" si="2"/>
        <v>ICE gasoline hybrid LCV -- 24%</v>
      </c>
      <c r="W35" s="372" t="s">
        <v>85</v>
      </c>
      <c r="X35" s="372" t="s">
        <v>86</v>
      </c>
    </row>
    <row r="36" spans="2:24">
      <c r="B36" s="85">
        <v>0.291858664420856</v>
      </c>
      <c r="C36" s="413">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74">
        <f t="shared" si="11"/>
        <v>20967.6583697595</v>
      </c>
      <c r="N36" s="374">
        <f t="shared" si="12"/>
        <v>19601.2088430076</v>
      </c>
      <c r="O36" s="374">
        <f t="shared" si="13"/>
        <v>19601.2088430076</v>
      </c>
      <c r="P36" s="374">
        <f t="shared" si="14"/>
        <v>19601.2088430076</v>
      </c>
      <c r="R36" s="370"/>
      <c r="U36" t="str">
        <f t="shared" si="1"/>
        <v>Trd_lcv_gsl-hyb_29</v>
      </c>
      <c r="V36" t="str">
        <f ca="1" t="shared" si="2"/>
        <v>ICE gasoline hybrid LCV -- 29%</v>
      </c>
      <c r="W36" s="372" t="s">
        <v>85</v>
      </c>
      <c r="X36" s="372" t="s">
        <v>86</v>
      </c>
    </row>
    <row r="37" spans="2:24">
      <c r="B37" s="85">
        <v>0.341858664420856</v>
      </c>
      <c r="C37" s="413">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74">
        <f t="shared" si="11"/>
        <v>21437.6216583787</v>
      </c>
      <c r="N37" s="374">
        <f t="shared" si="12"/>
        <v>19855.9040595789</v>
      </c>
      <c r="O37" s="374">
        <f t="shared" si="13"/>
        <v>19855.9040595789</v>
      </c>
      <c r="P37" s="374">
        <f t="shared" si="14"/>
        <v>19855.9040595789</v>
      </c>
      <c r="R37" s="370"/>
      <c r="U37" t="str">
        <f t="shared" si="1"/>
        <v>Trd_lcv_gsl-hyb_34</v>
      </c>
      <c r="V37" t="str">
        <f ca="1" t="shared" si="2"/>
        <v>ICE gasoline hybrid LCV -- 34%</v>
      </c>
      <c r="W37" s="372" t="s">
        <v>85</v>
      </c>
      <c r="X37" s="372" t="s">
        <v>86</v>
      </c>
    </row>
    <row r="38" spans="2:24">
      <c r="B38" s="85">
        <v>0.391858664420856</v>
      </c>
      <c r="C38" s="413">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74">
        <f t="shared" si="11"/>
        <v>22211.0087034134</v>
      </c>
      <c r="N38" s="374">
        <f t="shared" si="12"/>
        <v>20325.5630625639</v>
      </c>
      <c r="O38" s="374">
        <f t="shared" si="13"/>
        <v>20325.5630625639</v>
      </c>
      <c r="P38" s="374">
        <f t="shared" si="14"/>
        <v>20325.5630625639</v>
      </c>
      <c r="R38" s="370"/>
      <c r="U38" t="str">
        <f t="shared" si="1"/>
        <v>Trd_lcv_gsl-hyb_39</v>
      </c>
      <c r="V38" t="str">
        <f ca="1" t="shared" si="2"/>
        <v>ICE gasoline hybrid LCV -- 39%</v>
      </c>
      <c r="W38" s="372" t="s">
        <v>85</v>
      </c>
      <c r="X38" s="372" t="s">
        <v>86</v>
      </c>
    </row>
    <row r="39" spans="2:24">
      <c r="B39" s="85">
        <v>0.441858664420856</v>
      </c>
      <c r="C39" s="413">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74">
        <f t="shared" si="11"/>
        <v>46471.148840111</v>
      </c>
      <c r="N39" s="374">
        <f t="shared" si="12"/>
        <v>26131.898294073</v>
      </c>
      <c r="O39" s="374">
        <f t="shared" si="13"/>
        <v>26131.898294073</v>
      </c>
      <c r="P39" s="374">
        <f t="shared" si="14"/>
        <v>26131.898294073</v>
      </c>
      <c r="R39" s="370"/>
      <c r="U39" t="str">
        <f t="shared" si="1"/>
        <v>Trd_lcv_gsl-hyb_44</v>
      </c>
      <c r="V39" t="str">
        <f ca="1" t="shared" si="2"/>
        <v>ICE gasoline hybrid LCV -- 44%</v>
      </c>
      <c r="W39" s="372" t="s">
        <v>85</v>
      </c>
      <c r="X39" s="372" t="s">
        <v>86</v>
      </c>
    </row>
    <row r="40" spans="2:24">
      <c r="B40" s="85">
        <v>0.491858664420856</v>
      </c>
      <c r="C40" s="413">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74">
        <f t="shared" si="11"/>
        <v>108265.756276503</v>
      </c>
      <c r="N40" s="374">
        <f t="shared" si="12"/>
        <v>77485.5623662731</v>
      </c>
      <c r="O40" s="374">
        <f t="shared" si="13"/>
        <v>77485.5623662731</v>
      </c>
      <c r="P40" s="374">
        <f t="shared" si="14"/>
        <v>77485.5623662731</v>
      </c>
      <c r="R40" s="370"/>
      <c r="U40" t="str">
        <f t="shared" si="1"/>
        <v>Trd_lcv_gsl-hyb_49</v>
      </c>
      <c r="V40" t="str">
        <f ca="1" t="shared" si="2"/>
        <v>ICE gasoline hybrid LCV -- 49%</v>
      </c>
      <c r="W40" s="372" t="s">
        <v>85</v>
      </c>
      <c r="X40" s="372" t="s">
        <v>86</v>
      </c>
    </row>
    <row r="41" spans="2:24">
      <c r="D41" s="97"/>
      <c r="E41" s="97"/>
      <c r="F41" s="97"/>
      <c r="I41" s="75"/>
      <c r="J41" t="str">
        <f t="shared" si="8"/>
        <v>Trd_lcv_gsl-hyb</v>
      </c>
      <c r="K41" t="str">
        <f t="shared" si="3"/>
        <v>\I:</v>
      </c>
      <c r="L41" t="str">
        <f t="shared" si="4"/>
        <v>\I:</v>
      </c>
      <c r="M41" s="374" t="str">
        <f t="shared" si="11"/>
        <v/>
      </c>
      <c r="N41" s="374" t="str">
        <f t="shared" si="12"/>
        <v/>
      </c>
      <c r="O41" s="374" t="str">
        <f t="shared" si="13"/>
        <v/>
      </c>
      <c r="P41" s="374" t="str">
        <f t="shared" si="14"/>
        <v/>
      </c>
      <c r="R41" s="370"/>
      <c r="U41" t="str">
        <f t="shared" si="1"/>
        <v>\I:</v>
      </c>
      <c r="V41" t="str">
        <f ca="1" t="shared" si="2"/>
        <v>ICE gasoline hybrid LCV -- 00%</v>
      </c>
      <c r="W41" s="372" t="s">
        <v>85</v>
      </c>
      <c r="X41" s="372" t="s">
        <v>86</v>
      </c>
    </row>
    <row r="42" spans="2:24">
      <c r="I42" s="75"/>
      <c r="J42" t="str">
        <f t="shared" si="8"/>
        <v>Trd_lcv_gsl-hyb</v>
      </c>
      <c r="K42" t="str">
        <f t="shared" si="3"/>
        <v>\I:</v>
      </c>
      <c r="L42" t="str">
        <f t="shared" si="4"/>
        <v>\I:</v>
      </c>
      <c r="M42" s="374" t="str">
        <f t="shared" si="11"/>
        <v/>
      </c>
      <c r="N42" s="374" t="str">
        <f t="shared" si="12"/>
        <v/>
      </c>
      <c r="O42" s="374" t="str">
        <f t="shared" si="13"/>
        <v/>
      </c>
      <c r="P42" s="374" t="str">
        <f t="shared" si="14"/>
        <v/>
      </c>
      <c r="R42" s="370"/>
      <c r="U42" t="str">
        <f t="shared" si="1"/>
        <v>\I:</v>
      </c>
      <c r="V42" t="str">
        <f ca="1" t="shared" si="2"/>
        <v>ICE gasoline hybrid LCV -- 00%</v>
      </c>
      <c r="W42" s="372" t="s">
        <v>85</v>
      </c>
      <c r="X42" s="372" t="s">
        <v>86</v>
      </c>
    </row>
    <row r="43" spans="2:24">
      <c r="I43" s="75"/>
      <c r="J43" t="str">
        <f t="shared" si="8"/>
        <v>Trd_lcv_gsl-hyb</v>
      </c>
      <c r="K43" t="str">
        <f t="shared" si="3"/>
        <v>\I:</v>
      </c>
      <c r="L43" t="str">
        <f t="shared" si="4"/>
        <v>\I:</v>
      </c>
      <c r="M43" s="374" t="str">
        <f t="shared" si="11"/>
        <v/>
      </c>
      <c r="N43" s="374" t="str">
        <f t="shared" si="12"/>
        <v/>
      </c>
      <c r="O43" s="374" t="str">
        <f t="shared" si="13"/>
        <v/>
      </c>
      <c r="P43" s="374" t="str">
        <f t="shared" si="14"/>
        <v/>
      </c>
      <c r="R43" s="370"/>
      <c r="U43" t="str">
        <f t="shared" si="1"/>
        <v>\I:</v>
      </c>
      <c r="V43" t="str">
        <f ca="1" t="shared" si="2"/>
        <v>ICE gasoline hybrid LCV -- 00%</v>
      </c>
      <c r="W43" s="372" t="s">
        <v>85</v>
      </c>
      <c r="X43" s="372" t="s">
        <v>86</v>
      </c>
    </row>
    <row r="44" spans="2:24">
      <c r="I44" s="75"/>
      <c r="J44" t="str">
        <f t="shared" si="8"/>
        <v>Trd_lcv_gsl-hyb</v>
      </c>
      <c r="K44" t="str">
        <f t="shared" si="3"/>
        <v>\I:</v>
      </c>
      <c r="L44" t="str">
        <f t="shared" si="4"/>
        <v>\I:</v>
      </c>
      <c r="M44" s="374" t="str">
        <f t="shared" si="11"/>
        <v/>
      </c>
      <c r="N44" s="374" t="str">
        <f t="shared" si="12"/>
        <v/>
      </c>
      <c r="O44" s="374" t="str">
        <f t="shared" si="13"/>
        <v/>
      </c>
      <c r="P44" s="374" t="str">
        <f t="shared" si="14"/>
        <v/>
      </c>
      <c r="R44" s="370"/>
      <c r="U44" t="str">
        <f t="shared" si="1"/>
        <v>\I:</v>
      </c>
      <c r="V44" t="str">
        <f ca="1" t="shared" si="2"/>
        <v>ICE gasoline hybrid LCV -- 00%</v>
      </c>
      <c r="W44" s="372" t="s">
        <v>85</v>
      </c>
      <c r="X44" s="372" t="s">
        <v>86</v>
      </c>
    </row>
    <row r="45" ht="15" customHeight="1" spans="2:24">
      <c r="B45" s="49" t="s">
        <v>16</v>
      </c>
      <c r="C45" s="371" t="s">
        <v>98</v>
      </c>
      <c r="D45" s="49"/>
      <c r="E45" s="49"/>
      <c r="F45" s="49"/>
      <c r="I45" s="75"/>
      <c r="J45" t="str">
        <f t="shared" si="8"/>
        <v>Trd_lcv_gsl-pih</v>
      </c>
      <c r="K45" t="str">
        <f t="shared" si="3"/>
        <v>\I:</v>
      </c>
      <c r="L45" t="str">
        <f t="shared" si="4"/>
        <v>\I:</v>
      </c>
      <c r="M45" s="374" t="str">
        <f t="shared" si="11"/>
        <v/>
      </c>
      <c r="N45" s="374" t="str">
        <f t="shared" si="12"/>
        <v/>
      </c>
      <c r="O45" s="374" t="str">
        <f t="shared" si="13"/>
        <v/>
      </c>
      <c r="P45" s="374" t="str">
        <f t="shared" si="14"/>
        <v/>
      </c>
      <c r="R45" s="370"/>
      <c r="U45" t="str">
        <f t="shared" si="1"/>
        <v>\I:</v>
      </c>
      <c r="V45" t="str">
        <f ca="1" t="shared" si="2"/>
        <v>ICE gasoline plug-in hybrid LCV -- Reduction of specific energy consumption relative to 2015 gasoline vehicle (%)</v>
      </c>
      <c r="W45" s="372" t="s">
        <v>85</v>
      </c>
      <c r="X45" s="372" t="s">
        <v>86</v>
      </c>
    </row>
    <row r="46" spans="2:24">
      <c r="B46" s="49"/>
      <c r="C46" s="371"/>
      <c r="D46" s="49"/>
      <c r="E46" s="49"/>
      <c r="F46" s="49"/>
      <c r="J46" t="str">
        <f t="shared" si="8"/>
        <v>Trd_lcv_gsl-pih</v>
      </c>
      <c r="K46" t="str">
        <f t="shared" si="3"/>
        <v>\I:</v>
      </c>
      <c r="L46" t="str">
        <f t="shared" si="4"/>
        <v>\I:</v>
      </c>
      <c r="M46" s="374" t="str">
        <f t="shared" si="11"/>
        <v/>
      </c>
      <c r="N46" s="374" t="str">
        <f t="shared" si="12"/>
        <v/>
      </c>
      <c r="O46" s="374" t="str">
        <f t="shared" si="13"/>
        <v/>
      </c>
      <c r="P46" s="374" t="str">
        <f t="shared" si="14"/>
        <v/>
      </c>
      <c r="R46" s="370"/>
      <c r="U46" t="str">
        <f t="shared" si="1"/>
        <v>\I:</v>
      </c>
      <c r="V46" t="str">
        <f ca="1" t="shared" si="2"/>
        <v>ICE gasoline plug-in hybrid LCV -- 00%</v>
      </c>
      <c r="W46" s="372" t="s">
        <v>85</v>
      </c>
      <c r="X46" s="372" t="s">
        <v>86</v>
      </c>
    </row>
    <row r="47" spans="2:24">
      <c r="B47" s="49"/>
      <c r="C47" s="371"/>
      <c r="D47" s="49"/>
      <c r="E47" s="49"/>
      <c r="F47" s="49"/>
      <c r="J47" t="str">
        <f t="shared" si="8"/>
        <v>Trd_lcv_gsl-pih</v>
      </c>
      <c r="K47" t="str">
        <f t="shared" si="3"/>
        <v>\I:</v>
      </c>
      <c r="L47" t="str">
        <f t="shared" si="4"/>
        <v>\I:</v>
      </c>
      <c r="M47" s="374" t="str">
        <f t="shared" si="11"/>
        <v/>
      </c>
      <c r="N47" s="374" t="str">
        <f t="shared" si="12"/>
        <v/>
      </c>
      <c r="O47" s="374" t="str">
        <f t="shared" si="13"/>
        <v/>
      </c>
      <c r="P47" s="374" t="str">
        <f t="shared" si="14"/>
        <v/>
      </c>
      <c r="R47" s="370"/>
      <c r="U47" t="str">
        <f t="shared" si="1"/>
        <v>\I:</v>
      </c>
      <c r="V47" t="str">
        <f ca="1" t="shared" si="2"/>
        <v>ICE gasoline plug-in hybrid LCV -- 00%</v>
      </c>
      <c r="W47" s="372" t="s">
        <v>85</v>
      </c>
      <c r="X47" s="372" t="s">
        <v>86</v>
      </c>
    </row>
    <row r="48" spans="2:24">
      <c r="B48" s="88"/>
      <c r="C48" s="411">
        <v>2020</v>
      </c>
      <c r="D48" s="51">
        <v>2030</v>
      </c>
      <c r="E48" s="51">
        <v>2040</v>
      </c>
      <c r="F48" s="51">
        <v>2050</v>
      </c>
      <c r="J48" t="str">
        <f t="shared" si="8"/>
        <v>Trd_lcv_gsl-pih</v>
      </c>
      <c r="K48" s="147" t="str">
        <f t="shared" si="3"/>
        <v>\I:</v>
      </c>
      <c r="L48" s="147" t="str">
        <f t="shared" si="4"/>
        <v>\I:</v>
      </c>
      <c r="M48" s="379" t="str">
        <f t="shared" si="11"/>
        <v/>
      </c>
      <c r="N48" s="379" t="str">
        <f t="shared" si="12"/>
        <v/>
      </c>
      <c r="O48" s="379" t="str">
        <f t="shared" si="13"/>
        <v/>
      </c>
      <c r="P48" s="379" t="str">
        <f t="shared" si="14"/>
        <v/>
      </c>
      <c r="R48" s="370"/>
      <c r="U48" t="str">
        <f t="shared" ref="U48:U79" si="16">K48</f>
        <v>\I:</v>
      </c>
      <c r="V48" t="str">
        <f ca="1" t="shared" ref="V48:V79" si="17">OFFSET($S$1,MATCH(J48,$S$1:$S$10,0)-1,-1)&amp;" -- "&amp;TEXT(B48,"00%")</f>
        <v>ICE gasoline plug-in hybrid LCV -- 00%</v>
      </c>
      <c r="W48" s="372" t="s">
        <v>85</v>
      </c>
      <c r="X48" s="372" t="s">
        <v>86</v>
      </c>
    </row>
    <row r="49" spans="2:24">
      <c r="B49" s="414">
        <v>0.825</v>
      </c>
      <c r="C49" s="413">
        <v>25855.4162729033</v>
      </c>
      <c r="D49" s="86">
        <v>20946.0136101116</v>
      </c>
      <c r="E49" s="86">
        <v>19751.4795793658</v>
      </c>
      <c r="F49" s="86">
        <v>19403.0868687444</v>
      </c>
      <c r="I49" s="75">
        <f t="shared" ref="I49:I56" si="18">(1+B49)</f>
        <v>1.825</v>
      </c>
      <c r="J49" t="str">
        <f t="shared" si="8"/>
        <v>Trd_lcv_gsl-pih</v>
      </c>
      <c r="K49" s="147" t="str">
        <f t="shared" si="3"/>
        <v>Trd_lcv_gsl-pih_83</v>
      </c>
      <c r="L49" s="147" t="str">
        <f t="shared" si="4"/>
        <v>Trd_lcv</v>
      </c>
      <c r="M49" s="379">
        <f t="shared" si="11"/>
        <v>25855.4162729033</v>
      </c>
      <c r="N49" s="379">
        <f t="shared" si="12"/>
        <v>20946.0136101116</v>
      </c>
      <c r="O49" s="379">
        <f t="shared" si="13"/>
        <v>19751.4795793658</v>
      </c>
      <c r="P49" s="379">
        <f t="shared" si="14"/>
        <v>19403.0868687444</v>
      </c>
      <c r="R49" s="370"/>
      <c r="U49" t="str">
        <f t="shared" si="16"/>
        <v>Trd_lcv_gsl-pih_83</v>
      </c>
      <c r="V49" t="str">
        <f ca="1" t="shared" si="17"/>
        <v>ICE gasoline plug-in hybrid LCV -- 83%</v>
      </c>
      <c r="W49" s="372" t="s">
        <v>85</v>
      </c>
      <c r="X49" s="372" t="s">
        <v>86</v>
      </c>
    </row>
    <row r="50" spans="2:24">
      <c r="B50" s="414">
        <v>0.835</v>
      </c>
      <c r="C50" s="413">
        <v>25936.7339540823</v>
      </c>
      <c r="D50" s="86">
        <v>20972.5685484446</v>
      </c>
      <c r="E50" s="86">
        <v>19766.6423788705</v>
      </c>
      <c r="F50" s="86">
        <v>19414.5742977407</v>
      </c>
      <c r="I50" s="75">
        <f t="shared" si="18"/>
        <v>1.835</v>
      </c>
      <c r="J50" t="str">
        <f t="shared" si="8"/>
        <v>Trd_lcv_gsl-pih</v>
      </c>
      <c r="K50" s="147" t="str">
        <f t="shared" si="3"/>
        <v>Trd_lcv_gsl-pih_84</v>
      </c>
      <c r="L50" s="147" t="str">
        <f t="shared" si="4"/>
        <v>Trd_lcv</v>
      </c>
      <c r="M50" s="379">
        <f t="shared" si="11"/>
        <v>25936.7339540823</v>
      </c>
      <c r="N50" s="379">
        <f t="shared" si="12"/>
        <v>20972.5685484446</v>
      </c>
      <c r="O50" s="379">
        <f t="shared" si="13"/>
        <v>19766.6423788705</v>
      </c>
      <c r="P50" s="379">
        <f t="shared" si="14"/>
        <v>19414.5742977407</v>
      </c>
      <c r="R50" s="370"/>
      <c r="U50" t="str">
        <f t="shared" si="16"/>
        <v>Trd_lcv_gsl-pih_84</v>
      </c>
      <c r="V50" t="str">
        <f ca="1" t="shared" si="17"/>
        <v>ICE gasoline plug-in hybrid LCV -- 84%</v>
      </c>
      <c r="W50" s="372" t="s">
        <v>85</v>
      </c>
      <c r="X50" s="372" t="s">
        <v>86</v>
      </c>
    </row>
    <row r="51" spans="2:24">
      <c r="B51" s="414">
        <v>0.8475</v>
      </c>
      <c r="C51" s="413">
        <v>26068.0641465879</v>
      </c>
      <c r="D51" s="86">
        <v>20983.7357684659</v>
      </c>
      <c r="E51" s="86">
        <v>19772.1960204821</v>
      </c>
      <c r="F51" s="86">
        <v>19418.2617068886</v>
      </c>
      <c r="I51" s="75">
        <f t="shared" si="18"/>
        <v>1.8475</v>
      </c>
      <c r="J51" t="str">
        <f t="shared" si="8"/>
        <v>Trd_lcv_gsl-pih</v>
      </c>
      <c r="K51" s="147" t="str">
        <f t="shared" si="3"/>
        <v>Trd_lcv_gsl-pih_85</v>
      </c>
      <c r="L51" s="147" t="str">
        <f t="shared" si="4"/>
        <v>Trd_lcv</v>
      </c>
      <c r="M51" s="379">
        <f t="shared" si="11"/>
        <v>26068.0641465879</v>
      </c>
      <c r="N51" s="379">
        <f t="shared" si="12"/>
        <v>20983.7357684659</v>
      </c>
      <c r="O51" s="379">
        <f t="shared" si="13"/>
        <v>19772.1960204821</v>
      </c>
      <c r="P51" s="379">
        <f t="shared" si="14"/>
        <v>19418.2617068886</v>
      </c>
      <c r="R51" s="370"/>
      <c r="U51" t="str">
        <f t="shared" si="16"/>
        <v>Trd_lcv_gsl-pih_85</v>
      </c>
      <c r="V51" t="str">
        <f ca="1" t="shared" si="17"/>
        <v>ICE gasoline plug-in hybrid LCV -- 85%</v>
      </c>
      <c r="W51" s="372" t="s">
        <v>85</v>
      </c>
      <c r="X51" s="372" t="s">
        <v>86</v>
      </c>
    </row>
    <row r="52" spans="2:24">
      <c r="B52" s="414">
        <v>0.8575</v>
      </c>
      <c r="C52" s="413">
        <v>29189.2099676658</v>
      </c>
      <c r="D52" s="86">
        <v>21014.1005815479</v>
      </c>
      <c r="E52" s="86">
        <v>19796.1968088197</v>
      </c>
      <c r="F52" s="86">
        <v>19440.6559656101</v>
      </c>
      <c r="I52" s="75">
        <f t="shared" si="18"/>
        <v>1.8575</v>
      </c>
      <c r="J52" t="str">
        <f t="shared" si="8"/>
        <v>Trd_lcv_gsl-pih</v>
      </c>
      <c r="K52" s="147" t="str">
        <f t="shared" si="3"/>
        <v>Trd_lcv_gsl-pih_86</v>
      </c>
      <c r="L52" s="147" t="str">
        <f t="shared" si="4"/>
        <v>Trd_lcv</v>
      </c>
      <c r="M52" s="379">
        <f t="shared" si="11"/>
        <v>29189.2099676658</v>
      </c>
      <c r="N52" s="379">
        <f t="shared" si="12"/>
        <v>21014.1005815479</v>
      </c>
      <c r="O52" s="379">
        <f t="shared" si="13"/>
        <v>19796.1968088197</v>
      </c>
      <c r="P52" s="379">
        <f t="shared" si="14"/>
        <v>19440.6559656101</v>
      </c>
      <c r="R52" s="370"/>
      <c r="U52" t="str">
        <f t="shared" si="16"/>
        <v>Trd_lcv_gsl-pih_86</v>
      </c>
      <c r="V52" t="str">
        <f ca="1" t="shared" si="17"/>
        <v>ICE gasoline plug-in hybrid LCV -- 86%</v>
      </c>
      <c r="W52" s="372" t="s">
        <v>85</v>
      </c>
      <c r="X52" s="372" t="s">
        <v>86</v>
      </c>
    </row>
    <row r="53" spans="2:24">
      <c r="B53" s="414">
        <v>0.8675</v>
      </c>
      <c r="C53" s="413">
        <v>44989.8543167652</v>
      </c>
      <c r="D53" s="86">
        <v>21032.5204061794</v>
      </c>
      <c r="E53" s="86">
        <v>19824.2506796935</v>
      </c>
      <c r="F53" s="86">
        <v>19472.9936204524</v>
      </c>
      <c r="I53" s="75">
        <f t="shared" si="18"/>
        <v>1.8675</v>
      </c>
      <c r="J53" t="str">
        <f t="shared" si="8"/>
        <v>Trd_lcv_gsl-pih</v>
      </c>
      <c r="K53" s="147" t="str">
        <f t="shared" si="3"/>
        <v>Trd_lcv_gsl-pih_87</v>
      </c>
      <c r="L53" s="147" t="str">
        <f t="shared" si="4"/>
        <v>Trd_lcv</v>
      </c>
      <c r="M53" s="379">
        <f t="shared" si="11"/>
        <v>44989.8543167652</v>
      </c>
      <c r="N53" s="379">
        <f t="shared" si="12"/>
        <v>21032.5204061794</v>
      </c>
      <c r="O53" s="379">
        <f t="shared" si="13"/>
        <v>19824.2506796935</v>
      </c>
      <c r="P53" s="379">
        <f t="shared" si="14"/>
        <v>19472.9936204524</v>
      </c>
      <c r="R53" s="370"/>
      <c r="U53" t="str">
        <f t="shared" si="16"/>
        <v>Trd_lcv_gsl-pih_87</v>
      </c>
      <c r="V53" t="str">
        <f ca="1" t="shared" si="17"/>
        <v>ICE gasoline plug-in hybrid LCV -- 87%</v>
      </c>
      <c r="W53" s="372" t="s">
        <v>85</v>
      </c>
      <c r="X53" s="372" t="s">
        <v>86</v>
      </c>
    </row>
    <row r="54" spans="2:24">
      <c r="B54" s="414">
        <v>0.915</v>
      </c>
      <c r="C54" s="413">
        <v>61078.7026089492</v>
      </c>
      <c r="D54" s="86">
        <v>24620.9228746061</v>
      </c>
      <c r="E54" s="86">
        <v>22831.7849053289</v>
      </c>
      <c r="F54" s="86">
        <v>22357.3877876521</v>
      </c>
      <c r="I54" s="75">
        <f t="shared" si="18"/>
        <v>1.915</v>
      </c>
      <c r="J54" t="str">
        <f t="shared" si="8"/>
        <v>Trd_lcv_gsl-pih</v>
      </c>
      <c r="K54" s="147" t="str">
        <f t="shared" si="3"/>
        <v>Trd_lcv_gsl-pih_92</v>
      </c>
      <c r="L54" s="147" t="str">
        <f t="shared" si="4"/>
        <v>Trd_lcv</v>
      </c>
      <c r="M54" s="379">
        <f t="shared" si="11"/>
        <v>61078.7026089492</v>
      </c>
      <c r="N54" s="379">
        <f t="shared" si="12"/>
        <v>24620.9228746061</v>
      </c>
      <c r="O54" s="379">
        <f t="shared" si="13"/>
        <v>22831.7849053289</v>
      </c>
      <c r="P54" s="379">
        <f t="shared" si="14"/>
        <v>22357.3877876521</v>
      </c>
      <c r="R54" s="370"/>
      <c r="U54" t="str">
        <f t="shared" si="16"/>
        <v>Trd_lcv_gsl-pih_92</v>
      </c>
      <c r="V54" t="str">
        <f ca="1" t="shared" si="17"/>
        <v>ICE gasoline plug-in hybrid LCV -- 92%</v>
      </c>
      <c r="W54" s="372" t="s">
        <v>85</v>
      </c>
      <c r="X54" s="372" t="s">
        <v>86</v>
      </c>
    </row>
    <row r="55" spans="2:24">
      <c r="B55" s="414">
        <v>0.9225</v>
      </c>
      <c r="C55" s="413">
        <v>61658.5569109629</v>
      </c>
      <c r="D55" s="86">
        <v>36662.6858263954</v>
      </c>
      <c r="E55" s="86">
        <v>34512.2146444883</v>
      </c>
      <c r="F55" s="86">
        <v>34243.3411954732</v>
      </c>
      <c r="I55" s="75">
        <f t="shared" si="18"/>
        <v>1.9225</v>
      </c>
      <c r="J55" t="str">
        <f t="shared" si="8"/>
        <v>Trd_lcv_gsl-pih</v>
      </c>
      <c r="K55" s="147" t="str">
        <f t="shared" si="3"/>
        <v>Trd_lcv_gsl-pih_92</v>
      </c>
      <c r="L55" s="147" t="str">
        <f t="shared" si="4"/>
        <v>Trd_lcv</v>
      </c>
      <c r="M55" s="379">
        <f t="shared" si="11"/>
        <v>61658.5569109629</v>
      </c>
      <c r="N55" s="379">
        <f t="shared" si="12"/>
        <v>36662.6858263954</v>
      </c>
      <c r="O55" s="379">
        <f t="shared" si="13"/>
        <v>34512.2146444883</v>
      </c>
      <c r="P55" s="379">
        <f t="shared" si="14"/>
        <v>34243.3411954732</v>
      </c>
      <c r="R55" s="370"/>
      <c r="U55" t="str">
        <f t="shared" si="16"/>
        <v>Trd_lcv_gsl-pih_92</v>
      </c>
      <c r="V55" t="str">
        <f ca="1" t="shared" si="17"/>
        <v>ICE gasoline plug-in hybrid LCV -- 92%</v>
      </c>
      <c r="W55" s="372" t="s">
        <v>85</v>
      </c>
      <c r="X55" s="372" t="s">
        <v>86</v>
      </c>
    </row>
    <row r="56" spans="2:24">
      <c r="B56" s="414">
        <v>0.93</v>
      </c>
      <c r="C56" s="413">
        <v>99213.7185822678</v>
      </c>
      <c r="D56" s="86">
        <v>52428.018226086</v>
      </c>
      <c r="E56" s="86">
        <v>50000.3633152236</v>
      </c>
      <c r="F56" s="86">
        <v>50076.8935124655</v>
      </c>
      <c r="I56" s="75">
        <f t="shared" si="18"/>
        <v>1.93</v>
      </c>
      <c r="J56" t="str">
        <f t="shared" si="8"/>
        <v>Trd_lcv_gsl-pih</v>
      </c>
      <c r="K56" s="147" t="str">
        <f t="shared" si="3"/>
        <v>Trd_lcv_gsl-pih_93</v>
      </c>
      <c r="L56" s="147" t="str">
        <f t="shared" si="4"/>
        <v>Trd_lcv</v>
      </c>
      <c r="M56" s="379">
        <f t="shared" si="11"/>
        <v>99213.7185822678</v>
      </c>
      <c r="N56" s="379">
        <f t="shared" si="12"/>
        <v>52428.018226086</v>
      </c>
      <c r="O56" s="379">
        <f t="shared" si="13"/>
        <v>50000.3633152236</v>
      </c>
      <c r="P56" s="379">
        <f t="shared" si="14"/>
        <v>50076.8935124655</v>
      </c>
      <c r="R56" s="370"/>
      <c r="U56" t="str">
        <f t="shared" si="16"/>
        <v>Trd_lcv_gsl-pih_93</v>
      </c>
      <c r="V56" t="str">
        <f ca="1" t="shared" si="17"/>
        <v>ICE gasoline plug-in hybrid LCV -- 93%</v>
      </c>
      <c r="W56" s="372" t="s">
        <v>85</v>
      </c>
      <c r="X56" s="372" t="s">
        <v>86</v>
      </c>
    </row>
    <row r="57" spans="2:24">
      <c r="J57" t="str">
        <f t="shared" si="8"/>
        <v>Trd_lcv_gsl-pih</v>
      </c>
      <c r="K57" t="str">
        <f t="shared" si="3"/>
        <v>\I:</v>
      </c>
      <c r="L57" t="str">
        <f t="shared" si="4"/>
        <v>\I:</v>
      </c>
      <c r="M57" s="374" t="str">
        <f t="shared" si="11"/>
        <v/>
      </c>
      <c r="N57" s="374" t="str">
        <f t="shared" si="12"/>
        <v/>
      </c>
      <c r="O57" s="374" t="str">
        <f t="shared" si="13"/>
        <v/>
      </c>
      <c r="P57" s="374" t="str">
        <f t="shared" si="14"/>
        <v/>
      </c>
      <c r="R57" s="370"/>
      <c r="U57" t="str">
        <f t="shared" si="16"/>
        <v>\I:</v>
      </c>
      <c r="V57" t="str">
        <f ca="1" t="shared" si="17"/>
        <v>ICE gasoline plug-in hybrid LCV -- 00%</v>
      </c>
      <c r="W57" s="372" t="s">
        <v>85</v>
      </c>
      <c r="X57" s="372" t="s">
        <v>86</v>
      </c>
    </row>
    <row r="58" spans="2:24">
      <c r="J58" t="str">
        <f t="shared" si="8"/>
        <v>Trd_lcv_gsl-pih</v>
      </c>
      <c r="K58" t="str">
        <f t="shared" si="3"/>
        <v>\I:</v>
      </c>
      <c r="L58" t="str">
        <f t="shared" si="4"/>
        <v>\I:</v>
      </c>
      <c r="M58" s="374" t="str">
        <f t="shared" si="11"/>
        <v/>
      </c>
      <c r="N58" s="374" t="str">
        <f t="shared" si="12"/>
        <v/>
      </c>
      <c r="O58" s="374" t="str">
        <f t="shared" si="13"/>
        <v/>
      </c>
      <c r="P58" s="374" t="str">
        <f t="shared" si="14"/>
        <v/>
      </c>
      <c r="R58" s="370"/>
      <c r="U58" t="str">
        <f t="shared" si="16"/>
        <v>\I:</v>
      </c>
      <c r="V58" t="str">
        <f ca="1" t="shared" si="17"/>
        <v>ICE gasoline plug-in hybrid LCV -- 00%</v>
      </c>
      <c r="W58" s="372" t="s">
        <v>85</v>
      </c>
      <c r="X58" s="372" t="s">
        <v>86</v>
      </c>
    </row>
    <row r="59" spans="2:24">
      <c r="J59" t="str">
        <f t="shared" si="8"/>
        <v>Trd_lcv_gsl-pih</v>
      </c>
      <c r="K59" t="str">
        <f t="shared" si="3"/>
        <v>\I:</v>
      </c>
      <c r="L59" t="str">
        <f t="shared" si="4"/>
        <v>\I:</v>
      </c>
      <c r="M59" s="374" t="str">
        <f t="shared" si="11"/>
        <v/>
      </c>
      <c r="N59" s="374" t="str">
        <f t="shared" si="12"/>
        <v/>
      </c>
      <c r="O59" s="374" t="str">
        <f t="shared" si="13"/>
        <v/>
      </c>
      <c r="P59" s="374" t="str">
        <f t="shared" si="14"/>
        <v/>
      </c>
      <c r="R59" s="370"/>
      <c r="U59" t="str">
        <f t="shared" si="16"/>
        <v>\I:</v>
      </c>
      <c r="V59" t="str">
        <f ca="1" t="shared" si="17"/>
        <v>ICE gasoline plug-in hybrid LCV -- 00%</v>
      </c>
      <c r="W59" s="372" t="s">
        <v>85</v>
      </c>
      <c r="X59" s="372" t="s">
        <v>86</v>
      </c>
    </row>
    <row r="60" spans="2:24">
      <c r="J60" t="str">
        <f t="shared" si="8"/>
        <v>Trd_lcv_gsl-pih</v>
      </c>
      <c r="K60" t="str">
        <f t="shared" si="3"/>
        <v>\I:</v>
      </c>
      <c r="L60" t="str">
        <f t="shared" si="4"/>
        <v>\I:</v>
      </c>
      <c r="M60" s="374" t="str">
        <f t="shared" si="11"/>
        <v/>
      </c>
      <c r="N60" s="374" t="str">
        <f t="shared" si="12"/>
        <v/>
      </c>
      <c r="O60" s="374" t="str">
        <f t="shared" si="13"/>
        <v/>
      </c>
      <c r="P60" s="374" t="str">
        <f t="shared" si="14"/>
        <v/>
      </c>
      <c r="R60" s="370"/>
      <c r="U60" t="str">
        <f t="shared" si="16"/>
        <v>\I:</v>
      </c>
      <c r="V60" t="str">
        <f ca="1" t="shared" si="17"/>
        <v>ICE gasoline plug-in hybrid LCV -- 00%</v>
      </c>
      <c r="W60" s="372" t="s">
        <v>85</v>
      </c>
      <c r="X60" s="372" t="s">
        <v>86</v>
      </c>
    </row>
    <row r="61" spans="2:24">
      <c r="B61" s="44" t="s">
        <v>107</v>
      </c>
      <c r="J61" t="str">
        <f t="shared" si="8"/>
        <v>Trd_lcv_gsl-pih</v>
      </c>
      <c r="K61" t="str">
        <f t="shared" si="3"/>
        <v>\I:</v>
      </c>
      <c r="L61" t="str">
        <f t="shared" si="4"/>
        <v>\I:</v>
      </c>
      <c r="M61" s="374" t="str">
        <f t="shared" si="11"/>
        <v/>
      </c>
      <c r="N61" s="374" t="str">
        <f t="shared" si="12"/>
        <v/>
      </c>
      <c r="O61" s="374" t="str">
        <f t="shared" si="13"/>
        <v/>
      </c>
      <c r="P61" s="374" t="str">
        <f t="shared" si="14"/>
        <v/>
      </c>
      <c r="R61" s="370"/>
      <c r="U61" t="str">
        <f t="shared" si="16"/>
        <v>\I:</v>
      </c>
      <c r="V61" t="str">
        <f ca="1" t="shared" si="17"/>
        <v>ICE gasoline plug-in hybrid LCV -- Reference values for diesel LCV</v>
      </c>
      <c r="W61" s="372" t="s">
        <v>85</v>
      </c>
      <c r="X61" s="372" t="s">
        <v>86</v>
      </c>
    </row>
    <row r="62" spans="2:24">
      <c r="B62" s="45">
        <v>2015</v>
      </c>
      <c r="C62" s="365"/>
      <c r="D62" s="45"/>
      <c r="J62" t="str">
        <f t="shared" si="8"/>
        <v>Trd_lcv_gsl-pih</v>
      </c>
      <c r="K62" t="str">
        <f t="shared" si="3"/>
        <v>\I:</v>
      </c>
      <c r="L62" t="str">
        <f t="shared" si="4"/>
        <v>\I:</v>
      </c>
      <c r="M62" s="374" t="str">
        <f t="shared" si="11"/>
        <v/>
      </c>
      <c r="N62" s="374" t="str">
        <f t="shared" si="12"/>
        <v/>
      </c>
      <c r="O62" s="374" t="str">
        <f t="shared" si="13"/>
        <v/>
      </c>
      <c r="P62" s="374" t="str">
        <f t="shared" si="14"/>
        <v/>
      </c>
      <c r="R62" s="370"/>
      <c r="U62" t="str">
        <f t="shared" si="16"/>
        <v>\I:</v>
      </c>
      <c r="V62" t="str">
        <f ca="1" t="shared" si="17"/>
        <v>ICE gasoline plug-in hybrid LCV -- 201500%</v>
      </c>
      <c r="W62" s="372" t="s">
        <v>85</v>
      </c>
      <c r="X62" s="372" t="s">
        <v>86</v>
      </c>
    </row>
    <row r="63" spans="2:24">
      <c r="B63" s="46" t="s">
        <v>12</v>
      </c>
      <c r="C63" s="47" t="s">
        <v>13</v>
      </c>
      <c r="D63" s="48">
        <v>6.93202988379299</v>
      </c>
      <c r="G63" s="75">
        <f>D63*F8/100*10^9/10^6</f>
        <v>2.63417135584134</v>
      </c>
      <c r="H63" s="75"/>
      <c r="I63" s="366">
        <f>1/G63</f>
        <v>0.379626024625345</v>
      </c>
      <c r="J63" t="str">
        <f t="shared" si="8"/>
        <v>Trd_lcv_gsl-pih</v>
      </c>
      <c r="K63" t="str">
        <f t="shared" si="3"/>
        <v>\I:</v>
      </c>
      <c r="L63" t="str">
        <f t="shared" si="4"/>
        <v>\I:</v>
      </c>
      <c r="M63" s="374" t="str">
        <f t="shared" si="11"/>
        <v/>
      </c>
      <c r="N63" s="374" t="str">
        <f t="shared" si="12"/>
        <v/>
      </c>
      <c r="O63" s="374" t="str">
        <f t="shared" si="13"/>
        <v/>
      </c>
      <c r="P63" s="374" t="str">
        <f t="shared" si="14"/>
        <v/>
      </c>
      <c r="R63" s="370"/>
      <c r="U63" t="str">
        <f t="shared" si="16"/>
        <v>\I:</v>
      </c>
      <c r="V63" t="str">
        <f ca="1" t="shared" si="17"/>
        <v>ICE gasoline plug-in hybrid LCV -- Energy consumption</v>
      </c>
      <c r="W63" s="372" t="s">
        <v>85</v>
      </c>
      <c r="X63" s="372" t="s">
        <v>86</v>
      </c>
    </row>
    <row r="64" spans="2:24">
      <c r="B64" s="46" t="s">
        <v>14</v>
      </c>
      <c r="C64" s="47" t="s">
        <v>15</v>
      </c>
      <c r="D64" s="68">
        <v>21231.3607830263</v>
      </c>
      <c r="I64" s="377" t="s">
        <v>70</v>
      </c>
      <c r="J64" t="str">
        <f t="shared" si="8"/>
        <v>Trd_lcv_gsl-pih</v>
      </c>
      <c r="K64" t="str">
        <f t="shared" si="3"/>
        <v>\I:</v>
      </c>
      <c r="L64" t="str">
        <f t="shared" si="4"/>
        <v>\I:</v>
      </c>
      <c r="M64" s="374" t="str">
        <f t="shared" si="11"/>
        <v/>
      </c>
      <c r="N64" s="374" t="str">
        <f t="shared" si="12"/>
        <v/>
      </c>
      <c r="O64" s="374" t="str">
        <f t="shared" si="13"/>
        <v/>
      </c>
      <c r="P64" s="374" t="str">
        <f t="shared" si="14"/>
        <v/>
      </c>
      <c r="R64" s="370"/>
      <c r="U64" t="str">
        <f t="shared" si="16"/>
        <v>\I:</v>
      </c>
      <c r="V64" t="str">
        <f ca="1" t="shared" si="17"/>
        <v>ICE gasoline plug-in hybrid LCV -- Capital cost</v>
      </c>
      <c r="W64" s="372" t="s">
        <v>85</v>
      </c>
      <c r="X64" s="372" t="s">
        <v>86</v>
      </c>
    </row>
    <row r="65" spans="2:24">
      <c r="J65" t="str">
        <f t="shared" si="8"/>
        <v>Trd_lcv_gsl-pih</v>
      </c>
      <c r="K65" t="str">
        <f t="shared" si="3"/>
        <v>\I:</v>
      </c>
      <c r="L65" t="str">
        <f t="shared" si="4"/>
        <v>\I:</v>
      </c>
      <c r="M65" s="374" t="str">
        <f t="shared" si="11"/>
        <v/>
      </c>
      <c r="N65" s="374" t="str">
        <f t="shared" si="12"/>
        <v/>
      </c>
      <c r="O65" s="374" t="str">
        <f t="shared" si="13"/>
        <v/>
      </c>
      <c r="P65" s="374" t="str">
        <f t="shared" si="14"/>
        <v/>
      </c>
      <c r="R65" s="370"/>
      <c r="U65" t="str">
        <f t="shared" si="16"/>
        <v>\I:</v>
      </c>
      <c r="V65" t="str">
        <f ca="1" t="shared" si="17"/>
        <v>ICE gasoline plug-in hybrid LCV -- 00%</v>
      </c>
      <c r="W65" s="372" t="s">
        <v>85</v>
      </c>
      <c r="X65" s="372" t="s">
        <v>86</v>
      </c>
    </row>
    <row r="66" ht="15" customHeight="1" spans="2:24">
      <c r="B66" s="49" t="s">
        <v>21</v>
      </c>
      <c r="C66" s="371" t="s">
        <v>99</v>
      </c>
      <c r="D66" s="49"/>
      <c r="E66" s="49"/>
      <c r="F66" s="49"/>
      <c r="J66" t="str">
        <f t="shared" si="8"/>
        <v>Trd_lcv_dsl</v>
      </c>
      <c r="K66" t="str">
        <f t="shared" si="3"/>
        <v>\I:</v>
      </c>
      <c r="L66" t="str">
        <f t="shared" si="4"/>
        <v>\I:</v>
      </c>
      <c r="M66" s="374" t="str">
        <f t="shared" si="11"/>
        <v/>
      </c>
      <c r="N66" s="374" t="str">
        <f t="shared" si="12"/>
        <v/>
      </c>
      <c r="O66" s="374" t="str">
        <f t="shared" si="13"/>
        <v/>
      </c>
      <c r="P66" s="374" t="str">
        <f t="shared" si="14"/>
        <v/>
      </c>
      <c r="R66" s="370"/>
      <c r="U66" t="str">
        <f t="shared" si="16"/>
        <v>\I:</v>
      </c>
      <c r="V66" t="str">
        <f ca="1" t="shared" si="17"/>
        <v>ICE diesel LCV -- Reduction of specific energy consumption relative to 2015 diesel vehicle (%)</v>
      </c>
      <c r="W66" s="372" t="s">
        <v>85</v>
      </c>
      <c r="X66" s="372" t="s">
        <v>86</v>
      </c>
    </row>
    <row r="67" spans="2:24">
      <c r="B67" s="49"/>
      <c r="C67" s="371"/>
      <c r="D67" s="49"/>
      <c r="E67" s="49"/>
      <c r="F67" s="49"/>
      <c r="J67" t="str">
        <f t="shared" si="8"/>
        <v>Trd_lcv_dsl</v>
      </c>
      <c r="K67" t="str">
        <f t="shared" si="3"/>
        <v>\I:</v>
      </c>
      <c r="L67" t="str">
        <f t="shared" si="4"/>
        <v>\I:</v>
      </c>
      <c r="M67" s="374" t="str">
        <f t="shared" si="11"/>
        <v/>
      </c>
      <c r="N67" s="374" t="str">
        <f t="shared" si="12"/>
        <v/>
      </c>
      <c r="O67" s="374" t="str">
        <f t="shared" si="13"/>
        <v/>
      </c>
      <c r="P67" s="374" t="str">
        <f t="shared" si="14"/>
        <v/>
      </c>
      <c r="R67" s="370"/>
      <c r="U67" t="str">
        <f t="shared" si="16"/>
        <v>\I:</v>
      </c>
      <c r="V67" t="str">
        <f ca="1" t="shared" si="17"/>
        <v>ICE diesel LCV -- 00%</v>
      </c>
      <c r="W67" s="372" t="s">
        <v>85</v>
      </c>
      <c r="X67" s="372" t="s">
        <v>86</v>
      </c>
    </row>
    <row r="68" spans="2:24">
      <c r="B68" s="49"/>
      <c r="C68" s="371"/>
      <c r="D68" s="49"/>
      <c r="E68" s="49"/>
      <c r="F68" s="49"/>
      <c r="J68" t="str">
        <f t="shared" si="8"/>
        <v>Trd_lcv_dsl</v>
      </c>
      <c r="K68" t="str">
        <f t="shared" si="3"/>
        <v>\I:</v>
      </c>
      <c r="L68" t="str">
        <f t="shared" si="4"/>
        <v>\I:</v>
      </c>
      <c r="M68" s="374" t="str">
        <f t="shared" si="11"/>
        <v/>
      </c>
      <c r="N68" s="374" t="str">
        <f t="shared" si="12"/>
        <v/>
      </c>
      <c r="O68" s="374" t="str">
        <f t="shared" si="13"/>
        <v/>
      </c>
      <c r="P68" s="374" t="str">
        <f t="shared" si="14"/>
        <v/>
      </c>
      <c r="R68" s="370"/>
      <c r="U68" t="str">
        <f t="shared" si="16"/>
        <v>\I:</v>
      </c>
      <c r="V68" t="str">
        <f ca="1" t="shared" si="17"/>
        <v>ICE diesel LCV -- 00%</v>
      </c>
      <c r="W68" s="372" t="s">
        <v>85</v>
      </c>
      <c r="X68" s="372" t="s">
        <v>86</v>
      </c>
    </row>
    <row r="69" spans="2:24">
      <c r="B69" s="88"/>
      <c r="C69" s="411">
        <v>2020</v>
      </c>
      <c r="D69" s="51">
        <v>2030</v>
      </c>
      <c r="E69" s="51">
        <v>2040</v>
      </c>
      <c r="F69" s="51">
        <v>2050</v>
      </c>
      <c r="I69" s="366">
        <v>1</v>
      </c>
      <c r="J69" s="44" t="str">
        <f t="shared" ref="J69" si="19">IFERROR(VLOOKUP(C69,$R$1:$S$11,2,FALSE),J68)</f>
        <v>Trd_lcv_dsl</v>
      </c>
      <c r="K69" s="44" t="str">
        <f>IFERROR(IF(VALUE(C69)&gt;200,J69&amp;"_"&amp;TEXT(B69*100,"00"),"\I:"),"\I:")</f>
        <v>Trd_lcv_dsl_00</v>
      </c>
      <c r="L69" t="str">
        <f t="shared" si="4"/>
        <v>Trd_lcv</v>
      </c>
      <c r="M69" s="412">
        <f>D64</f>
        <v>21231.3607830263</v>
      </c>
      <c r="N69" s="374"/>
      <c r="O69" s="374"/>
      <c r="P69" s="374"/>
      <c r="R69" s="370"/>
      <c r="U69" t="str">
        <f t="shared" si="16"/>
        <v>Trd_lcv_dsl_00</v>
      </c>
      <c r="V69" t="str">
        <f ca="1" t="shared" si="17"/>
        <v>ICE diesel LCV -- 00%</v>
      </c>
      <c r="W69" s="372" t="s">
        <v>85</v>
      </c>
      <c r="X69" s="372" t="s">
        <v>86</v>
      </c>
    </row>
    <row r="70" spans="2:24">
      <c r="B70" s="85">
        <v>0.26210919523592</v>
      </c>
      <c r="C70" s="413">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74">
        <f t="shared" si="11"/>
        <v>22474.2283094357</v>
      </c>
      <c r="N70" s="374">
        <f t="shared" si="12"/>
        <v>21602.1923061418</v>
      </c>
      <c r="O70" s="374">
        <f t="shared" si="13"/>
        <v>21602.1923061418</v>
      </c>
      <c r="P70" s="374">
        <f t="shared" si="14"/>
        <v>21602.1923061418</v>
      </c>
      <c r="R70" s="370"/>
      <c r="U70" t="str">
        <f t="shared" si="16"/>
        <v>Trd_lcv_dsl_26</v>
      </c>
      <c r="V70" t="str">
        <f ca="1" t="shared" si="17"/>
        <v>ICE diesel LCV -- 26%</v>
      </c>
      <c r="W70" s="372" t="s">
        <v>85</v>
      </c>
      <c r="X70" s="372" t="s">
        <v>86</v>
      </c>
    </row>
    <row r="71" spans="2:24">
      <c r="B71" s="85">
        <v>0.36210919523592</v>
      </c>
      <c r="C71" s="413">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74">
        <f t="shared" si="11"/>
        <v>26916.5341573593</v>
      </c>
      <c r="N71" s="374">
        <f t="shared" si="12"/>
        <v>22758.9400528979</v>
      </c>
      <c r="O71" s="374">
        <f t="shared" si="13"/>
        <v>22758.9400528979</v>
      </c>
      <c r="P71" s="374">
        <f t="shared" si="14"/>
        <v>22758.9400528979</v>
      </c>
      <c r="R71" s="370"/>
      <c r="U71" t="str">
        <f t="shared" si="16"/>
        <v>Trd_lcv_dsl_36</v>
      </c>
      <c r="V71" t="str">
        <f ca="1" t="shared" si="17"/>
        <v>ICE diesel LCV -- 36%</v>
      </c>
      <c r="W71" s="372" t="s">
        <v>85</v>
      </c>
      <c r="X71" s="372" t="s">
        <v>86</v>
      </c>
    </row>
    <row r="72" spans="2:24">
      <c r="B72" s="85">
        <v>0.41210919523592</v>
      </c>
      <c r="C72" s="413">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74">
        <f t="shared" si="11"/>
        <v>36866.5037549578</v>
      </c>
      <c r="N72" s="374">
        <f t="shared" si="12"/>
        <v>24797.8982314302</v>
      </c>
      <c r="O72" s="374">
        <f t="shared" si="13"/>
        <v>24797.8982314302</v>
      </c>
      <c r="P72" s="374">
        <f t="shared" si="14"/>
        <v>24797.8982314302</v>
      </c>
      <c r="R72" s="370"/>
      <c r="U72" t="str">
        <f t="shared" si="16"/>
        <v>Trd_lcv_dsl_41</v>
      </c>
      <c r="V72" t="str">
        <f ca="1" t="shared" si="17"/>
        <v>ICE diesel LCV -- 41%</v>
      </c>
      <c r="W72" s="372" t="s">
        <v>85</v>
      </c>
      <c r="X72" s="372" t="s">
        <v>86</v>
      </c>
    </row>
    <row r="73" spans="2:24">
      <c r="B73" s="85">
        <v>0.46210919523592</v>
      </c>
      <c r="C73" s="413">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74">
        <f t="shared" si="11"/>
        <v>111418.876548986</v>
      </c>
      <c r="N73" s="374">
        <f t="shared" si="12"/>
        <v>30833.7589860951</v>
      </c>
      <c r="O73" s="374">
        <f t="shared" si="13"/>
        <v>30833.7589860951</v>
      </c>
      <c r="P73" s="374">
        <f t="shared" si="14"/>
        <v>30833.7589860951</v>
      </c>
      <c r="R73" s="370"/>
      <c r="U73" t="str">
        <f t="shared" si="16"/>
        <v>Trd_lcv_dsl_46</v>
      </c>
      <c r="V73" t="str">
        <f ca="1" t="shared" si="17"/>
        <v>ICE diesel LCV -- 46%</v>
      </c>
      <c r="W73" s="372" t="s">
        <v>85</v>
      </c>
      <c r="X73" s="372" t="s">
        <v>86</v>
      </c>
    </row>
    <row r="74" spans="2:24">
      <c r="B74" s="85">
        <v>0.51210919523592</v>
      </c>
      <c r="C74" s="413"/>
      <c r="D74" s="86">
        <v>86441.8011430764</v>
      </c>
      <c r="E74" s="86">
        <v>86441.8011430764</v>
      </c>
      <c r="F74" s="86">
        <v>86441.8011430764</v>
      </c>
      <c r="I74" s="75">
        <f>$I$63*(1+B74)/$I$11</f>
        <v>1.54015458992474</v>
      </c>
      <c r="J74" t="str">
        <f t="shared" si="8"/>
        <v>Trd_lcv_dsl</v>
      </c>
      <c r="K74" t="str">
        <f t="shared" si="3"/>
        <v>\I:</v>
      </c>
      <c r="L74" t="str">
        <f t="shared" si="4"/>
        <v>\I:</v>
      </c>
      <c r="M74" s="374" t="str">
        <f t="shared" si="11"/>
        <v/>
      </c>
      <c r="N74" s="374" t="str">
        <f t="shared" si="12"/>
        <v/>
      </c>
      <c r="O74" s="374" t="str">
        <f t="shared" si="13"/>
        <v/>
      </c>
      <c r="P74" s="374" t="str">
        <f t="shared" si="14"/>
        <v/>
      </c>
      <c r="R74" s="370"/>
      <c r="U74" t="str">
        <f t="shared" si="16"/>
        <v>\I:</v>
      </c>
      <c r="V74" t="str">
        <f ca="1" t="shared" si="17"/>
        <v>ICE diesel LCV -- 51%</v>
      </c>
      <c r="W74" s="372" t="s">
        <v>85</v>
      </c>
      <c r="X74" s="372" t="s">
        <v>86</v>
      </c>
    </row>
    <row r="75" spans="2:24">
      <c r="D75" s="97"/>
      <c r="E75" s="97"/>
      <c r="F75" s="97"/>
      <c r="J75" t="str">
        <f t="shared" si="8"/>
        <v>Trd_lcv_dsl</v>
      </c>
      <c r="K75" t="str">
        <f t="shared" si="3"/>
        <v>\I:</v>
      </c>
      <c r="L75" t="str">
        <f t="shared" si="4"/>
        <v>\I:</v>
      </c>
      <c r="M75" s="374" t="str">
        <f t="shared" si="11"/>
        <v/>
      </c>
      <c r="N75" s="374" t="str">
        <f t="shared" si="12"/>
        <v/>
      </c>
      <c r="O75" s="374" t="str">
        <f t="shared" si="13"/>
        <v/>
      </c>
      <c r="P75" s="374" t="str">
        <f t="shared" si="14"/>
        <v/>
      </c>
      <c r="R75" s="370"/>
      <c r="U75" t="str">
        <f t="shared" si="16"/>
        <v>\I:</v>
      </c>
      <c r="V75" t="str">
        <f ca="1" t="shared" si="17"/>
        <v>ICE diesel LCV -- 00%</v>
      </c>
      <c r="W75" s="372" t="s">
        <v>85</v>
      </c>
      <c r="X75" s="372" t="s">
        <v>86</v>
      </c>
    </row>
    <row r="76" spans="2:24">
      <c r="J76" t="str">
        <f t="shared" si="8"/>
        <v>Trd_lcv_dsl</v>
      </c>
      <c r="K76" t="str">
        <f t="shared" si="3"/>
        <v>\I:</v>
      </c>
      <c r="L76" t="str">
        <f t="shared" si="4"/>
        <v>\I:</v>
      </c>
      <c r="M76" s="374" t="str">
        <f t="shared" si="11"/>
        <v/>
      </c>
      <c r="N76" s="374" t="str">
        <f t="shared" si="12"/>
        <v/>
      </c>
      <c r="O76" s="374" t="str">
        <f t="shared" si="13"/>
        <v/>
      </c>
      <c r="P76" s="374" t="str">
        <f t="shared" si="14"/>
        <v/>
      </c>
      <c r="R76" s="370"/>
      <c r="U76" t="str">
        <f t="shared" si="16"/>
        <v>\I:</v>
      </c>
      <c r="V76" t="str">
        <f ca="1" t="shared" si="17"/>
        <v>ICE diesel LCV -- 00%</v>
      </c>
      <c r="W76" s="372" t="s">
        <v>85</v>
      </c>
      <c r="X76" s="372" t="s">
        <v>86</v>
      </c>
    </row>
    <row r="77" spans="2:24">
      <c r="J77" t="str">
        <f t="shared" si="8"/>
        <v>Trd_lcv_dsl</v>
      </c>
      <c r="K77" t="str">
        <f t="shared" si="3"/>
        <v>\I:</v>
      </c>
      <c r="L77" t="str">
        <f t="shared" si="4"/>
        <v>\I:</v>
      </c>
      <c r="M77" s="374" t="str">
        <f t="shared" si="11"/>
        <v/>
      </c>
      <c r="N77" s="374" t="str">
        <f t="shared" si="12"/>
        <v/>
      </c>
      <c r="O77" s="374" t="str">
        <f t="shared" si="13"/>
        <v/>
      </c>
      <c r="P77" s="374" t="str">
        <f t="shared" si="14"/>
        <v/>
      </c>
      <c r="R77" s="370"/>
      <c r="U77" t="str">
        <f t="shared" si="16"/>
        <v>\I:</v>
      </c>
      <c r="V77" t="str">
        <f ca="1" t="shared" si="17"/>
        <v>ICE diesel LCV -- 00%</v>
      </c>
      <c r="W77" s="372" t="s">
        <v>85</v>
      </c>
      <c r="X77" s="372" t="s">
        <v>86</v>
      </c>
    </row>
    <row r="78" spans="2:24">
      <c r="J78" t="str">
        <f t="shared" si="8"/>
        <v>Trd_lcv_dsl</v>
      </c>
      <c r="K78" t="str">
        <f t="shared" si="3"/>
        <v>\I:</v>
      </c>
      <c r="L78" t="str">
        <f t="shared" si="4"/>
        <v>\I:</v>
      </c>
      <c r="M78" s="374" t="str">
        <f t="shared" si="11"/>
        <v/>
      </c>
      <c r="N78" s="374" t="str">
        <f t="shared" si="12"/>
        <v/>
      </c>
      <c r="O78" s="374" t="str">
        <f t="shared" si="13"/>
        <v/>
      </c>
      <c r="P78" s="374" t="str">
        <f t="shared" si="14"/>
        <v/>
      </c>
      <c r="R78" s="370"/>
      <c r="U78" t="str">
        <f t="shared" si="16"/>
        <v>\I:</v>
      </c>
      <c r="V78" t="str">
        <f ca="1" t="shared" si="17"/>
        <v>ICE diesel LCV -- 00%</v>
      </c>
      <c r="W78" s="372" t="s">
        <v>85</v>
      </c>
      <c r="X78" s="372" t="s">
        <v>86</v>
      </c>
    </row>
    <row r="79" ht="15" customHeight="1" spans="2:24">
      <c r="B79" s="49" t="s">
        <v>21</v>
      </c>
      <c r="C79" s="371" t="s">
        <v>100</v>
      </c>
      <c r="D79" s="49"/>
      <c r="E79" s="49"/>
      <c r="F79" s="49"/>
      <c r="J79" t="str">
        <f t="shared" si="8"/>
        <v>Trd_lcv_dsl-hyb</v>
      </c>
      <c r="K79" t="str">
        <f t="shared" si="3"/>
        <v>\I:</v>
      </c>
      <c r="L79" t="str">
        <f t="shared" si="4"/>
        <v>\I:</v>
      </c>
      <c r="M79" s="374" t="str">
        <f t="shared" si="11"/>
        <v/>
      </c>
      <c r="N79" s="374" t="str">
        <f t="shared" si="12"/>
        <v/>
      </c>
      <c r="O79" s="374" t="str">
        <f t="shared" si="13"/>
        <v/>
      </c>
      <c r="P79" s="374" t="str">
        <f t="shared" si="14"/>
        <v/>
      </c>
      <c r="R79" s="370"/>
      <c r="U79" t="str">
        <f t="shared" si="16"/>
        <v>\I:</v>
      </c>
      <c r="V79" t="str">
        <f ca="1" t="shared" si="17"/>
        <v>ICE hybrid diesel LCV -- Reduction of specific energy consumption relative to 2015 diesel vehicle (%)</v>
      </c>
      <c r="W79" s="372" t="s">
        <v>85</v>
      </c>
      <c r="X79" s="372" t="s">
        <v>86</v>
      </c>
    </row>
    <row r="80" spans="2:24">
      <c r="B80" s="49"/>
      <c r="C80" s="371"/>
      <c r="D80" s="49"/>
      <c r="E80" s="49"/>
      <c r="F80" s="49"/>
      <c r="J80" t="str">
        <f t="shared" si="8"/>
        <v>Trd_lcv_dsl-hyb</v>
      </c>
      <c r="K80" t="str">
        <f t="shared" si="3"/>
        <v>\I:</v>
      </c>
      <c r="L80" t="str">
        <f t="shared" si="4"/>
        <v>\I:</v>
      </c>
      <c r="M80" s="374" t="str">
        <f t="shared" si="11"/>
        <v/>
      </c>
      <c r="N80" s="374" t="str">
        <f t="shared" si="12"/>
        <v/>
      </c>
      <c r="O80" s="374" t="str">
        <f t="shared" si="13"/>
        <v/>
      </c>
      <c r="P80" s="374" t="str">
        <f t="shared" si="14"/>
        <v/>
      </c>
      <c r="R80" s="370"/>
      <c r="U80" t="str">
        <f t="shared" ref="U80:U111" si="20">K80</f>
        <v>\I:</v>
      </c>
      <c r="V80" t="str">
        <f ca="1" t="shared" ref="V80:V111" si="21">OFFSET($S$1,MATCH(J80,$S$1:$S$10,0)-1,-1)&amp;" -- "&amp;TEXT(B80,"00%")</f>
        <v>ICE hybrid diesel LCV -- 00%</v>
      </c>
      <c r="W80" s="372" t="s">
        <v>85</v>
      </c>
      <c r="X80" s="372" t="s">
        <v>86</v>
      </c>
    </row>
    <row r="81" spans="2:24">
      <c r="B81" s="49"/>
      <c r="C81" s="371"/>
      <c r="D81" s="49"/>
      <c r="E81" s="49"/>
      <c r="F81" s="49"/>
      <c r="J81" t="str">
        <f t="shared" si="8"/>
        <v>Trd_lcv_dsl-hyb</v>
      </c>
      <c r="K81" t="str">
        <f t="shared" ref="K81:K144" si="22">IFERROR(IF(VALUE(C81)&gt;2020,J81&amp;"_"&amp;TEXT(B81*100,"00"),"\I:"),"\I:")</f>
        <v>\I:</v>
      </c>
      <c r="L81" t="str">
        <f t="shared" ref="L81:L144" si="23">LEFT(K81,7)</f>
        <v>\I:</v>
      </c>
      <c r="M81" s="374" t="str">
        <f t="shared" si="11"/>
        <v/>
      </c>
      <c r="N81" s="374" t="str">
        <f t="shared" si="12"/>
        <v/>
      </c>
      <c r="O81" s="374" t="str">
        <f t="shared" si="13"/>
        <v/>
      </c>
      <c r="P81" s="374" t="str">
        <f t="shared" si="14"/>
        <v/>
      </c>
      <c r="R81" s="370"/>
      <c r="U81" t="str">
        <f t="shared" si="20"/>
        <v>\I:</v>
      </c>
      <c r="V81" t="str">
        <f ca="1" t="shared" si="21"/>
        <v>ICE hybrid diesel LCV -- 00%</v>
      </c>
      <c r="W81" s="372" t="s">
        <v>85</v>
      </c>
      <c r="X81" s="372" t="s">
        <v>86</v>
      </c>
    </row>
    <row r="82" spans="2:24">
      <c r="B82" s="88"/>
      <c r="C82" s="411">
        <v>2020</v>
      </c>
      <c r="D82" s="51">
        <v>2030</v>
      </c>
      <c r="E82" s="51">
        <v>2040</v>
      </c>
      <c r="F82" s="51">
        <v>2050</v>
      </c>
      <c r="J82" t="str">
        <f t="shared" si="8"/>
        <v>Trd_lcv_dsl-hyb</v>
      </c>
      <c r="K82" t="str">
        <f t="shared" si="22"/>
        <v>\I:</v>
      </c>
      <c r="L82" t="str">
        <f t="shared" si="23"/>
        <v>\I:</v>
      </c>
      <c r="M82" s="374" t="str">
        <f t="shared" si="11"/>
        <v/>
      </c>
      <c r="N82" s="374" t="str">
        <f t="shared" si="12"/>
        <v/>
      </c>
      <c r="O82" s="374" t="str">
        <f t="shared" si="13"/>
        <v/>
      </c>
      <c r="P82" s="374" t="str">
        <f t="shared" si="14"/>
        <v/>
      </c>
      <c r="R82" s="370"/>
      <c r="U82" t="str">
        <f t="shared" si="20"/>
        <v>\I:</v>
      </c>
      <c r="V82" t="str">
        <f ca="1" t="shared" si="21"/>
        <v>ICE hybrid diesel LCV -- 00%</v>
      </c>
      <c r="W82" s="372" t="s">
        <v>85</v>
      </c>
      <c r="X82" s="372" t="s">
        <v>86</v>
      </c>
    </row>
    <row r="83" spans="2:24">
      <c r="B83" s="85">
        <v>0.110724303558803</v>
      </c>
      <c r="C83" s="413">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74">
        <f t="shared" si="11"/>
        <v>24678.6668661833</v>
      </c>
      <c r="N83" s="374">
        <f t="shared" si="12"/>
        <v>23366.0686001195</v>
      </c>
      <c r="O83" s="374">
        <f t="shared" si="13"/>
        <v>23366.0686001195</v>
      </c>
      <c r="P83" s="374">
        <f t="shared" si="14"/>
        <v>23366.0686001195</v>
      </c>
      <c r="R83" s="370"/>
      <c r="U83" t="str">
        <f t="shared" si="20"/>
        <v>Trd_lcv_dsl-hyb_11</v>
      </c>
      <c r="V83" t="str">
        <f ca="1" t="shared" si="21"/>
        <v>ICE hybrid diesel LCV -- 11%</v>
      </c>
      <c r="W83" s="372" t="s">
        <v>85</v>
      </c>
      <c r="X83" s="372" t="s">
        <v>86</v>
      </c>
    </row>
    <row r="84" spans="2:24">
      <c r="B84" s="85">
        <v>0.210724303558803</v>
      </c>
      <c r="C84" s="413">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74">
        <f t="shared" si="11"/>
        <v>24878.6334447431</v>
      </c>
      <c r="N84" s="374">
        <f t="shared" si="12"/>
        <v>23501.1217209491</v>
      </c>
      <c r="O84" s="374">
        <f t="shared" si="13"/>
        <v>23501.1217209491</v>
      </c>
      <c r="P84" s="374">
        <f t="shared" si="14"/>
        <v>23501.1217209491</v>
      </c>
      <c r="R84" s="370"/>
      <c r="U84" t="str">
        <f t="shared" si="20"/>
        <v>Trd_lcv_dsl-hyb_21</v>
      </c>
      <c r="V84" t="str">
        <f ca="1" t="shared" si="21"/>
        <v>ICE hybrid diesel LCV -- 21%</v>
      </c>
      <c r="W84" s="372" t="s">
        <v>85</v>
      </c>
      <c r="X84" s="372" t="s">
        <v>86</v>
      </c>
    </row>
    <row r="85" spans="2:24">
      <c r="B85" s="85">
        <v>0.260724303558803</v>
      </c>
      <c r="C85" s="413">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74">
        <f t="shared" si="11"/>
        <v>25028.9645658107</v>
      </c>
      <c r="N85" s="374">
        <f t="shared" si="12"/>
        <v>23634.9946579313</v>
      </c>
      <c r="O85" s="374">
        <f t="shared" si="13"/>
        <v>23634.9946579313</v>
      </c>
      <c r="P85" s="374">
        <f t="shared" si="14"/>
        <v>23634.9946579313</v>
      </c>
      <c r="R85" s="370"/>
      <c r="U85" t="str">
        <f t="shared" si="20"/>
        <v>Trd_lcv_dsl-hyb_26</v>
      </c>
      <c r="V85" t="str">
        <f ca="1" t="shared" si="21"/>
        <v>ICE hybrid diesel LCV -- 26%</v>
      </c>
      <c r="W85" s="372" t="s">
        <v>85</v>
      </c>
      <c r="X85" s="372" t="s">
        <v>86</v>
      </c>
    </row>
    <row r="86" spans="2:24">
      <c r="B86" s="85">
        <v>0.310724303558803</v>
      </c>
      <c r="C86" s="413">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74">
        <f t="shared" si="11"/>
        <v>25273.0292990968</v>
      </c>
      <c r="N86" s="374">
        <f t="shared" si="12"/>
        <v>23801.0752115564</v>
      </c>
      <c r="O86" s="374">
        <f t="shared" si="13"/>
        <v>23801.0752115564</v>
      </c>
      <c r="P86" s="374">
        <f t="shared" si="14"/>
        <v>23801.0752115564</v>
      </c>
      <c r="R86" s="370"/>
      <c r="U86" t="str">
        <f t="shared" si="20"/>
        <v>Trd_lcv_dsl-hyb_31</v>
      </c>
      <c r="V86" t="str">
        <f ca="1" t="shared" si="21"/>
        <v>ICE hybrid diesel LCV -- 31%</v>
      </c>
      <c r="W86" s="372" t="s">
        <v>85</v>
      </c>
      <c r="X86" s="372" t="s">
        <v>86</v>
      </c>
    </row>
    <row r="87" spans="2:24">
      <c r="B87" s="85">
        <v>0.360724303558803</v>
      </c>
      <c r="C87" s="413">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74">
        <f t="shared" si="11"/>
        <v>25690.6061397019</v>
      </c>
      <c r="N87" s="374">
        <f t="shared" si="12"/>
        <v>24014.7586359106</v>
      </c>
      <c r="O87" s="374">
        <f t="shared" si="13"/>
        <v>24014.7586359106</v>
      </c>
      <c r="P87" s="374">
        <f t="shared" si="14"/>
        <v>24014.7586359106</v>
      </c>
      <c r="R87" s="370"/>
      <c r="U87" t="str">
        <f t="shared" si="20"/>
        <v>Trd_lcv_dsl-hyb_36</v>
      </c>
      <c r="V87" t="str">
        <f ca="1" t="shared" si="21"/>
        <v>ICE hybrid diesel LCV -- 36%</v>
      </c>
      <c r="W87" s="372" t="s">
        <v>85</v>
      </c>
      <c r="X87" s="372" t="s">
        <v>86</v>
      </c>
    </row>
    <row r="88" spans="2:24">
      <c r="B88" s="85">
        <v>0.410724303558803</v>
      </c>
      <c r="C88" s="413">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74">
        <f t="shared" si="11"/>
        <v>35262.6550538041</v>
      </c>
      <c r="N88" s="374">
        <f t="shared" si="12"/>
        <v>24332.1326255198</v>
      </c>
      <c r="O88" s="374">
        <f t="shared" si="13"/>
        <v>24332.1326255198</v>
      </c>
      <c r="P88" s="374">
        <f t="shared" si="14"/>
        <v>24332.1326255198</v>
      </c>
      <c r="R88" s="370"/>
      <c r="U88" t="str">
        <f t="shared" si="20"/>
        <v>Trd_lcv_dsl-hyb_41</v>
      </c>
      <c r="V88" t="str">
        <f ca="1" t="shared" si="21"/>
        <v>ICE hybrid diesel LCV -- 41%</v>
      </c>
      <c r="W88" s="372" t="s">
        <v>85</v>
      </c>
      <c r="X88" s="372" t="s">
        <v>86</v>
      </c>
    </row>
    <row r="89" spans="2:24">
      <c r="B89" s="85">
        <v>0.460724303558803</v>
      </c>
      <c r="C89" s="413">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74">
        <f t="shared" si="11"/>
        <v>114071.886949746</v>
      </c>
      <c r="N89" s="374">
        <f t="shared" si="12"/>
        <v>33470.3117976244</v>
      </c>
      <c r="O89" s="374">
        <f t="shared" si="13"/>
        <v>33470.3117976244</v>
      </c>
      <c r="P89" s="374">
        <f t="shared" si="14"/>
        <v>33470.3117976244</v>
      </c>
      <c r="R89" s="370"/>
      <c r="U89" t="str">
        <f t="shared" si="20"/>
        <v>Trd_lcv_dsl-hyb_46</v>
      </c>
      <c r="V89" t="str">
        <f ca="1" t="shared" si="21"/>
        <v>ICE hybrid diesel LCV -- 46%</v>
      </c>
      <c r="W89" s="372" t="s">
        <v>85</v>
      </c>
      <c r="X89" s="372" t="s">
        <v>86</v>
      </c>
    </row>
    <row r="90" spans="2:24">
      <c r="D90" s="97"/>
      <c r="E90" s="97"/>
      <c r="F90" s="97"/>
      <c r="I90" s="75"/>
      <c r="J90" t="str">
        <f t="shared" si="25"/>
        <v>Trd_lcv_dsl-hyb</v>
      </c>
      <c r="K90" t="str">
        <f t="shared" si="22"/>
        <v>\I:</v>
      </c>
      <c r="L90" t="str">
        <f t="shared" si="23"/>
        <v>\I:</v>
      </c>
      <c r="M90" s="374" t="str">
        <f t="shared" ref="M90:M153" si="26">IF($K90="\I:","",C90)</f>
        <v/>
      </c>
      <c r="N90" s="374" t="str">
        <f t="shared" ref="N90:N153" si="27">IF($K90="\I:","",D90)</f>
        <v/>
      </c>
      <c r="O90" s="374" t="str">
        <f t="shared" ref="O90:O153" si="28">IF($K90="\I:","",E90)</f>
        <v/>
      </c>
      <c r="P90" s="374" t="str">
        <f t="shared" ref="P90:P153" si="29">IF($K90="\I:","",F90)</f>
        <v/>
      </c>
      <c r="R90" s="370"/>
      <c r="U90" t="str">
        <f t="shared" si="20"/>
        <v>\I:</v>
      </c>
      <c r="V90" t="str">
        <f ca="1" t="shared" si="21"/>
        <v>ICE hybrid diesel LCV -- 00%</v>
      </c>
      <c r="W90" s="372" t="s">
        <v>85</v>
      </c>
      <c r="X90" s="372" t="s">
        <v>86</v>
      </c>
    </row>
    <row r="91" spans="2:24">
      <c r="J91" t="str">
        <f t="shared" si="25"/>
        <v>Trd_lcv_dsl-hyb</v>
      </c>
      <c r="K91" t="str">
        <f t="shared" si="22"/>
        <v>\I:</v>
      </c>
      <c r="L91" t="str">
        <f t="shared" si="23"/>
        <v>\I:</v>
      </c>
      <c r="M91" s="374" t="str">
        <f t="shared" si="26"/>
        <v/>
      </c>
      <c r="N91" s="374" t="str">
        <f t="shared" si="27"/>
        <v/>
      </c>
      <c r="O91" s="374" t="str">
        <f t="shared" si="28"/>
        <v/>
      </c>
      <c r="P91" s="374" t="str">
        <f t="shared" si="29"/>
        <v/>
      </c>
      <c r="R91" s="370"/>
      <c r="U91" t="str">
        <f t="shared" si="20"/>
        <v>\I:</v>
      </c>
      <c r="V91" t="str">
        <f ca="1" t="shared" si="21"/>
        <v>ICE hybrid diesel LCV -- 00%</v>
      </c>
      <c r="W91" s="372" t="s">
        <v>85</v>
      </c>
      <c r="X91" s="372" t="s">
        <v>86</v>
      </c>
    </row>
    <row r="92" spans="2:24">
      <c r="J92" t="str">
        <f t="shared" si="25"/>
        <v>Trd_lcv_dsl-hyb</v>
      </c>
      <c r="K92" t="str">
        <f t="shared" si="22"/>
        <v>\I:</v>
      </c>
      <c r="L92" t="str">
        <f t="shared" si="23"/>
        <v>\I:</v>
      </c>
      <c r="M92" s="374" t="str">
        <f t="shared" si="26"/>
        <v/>
      </c>
      <c r="N92" s="374" t="str">
        <f t="shared" si="27"/>
        <v/>
      </c>
      <c r="O92" s="374" t="str">
        <f t="shared" si="28"/>
        <v/>
      </c>
      <c r="P92" s="374" t="str">
        <f t="shared" si="29"/>
        <v/>
      </c>
      <c r="R92" s="370"/>
      <c r="U92" t="str">
        <f t="shared" si="20"/>
        <v>\I:</v>
      </c>
      <c r="V92" t="str">
        <f ca="1" t="shared" si="21"/>
        <v>ICE hybrid diesel LCV -- 00%</v>
      </c>
      <c r="W92" s="372" t="s">
        <v>85</v>
      </c>
      <c r="X92" s="372" t="s">
        <v>86</v>
      </c>
    </row>
    <row r="93" spans="2:24">
      <c r="J93" t="str">
        <f t="shared" si="25"/>
        <v>Trd_lcv_dsl-hyb</v>
      </c>
      <c r="K93" t="str">
        <f t="shared" si="22"/>
        <v>\I:</v>
      </c>
      <c r="L93" t="str">
        <f t="shared" si="23"/>
        <v>\I:</v>
      </c>
      <c r="M93" s="374" t="str">
        <f t="shared" si="26"/>
        <v/>
      </c>
      <c r="N93" s="374" t="str">
        <f t="shared" si="27"/>
        <v/>
      </c>
      <c r="O93" s="374" t="str">
        <f t="shared" si="28"/>
        <v/>
      </c>
      <c r="P93" s="374" t="str">
        <f t="shared" si="29"/>
        <v/>
      </c>
      <c r="R93" s="370"/>
      <c r="U93" t="str">
        <f t="shared" si="20"/>
        <v>\I:</v>
      </c>
      <c r="V93" t="str">
        <f ca="1" t="shared" si="21"/>
        <v>ICE hybrid diesel LCV -- 00%</v>
      </c>
      <c r="W93" s="372" t="s">
        <v>85</v>
      </c>
      <c r="X93" s="372" t="s">
        <v>86</v>
      </c>
    </row>
    <row r="94" ht="15" customHeight="1" spans="2:24">
      <c r="B94" s="49" t="s">
        <v>21</v>
      </c>
      <c r="C94" s="371" t="s">
        <v>101</v>
      </c>
      <c r="D94" s="49"/>
      <c r="E94" s="49"/>
      <c r="F94" s="49"/>
      <c r="J94" t="str">
        <f t="shared" si="25"/>
        <v>Trd_lcv_dsl-pih</v>
      </c>
      <c r="K94" t="str">
        <f t="shared" si="22"/>
        <v>\I:</v>
      </c>
      <c r="L94" t="str">
        <f t="shared" si="23"/>
        <v>\I:</v>
      </c>
      <c r="M94" s="374" t="str">
        <f t="shared" si="26"/>
        <v/>
      </c>
      <c r="N94" s="374" t="str">
        <f t="shared" si="27"/>
        <v/>
      </c>
      <c r="O94" s="374" t="str">
        <f t="shared" si="28"/>
        <v/>
      </c>
      <c r="P94" s="374" t="str">
        <f t="shared" si="29"/>
        <v/>
      </c>
      <c r="R94" s="370"/>
      <c r="U94" t="str">
        <f t="shared" si="20"/>
        <v>\I:</v>
      </c>
      <c r="V94" t="str">
        <f ca="1" t="shared" si="21"/>
        <v>ICE plug-in hybrid diesel LCV -- Reduction of specific energy consumption relative to 2015 diesel vehicle (%)</v>
      </c>
      <c r="W94" s="372" t="s">
        <v>85</v>
      </c>
      <c r="X94" s="372" t="s">
        <v>86</v>
      </c>
    </row>
    <row r="95" spans="2:24">
      <c r="B95" s="49"/>
      <c r="C95" s="371"/>
      <c r="D95" s="49"/>
      <c r="E95" s="49"/>
      <c r="F95" s="49"/>
      <c r="J95" t="str">
        <f t="shared" si="25"/>
        <v>Trd_lcv_dsl-pih</v>
      </c>
      <c r="K95" t="str">
        <f t="shared" si="22"/>
        <v>\I:</v>
      </c>
      <c r="L95" t="str">
        <f t="shared" si="23"/>
        <v>\I:</v>
      </c>
      <c r="M95" s="374" t="str">
        <f t="shared" si="26"/>
        <v/>
      </c>
      <c r="N95" s="374" t="str">
        <f t="shared" si="27"/>
        <v/>
      </c>
      <c r="O95" s="374" t="str">
        <f t="shared" si="28"/>
        <v/>
      </c>
      <c r="P95" s="374" t="str">
        <f t="shared" si="29"/>
        <v/>
      </c>
      <c r="R95" s="370"/>
      <c r="U95" t="str">
        <f t="shared" si="20"/>
        <v>\I:</v>
      </c>
      <c r="V95" t="str">
        <f ca="1" t="shared" si="21"/>
        <v>ICE plug-in hybrid diesel LCV -- 00%</v>
      </c>
      <c r="W95" s="372" t="s">
        <v>85</v>
      </c>
      <c r="X95" s="372" t="s">
        <v>86</v>
      </c>
    </row>
    <row r="96" spans="2:24">
      <c r="B96" s="49"/>
      <c r="C96" s="371"/>
      <c r="D96" s="49"/>
      <c r="E96" s="49"/>
      <c r="F96" s="49"/>
      <c r="J96" t="str">
        <f t="shared" si="25"/>
        <v>Trd_lcv_dsl-pih</v>
      </c>
      <c r="K96" t="str">
        <f t="shared" si="22"/>
        <v>\I:</v>
      </c>
      <c r="L96" t="str">
        <f t="shared" si="23"/>
        <v>\I:</v>
      </c>
      <c r="M96" s="374" t="str">
        <f t="shared" si="26"/>
        <v/>
      </c>
      <c r="N96" s="374" t="str">
        <f t="shared" si="27"/>
        <v/>
      </c>
      <c r="O96" s="374" t="str">
        <f t="shared" si="28"/>
        <v/>
      </c>
      <c r="P96" s="374" t="str">
        <f t="shared" si="29"/>
        <v/>
      </c>
      <c r="R96" s="370"/>
      <c r="U96" t="str">
        <f t="shared" si="20"/>
        <v>\I:</v>
      </c>
      <c r="V96" t="str">
        <f ca="1" t="shared" si="21"/>
        <v>ICE plug-in hybrid diesel LCV -- 00%</v>
      </c>
      <c r="W96" s="372" t="s">
        <v>85</v>
      </c>
      <c r="X96" s="372" t="s">
        <v>86</v>
      </c>
    </row>
    <row r="97" spans="2:24">
      <c r="B97" s="88"/>
      <c r="C97" s="411">
        <v>2020</v>
      </c>
      <c r="D97" s="51">
        <v>2030</v>
      </c>
      <c r="E97" s="51">
        <v>2040</v>
      </c>
      <c r="F97" s="51">
        <v>2050</v>
      </c>
      <c r="J97" t="str">
        <f t="shared" si="25"/>
        <v>Trd_lcv_dsl-pih</v>
      </c>
      <c r="K97" t="str">
        <f t="shared" si="22"/>
        <v>\I:</v>
      </c>
      <c r="L97" t="str">
        <f t="shared" si="23"/>
        <v>\I:</v>
      </c>
      <c r="M97" s="374" t="str">
        <f t="shared" si="26"/>
        <v/>
      </c>
      <c r="N97" s="374" t="str">
        <f t="shared" si="27"/>
        <v/>
      </c>
      <c r="O97" s="374" t="str">
        <f t="shared" si="28"/>
        <v/>
      </c>
      <c r="P97" s="374" t="str">
        <f t="shared" si="29"/>
        <v/>
      </c>
      <c r="R97" s="370"/>
      <c r="U97" t="str">
        <f t="shared" si="20"/>
        <v>\I:</v>
      </c>
      <c r="V97" t="str">
        <f ca="1" t="shared" si="21"/>
        <v>ICE plug-in hybrid diesel LCV -- 00%</v>
      </c>
      <c r="W97" s="372" t="s">
        <v>85</v>
      </c>
      <c r="X97" s="372" t="s">
        <v>86</v>
      </c>
    </row>
    <row r="98" spans="2:24">
      <c r="B98" s="414">
        <v>0.85</v>
      </c>
      <c r="C98" s="413">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74">
        <f t="shared" si="26"/>
        <v>29234.4869036876</v>
      </c>
      <c r="N98" s="374">
        <f t="shared" si="27"/>
        <v>24721.6233975056</v>
      </c>
      <c r="O98" s="374">
        <f t="shared" si="28"/>
        <v>23657.1536371324</v>
      </c>
      <c r="P98" s="374">
        <f t="shared" si="29"/>
        <v>23346.6949179619</v>
      </c>
      <c r="R98" s="370"/>
      <c r="U98" t="str">
        <f t="shared" si="20"/>
        <v>Trd_lcv_dsl-pih_85</v>
      </c>
      <c r="V98" t="str">
        <f ca="1" t="shared" si="21"/>
        <v>ICE plug-in hybrid diesel LCV -- 85%</v>
      </c>
      <c r="W98" s="372" t="s">
        <v>85</v>
      </c>
      <c r="X98" s="372" t="s">
        <v>86</v>
      </c>
    </row>
    <row r="99" spans="2:24">
      <c r="B99" s="414">
        <v>0.86</v>
      </c>
      <c r="C99" s="413">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74">
        <f t="shared" si="26"/>
        <v>29248.700988014</v>
      </c>
      <c r="N99" s="374">
        <f t="shared" si="27"/>
        <v>24735.5644630519</v>
      </c>
      <c r="O99" s="374">
        <f t="shared" si="28"/>
        <v>23661.3230310365</v>
      </c>
      <c r="P99" s="374">
        <f t="shared" si="29"/>
        <v>23347.4576013673</v>
      </c>
      <c r="R99" s="370"/>
      <c r="U99" t="str">
        <f t="shared" si="20"/>
        <v>Trd_lcv_dsl-pih_86</v>
      </c>
      <c r="V99" t="str">
        <f ca="1" t="shared" si="21"/>
        <v>ICE plug-in hybrid diesel LCV -- 86%</v>
      </c>
      <c r="W99" s="372" t="s">
        <v>85</v>
      </c>
      <c r="X99" s="372" t="s">
        <v>86</v>
      </c>
    </row>
    <row r="100" spans="2:24">
      <c r="B100" s="414">
        <v>0.87</v>
      </c>
      <c r="C100" s="413">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74">
        <f t="shared" si="26"/>
        <v>29375.5183424242</v>
      </c>
      <c r="N100" s="374">
        <f t="shared" si="27"/>
        <v>24752.5086854066</v>
      </c>
      <c r="O100" s="374">
        <f t="shared" si="28"/>
        <v>23672.9915395907</v>
      </c>
      <c r="P100" s="374">
        <f t="shared" si="29"/>
        <v>23357.5576776065</v>
      </c>
      <c r="R100" s="370"/>
      <c r="U100" t="str">
        <f t="shared" si="20"/>
        <v>Trd_lcv_dsl-pih_87</v>
      </c>
      <c r="V100" t="str">
        <f ca="1" t="shared" si="21"/>
        <v>ICE plug-in hybrid diesel LCV -- 87%</v>
      </c>
      <c r="W100" s="372" t="s">
        <v>85</v>
      </c>
      <c r="X100" s="372" t="s">
        <v>86</v>
      </c>
    </row>
    <row r="101" spans="2:24">
      <c r="B101" s="414">
        <v>0.88</v>
      </c>
      <c r="C101" s="413">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74">
        <f t="shared" si="26"/>
        <v>29852.3977032646</v>
      </c>
      <c r="N101" s="374">
        <f t="shared" si="27"/>
        <v>24778.2908929212</v>
      </c>
      <c r="O101" s="374">
        <f t="shared" si="28"/>
        <v>23702.3792571154</v>
      </c>
      <c r="P101" s="374">
        <f t="shared" si="29"/>
        <v>23389.0918257128</v>
      </c>
      <c r="R101" s="370"/>
      <c r="U101" t="str">
        <f t="shared" si="20"/>
        <v>Trd_lcv_dsl-pih_88</v>
      </c>
      <c r="V101" t="str">
        <f ca="1" t="shared" si="21"/>
        <v>ICE plug-in hybrid diesel LCV -- 88%</v>
      </c>
      <c r="W101" s="372" t="s">
        <v>85</v>
      </c>
      <c r="X101" s="372" t="s">
        <v>86</v>
      </c>
    </row>
    <row r="102" spans="2:24">
      <c r="B102" s="414">
        <v>0.89</v>
      </c>
      <c r="C102" s="413">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74">
        <f t="shared" si="26"/>
        <v>34743.079083496</v>
      </c>
      <c r="N102" s="374">
        <f t="shared" si="27"/>
        <v>24899.2147906171</v>
      </c>
      <c r="O102" s="374">
        <f t="shared" si="28"/>
        <v>23827.8028677736</v>
      </c>
      <c r="P102" s="374">
        <f t="shared" si="29"/>
        <v>23519.7465846992</v>
      </c>
      <c r="R102" s="370"/>
      <c r="U102" t="str">
        <f t="shared" si="20"/>
        <v>Trd_lcv_dsl-pih_89</v>
      </c>
      <c r="V102" t="str">
        <f ca="1" t="shared" si="21"/>
        <v>ICE plug-in hybrid diesel LCV -- 89%</v>
      </c>
      <c r="W102" s="372" t="s">
        <v>85</v>
      </c>
      <c r="X102" s="372" t="s">
        <v>86</v>
      </c>
    </row>
    <row r="103" spans="2:24">
      <c r="B103" s="414">
        <v>0.9325</v>
      </c>
      <c r="C103" s="413">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74">
        <f t="shared" si="26"/>
        <v>110252.595487286</v>
      </c>
      <c r="N103" s="374">
        <f t="shared" si="27"/>
        <v>29030.4336706465</v>
      </c>
      <c r="O103" s="374">
        <f t="shared" si="28"/>
        <v>27383.9399225882</v>
      </c>
      <c r="P103" s="374">
        <f t="shared" si="29"/>
        <v>26970.6097618657</v>
      </c>
      <c r="R103" s="370"/>
      <c r="U103" t="str">
        <f t="shared" si="20"/>
        <v>Trd_lcv_dsl-pih_93</v>
      </c>
      <c r="V103" t="str">
        <f ca="1" t="shared" si="21"/>
        <v>ICE plug-in hybrid diesel LCV -- 93%</v>
      </c>
      <c r="W103" s="372" t="s">
        <v>85</v>
      </c>
      <c r="X103" s="372" t="s">
        <v>86</v>
      </c>
    </row>
    <row r="104" spans="2:24">
      <c r="B104" s="414">
        <v>0.9375</v>
      </c>
      <c r="C104" s="413"/>
      <c r="D104" s="86">
        <v>58730.6324989268</v>
      </c>
      <c r="E104" s="86">
        <v>56027.5236874505</v>
      </c>
      <c r="F104" s="86">
        <v>56056.649342681</v>
      </c>
      <c r="I104" s="75">
        <f t="shared" si="30"/>
        <v>1.97343520387336</v>
      </c>
      <c r="J104" t="str">
        <f t="shared" si="25"/>
        <v>Trd_lcv_dsl-pih</v>
      </c>
      <c r="K104" t="str">
        <f t="shared" si="22"/>
        <v>\I:</v>
      </c>
      <c r="L104" t="str">
        <f t="shared" si="23"/>
        <v>\I:</v>
      </c>
      <c r="M104" s="374" t="str">
        <f t="shared" si="26"/>
        <v/>
      </c>
      <c r="N104" s="374" t="str">
        <f t="shared" si="27"/>
        <v/>
      </c>
      <c r="O104" s="374" t="str">
        <f t="shared" si="28"/>
        <v/>
      </c>
      <c r="P104" s="374" t="str">
        <f t="shared" si="29"/>
        <v/>
      </c>
      <c r="R104" s="370"/>
      <c r="U104" t="str">
        <f t="shared" si="20"/>
        <v>\I:</v>
      </c>
      <c r="V104" t="str">
        <f ca="1" t="shared" si="21"/>
        <v>ICE plug-in hybrid diesel LCV -- 94%</v>
      </c>
      <c r="W104" s="372" t="s">
        <v>85</v>
      </c>
      <c r="X104" s="372" t="s">
        <v>86</v>
      </c>
    </row>
    <row r="105" spans="2:24">
      <c r="D105" s="97"/>
      <c r="E105" s="97"/>
      <c r="F105" s="97"/>
      <c r="J105" t="str">
        <f t="shared" si="25"/>
        <v>Trd_lcv_dsl-pih</v>
      </c>
      <c r="K105" t="str">
        <f t="shared" si="22"/>
        <v>\I:</v>
      </c>
      <c r="L105" t="str">
        <f t="shared" si="23"/>
        <v>\I:</v>
      </c>
      <c r="M105" s="374" t="str">
        <f t="shared" si="26"/>
        <v/>
      </c>
      <c r="N105" s="374" t="str">
        <f t="shared" si="27"/>
        <v/>
      </c>
      <c r="O105" s="374" t="str">
        <f t="shared" si="28"/>
        <v/>
      </c>
      <c r="P105" s="374" t="str">
        <f t="shared" si="29"/>
        <v/>
      </c>
      <c r="R105" s="370"/>
      <c r="U105" t="str">
        <f t="shared" si="20"/>
        <v>\I:</v>
      </c>
      <c r="V105" t="str">
        <f ca="1" t="shared" si="21"/>
        <v>ICE plug-in hybrid diesel LCV -- 00%</v>
      </c>
      <c r="W105" s="372" t="s">
        <v>85</v>
      </c>
      <c r="X105" s="372" t="s">
        <v>86</v>
      </c>
    </row>
    <row r="106" spans="2:24">
      <c r="J106" t="str">
        <f t="shared" si="25"/>
        <v>Trd_lcv_dsl-pih</v>
      </c>
      <c r="K106" t="str">
        <f t="shared" si="22"/>
        <v>\I:</v>
      </c>
      <c r="L106" t="str">
        <f t="shared" si="23"/>
        <v>\I:</v>
      </c>
      <c r="M106" s="374" t="str">
        <f t="shared" si="26"/>
        <v/>
      </c>
      <c r="N106" s="374" t="str">
        <f t="shared" si="27"/>
        <v/>
      </c>
      <c r="O106" s="374" t="str">
        <f t="shared" si="28"/>
        <v/>
      </c>
      <c r="P106" s="374" t="str">
        <f t="shared" si="29"/>
        <v/>
      </c>
      <c r="R106" s="370"/>
      <c r="U106" t="str">
        <f t="shared" si="20"/>
        <v>\I:</v>
      </c>
      <c r="V106" t="str">
        <f ca="1" t="shared" si="21"/>
        <v>ICE plug-in hybrid diesel LCV -- 00%</v>
      </c>
      <c r="W106" s="372" t="s">
        <v>85</v>
      </c>
      <c r="X106" s="372" t="s">
        <v>86</v>
      </c>
    </row>
    <row r="107" spans="2:24">
      <c r="J107" t="str">
        <f t="shared" si="25"/>
        <v>Trd_lcv_dsl-pih</v>
      </c>
      <c r="K107" t="str">
        <f t="shared" si="22"/>
        <v>\I:</v>
      </c>
      <c r="L107" t="str">
        <f t="shared" si="23"/>
        <v>\I:</v>
      </c>
      <c r="M107" s="374" t="str">
        <f t="shared" si="26"/>
        <v/>
      </c>
      <c r="N107" s="374" t="str">
        <f t="shared" si="27"/>
        <v/>
      </c>
      <c r="O107" s="374" t="str">
        <f t="shared" si="28"/>
        <v/>
      </c>
      <c r="P107" s="374" t="str">
        <f t="shared" si="29"/>
        <v/>
      </c>
      <c r="R107" s="370"/>
      <c r="U107" t="str">
        <f t="shared" si="20"/>
        <v>\I:</v>
      </c>
      <c r="V107" t="str">
        <f ca="1" t="shared" si="21"/>
        <v>ICE plug-in hybrid diesel LCV -- 00%</v>
      </c>
      <c r="W107" s="372" t="s">
        <v>85</v>
      </c>
      <c r="X107" s="372" t="s">
        <v>86</v>
      </c>
    </row>
    <row r="108" spans="2:24">
      <c r="J108" t="str">
        <f t="shared" si="25"/>
        <v>Trd_lcv_dsl-pih</v>
      </c>
      <c r="K108" t="str">
        <f t="shared" si="22"/>
        <v>\I:</v>
      </c>
      <c r="L108" t="str">
        <f t="shared" si="23"/>
        <v>\I:</v>
      </c>
      <c r="M108" s="374" t="str">
        <f t="shared" si="26"/>
        <v/>
      </c>
      <c r="N108" s="374" t="str">
        <f t="shared" si="27"/>
        <v/>
      </c>
      <c r="O108" s="374" t="str">
        <f t="shared" si="28"/>
        <v/>
      </c>
      <c r="P108" s="374" t="str">
        <f t="shared" si="29"/>
        <v/>
      </c>
      <c r="R108" s="370"/>
      <c r="U108" t="str">
        <f t="shared" si="20"/>
        <v>\I:</v>
      </c>
      <c r="V108" t="str">
        <f ca="1" t="shared" si="21"/>
        <v>ICE plug-in hybrid diesel LCV -- 00%</v>
      </c>
      <c r="W108" s="372" t="s">
        <v>85</v>
      </c>
      <c r="X108" s="372" t="s">
        <v>86</v>
      </c>
    </row>
    <row r="109" spans="2:24">
      <c r="J109" t="str">
        <f t="shared" si="25"/>
        <v>Trd_lcv_dsl-pih</v>
      </c>
      <c r="K109" t="str">
        <f t="shared" si="22"/>
        <v>\I:</v>
      </c>
      <c r="L109" t="str">
        <f t="shared" si="23"/>
        <v>\I:</v>
      </c>
      <c r="M109" s="374" t="str">
        <f t="shared" si="26"/>
        <v/>
      </c>
      <c r="N109" s="374" t="str">
        <f t="shared" si="27"/>
        <v/>
      </c>
      <c r="O109" s="374" t="str">
        <f t="shared" si="28"/>
        <v/>
      </c>
      <c r="P109" s="374" t="str">
        <f t="shared" si="29"/>
        <v/>
      </c>
      <c r="R109" s="370"/>
      <c r="U109" t="str">
        <f t="shared" si="20"/>
        <v>\I:</v>
      </c>
      <c r="V109" t="str">
        <f ca="1" t="shared" si="21"/>
        <v>ICE plug-in hybrid diesel LCV -- 00%</v>
      </c>
      <c r="W109" s="372" t="s">
        <v>85</v>
      </c>
      <c r="X109" s="372" t="s">
        <v>86</v>
      </c>
    </row>
    <row r="110" spans="2:24">
      <c r="B110" s="44" t="s">
        <v>108</v>
      </c>
      <c r="J110" t="str">
        <f t="shared" si="25"/>
        <v>Trd_lcv_dsl-pih</v>
      </c>
      <c r="K110" t="str">
        <f t="shared" si="22"/>
        <v>\I:</v>
      </c>
      <c r="L110" t="str">
        <f t="shared" si="23"/>
        <v>\I:</v>
      </c>
      <c r="M110" s="374" t="str">
        <f t="shared" si="26"/>
        <v/>
      </c>
      <c r="N110" s="374" t="str">
        <f t="shared" si="27"/>
        <v/>
      </c>
      <c r="O110" s="374" t="str">
        <f t="shared" si="28"/>
        <v/>
      </c>
      <c r="P110" s="374" t="str">
        <f t="shared" si="29"/>
        <v/>
      </c>
      <c r="R110" s="370"/>
      <c r="U110" t="str">
        <f t="shared" si="20"/>
        <v>\I:</v>
      </c>
      <c r="V110" t="str">
        <f ca="1" t="shared" si="21"/>
        <v>ICE plug-in hybrid diesel LCV -- Reference values for CNG LCV</v>
      </c>
      <c r="W110" s="372" t="s">
        <v>85</v>
      </c>
      <c r="X110" s="372" t="s">
        <v>86</v>
      </c>
    </row>
    <row r="111" spans="2:24">
      <c r="B111" s="45">
        <v>2015</v>
      </c>
      <c r="C111" s="365"/>
      <c r="D111" s="45"/>
      <c r="J111" t="str">
        <f t="shared" si="25"/>
        <v>Trd_lcv_dsl-pih</v>
      </c>
      <c r="K111" t="str">
        <f t="shared" si="22"/>
        <v>\I:</v>
      </c>
      <c r="L111" t="str">
        <f t="shared" si="23"/>
        <v>\I:</v>
      </c>
      <c r="M111" s="374" t="str">
        <f t="shared" si="26"/>
        <v/>
      </c>
      <c r="N111" s="374" t="str">
        <f t="shared" si="27"/>
        <v/>
      </c>
      <c r="O111" s="374" t="str">
        <f t="shared" si="28"/>
        <v/>
      </c>
      <c r="P111" s="374" t="str">
        <f t="shared" si="29"/>
        <v/>
      </c>
      <c r="R111" s="370"/>
      <c r="U111" t="str">
        <f t="shared" si="20"/>
        <v>\I:</v>
      </c>
      <c r="V111" t="str">
        <f ca="1" t="shared" si="21"/>
        <v>ICE plug-in hybrid diesel LCV -- 201500%</v>
      </c>
      <c r="W111" s="372" t="s">
        <v>85</v>
      </c>
      <c r="X111" s="372" t="s">
        <v>86</v>
      </c>
    </row>
    <row r="112" spans="2:24">
      <c r="B112" s="46" t="s">
        <v>12</v>
      </c>
      <c r="C112" s="47" t="s">
        <v>89</v>
      </c>
      <c r="D112" s="48">
        <v>5.64203167764647</v>
      </c>
      <c r="G112" s="75">
        <f>D112*$F$9/100*10^9/10^6</f>
        <v>3.03504477896122</v>
      </c>
      <c r="H112" s="75"/>
      <c r="I112" s="366">
        <f>1/G112</f>
        <v>0.329484430322726</v>
      </c>
      <c r="J112" t="str">
        <f t="shared" si="25"/>
        <v>Trd_lcv_dsl-pih</v>
      </c>
      <c r="K112" t="str">
        <f t="shared" si="22"/>
        <v>\I:</v>
      </c>
      <c r="L112" t="str">
        <f t="shared" si="23"/>
        <v>\I:</v>
      </c>
      <c r="M112" s="374" t="str">
        <f t="shared" si="26"/>
        <v/>
      </c>
      <c r="N112" s="374" t="str">
        <f t="shared" si="27"/>
        <v/>
      </c>
      <c r="O112" s="374" t="str">
        <f t="shared" si="28"/>
        <v/>
      </c>
      <c r="P112" s="374" t="str">
        <f t="shared" si="29"/>
        <v/>
      </c>
      <c r="R112" s="370"/>
      <c r="U112" t="str">
        <f t="shared" ref="U112:U143" si="31">K112</f>
        <v>\I:</v>
      </c>
      <c r="V112" t="str">
        <f ca="1" t="shared" ref="V112:V143" si="32">OFFSET($S$1,MATCH(J112,$S$1:$S$10,0)-1,-1)&amp;" -- "&amp;TEXT(B112,"00%")</f>
        <v>ICE plug-in hybrid diesel LCV -- Energy consumption</v>
      </c>
      <c r="W112" s="372" t="s">
        <v>85</v>
      </c>
      <c r="X112" s="372" t="s">
        <v>86</v>
      </c>
    </row>
    <row r="113" spans="2:24">
      <c r="B113" s="46" t="s">
        <v>14</v>
      </c>
      <c r="C113" s="47" t="s">
        <v>15</v>
      </c>
      <c r="D113" s="68">
        <v>19499.3766980185</v>
      </c>
      <c r="I113" s="377" t="s">
        <v>70</v>
      </c>
      <c r="J113" t="str">
        <f t="shared" si="25"/>
        <v>Trd_lcv_dsl-pih</v>
      </c>
      <c r="K113" t="str">
        <f t="shared" si="22"/>
        <v>\I:</v>
      </c>
      <c r="L113" t="str">
        <f t="shared" si="23"/>
        <v>\I:</v>
      </c>
      <c r="M113" s="374" t="str">
        <f t="shared" si="26"/>
        <v/>
      </c>
      <c r="N113" s="374" t="str">
        <f t="shared" si="27"/>
        <v/>
      </c>
      <c r="O113" s="374" t="str">
        <f t="shared" si="28"/>
        <v/>
      </c>
      <c r="P113" s="374" t="str">
        <f t="shared" si="29"/>
        <v/>
      </c>
      <c r="R113" s="370"/>
      <c r="U113" t="str">
        <f t="shared" si="31"/>
        <v>\I:</v>
      </c>
      <c r="V113" t="str">
        <f ca="1" t="shared" si="32"/>
        <v>ICE plug-in hybrid diesel LCV -- Capital cost</v>
      </c>
      <c r="W113" s="372" t="s">
        <v>85</v>
      </c>
      <c r="X113" s="372" t="s">
        <v>86</v>
      </c>
    </row>
    <row r="114" spans="2:24">
      <c r="J114" t="str">
        <f t="shared" si="25"/>
        <v>Trd_lcv_dsl-pih</v>
      </c>
      <c r="K114" t="str">
        <f t="shared" si="22"/>
        <v>\I:</v>
      </c>
      <c r="L114" t="str">
        <f t="shared" si="23"/>
        <v>\I:</v>
      </c>
      <c r="M114" s="374" t="str">
        <f t="shared" si="26"/>
        <v/>
      </c>
      <c r="N114" s="374" t="str">
        <f t="shared" si="27"/>
        <v/>
      </c>
      <c r="O114" s="374" t="str">
        <f t="shared" si="28"/>
        <v/>
      </c>
      <c r="P114" s="374" t="str">
        <f t="shared" si="29"/>
        <v/>
      </c>
      <c r="R114" s="370"/>
      <c r="U114" t="str">
        <f t="shared" si="31"/>
        <v>\I:</v>
      </c>
      <c r="V114" t="str">
        <f ca="1" t="shared" si="32"/>
        <v>ICE plug-in hybrid diesel LCV -- 00%</v>
      </c>
      <c r="W114" s="372" t="s">
        <v>85</v>
      </c>
      <c r="X114" s="372" t="s">
        <v>86</v>
      </c>
    </row>
    <row r="115" ht="15" customHeight="1" spans="2:24">
      <c r="B115" s="49" t="s">
        <v>90</v>
      </c>
      <c r="C115" s="371" t="s">
        <v>102</v>
      </c>
      <c r="D115" s="49"/>
      <c r="E115" s="49"/>
      <c r="F115" s="49"/>
      <c r="J115" t="str">
        <f t="shared" si="25"/>
        <v>Trd_lcv_cng</v>
      </c>
      <c r="K115" t="str">
        <f t="shared" si="22"/>
        <v>\I:</v>
      </c>
      <c r="L115" t="str">
        <f t="shared" si="23"/>
        <v>\I:</v>
      </c>
      <c r="M115" s="374" t="str">
        <f t="shared" si="26"/>
        <v/>
      </c>
      <c r="N115" s="374" t="str">
        <f t="shared" si="27"/>
        <v/>
      </c>
      <c r="O115" s="374" t="str">
        <f t="shared" si="28"/>
        <v/>
      </c>
      <c r="P115" s="374" t="str">
        <f t="shared" si="29"/>
        <v/>
      </c>
      <c r="R115" s="370"/>
      <c r="U115" t="str">
        <f t="shared" si="31"/>
        <v>\I:</v>
      </c>
      <c r="V115" t="str">
        <f ca="1" t="shared" si="32"/>
        <v>ICE CNG LCV -- Reduction of specific energy consumption relative to 2015 CNG vehicle (%)</v>
      </c>
      <c r="W115" s="372" t="s">
        <v>85</v>
      </c>
      <c r="X115" s="372" t="s">
        <v>86</v>
      </c>
    </row>
    <row r="116" spans="2:24">
      <c r="B116" s="49"/>
      <c r="C116" s="371"/>
      <c r="D116" s="49"/>
      <c r="E116" s="49"/>
      <c r="F116" s="49"/>
      <c r="J116" t="str">
        <f t="shared" si="25"/>
        <v>Trd_lcv_cng</v>
      </c>
      <c r="K116" t="str">
        <f t="shared" si="22"/>
        <v>\I:</v>
      </c>
      <c r="L116" t="str">
        <f t="shared" si="23"/>
        <v>\I:</v>
      </c>
      <c r="M116" s="374" t="str">
        <f t="shared" si="26"/>
        <v/>
      </c>
      <c r="N116" s="374" t="str">
        <f t="shared" si="27"/>
        <v/>
      </c>
      <c r="O116" s="374" t="str">
        <f t="shared" si="28"/>
        <v/>
      </c>
      <c r="P116" s="374" t="str">
        <f t="shared" si="29"/>
        <v/>
      </c>
      <c r="R116" s="370"/>
      <c r="U116" t="str">
        <f t="shared" si="31"/>
        <v>\I:</v>
      </c>
      <c r="V116" t="str">
        <f ca="1" t="shared" si="32"/>
        <v>ICE CNG LCV -- 00%</v>
      </c>
      <c r="W116" s="372" t="s">
        <v>85</v>
      </c>
      <c r="X116" s="372" t="s">
        <v>86</v>
      </c>
    </row>
    <row r="117" spans="2:24">
      <c r="B117" s="49"/>
      <c r="C117" s="371"/>
      <c r="D117" s="49"/>
      <c r="E117" s="49"/>
      <c r="F117" s="49"/>
      <c r="J117" t="str">
        <f t="shared" si="25"/>
        <v>Trd_lcv_cng</v>
      </c>
      <c r="K117" t="str">
        <f t="shared" si="22"/>
        <v>\I:</v>
      </c>
      <c r="L117" t="str">
        <f t="shared" si="23"/>
        <v>\I:</v>
      </c>
      <c r="M117" s="374" t="str">
        <f t="shared" si="26"/>
        <v/>
      </c>
      <c r="N117" s="374" t="str">
        <f t="shared" si="27"/>
        <v/>
      </c>
      <c r="O117" s="374" t="str">
        <f t="shared" si="28"/>
        <v/>
      </c>
      <c r="P117" s="374" t="str">
        <f t="shared" si="29"/>
        <v/>
      </c>
      <c r="R117" s="370"/>
      <c r="U117" t="str">
        <f t="shared" si="31"/>
        <v>\I:</v>
      </c>
      <c r="V117" t="str">
        <f ca="1" t="shared" si="32"/>
        <v>ICE CNG LCV -- 00%</v>
      </c>
      <c r="W117" s="372" t="s">
        <v>85</v>
      </c>
      <c r="X117" s="372" t="s">
        <v>86</v>
      </c>
    </row>
    <row r="118" spans="2:24">
      <c r="B118" s="88"/>
      <c r="C118" s="411">
        <v>2020</v>
      </c>
      <c r="D118" s="51">
        <v>2030</v>
      </c>
      <c r="E118" s="51">
        <v>2040</v>
      </c>
      <c r="F118" s="51">
        <v>2050</v>
      </c>
      <c r="I118" s="366">
        <v>1</v>
      </c>
      <c r="J118" s="44" t="str">
        <f t="shared" ref="J118" si="33">IFERROR(VLOOKUP(C118,$R$1:$S$11,2,FALSE),J117)</f>
        <v>Trd_lcv_cng</v>
      </c>
      <c r="K118" s="44" t="str">
        <f>IFERROR(IF(VALUE(C118)&gt;200,J118&amp;"_"&amp;TEXT(B118*100,"00"),"\I:"),"\I:")</f>
        <v>Trd_lcv_cng_00</v>
      </c>
      <c r="L118" t="str">
        <f t="shared" si="23"/>
        <v>Trd_lcv</v>
      </c>
      <c r="M118" s="412">
        <f>D113</f>
        <v>19499.3766980185</v>
      </c>
      <c r="N118" s="374"/>
      <c r="O118" s="374"/>
      <c r="P118" s="374"/>
      <c r="R118" s="370"/>
      <c r="U118" t="str">
        <f t="shared" si="31"/>
        <v>Trd_lcv_cng_00</v>
      </c>
      <c r="V118" t="str">
        <f ca="1" t="shared" si="32"/>
        <v>ICE CNG LCV -- 00%</v>
      </c>
      <c r="W118" s="372" t="s">
        <v>85</v>
      </c>
      <c r="X118" s="372" t="s">
        <v>86</v>
      </c>
    </row>
    <row r="119" spans="2:24">
      <c r="B119" s="85">
        <v>0.145560583753408</v>
      </c>
      <c r="C119" s="413">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74">
        <f t="shared" si="26"/>
        <v>19969.9959792433</v>
      </c>
      <c r="N119" s="374">
        <f t="shared" si="27"/>
        <v>19508.8247701105</v>
      </c>
      <c r="O119" s="374">
        <f t="shared" si="28"/>
        <v>19508.8247701105</v>
      </c>
      <c r="P119" s="374">
        <f t="shared" si="29"/>
        <v>19508.8247701105</v>
      </c>
      <c r="R119" s="370"/>
      <c r="U119" t="str">
        <f t="shared" si="31"/>
        <v>Trd_lcv_cng_15</v>
      </c>
      <c r="V119" t="str">
        <f ca="1" t="shared" si="32"/>
        <v>ICE CNG LCV -- 15%</v>
      </c>
      <c r="W119" s="372" t="s">
        <v>85</v>
      </c>
      <c r="X119" s="372" t="s">
        <v>86</v>
      </c>
    </row>
    <row r="120" spans="2:24">
      <c r="B120" s="85">
        <v>0.245560583753408</v>
      </c>
      <c r="C120" s="413">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74">
        <f t="shared" si="26"/>
        <v>21334.8298121009</v>
      </c>
      <c r="N120" s="374">
        <f t="shared" si="27"/>
        <v>20057.9987267638</v>
      </c>
      <c r="O120" s="374">
        <f t="shared" si="28"/>
        <v>20057.9987267638</v>
      </c>
      <c r="P120" s="374">
        <f t="shared" si="29"/>
        <v>20057.9987267638</v>
      </c>
      <c r="R120" s="370"/>
      <c r="U120" t="str">
        <f t="shared" si="31"/>
        <v>Trd_lcv_cng_25</v>
      </c>
      <c r="V120" t="str">
        <f ca="1" t="shared" si="32"/>
        <v>ICE CNG LCV -- 25%</v>
      </c>
      <c r="W120" s="372" t="s">
        <v>85</v>
      </c>
      <c r="X120" s="372" t="s">
        <v>86</v>
      </c>
    </row>
    <row r="121" spans="2:24">
      <c r="B121" s="85">
        <v>0.345560583753408</v>
      </c>
      <c r="C121" s="413">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74">
        <f t="shared" si="26"/>
        <v>26419.0019780321</v>
      </c>
      <c r="N121" s="374">
        <f t="shared" si="27"/>
        <v>21285.778926066</v>
      </c>
      <c r="O121" s="374">
        <f t="shared" si="28"/>
        <v>21285.778926066</v>
      </c>
      <c r="P121" s="374">
        <f t="shared" si="29"/>
        <v>21285.778926066</v>
      </c>
      <c r="R121" s="370"/>
      <c r="U121" t="str">
        <f t="shared" si="31"/>
        <v>Trd_lcv_cng_35</v>
      </c>
      <c r="V121" t="str">
        <f ca="1" t="shared" si="32"/>
        <v>ICE CNG LCV -- 35%</v>
      </c>
      <c r="W121" s="372" t="s">
        <v>85</v>
      </c>
      <c r="X121" s="372" t="s">
        <v>86</v>
      </c>
    </row>
    <row r="122" spans="2:24">
      <c r="B122" s="85">
        <v>0.395560583753408</v>
      </c>
      <c r="C122" s="413">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74">
        <f t="shared" si="26"/>
        <v>34866.420335116</v>
      </c>
      <c r="N122" s="374">
        <f t="shared" si="27"/>
        <v>23649.8754712488</v>
      </c>
      <c r="O122" s="374">
        <f t="shared" si="28"/>
        <v>23649.8754712488</v>
      </c>
      <c r="P122" s="374">
        <f t="shared" si="29"/>
        <v>23649.8754712488</v>
      </c>
      <c r="R122" s="370"/>
      <c r="U122" t="str">
        <f t="shared" si="31"/>
        <v>Trd_lcv_cng_40</v>
      </c>
      <c r="V122" t="str">
        <f ca="1" t="shared" si="32"/>
        <v>ICE CNG LCV -- 40%</v>
      </c>
      <c r="W122" s="372" t="s">
        <v>85</v>
      </c>
      <c r="X122" s="372" t="s">
        <v>86</v>
      </c>
    </row>
    <row r="123" spans="2:24">
      <c r="B123" s="85">
        <v>0.445560583753408</v>
      </c>
      <c r="C123" s="413">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74">
        <f t="shared" si="26"/>
        <v>101681.101481391</v>
      </c>
      <c r="N123" s="374">
        <f t="shared" si="27"/>
        <v>29079.7291070172</v>
      </c>
      <c r="O123" s="374">
        <f t="shared" si="28"/>
        <v>29079.7291070172</v>
      </c>
      <c r="P123" s="374">
        <f t="shared" si="29"/>
        <v>29079.7291070172</v>
      </c>
      <c r="R123" s="370"/>
      <c r="U123" t="str">
        <f t="shared" si="31"/>
        <v>Trd_lcv_cng_45</v>
      </c>
      <c r="V123" t="str">
        <f ca="1" t="shared" si="32"/>
        <v>ICE CNG LCV -- 45%</v>
      </c>
      <c r="W123" s="372" t="s">
        <v>85</v>
      </c>
      <c r="X123" s="372" t="s">
        <v>86</v>
      </c>
    </row>
    <row r="124" spans="2:24">
      <c r="D124" s="97"/>
      <c r="E124" s="97"/>
      <c r="F124" s="97"/>
      <c r="I124" s="75"/>
      <c r="J124" t="str">
        <f t="shared" si="25"/>
        <v>Trd_lcv_cng</v>
      </c>
      <c r="K124" t="str">
        <f t="shared" si="22"/>
        <v>\I:</v>
      </c>
      <c r="L124" t="str">
        <f t="shared" si="23"/>
        <v>\I:</v>
      </c>
      <c r="M124" s="374" t="str">
        <f t="shared" si="26"/>
        <v/>
      </c>
      <c r="N124" s="374" t="str">
        <f t="shared" si="27"/>
        <v/>
      </c>
      <c r="O124" s="374" t="str">
        <f t="shared" si="28"/>
        <v/>
      </c>
      <c r="P124" s="374" t="str">
        <f t="shared" si="29"/>
        <v/>
      </c>
      <c r="R124" s="370"/>
      <c r="U124" t="str">
        <f t="shared" si="31"/>
        <v>\I:</v>
      </c>
      <c r="V124" t="str">
        <f ca="1" t="shared" si="32"/>
        <v>ICE CNG LCV -- 00%</v>
      </c>
      <c r="W124" s="372" t="s">
        <v>85</v>
      </c>
      <c r="X124" s="372" t="s">
        <v>86</v>
      </c>
    </row>
    <row r="125" spans="2:24">
      <c r="D125" s="97"/>
      <c r="E125" s="97"/>
      <c r="F125" s="97"/>
      <c r="I125" s="75"/>
      <c r="J125" t="str">
        <f t="shared" si="25"/>
        <v>Trd_lcv_cng</v>
      </c>
      <c r="K125" t="str">
        <f t="shared" si="22"/>
        <v>\I:</v>
      </c>
      <c r="L125" t="str">
        <f t="shared" si="23"/>
        <v>\I:</v>
      </c>
      <c r="M125" s="374" t="str">
        <f t="shared" si="26"/>
        <v/>
      </c>
      <c r="N125" s="374" t="str">
        <f t="shared" si="27"/>
        <v/>
      </c>
      <c r="O125" s="374" t="str">
        <f t="shared" si="28"/>
        <v/>
      </c>
      <c r="P125" s="374" t="str">
        <f t="shared" si="29"/>
        <v/>
      </c>
      <c r="R125" s="370"/>
      <c r="U125" t="str">
        <f t="shared" si="31"/>
        <v>\I:</v>
      </c>
      <c r="V125" t="str">
        <f ca="1" t="shared" si="32"/>
        <v>ICE CNG LCV -- 00%</v>
      </c>
      <c r="W125" s="372" t="s">
        <v>85</v>
      </c>
      <c r="X125" s="372" t="s">
        <v>86</v>
      </c>
    </row>
    <row r="126" spans="2:24">
      <c r="J126" t="str">
        <f t="shared" si="25"/>
        <v>Trd_lcv_cng</v>
      </c>
      <c r="K126" t="str">
        <f t="shared" si="22"/>
        <v>\I:</v>
      </c>
      <c r="L126" t="str">
        <f t="shared" si="23"/>
        <v>\I:</v>
      </c>
      <c r="M126" s="374" t="str">
        <f t="shared" si="26"/>
        <v/>
      </c>
      <c r="N126" s="374" t="str">
        <f t="shared" si="27"/>
        <v/>
      </c>
      <c r="O126" s="374" t="str">
        <f t="shared" si="28"/>
        <v/>
      </c>
      <c r="P126" s="374" t="str">
        <f t="shared" si="29"/>
        <v/>
      </c>
      <c r="R126" s="370"/>
      <c r="U126" t="str">
        <f t="shared" si="31"/>
        <v>\I:</v>
      </c>
      <c r="V126" t="str">
        <f ca="1" t="shared" si="32"/>
        <v>ICE CNG LCV -- 00%</v>
      </c>
      <c r="W126" s="372" t="s">
        <v>85</v>
      </c>
      <c r="X126" s="372" t="s">
        <v>86</v>
      </c>
    </row>
    <row r="127" spans="2:24">
      <c r="J127" t="str">
        <f t="shared" si="25"/>
        <v>Trd_lcv_cng</v>
      </c>
      <c r="K127" t="str">
        <f t="shared" si="22"/>
        <v>\I:</v>
      </c>
      <c r="L127" t="str">
        <f t="shared" si="23"/>
        <v>\I:</v>
      </c>
      <c r="M127" s="374" t="str">
        <f t="shared" si="26"/>
        <v/>
      </c>
      <c r="N127" s="374" t="str">
        <f t="shared" si="27"/>
        <v/>
      </c>
      <c r="O127" s="374" t="str">
        <f t="shared" si="28"/>
        <v/>
      </c>
      <c r="P127" s="374" t="str">
        <f t="shared" si="29"/>
        <v/>
      </c>
      <c r="R127" s="370"/>
      <c r="U127" t="str">
        <f t="shared" si="31"/>
        <v>\I:</v>
      </c>
      <c r="V127" t="str">
        <f ca="1" t="shared" si="32"/>
        <v>ICE CNG LCV -- 00%</v>
      </c>
      <c r="W127" s="372" t="s">
        <v>85</v>
      </c>
      <c r="X127" s="372" t="s">
        <v>86</v>
      </c>
    </row>
    <row r="128" spans="2:24">
      <c r="J128" t="str">
        <f t="shared" si="25"/>
        <v>Trd_lcv_cng</v>
      </c>
      <c r="K128" t="str">
        <f t="shared" si="22"/>
        <v>\I:</v>
      </c>
      <c r="L128" t="str">
        <f t="shared" si="23"/>
        <v>\I:</v>
      </c>
      <c r="M128" s="374" t="str">
        <f t="shared" si="26"/>
        <v/>
      </c>
      <c r="N128" s="374" t="str">
        <f t="shared" si="27"/>
        <v/>
      </c>
      <c r="O128" s="374" t="str">
        <f t="shared" si="28"/>
        <v/>
      </c>
      <c r="P128" s="374" t="str">
        <f t="shared" si="29"/>
        <v/>
      </c>
      <c r="R128" s="370"/>
      <c r="U128" t="str">
        <f t="shared" si="31"/>
        <v>\I:</v>
      </c>
      <c r="V128" t="str">
        <f ca="1" t="shared" si="32"/>
        <v>ICE CNG LCV -- 00%</v>
      </c>
      <c r="W128" s="372" t="s">
        <v>85</v>
      </c>
      <c r="X128" s="372" t="s">
        <v>86</v>
      </c>
    </row>
    <row r="129" spans="2:24">
      <c r="J129" t="str">
        <f t="shared" si="25"/>
        <v>Trd_lcv_cng</v>
      </c>
      <c r="K129" t="str">
        <f t="shared" si="22"/>
        <v>\I:</v>
      </c>
      <c r="L129" t="str">
        <f t="shared" si="23"/>
        <v>\I:</v>
      </c>
      <c r="M129" s="374" t="str">
        <f t="shared" si="26"/>
        <v/>
      </c>
      <c r="N129" s="374" t="str">
        <f t="shared" si="27"/>
        <v/>
      </c>
      <c r="O129" s="374" t="str">
        <f t="shared" si="28"/>
        <v/>
      </c>
      <c r="P129" s="374" t="str">
        <f t="shared" si="29"/>
        <v/>
      </c>
      <c r="R129" s="370"/>
      <c r="U129" t="str">
        <f t="shared" si="31"/>
        <v>\I:</v>
      </c>
      <c r="V129" t="str">
        <f ca="1" t="shared" si="32"/>
        <v>ICE CNG LCV -- 00%</v>
      </c>
      <c r="W129" s="372" t="s">
        <v>85</v>
      </c>
      <c r="X129" s="372" t="s">
        <v>86</v>
      </c>
    </row>
    <row r="130" spans="2:24">
      <c r="B130" s="44" t="s">
        <v>109</v>
      </c>
      <c r="J130" t="str">
        <f t="shared" si="25"/>
        <v>Trd_lcv_cng</v>
      </c>
      <c r="K130" t="str">
        <f t="shared" si="22"/>
        <v>\I:</v>
      </c>
      <c r="L130" t="str">
        <f t="shared" si="23"/>
        <v>\I:</v>
      </c>
      <c r="M130" s="374" t="str">
        <f t="shared" si="26"/>
        <v/>
      </c>
      <c r="N130" s="374" t="str">
        <f t="shared" si="27"/>
        <v/>
      </c>
      <c r="O130" s="374" t="str">
        <f t="shared" si="28"/>
        <v/>
      </c>
      <c r="P130" s="374" t="str">
        <f t="shared" si="29"/>
        <v/>
      </c>
      <c r="R130" s="370"/>
      <c r="U130" t="str">
        <f t="shared" si="31"/>
        <v>\I:</v>
      </c>
      <c r="V130" t="str">
        <f ca="1" t="shared" si="32"/>
        <v>ICE CNG LCV -- Reference values for LPG LCV</v>
      </c>
      <c r="W130" s="372" t="s">
        <v>85</v>
      </c>
      <c r="X130" s="372" t="s">
        <v>86</v>
      </c>
    </row>
    <row r="131" spans="2:24">
      <c r="B131" s="45">
        <v>2015</v>
      </c>
      <c r="C131" s="365"/>
      <c r="D131" s="45"/>
      <c r="J131" t="str">
        <f t="shared" si="25"/>
        <v>Trd_lcv_cng</v>
      </c>
      <c r="K131" t="str">
        <f t="shared" si="22"/>
        <v>\I:</v>
      </c>
      <c r="L131" t="str">
        <f t="shared" si="23"/>
        <v>\I:</v>
      </c>
      <c r="M131" s="374" t="str">
        <f t="shared" si="26"/>
        <v/>
      </c>
      <c r="N131" s="374" t="str">
        <f t="shared" si="27"/>
        <v/>
      </c>
      <c r="O131" s="374" t="str">
        <f t="shared" si="28"/>
        <v/>
      </c>
      <c r="P131" s="374" t="str">
        <f t="shared" si="29"/>
        <v/>
      </c>
      <c r="R131" s="370"/>
      <c r="U131" t="str">
        <f t="shared" si="31"/>
        <v>\I:</v>
      </c>
      <c r="V131" t="str">
        <f ca="1" t="shared" si="32"/>
        <v>ICE CNG LCV -- 201500%</v>
      </c>
      <c r="W131" s="372" t="s">
        <v>85</v>
      </c>
      <c r="X131" s="372" t="s">
        <v>86</v>
      </c>
    </row>
    <row r="132" spans="2:24">
      <c r="B132" s="46" t="s">
        <v>12</v>
      </c>
      <c r="C132" s="47" t="s">
        <v>13</v>
      </c>
      <c r="D132" s="48">
        <v>8.86604977915874</v>
      </c>
      <c r="G132" s="75">
        <f>D132*$F$10/100*10^9/10^6</f>
        <v>2.26882213848672</v>
      </c>
      <c r="H132" s="75"/>
      <c r="I132" s="366">
        <f>1/G132</f>
        <v>0.440757335287194</v>
      </c>
      <c r="J132" t="str">
        <f t="shared" si="25"/>
        <v>Trd_lcv_cng</v>
      </c>
      <c r="K132" t="str">
        <f t="shared" si="22"/>
        <v>\I:</v>
      </c>
      <c r="L132" t="str">
        <f t="shared" si="23"/>
        <v>\I:</v>
      </c>
      <c r="M132" s="374" t="str">
        <f t="shared" si="26"/>
        <v/>
      </c>
      <c r="N132" s="374" t="str">
        <f t="shared" si="27"/>
        <v/>
      </c>
      <c r="O132" s="374" t="str">
        <f t="shared" si="28"/>
        <v/>
      </c>
      <c r="P132" s="374" t="str">
        <f t="shared" si="29"/>
        <v/>
      </c>
      <c r="R132" s="370"/>
      <c r="U132" t="str">
        <f t="shared" si="31"/>
        <v>\I:</v>
      </c>
      <c r="V132" t="str">
        <f ca="1" t="shared" si="32"/>
        <v>ICE CNG LCV -- Energy consumption</v>
      </c>
      <c r="W132" s="372" t="s">
        <v>85</v>
      </c>
      <c r="X132" s="372" t="s">
        <v>86</v>
      </c>
    </row>
    <row r="133" spans="2:24">
      <c r="B133" s="46" t="s">
        <v>14</v>
      </c>
      <c r="C133" s="47" t="s">
        <v>15</v>
      </c>
      <c r="D133" s="68">
        <v>18928.9953800185</v>
      </c>
      <c r="I133" s="377" t="s">
        <v>70</v>
      </c>
      <c r="J133" t="str">
        <f t="shared" si="25"/>
        <v>Trd_lcv_cng</v>
      </c>
      <c r="K133" t="str">
        <f t="shared" si="22"/>
        <v>\I:</v>
      </c>
      <c r="L133" t="str">
        <f t="shared" si="23"/>
        <v>\I:</v>
      </c>
      <c r="M133" s="374" t="str">
        <f t="shared" si="26"/>
        <v/>
      </c>
      <c r="N133" s="374" t="str">
        <f t="shared" si="27"/>
        <v/>
      </c>
      <c r="O133" s="374" t="str">
        <f t="shared" si="28"/>
        <v/>
      </c>
      <c r="P133" s="374" t="str">
        <f t="shared" si="29"/>
        <v/>
      </c>
      <c r="R133" s="370"/>
      <c r="U133" t="str">
        <f t="shared" si="31"/>
        <v>\I:</v>
      </c>
      <c r="V133" t="str">
        <f ca="1" t="shared" si="32"/>
        <v>ICE CNG LCV -- Capital cost</v>
      </c>
      <c r="W133" s="372" t="s">
        <v>85</v>
      </c>
      <c r="X133" s="372" t="s">
        <v>86</v>
      </c>
    </row>
    <row r="134" spans="2:24">
      <c r="J134" t="str">
        <f t="shared" si="25"/>
        <v>Trd_lcv_cng</v>
      </c>
      <c r="K134" t="str">
        <f t="shared" si="22"/>
        <v>\I:</v>
      </c>
      <c r="L134" t="str">
        <f t="shared" si="23"/>
        <v>\I:</v>
      </c>
      <c r="M134" s="374" t="str">
        <f t="shared" si="26"/>
        <v/>
      </c>
      <c r="N134" s="374" t="str">
        <f t="shared" si="27"/>
        <v/>
      </c>
      <c r="O134" s="374" t="str">
        <f t="shared" si="28"/>
        <v/>
      </c>
      <c r="P134" s="374" t="str">
        <f t="shared" si="29"/>
        <v/>
      </c>
      <c r="R134" s="370"/>
      <c r="U134" t="str">
        <f t="shared" si="31"/>
        <v>\I:</v>
      </c>
      <c r="V134" t="str">
        <f ca="1" t="shared" si="32"/>
        <v>ICE CNG LCV -- 00%</v>
      </c>
      <c r="W134" s="372" t="s">
        <v>85</v>
      </c>
      <c r="X134" s="372" t="s">
        <v>86</v>
      </c>
    </row>
    <row r="135" ht="15" customHeight="1" spans="2:24">
      <c r="B135" s="49" t="s">
        <v>92</v>
      </c>
      <c r="C135" s="371" t="s">
        <v>103</v>
      </c>
      <c r="D135" s="49"/>
      <c r="E135" s="49"/>
      <c r="F135" s="49"/>
      <c r="J135" t="str">
        <f t="shared" si="25"/>
        <v>\I:Trd_lcv_lpg</v>
      </c>
      <c r="K135" t="str">
        <f t="shared" si="22"/>
        <v>\I:</v>
      </c>
      <c r="L135" t="str">
        <f t="shared" si="23"/>
        <v>\I:</v>
      </c>
      <c r="M135" s="374" t="str">
        <f t="shared" si="26"/>
        <v/>
      </c>
      <c r="N135" s="374" t="str">
        <f t="shared" si="27"/>
        <v/>
      </c>
      <c r="O135" s="374" t="str">
        <f t="shared" si="28"/>
        <v/>
      </c>
      <c r="P135" s="374" t="str">
        <f t="shared" si="29"/>
        <v/>
      </c>
      <c r="R135" s="370"/>
      <c r="U135" t="str">
        <f t="shared" si="31"/>
        <v>\I:</v>
      </c>
      <c r="V135" t="str">
        <f ca="1" t="shared" si="32"/>
        <v>ICE LPG LCV -- Reduction of specific energy consumption relative to 2015 LPG vehicle (%)</v>
      </c>
      <c r="W135" s="372" t="s">
        <v>85</v>
      </c>
      <c r="X135" s="372" t="s">
        <v>86</v>
      </c>
    </row>
    <row r="136" spans="2:24">
      <c r="B136" s="49"/>
      <c r="C136" s="371"/>
      <c r="D136" s="49"/>
      <c r="E136" s="49"/>
      <c r="F136" s="49"/>
      <c r="J136" t="str">
        <f t="shared" si="25"/>
        <v>\I:Trd_lcv_lpg</v>
      </c>
      <c r="K136" t="str">
        <f t="shared" si="22"/>
        <v>\I:</v>
      </c>
      <c r="L136" t="str">
        <f t="shared" si="23"/>
        <v>\I:</v>
      </c>
      <c r="M136" s="374" t="str">
        <f t="shared" si="26"/>
        <v/>
      </c>
      <c r="N136" s="374" t="str">
        <f t="shared" si="27"/>
        <v/>
      </c>
      <c r="O136" s="374" t="str">
        <f t="shared" si="28"/>
        <v/>
      </c>
      <c r="P136" s="374" t="str">
        <f t="shared" si="29"/>
        <v/>
      </c>
      <c r="R136" s="370"/>
      <c r="U136" t="str">
        <f t="shared" si="31"/>
        <v>\I:</v>
      </c>
      <c r="V136" t="str">
        <f ca="1" t="shared" si="32"/>
        <v>ICE LPG LCV -- 00%</v>
      </c>
      <c r="W136" s="372" t="s">
        <v>85</v>
      </c>
      <c r="X136" s="372" t="s">
        <v>86</v>
      </c>
    </row>
    <row r="137" spans="2:24">
      <c r="B137" s="49"/>
      <c r="C137" s="371"/>
      <c r="D137" s="49"/>
      <c r="E137" s="49"/>
      <c r="F137" s="49"/>
      <c r="J137" t="str">
        <f t="shared" si="25"/>
        <v>\I:Trd_lcv_lpg</v>
      </c>
      <c r="K137" t="str">
        <f t="shared" si="22"/>
        <v>\I:</v>
      </c>
      <c r="L137" t="str">
        <f t="shared" si="23"/>
        <v>\I:</v>
      </c>
      <c r="M137" s="374" t="str">
        <f t="shared" si="26"/>
        <v/>
      </c>
      <c r="N137" s="374" t="str">
        <f t="shared" si="27"/>
        <v/>
      </c>
      <c r="O137" s="374" t="str">
        <f t="shared" si="28"/>
        <v/>
      </c>
      <c r="P137" s="374" t="str">
        <f t="shared" si="29"/>
        <v/>
      </c>
      <c r="R137" s="370"/>
      <c r="U137" t="str">
        <f t="shared" si="31"/>
        <v>\I:</v>
      </c>
      <c r="V137" t="str">
        <f ca="1" t="shared" si="32"/>
        <v>ICE LPG LCV -- 00%</v>
      </c>
      <c r="W137" s="372" t="s">
        <v>85</v>
      </c>
      <c r="X137" s="372" t="s">
        <v>86</v>
      </c>
    </row>
    <row r="138" spans="2:24">
      <c r="B138" s="88"/>
      <c r="C138" s="411">
        <v>2020</v>
      </c>
      <c r="D138" s="51">
        <v>2030</v>
      </c>
      <c r="E138" s="51">
        <v>2040</v>
      </c>
      <c r="F138" s="51">
        <v>2050</v>
      </c>
      <c r="J138" t="str">
        <f t="shared" si="25"/>
        <v>\I:Trd_lcv_lpg</v>
      </c>
      <c r="K138" t="str">
        <f t="shared" si="22"/>
        <v>\I:</v>
      </c>
      <c r="L138" t="str">
        <f t="shared" si="23"/>
        <v>\I:</v>
      </c>
      <c r="M138" s="374" t="str">
        <f t="shared" si="26"/>
        <v/>
      </c>
      <c r="N138" s="374" t="str">
        <f t="shared" si="27"/>
        <v/>
      </c>
      <c r="O138" s="374" t="str">
        <f t="shared" si="28"/>
        <v/>
      </c>
      <c r="P138" s="374" t="str">
        <f t="shared" si="29"/>
        <v/>
      </c>
      <c r="R138" s="370"/>
      <c r="U138" t="str">
        <f t="shared" si="31"/>
        <v>\I:</v>
      </c>
      <c r="V138" t="str">
        <f ca="1" t="shared" si="32"/>
        <v>ICE LPG LCV -- 00%</v>
      </c>
      <c r="W138" s="372" t="s">
        <v>85</v>
      </c>
      <c r="X138" s="372" t="s">
        <v>86</v>
      </c>
    </row>
    <row r="139" spans="2:24">
      <c r="B139" s="85">
        <v>0.145560583753408</v>
      </c>
      <c r="C139" s="413">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74">
        <f t="shared" si="26"/>
        <v>19399.6146612433</v>
      </c>
      <c r="N139" s="374">
        <f t="shared" si="27"/>
        <v>18938.4434521105</v>
      </c>
      <c r="O139" s="374">
        <f t="shared" si="28"/>
        <v>18938.4434521105</v>
      </c>
      <c r="P139" s="374">
        <f t="shared" si="29"/>
        <v>18938.4434521105</v>
      </c>
      <c r="R139" s="370"/>
      <c r="U139" t="str">
        <f t="shared" si="31"/>
        <v>\I:Trd_lcv_lpg_15</v>
      </c>
      <c r="V139" t="str">
        <f ca="1" t="shared" si="32"/>
        <v>ICE LPG LCV -- 15%</v>
      </c>
      <c r="W139" s="372" t="s">
        <v>85</v>
      </c>
      <c r="X139" s="372" t="s">
        <v>86</v>
      </c>
    </row>
    <row r="140" spans="2:24">
      <c r="B140" s="85">
        <v>0.245560583753408</v>
      </c>
      <c r="C140" s="413">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74">
        <f t="shared" si="26"/>
        <v>20764.4484941009</v>
      </c>
      <c r="N140" s="374">
        <f t="shared" si="27"/>
        <v>19487.6174087638</v>
      </c>
      <c r="O140" s="374">
        <f t="shared" si="28"/>
        <v>19487.6174087638</v>
      </c>
      <c r="P140" s="374">
        <f t="shared" si="29"/>
        <v>19487.6174087638</v>
      </c>
      <c r="R140" s="370"/>
      <c r="U140" t="str">
        <f t="shared" si="31"/>
        <v>\I:Trd_lcv_lpg_25</v>
      </c>
      <c r="V140" t="str">
        <f ca="1" t="shared" si="32"/>
        <v>ICE LPG LCV -- 25%</v>
      </c>
      <c r="W140" s="372" t="s">
        <v>85</v>
      </c>
      <c r="X140" s="372" t="s">
        <v>86</v>
      </c>
    </row>
    <row r="141" spans="2:24">
      <c r="B141" s="85">
        <v>0.345560583753408</v>
      </c>
      <c r="C141" s="413">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74">
        <f t="shared" si="26"/>
        <v>25848.6206600321</v>
      </c>
      <c r="N141" s="374">
        <f t="shared" si="27"/>
        <v>20715.397608066</v>
      </c>
      <c r="O141" s="374">
        <f t="shared" si="28"/>
        <v>20715.397608066</v>
      </c>
      <c r="P141" s="374">
        <f t="shared" si="29"/>
        <v>20715.397608066</v>
      </c>
      <c r="R141" s="370"/>
      <c r="U141" t="str">
        <f t="shared" si="31"/>
        <v>\I:Trd_lcv_lpg_35</v>
      </c>
      <c r="V141" t="str">
        <f ca="1" t="shared" si="32"/>
        <v>ICE LPG LCV -- 35%</v>
      </c>
      <c r="W141" s="372" t="s">
        <v>85</v>
      </c>
      <c r="X141" s="372" t="s">
        <v>86</v>
      </c>
    </row>
    <row r="142" spans="2:24">
      <c r="B142" s="85">
        <v>0.395560583753408</v>
      </c>
      <c r="C142" s="413">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74">
        <f t="shared" si="26"/>
        <v>34296.039017116</v>
      </c>
      <c r="N142" s="374">
        <f t="shared" si="27"/>
        <v>23079.4941532488</v>
      </c>
      <c r="O142" s="374">
        <f t="shared" si="28"/>
        <v>23079.4941532488</v>
      </c>
      <c r="P142" s="374">
        <f t="shared" si="29"/>
        <v>23079.4941532488</v>
      </c>
      <c r="R142" s="370"/>
      <c r="U142" t="str">
        <f t="shared" si="31"/>
        <v>\I:Trd_lcv_lpg_40</v>
      </c>
      <c r="V142" t="str">
        <f ca="1" t="shared" si="32"/>
        <v>ICE LPG LCV -- 40%</v>
      </c>
      <c r="W142" s="372" t="s">
        <v>85</v>
      </c>
      <c r="X142" s="372" t="s">
        <v>86</v>
      </c>
    </row>
    <row r="143" spans="2:24">
      <c r="B143" s="85">
        <v>0.445560583753408</v>
      </c>
      <c r="C143" s="413">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74">
        <f t="shared" si="26"/>
        <v>101110.720163391</v>
      </c>
      <c r="N143" s="374">
        <f t="shared" si="27"/>
        <v>28509.3477890172</v>
      </c>
      <c r="O143" s="374">
        <f t="shared" si="28"/>
        <v>28509.3477890172</v>
      </c>
      <c r="P143" s="374">
        <f t="shared" si="29"/>
        <v>28509.3477890172</v>
      </c>
      <c r="R143" s="370"/>
      <c r="U143" t="str">
        <f t="shared" si="31"/>
        <v>\I:Trd_lcv_lpg_45</v>
      </c>
      <c r="V143" t="str">
        <f ca="1" t="shared" si="32"/>
        <v>ICE LPG LCV -- 45%</v>
      </c>
      <c r="W143" s="372" t="s">
        <v>85</v>
      </c>
      <c r="X143" s="372" t="s">
        <v>86</v>
      </c>
    </row>
    <row r="144" spans="2:24">
      <c r="D144" s="97"/>
      <c r="E144" s="97"/>
      <c r="F144" s="97"/>
      <c r="J144" t="str">
        <f t="shared" si="25"/>
        <v>\I:Trd_lcv_lpg</v>
      </c>
      <c r="K144" t="str">
        <f t="shared" si="22"/>
        <v>\I:</v>
      </c>
      <c r="L144" t="str">
        <f t="shared" si="23"/>
        <v>\I:</v>
      </c>
      <c r="M144" s="374" t="str">
        <f t="shared" si="26"/>
        <v/>
      </c>
      <c r="N144" s="374" t="str">
        <f t="shared" si="27"/>
        <v/>
      </c>
      <c r="O144" s="374" t="str">
        <f t="shared" si="28"/>
        <v/>
      </c>
      <c r="P144" s="374" t="str">
        <f t="shared" si="29"/>
        <v/>
      </c>
      <c r="R144" s="370"/>
      <c r="U144" t="str">
        <f t="shared" ref="U144:U178" si="34">K144</f>
        <v>\I:</v>
      </c>
      <c r="V144" t="str">
        <f ca="1" t="shared" ref="V144:V155" si="35">OFFSET($S$1,MATCH(J144,$S$1:$S$10,0)-1,-1)&amp;" -- "&amp;TEXT(B144,"00%")</f>
        <v>ICE LPG LCV -- 00%</v>
      </c>
      <c r="W144" s="372" t="s">
        <v>85</v>
      </c>
      <c r="X144" s="372" t="s">
        <v>86</v>
      </c>
    </row>
    <row r="145" spans="2:24">
      <c r="D145" s="97"/>
      <c r="E145" s="97"/>
      <c r="F145" s="97"/>
      <c r="J145" t="str">
        <f t="shared" si="25"/>
        <v>\I:Trd_lcv_lpg</v>
      </c>
      <c r="K145" t="str">
        <f t="shared" ref="K145:K170" si="36">IFERROR(IF(VALUE(C145)&gt;2020,J145&amp;"_"&amp;TEXT(B145*100,"00"),"\I:"),"\I:")</f>
        <v>\I:</v>
      </c>
      <c r="L145" t="str">
        <f t="shared" ref="L145:L178" si="37">LEFT(K145,7)</f>
        <v>\I:</v>
      </c>
      <c r="M145" s="374" t="str">
        <f t="shared" si="26"/>
        <v/>
      </c>
      <c r="N145" s="374" t="str">
        <f t="shared" si="27"/>
        <v/>
      </c>
      <c r="O145" s="374" t="str">
        <f t="shared" si="28"/>
        <v/>
      </c>
      <c r="P145" s="374" t="str">
        <f t="shared" si="29"/>
        <v/>
      </c>
      <c r="R145" s="370"/>
      <c r="U145" t="str">
        <f t="shared" si="34"/>
        <v>\I:</v>
      </c>
      <c r="V145" t="str">
        <f ca="1" t="shared" si="35"/>
        <v>ICE LPG LCV -- 00%</v>
      </c>
      <c r="W145" s="372" t="s">
        <v>85</v>
      </c>
      <c r="X145" s="372" t="s">
        <v>86</v>
      </c>
    </row>
    <row r="146" spans="2:24">
      <c r="J146" t="str">
        <f t="shared" si="25"/>
        <v>\I:Trd_lcv_lpg</v>
      </c>
      <c r="K146" t="str">
        <f t="shared" si="36"/>
        <v>\I:</v>
      </c>
      <c r="L146" t="str">
        <f t="shared" si="37"/>
        <v>\I:</v>
      </c>
      <c r="M146" s="374" t="str">
        <f t="shared" si="26"/>
        <v/>
      </c>
      <c r="N146" s="374" t="str">
        <f t="shared" si="27"/>
        <v/>
      </c>
      <c r="O146" s="374" t="str">
        <f t="shared" si="28"/>
        <v/>
      </c>
      <c r="P146" s="374" t="str">
        <f t="shared" si="29"/>
        <v/>
      </c>
      <c r="R146" s="370"/>
      <c r="U146" t="str">
        <f t="shared" si="34"/>
        <v>\I:</v>
      </c>
      <c r="V146" t="str">
        <f ca="1" t="shared" si="35"/>
        <v>ICE LPG LCV -- 00%</v>
      </c>
      <c r="W146" s="372" t="s">
        <v>85</v>
      </c>
      <c r="X146" s="372" t="s">
        <v>86</v>
      </c>
    </row>
    <row r="147" spans="2:24">
      <c r="J147" t="str">
        <f t="shared" si="25"/>
        <v>\I:Trd_lcv_lpg</v>
      </c>
      <c r="K147" t="str">
        <f t="shared" si="36"/>
        <v>\I:</v>
      </c>
      <c r="L147" t="str">
        <f t="shared" si="37"/>
        <v>\I:</v>
      </c>
      <c r="M147" s="374" t="str">
        <f t="shared" si="26"/>
        <v/>
      </c>
      <c r="N147" s="374" t="str">
        <f t="shared" si="27"/>
        <v/>
      </c>
      <c r="O147" s="374" t="str">
        <f t="shared" si="28"/>
        <v/>
      </c>
      <c r="P147" s="374" t="str">
        <f t="shared" si="29"/>
        <v/>
      </c>
      <c r="R147" s="370"/>
      <c r="U147" t="str">
        <f t="shared" si="34"/>
        <v>\I:</v>
      </c>
      <c r="V147" t="str">
        <f ca="1" t="shared" si="35"/>
        <v>ICE LPG LCV -- 00%</v>
      </c>
      <c r="W147" s="372" t="s">
        <v>85</v>
      </c>
      <c r="X147" s="372" t="s">
        <v>86</v>
      </c>
    </row>
    <row r="148" spans="2:24">
      <c r="J148" t="str">
        <f t="shared" ref="J148:J178" si="38">IFERROR(VLOOKUP(C148,$R$1:$S$10,2,FALSE),J147)</f>
        <v>\I:Trd_lcv_lpg</v>
      </c>
      <c r="K148" t="str">
        <f t="shared" si="36"/>
        <v>\I:</v>
      </c>
      <c r="L148" t="str">
        <f t="shared" si="37"/>
        <v>\I:</v>
      </c>
      <c r="M148" s="374" t="str">
        <f t="shared" si="26"/>
        <v/>
      </c>
      <c r="N148" s="374" t="str">
        <f t="shared" si="27"/>
        <v/>
      </c>
      <c r="O148" s="374" t="str">
        <f t="shared" si="28"/>
        <v/>
      </c>
      <c r="P148" s="374" t="str">
        <f t="shared" si="29"/>
        <v/>
      </c>
      <c r="R148" s="370"/>
      <c r="U148" t="str">
        <f t="shared" si="34"/>
        <v>\I:</v>
      </c>
      <c r="V148" t="str">
        <f ca="1" t="shared" si="35"/>
        <v>ICE LPG LCV -- 00%</v>
      </c>
      <c r="W148" s="372" t="s">
        <v>85</v>
      </c>
      <c r="X148" s="372" t="s">
        <v>86</v>
      </c>
    </row>
    <row r="149" spans="2:24">
      <c r="B149" s="45">
        <v>2020</v>
      </c>
      <c r="C149" s="365"/>
      <c r="D149" s="45"/>
      <c r="J149" t="str">
        <f t="shared" si="38"/>
        <v>\I:Trd_lcv_lpg</v>
      </c>
      <c r="K149" t="str">
        <f t="shared" si="36"/>
        <v>\I:</v>
      </c>
      <c r="L149" t="str">
        <f t="shared" si="37"/>
        <v>\I:</v>
      </c>
      <c r="M149" s="374" t="str">
        <f t="shared" si="26"/>
        <v/>
      </c>
      <c r="N149" s="374" t="str">
        <f t="shared" si="27"/>
        <v/>
      </c>
      <c r="O149" s="374" t="str">
        <f t="shared" si="28"/>
        <v/>
      </c>
      <c r="P149" s="374" t="str">
        <f t="shared" si="29"/>
        <v/>
      </c>
      <c r="R149" s="370"/>
      <c r="U149" t="str">
        <f t="shared" si="34"/>
        <v>\I:</v>
      </c>
      <c r="V149" t="str">
        <f ca="1" t="shared" si="35"/>
        <v>ICE LPG LCV -- 202000%</v>
      </c>
      <c r="W149" s="372" t="s">
        <v>85</v>
      </c>
      <c r="X149" s="372" t="s">
        <v>86</v>
      </c>
    </row>
    <row r="150" spans="2:24">
      <c r="B150" s="46" t="s">
        <v>110</v>
      </c>
      <c r="C150" s="47" t="s">
        <v>26</v>
      </c>
      <c r="D150" s="74">
        <v>0.17</v>
      </c>
      <c r="G150" s="75">
        <f>D150/3.6/100*10^9/10^6</f>
        <v>0.472222222222222</v>
      </c>
      <c r="H150" s="75"/>
      <c r="I150" s="394">
        <f>1/G150-1</f>
        <v>1.11764705882353</v>
      </c>
      <c r="J150" t="str">
        <f t="shared" si="38"/>
        <v>\I:Trd_lcv_lpg</v>
      </c>
      <c r="K150" t="str">
        <f t="shared" si="36"/>
        <v>\I:</v>
      </c>
      <c r="L150" t="str">
        <f t="shared" si="37"/>
        <v>\I:</v>
      </c>
      <c r="M150" s="374" t="str">
        <f t="shared" si="26"/>
        <v/>
      </c>
      <c r="N150" s="374" t="str">
        <f t="shared" si="27"/>
        <v/>
      </c>
      <c r="O150" s="374" t="str">
        <f t="shared" si="28"/>
        <v/>
      </c>
      <c r="P150" s="374" t="str">
        <f t="shared" si="29"/>
        <v/>
      </c>
      <c r="R150" s="370"/>
      <c r="U150" t="str">
        <f t="shared" si="34"/>
        <v>\I:</v>
      </c>
      <c r="V150" t="str">
        <f ca="1" t="shared" si="35"/>
        <v>ICE LPG LCV -- Energy consumption of Battery electric LCV</v>
      </c>
      <c r="W150" s="372" t="s">
        <v>85</v>
      </c>
      <c r="X150" s="372" t="s">
        <v>86</v>
      </c>
    </row>
    <row r="151" spans="2:24">
      <c r="I151" s="377" t="s">
        <v>70</v>
      </c>
      <c r="J151" t="str">
        <f t="shared" si="38"/>
        <v>\I:Trd_lcv_lpg</v>
      </c>
      <c r="K151" t="str">
        <f t="shared" si="36"/>
        <v>\I:</v>
      </c>
      <c r="L151" t="str">
        <f t="shared" si="37"/>
        <v>\I:</v>
      </c>
      <c r="M151" s="374" t="str">
        <f t="shared" si="26"/>
        <v/>
      </c>
      <c r="N151" s="374" t="str">
        <f t="shared" si="27"/>
        <v/>
      </c>
      <c r="O151" s="374" t="str">
        <f t="shared" si="28"/>
        <v/>
      </c>
      <c r="P151" s="374" t="str">
        <f t="shared" si="29"/>
        <v/>
      </c>
      <c r="R151" s="370"/>
      <c r="U151" t="str">
        <f t="shared" si="34"/>
        <v>\I:</v>
      </c>
      <c r="V151" t="str">
        <f ca="1" t="shared" si="35"/>
        <v>ICE LPG LCV -- 00%</v>
      </c>
      <c r="W151" s="372" t="s">
        <v>85</v>
      </c>
      <c r="X151" s="372" t="s">
        <v>86</v>
      </c>
    </row>
    <row r="152" ht="15" customHeight="1" spans="2:24">
      <c r="B152" s="49" t="s">
        <v>27</v>
      </c>
      <c r="C152" s="371" t="s">
        <v>105</v>
      </c>
      <c r="D152" s="49"/>
      <c r="E152" s="49"/>
      <c r="F152" s="49"/>
      <c r="J152" t="str">
        <f t="shared" si="38"/>
        <v>Trd_lcv_elc</v>
      </c>
      <c r="K152" t="str">
        <f t="shared" si="36"/>
        <v>\I:</v>
      </c>
      <c r="L152" t="str">
        <f t="shared" si="37"/>
        <v>\I:</v>
      </c>
      <c r="M152" s="374" t="str">
        <f t="shared" si="26"/>
        <v/>
      </c>
      <c r="N152" s="374" t="str">
        <f t="shared" si="27"/>
        <v/>
      </c>
      <c r="O152" s="374" t="str">
        <f t="shared" si="28"/>
        <v/>
      </c>
      <c r="P152" s="374" t="str">
        <f t="shared" si="29"/>
        <v/>
      </c>
      <c r="R152" s="370"/>
      <c r="U152" t="str">
        <f t="shared" si="34"/>
        <v>\I:</v>
      </c>
      <c r="V152" t="str">
        <f ca="1" t="shared" si="35"/>
        <v>Battery electric LCV -- Electric range (km)</v>
      </c>
      <c r="W152" s="372" t="s">
        <v>85</v>
      </c>
      <c r="X152" s="372" t="s">
        <v>86</v>
      </c>
    </row>
    <row r="153" spans="2:24">
      <c r="B153" s="49"/>
      <c r="C153" s="371"/>
      <c r="D153" s="49"/>
      <c r="E153" s="49"/>
      <c r="F153" s="49"/>
      <c r="J153" t="str">
        <f t="shared" si="38"/>
        <v>Trd_lcv_elc</v>
      </c>
      <c r="K153" t="str">
        <f t="shared" si="36"/>
        <v>\I:</v>
      </c>
      <c r="L153" t="str">
        <f t="shared" si="37"/>
        <v>\I:</v>
      </c>
      <c r="M153" s="374" t="str">
        <f t="shared" si="26"/>
        <v/>
      </c>
      <c r="N153" s="374" t="str">
        <f t="shared" si="27"/>
        <v/>
      </c>
      <c r="O153" s="374" t="str">
        <f t="shared" si="28"/>
        <v/>
      </c>
      <c r="P153" s="374" t="str">
        <f t="shared" si="29"/>
        <v/>
      </c>
      <c r="R153" s="370"/>
      <c r="U153" t="str">
        <f t="shared" si="34"/>
        <v>\I:</v>
      </c>
      <c r="V153" t="str">
        <f ca="1" t="shared" si="35"/>
        <v>Battery electric LCV -- 00%</v>
      </c>
      <c r="W153" s="372" t="s">
        <v>85</v>
      </c>
      <c r="X153" s="372" t="s">
        <v>86</v>
      </c>
    </row>
    <row r="154" spans="2:24">
      <c r="B154" s="49"/>
      <c r="C154" s="371"/>
      <c r="D154" s="49"/>
      <c r="E154" s="49"/>
      <c r="F154" s="49"/>
      <c r="J154" t="str">
        <f t="shared" si="38"/>
        <v>Trd_lcv_elc</v>
      </c>
      <c r="K154" t="str">
        <f t="shared" si="36"/>
        <v>\I:</v>
      </c>
      <c r="L154" t="str">
        <f t="shared" si="37"/>
        <v>\I:</v>
      </c>
      <c r="M154" s="374" t="str">
        <f t="shared" ref="M154:M178" si="39">IF($K154="\I:","",C154)</f>
        <v/>
      </c>
      <c r="N154" s="374" t="str">
        <f t="shared" ref="N154:N178" si="40">IF($K154="\I:","",D154)</f>
        <v/>
      </c>
      <c r="O154" s="374" t="str">
        <f t="shared" ref="O154:O178" si="41">IF($K154="\I:","",E154)</f>
        <v/>
      </c>
      <c r="P154" s="374" t="str">
        <f t="shared" ref="P154:P178" si="42">IF($K154="\I:","",F154)</f>
        <v/>
      </c>
      <c r="R154" s="370"/>
      <c r="U154" t="str">
        <f t="shared" si="34"/>
        <v>\I:</v>
      </c>
      <c r="V154" t="str">
        <f ca="1" t="shared" si="35"/>
        <v>Battery electric LCV -- 00%</v>
      </c>
      <c r="W154" s="372" t="s">
        <v>85</v>
      </c>
      <c r="X154" s="372" t="s">
        <v>86</v>
      </c>
    </row>
    <row r="155" spans="2:24">
      <c r="B155" s="88"/>
      <c r="C155" s="411">
        <v>2020</v>
      </c>
      <c r="D155" s="51">
        <v>2030</v>
      </c>
      <c r="E155" s="51">
        <v>2040</v>
      </c>
      <c r="F155" s="51">
        <v>2050</v>
      </c>
      <c r="J155" t="str">
        <f t="shared" si="38"/>
        <v>Trd_lcv_elc</v>
      </c>
      <c r="K155" t="str">
        <f t="shared" si="36"/>
        <v>\I:</v>
      </c>
      <c r="L155" t="str">
        <f t="shared" si="37"/>
        <v>\I:</v>
      </c>
      <c r="M155" s="374" t="str">
        <f t="shared" si="39"/>
        <v/>
      </c>
      <c r="N155" s="374" t="str">
        <f t="shared" si="40"/>
        <v/>
      </c>
      <c r="O155" s="374" t="str">
        <f t="shared" si="41"/>
        <v/>
      </c>
      <c r="P155" s="374" t="str">
        <f t="shared" si="42"/>
        <v/>
      </c>
      <c r="R155" s="370"/>
      <c r="U155" t="str">
        <f t="shared" si="34"/>
        <v>\I:</v>
      </c>
      <c r="V155" t="str">
        <f ca="1" t="shared" si="35"/>
        <v>Battery electric LCV -- 00%</v>
      </c>
      <c r="W155" s="372" t="s">
        <v>85</v>
      </c>
      <c r="X155" s="372" t="s">
        <v>86</v>
      </c>
    </row>
    <row r="156" ht="15" customHeight="1" spans="2:24">
      <c r="B156" s="66">
        <v>120</v>
      </c>
      <c r="C156" s="413">
        <v>22060.8898906779</v>
      </c>
      <c r="D156" s="86">
        <v>18978.0198753824</v>
      </c>
      <c r="E156" s="86">
        <v>18465.8673516113</v>
      </c>
      <c r="F156" s="86">
        <v>18288.5087647105</v>
      </c>
      <c r="I156" s="378">
        <f>$I$150/$I$11</f>
        <v>2.99867820102892</v>
      </c>
      <c r="J156" t="str">
        <f t="shared" si="38"/>
        <v>Trd_lcv_elc</v>
      </c>
      <c r="K156" t="str">
        <f>IFERROR(IF(VALUE(C156)&gt;2020,J156&amp;"_"&amp;TEXT(B156,"000"),"\I:"),"\I:")</f>
        <v>Trd_lcv_elc_120</v>
      </c>
      <c r="L156" t="str">
        <f t="shared" si="37"/>
        <v>Trd_lcv</v>
      </c>
      <c r="M156" s="379">
        <f>IF($K156="\I:","",C156*70%)</f>
        <v>15442.6229234745</v>
      </c>
      <c r="N156" s="380">
        <f t="shared" ref="N156:N163" si="43">M156*93%</f>
        <v>14361.6393188313</v>
      </c>
      <c r="O156" s="380">
        <f t="shared" ref="O156:O163" si="44">N156*95%</f>
        <v>13643.5573528897</v>
      </c>
      <c r="P156" s="380">
        <f t="shared" ref="P156:P163" si="45">O156*95%</f>
        <v>12961.3794852452</v>
      </c>
      <c r="R156" s="381">
        <v>0.05</v>
      </c>
      <c r="U156" t="str">
        <f t="shared" si="34"/>
        <v>Trd_lcv_elc_120</v>
      </c>
      <c r="V156" t="str">
        <f ca="1" t="shared" ref="V156:V163" si="46">OFFSET($S$1,MATCH(J156,$S$1:$S$10,0)-1,-1)&amp;" -- "&amp;TEXT(B156,"000")</f>
        <v>Battery electric LCV -- 120</v>
      </c>
      <c r="W156" s="372" t="s">
        <v>85</v>
      </c>
      <c r="X156" s="372" t="s">
        <v>86</v>
      </c>
    </row>
    <row r="157" spans="2:24">
      <c r="B157" s="66">
        <v>160</v>
      </c>
      <c r="C157" s="413">
        <v>23847.6536151786</v>
      </c>
      <c r="D157" s="86">
        <v>20088.9351310926</v>
      </c>
      <c r="E157" s="86">
        <v>19214.3984864749</v>
      </c>
      <c r="F157" s="86">
        <v>18911.5461597104</v>
      </c>
      <c r="I157" s="378">
        <f t="shared" ref="I157:I163" si="47">$I$150/$I$11</f>
        <v>2.99867820102892</v>
      </c>
      <c r="J157" t="str">
        <f t="shared" si="38"/>
        <v>Trd_lcv_elc</v>
      </c>
      <c r="K157" t="str">
        <f t="shared" ref="K157:K163" si="48">IFERROR(IF(VALUE(C157)&gt;2020,J157&amp;"_"&amp;TEXT(B157,"000"),"\I:"),"\I:")</f>
        <v>Trd_lcv_elc_160</v>
      </c>
      <c r="L157" t="str">
        <f t="shared" si="37"/>
        <v>Trd_lcv</v>
      </c>
      <c r="M157" s="379">
        <f t="shared" ref="M157:M163" si="49">IF($K157="\I:","",C157*70%)</f>
        <v>16693.357530625</v>
      </c>
      <c r="N157" s="380">
        <f t="shared" si="43"/>
        <v>15524.8225034812</v>
      </c>
      <c r="O157" s="380">
        <f t="shared" si="44"/>
        <v>14748.5813783072</v>
      </c>
      <c r="P157" s="380">
        <f t="shared" si="45"/>
        <v>14011.1523093918</v>
      </c>
      <c r="R157" s="381">
        <v>0.05</v>
      </c>
      <c r="U157" t="str">
        <f t="shared" si="34"/>
        <v>Trd_lcv_elc_160</v>
      </c>
      <c r="V157" t="str">
        <f ca="1" t="shared" si="46"/>
        <v>Battery electric LCV -- 160</v>
      </c>
      <c r="W157" s="372" t="s">
        <v>85</v>
      </c>
      <c r="X157" s="372" t="s">
        <v>86</v>
      </c>
    </row>
    <row r="158" spans="2:24">
      <c r="B158" s="66">
        <v>200</v>
      </c>
      <c r="C158" s="413">
        <v>25634.4173396793</v>
      </c>
      <c r="D158" s="86">
        <v>20759.4262694129</v>
      </c>
      <c r="E158" s="86">
        <v>19666.1732641666</v>
      </c>
      <c r="F158" s="86">
        <v>19287.5793900062</v>
      </c>
      <c r="I158" s="378">
        <f t="shared" si="47"/>
        <v>2.99867820102892</v>
      </c>
      <c r="J158" t="str">
        <f t="shared" si="38"/>
        <v>Trd_lcv_elc</v>
      </c>
      <c r="K158" t="str">
        <f t="shared" si="48"/>
        <v>Trd_lcv_elc_200</v>
      </c>
      <c r="L158" t="str">
        <f t="shared" si="37"/>
        <v>Trd_lcv</v>
      </c>
      <c r="M158" s="379">
        <f t="shared" si="49"/>
        <v>17944.0921377755</v>
      </c>
      <c r="N158" s="380">
        <f t="shared" si="43"/>
        <v>16688.0056881312</v>
      </c>
      <c r="O158" s="380">
        <f t="shared" si="44"/>
        <v>15853.6054037247</v>
      </c>
      <c r="P158" s="380">
        <f t="shared" si="45"/>
        <v>15060.9251335384</v>
      </c>
      <c r="R158" s="381">
        <v>0.05</v>
      </c>
      <c r="U158" t="str">
        <f t="shared" si="34"/>
        <v>Trd_lcv_elc_200</v>
      </c>
      <c r="V158" t="str">
        <f ca="1" t="shared" si="46"/>
        <v>Battery electric LCV -- 200</v>
      </c>
      <c r="W158" s="372" t="s">
        <v>85</v>
      </c>
      <c r="X158" s="372" t="s">
        <v>86</v>
      </c>
    </row>
    <row r="159" spans="2:24">
      <c r="B159" s="66">
        <v>250</v>
      </c>
      <c r="C159" s="413">
        <v>27948.3523689399</v>
      </c>
      <c r="D159" s="86">
        <v>21676.7267933811</v>
      </c>
      <c r="E159" s="86">
        <v>20284.2474140061</v>
      </c>
      <c r="F159" s="86">
        <v>19802.031348378</v>
      </c>
      <c r="I159" s="378">
        <f t="shared" si="47"/>
        <v>2.99867820102892</v>
      </c>
      <c r="J159" t="str">
        <f t="shared" si="38"/>
        <v>Trd_lcv_elc</v>
      </c>
      <c r="K159" t="str">
        <f t="shared" si="48"/>
        <v>Trd_lcv_elc_250</v>
      </c>
      <c r="L159" t="str">
        <f t="shared" si="37"/>
        <v>Trd_lcv</v>
      </c>
      <c r="M159" s="379">
        <f t="shared" si="49"/>
        <v>19563.8466582579</v>
      </c>
      <c r="N159" s="380">
        <f t="shared" si="43"/>
        <v>18194.3773921798</v>
      </c>
      <c r="O159" s="380">
        <f t="shared" si="44"/>
        <v>17284.6585225709</v>
      </c>
      <c r="P159" s="380">
        <f t="shared" si="45"/>
        <v>16420.4255964423</v>
      </c>
      <c r="R159" s="381">
        <v>0.125</v>
      </c>
      <c r="U159" t="str">
        <f t="shared" si="34"/>
        <v>Trd_lcv_elc_250</v>
      </c>
      <c r="V159" t="str">
        <f ca="1" t="shared" si="46"/>
        <v>Battery electric LCV -- 250</v>
      </c>
      <c r="W159" s="372" t="s">
        <v>85</v>
      </c>
      <c r="X159" s="372" t="s">
        <v>86</v>
      </c>
    </row>
    <row r="160" spans="2:24">
      <c r="B160" s="66">
        <v>300</v>
      </c>
      <c r="C160" s="413">
        <v>30262.2873982005</v>
      </c>
      <c r="D160" s="86">
        <v>22594.0273173494</v>
      </c>
      <c r="E160" s="86">
        <v>20902.3215638457</v>
      </c>
      <c r="F160" s="86">
        <v>20316.4833067498</v>
      </c>
      <c r="I160" s="378">
        <f t="shared" si="47"/>
        <v>2.99867820102892</v>
      </c>
      <c r="J160" t="str">
        <f t="shared" si="38"/>
        <v>Trd_lcv_elc</v>
      </c>
      <c r="K160" t="str">
        <f t="shared" si="48"/>
        <v>Trd_lcv_elc_300</v>
      </c>
      <c r="L160" t="str">
        <f t="shared" si="37"/>
        <v>Trd_lcv</v>
      </c>
      <c r="M160" s="379">
        <f t="shared" si="49"/>
        <v>21183.6011787403</v>
      </c>
      <c r="N160" s="380">
        <f t="shared" si="43"/>
        <v>19700.7490962285</v>
      </c>
      <c r="O160" s="380">
        <f t="shared" si="44"/>
        <v>18715.7116414171</v>
      </c>
      <c r="P160" s="380">
        <f t="shared" si="45"/>
        <v>17779.9260593462</v>
      </c>
      <c r="R160" s="381">
        <v>0.15</v>
      </c>
      <c r="U160" t="str">
        <f t="shared" si="34"/>
        <v>Trd_lcv_elc_300</v>
      </c>
      <c r="V160" t="str">
        <f ca="1" t="shared" si="46"/>
        <v>Battery electric LCV -- 300</v>
      </c>
      <c r="W160" s="372" t="s">
        <v>85</v>
      </c>
      <c r="X160" s="372" t="s">
        <v>86</v>
      </c>
    </row>
    <row r="161" spans="1:24">
      <c r="B161" s="66">
        <v>350</v>
      </c>
      <c r="C161" s="413">
        <v>33408.2814289264</v>
      </c>
      <c r="D161" s="86">
        <v>23702.9684508776</v>
      </c>
      <c r="E161" s="86">
        <v>21525.9824247356</v>
      </c>
      <c r="F161" s="86">
        <v>20835.585345442</v>
      </c>
      <c r="I161" s="378">
        <f t="shared" si="47"/>
        <v>2.99867820102892</v>
      </c>
      <c r="J161" t="str">
        <f t="shared" si="38"/>
        <v>Trd_lcv_elc</v>
      </c>
      <c r="K161" t="str">
        <f t="shared" si="48"/>
        <v>Trd_lcv_elc_350</v>
      </c>
      <c r="L161" t="str">
        <f t="shared" si="37"/>
        <v>Trd_lcv</v>
      </c>
      <c r="M161" s="379">
        <f t="shared" si="49"/>
        <v>23385.7970002485</v>
      </c>
      <c r="N161" s="380">
        <f t="shared" si="43"/>
        <v>21748.7912102311</v>
      </c>
      <c r="O161" s="380">
        <f t="shared" si="44"/>
        <v>20661.3516497196</v>
      </c>
      <c r="P161" s="380">
        <f t="shared" si="45"/>
        <v>19628.2840672336</v>
      </c>
      <c r="R161" s="381">
        <v>0.175</v>
      </c>
      <c r="U161" t="str">
        <f t="shared" si="34"/>
        <v>Trd_lcv_elc_350</v>
      </c>
      <c r="V161" t="str">
        <f ca="1" t="shared" si="46"/>
        <v>Battery electric LCV -- 350</v>
      </c>
      <c r="W161" s="372" t="s">
        <v>85</v>
      </c>
      <c r="X161" s="372" t="s">
        <v>86</v>
      </c>
    </row>
    <row r="162" spans="1:24">
      <c r="B162" s="66">
        <v>400</v>
      </c>
      <c r="C162" s="413">
        <v>36792.6829441682</v>
      </c>
      <c r="D162" s="86">
        <v>24867.4450991613</v>
      </c>
      <c r="E162" s="86">
        <v>22149.6432856255</v>
      </c>
      <c r="F162" s="86">
        <v>21354.6873841341</v>
      </c>
      <c r="I162" s="378">
        <f t="shared" si="47"/>
        <v>2.99867820102892</v>
      </c>
      <c r="J162" t="str">
        <f t="shared" si="38"/>
        <v>Trd_lcv_elc</v>
      </c>
      <c r="K162" t="str">
        <f t="shared" si="48"/>
        <v>Trd_lcv_elc_400</v>
      </c>
      <c r="L162" t="str">
        <f t="shared" si="37"/>
        <v>Trd_lcv</v>
      </c>
      <c r="M162" s="379">
        <f t="shared" si="49"/>
        <v>25754.8780609177</v>
      </c>
      <c r="N162" s="380">
        <f t="shared" si="43"/>
        <v>23952.0365966535</v>
      </c>
      <c r="O162" s="380">
        <f t="shared" si="44"/>
        <v>22754.4347668208</v>
      </c>
      <c r="P162" s="380">
        <f t="shared" si="45"/>
        <v>21616.7130284797</v>
      </c>
      <c r="R162" s="381">
        <v>0.2</v>
      </c>
      <c r="U162" t="str">
        <f t="shared" si="34"/>
        <v>Trd_lcv_elc_400</v>
      </c>
      <c r="V162" t="str">
        <f ca="1" t="shared" si="46"/>
        <v>Battery electric LCV -- 400</v>
      </c>
      <c r="W162" s="372" t="s">
        <v>85</v>
      </c>
      <c r="X162" s="372" t="s">
        <v>86</v>
      </c>
    </row>
    <row r="163" spans="1:24">
      <c r="B163" s="66">
        <v>500</v>
      </c>
      <c r="C163" s="413">
        <v>44276.7084281994</v>
      </c>
      <c r="D163" s="86">
        <v>27629.6574330657</v>
      </c>
      <c r="E163" s="86">
        <v>23636.5244664208</v>
      </c>
      <c r="F163" s="86">
        <v>22392.8914615185</v>
      </c>
      <c r="I163" s="378">
        <f t="shared" si="47"/>
        <v>2.99867820102892</v>
      </c>
      <c r="J163" t="str">
        <f t="shared" si="38"/>
        <v>Trd_lcv_elc</v>
      </c>
      <c r="K163" t="str">
        <f t="shared" si="48"/>
        <v>Trd_lcv_elc_500</v>
      </c>
      <c r="L163" t="str">
        <f t="shared" si="37"/>
        <v>Trd_lcv</v>
      </c>
      <c r="M163" s="379">
        <f t="shared" si="49"/>
        <v>30993.6958997396</v>
      </c>
      <c r="N163" s="380">
        <f t="shared" si="43"/>
        <v>28824.1371867578</v>
      </c>
      <c r="O163" s="380">
        <f t="shared" si="44"/>
        <v>27382.9303274199</v>
      </c>
      <c r="P163" s="380">
        <f t="shared" si="45"/>
        <v>26013.7838110489</v>
      </c>
      <c r="R163" s="370"/>
      <c r="U163" t="str">
        <f t="shared" si="34"/>
        <v>Trd_lcv_elc_500</v>
      </c>
      <c r="V163" t="str">
        <f ca="1" t="shared" si="46"/>
        <v>Battery electric LCV -- 500</v>
      </c>
      <c r="W163" s="372" t="s">
        <v>85</v>
      </c>
      <c r="X163" s="372" t="s">
        <v>86</v>
      </c>
    </row>
    <row r="164" spans="1:24">
      <c r="J164" t="str">
        <f t="shared" si="38"/>
        <v>Trd_lcv_elc</v>
      </c>
      <c r="K164" t="str">
        <f t="shared" si="36"/>
        <v>\I:</v>
      </c>
      <c r="L164" t="str">
        <f t="shared" si="37"/>
        <v>\I:</v>
      </c>
      <c r="M164" s="374" t="str">
        <f t="shared" si="39"/>
        <v/>
      </c>
      <c r="N164" s="374" t="str">
        <f t="shared" si="40"/>
        <v/>
      </c>
      <c r="O164" s="374" t="str">
        <f t="shared" si="41"/>
        <v/>
      </c>
      <c r="P164" s="374" t="str">
        <f t="shared" si="42"/>
        <v/>
      </c>
      <c r="R164" s="370"/>
      <c r="U164" t="str">
        <f t="shared" si="34"/>
        <v>\I:</v>
      </c>
      <c r="V164" t="str">
        <f ca="1" t="shared" ref="V164:V170" si="50">OFFSET($S$1,MATCH(J164,$S$1:$S$10,0)-1,-1)&amp;" -- "&amp;TEXT(B164,"00%")</f>
        <v>Battery electric LCV -- 00%</v>
      </c>
      <c r="W164" s="372" t="s">
        <v>85</v>
      </c>
      <c r="X164" s="372" t="s">
        <v>86</v>
      </c>
    </row>
    <row r="165" spans="1:24">
      <c r="J165" t="str">
        <f t="shared" si="38"/>
        <v>Trd_lcv_elc</v>
      </c>
      <c r="K165" t="str">
        <f t="shared" si="36"/>
        <v>\I:</v>
      </c>
      <c r="L165" t="str">
        <f t="shared" si="37"/>
        <v>\I:</v>
      </c>
      <c r="M165" s="374" t="str">
        <f t="shared" si="39"/>
        <v/>
      </c>
      <c r="N165" s="374" t="str">
        <f t="shared" si="40"/>
        <v/>
      </c>
      <c r="O165" s="374" t="str">
        <f t="shared" si="41"/>
        <v/>
      </c>
      <c r="P165" s="374" t="str">
        <f t="shared" si="42"/>
        <v/>
      </c>
      <c r="R165" s="370"/>
      <c r="U165" t="str">
        <f t="shared" si="34"/>
        <v>\I:</v>
      </c>
      <c r="V165" t="str">
        <f ca="1" t="shared" si="50"/>
        <v>Battery electric LCV -- 00%</v>
      </c>
      <c r="W165" s="372" t="s">
        <v>85</v>
      </c>
      <c r="X165" s="372" t="s">
        <v>86</v>
      </c>
    </row>
    <row r="166" spans="1:24">
      <c r="J166" t="str">
        <f t="shared" si="38"/>
        <v>Trd_lcv_elc</v>
      </c>
      <c r="K166" t="str">
        <f t="shared" si="36"/>
        <v>\I:</v>
      </c>
      <c r="L166" t="str">
        <f t="shared" si="37"/>
        <v>\I:</v>
      </c>
      <c r="M166" s="374" t="str">
        <f t="shared" si="39"/>
        <v/>
      </c>
      <c r="N166" s="374" t="str">
        <f t="shared" si="40"/>
        <v/>
      </c>
      <c r="O166" s="374" t="str">
        <f t="shared" si="41"/>
        <v/>
      </c>
      <c r="P166" s="374" t="str">
        <f t="shared" si="42"/>
        <v/>
      </c>
      <c r="R166" s="370"/>
      <c r="U166" t="str">
        <f t="shared" si="34"/>
        <v>\I:</v>
      </c>
      <c r="V166" t="str">
        <f ca="1" t="shared" si="50"/>
        <v>Battery electric LCV -- 00%</v>
      </c>
      <c r="W166" s="372" t="s">
        <v>85</v>
      </c>
      <c r="X166" s="372" t="s">
        <v>86</v>
      </c>
    </row>
    <row r="167" ht="15" customHeight="1" spans="1:24">
      <c r="B167" s="49" t="s">
        <v>29</v>
      </c>
      <c r="C167" s="371" t="s">
        <v>106</v>
      </c>
      <c r="D167" s="49"/>
      <c r="E167" s="49"/>
      <c r="F167" s="49"/>
      <c r="J167" t="str">
        <f t="shared" si="38"/>
        <v>Trd_lcv_hh2</v>
      </c>
      <c r="K167" t="str">
        <f t="shared" si="36"/>
        <v>\I:</v>
      </c>
      <c r="L167" t="str">
        <f t="shared" si="37"/>
        <v>\I:</v>
      </c>
      <c r="M167" s="374" t="str">
        <f t="shared" si="39"/>
        <v/>
      </c>
      <c r="N167" s="374" t="str">
        <f t="shared" si="40"/>
        <v/>
      </c>
      <c r="O167" s="374" t="str">
        <f t="shared" si="41"/>
        <v/>
      </c>
      <c r="P167" s="374" t="str">
        <f t="shared" si="42"/>
        <v/>
      </c>
      <c r="R167" s="370"/>
      <c r="U167" t="str">
        <f t="shared" si="34"/>
        <v>\I:</v>
      </c>
      <c r="V167" t="str">
        <f ca="1" t="shared" si="50"/>
        <v>Hydrogen fuel cell LCV -- Energy consumption (kg H2/100km)</v>
      </c>
      <c r="W167" s="372" t="s">
        <v>85</v>
      </c>
      <c r="X167" s="372" t="s">
        <v>86</v>
      </c>
    </row>
    <row r="168" spans="1:24">
      <c r="B168" s="49"/>
      <c r="C168" s="371"/>
      <c r="D168" s="49"/>
      <c r="E168" s="49"/>
      <c r="F168" s="49"/>
      <c r="J168" t="str">
        <f t="shared" si="38"/>
        <v>Trd_lcv_hh2</v>
      </c>
      <c r="K168" t="str">
        <f t="shared" si="36"/>
        <v>\I:</v>
      </c>
      <c r="L168" t="str">
        <f t="shared" si="37"/>
        <v>\I:</v>
      </c>
      <c r="M168" s="374" t="str">
        <f t="shared" si="39"/>
        <v/>
      </c>
      <c r="N168" s="374" t="str">
        <f t="shared" si="40"/>
        <v/>
      </c>
      <c r="O168" s="374" t="str">
        <f t="shared" si="41"/>
        <v/>
      </c>
      <c r="P168" s="374" t="str">
        <f t="shared" si="42"/>
        <v/>
      </c>
      <c r="R168" s="370"/>
      <c r="U168" t="str">
        <f t="shared" si="34"/>
        <v>\I:</v>
      </c>
      <c r="V168" t="str">
        <f ca="1" t="shared" si="50"/>
        <v>Hydrogen fuel cell LCV -- 00%</v>
      </c>
      <c r="W168" s="372" t="s">
        <v>85</v>
      </c>
      <c r="X168" s="372" t="s">
        <v>86</v>
      </c>
    </row>
    <row r="169" spans="1:24">
      <c r="B169" s="49"/>
      <c r="C169" s="371"/>
      <c r="D169" s="49"/>
      <c r="E169" s="49"/>
      <c r="F169" s="49"/>
      <c r="J169" t="str">
        <f t="shared" si="38"/>
        <v>Trd_lcv_hh2</v>
      </c>
      <c r="K169" t="str">
        <f t="shared" si="36"/>
        <v>\I:</v>
      </c>
      <c r="L169" t="str">
        <f t="shared" si="37"/>
        <v>\I:</v>
      </c>
      <c r="M169" s="374" t="str">
        <f t="shared" si="39"/>
        <v/>
      </c>
      <c r="N169" s="374" t="str">
        <f t="shared" si="40"/>
        <v/>
      </c>
      <c r="O169" s="374" t="str">
        <f t="shared" si="41"/>
        <v/>
      </c>
      <c r="P169" s="374" t="str">
        <f t="shared" si="42"/>
        <v/>
      </c>
      <c r="R169" s="370"/>
      <c r="U169" t="str">
        <f t="shared" si="34"/>
        <v>\I:</v>
      </c>
      <c r="V169" t="str">
        <f ca="1" t="shared" si="50"/>
        <v>Hydrogen fuel cell LCV -- 00%</v>
      </c>
      <c r="W169" s="372" t="s">
        <v>85</v>
      </c>
      <c r="X169" s="372" t="s">
        <v>86</v>
      </c>
    </row>
    <row r="170" spans="1:24">
      <c r="B170" s="88"/>
      <c r="C170" s="411">
        <v>2020</v>
      </c>
      <c r="D170" s="51">
        <v>2030</v>
      </c>
      <c r="E170" s="51">
        <v>2040</v>
      </c>
      <c r="F170" s="51">
        <v>2050</v>
      </c>
      <c r="J170" t="str">
        <f t="shared" si="38"/>
        <v>Trd_lcv_hh2</v>
      </c>
      <c r="K170" t="str">
        <f t="shared" si="36"/>
        <v>\I:</v>
      </c>
      <c r="L170" t="str">
        <f t="shared" si="37"/>
        <v>\I:</v>
      </c>
      <c r="M170" s="374" t="str">
        <f t="shared" si="39"/>
        <v/>
      </c>
      <c r="N170" s="374" t="str">
        <f t="shared" si="40"/>
        <v/>
      </c>
      <c r="O170" s="374" t="str">
        <f t="shared" si="41"/>
        <v/>
      </c>
      <c r="P170" s="374" t="str">
        <f t="shared" si="42"/>
        <v/>
      </c>
      <c r="R170" s="370"/>
      <c r="U170" t="str">
        <f t="shared" si="34"/>
        <v>\I:</v>
      </c>
      <c r="V170" t="str">
        <f ca="1" t="shared" si="50"/>
        <v>Hydrogen fuel cell LCV -- 00%</v>
      </c>
      <c r="W170" s="372" t="s">
        <v>85</v>
      </c>
      <c r="X170" s="372" t="s">
        <v>86</v>
      </c>
    </row>
    <row r="171" spans="1:24">
      <c r="A171" s="75"/>
      <c r="B171" s="415">
        <v>1.20554299239837</v>
      </c>
      <c r="C171" s="413">
        <v>45848.1660768927</v>
      </c>
      <c r="D171" s="86">
        <v>33512.2985132785</v>
      </c>
      <c r="E171" s="86">
        <v>27771.8876812487</v>
      </c>
      <c r="F171" s="86">
        <v>26358.6946408287</v>
      </c>
      <c r="G171" s="75">
        <f>B171*0.12/100*10^9/10^6</f>
        <v>1.44665159087804</v>
      </c>
      <c r="H171" s="75"/>
      <c r="I171" s="366">
        <f>1/G171/$I$11</f>
        <v>1.85464688318633</v>
      </c>
      <c r="J171" t="str">
        <f t="shared" si="38"/>
        <v>Trd_lcv_hh2</v>
      </c>
      <c r="K171" t="str">
        <f>IFERROR(IF(VALUE(C171)&gt;2020,J171&amp;"_"&amp;TEXT(1/B171*100,"00"),"\I:"),"\I:")</f>
        <v>Trd_lcv_hh2_83</v>
      </c>
      <c r="L171" t="str">
        <f t="shared" si="37"/>
        <v>Trd_lcv</v>
      </c>
      <c r="M171" s="374">
        <f t="shared" si="39"/>
        <v>45848.1660768927</v>
      </c>
      <c r="N171" s="374">
        <f t="shared" si="40"/>
        <v>33512.2985132785</v>
      </c>
      <c r="O171" s="374">
        <f t="shared" si="41"/>
        <v>27771.8876812487</v>
      </c>
      <c r="P171" s="374">
        <f t="shared" si="42"/>
        <v>26358.6946408287</v>
      </c>
      <c r="R171" s="370"/>
      <c r="U171" t="str">
        <f t="shared" si="34"/>
        <v>Trd_lcv_hh2_83</v>
      </c>
      <c r="V171" t="str">
        <f ca="1">OFFSET($S$1,MATCH(J171,$S$1:$S$10,0)-1,-1)&amp;" -- "&amp;TEXT(B171,"0.0")</f>
        <v>Hydrogen fuel cell LCV -- 1.2</v>
      </c>
      <c r="W171" s="372" t="s">
        <v>85</v>
      </c>
      <c r="X171" s="372" t="s">
        <v>86</v>
      </c>
    </row>
    <row r="172" spans="1:24">
      <c r="A172" s="75"/>
      <c r="B172" s="415">
        <v>1.15387686415272</v>
      </c>
      <c r="C172" s="413">
        <v>46326.8277788115</v>
      </c>
      <c r="D172" s="86">
        <v>33899.2903831972</v>
      </c>
      <c r="E172" s="86">
        <v>28102.7819901918</v>
      </c>
      <c r="F172" s="86">
        <v>26680.6458603409</v>
      </c>
      <c r="G172" s="75">
        <f t="shared" ref="G172:G178" si="51">B172*0.12/100*10^9/10^6</f>
        <v>1.38465223698326</v>
      </c>
      <c r="H172" s="75"/>
      <c r="I172" s="366">
        <f t="shared" ref="I172:I178" si="52">1/G172/$I$11</f>
        <v>1.93769077347827</v>
      </c>
      <c r="J172" t="str">
        <f t="shared" si="38"/>
        <v>Trd_lcv_hh2</v>
      </c>
      <c r="K172" t="str">
        <f t="shared" ref="K172:K178" si="53">IFERROR(IF(VALUE(C172)&gt;2020,J172&amp;"_"&amp;TEXT(1/B172*100,"00"),"\I:"),"\I:")</f>
        <v>Trd_lcv_hh2_87</v>
      </c>
      <c r="L172" t="str">
        <f t="shared" si="37"/>
        <v>Trd_lcv</v>
      </c>
      <c r="M172" s="374">
        <f t="shared" si="39"/>
        <v>46326.8277788115</v>
      </c>
      <c r="N172" s="374">
        <f t="shared" si="40"/>
        <v>33899.2903831972</v>
      </c>
      <c r="O172" s="374">
        <f t="shared" si="41"/>
        <v>28102.7819901918</v>
      </c>
      <c r="P172" s="374">
        <f t="shared" si="42"/>
        <v>26680.6458603409</v>
      </c>
      <c r="R172" s="370"/>
      <c r="U172" t="str">
        <f t="shared" si="34"/>
        <v>Trd_lcv_hh2_87</v>
      </c>
      <c r="V172" t="str">
        <f ca="1" t="shared" ref="V172:V178" si="54">OFFSET($S$1,MATCH(J172,$S$1:$S$10,0)-1,-1)&amp;" -- "&amp;TEXT(B172,"0.0")</f>
        <v>Hydrogen fuel cell LCV -- 1.2</v>
      </c>
      <c r="W172" s="372" t="s">
        <v>85</v>
      </c>
      <c r="X172" s="372" t="s">
        <v>86</v>
      </c>
    </row>
    <row r="173" spans="1:24">
      <c r="A173" s="75"/>
      <c r="B173" s="415">
        <v>1.10221073590708</v>
      </c>
      <c r="C173" s="413">
        <v>47015.1741892966</v>
      </c>
      <c r="D173" s="86">
        <v>34286.2822531159</v>
      </c>
      <c r="E173" s="86">
        <v>28433.6762991349</v>
      </c>
      <c r="F173" s="86">
        <v>27002.5970798531</v>
      </c>
      <c r="G173" s="75">
        <f t="shared" si="51"/>
        <v>1.3226528830885</v>
      </c>
      <c r="H173" s="75"/>
      <c r="I173" s="366">
        <f t="shared" si="52"/>
        <v>2.02852002848505</v>
      </c>
      <c r="J173" t="str">
        <f t="shared" si="38"/>
        <v>Trd_lcv_hh2</v>
      </c>
      <c r="K173" t="str">
        <f t="shared" si="53"/>
        <v>Trd_lcv_hh2_91</v>
      </c>
      <c r="L173" t="str">
        <f t="shared" si="37"/>
        <v>Trd_lcv</v>
      </c>
      <c r="M173" s="374">
        <f t="shared" si="39"/>
        <v>47015.1741892966</v>
      </c>
      <c r="N173" s="374">
        <f t="shared" si="40"/>
        <v>34286.2822531159</v>
      </c>
      <c r="O173" s="374">
        <f t="shared" si="41"/>
        <v>28433.6762991349</v>
      </c>
      <c r="P173" s="374">
        <f t="shared" si="42"/>
        <v>27002.5970798531</v>
      </c>
      <c r="R173" s="370"/>
      <c r="U173" t="str">
        <f t="shared" si="34"/>
        <v>Trd_lcv_hh2_91</v>
      </c>
      <c r="V173" t="str">
        <f ca="1" t="shared" si="54"/>
        <v>Hydrogen fuel cell LCV -- 1.1</v>
      </c>
      <c r="W173" s="372" t="s">
        <v>85</v>
      </c>
      <c r="X173" s="372" t="s">
        <v>86</v>
      </c>
    </row>
    <row r="174" spans="1:24">
      <c r="A174" s="75"/>
      <c r="B174" s="415">
        <v>1.05054460766144</v>
      </c>
      <c r="C174" s="413">
        <v>49703.0325829883</v>
      </c>
      <c r="D174" s="86">
        <v>34673.2741230346</v>
      </c>
      <c r="E174" s="86">
        <v>28764.570608078</v>
      </c>
      <c r="F174" s="86">
        <v>27324.5482993653</v>
      </c>
      <c r="G174" s="75">
        <f t="shared" si="51"/>
        <v>1.26065352919373</v>
      </c>
      <c r="H174" s="75"/>
      <c r="I174" s="366">
        <f t="shared" si="52"/>
        <v>2.12828330857447</v>
      </c>
      <c r="J174" t="str">
        <f t="shared" si="38"/>
        <v>Trd_lcv_hh2</v>
      </c>
      <c r="K174" t="str">
        <f t="shared" si="53"/>
        <v>Trd_lcv_hh2_95</v>
      </c>
      <c r="L174" t="str">
        <f t="shared" si="37"/>
        <v>Trd_lcv</v>
      </c>
      <c r="M174" s="374">
        <f t="shared" si="39"/>
        <v>49703.0325829883</v>
      </c>
      <c r="N174" s="374">
        <f t="shared" si="40"/>
        <v>34673.2741230346</v>
      </c>
      <c r="O174" s="374">
        <f t="shared" si="41"/>
        <v>28764.570608078</v>
      </c>
      <c r="P174" s="374">
        <f t="shared" si="42"/>
        <v>27324.5482993653</v>
      </c>
      <c r="R174" s="370"/>
      <c r="U174" t="str">
        <f t="shared" si="34"/>
        <v>Trd_lcv_hh2_95</v>
      </c>
      <c r="V174" t="str">
        <f ca="1" t="shared" si="54"/>
        <v>Hydrogen fuel cell LCV -- 1.1</v>
      </c>
      <c r="W174" s="372" t="s">
        <v>85</v>
      </c>
      <c r="X174" s="372" t="s">
        <v>86</v>
      </c>
    </row>
    <row r="175" spans="1:24">
      <c r="A175" s="75"/>
      <c r="B175" s="415">
        <v>0.998878479415791</v>
      </c>
      <c r="C175" s="413">
        <v>50460.9409463544</v>
      </c>
      <c r="D175" s="86">
        <v>36490.73991933</v>
      </c>
      <c r="E175" s="86">
        <v>29095.4649170211</v>
      </c>
      <c r="F175" s="86">
        <v>27646.4995188775</v>
      </c>
      <c r="G175" s="75">
        <f t="shared" si="51"/>
        <v>1.19865417529895</v>
      </c>
      <c r="H175" s="75"/>
      <c r="I175" s="366">
        <f t="shared" si="52"/>
        <v>2.23836692798351</v>
      </c>
      <c r="J175" t="str">
        <f t="shared" si="38"/>
        <v>Trd_lcv_hh2</v>
      </c>
      <c r="K175" t="str">
        <f t="shared" si="53"/>
        <v>Trd_lcv_hh2_100</v>
      </c>
      <c r="L175" t="str">
        <f t="shared" si="37"/>
        <v>Trd_lcv</v>
      </c>
      <c r="M175" s="374">
        <f t="shared" si="39"/>
        <v>50460.9409463544</v>
      </c>
      <c r="N175" s="374">
        <f t="shared" si="40"/>
        <v>36490.73991933</v>
      </c>
      <c r="O175" s="374">
        <f t="shared" si="41"/>
        <v>29095.4649170211</v>
      </c>
      <c r="P175" s="374">
        <f t="shared" si="42"/>
        <v>27646.4995188775</v>
      </c>
      <c r="R175" s="370"/>
      <c r="U175" t="str">
        <f t="shared" si="34"/>
        <v>Trd_lcv_hh2_100</v>
      </c>
      <c r="V175" t="str">
        <f ca="1" t="shared" si="54"/>
        <v>Hydrogen fuel cell LCV -- 1.0</v>
      </c>
      <c r="W175" s="372" t="s">
        <v>85</v>
      </c>
      <c r="X175" s="372" t="s">
        <v>86</v>
      </c>
    </row>
    <row r="176" spans="1:24">
      <c r="A176" s="75"/>
      <c r="B176" s="415">
        <v>0.947212351170146</v>
      </c>
      <c r="C176" s="413">
        <v>50979.1442628498</v>
      </c>
      <c r="D176" s="86">
        <v>36898.6956750849</v>
      </c>
      <c r="E176" s="86">
        <v>29426.3592259642</v>
      </c>
      <c r="F176" s="86">
        <v>27968.4507383897</v>
      </c>
      <c r="G176" s="75">
        <f t="shared" si="51"/>
        <v>1.13665482140418</v>
      </c>
      <c r="H176" s="75"/>
      <c r="I176" s="366">
        <f t="shared" si="52"/>
        <v>2.36045966950988</v>
      </c>
      <c r="J176" t="str">
        <f t="shared" si="38"/>
        <v>Trd_lcv_hh2</v>
      </c>
      <c r="K176" t="str">
        <f t="shared" si="53"/>
        <v>Trd_lcv_hh2_106</v>
      </c>
      <c r="L176" t="str">
        <f t="shared" si="37"/>
        <v>Trd_lcv</v>
      </c>
      <c r="M176" s="374">
        <f t="shared" si="39"/>
        <v>50979.1442628498</v>
      </c>
      <c r="N176" s="374">
        <f t="shared" si="40"/>
        <v>36898.6956750849</v>
      </c>
      <c r="O176" s="374">
        <f t="shared" si="41"/>
        <v>29426.3592259642</v>
      </c>
      <c r="P176" s="374">
        <f t="shared" si="42"/>
        <v>27968.4507383897</v>
      </c>
      <c r="R176" s="370"/>
      <c r="U176" t="str">
        <f t="shared" si="34"/>
        <v>Trd_lcv_hh2_106</v>
      </c>
      <c r="V176" t="str">
        <f ca="1" t="shared" si="54"/>
        <v>Hydrogen fuel cell LCV -- 0.9</v>
      </c>
      <c r="W176" s="372" t="s">
        <v>85</v>
      </c>
      <c r="X176" s="372" t="s">
        <v>86</v>
      </c>
    </row>
    <row r="177" ht="15.75" customHeight="1" spans="1:24">
      <c r="A177" s="75"/>
      <c r="B177" s="415">
        <v>0.895546222924502</v>
      </c>
      <c r="C177" s="413">
        <v>51497.3475793452</v>
      </c>
      <c r="D177" s="86">
        <v>37306.6514308397</v>
      </c>
      <c r="E177" s="86">
        <v>29757.2535349073</v>
      </c>
      <c r="F177" s="86">
        <v>28290.4019579018</v>
      </c>
      <c r="G177" s="75">
        <f t="shared" si="51"/>
        <v>1.0746554675094</v>
      </c>
      <c r="H177" s="75"/>
      <c r="I177" s="366">
        <f t="shared" si="52"/>
        <v>2.49664003505853</v>
      </c>
      <c r="J177" t="str">
        <f t="shared" si="38"/>
        <v>Trd_lcv_hh2</v>
      </c>
      <c r="K177" t="str">
        <f t="shared" si="53"/>
        <v>Trd_lcv_hh2_112</v>
      </c>
      <c r="L177" t="str">
        <f t="shared" si="37"/>
        <v>Trd_lcv</v>
      </c>
      <c r="M177" s="374">
        <f t="shared" si="39"/>
        <v>51497.3475793452</v>
      </c>
      <c r="N177" s="374">
        <f t="shared" si="40"/>
        <v>37306.6514308397</v>
      </c>
      <c r="O177" s="374">
        <f t="shared" si="41"/>
        <v>29757.2535349073</v>
      </c>
      <c r="P177" s="374">
        <f t="shared" si="42"/>
        <v>28290.4019579018</v>
      </c>
      <c r="R177" s="370"/>
      <c r="U177" t="str">
        <f t="shared" si="34"/>
        <v>Trd_lcv_hh2_112</v>
      </c>
      <c r="V177" t="str">
        <f ca="1" t="shared" si="54"/>
        <v>Hydrogen fuel cell LCV -- 0.9</v>
      </c>
      <c r="W177" s="372" t="s">
        <v>85</v>
      </c>
      <c r="X177" s="372" t="s">
        <v>86</v>
      </c>
    </row>
    <row r="178" ht="15.75" customHeight="1" spans="1:24">
      <c r="A178" s="75"/>
      <c r="B178" s="415">
        <v>0.843880094678858</v>
      </c>
      <c r="C178" s="413">
        <v>52015.5508958406</v>
      </c>
      <c r="D178" s="86">
        <v>37714.6071865946</v>
      </c>
      <c r="E178" s="86">
        <v>30088.1478438504</v>
      </c>
      <c r="F178" s="86">
        <v>28612.3531774141</v>
      </c>
      <c r="G178" s="75">
        <f t="shared" si="51"/>
        <v>1.01265611361463</v>
      </c>
      <c r="H178" s="75"/>
      <c r="I178" s="366">
        <f t="shared" si="52"/>
        <v>2.64949554740905</v>
      </c>
      <c r="J178" t="str">
        <f t="shared" si="38"/>
        <v>Trd_lcv_hh2</v>
      </c>
      <c r="K178" t="str">
        <f t="shared" si="53"/>
        <v>Trd_lcv_hh2_119</v>
      </c>
      <c r="L178" t="str">
        <f t="shared" si="37"/>
        <v>Trd_lcv</v>
      </c>
      <c r="M178" s="374">
        <f t="shared" si="39"/>
        <v>52015.5508958406</v>
      </c>
      <c r="N178" s="374">
        <f t="shared" si="40"/>
        <v>37714.6071865946</v>
      </c>
      <c r="O178" s="374">
        <f t="shared" si="41"/>
        <v>30088.1478438504</v>
      </c>
      <c r="P178" s="374">
        <f t="shared" si="42"/>
        <v>28612.3531774141</v>
      </c>
      <c r="R178" s="370"/>
      <c r="U178" t="str">
        <f t="shared" si="34"/>
        <v>Trd_lcv_hh2_119</v>
      </c>
      <c r="V178" t="str">
        <f ca="1" t="shared" si="54"/>
        <v>Hydrogen fuel cell LCV -- 0.8</v>
      </c>
      <c r="W178" s="372" t="s">
        <v>85</v>
      </c>
      <c r="X178" s="372" t="s">
        <v>86</v>
      </c>
    </row>
    <row r="179" ht="24.75" customHeight="1"/>
  </sheetData>
  <mergeCells count="1">
    <mergeCell ref="B2:F2"/>
  </mergeCells>
  <pageMargins left="0.7" right="0.7" top="0.75" bottom="0.75" header="0.3" footer="0.3"/>
  <pageSetup paperSize="9" orientation="portrait"/>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78" zoomScaleNormal="78" topLeftCell="D1" workbookViewId="0">
      <selection activeCell="P12" sqref="P12"/>
    </sheetView>
  </sheetViews>
  <sheetFormatPr defaultColWidth="9" defaultRowHeight="14.5"/>
  <cols>
    <col min="1" max="1" width="7.6" customWidth="1"/>
    <col min="2" max="2" width="38.2636363636364" style="97" customWidth="1"/>
    <col min="3" max="6" width="7.06363636363636" customWidth="1"/>
    <col min="10" max="10" width="15.6" customWidth="1"/>
    <col min="11" max="11" width="25.9090909090909" customWidth="1"/>
    <col min="12" max="12" width="11.0636363636364" customWidth="1"/>
    <col min="13" max="16" width="7" customWidth="1"/>
    <col min="18" max="18" width="51.7272727272727" customWidth="1"/>
  </cols>
  <sheetData>
    <row r="1" ht="15.5" spans="2:24">
      <c r="B1" s="355" t="s">
        <v>10</v>
      </c>
      <c r="C1" s="356"/>
      <c r="D1" s="388"/>
      <c r="E1" s="388"/>
      <c r="F1" s="389"/>
      <c r="Q1" t="s">
        <v>51</v>
      </c>
      <c r="R1" t="s">
        <v>111</v>
      </c>
      <c r="S1" t="str">
        <f>"Trd_hdt_"&amp;Q1</f>
        <v>Trd_hdt_dsl</v>
      </c>
    </row>
    <row r="2" ht="15.75" customHeight="1" spans="2:24">
      <c r="B2" s="358" t="s">
        <v>9</v>
      </c>
      <c r="C2" s="359"/>
      <c r="D2" s="359"/>
      <c r="E2" s="359"/>
      <c r="F2" s="359"/>
      <c r="I2" s="364">
        <v>0.0520099378899987</v>
      </c>
      <c r="J2" s="363" t="s">
        <v>44</v>
      </c>
      <c r="Q2" t="s">
        <v>54</v>
      </c>
      <c r="R2" t="s">
        <v>112</v>
      </c>
      <c r="S2" t="str">
        <f t="shared" ref="S2:S6" si="0">"Trd_hdt_"&amp;Q2</f>
        <v>Trd_hdt_dsl-hyb</v>
      </c>
    </row>
    <row r="3" ht="18.5" spans="2:24">
      <c r="B3" s="390" t="s">
        <v>113</v>
      </c>
      <c r="C3" s="361"/>
      <c r="D3" s="361"/>
      <c r="E3" s="361"/>
      <c r="F3" s="362"/>
      <c r="I3" s="384">
        <f>31536000/10^9</f>
        <v>0.031536</v>
      </c>
      <c r="J3" s="363" t="s">
        <v>47</v>
      </c>
      <c r="M3" s="89"/>
      <c r="Q3" t="s">
        <v>114</v>
      </c>
      <c r="R3" t="s">
        <v>115</v>
      </c>
      <c r="S3" t="str">
        <f t="shared" si="0"/>
        <v>Trd_hdt_lng</v>
      </c>
    </row>
    <row r="4" spans="2:24">
      <c r="I4" s="363">
        <v>0.038</v>
      </c>
      <c r="J4" s="363" t="s">
        <v>50</v>
      </c>
      <c r="M4" s="89"/>
      <c r="Q4" t="s">
        <v>61</v>
      </c>
      <c r="R4" t="s">
        <v>116</v>
      </c>
      <c r="S4" t="str">
        <f>"\I:Trd_hdt_"&amp;Q4</f>
        <v>\I:Trd_hdt_lpg</v>
      </c>
    </row>
    <row r="5" spans="2:24">
      <c r="B5" s="44" t="s">
        <v>117</v>
      </c>
      <c r="I5" s="364">
        <f>1.406/26.137</f>
        <v>0.053793472854574</v>
      </c>
      <c r="J5" s="363" t="s">
        <v>53</v>
      </c>
      <c r="Q5" t="s">
        <v>66</v>
      </c>
      <c r="R5" t="s">
        <v>118</v>
      </c>
      <c r="S5" t="str">
        <f t="shared" si="0"/>
        <v>Trd_hdt_elc</v>
      </c>
    </row>
    <row r="6" ht="15" customHeight="1" spans="2:24">
      <c r="B6" s="365">
        <v>2015</v>
      </c>
      <c r="C6" s="365"/>
      <c r="D6" s="365"/>
      <c r="I6" s="364">
        <v>0.02559</v>
      </c>
      <c r="J6" s="363" t="s">
        <v>56</v>
      </c>
      <c r="Q6" t="s">
        <v>68</v>
      </c>
      <c r="R6" t="s">
        <v>119</v>
      </c>
      <c r="S6" t="str">
        <f t="shared" si="0"/>
        <v>Trd_hdt_hh2</v>
      </c>
    </row>
    <row r="7" spans="2:24">
      <c r="B7" s="46" t="s">
        <v>12</v>
      </c>
      <c r="C7" s="47" t="s">
        <v>13</v>
      </c>
      <c r="D7" s="48">
        <v>18.8825162842906</v>
      </c>
      <c r="G7" s="366">
        <f>D7*$I$4/100*10^9/10^6</f>
        <v>7.17535618803043</v>
      </c>
      <c r="H7" s="366"/>
      <c r="I7" s="366">
        <f>1/G7</f>
        <v>0.139365903767697</v>
      </c>
    </row>
    <row r="8" spans="2:24">
      <c r="B8" s="46" t="s">
        <v>14</v>
      </c>
      <c r="C8" s="47" t="s">
        <v>15</v>
      </c>
      <c r="D8" s="68">
        <v>79045.0684591355</v>
      </c>
      <c r="I8" s="44" t="s">
        <v>70</v>
      </c>
    </row>
    <row r="9" spans="2:24">
      <c r="B9" s="391"/>
      <c r="C9" s="392"/>
      <c r="D9" s="393"/>
      <c r="I9" s="44"/>
    </row>
    <row r="10" ht="15.25" spans="2:24">
      <c r="K10" s="368" t="s">
        <v>71</v>
      </c>
      <c r="T10" s="368" t="s">
        <v>72</v>
      </c>
      <c r="U10" s="369"/>
      <c r="V10" s="369"/>
      <c r="W10" s="369"/>
      <c r="X10" s="369"/>
    </row>
    <row r="11" spans="2:24">
      <c r="I11" t="s">
        <v>73</v>
      </c>
      <c r="J11" t="s">
        <v>74</v>
      </c>
      <c r="K11" t="s">
        <v>75</v>
      </c>
      <c r="L11" t="s">
        <v>76</v>
      </c>
      <c r="M11">
        <f>C15</f>
        <v>2020</v>
      </c>
      <c r="N11">
        <f>D15</f>
        <v>2030</v>
      </c>
      <c r="O11">
        <f>E15</f>
        <v>2040</v>
      </c>
      <c r="P11" t="s">
        <v>77</v>
      </c>
      <c r="R11" s="370" t="s">
        <v>78</v>
      </c>
      <c r="T11" s="369" t="s">
        <v>79</v>
      </c>
      <c r="U11" s="369" t="s">
        <v>80</v>
      </c>
      <c r="V11" s="369" t="s">
        <v>81</v>
      </c>
      <c r="W11" s="369" t="s">
        <v>82</v>
      </c>
      <c r="X11" s="369" t="s">
        <v>83</v>
      </c>
    </row>
    <row r="12" ht="15" customHeight="1" spans="2:24">
      <c r="B12" s="385" t="s">
        <v>120</v>
      </c>
      <c r="C12" s="371" t="s">
        <v>111</v>
      </c>
      <c r="D12" s="385"/>
      <c r="E12" s="385"/>
      <c r="F12" s="385"/>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70"/>
      <c r="T12" t="s">
        <v>84</v>
      </c>
      <c r="U12" t="str">
        <f>K12</f>
        <v>\I:</v>
      </c>
      <c r="V12" t="str">
        <f ca="1">OFFSET($S$1,MATCH(J12,$S$1:$S$11,0)-1,-1)&amp;" -- "&amp;TEXT(B12,"00%")</f>
        <v>7.5-16t diesel truck -- Reduction of specific energy consumption relative to 2015 diesel vehicle(%)</v>
      </c>
      <c r="W12" s="372" t="s">
        <v>85</v>
      </c>
      <c r="X12" s="372" t="s">
        <v>86</v>
      </c>
    </row>
    <row r="13" spans="2:24">
      <c r="B13" s="385"/>
      <c r="C13" s="371"/>
      <c r="D13" s="385"/>
      <c r="E13" s="385"/>
      <c r="F13" s="385"/>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70"/>
      <c r="T13" t="s">
        <v>84</v>
      </c>
      <c r="U13" t="str">
        <f>K13</f>
        <v>\I:</v>
      </c>
      <c r="V13" t="str">
        <f ca="1">OFFSET($S$1,MATCH(J13,$S$1:$S$11,0)-1,-1)&amp;" -- "&amp;TEXT(B13,"00%")</f>
        <v>7.5-16t diesel truck -- 00%</v>
      </c>
      <c r="W13" s="372" t="s">
        <v>85</v>
      </c>
      <c r="X13" s="372" t="s">
        <v>86</v>
      </c>
    </row>
    <row r="14" spans="2:24">
      <c r="B14" s="385"/>
      <c r="C14" s="371"/>
      <c r="D14" s="385"/>
      <c r="E14" s="385"/>
      <c r="F14" s="385"/>
      <c r="J14" t="str">
        <f t="shared" si="1"/>
        <v>Trd_hdt_dsl</v>
      </c>
      <c r="K14" t="str">
        <f t="shared" si="2"/>
        <v>\I:</v>
      </c>
      <c r="L14" t="str">
        <f t="shared" si="3"/>
        <v>\I:</v>
      </c>
      <c r="M14" t="str">
        <f t="shared" si="4"/>
        <v/>
      </c>
      <c r="N14" t="str">
        <f t="shared" si="5"/>
        <v/>
      </c>
      <c r="O14" t="str">
        <f t="shared" si="5"/>
        <v/>
      </c>
      <c r="P14" t="str">
        <f t="shared" si="5"/>
        <v/>
      </c>
      <c r="R14" s="370"/>
      <c r="T14" t="s">
        <v>84</v>
      </c>
      <c r="U14" t="str">
        <f>K14</f>
        <v>\I:</v>
      </c>
      <c r="V14" t="str">
        <f ca="1">OFFSET($S$1,MATCH(J14,$S$1:$S$11,0)-1,-1)&amp;" -- "&amp;TEXT(B14,"00%")</f>
        <v>7.5-16t diesel truck -- 00%</v>
      </c>
      <c r="W14" s="372" t="s">
        <v>85</v>
      </c>
      <c r="X14" s="372" t="s">
        <v>86</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70"/>
      <c r="T15" t="s">
        <v>84</v>
      </c>
      <c r="U15" t="str">
        <f t="shared" ref="U15:U78" si="6">K15</f>
        <v>\I:</v>
      </c>
      <c r="V15" t="str">
        <f ca="1" t="shared" ref="V15:V78" si="7">OFFSET($S$1,MATCH(J15,$S$1:$S$11,0)-1,-1)&amp;" -- "&amp;TEXT(B15,"00%")</f>
        <v>7.5-16t diesel truck -- 00%</v>
      </c>
      <c r="W15" s="372" t="s">
        <v>85</v>
      </c>
      <c r="X15" s="372" t="s">
        <v>86</v>
      </c>
    </row>
    <row r="16" spans="2:24">
      <c r="B16" s="85">
        <v>0.0441258142145298</v>
      </c>
      <c r="C16" s="86">
        <v>79927.7536460642</v>
      </c>
      <c r="D16" s="86">
        <v>79927.7536460642</v>
      </c>
      <c r="E16" s="86">
        <v>79927.7536460642</v>
      </c>
      <c r="F16" s="86">
        <v>79927.7536460642</v>
      </c>
      <c r="I16" s="373">
        <f>(1+B16)</f>
        <v>1.04412581421453</v>
      </c>
      <c r="J16" t="str">
        <f t="shared" si="1"/>
        <v>Trd_hdt_dsl</v>
      </c>
      <c r="K16" t="str">
        <f t="shared" si="2"/>
        <v>Trd_hdt_dsl_04</v>
      </c>
      <c r="L16" t="str">
        <f t="shared" si="3"/>
        <v>Trd_hdt</v>
      </c>
      <c r="M16" s="374">
        <f t="shared" si="4"/>
        <v>79927.7536460642</v>
      </c>
      <c r="N16" s="374">
        <f t="shared" si="5"/>
        <v>79927.7536460642</v>
      </c>
      <c r="O16" s="374">
        <f t="shared" si="5"/>
        <v>79927.7536460642</v>
      </c>
      <c r="P16" s="374">
        <f t="shared" si="5"/>
        <v>79927.7536460642</v>
      </c>
      <c r="R16" s="370"/>
      <c r="T16" t="s">
        <v>84</v>
      </c>
      <c r="U16" t="str">
        <f t="shared" si="6"/>
        <v>Trd_hdt_dsl_04</v>
      </c>
      <c r="V16" t="str">
        <f ca="1" t="shared" si="7"/>
        <v>7.5-16t diesel truck -- 04%</v>
      </c>
      <c r="W16" s="372" t="s">
        <v>85</v>
      </c>
      <c r="X16" s="372" t="s">
        <v>86</v>
      </c>
    </row>
    <row r="17" spans="2:24">
      <c r="B17" s="85">
        <v>0.0941258142145298</v>
      </c>
      <c r="C17" s="86">
        <v>81360.1864067572</v>
      </c>
      <c r="D17" s="86">
        <v>80873.2378673953</v>
      </c>
      <c r="E17" s="86">
        <v>80873.2378673953</v>
      </c>
      <c r="F17" s="86">
        <v>80873.2378673953</v>
      </c>
      <c r="I17" s="373">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74">
        <f t="shared" ref="M17:M37" si="11">IF($K17="\I:","",C17)</f>
        <v>81360.1864067572</v>
      </c>
      <c r="N17" s="374">
        <f t="shared" ref="N17:N37" si="12">IF($K17="\I:","",D17)</f>
        <v>80873.2378673953</v>
      </c>
      <c r="O17" s="374">
        <f t="shared" ref="O17:O37" si="13">IF($K17="\I:","",E17)</f>
        <v>80873.2378673953</v>
      </c>
      <c r="P17" s="374">
        <f t="shared" ref="P17:P37" si="14">IF($K17="\I:","",F17)</f>
        <v>80873.2378673953</v>
      </c>
      <c r="R17" s="370"/>
      <c r="T17" t="s">
        <v>84</v>
      </c>
      <c r="U17" t="str">
        <f t="shared" si="6"/>
        <v>Trd_hdt_dsl_09</v>
      </c>
      <c r="V17" t="str">
        <f ca="1" t="shared" si="7"/>
        <v>7.5-16t diesel truck -- 09%</v>
      </c>
      <c r="W17" s="372" t="s">
        <v>85</v>
      </c>
      <c r="X17" s="372" t="s">
        <v>86</v>
      </c>
    </row>
    <row r="18" spans="2:24">
      <c r="B18" s="85">
        <v>0.14412581421453</v>
      </c>
      <c r="C18" s="86">
        <v>82659.1626483237</v>
      </c>
      <c r="D18" s="86">
        <v>82265.6067669513</v>
      </c>
      <c r="E18" s="86">
        <v>82265.6067669513</v>
      </c>
      <c r="F18" s="86">
        <v>82265.6067669513</v>
      </c>
      <c r="I18" s="373">
        <f t="shared" si="8"/>
        <v>1.14412581421453</v>
      </c>
      <c r="J18" t="str">
        <f t="shared" si="9"/>
        <v>Trd_hdt_dsl</v>
      </c>
      <c r="K18" t="str">
        <f t="shared" si="10"/>
        <v>Trd_hdt_dsl_14</v>
      </c>
      <c r="L18" t="str">
        <f t="shared" si="3"/>
        <v>Trd_hdt</v>
      </c>
      <c r="M18" s="374">
        <f t="shared" si="11"/>
        <v>82659.1626483237</v>
      </c>
      <c r="N18" s="374">
        <f t="shared" si="12"/>
        <v>82265.6067669513</v>
      </c>
      <c r="O18" s="374">
        <f t="shared" si="13"/>
        <v>82265.6067669513</v>
      </c>
      <c r="P18" s="374">
        <f t="shared" si="14"/>
        <v>82265.6067669513</v>
      </c>
      <c r="R18" s="370"/>
      <c r="T18" t="s">
        <v>84</v>
      </c>
      <c r="U18" t="str">
        <f t="shared" si="6"/>
        <v>Trd_hdt_dsl_14</v>
      </c>
      <c r="V18" t="str">
        <f ca="1" t="shared" si="7"/>
        <v>7.5-16t diesel truck -- 14%</v>
      </c>
      <c r="W18" s="372" t="s">
        <v>85</v>
      </c>
      <c r="X18" s="372" t="s">
        <v>86</v>
      </c>
    </row>
    <row r="19" spans="2:24">
      <c r="B19" s="85">
        <v>0.19412581421453</v>
      </c>
      <c r="C19" s="86">
        <v>88191.0297712466</v>
      </c>
      <c r="D19" s="86">
        <v>84316.0811257105</v>
      </c>
      <c r="E19" s="86">
        <v>84316.0811257105</v>
      </c>
      <c r="F19" s="86">
        <v>84316.0811257105</v>
      </c>
      <c r="I19" s="373">
        <f t="shared" si="8"/>
        <v>1.19412581421453</v>
      </c>
      <c r="J19" t="str">
        <f t="shared" si="9"/>
        <v>Trd_hdt_dsl</v>
      </c>
      <c r="K19" t="str">
        <f t="shared" si="10"/>
        <v>Trd_hdt_dsl_19</v>
      </c>
      <c r="L19" t="str">
        <f t="shared" si="3"/>
        <v>Trd_hdt</v>
      </c>
      <c r="M19" s="374">
        <f t="shared" si="11"/>
        <v>88191.0297712466</v>
      </c>
      <c r="N19" s="374">
        <f t="shared" si="12"/>
        <v>84316.0811257105</v>
      </c>
      <c r="O19" s="374">
        <f t="shared" si="13"/>
        <v>84316.0811257105</v>
      </c>
      <c r="P19" s="374">
        <f t="shared" si="14"/>
        <v>84316.0811257105</v>
      </c>
      <c r="R19" s="370"/>
      <c r="T19" t="s">
        <v>84</v>
      </c>
      <c r="U19" t="str">
        <f t="shared" si="6"/>
        <v>Trd_hdt_dsl_19</v>
      </c>
      <c r="V19" t="str">
        <f ca="1" t="shared" si="7"/>
        <v>7.5-16t diesel truck -- 19%</v>
      </c>
      <c r="W19" s="372" t="s">
        <v>85</v>
      </c>
      <c r="X19" s="372" t="s">
        <v>86</v>
      </c>
    </row>
    <row r="20" spans="2:24">
      <c r="B20" s="85">
        <v>0.24412581421453</v>
      </c>
      <c r="C20" s="86">
        <v>92499.1246257596</v>
      </c>
      <c r="D20" s="86">
        <v>87335.7155755103</v>
      </c>
      <c r="E20" s="86">
        <v>87335.7155755103</v>
      </c>
      <c r="F20" s="86">
        <v>87335.7155755103</v>
      </c>
      <c r="I20" s="373">
        <f t="shared" si="8"/>
        <v>1.24412581421453</v>
      </c>
      <c r="J20" t="str">
        <f t="shared" si="9"/>
        <v>Trd_hdt_dsl</v>
      </c>
      <c r="K20" t="str">
        <f t="shared" si="10"/>
        <v>Trd_hdt_dsl_24</v>
      </c>
      <c r="L20" t="str">
        <f t="shared" si="3"/>
        <v>Trd_hdt</v>
      </c>
      <c r="M20" s="374">
        <f t="shared" si="11"/>
        <v>92499.1246257596</v>
      </c>
      <c r="N20" s="374">
        <f t="shared" si="12"/>
        <v>87335.7155755103</v>
      </c>
      <c r="O20" s="374">
        <f t="shared" si="13"/>
        <v>87335.7155755103</v>
      </c>
      <c r="P20" s="374">
        <f t="shared" si="14"/>
        <v>87335.7155755103</v>
      </c>
      <c r="R20" s="370"/>
      <c r="T20" t="s">
        <v>84</v>
      </c>
      <c r="U20" t="str">
        <f t="shared" si="6"/>
        <v>Trd_hdt_dsl_24</v>
      </c>
      <c r="V20" t="str">
        <f ca="1" t="shared" si="7"/>
        <v>7.5-16t diesel truck -- 24%</v>
      </c>
      <c r="W20" s="372" t="s">
        <v>85</v>
      </c>
      <c r="X20" s="372" t="s">
        <v>86</v>
      </c>
    </row>
    <row r="21" spans="2:24">
      <c r="B21" s="85">
        <v>0.26412581421453</v>
      </c>
      <c r="C21" s="86">
        <v>115400.251045956</v>
      </c>
      <c r="D21" s="86">
        <v>91896.6101429967</v>
      </c>
      <c r="E21" s="86">
        <v>91782.585233483</v>
      </c>
      <c r="F21" s="86">
        <v>91782.585233483</v>
      </c>
      <c r="I21" s="373">
        <f t="shared" si="8"/>
        <v>1.26412581421453</v>
      </c>
      <c r="J21" t="str">
        <f t="shared" si="9"/>
        <v>Trd_hdt_dsl</v>
      </c>
      <c r="K21" t="str">
        <f t="shared" si="10"/>
        <v>Trd_hdt_dsl_26</v>
      </c>
      <c r="L21" t="str">
        <f t="shared" si="3"/>
        <v>Trd_hdt</v>
      </c>
      <c r="M21" s="374">
        <f t="shared" si="11"/>
        <v>115400.251045956</v>
      </c>
      <c r="N21" s="374">
        <f t="shared" si="12"/>
        <v>91896.6101429967</v>
      </c>
      <c r="O21" s="374">
        <f t="shared" si="13"/>
        <v>91782.585233483</v>
      </c>
      <c r="P21" s="374">
        <f t="shared" si="14"/>
        <v>91782.585233483</v>
      </c>
      <c r="R21" s="370"/>
      <c r="T21" t="s">
        <v>84</v>
      </c>
      <c r="U21" t="str">
        <f t="shared" si="6"/>
        <v>Trd_hdt_dsl_26</v>
      </c>
      <c r="V21" t="str">
        <f ca="1" t="shared" si="7"/>
        <v>7.5-16t diesel truck -- 26%</v>
      </c>
      <c r="W21" s="372" t="s">
        <v>85</v>
      </c>
      <c r="X21" s="372" t="s">
        <v>86</v>
      </c>
    </row>
    <row r="22" spans="2:24">
      <c r="B22" s="85">
        <v>0.29412581421453</v>
      </c>
      <c r="C22" s="86">
        <v>189775.230098575</v>
      </c>
      <c r="D22" s="86">
        <v>105837.452091052</v>
      </c>
      <c r="E22" s="86">
        <v>98331.2751771647</v>
      </c>
      <c r="F22" s="86">
        <v>98331.2751771647</v>
      </c>
      <c r="I22" s="373">
        <f t="shared" si="8"/>
        <v>1.29412581421453</v>
      </c>
      <c r="J22" t="str">
        <f t="shared" si="9"/>
        <v>Trd_hdt_dsl</v>
      </c>
      <c r="K22" t="str">
        <f t="shared" si="10"/>
        <v>Trd_hdt_dsl_29</v>
      </c>
      <c r="L22" t="str">
        <f t="shared" si="3"/>
        <v>Trd_hdt</v>
      </c>
      <c r="M22" s="374">
        <f t="shared" si="11"/>
        <v>189775.230098575</v>
      </c>
      <c r="N22" s="374">
        <f t="shared" si="12"/>
        <v>105837.452091052</v>
      </c>
      <c r="O22" s="374">
        <f t="shared" si="13"/>
        <v>98331.2751771647</v>
      </c>
      <c r="P22" s="374">
        <f t="shared" si="14"/>
        <v>98331.2751771647</v>
      </c>
      <c r="R22" s="370"/>
      <c r="T22" t="s">
        <v>84</v>
      </c>
      <c r="U22" t="str">
        <f t="shared" si="6"/>
        <v>Trd_hdt_dsl_29</v>
      </c>
      <c r="V22" t="str">
        <f ca="1" t="shared" si="7"/>
        <v>7.5-16t diesel truck -- 29%</v>
      </c>
      <c r="W22" s="372" t="s">
        <v>85</v>
      </c>
      <c r="X22" s="372" t="s">
        <v>86</v>
      </c>
    </row>
    <row r="23" spans="2:24">
      <c r="I23" s="373"/>
      <c r="J23" t="str">
        <f t="shared" si="9"/>
        <v>Trd_hdt_dsl</v>
      </c>
      <c r="K23" t="str">
        <f t="shared" si="10"/>
        <v>\I:</v>
      </c>
      <c r="L23" t="str">
        <f t="shared" si="3"/>
        <v>\I:</v>
      </c>
      <c r="M23" s="374" t="str">
        <f t="shared" si="11"/>
        <v/>
      </c>
      <c r="N23" s="374" t="str">
        <f t="shared" si="12"/>
        <v/>
      </c>
      <c r="O23" s="374" t="str">
        <f t="shared" si="13"/>
        <v/>
      </c>
      <c r="P23" s="374" t="str">
        <f t="shared" si="14"/>
        <v/>
      </c>
      <c r="R23" s="370"/>
      <c r="U23" t="str">
        <f t="shared" si="6"/>
        <v>\I:</v>
      </c>
      <c r="V23" t="str">
        <f ca="1" t="shared" si="7"/>
        <v>7.5-16t diesel truck -- 00%</v>
      </c>
      <c r="W23" s="372" t="s">
        <v>85</v>
      </c>
      <c r="X23" s="372" t="s">
        <v>86</v>
      </c>
    </row>
    <row r="24" spans="2:24">
      <c r="I24" s="373"/>
      <c r="J24" t="str">
        <f t="shared" si="9"/>
        <v>Trd_hdt_dsl</v>
      </c>
      <c r="K24" t="str">
        <f t="shared" si="10"/>
        <v>\I:</v>
      </c>
      <c r="L24" t="str">
        <f t="shared" si="3"/>
        <v>\I:</v>
      </c>
      <c r="M24" s="374" t="str">
        <f t="shared" si="11"/>
        <v/>
      </c>
      <c r="N24" s="374" t="str">
        <f t="shared" si="12"/>
        <v/>
      </c>
      <c r="O24" s="374" t="str">
        <f t="shared" si="13"/>
        <v/>
      </c>
      <c r="P24" s="374" t="str">
        <f t="shared" si="14"/>
        <v/>
      </c>
      <c r="R24" s="370"/>
      <c r="U24" t="str">
        <f t="shared" si="6"/>
        <v>\I:</v>
      </c>
      <c r="V24" t="str">
        <f ca="1" t="shared" si="7"/>
        <v>7.5-16t diesel truck -- 00%</v>
      </c>
      <c r="W24" s="372" t="s">
        <v>85</v>
      </c>
      <c r="X24" s="372" t="s">
        <v>86</v>
      </c>
    </row>
    <row r="25" spans="2:24">
      <c r="I25" s="373"/>
      <c r="J25" t="str">
        <f t="shared" si="9"/>
        <v>Trd_hdt_dsl</v>
      </c>
      <c r="K25" t="str">
        <f t="shared" si="10"/>
        <v>\I:</v>
      </c>
      <c r="L25" t="str">
        <f t="shared" si="3"/>
        <v>\I:</v>
      </c>
      <c r="M25" s="374" t="str">
        <f t="shared" si="11"/>
        <v/>
      </c>
      <c r="N25" s="374" t="str">
        <f t="shared" si="12"/>
        <v/>
      </c>
      <c r="O25" s="374" t="str">
        <f t="shared" si="13"/>
        <v/>
      </c>
      <c r="P25" s="374" t="str">
        <f t="shared" si="14"/>
        <v/>
      </c>
      <c r="R25" s="370"/>
      <c r="U25" t="str">
        <f t="shared" si="6"/>
        <v>\I:</v>
      </c>
      <c r="V25" t="str">
        <f ca="1" t="shared" si="7"/>
        <v>7.5-16t diesel truck -- 00%</v>
      </c>
      <c r="W25" s="372" t="s">
        <v>85</v>
      </c>
      <c r="X25" s="372" t="s">
        <v>86</v>
      </c>
    </row>
    <row r="26" ht="15" customHeight="1" spans="2:24">
      <c r="B26" s="385" t="s">
        <v>120</v>
      </c>
      <c r="C26" s="371" t="s">
        <v>112</v>
      </c>
      <c r="D26" s="385"/>
      <c r="E26" s="385"/>
      <c r="F26" s="385"/>
      <c r="I26" s="373"/>
      <c r="J26" t="str">
        <f t="shared" si="9"/>
        <v>Trd_hdt_dsl-hyb</v>
      </c>
      <c r="K26" t="str">
        <f t="shared" si="10"/>
        <v>\I:</v>
      </c>
      <c r="L26" t="str">
        <f t="shared" si="3"/>
        <v>\I:</v>
      </c>
      <c r="M26" s="374" t="str">
        <f t="shared" si="11"/>
        <v/>
      </c>
      <c r="N26" s="374" t="str">
        <f t="shared" si="12"/>
        <v/>
      </c>
      <c r="O26" s="374" t="str">
        <f t="shared" si="13"/>
        <v/>
      </c>
      <c r="P26" s="374" t="str">
        <f t="shared" si="14"/>
        <v/>
      </c>
      <c r="R26" s="370"/>
      <c r="U26" t="str">
        <f t="shared" si="6"/>
        <v>\I:</v>
      </c>
      <c r="V26" t="str">
        <f ca="1" t="shared" si="7"/>
        <v>7.5-16t diesel hybrid truck -- Reduction of specific energy consumption relative to 2015 diesel vehicle(%)</v>
      </c>
      <c r="W26" s="372" t="s">
        <v>85</v>
      </c>
      <c r="X26" s="372" t="s">
        <v>86</v>
      </c>
    </row>
    <row r="27" spans="2:24">
      <c r="B27" s="385"/>
      <c r="C27" s="371"/>
      <c r="D27" s="385"/>
      <c r="E27" s="385"/>
      <c r="F27" s="385"/>
      <c r="I27" s="373"/>
      <c r="J27" t="str">
        <f t="shared" si="9"/>
        <v>Trd_hdt_dsl-hyb</v>
      </c>
      <c r="K27" t="str">
        <f t="shared" si="10"/>
        <v>\I:</v>
      </c>
      <c r="L27" t="str">
        <f t="shared" si="3"/>
        <v>\I:</v>
      </c>
      <c r="M27" s="374" t="str">
        <f t="shared" si="11"/>
        <v/>
      </c>
      <c r="N27" s="374" t="str">
        <f t="shared" si="12"/>
        <v/>
      </c>
      <c r="O27" s="374" t="str">
        <f t="shared" si="13"/>
        <v/>
      </c>
      <c r="P27" s="374" t="str">
        <f t="shared" si="14"/>
        <v/>
      </c>
      <c r="R27" s="370"/>
      <c r="U27" t="str">
        <f t="shared" si="6"/>
        <v>\I:</v>
      </c>
      <c r="V27" t="str">
        <f ca="1" t="shared" si="7"/>
        <v>7.5-16t diesel hybrid truck -- 00%</v>
      </c>
      <c r="W27" s="372" t="s">
        <v>85</v>
      </c>
      <c r="X27" s="372" t="s">
        <v>86</v>
      </c>
    </row>
    <row r="28" spans="2:24">
      <c r="B28" s="385"/>
      <c r="C28" s="371"/>
      <c r="D28" s="385"/>
      <c r="E28" s="385"/>
      <c r="F28" s="385"/>
      <c r="I28" s="373"/>
      <c r="J28" t="str">
        <f t="shared" si="9"/>
        <v>Trd_hdt_dsl-hyb</v>
      </c>
      <c r="K28" t="str">
        <f t="shared" si="10"/>
        <v>\I:</v>
      </c>
      <c r="L28" t="str">
        <f t="shared" si="3"/>
        <v>\I:</v>
      </c>
      <c r="M28" s="374" t="str">
        <f t="shared" si="11"/>
        <v/>
      </c>
      <c r="N28" s="374" t="str">
        <f t="shared" si="12"/>
        <v/>
      </c>
      <c r="O28" s="374" t="str">
        <f t="shared" si="13"/>
        <v/>
      </c>
      <c r="P28" s="374" t="str">
        <f t="shared" si="14"/>
        <v/>
      </c>
      <c r="R28" s="370"/>
      <c r="U28" t="str">
        <f t="shared" si="6"/>
        <v>\I:</v>
      </c>
      <c r="V28" t="str">
        <f ca="1" t="shared" si="7"/>
        <v>7.5-16t diesel hybrid truck -- 00%</v>
      </c>
      <c r="W28" s="372" t="s">
        <v>85</v>
      </c>
      <c r="X28" s="372" t="s">
        <v>86</v>
      </c>
    </row>
    <row r="29" spans="2:24">
      <c r="B29" s="88"/>
      <c r="C29" s="51">
        <v>2020</v>
      </c>
      <c r="D29" s="51">
        <v>2030</v>
      </c>
      <c r="E29" s="51">
        <v>2040</v>
      </c>
      <c r="F29" s="51">
        <v>2050</v>
      </c>
      <c r="I29" s="373"/>
      <c r="J29" t="str">
        <f t="shared" si="9"/>
        <v>Trd_hdt_dsl-hyb</v>
      </c>
      <c r="K29" t="str">
        <f t="shared" si="10"/>
        <v>\I:</v>
      </c>
      <c r="L29" t="str">
        <f t="shared" si="3"/>
        <v>\I:</v>
      </c>
      <c r="M29" s="374" t="str">
        <f t="shared" si="11"/>
        <v/>
      </c>
      <c r="N29" s="374" t="str">
        <f t="shared" si="12"/>
        <v/>
      </c>
      <c r="O29" s="374" t="str">
        <f t="shared" si="13"/>
        <v/>
      </c>
      <c r="P29" s="374" t="str">
        <f t="shared" si="14"/>
        <v/>
      </c>
      <c r="R29" s="370"/>
      <c r="U29" t="str">
        <f t="shared" si="6"/>
        <v>\I:</v>
      </c>
      <c r="V29" t="str">
        <f ca="1" t="shared" si="7"/>
        <v>7.5-16t diesel hybrid truck -- 00%</v>
      </c>
      <c r="W29" s="372" t="s">
        <v>85</v>
      </c>
      <c r="X29" s="372" t="s">
        <v>86</v>
      </c>
    </row>
    <row r="30" spans="2:24">
      <c r="B30" s="85">
        <v>0.1</v>
      </c>
      <c r="C30" s="86">
        <v>88920.6651098532</v>
      </c>
      <c r="D30" s="86">
        <v>85723.7072151163</v>
      </c>
      <c r="E30" s="86">
        <v>84520.5888443088</v>
      </c>
      <c r="F30" s="86">
        <v>83595.636305435</v>
      </c>
      <c r="I30" s="373">
        <f t="shared" ref="I30:I37" si="15">(1+B30)</f>
        <v>1.1</v>
      </c>
      <c r="J30" t="str">
        <f t="shared" si="9"/>
        <v>Trd_hdt_dsl-hyb</v>
      </c>
      <c r="K30" t="str">
        <f t="shared" si="10"/>
        <v>Trd_hdt_dsl-hyb_10</v>
      </c>
      <c r="L30" t="str">
        <f t="shared" si="3"/>
        <v>Trd_hdt</v>
      </c>
      <c r="M30" s="374">
        <f t="shared" si="11"/>
        <v>88920.6651098532</v>
      </c>
      <c r="N30" s="374">
        <f t="shared" si="12"/>
        <v>85723.7072151163</v>
      </c>
      <c r="O30" s="374">
        <f t="shared" si="13"/>
        <v>84520.5888443088</v>
      </c>
      <c r="P30" s="374">
        <f t="shared" si="14"/>
        <v>83595.636305435</v>
      </c>
      <c r="R30" s="370"/>
      <c r="U30" t="str">
        <f t="shared" si="6"/>
        <v>Trd_hdt_dsl-hyb_10</v>
      </c>
      <c r="V30" t="str">
        <f ca="1" t="shared" si="7"/>
        <v>7.5-16t diesel hybrid truck -- 10%</v>
      </c>
      <c r="W30" s="372" t="s">
        <v>85</v>
      </c>
      <c r="X30" s="372" t="s">
        <v>86</v>
      </c>
    </row>
    <row r="31" spans="2:24">
      <c r="B31" s="85">
        <v>0.15</v>
      </c>
      <c r="C31" s="86">
        <v>90395.0204926283</v>
      </c>
      <c r="D31" s="86">
        <v>85866.8890332981</v>
      </c>
      <c r="E31" s="86">
        <v>84742.0752039553</v>
      </c>
      <c r="F31" s="86">
        <v>83858.3785974444</v>
      </c>
      <c r="I31" s="373">
        <f t="shared" si="15"/>
        <v>1.15</v>
      </c>
      <c r="J31" t="str">
        <f t="shared" si="9"/>
        <v>Trd_hdt_dsl-hyb</v>
      </c>
      <c r="K31" t="str">
        <f t="shared" si="10"/>
        <v>Trd_hdt_dsl-hyb_15</v>
      </c>
      <c r="L31" t="str">
        <f t="shared" si="3"/>
        <v>Trd_hdt</v>
      </c>
      <c r="M31" s="374">
        <f t="shared" si="11"/>
        <v>90395.0204926283</v>
      </c>
      <c r="N31" s="374">
        <f t="shared" si="12"/>
        <v>85866.8890332981</v>
      </c>
      <c r="O31" s="374">
        <f t="shared" si="13"/>
        <v>84742.0752039553</v>
      </c>
      <c r="P31" s="374">
        <f t="shared" si="14"/>
        <v>83858.3785974444</v>
      </c>
      <c r="R31" s="370"/>
      <c r="U31" t="str">
        <f t="shared" si="6"/>
        <v>Trd_hdt_dsl-hyb_15</v>
      </c>
      <c r="V31" t="str">
        <f ca="1" t="shared" si="7"/>
        <v>7.5-16t diesel hybrid truck -- 15%</v>
      </c>
      <c r="W31" s="372" t="s">
        <v>85</v>
      </c>
      <c r="X31" s="372" t="s">
        <v>86</v>
      </c>
    </row>
    <row r="32" spans="2:24">
      <c r="B32" s="85">
        <v>0.2</v>
      </c>
      <c r="C32" s="86">
        <v>91869.3758754034</v>
      </c>
      <c r="D32" s="86">
        <v>86041.5708514799</v>
      </c>
      <c r="E32" s="86">
        <v>84996.5031128271</v>
      </c>
      <c r="F32" s="86">
        <v>84156.751475997</v>
      </c>
      <c r="I32" s="373">
        <f t="shared" si="15"/>
        <v>1.2</v>
      </c>
      <c r="J32" t="str">
        <f t="shared" si="9"/>
        <v>Trd_hdt_dsl-hyb</v>
      </c>
      <c r="K32" t="str">
        <f t="shared" si="10"/>
        <v>Trd_hdt_dsl-hyb_20</v>
      </c>
      <c r="L32" t="str">
        <f t="shared" si="3"/>
        <v>Trd_hdt</v>
      </c>
      <c r="M32" s="374">
        <f t="shared" si="11"/>
        <v>91869.3758754034</v>
      </c>
      <c r="N32" s="374">
        <f t="shared" si="12"/>
        <v>86041.5708514799</v>
      </c>
      <c r="O32" s="374">
        <f t="shared" si="13"/>
        <v>84996.5031128271</v>
      </c>
      <c r="P32" s="374">
        <f t="shared" si="14"/>
        <v>84156.751475997</v>
      </c>
      <c r="R32" s="370"/>
      <c r="U32" t="str">
        <f t="shared" si="6"/>
        <v>Trd_hdt_dsl-hyb_20</v>
      </c>
      <c r="V32" t="str">
        <f ca="1" t="shared" si="7"/>
        <v>7.5-16t diesel hybrid truck -- 20%</v>
      </c>
      <c r="W32" s="372" t="s">
        <v>85</v>
      </c>
      <c r="X32" s="372" t="s">
        <v>86</v>
      </c>
    </row>
    <row r="33" spans="2:24">
      <c r="B33" s="85">
        <v>0.25</v>
      </c>
      <c r="C33" s="86">
        <v>93343.7312581785</v>
      </c>
      <c r="D33" s="86">
        <v>86487.4440572216</v>
      </c>
      <c r="E33" s="86">
        <v>85493.1691287208</v>
      </c>
      <c r="F33" s="86">
        <v>84675.0560982984</v>
      </c>
      <c r="I33" s="373">
        <f t="shared" si="15"/>
        <v>1.25</v>
      </c>
      <c r="J33" t="str">
        <f t="shared" si="9"/>
        <v>Trd_hdt_dsl-hyb</v>
      </c>
      <c r="K33" t="str">
        <f t="shared" si="10"/>
        <v>Trd_hdt_dsl-hyb_25</v>
      </c>
      <c r="L33" t="str">
        <f t="shared" si="3"/>
        <v>Trd_hdt</v>
      </c>
      <c r="M33" s="374">
        <f t="shared" si="11"/>
        <v>93343.7312581785</v>
      </c>
      <c r="N33" s="374">
        <f t="shared" si="12"/>
        <v>86487.4440572216</v>
      </c>
      <c r="O33" s="374">
        <f t="shared" si="13"/>
        <v>85493.1691287208</v>
      </c>
      <c r="P33" s="374">
        <f t="shared" si="14"/>
        <v>84675.0560982984</v>
      </c>
      <c r="R33" s="370"/>
      <c r="U33" t="str">
        <f t="shared" si="6"/>
        <v>Trd_hdt_dsl-hyb_25</v>
      </c>
      <c r="V33" t="str">
        <f ca="1" t="shared" si="7"/>
        <v>7.5-16t diesel hybrid truck -- 25%</v>
      </c>
      <c r="W33" s="372" t="s">
        <v>85</v>
      </c>
      <c r="X33" s="372" t="s">
        <v>86</v>
      </c>
    </row>
    <row r="34" spans="2:24">
      <c r="B34" s="85">
        <v>0.3</v>
      </c>
      <c r="C34" s="86">
        <v>94818.0866409536</v>
      </c>
      <c r="D34" s="86">
        <v>87242.4966888005</v>
      </c>
      <c r="E34" s="86">
        <v>86278.8059816227</v>
      </c>
      <c r="F34" s="86">
        <v>85465.4384699798</v>
      </c>
      <c r="I34" s="373">
        <f t="shared" si="15"/>
        <v>1.3</v>
      </c>
      <c r="J34" t="str">
        <f t="shared" si="9"/>
        <v>Trd_hdt_dsl-hyb</v>
      </c>
      <c r="K34" t="str">
        <f t="shared" si="10"/>
        <v>Trd_hdt_dsl-hyb_30</v>
      </c>
      <c r="L34" t="str">
        <f t="shared" si="3"/>
        <v>Trd_hdt</v>
      </c>
      <c r="M34" s="374">
        <f t="shared" si="11"/>
        <v>94818.0866409536</v>
      </c>
      <c r="N34" s="374">
        <f t="shared" si="12"/>
        <v>87242.4966888005</v>
      </c>
      <c r="O34" s="374">
        <f t="shared" si="13"/>
        <v>86278.8059816227</v>
      </c>
      <c r="P34" s="374">
        <f t="shared" si="14"/>
        <v>85465.4384699798</v>
      </c>
      <c r="R34" s="370"/>
      <c r="U34" t="str">
        <f t="shared" si="6"/>
        <v>Trd_hdt_dsl-hyb_30</v>
      </c>
      <c r="V34" t="str">
        <f ca="1" t="shared" si="7"/>
        <v>7.5-16t diesel hybrid truck -- 30%</v>
      </c>
      <c r="W34" s="372" t="s">
        <v>85</v>
      </c>
      <c r="X34" s="372" t="s">
        <v>86</v>
      </c>
    </row>
    <row r="35" spans="2:24">
      <c r="B35" s="85">
        <v>0.35</v>
      </c>
      <c r="C35" s="86">
        <v>96915.1446564834</v>
      </c>
      <c r="D35" s="86">
        <v>88296.0206122455</v>
      </c>
      <c r="E35" s="86">
        <v>87359.2952176801</v>
      </c>
      <c r="F35" s="86">
        <v>86546.2415338802</v>
      </c>
      <c r="I35" s="373">
        <f t="shared" si="15"/>
        <v>1.35</v>
      </c>
      <c r="J35" t="str">
        <f t="shared" si="9"/>
        <v>Trd_hdt_dsl-hyb</v>
      </c>
      <c r="K35" t="str">
        <f t="shared" si="10"/>
        <v>Trd_hdt_dsl-hyb_35</v>
      </c>
      <c r="L35" t="str">
        <f t="shared" si="3"/>
        <v>Trd_hdt</v>
      </c>
      <c r="M35" s="374">
        <f t="shared" si="11"/>
        <v>96915.1446564834</v>
      </c>
      <c r="N35" s="374">
        <f t="shared" si="12"/>
        <v>88296.0206122455</v>
      </c>
      <c r="O35" s="374">
        <f t="shared" si="13"/>
        <v>87359.2952176801</v>
      </c>
      <c r="P35" s="374">
        <f t="shared" si="14"/>
        <v>86546.2415338802</v>
      </c>
      <c r="R35" s="370"/>
      <c r="U35" t="str">
        <f t="shared" si="6"/>
        <v>Trd_hdt_dsl-hyb_35</v>
      </c>
      <c r="V35" t="str">
        <f ca="1" t="shared" si="7"/>
        <v>7.5-16t diesel hybrid truck -- 35%</v>
      </c>
      <c r="W35" s="372" t="s">
        <v>85</v>
      </c>
      <c r="X35" s="372" t="s">
        <v>86</v>
      </c>
    </row>
    <row r="36" spans="2:24">
      <c r="B36" s="85">
        <v>0.4</v>
      </c>
      <c r="C36" s="86">
        <v>98758.1767482286</v>
      </c>
      <c r="D36" s="86">
        <v>91896.2574543508</v>
      </c>
      <c r="E36" s="86">
        <v>90807.9713158337</v>
      </c>
      <c r="F36" s="86">
        <v>89832.5535866655</v>
      </c>
      <c r="I36" s="373">
        <f t="shared" si="15"/>
        <v>1.4</v>
      </c>
      <c r="J36" t="str">
        <f t="shared" si="9"/>
        <v>Trd_hdt_dsl-hyb</v>
      </c>
      <c r="K36" t="str">
        <f t="shared" si="10"/>
        <v>Trd_hdt_dsl-hyb_40</v>
      </c>
      <c r="L36" t="str">
        <f t="shared" si="3"/>
        <v>Trd_hdt</v>
      </c>
      <c r="M36" s="374">
        <f t="shared" si="11"/>
        <v>98758.1767482286</v>
      </c>
      <c r="N36" s="374">
        <f t="shared" si="12"/>
        <v>91896.2574543508</v>
      </c>
      <c r="O36" s="374">
        <f t="shared" si="13"/>
        <v>90807.9713158337</v>
      </c>
      <c r="P36" s="374">
        <f t="shared" si="14"/>
        <v>89832.5535866655</v>
      </c>
      <c r="R36" s="370"/>
      <c r="U36" t="str">
        <f t="shared" si="6"/>
        <v>Trd_hdt_dsl-hyb_40</v>
      </c>
      <c r="V36" t="str">
        <f ca="1" t="shared" si="7"/>
        <v>7.5-16t diesel hybrid truck -- 40%</v>
      </c>
      <c r="W36" s="372" t="s">
        <v>85</v>
      </c>
      <c r="X36" s="372" t="s">
        <v>86</v>
      </c>
    </row>
    <row r="37" spans="2:24">
      <c r="B37" s="85">
        <v>0.45</v>
      </c>
      <c r="C37" s="86">
        <v>104720.410736048</v>
      </c>
      <c r="D37" s="86">
        <v>97691.6617605709</v>
      </c>
      <c r="E37" s="86">
        <v>96426.7577972023</v>
      </c>
      <c r="F37" s="86">
        <v>95247.6594290264</v>
      </c>
      <c r="I37" s="373">
        <f t="shared" si="15"/>
        <v>1.45</v>
      </c>
      <c r="J37" t="str">
        <f t="shared" si="9"/>
        <v>Trd_hdt_dsl-hyb</v>
      </c>
      <c r="K37" t="str">
        <f t="shared" si="10"/>
        <v>Trd_hdt_dsl-hyb_45</v>
      </c>
      <c r="L37" t="str">
        <f t="shared" si="3"/>
        <v>Trd_hdt</v>
      </c>
      <c r="M37" s="374">
        <f t="shared" si="11"/>
        <v>104720.410736048</v>
      </c>
      <c r="N37" s="374">
        <f t="shared" si="12"/>
        <v>97691.6617605709</v>
      </c>
      <c r="O37" s="374">
        <f t="shared" si="13"/>
        <v>96426.7577972023</v>
      </c>
      <c r="P37" s="374">
        <f t="shared" si="14"/>
        <v>95247.6594290264</v>
      </c>
      <c r="R37" s="370"/>
      <c r="U37" t="str">
        <f t="shared" si="6"/>
        <v>Trd_hdt_dsl-hyb_45</v>
      </c>
      <c r="V37" t="str">
        <f ca="1" t="shared" si="7"/>
        <v>7.5-16t diesel hybrid truck -- 45%</v>
      </c>
      <c r="W37" s="372" t="s">
        <v>85</v>
      </c>
      <c r="X37" s="372" t="s">
        <v>86</v>
      </c>
    </row>
    <row r="38" spans="2:24">
      <c r="J38" t="str">
        <f t="shared" ref="J38:J57" si="16">IFERROR(VLOOKUP(C38,$R$1:$S$7,2,FALSE),J37)</f>
        <v>Trd_hdt_dsl-hyb</v>
      </c>
      <c r="K38" t="str">
        <f t="shared" ref="K38:K57" si="17">IFERROR(IF(VALUE(C38)&gt;2020,J38&amp;"_"&amp;TEXT(B38*100,"00"),"\I:"),"\I:")</f>
        <v>\I:</v>
      </c>
      <c r="L38" t="str">
        <f t="shared" si="3"/>
        <v>\I:</v>
      </c>
      <c r="M38" s="374" t="str">
        <f t="shared" ref="M38:M57" si="18">IF($K38="\I:","",C38)</f>
        <v/>
      </c>
      <c r="N38" s="374" t="str">
        <f t="shared" ref="N38:N57" si="19">IF($K38="\I:","",D38)</f>
        <v/>
      </c>
      <c r="O38" s="374" t="str">
        <f t="shared" ref="O38:O57" si="20">IF($K38="\I:","",E38)</f>
        <v/>
      </c>
      <c r="P38" s="374" t="str">
        <f t="shared" ref="P38:P57" si="21">IF($K38="\I:","",F38)</f>
        <v/>
      </c>
      <c r="R38" s="370"/>
      <c r="U38" t="str">
        <f t="shared" si="6"/>
        <v>\I:</v>
      </c>
      <c r="V38" t="str">
        <f ca="1" t="shared" si="7"/>
        <v>7.5-16t diesel hybrid truck -- 00%</v>
      </c>
      <c r="W38" s="372" t="s">
        <v>85</v>
      </c>
      <c r="X38" s="372" t="s">
        <v>86</v>
      </c>
    </row>
    <row r="39" spans="2:24">
      <c r="J39" t="str">
        <f t="shared" si="16"/>
        <v>Trd_hdt_dsl-hyb</v>
      </c>
      <c r="K39" t="str">
        <f t="shared" si="17"/>
        <v>\I:</v>
      </c>
      <c r="L39" t="str">
        <f t="shared" si="3"/>
        <v>\I:</v>
      </c>
      <c r="M39" s="374" t="str">
        <f t="shared" si="18"/>
        <v/>
      </c>
      <c r="N39" s="374" t="str">
        <f t="shared" si="19"/>
        <v/>
      </c>
      <c r="O39" s="374" t="str">
        <f t="shared" si="20"/>
        <v/>
      </c>
      <c r="P39" s="374" t="str">
        <f t="shared" si="21"/>
        <v/>
      </c>
      <c r="R39" s="370"/>
      <c r="U39" t="str">
        <f t="shared" si="6"/>
        <v>\I:</v>
      </c>
      <c r="V39" t="str">
        <f ca="1" t="shared" si="7"/>
        <v>7.5-16t diesel hybrid truck -- 00%</v>
      </c>
      <c r="W39" s="372" t="s">
        <v>85</v>
      </c>
      <c r="X39" s="372" t="s">
        <v>86</v>
      </c>
    </row>
    <row r="40" spans="2:24">
      <c r="J40" t="str">
        <f t="shared" si="16"/>
        <v>Trd_hdt_dsl-hyb</v>
      </c>
      <c r="K40" t="str">
        <f t="shared" si="17"/>
        <v>\I:</v>
      </c>
      <c r="L40" t="str">
        <f t="shared" si="3"/>
        <v>\I:</v>
      </c>
      <c r="M40" s="374" t="str">
        <f t="shared" si="18"/>
        <v/>
      </c>
      <c r="N40" s="374" t="str">
        <f t="shared" si="19"/>
        <v/>
      </c>
      <c r="O40" s="374" t="str">
        <f t="shared" si="20"/>
        <v/>
      </c>
      <c r="P40" s="374" t="str">
        <f t="shared" si="21"/>
        <v/>
      </c>
      <c r="R40" s="370"/>
      <c r="U40" t="str">
        <f t="shared" si="6"/>
        <v>\I:</v>
      </c>
      <c r="V40" t="str">
        <f ca="1" t="shared" si="7"/>
        <v>7.5-16t diesel hybrid truck -- 00%</v>
      </c>
      <c r="W40" s="372" t="s">
        <v>85</v>
      </c>
      <c r="X40" s="372" t="s">
        <v>86</v>
      </c>
    </row>
    <row r="41" spans="2:24">
      <c r="J41" t="str">
        <f t="shared" si="16"/>
        <v>Trd_hdt_dsl-hyb</v>
      </c>
      <c r="K41" t="str">
        <f t="shared" si="17"/>
        <v>\I:</v>
      </c>
      <c r="L41" t="str">
        <f t="shared" si="3"/>
        <v>\I:</v>
      </c>
      <c r="M41" s="374" t="str">
        <f t="shared" si="18"/>
        <v/>
      </c>
      <c r="N41" s="374" t="str">
        <f t="shared" si="19"/>
        <v/>
      </c>
      <c r="O41" s="374" t="str">
        <f t="shared" si="20"/>
        <v/>
      </c>
      <c r="P41" s="374" t="str">
        <f t="shared" si="21"/>
        <v/>
      </c>
      <c r="R41" s="370"/>
      <c r="U41" t="str">
        <f t="shared" si="6"/>
        <v>\I:</v>
      </c>
      <c r="V41" t="str">
        <f ca="1" t="shared" si="7"/>
        <v>7.5-16t diesel hybrid truck -- 00%</v>
      </c>
      <c r="W41" s="372" t="s">
        <v>85</v>
      </c>
      <c r="X41" s="372" t="s">
        <v>86</v>
      </c>
    </row>
    <row r="42" spans="2:24">
      <c r="B42" s="44" t="s">
        <v>121</v>
      </c>
      <c r="J42" t="str">
        <f t="shared" si="16"/>
        <v>Trd_hdt_dsl-hyb</v>
      </c>
      <c r="K42" t="str">
        <f t="shared" si="17"/>
        <v>\I:</v>
      </c>
      <c r="L42" t="str">
        <f t="shared" si="3"/>
        <v>\I:</v>
      </c>
      <c r="M42" s="374" t="str">
        <f t="shared" si="18"/>
        <v/>
      </c>
      <c r="N42" s="374" t="str">
        <f t="shared" si="19"/>
        <v/>
      </c>
      <c r="O42" s="374" t="str">
        <f t="shared" si="20"/>
        <v/>
      </c>
      <c r="P42" s="374" t="str">
        <f t="shared" si="21"/>
        <v/>
      </c>
      <c r="R42" s="370"/>
      <c r="U42" t="str">
        <f t="shared" si="6"/>
        <v>\I:</v>
      </c>
      <c r="V42" t="str">
        <f ca="1" t="shared" si="7"/>
        <v>7.5-16t diesel hybrid truck -- Reference values for LNG truck 7.5-16t</v>
      </c>
      <c r="W42" s="372" t="s">
        <v>85</v>
      </c>
      <c r="X42" s="372" t="s">
        <v>86</v>
      </c>
    </row>
    <row r="43" spans="2:24">
      <c r="B43" s="365">
        <v>2015</v>
      </c>
      <c r="C43" s="365"/>
      <c r="D43" s="365"/>
      <c r="J43" t="str">
        <f t="shared" si="16"/>
        <v>Trd_hdt_dsl-hyb</v>
      </c>
      <c r="K43" t="str">
        <f t="shared" si="17"/>
        <v>\I:</v>
      </c>
      <c r="L43" t="str">
        <f t="shared" si="3"/>
        <v>\I:</v>
      </c>
      <c r="M43" s="374" t="str">
        <f t="shared" si="18"/>
        <v/>
      </c>
      <c r="N43" s="374" t="str">
        <f t="shared" si="19"/>
        <v/>
      </c>
      <c r="O43" s="374" t="str">
        <f t="shared" si="20"/>
        <v/>
      </c>
      <c r="P43" s="374" t="str">
        <f t="shared" si="21"/>
        <v/>
      </c>
      <c r="R43" s="370"/>
      <c r="U43" t="str">
        <f t="shared" si="6"/>
        <v>\I:</v>
      </c>
      <c r="V43" t="str">
        <f ca="1" t="shared" si="7"/>
        <v>7.5-16t diesel hybrid truck -- 201500%</v>
      </c>
      <c r="W43" s="372" t="s">
        <v>85</v>
      </c>
      <c r="X43" s="372" t="s">
        <v>86</v>
      </c>
    </row>
    <row r="44" spans="2:24">
      <c r="B44" s="46" t="s">
        <v>12</v>
      </c>
      <c r="C44" s="47" t="s">
        <v>89</v>
      </c>
      <c r="D44" s="48">
        <v>15.6724885159612</v>
      </c>
      <c r="G44" s="366">
        <f>D44*$I$2/100*10^9/10^6</f>
        <v>8.1512515429686</v>
      </c>
      <c r="H44" s="366"/>
      <c r="I44" s="366">
        <f>1/G44</f>
        <v>0.122680547242174</v>
      </c>
      <c r="J44" t="str">
        <f t="shared" si="16"/>
        <v>Trd_hdt_dsl-hyb</v>
      </c>
      <c r="K44" t="str">
        <f t="shared" si="17"/>
        <v>\I:</v>
      </c>
      <c r="L44" t="str">
        <f t="shared" si="3"/>
        <v>\I:</v>
      </c>
      <c r="M44" s="374" t="str">
        <f t="shared" si="18"/>
        <v/>
      </c>
      <c r="N44" s="374" t="str">
        <f t="shared" si="19"/>
        <v/>
      </c>
      <c r="O44" s="374" t="str">
        <f t="shared" si="20"/>
        <v/>
      </c>
      <c r="P44" s="374" t="str">
        <f t="shared" si="21"/>
        <v/>
      </c>
      <c r="R44" s="370"/>
      <c r="U44" t="str">
        <f t="shared" si="6"/>
        <v>\I:</v>
      </c>
      <c r="V44" t="str">
        <f ca="1" t="shared" si="7"/>
        <v>7.5-16t diesel hybrid truck -- Energy consumption</v>
      </c>
      <c r="W44" s="372" t="s">
        <v>85</v>
      </c>
      <c r="X44" s="372" t="s">
        <v>86</v>
      </c>
    </row>
    <row r="45" spans="2:24">
      <c r="B45" s="46" t="s">
        <v>14</v>
      </c>
      <c r="C45" s="47" t="s">
        <v>15</v>
      </c>
      <c r="D45" s="68">
        <v>97834.8667075987</v>
      </c>
      <c r="I45" s="44" t="s">
        <v>70</v>
      </c>
      <c r="J45" t="str">
        <f t="shared" si="16"/>
        <v>Trd_hdt_dsl-hyb</v>
      </c>
      <c r="K45" t="str">
        <f t="shared" si="17"/>
        <v>\I:</v>
      </c>
      <c r="L45" t="str">
        <f t="shared" si="3"/>
        <v>\I:</v>
      </c>
      <c r="M45" s="374" t="str">
        <f t="shared" si="18"/>
        <v/>
      </c>
      <c r="N45" s="374" t="str">
        <f t="shared" si="19"/>
        <v/>
      </c>
      <c r="O45" s="374" t="str">
        <f t="shared" si="20"/>
        <v/>
      </c>
      <c r="P45" s="374" t="str">
        <f t="shared" si="21"/>
        <v/>
      </c>
      <c r="R45" s="370"/>
      <c r="U45" t="str">
        <f t="shared" si="6"/>
        <v>\I:</v>
      </c>
      <c r="V45" t="str">
        <f ca="1" t="shared" si="7"/>
        <v>7.5-16t diesel hybrid truck -- Capital cost</v>
      </c>
      <c r="W45" s="372" t="s">
        <v>85</v>
      </c>
      <c r="X45" s="372" t="s">
        <v>86</v>
      </c>
    </row>
    <row r="46" ht="15" customHeight="1" spans="2:24">
      <c r="J46" t="str">
        <f t="shared" si="16"/>
        <v>Trd_hdt_dsl-hyb</v>
      </c>
      <c r="K46" t="str">
        <f t="shared" si="17"/>
        <v>\I:</v>
      </c>
      <c r="L46" t="str">
        <f t="shared" si="3"/>
        <v>\I:</v>
      </c>
      <c r="M46" s="374" t="str">
        <f t="shared" si="18"/>
        <v/>
      </c>
      <c r="N46" s="374" t="str">
        <f t="shared" si="19"/>
        <v/>
      </c>
      <c r="O46" s="374" t="str">
        <f t="shared" si="20"/>
        <v/>
      </c>
      <c r="P46" s="374" t="str">
        <f t="shared" si="21"/>
        <v/>
      </c>
      <c r="R46" s="370"/>
      <c r="U46" t="str">
        <f t="shared" si="6"/>
        <v>\I:</v>
      </c>
      <c r="V46" t="str">
        <f ca="1" t="shared" si="7"/>
        <v>7.5-16t diesel hybrid truck -- 00%</v>
      </c>
      <c r="W46" s="372" t="s">
        <v>85</v>
      </c>
      <c r="X46" s="372" t="s">
        <v>86</v>
      </c>
    </row>
    <row r="47" ht="15" customHeight="1" spans="2:24">
      <c r="B47" s="385" t="s">
        <v>122</v>
      </c>
      <c r="C47" s="371" t="s">
        <v>115</v>
      </c>
      <c r="D47" s="385"/>
      <c r="E47" s="385"/>
      <c r="F47" s="385"/>
      <c r="J47" t="str">
        <f t="shared" si="16"/>
        <v>Trd_hdt_lng</v>
      </c>
      <c r="K47" t="str">
        <f t="shared" si="17"/>
        <v>\I:</v>
      </c>
      <c r="L47" t="str">
        <f t="shared" si="3"/>
        <v>\I:</v>
      </c>
      <c r="M47" s="374" t="str">
        <f t="shared" si="18"/>
        <v/>
      </c>
      <c r="N47" s="374" t="str">
        <f t="shared" si="19"/>
        <v/>
      </c>
      <c r="O47" s="374" t="str">
        <f t="shared" si="20"/>
        <v/>
      </c>
      <c r="P47" s="374" t="str">
        <f t="shared" si="21"/>
        <v/>
      </c>
      <c r="R47" s="370"/>
      <c r="U47" t="str">
        <f t="shared" si="6"/>
        <v>\I:</v>
      </c>
      <c r="V47" t="str">
        <f ca="1" t="shared" si="7"/>
        <v>7.5-16t LNG truck -- Reduction of specific energy consumption relative to 2015 LNG vehicle (%)</v>
      </c>
      <c r="W47" s="372" t="s">
        <v>85</v>
      </c>
      <c r="X47" s="372" t="s">
        <v>86</v>
      </c>
    </row>
    <row r="48" spans="2:24">
      <c r="B48" s="385"/>
      <c r="C48" s="371"/>
      <c r="D48" s="385"/>
      <c r="E48" s="385"/>
      <c r="F48" s="385"/>
      <c r="J48" t="str">
        <f t="shared" si="16"/>
        <v>Trd_hdt_lng</v>
      </c>
      <c r="K48" t="str">
        <f t="shared" si="17"/>
        <v>\I:</v>
      </c>
      <c r="L48" t="str">
        <f t="shared" si="3"/>
        <v>\I:</v>
      </c>
      <c r="M48" s="374" t="str">
        <f t="shared" si="18"/>
        <v/>
      </c>
      <c r="N48" s="374" t="str">
        <f t="shared" si="19"/>
        <v/>
      </c>
      <c r="O48" s="374" t="str">
        <f t="shared" si="20"/>
        <v/>
      </c>
      <c r="P48" s="374" t="str">
        <f t="shared" si="21"/>
        <v/>
      </c>
      <c r="R48" s="370"/>
      <c r="U48" t="str">
        <f t="shared" si="6"/>
        <v>\I:</v>
      </c>
      <c r="V48" t="str">
        <f ca="1" t="shared" si="7"/>
        <v>7.5-16t LNG truck -- 00%</v>
      </c>
      <c r="W48" s="372" t="s">
        <v>85</v>
      </c>
      <c r="X48" s="372" t="s">
        <v>86</v>
      </c>
    </row>
    <row r="49" spans="2:24">
      <c r="B49" s="385"/>
      <c r="C49" s="371"/>
      <c r="D49" s="385"/>
      <c r="E49" s="385"/>
      <c r="F49" s="385"/>
      <c r="J49" t="str">
        <f t="shared" si="16"/>
        <v>Trd_hdt_lng</v>
      </c>
      <c r="K49" t="str">
        <f t="shared" si="17"/>
        <v>\I:</v>
      </c>
      <c r="L49" t="str">
        <f t="shared" si="3"/>
        <v>\I:</v>
      </c>
      <c r="M49" s="374" t="str">
        <f t="shared" si="18"/>
        <v/>
      </c>
      <c r="N49" s="374" t="str">
        <f t="shared" si="19"/>
        <v/>
      </c>
      <c r="O49" s="374" t="str">
        <f t="shared" si="20"/>
        <v/>
      </c>
      <c r="P49" s="374" t="str">
        <f t="shared" si="21"/>
        <v/>
      </c>
      <c r="R49" s="370"/>
      <c r="U49" t="str">
        <f t="shared" si="6"/>
        <v>\I:</v>
      </c>
      <c r="V49" t="str">
        <f ca="1" t="shared" si="7"/>
        <v>7.5-16t LNG truck -- 00%</v>
      </c>
      <c r="W49" s="372" t="s">
        <v>85</v>
      </c>
      <c r="X49" s="372" t="s">
        <v>86</v>
      </c>
    </row>
    <row r="50" spans="2:24">
      <c r="B50" s="88"/>
      <c r="C50" s="51">
        <v>2020</v>
      </c>
      <c r="D50" s="51">
        <v>2030</v>
      </c>
      <c r="E50" s="51">
        <v>2040</v>
      </c>
      <c r="F50" s="51">
        <v>2050</v>
      </c>
      <c r="J50" t="str">
        <f t="shared" si="16"/>
        <v>Trd_hdt_lng</v>
      </c>
      <c r="K50" t="str">
        <f t="shared" si="17"/>
        <v>\I:</v>
      </c>
      <c r="L50" t="str">
        <f t="shared" si="3"/>
        <v>\I:</v>
      </c>
      <c r="M50" s="374" t="str">
        <f t="shared" si="18"/>
        <v/>
      </c>
      <c r="N50" s="374" t="str">
        <f t="shared" si="19"/>
        <v/>
      </c>
      <c r="O50" s="374" t="str">
        <f t="shared" si="20"/>
        <v/>
      </c>
      <c r="P50" s="374" t="str">
        <f t="shared" si="21"/>
        <v/>
      </c>
      <c r="R50" s="370"/>
      <c r="U50" t="str">
        <f t="shared" si="6"/>
        <v>\I:</v>
      </c>
      <c r="V50" t="str">
        <f ca="1" t="shared" si="7"/>
        <v>7.5-16t LNG truck -- 00%</v>
      </c>
      <c r="W50" s="372" t="s">
        <v>85</v>
      </c>
      <c r="X50" s="372" t="s">
        <v>86</v>
      </c>
    </row>
    <row r="51" spans="2:24">
      <c r="B51" s="85">
        <v>0.0441258142145298</v>
      </c>
      <c r="C51" s="86">
        <v>98717.5518945274</v>
      </c>
      <c r="D51" s="86">
        <v>98717.5518945274</v>
      </c>
      <c r="E51" s="86">
        <v>98717.5518945274</v>
      </c>
      <c r="F51" s="86">
        <v>98717.5518945274</v>
      </c>
      <c r="I51" s="373">
        <f t="shared" ref="I51:I57" si="22">$I$44*(1+B51)/$I$7</f>
        <v>0.919119546564507</v>
      </c>
      <c r="J51" t="str">
        <f t="shared" si="16"/>
        <v>Trd_hdt_lng</v>
      </c>
      <c r="K51" t="str">
        <f t="shared" si="17"/>
        <v>Trd_hdt_lng_04</v>
      </c>
      <c r="L51" t="str">
        <f t="shared" si="3"/>
        <v>Trd_hdt</v>
      </c>
      <c r="M51" s="374">
        <f t="shared" si="18"/>
        <v>98717.5518945274</v>
      </c>
      <c r="N51" s="374">
        <f t="shared" si="19"/>
        <v>98717.5518945274</v>
      </c>
      <c r="O51" s="374">
        <f t="shared" si="20"/>
        <v>98717.5518945274</v>
      </c>
      <c r="P51" s="374">
        <f t="shared" si="21"/>
        <v>98717.5518945274</v>
      </c>
      <c r="R51" s="370"/>
      <c r="U51" t="str">
        <f t="shared" si="6"/>
        <v>Trd_hdt_lng_04</v>
      </c>
      <c r="V51" t="str">
        <f ca="1" t="shared" si="7"/>
        <v>7.5-16t LNG truck -- 04%</v>
      </c>
      <c r="W51" s="372" t="s">
        <v>85</v>
      </c>
      <c r="X51" s="372" t="s">
        <v>86</v>
      </c>
    </row>
    <row r="52" spans="2:24">
      <c r="B52" s="85">
        <v>0.0941258142145298</v>
      </c>
      <c r="C52" s="86">
        <v>100149.98465522</v>
      </c>
      <c r="D52" s="86">
        <v>99663.0361158585</v>
      </c>
      <c r="E52" s="86">
        <v>99663.0361158585</v>
      </c>
      <c r="F52" s="86">
        <v>99663.0361158585</v>
      </c>
      <c r="I52" s="373">
        <f t="shared" si="22"/>
        <v>0.963133377754761</v>
      </c>
      <c r="J52" t="str">
        <f t="shared" si="16"/>
        <v>Trd_hdt_lng</v>
      </c>
      <c r="K52" t="str">
        <f t="shared" si="17"/>
        <v>Trd_hdt_lng_09</v>
      </c>
      <c r="L52" t="str">
        <f t="shared" si="3"/>
        <v>Trd_hdt</v>
      </c>
      <c r="M52" s="374">
        <f t="shared" si="18"/>
        <v>100149.98465522</v>
      </c>
      <c r="N52" s="374">
        <f t="shared" si="19"/>
        <v>99663.0361158585</v>
      </c>
      <c r="O52" s="374">
        <f t="shared" si="20"/>
        <v>99663.0361158585</v>
      </c>
      <c r="P52" s="374">
        <f t="shared" si="21"/>
        <v>99663.0361158585</v>
      </c>
      <c r="R52" s="370"/>
      <c r="U52" t="str">
        <f t="shared" si="6"/>
        <v>Trd_hdt_lng_09</v>
      </c>
      <c r="V52" t="str">
        <f ca="1" t="shared" si="7"/>
        <v>7.5-16t LNG truck -- 09%</v>
      </c>
      <c r="W52" s="372" t="s">
        <v>85</v>
      </c>
      <c r="X52" s="372" t="s">
        <v>86</v>
      </c>
    </row>
    <row r="53" spans="2:24">
      <c r="B53" s="85">
        <v>0.14412581421453</v>
      </c>
      <c r="C53" s="86">
        <v>101448.960896787</v>
      </c>
      <c r="D53" s="86">
        <v>101055.405015415</v>
      </c>
      <c r="E53" s="86">
        <v>101055.405015415</v>
      </c>
      <c r="F53" s="86">
        <v>101055.405015415</v>
      </c>
      <c r="I53" s="373">
        <f t="shared" si="22"/>
        <v>1.00714720894502</v>
      </c>
      <c r="J53" t="str">
        <f t="shared" si="16"/>
        <v>Trd_hdt_lng</v>
      </c>
      <c r="K53" t="str">
        <f t="shared" si="17"/>
        <v>Trd_hdt_lng_14</v>
      </c>
      <c r="L53" t="str">
        <f t="shared" si="3"/>
        <v>Trd_hdt</v>
      </c>
      <c r="M53" s="374">
        <f t="shared" si="18"/>
        <v>101448.960896787</v>
      </c>
      <c r="N53" s="374">
        <f t="shared" si="19"/>
        <v>101055.405015415</v>
      </c>
      <c r="O53" s="374">
        <f t="shared" si="20"/>
        <v>101055.405015415</v>
      </c>
      <c r="P53" s="374">
        <f t="shared" si="21"/>
        <v>101055.405015415</v>
      </c>
      <c r="R53" s="370"/>
      <c r="U53" t="str">
        <f t="shared" si="6"/>
        <v>Trd_hdt_lng_14</v>
      </c>
      <c r="V53" t="str">
        <f ca="1" t="shared" si="7"/>
        <v>7.5-16t LNG truck -- 14%</v>
      </c>
      <c r="W53" s="372" t="s">
        <v>85</v>
      </c>
      <c r="X53" s="372" t="s">
        <v>86</v>
      </c>
    </row>
    <row r="54" spans="2:24">
      <c r="B54" s="85">
        <v>0.19412581421453</v>
      </c>
      <c r="C54" s="86">
        <v>106980.82801971</v>
      </c>
      <c r="D54" s="86">
        <v>103105.879374174</v>
      </c>
      <c r="E54" s="86">
        <v>103105.879374174</v>
      </c>
      <c r="F54" s="86">
        <v>103105.879374174</v>
      </c>
      <c r="I54" s="373">
        <f t="shared" si="22"/>
        <v>1.05116104013527</v>
      </c>
      <c r="J54" t="str">
        <f t="shared" si="16"/>
        <v>Trd_hdt_lng</v>
      </c>
      <c r="K54" t="str">
        <f t="shared" si="17"/>
        <v>Trd_hdt_lng_19</v>
      </c>
      <c r="L54" t="str">
        <f t="shared" si="3"/>
        <v>Trd_hdt</v>
      </c>
      <c r="M54" s="374">
        <f t="shared" si="18"/>
        <v>106980.82801971</v>
      </c>
      <c r="N54" s="374">
        <f t="shared" si="19"/>
        <v>103105.879374174</v>
      </c>
      <c r="O54" s="374">
        <f t="shared" si="20"/>
        <v>103105.879374174</v>
      </c>
      <c r="P54" s="374">
        <f t="shared" si="21"/>
        <v>103105.879374174</v>
      </c>
      <c r="R54" s="370"/>
      <c r="U54" t="str">
        <f t="shared" si="6"/>
        <v>Trd_hdt_lng_19</v>
      </c>
      <c r="V54" t="str">
        <f ca="1" t="shared" si="7"/>
        <v>7.5-16t LNG truck -- 19%</v>
      </c>
      <c r="W54" s="372" t="s">
        <v>85</v>
      </c>
      <c r="X54" s="372" t="s">
        <v>86</v>
      </c>
    </row>
    <row r="55" spans="2:24">
      <c r="B55" s="85">
        <v>0.24412581421453</v>
      </c>
      <c r="C55" s="86">
        <v>111288.922874223</v>
      </c>
      <c r="D55" s="86">
        <v>106125.513823974</v>
      </c>
      <c r="E55" s="86">
        <v>106125.513823974</v>
      </c>
      <c r="F55" s="86">
        <v>106125.513823974</v>
      </c>
      <c r="I55" s="373">
        <f t="shared" si="22"/>
        <v>1.09517487132553</v>
      </c>
      <c r="J55" t="str">
        <f t="shared" si="16"/>
        <v>Trd_hdt_lng</v>
      </c>
      <c r="K55" t="str">
        <f t="shared" si="17"/>
        <v>Trd_hdt_lng_24</v>
      </c>
      <c r="L55" t="str">
        <f t="shared" si="3"/>
        <v>Trd_hdt</v>
      </c>
      <c r="M55" s="374">
        <f t="shared" si="18"/>
        <v>111288.922874223</v>
      </c>
      <c r="N55" s="374">
        <f t="shared" si="19"/>
        <v>106125.513823974</v>
      </c>
      <c r="O55" s="374">
        <f t="shared" si="20"/>
        <v>106125.513823974</v>
      </c>
      <c r="P55" s="374">
        <f t="shared" si="21"/>
        <v>106125.513823974</v>
      </c>
      <c r="R55" s="370"/>
      <c r="U55" t="str">
        <f t="shared" si="6"/>
        <v>Trd_hdt_lng_24</v>
      </c>
      <c r="V55" t="str">
        <f ca="1" t="shared" si="7"/>
        <v>7.5-16t LNG truck -- 24%</v>
      </c>
      <c r="W55" s="372" t="s">
        <v>85</v>
      </c>
      <c r="X55" s="372" t="s">
        <v>86</v>
      </c>
    </row>
    <row r="56" spans="2:24">
      <c r="B56" s="85">
        <v>0.26412581421453</v>
      </c>
      <c r="C56" s="86">
        <v>134190.049294419</v>
      </c>
      <c r="D56" s="86">
        <v>110686.40839146</v>
      </c>
      <c r="E56" s="86">
        <v>110572.383481946</v>
      </c>
      <c r="F56" s="86">
        <v>110572.383481946</v>
      </c>
      <c r="I56" s="373">
        <f t="shared" si="22"/>
        <v>1.11278040380163</v>
      </c>
      <c r="J56" t="str">
        <f t="shared" si="16"/>
        <v>Trd_hdt_lng</v>
      </c>
      <c r="K56" t="str">
        <f t="shared" si="17"/>
        <v>Trd_hdt_lng_26</v>
      </c>
      <c r="L56" t="str">
        <f t="shared" si="3"/>
        <v>Trd_hdt</v>
      </c>
      <c r="M56" s="374">
        <f t="shared" si="18"/>
        <v>134190.049294419</v>
      </c>
      <c r="N56" s="374">
        <f t="shared" si="19"/>
        <v>110686.40839146</v>
      </c>
      <c r="O56" s="374">
        <f t="shared" si="20"/>
        <v>110572.383481946</v>
      </c>
      <c r="P56" s="374">
        <f t="shared" si="21"/>
        <v>110572.383481946</v>
      </c>
      <c r="R56" s="370"/>
      <c r="U56" t="str">
        <f t="shared" si="6"/>
        <v>Trd_hdt_lng_26</v>
      </c>
      <c r="V56" t="str">
        <f ca="1" t="shared" si="7"/>
        <v>7.5-16t LNG truck -- 26%</v>
      </c>
      <c r="W56" s="372" t="s">
        <v>85</v>
      </c>
      <c r="X56" s="372" t="s">
        <v>86</v>
      </c>
    </row>
    <row r="57" spans="2:24">
      <c r="B57" s="85">
        <v>0.29412581421453</v>
      </c>
      <c r="C57" s="86">
        <v>208565.028347038</v>
      </c>
      <c r="D57" s="86">
        <v>124627.250339516</v>
      </c>
      <c r="E57" s="86">
        <v>117121.073425628</v>
      </c>
      <c r="F57" s="86">
        <v>117121.073425628</v>
      </c>
      <c r="I57" s="373">
        <f t="shared" si="22"/>
        <v>1.13918870251578</v>
      </c>
      <c r="J57" t="str">
        <f t="shared" si="16"/>
        <v>Trd_hdt_lng</v>
      </c>
      <c r="K57" t="str">
        <f t="shared" si="17"/>
        <v>Trd_hdt_lng_29</v>
      </c>
      <c r="L57" t="str">
        <f t="shared" si="3"/>
        <v>Trd_hdt</v>
      </c>
      <c r="M57" s="374">
        <f t="shared" si="18"/>
        <v>208565.028347038</v>
      </c>
      <c r="N57" s="374">
        <f t="shared" si="19"/>
        <v>124627.250339516</v>
      </c>
      <c r="O57" s="374">
        <f t="shared" si="20"/>
        <v>117121.073425628</v>
      </c>
      <c r="P57" s="374">
        <f t="shared" si="21"/>
        <v>117121.073425628</v>
      </c>
      <c r="R57" s="370"/>
      <c r="U57" t="str">
        <f t="shared" si="6"/>
        <v>Trd_hdt_lng_29</v>
      </c>
      <c r="V57" t="str">
        <f ca="1" t="shared" si="7"/>
        <v>7.5-16t LNG truck -- 29%</v>
      </c>
      <c r="W57" s="372" t="s">
        <v>85</v>
      </c>
      <c r="X57" s="372" t="s">
        <v>86</v>
      </c>
    </row>
    <row r="58" spans="2:24">
      <c r="J58" t="str">
        <f t="shared" ref="J58:J111" si="23">IFERROR(VLOOKUP(C58,$R$1:$S$7,2,FALSE),J57)</f>
        <v>Trd_hdt_lng</v>
      </c>
      <c r="K58" t="str">
        <f t="shared" ref="K58:K103" si="24">IFERROR(IF(VALUE(C58)&gt;2020,J58&amp;"_"&amp;TEXT(B58*100,"00"),"\I:"),"\I:")</f>
        <v>\I:</v>
      </c>
      <c r="L58" t="str">
        <f t="shared" si="3"/>
        <v>\I:</v>
      </c>
      <c r="M58" s="374" t="str">
        <f t="shared" ref="M58:M111" si="25">IF($K58="\I:","",C58)</f>
        <v/>
      </c>
      <c r="N58" s="374" t="str">
        <f t="shared" ref="N58:N111" si="26">IF($K58="\I:","",D58)</f>
        <v/>
      </c>
      <c r="O58" s="374" t="str">
        <f t="shared" ref="O58:O111" si="27">IF($K58="\I:","",E58)</f>
        <v/>
      </c>
      <c r="P58" s="374" t="str">
        <f t="shared" ref="P58:P111" si="28">IF($K58="\I:","",F58)</f>
        <v/>
      </c>
      <c r="R58" s="370"/>
      <c r="U58" t="str">
        <f t="shared" si="6"/>
        <v>\I:</v>
      </c>
      <c r="V58" t="str">
        <f ca="1" t="shared" si="7"/>
        <v>7.5-16t LNG truck -- 00%</v>
      </c>
      <c r="W58" s="372" t="s">
        <v>85</v>
      </c>
      <c r="X58" s="372" t="s">
        <v>86</v>
      </c>
    </row>
    <row r="59" spans="2:24">
      <c r="J59" t="str">
        <f t="shared" si="23"/>
        <v>Trd_hdt_lng</v>
      </c>
      <c r="K59" t="str">
        <f t="shared" si="24"/>
        <v>\I:</v>
      </c>
      <c r="L59" t="str">
        <f t="shared" si="3"/>
        <v>\I:</v>
      </c>
      <c r="M59" s="374" t="str">
        <f t="shared" si="25"/>
        <v/>
      </c>
      <c r="N59" s="374" t="str">
        <f t="shared" si="26"/>
        <v/>
      </c>
      <c r="O59" s="374" t="str">
        <f t="shared" si="27"/>
        <v/>
      </c>
      <c r="P59" s="374" t="str">
        <f t="shared" si="28"/>
        <v/>
      </c>
      <c r="R59" s="370"/>
      <c r="U59" t="str">
        <f t="shared" si="6"/>
        <v>\I:</v>
      </c>
      <c r="V59" t="str">
        <f ca="1" t="shared" si="7"/>
        <v>7.5-16t LNG truck -- 00%</v>
      </c>
      <c r="W59" s="372" t="s">
        <v>85</v>
      </c>
      <c r="X59" s="372" t="s">
        <v>86</v>
      </c>
    </row>
    <row r="60" spans="2:24">
      <c r="J60" t="str">
        <f t="shared" si="23"/>
        <v>Trd_hdt_lng</v>
      </c>
      <c r="K60" t="str">
        <f t="shared" si="24"/>
        <v>\I:</v>
      </c>
      <c r="L60" t="str">
        <f t="shared" si="3"/>
        <v>\I:</v>
      </c>
      <c r="M60" s="374" t="str">
        <f t="shared" si="25"/>
        <v/>
      </c>
      <c r="N60" s="374" t="str">
        <f t="shared" si="26"/>
        <v/>
      </c>
      <c r="O60" s="374" t="str">
        <f t="shared" si="27"/>
        <v/>
      </c>
      <c r="P60" s="374" t="str">
        <f t="shared" si="28"/>
        <v/>
      </c>
      <c r="R60" s="370"/>
      <c r="U60" t="str">
        <f t="shared" si="6"/>
        <v>\I:</v>
      </c>
      <c r="V60" t="str">
        <f ca="1" t="shared" si="7"/>
        <v>7.5-16t LNG truck -- 00%</v>
      </c>
      <c r="W60" s="372" t="s">
        <v>85</v>
      </c>
      <c r="X60" s="372" t="s">
        <v>86</v>
      </c>
    </row>
    <row r="61" spans="2:24">
      <c r="J61" t="str">
        <f t="shared" si="23"/>
        <v>Trd_hdt_lng</v>
      </c>
      <c r="K61" t="str">
        <f t="shared" si="24"/>
        <v>\I:</v>
      </c>
      <c r="L61" t="str">
        <f t="shared" si="3"/>
        <v>\I:</v>
      </c>
      <c r="M61" s="374" t="str">
        <f t="shared" si="25"/>
        <v/>
      </c>
      <c r="N61" s="374" t="str">
        <f t="shared" si="26"/>
        <v/>
      </c>
      <c r="O61" s="374" t="str">
        <f t="shared" si="27"/>
        <v/>
      </c>
      <c r="P61" s="374" t="str">
        <f t="shared" si="28"/>
        <v/>
      </c>
      <c r="R61" s="370"/>
      <c r="U61" t="str">
        <f t="shared" si="6"/>
        <v>\I:</v>
      </c>
      <c r="V61" t="str">
        <f ca="1" t="shared" si="7"/>
        <v>7.5-16t LNG truck -- 00%</v>
      </c>
      <c r="W61" s="372" t="s">
        <v>85</v>
      </c>
      <c r="X61" s="372" t="s">
        <v>86</v>
      </c>
    </row>
    <row r="62" spans="2:24">
      <c r="B62" s="44" t="s">
        <v>123</v>
      </c>
      <c r="J62" t="str">
        <f t="shared" si="23"/>
        <v>Trd_hdt_lng</v>
      </c>
      <c r="K62" t="str">
        <f t="shared" si="24"/>
        <v>\I:</v>
      </c>
      <c r="L62" t="str">
        <f t="shared" si="3"/>
        <v>\I:</v>
      </c>
      <c r="M62" s="374" t="str">
        <f t="shared" si="25"/>
        <v/>
      </c>
      <c r="N62" s="374" t="str">
        <f t="shared" si="26"/>
        <v/>
      </c>
      <c r="O62" s="374" t="str">
        <f t="shared" si="27"/>
        <v/>
      </c>
      <c r="P62" s="374" t="str">
        <f t="shared" si="28"/>
        <v/>
      </c>
      <c r="R62" s="370"/>
      <c r="U62" t="str">
        <f t="shared" si="6"/>
        <v>\I:</v>
      </c>
      <c r="V62" t="str">
        <f ca="1" t="shared" si="7"/>
        <v>7.5-16t LNG truck -- Reference values for LPG truck 7.5-16t</v>
      </c>
      <c r="W62" s="372" t="s">
        <v>85</v>
      </c>
      <c r="X62" s="372" t="s">
        <v>86</v>
      </c>
    </row>
    <row r="63" spans="2:24">
      <c r="B63" s="365">
        <v>2015</v>
      </c>
      <c r="C63" s="365"/>
      <c r="D63" s="365"/>
      <c r="J63" t="str">
        <f t="shared" si="23"/>
        <v>Trd_hdt_lng</v>
      </c>
      <c r="K63" t="str">
        <f t="shared" si="24"/>
        <v>\I:</v>
      </c>
      <c r="L63" t="str">
        <f t="shared" si="3"/>
        <v>\I:</v>
      </c>
      <c r="M63" s="374" t="str">
        <f t="shared" si="25"/>
        <v/>
      </c>
      <c r="N63" s="374" t="str">
        <f t="shared" si="26"/>
        <v/>
      </c>
      <c r="O63" s="374" t="str">
        <f t="shared" si="27"/>
        <v/>
      </c>
      <c r="P63" s="374" t="str">
        <f t="shared" si="28"/>
        <v/>
      </c>
      <c r="R63" s="370"/>
      <c r="U63" t="str">
        <f t="shared" si="6"/>
        <v>\I:</v>
      </c>
      <c r="V63" t="str">
        <f ca="1" t="shared" si="7"/>
        <v>7.5-16t LNG truck -- 201500%</v>
      </c>
      <c r="W63" s="372" t="s">
        <v>85</v>
      </c>
      <c r="X63" s="372" t="s">
        <v>86</v>
      </c>
    </row>
    <row r="64" spans="2:24">
      <c r="B64" s="46" t="s">
        <v>12</v>
      </c>
      <c r="C64" s="47" t="s">
        <v>13</v>
      </c>
      <c r="D64" s="48">
        <v>23.0366698668345</v>
      </c>
      <c r="G64" s="366">
        <f>D64*$I$6/100*10^9/10^6</f>
        <v>5.89508381892295</v>
      </c>
      <c r="H64" s="366"/>
      <c r="I64" s="366">
        <f>1/G64</f>
        <v>0.169632872189204</v>
      </c>
      <c r="J64" t="str">
        <f t="shared" si="23"/>
        <v>Trd_hdt_lng</v>
      </c>
      <c r="K64" t="str">
        <f t="shared" si="24"/>
        <v>\I:</v>
      </c>
      <c r="L64" t="str">
        <f t="shared" si="3"/>
        <v>\I:</v>
      </c>
      <c r="M64" s="374" t="str">
        <f t="shared" si="25"/>
        <v/>
      </c>
      <c r="N64" s="374" t="str">
        <f t="shared" si="26"/>
        <v/>
      </c>
      <c r="O64" s="374" t="str">
        <f t="shared" si="27"/>
        <v/>
      </c>
      <c r="P64" s="374" t="str">
        <f t="shared" si="28"/>
        <v/>
      </c>
      <c r="R64" s="370"/>
      <c r="U64" t="str">
        <f t="shared" si="6"/>
        <v>\I:</v>
      </c>
      <c r="V64" t="str">
        <f ca="1" t="shared" si="7"/>
        <v>7.5-16t LNG truck -- Energy consumption</v>
      </c>
      <c r="W64" s="372" t="s">
        <v>85</v>
      </c>
      <c r="X64" s="372" t="s">
        <v>86</v>
      </c>
    </row>
    <row r="65" ht="15.75" customHeight="1" spans="2:24">
      <c r="B65" s="46" t="s">
        <v>14</v>
      </c>
      <c r="C65" s="47" t="s">
        <v>15</v>
      </c>
      <c r="D65" s="68">
        <v>87115.9084188155</v>
      </c>
      <c r="I65" s="44" t="s">
        <v>70</v>
      </c>
      <c r="J65" t="str">
        <f t="shared" si="23"/>
        <v>Trd_hdt_lng</v>
      </c>
      <c r="K65" t="str">
        <f t="shared" si="24"/>
        <v>\I:</v>
      </c>
      <c r="L65" t="str">
        <f t="shared" si="3"/>
        <v>\I:</v>
      </c>
      <c r="M65" s="374" t="str">
        <f t="shared" si="25"/>
        <v/>
      </c>
      <c r="N65" s="374" t="str">
        <f t="shared" si="26"/>
        <v/>
      </c>
      <c r="O65" s="374" t="str">
        <f t="shared" si="27"/>
        <v/>
      </c>
      <c r="P65" s="374" t="str">
        <f t="shared" si="28"/>
        <v/>
      </c>
      <c r="R65" s="370"/>
      <c r="U65" t="str">
        <f t="shared" si="6"/>
        <v>\I:</v>
      </c>
      <c r="V65" t="str">
        <f ca="1" t="shared" si="7"/>
        <v>7.5-16t LNG truck -- Capital cost</v>
      </c>
      <c r="W65" s="372" t="s">
        <v>85</v>
      </c>
      <c r="X65" s="372" t="s">
        <v>86</v>
      </c>
    </row>
    <row r="66" ht="15.75" customHeight="1" spans="2:24">
      <c r="B66"/>
      <c r="J66" t="str">
        <f t="shared" si="23"/>
        <v>Trd_hdt_lng</v>
      </c>
      <c r="K66" t="str">
        <f t="shared" si="24"/>
        <v>\I:</v>
      </c>
      <c r="L66" t="str">
        <f t="shared" si="3"/>
        <v>\I:</v>
      </c>
      <c r="M66" s="374" t="str">
        <f t="shared" si="25"/>
        <v/>
      </c>
      <c r="N66" s="374" t="str">
        <f t="shared" si="26"/>
        <v/>
      </c>
      <c r="O66" s="374" t="str">
        <f t="shared" si="27"/>
        <v/>
      </c>
      <c r="P66" s="374" t="str">
        <f t="shared" si="28"/>
        <v/>
      </c>
      <c r="R66" s="370"/>
      <c r="U66" t="str">
        <f t="shared" si="6"/>
        <v>\I:</v>
      </c>
      <c r="V66" t="str">
        <f ca="1" t="shared" si="7"/>
        <v>7.5-16t LNG truck -- 00%</v>
      </c>
      <c r="W66" s="372" t="s">
        <v>85</v>
      </c>
      <c r="X66" s="372" t="s">
        <v>86</v>
      </c>
    </row>
    <row r="67" ht="15.75" customHeight="1" spans="2:24">
      <c r="B67" s="385" t="s">
        <v>124</v>
      </c>
      <c r="C67" s="371" t="s">
        <v>116</v>
      </c>
      <c r="D67" s="385"/>
      <c r="E67" s="385"/>
      <c r="F67" s="385"/>
      <c r="J67" t="str">
        <f t="shared" si="23"/>
        <v>\I:Trd_hdt_lpg</v>
      </c>
      <c r="K67" t="str">
        <f t="shared" si="24"/>
        <v>\I:</v>
      </c>
      <c r="L67" t="str">
        <f t="shared" si="3"/>
        <v>\I:</v>
      </c>
      <c r="M67" s="374" t="str">
        <f t="shared" si="25"/>
        <v/>
      </c>
      <c r="N67" s="374" t="str">
        <f t="shared" si="26"/>
        <v/>
      </c>
      <c r="O67" s="374" t="str">
        <f t="shared" si="27"/>
        <v/>
      </c>
      <c r="P67" s="374" t="str">
        <f t="shared" si="28"/>
        <v/>
      </c>
      <c r="R67" s="370"/>
      <c r="U67" t="str">
        <f t="shared" si="6"/>
        <v>\I:</v>
      </c>
      <c r="V67" t="str">
        <f ca="1" t="shared" si="7"/>
        <v>7.5-16t LPG truck -- Reduction of specific energy consumption relative to 2015  LPG vehicle(%)</v>
      </c>
      <c r="W67" s="372" t="s">
        <v>85</v>
      </c>
      <c r="X67" s="372" t="s">
        <v>86</v>
      </c>
    </row>
    <row r="68" spans="2:24">
      <c r="B68" s="385"/>
      <c r="C68" s="371"/>
      <c r="D68" s="385"/>
      <c r="E68" s="385"/>
      <c r="F68" s="385"/>
      <c r="J68" t="str">
        <f t="shared" si="23"/>
        <v>\I:Trd_hdt_lpg</v>
      </c>
      <c r="K68" t="str">
        <f t="shared" si="24"/>
        <v>\I:</v>
      </c>
      <c r="L68" t="str">
        <f t="shared" si="3"/>
        <v>\I:</v>
      </c>
      <c r="M68" s="374" t="str">
        <f t="shared" si="25"/>
        <v/>
      </c>
      <c r="N68" s="374" t="str">
        <f t="shared" si="26"/>
        <v/>
      </c>
      <c r="O68" s="374" t="str">
        <f t="shared" si="27"/>
        <v/>
      </c>
      <c r="P68" s="374" t="str">
        <f t="shared" si="28"/>
        <v/>
      </c>
      <c r="R68" s="370"/>
      <c r="U68" t="str">
        <f t="shared" si="6"/>
        <v>\I:</v>
      </c>
      <c r="V68" t="str">
        <f ca="1" t="shared" si="7"/>
        <v>7.5-16t LPG truck -- 00%</v>
      </c>
      <c r="W68" s="372" t="s">
        <v>85</v>
      </c>
      <c r="X68" s="372" t="s">
        <v>86</v>
      </c>
    </row>
    <row r="69" spans="2:24">
      <c r="B69" s="385"/>
      <c r="C69" s="371"/>
      <c r="D69" s="385"/>
      <c r="E69" s="385"/>
      <c r="F69" s="385"/>
      <c r="J69" t="str">
        <f t="shared" si="23"/>
        <v>\I:Trd_hdt_lpg</v>
      </c>
      <c r="K69" t="str">
        <f t="shared" si="24"/>
        <v>\I:</v>
      </c>
      <c r="L69" t="str">
        <f t="shared" si="3"/>
        <v>\I:</v>
      </c>
      <c r="M69" s="374" t="str">
        <f t="shared" si="25"/>
        <v/>
      </c>
      <c r="N69" s="374" t="str">
        <f t="shared" si="26"/>
        <v/>
      </c>
      <c r="O69" s="374" t="str">
        <f t="shared" si="27"/>
        <v/>
      </c>
      <c r="P69" s="374" t="str">
        <f t="shared" si="28"/>
        <v/>
      </c>
      <c r="R69" s="370"/>
      <c r="U69" t="str">
        <f t="shared" si="6"/>
        <v>\I:</v>
      </c>
      <c r="V69" t="str">
        <f ca="1" t="shared" si="7"/>
        <v>7.5-16t LPG truck -- 00%</v>
      </c>
      <c r="W69" s="372" t="s">
        <v>85</v>
      </c>
      <c r="X69" s="372" t="s">
        <v>86</v>
      </c>
    </row>
    <row r="70" spans="2:24">
      <c r="B70" s="88"/>
      <c r="C70" s="51">
        <v>2020</v>
      </c>
      <c r="D70" s="51">
        <v>2030</v>
      </c>
      <c r="E70" s="51">
        <v>2040</v>
      </c>
      <c r="F70" s="51">
        <v>2050</v>
      </c>
      <c r="J70" t="str">
        <f t="shared" si="23"/>
        <v>\I:Trd_hdt_lpg</v>
      </c>
      <c r="K70" t="str">
        <f t="shared" si="24"/>
        <v>\I:</v>
      </c>
      <c r="L70" t="str">
        <f t="shared" si="3"/>
        <v>\I:</v>
      </c>
      <c r="M70" s="374" t="str">
        <f t="shared" si="25"/>
        <v/>
      </c>
      <c r="N70" s="374" t="str">
        <f t="shared" si="26"/>
        <v/>
      </c>
      <c r="O70" s="374" t="str">
        <f t="shared" si="27"/>
        <v/>
      </c>
      <c r="P70" s="374" t="str">
        <f t="shared" si="28"/>
        <v/>
      </c>
      <c r="R70" s="370"/>
      <c r="U70" t="str">
        <f t="shared" si="6"/>
        <v>\I:</v>
      </c>
      <c r="V70" t="str">
        <f ca="1" t="shared" si="7"/>
        <v>7.5-16t LPG truck -- 00%</v>
      </c>
      <c r="W70" s="372" t="s">
        <v>85</v>
      </c>
      <c r="X70" s="372" t="s">
        <v>86</v>
      </c>
    </row>
    <row r="71" spans="2:24">
      <c r="B71" s="85">
        <v>0.0441258142145298</v>
      </c>
      <c r="C71" s="86">
        <v>87998.5936057443</v>
      </c>
      <c r="D71" s="86">
        <v>87998.5936057443</v>
      </c>
      <c r="E71" s="86">
        <v>87998.5936057443</v>
      </c>
      <c r="F71" s="86">
        <v>87998.5936057443</v>
      </c>
      <c r="I71" s="373">
        <f t="shared" ref="I71:I77" si="29">$I$64*(1+B71)/$I$7</f>
        <v>1.27088517351656</v>
      </c>
      <c r="J71" t="str">
        <f t="shared" si="23"/>
        <v>\I:Trd_hdt_lpg</v>
      </c>
      <c r="K71" t="str">
        <f t="shared" si="24"/>
        <v>\I:Trd_hdt_lpg_04</v>
      </c>
      <c r="L71" t="str">
        <f t="shared" si="3"/>
        <v>\I:Trd_</v>
      </c>
      <c r="M71" s="374">
        <f t="shared" si="25"/>
        <v>87998.5936057443</v>
      </c>
      <c r="N71" s="374">
        <f t="shared" si="26"/>
        <v>87998.5936057443</v>
      </c>
      <c r="O71" s="374">
        <f t="shared" si="27"/>
        <v>87998.5936057443</v>
      </c>
      <c r="P71" s="374">
        <f t="shared" si="28"/>
        <v>87998.5936057443</v>
      </c>
      <c r="R71" s="370"/>
      <c r="U71" t="str">
        <f t="shared" si="6"/>
        <v>\I:Trd_hdt_lpg_04</v>
      </c>
      <c r="V71" t="str">
        <f ca="1" t="shared" si="7"/>
        <v>7.5-16t LPG truck -- 04%</v>
      </c>
      <c r="W71" s="372" t="s">
        <v>85</v>
      </c>
      <c r="X71" s="372" t="s">
        <v>86</v>
      </c>
    </row>
    <row r="72" spans="2:24">
      <c r="B72" s="85">
        <v>0.0941258142145298</v>
      </c>
      <c r="C72" s="86">
        <v>89431.0263664373</v>
      </c>
      <c r="D72" s="86">
        <v>88944.0778270753</v>
      </c>
      <c r="E72" s="86">
        <v>88944.0778270753</v>
      </c>
      <c r="F72" s="86">
        <v>88944.0778270753</v>
      </c>
      <c r="I72" s="373">
        <f t="shared" si="29"/>
        <v>1.33174398747437</v>
      </c>
      <c r="J72" t="str">
        <f t="shared" si="23"/>
        <v>\I:Trd_hdt_lpg</v>
      </c>
      <c r="K72" t="str">
        <f t="shared" si="24"/>
        <v>\I:Trd_hdt_lpg_09</v>
      </c>
      <c r="L72" t="str">
        <f t="shared" si="3"/>
        <v>\I:Trd_</v>
      </c>
      <c r="M72" s="374">
        <f t="shared" si="25"/>
        <v>89431.0263664373</v>
      </c>
      <c r="N72" s="374">
        <f t="shared" si="26"/>
        <v>88944.0778270753</v>
      </c>
      <c r="O72" s="374">
        <f t="shared" si="27"/>
        <v>88944.0778270753</v>
      </c>
      <c r="P72" s="374">
        <f t="shared" si="28"/>
        <v>88944.0778270753</v>
      </c>
      <c r="R72" s="370"/>
      <c r="U72" t="str">
        <f t="shared" si="6"/>
        <v>\I:Trd_hdt_lpg_09</v>
      </c>
      <c r="V72" t="str">
        <f ca="1" t="shared" si="7"/>
        <v>7.5-16t LPG truck -- 09%</v>
      </c>
      <c r="W72" s="372" t="s">
        <v>85</v>
      </c>
      <c r="X72" s="372" t="s">
        <v>86</v>
      </c>
    </row>
    <row r="73" spans="2:24">
      <c r="B73" s="85">
        <v>0.14412581421453</v>
      </c>
      <c r="C73" s="86">
        <v>90730.0026080037</v>
      </c>
      <c r="D73" s="86">
        <v>90336.4467266314</v>
      </c>
      <c r="E73" s="86">
        <v>90336.4467266314</v>
      </c>
      <c r="F73" s="86">
        <v>90336.4467266314</v>
      </c>
      <c r="I73" s="373">
        <f t="shared" si="29"/>
        <v>1.39260280143217</v>
      </c>
      <c r="J73" t="str">
        <f t="shared" si="23"/>
        <v>\I:Trd_hdt_lpg</v>
      </c>
      <c r="K73" t="str">
        <f t="shared" si="24"/>
        <v>\I:Trd_hdt_lpg_14</v>
      </c>
      <c r="L73" t="str">
        <f t="shared" si="3"/>
        <v>\I:Trd_</v>
      </c>
      <c r="M73" s="374">
        <f t="shared" si="25"/>
        <v>90730.0026080037</v>
      </c>
      <c r="N73" s="374">
        <f t="shared" si="26"/>
        <v>90336.4467266314</v>
      </c>
      <c r="O73" s="374">
        <f t="shared" si="27"/>
        <v>90336.4467266314</v>
      </c>
      <c r="P73" s="374">
        <f t="shared" si="28"/>
        <v>90336.4467266314</v>
      </c>
      <c r="R73" s="370"/>
      <c r="U73" t="str">
        <f t="shared" si="6"/>
        <v>\I:Trd_hdt_lpg_14</v>
      </c>
      <c r="V73" t="str">
        <f ca="1" t="shared" si="7"/>
        <v>7.5-16t LPG truck -- 14%</v>
      </c>
      <c r="W73" s="372" t="s">
        <v>85</v>
      </c>
      <c r="X73" s="372" t="s">
        <v>86</v>
      </c>
    </row>
    <row r="74" spans="2:24">
      <c r="B74" s="85">
        <v>0.19412581421453</v>
      </c>
      <c r="C74" s="86">
        <v>96261.8697309267</v>
      </c>
      <c r="D74" s="86">
        <v>92386.9210853906</v>
      </c>
      <c r="E74" s="86">
        <v>92386.9210853906</v>
      </c>
      <c r="F74" s="86">
        <v>92386.9210853906</v>
      </c>
      <c r="I74" s="373">
        <f t="shared" si="29"/>
        <v>1.45346161538998</v>
      </c>
      <c r="J74" t="str">
        <f t="shared" si="23"/>
        <v>\I:Trd_hdt_lpg</v>
      </c>
      <c r="K74" t="str">
        <f t="shared" si="24"/>
        <v>\I:Trd_hdt_lpg_19</v>
      </c>
      <c r="L74" t="str">
        <f t="shared" si="3"/>
        <v>\I:Trd_</v>
      </c>
      <c r="M74" s="374">
        <f t="shared" si="25"/>
        <v>96261.8697309267</v>
      </c>
      <c r="N74" s="374">
        <f t="shared" si="26"/>
        <v>92386.9210853906</v>
      </c>
      <c r="O74" s="374">
        <f t="shared" si="27"/>
        <v>92386.9210853906</v>
      </c>
      <c r="P74" s="374">
        <f t="shared" si="28"/>
        <v>92386.9210853906</v>
      </c>
      <c r="R74" s="370"/>
      <c r="U74" t="str">
        <f t="shared" si="6"/>
        <v>\I:Trd_hdt_lpg_19</v>
      </c>
      <c r="V74" t="str">
        <f ca="1" t="shared" si="7"/>
        <v>7.5-16t LPG truck -- 19%</v>
      </c>
      <c r="W74" s="372" t="s">
        <v>85</v>
      </c>
      <c r="X74" s="372" t="s">
        <v>86</v>
      </c>
    </row>
    <row r="75" spans="2:24">
      <c r="B75" s="85">
        <v>0.24412581421453</v>
      </c>
      <c r="C75" s="86">
        <v>100569.96458544</v>
      </c>
      <c r="D75" s="86">
        <v>95406.5555351904</v>
      </c>
      <c r="E75" s="86">
        <v>95406.5555351904</v>
      </c>
      <c r="F75" s="86">
        <v>95406.5555351904</v>
      </c>
      <c r="I75" s="373">
        <f t="shared" si="29"/>
        <v>1.51432042934779</v>
      </c>
      <c r="J75" t="str">
        <f t="shared" si="23"/>
        <v>\I:Trd_hdt_lpg</v>
      </c>
      <c r="K75" t="str">
        <f t="shared" si="24"/>
        <v>\I:Trd_hdt_lpg_24</v>
      </c>
      <c r="L75" t="str">
        <f t="shared" si="3"/>
        <v>\I:Trd_</v>
      </c>
      <c r="M75" s="374">
        <f t="shared" si="25"/>
        <v>100569.96458544</v>
      </c>
      <c r="N75" s="374">
        <f t="shared" si="26"/>
        <v>95406.5555351904</v>
      </c>
      <c r="O75" s="374">
        <f t="shared" si="27"/>
        <v>95406.5555351904</v>
      </c>
      <c r="P75" s="374">
        <f t="shared" si="28"/>
        <v>95406.5555351904</v>
      </c>
      <c r="R75" s="370"/>
      <c r="U75" t="str">
        <f t="shared" si="6"/>
        <v>\I:Trd_hdt_lpg_24</v>
      </c>
      <c r="V75" t="str">
        <f ca="1" t="shared" si="7"/>
        <v>7.5-16t LPG truck -- 24%</v>
      </c>
      <c r="W75" s="372" t="s">
        <v>85</v>
      </c>
      <c r="X75" s="372" t="s">
        <v>86</v>
      </c>
    </row>
    <row r="76" spans="2:24">
      <c r="B76" s="85">
        <v>0.26412581421453</v>
      </c>
      <c r="C76" s="86">
        <v>123471.091005636</v>
      </c>
      <c r="D76" s="86">
        <v>99967.4501026767</v>
      </c>
      <c r="E76" s="86">
        <v>99853.4251931631</v>
      </c>
      <c r="F76" s="86">
        <v>99853.4251931631</v>
      </c>
      <c r="I76" s="373">
        <f t="shared" si="29"/>
        <v>1.53866395493092</v>
      </c>
      <c r="J76" t="str">
        <f t="shared" si="23"/>
        <v>\I:Trd_hdt_lpg</v>
      </c>
      <c r="K76" t="str">
        <f t="shared" si="24"/>
        <v>\I:Trd_hdt_lpg_26</v>
      </c>
      <c r="L76" t="str">
        <f t="shared" si="3"/>
        <v>\I:Trd_</v>
      </c>
      <c r="M76" s="374">
        <f t="shared" si="25"/>
        <v>123471.091005636</v>
      </c>
      <c r="N76" s="374">
        <f t="shared" si="26"/>
        <v>99967.4501026767</v>
      </c>
      <c r="O76" s="374">
        <f t="shared" si="27"/>
        <v>99853.4251931631</v>
      </c>
      <c r="P76" s="374">
        <f t="shared" si="28"/>
        <v>99853.4251931631</v>
      </c>
      <c r="R76" s="370"/>
      <c r="U76" t="str">
        <f t="shared" si="6"/>
        <v>\I:Trd_hdt_lpg_26</v>
      </c>
      <c r="V76" t="str">
        <f ca="1" t="shared" si="7"/>
        <v>7.5-16t LPG truck -- 26%</v>
      </c>
      <c r="W76" s="372" t="s">
        <v>85</v>
      </c>
      <c r="X76" s="372" t="s">
        <v>86</v>
      </c>
    </row>
    <row r="77" spans="2:24">
      <c r="B77" s="85">
        <v>0.29412581421453</v>
      </c>
      <c r="C77" s="86">
        <v>197846.070058255</v>
      </c>
      <c r="D77" s="86">
        <v>113908.292050733</v>
      </c>
      <c r="E77" s="86">
        <v>106402.115136845</v>
      </c>
      <c r="F77" s="86">
        <v>106402.115136845</v>
      </c>
      <c r="I77" s="373">
        <f t="shared" si="29"/>
        <v>1.5751792433056</v>
      </c>
      <c r="J77" t="str">
        <f t="shared" si="23"/>
        <v>\I:Trd_hdt_lpg</v>
      </c>
      <c r="K77" t="str">
        <f t="shared" si="24"/>
        <v>\I:Trd_hdt_lpg_29</v>
      </c>
      <c r="L77" t="str">
        <f t="shared" ref="L77:L111" si="30">LEFT(K77,7)</f>
        <v>\I:Trd_</v>
      </c>
      <c r="M77" s="374">
        <f t="shared" si="25"/>
        <v>197846.070058255</v>
      </c>
      <c r="N77" s="374">
        <f t="shared" si="26"/>
        <v>113908.292050733</v>
      </c>
      <c r="O77" s="374">
        <f t="shared" si="27"/>
        <v>106402.115136845</v>
      </c>
      <c r="P77" s="374">
        <f t="shared" si="28"/>
        <v>106402.115136845</v>
      </c>
      <c r="R77" s="370"/>
      <c r="U77" t="str">
        <f t="shared" si="6"/>
        <v>\I:Trd_hdt_lpg_29</v>
      </c>
      <c r="V77" t="str">
        <f ca="1" t="shared" si="7"/>
        <v>7.5-16t LPG truck -- 29%</v>
      </c>
      <c r="W77" s="372" t="s">
        <v>85</v>
      </c>
      <c r="X77" s="372" t="s">
        <v>86</v>
      </c>
    </row>
    <row r="78" spans="2:24">
      <c r="J78" t="str">
        <f t="shared" si="23"/>
        <v>\I:Trd_hdt_lpg</v>
      </c>
      <c r="K78" t="str">
        <f t="shared" si="24"/>
        <v>\I:</v>
      </c>
      <c r="L78" t="str">
        <f t="shared" si="30"/>
        <v>\I:</v>
      </c>
      <c r="M78" s="374" t="str">
        <f t="shared" si="25"/>
        <v/>
      </c>
      <c r="N78" s="374" t="str">
        <f t="shared" si="26"/>
        <v/>
      </c>
      <c r="O78" s="374" t="str">
        <f t="shared" si="27"/>
        <v/>
      </c>
      <c r="P78" s="374" t="str">
        <f t="shared" si="28"/>
        <v/>
      </c>
      <c r="R78" s="370"/>
      <c r="U78" t="str">
        <f t="shared" si="6"/>
        <v>\I:</v>
      </c>
      <c r="V78" t="str">
        <f ca="1" t="shared" si="7"/>
        <v>7.5-16t LPG truck -- 00%</v>
      </c>
      <c r="W78" s="372" t="s">
        <v>85</v>
      </c>
      <c r="X78" s="372" t="s">
        <v>86</v>
      </c>
    </row>
    <row r="79" spans="2:24">
      <c r="J79" t="str">
        <f t="shared" si="23"/>
        <v>\I:Trd_hdt_lpg</v>
      </c>
      <c r="K79" t="str">
        <f t="shared" si="24"/>
        <v>\I:</v>
      </c>
      <c r="L79" t="str">
        <f t="shared" si="30"/>
        <v>\I:</v>
      </c>
      <c r="M79" s="374" t="str">
        <f t="shared" si="25"/>
        <v/>
      </c>
      <c r="N79" s="374" t="str">
        <f t="shared" si="26"/>
        <v/>
      </c>
      <c r="O79" s="374" t="str">
        <f t="shared" si="27"/>
        <v/>
      </c>
      <c r="P79" s="374" t="str">
        <f t="shared" si="28"/>
        <v/>
      </c>
      <c r="R79" s="370"/>
      <c r="U79" t="str">
        <f t="shared" ref="U79:U111" si="31">K79</f>
        <v>\I:</v>
      </c>
      <c r="V79" t="str">
        <f ca="1" t="shared" ref="V79:V103" si="32">OFFSET($S$1,MATCH(J79,$S$1:$S$11,0)-1,-1)&amp;" -- "&amp;TEXT(B79,"00%")</f>
        <v>7.5-16t LPG truck -- 00%</v>
      </c>
      <c r="W79" s="372" t="s">
        <v>85</v>
      </c>
      <c r="X79" s="372" t="s">
        <v>86</v>
      </c>
    </row>
    <row r="80" spans="2:24">
      <c r="J80" t="str">
        <f t="shared" si="23"/>
        <v>\I:Trd_hdt_lpg</v>
      </c>
      <c r="K80" t="str">
        <f t="shared" si="24"/>
        <v>\I:</v>
      </c>
      <c r="L80" t="str">
        <f t="shared" si="30"/>
        <v>\I:</v>
      </c>
      <c r="M80" s="374" t="str">
        <f t="shared" si="25"/>
        <v/>
      </c>
      <c r="N80" s="374" t="str">
        <f t="shared" si="26"/>
        <v/>
      </c>
      <c r="O80" s="374" t="str">
        <f t="shared" si="27"/>
        <v/>
      </c>
      <c r="P80" s="374" t="str">
        <f t="shared" si="28"/>
        <v/>
      </c>
      <c r="R80" s="370"/>
      <c r="U80" t="str">
        <f t="shared" si="31"/>
        <v>\I:</v>
      </c>
      <c r="V80" t="str">
        <f ca="1" t="shared" si="32"/>
        <v>7.5-16t LPG truck -- 00%</v>
      </c>
      <c r="W80" s="372" t="s">
        <v>85</v>
      </c>
      <c r="X80" s="372" t="s">
        <v>86</v>
      </c>
    </row>
    <row r="81" spans="2:24">
      <c r="B81" s="365">
        <v>2020</v>
      </c>
      <c r="C81" s="365"/>
      <c r="D81" s="365"/>
      <c r="J81" t="str">
        <f t="shared" si="23"/>
        <v>\I:Trd_hdt_lpg</v>
      </c>
      <c r="K81" t="str">
        <f t="shared" si="24"/>
        <v>\I:</v>
      </c>
      <c r="L81" t="str">
        <f t="shared" si="30"/>
        <v>\I:</v>
      </c>
      <c r="M81" s="374" t="str">
        <f t="shared" si="25"/>
        <v/>
      </c>
      <c r="N81" s="374" t="str">
        <f t="shared" si="26"/>
        <v/>
      </c>
      <c r="O81" s="374" t="str">
        <f t="shared" si="27"/>
        <v/>
      </c>
      <c r="P81" s="374" t="str">
        <f t="shared" si="28"/>
        <v/>
      </c>
      <c r="R81" s="370"/>
      <c r="U81" t="str">
        <f t="shared" si="31"/>
        <v>\I:</v>
      </c>
      <c r="V81" t="str">
        <f ca="1" t="shared" si="32"/>
        <v>7.5-16t LPG truck -- 202000%</v>
      </c>
      <c r="W81" s="372" t="s">
        <v>85</v>
      </c>
      <c r="X81" s="372" t="s">
        <v>86</v>
      </c>
    </row>
    <row r="82" spans="2:24">
      <c r="B82" s="46" t="s">
        <v>125</v>
      </c>
      <c r="C82" s="47" t="s">
        <v>26</v>
      </c>
      <c r="D82" s="74">
        <v>0.74</v>
      </c>
      <c r="G82" s="75">
        <f>D82/3.6/100*10^9/10^6</f>
        <v>2.05555555555556</v>
      </c>
      <c r="H82" s="75"/>
      <c r="I82" s="394">
        <f>1/G82-0.15</f>
        <v>0.336486486486486</v>
      </c>
      <c r="J82" t="str">
        <f t="shared" si="23"/>
        <v>\I:Trd_hdt_lpg</v>
      </c>
      <c r="K82" t="str">
        <f t="shared" si="24"/>
        <v>\I:</v>
      </c>
      <c r="L82" t="str">
        <f t="shared" si="30"/>
        <v>\I:</v>
      </c>
      <c r="M82" s="374" t="str">
        <f t="shared" si="25"/>
        <v/>
      </c>
      <c r="N82" s="374" t="str">
        <f t="shared" si="26"/>
        <v/>
      </c>
      <c r="O82" s="374" t="str">
        <f t="shared" si="27"/>
        <v/>
      </c>
      <c r="P82" s="374" t="str">
        <f t="shared" si="28"/>
        <v/>
      </c>
      <c r="R82" s="370"/>
      <c r="U82" t="str">
        <f t="shared" si="31"/>
        <v>\I:</v>
      </c>
      <c r="V82" t="str">
        <f ca="1" t="shared" si="32"/>
        <v>7.5-16t LPG truck -- Energy consumption of 7.5-16t battery electric truck</v>
      </c>
      <c r="W82" s="372" t="s">
        <v>85</v>
      </c>
      <c r="X82" s="372" t="s">
        <v>86</v>
      </c>
    </row>
    <row r="83" spans="2:24">
      <c r="I83" s="377" t="s">
        <v>70</v>
      </c>
      <c r="J83" t="str">
        <f t="shared" si="23"/>
        <v>\I:Trd_hdt_lpg</v>
      </c>
      <c r="K83" t="str">
        <f t="shared" si="24"/>
        <v>\I:</v>
      </c>
      <c r="L83" t="str">
        <f t="shared" si="30"/>
        <v>\I:</v>
      </c>
      <c r="M83" s="374" t="str">
        <f t="shared" si="25"/>
        <v/>
      </c>
      <c r="N83" s="374" t="str">
        <f t="shared" si="26"/>
        <v/>
      </c>
      <c r="O83" s="374" t="str">
        <f t="shared" si="27"/>
        <v/>
      </c>
      <c r="P83" s="374" t="str">
        <f t="shared" si="28"/>
        <v/>
      </c>
      <c r="R83" s="370"/>
      <c r="U83" t="str">
        <f t="shared" si="31"/>
        <v>\I:</v>
      </c>
      <c r="V83" t="str">
        <f ca="1" t="shared" si="32"/>
        <v>7.5-16t LPG truck -- 00%</v>
      </c>
      <c r="W83" s="372" t="s">
        <v>85</v>
      </c>
      <c r="X83" s="372" t="s">
        <v>86</v>
      </c>
    </row>
    <row r="84" spans="2:24">
      <c r="J84" t="str">
        <f t="shared" si="23"/>
        <v>\I:Trd_hdt_lpg</v>
      </c>
      <c r="K84" t="str">
        <f t="shared" si="24"/>
        <v>\I:</v>
      </c>
      <c r="L84" t="str">
        <f t="shared" si="30"/>
        <v>\I:</v>
      </c>
      <c r="M84" s="374" t="str">
        <f t="shared" si="25"/>
        <v/>
      </c>
      <c r="N84" s="374" t="str">
        <f t="shared" si="26"/>
        <v/>
      </c>
      <c r="O84" s="374" t="str">
        <f t="shared" si="27"/>
        <v/>
      </c>
      <c r="P84" s="374" t="str">
        <f t="shared" si="28"/>
        <v/>
      </c>
      <c r="R84" s="370"/>
      <c r="U84" t="str">
        <f t="shared" si="31"/>
        <v>\I:</v>
      </c>
      <c r="V84" t="str">
        <f ca="1" t="shared" si="32"/>
        <v>7.5-16t LPG truck -- 00%</v>
      </c>
      <c r="W84" s="372" t="s">
        <v>85</v>
      </c>
      <c r="X84" s="372" t="s">
        <v>86</v>
      </c>
    </row>
    <row r="85" ht="15" customHeight="1" spans="2:24">
      <c r="B85" s="385" t="s">
        <v>27</v>
      </c>
      <c r="C85" s="371" t="s">
        <v>118</v>
      </c>
      <c r="D85" s="385"/>
      <c r="E85" s="385"/>
      <c r="F85" s="385"/>
      <c r="J85" t="str">
        <f t="shared" si="23"/>
        <v>Trd_hdt_elc</v>
      </c>
      <c r="K85" t="str">
        <f t="shared" si="24"/>
        <v>\I:</v>
      </c>
      <c r="L85" t="str">
        <f t="shared" si="30"/>
        <v>\I:</v>
      </c>
      <c r="M85" s="374" t="str">
        <f t="shared" si="25"/>
        <v/>
      </c>
      <c r="N85" s="374" t="str">
        <f t="shared" si="26"/>
        <v/>
      </c>
      <c r="O85" s="374" t="str">
        <f t="shared" si="27"/>
        <v/>
      </c>
      <c r="P85" s="374" t="str">
        <f t="shared" si="28"/>
        <v/>
      </c>
      <c r="R85" s="370"/>
      <c r="U85" t="str">
        <f t="shared" si="31"/>
        <v>\I:</v>
      </c>
      <c r="V85" t="str">
        <f ca="1" t="shared" si="32"/>
        <v>7.5-16t battery electric truck -- Electric range (km)</v>
      </c>
      <c r="W85" s="372" t="s">
        <v>85</v>
      </c>
      <c r="X85" s="372" t="s">
        <v>86</v>
      </c>
    </row>
    <row r="86" spans="2:24">
      <c r="B86" s="385"/>
      <c r="C86" s="371"/>
      <c r="D86" s="385"/>
      <c r="E86" s="385"/>
      <c r="F86" s="385"/>
      <c r="J86" t="str">
        <f t="shared" si="23"/>
        <v>Trd_hdt_elc</v>
      </c>
      <c r="K86" t="str">
        <f t="shared" si="24"/>
        <v>\I:</v>
      </c>
      <c r="L86" t="str">
        <f t="shared" si="30"/>
        <v>\I:</v>
      </c>
      <c r="M86" s="374" t="str">
        <f t="shared" si="25"/>
        <v/>
      </c>
      <c r="N86" s="374" t="str">
        <f t="shared" si="26"/>
        <v/>
      </c>
      <c r="O86" s="374" t="str">
        <f t="shared" si="27"/>
        <v/>
      </c>
      <c r="P86" s="374" t="str">
        <f t="shared" si="28"/>
        <v/>
      </c>
      <c r="R86" s="370"/>
      <c r="U86" t="str">
        <f t="shared" si="31"/>
        <v>\I:</v>
      </c>
      <c r="V86" t="str">
        <f ca="1" t="shared" si="32"/>
        <v>7.5-16t battery electric truck -- 00%</v>
      </c>
      <c r="W86" s="372" t="s">
        <v>85</v>
      </c>
      <c r="X86" s="372" t="s">
        <v>86</v>
      </c>
    </row>
    <row r="87" spans="2:24">
      <c r="B87" s="385"/>
      <c r="C87" s="371"/>
      <c r="D87" s="385"/>
      <c r="E87" s="385"/>
      <c r="F87" s="385"/>
      <c r="J87" t="str">
        <f t="shared" si="23"/>
        <v>Trd_hdt_elc</v>
      </c>
      <c r="K87" t="str">
        <f t="shared" si="24"/>
        <v>\I:</v>
      </c>
      <c r="L87" t="str">
        <f t="shared" si="30"/>
        <v>\I:</v>
      </c>
      <c r="M87" s="374" t="str">
        <f t="shared" si="25"/>
        <v/>
      </c>
      <c r="N87" s="374" t="str">
        <f t="shared" si="26"/>
        <v/>
      </c>
      <c r="O87" s="374" t="str">
        <f t="shared" si="27"/>
        <v/>
      </c>
      <c r="P87" s="374" t="str">
        <f t="shared" si="28"/>
        <v/>
      </c>
      <c r="R87" s="370"/>
      <c r="U87" t="str">
        <f t="shared" si="31"/>
        <v>\I:</v>
      </c>
      <c r="V87" t="str">
        <f ca="1" t="shared" si="32"/>
        <v>7.5-16t battery electric truck -- 00%</v>
      </c>
      <c r="W87" s="372" t="s">
        <v>85</v>
      </c>
      <c r="X87" s="372" t="s">
        <v>86</v>
      </c>
    </row>
    <row r="88" spans="2:24">
      <c r="B88" s="88"/>
      <c r="C88" s="51">
        <v>2020</v>
      </c>
      <c r="D88" s="51">
        <v>2030</v>
      </c>
      <c r="E88" s="51">
        <v>2040</v>
      </c>
      <c r="F88" s="51">
        <v>2050</v>
      </c>
      <c r="J88" t="str">
        <f t="shared" si="23"/>
        <v>Trd_hdt_elc</v>
      </c>
      <c r="K88" t="str">
        <f t="shared" si="24"/>
        <v>\I:</v>
      </c>
      <c r="L88" t="str">
        <f t="shared" si="30"/>
        <v>\I:</v>
      </c>
      <c r="M88" s="374" t="str">
        <f t="shared" si="25"/>
        <v/>
      </c>
      <c r="N88" s="374" t="str">
        <f t="shared" si="26"/>
        <v/>
      </c>
      <c r="O88" s="374" t="str">
        <f t="shared" si="27"/>
        <v/>
      </c>
      <c r="P88" s="374" t="str">
        <f t="shared" si="28"/>
        <v/>
      </c>
      <c r="R88" s="370"/>
      <c r="U88" t="str">
        <f t="shared" si="31"/>
        <v>\I:</v>
      </c>
      <c r="V88" t="str">
        <f ca="1" t="shared" si="32"/>
        <v>7.5-16t battery electric truck -- 00%</v>
      </c>
      <c r="W88" s="372" t="s">
        <v>85</v>
      </c>
      <c r="X88" s="372" t="s">
        <v>86</v>
      </c>
    </row>
    <row r="89" spans="2:24">
      <c r="B89" s="66">
        <v>150</v>
      </c>
      <c r="C89" s="86">
        <v>144373.905423467</v>
      </c>
      <c r="D89" s="86">
        <v>95780.7302979094</v>
      </c>
      <c r="E89" s="86">
        <v>90629.9070208589</v>
      </c>
      <c r="F89" s="86">
        <v>88752.5161176525</v>
      </c>
      <c r="I89" s="378">
        <f t="shared" ref="I89:I96" si="33">$I$82/$I$7</f>
        <v>2.41441039299943</v>
      </c>
      <c r="J89" t="str">
        <f t="shared" si="23"/>
        <v>Trd_hdt_elc</v>
      </c>
      <c r="K89" t="str">
        <f>IFERROR(IF(VALUE(C89)&gt;2020,J89&amp;"_"&amp;TEXT(B89,"00"),"\I:"),"\I:")</f>
        <v>Trd_hdt_elc_150</v>
      </c>
      <c r="L89" t="str">
        <f t="shared" si="30"/>
        <v>Trd_hdt</v>
      </c>
      <c r="M89" s="379">
        <f>IF($K89="\I:","",C89*60%)</f>
        <v>86624.3432540802</v>
      </c>
      <c r="N89" s="380">
        <f t="shared" ref="N89:N96" si="34">M89*93%</f>
        <v>80560.6392262946</v>
      </c>
      <c r="O89" s="380">
        <f t="shared" ref="O89:O96" si="35">N89*95%</f>
        <v>76532.6072649799</v>
      </c>
      <c r="P89" s="380">
        <f t="shared" ref="P89:P96" si="36">O89*95%</f>
        <v>72705.9769017309</v>
      </c>
      <c r="R89" s="381">
        <v>0.01</v>
      </c>
      <c r="U89" t="str">
        <f t="shared" si="31"/>
        <v>Trd_hdt_elc_150</v>
      </c>
      <c r="V89" t="str">
        <f ca="1">OFFSET($S$1,MATCH(J89,$S$1:$S$11,0)-1,-1)&amp;" -- "&amp;TEXT(B89,"000")</f>
        <v>7.5-16t battery electric truck -- 150</v>
      </c>
      <c r="W89" s="372" t="s">
        <v>85</v>
      </c>
      <c r="X89" s="372" t="s">
        <v>86</v>
      </c>
    </row>
    <row r="90" spans="2:24">
      <c r="B90" s="66">
        <v>178.571428571429</v>
      </c>
      <c r="C90" s="86">
        <v>147802.362213157</v>
      </c>
      <c r="D90" s="86">
        <v>97793.4993710964</v>
      </c>
      <c r="E90" s="86">
        <v>92046.7492662401</v>
      </c>
      <c r="F90" s="86">
        <v>89776.9226508232</v>
      </c>
      <c r="I90" s="378">
        <f t="shared" si="33"/>
        <v>2.41441039299943</v>
      </c>
      <c r="J90" t="str">
        <f t="shared" si="23"/>
        <v>Trd_hdt_elc</v>
      </c>
      <c r="K90" t="str">
        <f t="shared" ref="K90:K96" si="37">IFERROR(IF(VALUE(C90)&gt;2020,J90&amp;"_"&amp;TEXT(B90,"00"),"\I:"),"\I:")</f>
        <v>Trd_hdt_elc_179</v>
      </c>
      <c r="L90" t="str">
        <f t="shared" si="30"/>
        <v>Trd_hdt</v>
      </c>
      <c r="M90" s="379">
        <f t="shared" ref="M90:M96" si="38">IF($K90="\I:","",C90*60%)</f>
        <v>88681.4173278942</v>
      </c>
      <c r="N90" s="380">
        <f t="shared" si="34"/>
        <v>82473.7181149416</v>
      </c>
      <c r="O90" s="380">
        <f t="shared" si="35"/>
        <v>78350.0322091945</v>
      </c>
      <c r="P90" s="380">
        <f t="shared" si="36"/>
        <v>74432.5305987348</v>
      </c>
      <c r="R90" s="381">
        <v>0.01</v>
      </c>
      <c r="U90" t="str">
        <f t="shared" si="31"/>
        <v>Trd_hdt_elc_179</v>
      </c>
      <c r="V90" t="str">
        <f ca="1" t="shared" ref="V90:V96" si="39">OFFSET($S$1,MATCH(J90,$S$1:$S$11,0)-1,-1)&amp;" -- "&amp;TEXT(B90,"000")</f>
        <v>7.5-16t battery electric truck -- 179</v>
      </c>
      <c r="W90" s="372" t="s">
        <v>85</v>
      </c>
      <c r="X90" s="372" t="s">
        <v>86</v>
      </c>
    </row>
    <row r="91" spans="2:24">
      <c r="B91" s="66">
        <v>207.142857142857</v>
      </c>
      <c r="C91" s="86">
        <v>149288.810561655</v>
      </c>
      <c r="D91" s="86">
        <v>100585.833714969</v>
      </c>
      <c r="E91" s="86">
        <v>93658.4385500626</v>
      </c>
      <c r="F91" s="86">
        <v>90964.2849465796</v>
      </c>
      <c r="I91" s="378">
        <f t="shared" si="33"/>
        <v>2.41441039299943</v>
      </c>
      <c r="J91" t="str">
        <f t="shared" si="23"/>
        <v>Trd_hdt_elc</v>
      </c>
      <c r="K91" t="str">
        <f t="shared" si="37"/>
        <v>Trd_hdt_elc_207</v>
      </c>
      <c r="L91" t="str">
        <f t="shared" si="30"/>
        <v>Trd_hdt</v>
      </c>
      <c r="M91" s="379">
        <f t="shared" si="38"/>
        <v>89573.286336993</v>
      </c>
      <c r="N91" s="380">
        <f t="shared" si="34"/>
        <v>83303.1562934035</v>
      </c>
      <c r="O91" s="380">
        <f t="shared" si="35"/>
        <v>79137.9984787333</v>
      </c>
      <c r="P91" s="380">
        <f t="shared" si="36"/>
        <v>75181.0985547966</v>
      </c>
      <c r="R91" s="381">
        <v>0.01</v>
      </c>
      <c r="U91" t="str">
        <f t="shared" si="31"/>
        <v>Trd_hdt_elc_207</v>
      </c>
      <c r="V91" t="str">
        <f ca="1" t="shared" si="39"/>
        <v>7.5-16t battery electric truck -- 207</v>
      </c>
      <c r="W91" s="372" t="s">
        <v>85</v>
      </c>
      <c r="X91" s="372" t="s">
        <v>86</v>
      </c>
    </row>
    <row r="92" spans="2:24">
      <c r="B92" s="66">
        <v>235.714285714286</v>
      </c>
      <c r="C92" s="86">
        <v>152494.108762408</v>
      </c>
      <c r="D92" s="86">
        <v>102554.343444586</v>
      </c>
      <c r="E92" s="86">
        <v>94660.0138665998</v>
      </c>
      <c r="F92" s="86">
        <v>92014.5204906916</v>
      </c>
      <c r="I92" s="378">
        <f t="shared" si="33"/>
        <v>2.41441039299943</v>
      </c>
      <c r="J92" t="str">
        <f t="shared" si="23"/>
        <v>Trd_hdt_elc</v>
      </c>
      <c r="K92" t="str">
        <f t="shared" si="37"/>
        <v>Trd_hdt_elc_236</v>
      </c>
      <c r="L92" t="str">
        <f t="shared" si="30"/>
        <v>Trd_hdt</v>
      </c>
      <c r="M92" s="379">
        <f t="shared" si="38"/>
        <v>91496.4652574448</v>
      </c>
      <c r="N92" s="380">
        <f t="shared" si="34"/>
        <v>85091.7126894237</v>
      </c>
      <c r="O92" s="380">
        <f t="shared" si="35"/>
        <v>80837.1270549525</v>
      </c>
      <c r="P92" s="380">
        <f t="shared" si="36"/>
        <v>76795.2707022049</v>
      </c>
      <c r="R92" s="381">
        <v>0.01</v>
      </c>
      <c r="U92" t="str">
        <f t="shared" si="31"/>
        <v>Trd_hdt_elc_236</v>
      </c>
      <c r="V92" t="str">
        <f ca="1" t="shared" si="39"/>
        <v>7.5-16t battery electric truck -- 236</v>
      </c>
      <c r="W92" s="372" t="s">
        <v>85</v>
      </c>
      <c r="X92" s="372" t="s">
        <v>86</v>
      </c>
    </row>
    <row r="93" spans="2:24">
      <c r="B93" s="66">
        <v>264.285714285714</v>
      </c>
      <c r="C93" s="86">
        <v>155632.353081546</v>
      </c>
      <c r="D93" s="86">
        <v>104580.228913704</v>
      </c>
      <c r="E93" s="86">
        <v>95569.8225134195</v>
      </c>
      <c r="F93" s="86">
        <v>92930.9045082581</v>
      </c>
      <c r="I93" s="378">
        <f t="shared" si="33"/>
        <v>2.41441039299943</v>
      </c>
      <c r="J93" t="str">
        <f t="shared" si="23"/>
        <v>Trd_hdt_elc</v>
      </c>
      <c r="K93" t="str">
        <f t="shared" si="37"/>
        <v>Trd_hdt_elc_264</v>
      </c>
      <c r="L93" t="str">
        <f t="shared" si="30"/>
        <v>Trd_hdt</v>
      </c>
      <c r="M93" s="379">
        <f t="shared" si="38"/>
        <v>93379.4118489276</v>
      </c>
      <c r="N93" s="380">
        <f t="shared" si="34"/>
        <v>86842.8530195027</v>
      </c>
      <c r="O93" s="380">
        <f t="shared" si="35"/>
        <v>82500.7103685275</v>
      </c>
      <c r="P93" s="380">
        <f t="shared" si="36"/>
        <v>78375.6748501012</v>
      </c>
      <c r="R93" s="381">
        <v>0.05</v>
      </c>
      <c r="U93" t="str">
        <f t="shared" si="31"/>
        <v>Trd_hdt_elc_264</v>
      </c>
      <c r="V93" t="str">
        <f ca="1" t="shared" si="39"/>
        <v>7.5-16t battery electric truck -- 264</v>
      </c>
      <c r="W93" s="372" t="s">
        <v>85</v>
      </c>
      <c r="X93" s="372" t="s">
        <v>86</v>
      </c>
    </row>
    <row r="94" spans="2:24">
      <c r="B94" s="66">
        <v>350</v>
      </c>
      <c r="C94" s="86">
        <v>159704.765843061</v>
      </c>
      <c r="D94" s="86">
        <v>107786.20577947</v>
      </c>
      <c r="E94" s="86">
        <v>98254.3480327816</v>
      </c>
      <c r="F94" s="86">
        <v>95331.8317326809</v>
      </c>
      <c r="I94" s="378">
        <f t="shared" si="33"/>
        <v>2.41441039299943</v>
      </c>
      <c r="J94" t="str">
        <f t="shared" si="23"/>
        <v>Trd_hdt_elc</v>
      </c>
      <c r="K94" t="str">
        <f t="shared" si="37"/>
        <v>Trd_hdt_elc_350</v>
      </c>
      <c r="L94" t="str">
        <f t="shared" si="30"/>
        <v>Trd_hdt</v>
      </c>
      <c r="M94" s="379">
        <f t="shared" si="38"/>
        <v>95822.8595058366</v>
      </c>
      <c r="N94" s="380">
        <f t="shared" si="34"/>
        <v>89115.259340428</v>
      </c>
      <c r="O94" s="380">
        <f t="shared" si="35"/>
        <v>84659.4963734066</v>
      </c>
      <c r="P94" s="380">
        <f t="shared" si="36"/>
        <v>80426.5215547363</v>
      </c>
      <c r="R94" s="381">
        <v>0.1</v>
      </c>
      <c r="U94" t="str">
        <f t="shared" si="31"/>
        <v>Trd_hdt_elc_350</v>
      </c>
      <c r="V94" t="str">
        <f ca="1" t="shared" si="39"/>
        <v>7.5-16t battery electric truck -- 350</v>
      </c>
      <c r="W94" s="372" t="s">
        <v>85</v>
      </c>
      <c r="X94" s="372" t="s">
        <v>86</v>
      </c>
    </row>
    <row r="95" spans="2:24">
      <c r="B95" s="66">
        <v>500</v>
      </c>
      <c r="C95" s="86">
        <v>179612.758472383</v>
      </c>
      <c r="D95" s="86">
        <v>119565.16497781</v>
      </c>
      <c r="E95" s="86">
        <v>104086.944839593</v>
      </c>
      <c r="F95" s="86">
        <v>100030.341013554</v>
      </c>
      <c r="I95" s="378">
        <f t="shared" si="33"/>
        <v>2.41441039299943</v>
      </c>
      <c r="J95" t="str">
        <f t="shared" si="23"/>
        <v>Trd_hdt_elc</v>
      </c>
      <c r="K95" t="str">
        <f t="shared" si="37"/>
        <v>Trd_hdt_elc_500</v>
      </c>
      <c r="L95" t="str">
        <f t="shared" si="30"/>
        <v>Trd_hdt</v>
      </c>
      <c r="M95" s="379">
        <f t="shared" si="38"/>
        <v>107767.65508343</v>
      </c>
      <c r="N95" s="380">
        <f t="shared" si="34"/>
        <v>100223.91922759</v>
      </c>
      <c r="O95" s="380">
        <f t="shared" si="35"/>
        <v>95212.7232662104</v>
      </c>
      <c r="P95" s="380">
        <f t="shared" si="36"/>
        <v>90452.0871028999</v>
      </c>
      <c r="R95" s="381">
        <v>0.2</v>
      </c>
      <c r="U95" t="str">
        <f t="shared" si="31"/>
        <v>Trd_hdt_elc_500</v>
      </c>
      <c r="V95" t="str">
        <f ca="1" t="shared" si="39"/>
        <v>7.5-16t battery electric truck -- 500</v>
      </c>
      <c r="W95" s="372" t="s">
        <v>85</v>
      </c>
      <c r="X95" s="372" t="s">
        <v>86</v>
      </c>
    </row>
    <row r="96" spans="2:24">
      <c r="B96" s="66">
        <v>600</v>
      </c>
      <c r="C96" s="86">
        <v>193069.495161372</v>
      </c>
      <c r="D96" s="86">
        <v>125556.819841456</v>
      </c>
      <c r="E96" s="86">
        <v>111128.241503766</v>
      </c>
      <c r="F96" s="86">
        <v>104587.124680729</v>
      </c>
      <c r="I96" s="378">
        <f t="shared" si="33"/>
        <v>2.41441039299943</v>
      </c>
      <c r="J96" t="str">
        <f t="shared" si="23"/>
        <v>Trd_hdt_elc</v>
      </c>
      <c r="K96" t="str">
        <f t="shared" si="37"/>
        <v>Trd_hdt_elc_600</v>
      </c>
      <c r="L96" t="str">
        <f t="shared" si="30"/>
        <v>Trd_hdt</v>
      </c>
      <c r="M96" s="379">
        <f t="shared" si="38"/>
        <v>115841.697096823</v>
      </c>
      <c r="N96" s="380">
        <f t="shared" si="34"/>
        <v>107732.778300045</v>
      </c>
      <c r="O96" s="380">
        <f t="shared" si="35"/>
        <v>102346.139385043</v>
      </c>
      <c r="P96" s="380">
        <f t="shared" si="36"/>
        <v>97228.832415791</v>
      </c>
      <c r="R96" s="370"/>
      <c r="U96" t="str">
        <f t="shared" si="31"/>
        <v>Trd_hdt_elc_600</v>
      </c>
      <c r="V96" t="str">
        <f ca="1" t="shared" si="39"/>
        <v>7.5-16t battery electric truck -- 600</v>
      </c>
      <c r="W96" s="372" t="s">
        <v>85</v>
      </c>
      <c r="X96" s="372" t="s">
        <v>86</v>
      </c>
    </row>
    <row r="97" spans="2:24">
      <c r="J97" t="str">
        <f t="shared" si="23"/>
        <v>Trd_hdt_elc</v>
      </c>
      <c r="K97" t="str">
        <f t="shared" si="24"/>
        <v>\I:</v>
      </c>
      <c r="L97" t="str">
        <f t="shared" si="30"/>
        <v>\I:</v>
      </c>
      <c r="M97" s="374" t="str">
        <f t="shared" si="25"/>
        <v/>
      </c>
      <c r="N97" s="374" t="str">
        <f t="shared" si="26"/>
        <v/>
      </c>
      <c r="O97" s="374" t="str">
        <f t="shared" si="27"/>
        <v/>
      </c>
      <c r="P97" s="374" t="str">
        <f t="shared" si="28"/>
        <v/>
      </c>
      <c r="R97" s="370"/>
      <c r="U97" t="str">
        <f t="shared" si="31"/>
        <v>\I:</v>
      </c>
      <c r="V97" t="str">
        <f ca="1" t="shared" si="32"/>
        <v>7.5-16t battery electric truck -- 00%</v>
      </c>
      <c r="W97" s="372" t="s">
        <v>85</v>
      </c>
      <c r="X97" s="372" t="s">
        <v>86</v>
      </c>
    </row>
    <row r="98" spans="2:24">
      <c r="J98" t="str">
        <f t="shared" si="23"/>
        <v>Trd_hdt_elc</v>
      </c>
      <c r="K98" t="str">
        <f t="shared" si="24"/>
        <v>\I:</v>
      </c>
      <c r="L98" t="str">
        <f t="shared" si="30"/>
        <v>\I:</v>
      </c>
      <c r="M98" s="374" t="str">
        <f t="shared" si="25"/>
        <v/>
      </c>
      <c r="N98" s="374" t="str">
        <f t="shared" si="26"/>
        <v/>
      </c>
      <c r="O98" s="374" t="str">
        <f t="shared" si="27"/>
        <v/>
      </c>
      <c r="P98" s="374" t="str">
        <f t="shared" si="28"/>
        <v/>
      </c>
      <c r="R98" s="370"/>
      <c r="U98" t="str">
        <f t="shared" si="31"/>
        <v>\I:</v>
      </c>
      <c r="V98" t="str">
        <f ca="1" t="shared" si="32"/>
        <v>7.5-16t battery electric truck -- 00%</v>
      </c>
      <c r="W98" s="372" t="s">
        <v>85</v>
      </c>
      <c r="X98" s="372" t="s">
        <v>86</v>
      </c>
    </row>
    <row r="99" ht="15.75" customHeight="1" spans="2:24">
      <c r="J99" t="str">
        <f t="shared" si="23"/>
        <v>Trd_hdt_elc</v>
      </c>
      <c r="K99" t="str">
        <f t="shared" si="24"/>
        <v>\I:</v>
      </c>
      <c r="L99" t="str">
        <f t="shared" si="30"/>
        <v>\I:</v>
      </c>
      <c r="M99" s="374" t="str">
        <f t="shared" si="25"/>
        <v/>
      </c>
      <c r="N99" s="374" t="str">
        <f t="shared" si="26"/>
        <v/>
      </c>
      <c r="O99" s="374" t="str">
        <f t="shared" si="27"/>
        <v/>
      </c>
      <c r="P99" s="374" t="str">
        <f t="shared" si="28"/>
        <v/>
      </c>
      <c r="R99" s="370"/>
      <c r="U99" t="str">
        <f t="shared" si="31"/>
        <v>\I:</v>
      </c>
      <c r="V99" t="str">
        <f ca="1" t="shared" si="32"/>
        <v>7.5-16t battery electric truck -- 00%</v>
      </c>
      <c r="W99" s="372" t="s">
        <v>85</v>
      </c>
      <c r="X99" s="372" t="s">
        <v>86</v>
      </c>
    </row>
    <row r="100" spans="2:24">
      <c r="B100" s="395" t="s">
        <v>29</v>
      </c>
      <c r="C100" s="396" t="s">
        <v>119</v>
      </c>
      <c r="D100" s="397"/>
      <c r="E100" s="397"/>
      <c r="F100" s="398"/>
      <c r="J100" t="str">
        <f t="shared" si="23"/>
        <v>Trd_hdt_hh2</v>
      </c>
      <c r="K100" t="str">
        <f t="shared" si="24"/>
        <v>\I:</v>
      </c>
      <c r="L100" t="str">
        <f t="shared" si="30"/>
        <v>\I:</v>
      </c>
      <c r="M100" s="374" t="str">
        <f t="shared" si="25"/>
        <v/>
      </c>
      <c r="N100" s="374" t="str">
        <f t="shared" si="26"/>
        <v/>
      </c>
      <c r="O100" s="374" t="str">
        <f t="shared" si="27"/>
        <v/>
      </c>
      <c r="P100" s="374" t="str">
        <f t="shared" si="28"/>
        <v/>
      </c>
      <c r="R100" s="370"/>
      <c r="U100" t="str">
        <f t="shared" si="31"/>
        <v>\I:</v>
      </c>
      <c r="V100" t="str">
        <f ca="1" t="shared" si="32"/>
        <v>7.5-16t Hydrogen fuel cell truck -- Energy consumption (kg H2/100km)</v>
      </c>
      <c r="W100" s="372" t="s">
        <v>85</v>
      </c>
      <c r="X100" s="372" t="s">
        <v>86</v>
      </c>
    </row>
    <row r="101" spans="2:24">
      <c r="B101" s="399"/>
      <c r="C101" s="400"/>
      <c r="D101" s="401"/>
      <c r="E101" s="401"/>
      <c r="F101" s="402"/>
      <c r="J101" t="str">
        <f t="shared" si="23"/>
        <v>Trd_hdt_hh2</v>
      </c>
      <c r="K101" t="str">
        <f t="shared" si="24"/>
        <v>\I:</v>
      </c>
      <c r="L101" t="str">
        <f t="shared" si="30"/>
        <v>\I:</v>
      </c>
      <c r="M101" s="374" t="str">
        <f t="shared" si="25"/>
        <v/>
      </c>
      <c r="N101" s="374" t="str">
        <f t="shared" si="26"/>
        <v/>
      </c>
      <c r="O101" s="374" t="str">
        <f t="shared" si="27"/>
        <v/>
      </c>
      <c r="P101" s="374" t="str">
        <f t="shared" si="28"/>
        <v/>
      </c>
      <c r="R101" s="370"/>
      <c r="U101" t="str">
        <f t="shared" si="31"/>
        <v>\I:</v>
      </c>
      <c r="V101" t="str">
        <f ca="1" t="shared" si="32"/>
        <v>7.5-16t Hydrogen fuel cell truck -- 00%</v>
      </c>
      <c r="W101" s="372" t="s">
        <v>85</v>
      </c>
      <c r="X101" s="372" t="s">
        <v>86</v>
      </c>
    </row>
    <row r="102" spans="2:24">
      <c r="B102" s="403"/>
      <c r="C102" s="404"/>
      <c r="D102" s="405"/>
      <c r="E102" s="405"/>
      <c r="F102" s="406"/>
      <c r="J102" t="str">
        <f t="shared" si="23"/>
        <v>Trd_hdt_hh2</v>
      </c>
      <c r="K102" t="str">
        <f t="shared" si="24"/>
        <v>\I:</v>
      </c>
      <c r="L102" t="str">
        <f t="shared" si="30"/>
        <v>\I:</v>
      </c>
      <c r="M102" s="374" t="str">
        <f t="shared" si="25"/>
        <v/>
      </c>
      <c r="N102" s="374" t="str">
        <f t="shared" si="26"/>
        <v/>
      </c>
      <c r="O102" s="374" t="str">
        <f t="shared" si="27"/>
        <v/>
      </c>
      <c r="P102" s="374" t="str">
        <f t="shared" si="28"/>
        <v/>
      </c>
      <c r="R102" s="370"/>
      <c r="U102" t="str">
        <f t="shared" si="31"/>
        <v>\I:</v>
      </c>
      <c r="V102" t="str">
        <f ca="1" t="shared" si="32"/>
        <v>7.5-16t Hydrogen fuel cell truck -- 00%</v>
      </c>
      <c r="W102" s="372" t="s">
        <v>85</v>
      </c>
      <c r="X102" s="372" t="s">
        <v>86</v>
      </c>
    </row>
    <row r="103" spans="2:24">
      <c r="B103" s="88"/>
      <c r="C103" s="51">
        <v>2020</v>
      </c>
      <c r="D103" s="51">
        <v>2030</v>
      </c>
      <c r="E103" s="51">
        <v>2040</v>
      </c>
      <c r="F103" s="51">
        <v>2050</v>
      </c>
      <c r="J103" t="str">
        <f t="shared" si="23"/>
        <v>Trd_hdt_hh2</v>
      </c>
      <c r="K103" t="str">
        <f t="shared" si="24"/>
        <v>\I:</v>
      </c>
      <c r="L103" t="str">
        <f t="shared" si="30"/>
        <v>\I:</v>
      </c>
      <c r="M103" s="374" t="str">
        <f t="shared" si="25"/>
        <v/>
      </c>
      <c r="N103" s="374" t="str">
        <f t="shared" si="26"/>
        <v/>
      </c>
      <c r="O103" s="374" t="str">
        <f t="shared" si="27"/>
        <v/>
      </c>
      <c r="P103" s="374" t="str">
        <f t="shared" si="28"/>
        <v/>
      </c>
      <c r="R103" s="370"/>
      <c r="U103" t="str">
        <f t="shared" si="31"/>
        <v>\I:</v>
      </c>
      <c r="V103" t="str">
        <f ca="1" t="shared" si="32"/>
        <v>7.5-16t Hydrogen fuel cell truck -- 00%</v>
      </c>
      <c r="W103" s="372" t="s">
        <v>85</v>
      </c>
      <c r="X103" s="372" t="s">
        <v>86</v>
      </c>
    </row>
    <row r="104" spans="2:24">
      <c r="B104" s="67">
        <v>3.6</v>
      </c>
      <c r="C104" s="86">
        <v>289239.360061222</v>
      </c>
      <c r="D104" s="86">
        <v>165331.416739842</v>
      </c>
      <c r="E104" s="86">
        <v>126641.731543009</v>
      </c>
      <c r="F104" s="86">
        <v>113300.500205988</v>
      </c>
      <c r="G104" s="75">
        <f>B104*0.12/100*10^9/10^6</f>
        <v>4.32</v>
      </c>
      <c r="H104" s="75"/>
      <c r="I104" s="366">
        <f>1/G104/$I$7</f>
        <v>1.6609620805626</v>
      </c>
      <c r="J104" t="str">
        <f t="shared" si="23"/>
        <v>Trd_hdt_hh2</v>
      </c>
      <c r="K104" t="str">
        <f>IFERROR(IF(VALUE(C104)&gt;2020,J104&amp;"_"&amp;TEXT(B104,"0.0"),"\I:"),"\I:")</f>
        <v>Trd_hdt_hh2_3.6</v>
      </c>
      <c r="L104" t="str">
        <f t="shared" si="30"/>
        <v>Trd_hdt</v>
      </c>
      <c r="M104" s="374">
        <f t="shared" si="25"/>
        <v>289239.360061222</v>
      </c>
      <c r="N104" s="374">
        <f t="shared" si="26"/>
        <v>165331.416739842</v>
      </c>
      <c r="O104" s="374">
        <f t="shared" si="27"/>
        <v>126641.731543009</v>
      </c>
      <c r="P104" s="374">
        <f t="shared" si="28"/>
        <v>113300.500205988</v>
      </c>
      <c r="R104" s="370"/>
      <c r="U104" t="str">
        <f t="shared" si="31"/>
        <v>Trd_hdt_hh2_3.6</v>
      </c>
      <c r="V104" t="str">
        <f ca="1">OFFSET($S$1,MATCH(J104,$S$1:$S$11,0)-1,-1)&amp;" -- "&amp;TEXT(B104,"0.0")</f>
        <v>7.5-16t Hydrogen fuel cell truck -- 3.6</v>
      </c>
      <c r="W104" s="372" t="s">
        <v>85</v>
      </c>
      <c r="X104" s="372" t="s">
        <v>86</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66">
        <f t="shared" ref="I105:I111" si="41">1/G105/$I$7</f>
        <v>1.71280076190358</v>
      </c>
      <c r="J105" t="str">
        <f t="shared" si="23"/>
        <v>Trd_hdt_hh2</v>
      </c>
      <c r="K105" t="str">
        <f t="shared" ref="K105:K111" si="42">IFERROR(IF(VALUE(C105)&gt;2020,J105&amp;"_"&amp;TEXT(B105,"0.0"),"\I:"),"\I:")</f>
        <v>Trd_hdt_hh2_3.5</v>
      </c>
      <c r="L105" t="str">
        <f t="shared" si="30"/>
        <v>Trd_hdt</v>
      </c>
      <c r="M105" s="374">
        <f t="shared" si="25"/>
        <v>290124.884209772</v>
      </c>
      <c r="N105" s="374">
        <f t="shared" si="26"/>
        <v>165775.115926834</v>
      </c>
      <c r="O105" s="374">
        <f t="shared" si="27"/>
        <v>127085.430730001</v>
      </c>
      <c r="P105" s="374">
        <f t="shared" si="28"/>
        <v>113744.19939298</v>
      </c>
      <c r="R105" s="370"/>
      <c r="U105" t="str">
        <f t="shared" si="31"/>
        <v>Trd_hdt_hh2_3.5</v>
      </c>
      <c r="V105" t="str">
        <f ca="1" t="shared" ref="V105:V111" si="43">OFFSET($S$1,MATCH(J105,$S$1:$S$11,0)-1,-1)&amp;" -- "&amp;TEXT(B105,"0.0")</f>
        <v>7.5-16t Hydrogen fuel cell truck -- 3.5</v>
      </c>
      <c r="W105" s="372" t="s">
        <v>85</v>
      </c>
      <c r="X105" s="372" t="s">
        <v>86</v>
      </c>
    </row>
    <row r="106" spans="2:24">
      <c r="B106" s="67">
        <v>3.38208877882548</v>
      </c>
      <c r="C106" s="86">
        <v>291607.78759882</v>
      </c>
      <c r="D106" s="86">
        <v>169260.356312954</v>
      </c>
      <c r="E106" s="86">
        <v>127529.129916993</v>
      </c>
      <c r="F106" s="86">
        <v>114187.898579971</v>
      </c>
      <c r="G106" s="75">
        <f t="shared" si="40"/>
        <v>4.05850653459058</v>
      </c>
      <c r="H106" s="75"/>
      <c r="I106" s="366">
        <f t="shared" si="41"/>
        <v>1.76797945916189</v>
      </c>
      <c r="J106" t="str">
        <f t="shared" si="23"/>
        <v>Trd_hdt_hh2</v>
      </c>
      <c r="K106" t="str">
        <f t="shared" si="42"/>
        <v>Trd_hdt_hh2_3.4</v>
      </c>
      <c r="L106" t="str">
        <f t="shared" si="30"/>
        <v>Trd_hdt</v>
      </c>
      <c r="M106" s="374">
        <f t="shared" si="25"/>
        <v>291607.78759882</v>
      </c>
      <c r="N106" s="374">
        <f t="shared" si="26"/>
        <v>169260.356312954</v>
      </c>
      <c r="O106" s="374">
        <f t="shared" si="27"/>
        <v>127529.129916993</v>
      </c>
      <c r="P106" s="374">
        <f t="shared" si="28"/>
        <v>114187.898579971</v>
      </c>
      <c r="R106" s="370"/>
      <c r="U106" t="str">
        <f t="shared" si="31"/>
        <v>Trd_hdt_hh2_3.4</v>
      </c>
      <c r="V106" t="str">
        <f ca="1" t="shared" si="43"/>
        <v>7.5-16t Hydrogen fuel cell truck -- 3.4</v>
      </c>
      <c r="W106" s="372" t="s">
        <v>85</v>
      </c>
      <c r="X106" s="372" t="s">
        <v>86</v>
      </c>
    </row>
    <row r="107" spans="2:24">
      <c r="B107" s="67">
        <v>3.27313316823822</v>
      </c>
      <c r="C107" s="86">
        <v>298751.243165772</v>
      </c>
      <c r="D107" s="86">
        <v>172972.418760191</v>
      </c>
      <c r="E107" s="86">
        <v>127972.829103985</v>
      </c>
      <c r="F107" s="86">
        <v>114631.597766963</v>
      </c>
      <c r="G107" s="75">
        <f t="shared" si="40"/>
        <v>3.92775980188586</v>
      </c>
      <c r="H107" s="75"/>
      <c r="I107" s="366">
        <f t="shared" si="41"/>
        <v>1.82683171832078</v>
      </c>
      <c r="J107" t="str">
        <f t="shared" si="23"/>
        <v>Trd_hdt_hh2</v>
      </c>
      <c r="K107" t="str">
        <f t="shared" si="42"/>
        <v>Trd_hdt_hh2_3.3</v>
      </c>
      <c r="L107" t="str">
        <f t="shared" si="30"/>
        <v>Trd_hdt</v>
      </c>
      <c r="M107" s="374">
        <f t="shared" si="25"/>
        <v>298751.243165772</v>
      </c>
      <c r="N107" s="374">
        <f t="shared" si="26"/>
        <v>172972.418760191</v>
      </c>
      <c r="O107" s="374">
        <f t="shared" si="27"/>
        <v>127972.829103985</v>
      </c>
      <c r="P107" s="374">
        <f t="shared" si="28"/>
        <v>114631.597766963</v>
      </c>
      <c r="R107" s="370"/>
      <c r="U107" t="str">
        <f t="shared" si="31"/>
        <v>Trd_hdt_hh2_3.3</v>
      </c>
      <c r="V107" t="str">
        <f ca="1" t="shared" si="43"/>
        <v>7.5-16t Hydrogen fuel cell truck -- 3.3</v>
      </c>
      <c r="W107" s="372" t="s">
        <v>85</v>
      </c>
      <c r="X107" s="372" t="s">
        <v>86</v>
      </c>
    </row>
    <row r="108" spans="2:24">
      <c r="B108" s="67">
        <v>3.16417755765097</v>
      </c>
      <c r="C108" s="86">
        <v>300389.263299954</v>
      </c>
      <c r="D108" s="86">
        <v>179433.095982914</v>
      </c>
      <c r="E108" s="86">
        <v>128416.528290977</v>
      </c>
      <c r="F108" s="86">
        <v>115075.296953955</v>
      </c>
      <c r="G108" s="75">
        <f t="shared" si="40"/>
        <v>3.79701306918116</v>
      </c>
      <c r="H108" s="75"/>
      <c r="I108" s="366">
        <f t="shared" si="41"/>
        <v>1.88973702678822</v>
      </c>
      <c r="J108" t="str">
        <f t="shared" si="23"/>
        <v>Trd_hdt_hh2</v>
      </c>
      <c r="K108" t="str">
        <f t="shared" si="42"/>
        <v>Trd_hdt_hh2_3.2</v>
      </c>
      <c r="L108" t="str">
        <f t="shared" si="30"/>
        <v>Trd_hdt</v>
      </c>
      <c r="M108" s="374">
        <f t="shared" si="25"/>
        <v>300389.263299954</v>
      </c>
      <c r="N108" s="374">
        <f t="shared" si="26"/>
        <v>179433.095982914</v>
      </c>
      <c r="O108" s="374">
        <f t="shared" si="27"/>
        <v>128416.528290977</v>
      </c>
      <c r="P108" s="374">
        <f t="shared" si="28"/>
        <v>115075.296953955</v>
      </c>
      <c r="R108" s="370"/>
      <c r="U108" t="str">
        <f t="shared" si="31"/>
        <v>Trd_hdt_hh2_3.2</v>
      </c>
      <c r="V108" t="str">
        <f ca="1" t="shared" si="43"/>
        <v>7.5-16t Hydrogen fuel cell truck -- 3.2</v>
      </c>
      <c r="W108" s="372" t="s">
        <v>85</v>
      </c>
      <c r="X108" s="372" t="s">
        <v>86</v>
      </c>
    </row>
    <row r="109" spans="2:24">
      <c r="B109" s="67">
        <v>3.05522194706371</v>
      </c>
      <c r="C109" s="86">
        <v>301347.939435471</v>
      </c>
      <c r="D109" s="86">
        <v>179995.322886205</v>
      </c>
      <c r="E109" s="86">
        <v>128860.227477969</v>
      </c>
      <c r="F109" s="86">
        <v>115518.996140947</v>
      </c>
      <c r="G109" s="75">
        <f t="shared" si="40"/>
        <v>3.66626633647645</v>
      </c>
      <c r="H109" s="75"/>
      <c r="I109" s="366">
        <f t="shared" si="41"/>
        <v>1.95712900523383</v>
      </c>
      <c r="J109" t="str">
        <f t="shared" si="23"/>
        <v>Trd_hdt_hh2</v>
      </c>
      <c r="K109" t="str">
        <f t="shared" si="42"/>
        <v>Trd_hdt_hh2_3.1</v>
      </c>
      <c r="L109" t="str">
        <f t="shared" si="30"/>
        <v>Trd_hdt</v>
      </c>
      <c r="M109" s="374">
        <f t="shared" si="25"/>
        <v>301347.939435471</v>
      </c>
      <c r="N109" s="374">
        <f t="shared" si="26"/>
        <v>179995.322886205</v>
      </c>
      <c r="O109" s="374">
        <f t="shared" si="27"/>
        <v>128860.227477969</v>
      </c>
      <c r="P109" s="374">
        <f t="shared" si="28"/>
        <v>115518.996140947</v>
      </c>
      <c r="R109" s="370"/>
      <c r="U109" t="str">
        <f t="shared" si="31"/>
        <v>Trd_hdt_hh2_3.1</v>
      </c>
      <c r="V109" t="str">
        <f ca="1" t="shared" si="43"/>
        <v>7.5-16t Hydrogen fuel cell truck -- 3.1</v>
      </c>
      <c r="W109" s="372" t="s">
        <v>85</v>
      </c>
      <c r="X109" s="372" t="s">
        <v>86</v>
      </c>
    </row>
    <row r="110" spans="2:24">
      <c r="B110" s="67">
        <v>2.94626633647645</v>
      </c>
      <c r="C110" s="86">
        <v>302306.615570987</v>
      </c>
      <c r="D110" s="86">
        <v>180557.549789496</v>
      </c>
      <c r="E110" s="86">
        <v>129303.92666496</v>
      </c>
      <c r="F110" s="86">
        <v>115962.695327939</v>
      </c>
      <c r="G110" s="75">
        <f t="shared" si="40"/>
        <v>3.53551960377174</v>
      </c>
      <c r="H110" s="75"/>
      <c r="I110" s="366">
        <f t="shared" si="41"/>
        <v>2.02950541707523</v>
      </c>
      <c r="J110" t="str">
        <f t="shared" si="23"/>
        <v>Trd_hdt_hh2</v>
      </c>
      <c r="K110" t="str">
        <f t="shared" si="42"/>
        <v>Trd_hdt_hh2_2.9</v>
      </c>
      <c r="L110" t="str">
        <f t="shared" si="30"/>
        <v>Trd_hdt</v>
      </c>
      <c r="M110" s="374">
        <f t="shared" si="25"/>
        <v>302306.615570987</v>
      </c>
      <c r="N110" s="374">
        <f t="shared" si="26"/>
        <v>180557.549789496</v>
      </c>
      <c r="O110" s="374">
        <f t="shared" si="27"/>
        <v>129303.92666496</v>
      </c>
      <c r="P110" s="374">
        <f t="shared" si="28"/>
        <v>115962.695327939</v>
      </c>
      <c r="R110" s="370"/>
      <c r="U110" t="str">
        <f t="shared" si="31"/>
        <v>Trd_hdt_hh2_2.9</v>
      </c>
      <c r="V110" t="str">
        <f ca="1" t="shared" si="43"/>
        <v>7.5-16t Hydrogen fuel cell truck -- 2.9</v>
      </c>
      <c r="W110" s="372" t="s">
        <v>85</v>
      </c>
      <c r="X110" s="372" t="s">
        <v>86</v>
      </c>
    </row>
    <row r="111" spans="2:24">
      <c r="B111" s="67">
        <v>2.83731072588919</v>
      </c>
      <c r="C111" s="86">
        <v>303265.291706504</v>
      </c>
      <c r="D111" s="86">
        <v>181119.776692787</v>
      </c>
      <c r="E111" s="86">
        <v>129747.625851952</v>
      </c>
      <c r="F111" s="86">
        <v>116406.394514931</v>
      </c>
      <c r="G111" s="75">
        <f t="shared" si="40"/>
        <v>3.40477287106703</v>
      </c>
      <c r="H111" s="75"/>
      <c r="I111" s="366">
        <f t="shared" si="41"/>
        <v>2.10744048421113</v>
      </c>
      <c r="J111" t="str">
        <f t="shared" si="23"/>
        <v>Trd_hdt_hh2</v>
      </c>
      <c r="K111" t="str">
        <f t="shared" si="42"/>
        <v>Trd_hdt_hh2_2.8</v>
      </c>
      <c r="L111" t="str">
        <f t="shared" si="30"/>
        <v>Trd_hdt</v>
      </c>
      <c r="M111" s="374">
        <f t="shared" si="25"/>
        <v>303265.291706504</v>
      </c>
      <c r="N111" s="374">
        <f t="shared" si="26"/>
        <v>181119.776692787</v>
      </c>
      <c r="O111" s="374">
        <f t="shared" si="27"/>
        <v>129747.625851952</v>
      </c>
      <c r="P111" s="374">
        <f t="shared" si="28"/>
        <v>116406.394514931</v>
      </c>
      <c r="R111" s="370"/>
      <c r="U111" t="str">
        <f t="shared" si="31"/>
        <v>Trd_hdt_hh2_2.8</v>
      </c>
      <c r="V111" t="str">
        <f ca="1" t="shared" si="43"/>
        <v>7.5-16t Hydrogen fuel cell truck -- 2.8</v>
      </c>
      <c r="W111" s="372" t="s">
        <v>85</v>
      </c>
      <c r="X111" s="372" t="s">
        <v>86</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64" zoomScaleNormal="64" topLeftCell="C1" workbookViewId="0">
      <selection activeCell="R16" sqref="R16"/>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55" t="s">
        <v>10</v>
      </c>
      <c r="C1" s="356"/>
      <c r="D1" s="356"/>
      <c r="E1" s="356"/>
      <c r="F1" s="357"/>
      <c r="Q1" t="s">
        <v>126</v>
      </c>
      <c r="R1" t="s">
        <v>127</v>
      </c>
      <c r="S1" t="str">
        <f>"Trd_2w_"&amp;Q1</f>
        <v>Trd_2w_gsl150</v>
      </c>
    </row>
    <row r="2" spans="2:25">
      <c r="B2" s="382" t="s">
        <v>9</v>
      </c>
      <c r="C2" s="383"/>
      <c r="D2" s="383"/>
      <c r="E2" s="383"/>
      <c r="F2" s="383"/>
      <c r="Q2" t="s">
        <v>128</v>
      </c>
      <c r="R2" t="s">
        <v>129</v>
      </c>
      <c r="S2" t="str">
        <f t="shared" ref="S2:S8" si="0">"Trd_2w_"&amp;Q2</f>
        <v>Trd_2w_gsl500</v>
      </c>
    </row>
    <row r="3" spans="2:25">
      <c r="Q3" t="s">
        <v>42</v>
      </c>
      <c r="R3" t="s">
        <v>130</v>
      </c>
      <c r="S3" t="str">
        <f>"Trd_3w_"&amp;Q3</f>
        <v>Trd_3w_gsl</v>
      </c>
    </row>
    <row r="4" spans="2:25">
      <c r="I4" s="384">
        <f>31536000/10^9</f>
        <v>0.031536</v>
      </c>
      <c r="J4" s="363" t="s">
        <v>47</v>
      </c>
      <c r="Q4" t="s">
        <v>131</v>
      </c>
      <c r="R4" t="s">
        <v>132</v>
      </c>
      <c r="S4" t="str">
        <f t="shared" si="0"/>
        <v>Trd_2w_gsl50</v>
      </c>
    </row>
    <row r="5" spans="2:25">
      <c r="B5" s="44" t="s">
        <v>133</v>
      </c>
      <c r="Q5" t="s">
        <v>134</v>
      </c>
      <c r="R5" t="s">
        <v>135</v>
      </c>
      <c r="S5" t="str">
        <f t="shared" si="0"/>
        <v>Trd_2w_elc150</v>
      </c>
    </row>
    <row r="6" ht="15" customHeight="1" spans="2:25">
      <c r="B6" s="365">
        <v>2015</v>
      </c>
      <c r="C6" s="365"/>
      <c r="D6" s="365"/>
      <c r="Q6" t="s">
        <v>136</v>
      </c>
      <c r="R6" t="s">
        <v>137</v>
      </c>
      <c r="S6" t="str">
        <f t="shared" si="0"/>
        <v>Trd_2w_elc500</v>
      </c>
    </row>
    <row r="7" spans="2:25">
      <c r="B7" s="46" t="s">
        <v>12</v>
      </c>
      <c r="C7" s="47" t="s">
        <v>13</v>
      </c>
      <c r="D7" s="48">
        <v>3.2040038477468</v>
      </c>
      <c r="G7" s="366">
        <f>D7*$I$4/100*10^9/10^6</f>
        <v>1.01041465342543</v>
      </c>
      <c r="H7" s="366"/>
      <c r="I7" s="366">
        <f>1/G7</f>
        <v>0.989692693598491</v>
      </c>
      <c r="Q7" t="s">
        <v>66</v>
      </c>
      <c r="R7" t="s">
        <v>138</v>
      </c>
      <c r="S7" t="str">
        <f>"Trd_3w_"&amp;Q7</f>
        <v>Trd_3w_elc</v>
      </c>
    </row>
    <row r="8" spans="2:25">
      <c r="B8" s="46" t="s">
        <v>14</v>
      </c>
      <c r="C8" s="47" t="s">
        <v>15</v>
      </c>
      <c r="D8" s="68">
        <v>2532.96733489852</v>
      </c>
      <c r="I8" s="44" t="s">
        <v>70</v>
      </c>
      <c r="Q8" t="s">
        <v>139</v>
      </c>
      <c r="R8" t="s">
        <v>140</v>
      </c>
      <c r="S8" t="str">
        <f t="shared" si="0"/>
        <v>Trd_2w_elc50</v>
      </c>
    </row>
    <row r="10" ht="15.25" spans="2:25">
      <c r="K10" s="368" t="s">
        <v>71</v>
      </c>
      <c r="U10" s="368" t="s">
        <v>72</v>
      </c>
      <c r="V10" s="369"/>
      <c r="W10" s="369"/>
      <c r="X10" s="369"/>
      <c r="Y10" s="369"/>
    </row>
    <row r="11" spans="2:25">
      <c r="I11" t="s">
        <v>73</v>
      </c>
      <c r="J11" t="s">
        <v>74</v>
      </c>
      <c r="K11" t="s">
        <v>75</v>
      </c>
      <c r="L11" t="s">
        <v>76</v>
      </c>
      <c r="M11">
        <f>C15</f>
        <v>2020</v>
      </c>
      <c r="N11">
        <f>D15</f>
        <v>2030</v>
      </c>
      <c r="O11">
        <f>E15</f>
        <v>2040</v>
      </c>
      <c r="P11" t="s">
        <v>77</v>
      </c>
      <c r="S11" s="370" t="s">
        <v>78</v>
      </c>
      <c r="U11" s="369" t="s">
        <v>79</v>
      </c>
      <c r="V11" s="369" t="s">
        <v>80</v>
      </c>
      <c r="W11" s="369" t="s">
        <v>81</v>
      </c>
      <c r="X11" s="369" t="s">
        <v>82</v>
      </c>
      <c r="Y11" s="369" t="s">
        <v>83</v>
      </c>
    </row>
    <row r="12" ht="15" customHeight="1" spans="2:25">
      <c r="B12" s="385" t="s">
        <v>141</v>
      </c>
      <c r="C12" s="385" t="s">
        <v>127</v>
      </c>
      <c r="D12" s="385"/>
      <c r="E12" s="385"/>
      <c r="F12" s="385"/>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70"/>
      <c r="U12" t="s">
        <v>84</v>
      </c>
      <c r="V12" t="str">
        <f>K12</f>
        <v>\I:</v>
      </c>
      <c r="W12" t="str">
        <f ca="1">OFFSET($S$1,MATCH(J12,$S$1:$S$11,0)-1,-1)&amp;" -- "&amp;TEXT(B12,"00%")</f>
        <v>4-stroke MC 50-250 cc motorcycle -- Reduction of specific energy consumption relative to 2015 (%)</v>
      </c>
      <c r="X12" s="372" t="s">
        <v>85</v>
      </c>
      <c r="Y12" s="372" t="s">
        <v>86</v>
      </c>
    </row>
    <row r="13" spans="2:25">
      <c r="B13" s="385"/>
      <c r="C13" s="385"/>
      <c r="D13" s="385"/>
      <c r="E13" s="385"/>
      <c r="F13" s="385"/>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70"/>
      <c r="U13" t="s">
        <v>84</v>
      </c>
      <c r="V13" t="str">
        <f t="shared" ref="V13:V23" si="6">K13</f>
        <v>\I:</v>
      </c>
      <c r="W13" t="str">
        <f ca="1" t="shared" ref="W13:W23" si="7">OFFSET($S$1,MATCH(J13,$S$1:$S$11,0)-1,-1)&amp;" -- "&amp;TEXT(B13,"00%")</f>
        <v>4-stroke MC 50-250 cc motorcycle -- 00%</v>
      </c>
      <c r="X13" s="372" t="s">
        <v>85</v>
      </c>
      <c r="Y13" s="372" t="s">
        <v>86</v>
      </c>
    </row>
    <row r="14" spans="2:25">
      <c r="B14" s="385"/>
      <c r="C14" s="385"/>
      <c r="D14" s="385"/>
      <c r="E14" s="385"/>
      <c r="F14" s="385"/>
      <c r="J14" t="str">
        <f t="shared" si="1"/>
        <v>Trd_2w_gsl150</v>
      </c>
      <c r="K14" t="str">
        <f t="shared" si="2"/>
        <v>\I:</v>
      </c>
      <c r="L14" t="str">
        <f t="shared" si="3"/>
        <v>\I:</v>
      </c>
      <c r="M14" t="str">
        <f t="shared" si="4"/>
        <v/>
      </c>
      <c r="N14" t="str">
        <f t="shared" si="5"/>
        <v/>
      </c>
      <c r="O14" t="str">
        <f t="shared" si="5"/>
        <v/>
      </c>
      <c r="P14" t="str">
        <f t="shared" si="5"/>
        <v/>
      </c>
      <c r="S14" s="370"/>
      <c r="U14" t="s">
        <v>84</v>
      </c>
      <c r="V14" t="str">
        <f t="shared" si="6"/>
        <v>\I:</v>
      </c>
      <c r="W14" t="str">
        <f ca="1" t="shared" si="7"/>
        <v>4-stroke MC 50-250 cc motorcycle -- 00%</v>
      </c>
      <c r="X14" s="372" t="s">
        <v>85</v>
      </c>
      <c r="Y14" s="372" t="s">
        <v>86</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70"/>
      <c r="U15" t="s">
        <v>84</v>
      </c>
      <c r="V15" t="str">
        <f t="shared" si="6"/>
        <v>\I:</v>
      </c>
      <c r="W15" t="str">
        <f ca="1" t="shared" si="7"/>
        <v>4-stroke MC 50-250 cc motorcycle -- 00%</v>
      </c>
      <c r="X15" s="372" t="s">
        <v>85</v>
      </c>
      <c r="Y15" s="372" t="s">
        <v>86</v>
      </c>
    </row>
    <row r="16" spans="2:25">
      <c r="B16" s="85">
        <v>0.0154296707848</v>
      </c>
      <c r="C16" s="86">
        <v>2548.39995873036</v>
      </c>
      <c r="D16" s="86">
        <v>2548.39995873036</v>
      </c>
      <c r="E16" s="86">
        <v>2548.39995873036</v>
      </c>
      <c r="F16" s="86">
        <v>2548.39995873036</v>
      </c>
      <c r="I16" s="373">
        <f>(1+B16)</f>
        <v>1.0154296707848</v>
      </c>
      <c r="J16" t="str">
        <f t="shared" si="1"/>
        <v>Trd_2w_gsl150</v>
      </c>
      <c r="K16" t="str">
        <f t="shared" si="2"/>
        <v>Trd_2w_gsl150_02</v>
      </c>
      <c r="L16" t="str">
        <f t="shared" si="3"/>
        <v>Trd_2w</v>
      </c>
      <c r="M16" s="374">
        <f t="shared" si="4"/>
        <v>2548.39995873036</v>
      </c>
      <c r="N16" s="374">
        <f t="shared" si="5"/>
        <v>2548.39995873036</v>
      </c>
      <c r="O16" s="374">
        <f t="shared" si="5"/>
        <v>2548.39995873036</v>
      </c>
      <c r="P16" s="374">
        <f t="shared" si="5"/>
        <v>2548.39995873036</v>
      </c>
      <c r="S16" s="370"/>
      <c r="U16" t="s">
        <v>84</v>
      </c>
      <c r="V16" t="str">
        <f t="shared" si="6"/>
        <v>Trd_2w_gsl150_02</v>
      </c>
      <c r="W16" t="str">
        <f ca="1" t="shared" si="7"/>
        <v>4-stroke MC 50-250 cc motorcycle -- 02%</v>
      </c>
      <c r="X16" s="372" t="s">
        <v>85</v>
      </c>
      <c r="Y16" s="372" t="s">
        <v>86</v>
      </c>
    </row>
    <row r="17" spans="2:25">
      <c r="B17" s="85">
        <v>0.0654296707848</v>
      </c>
      <c r="C17" s="86">
        <v>2623.20910676422</v>
      </c>
      <c r="D17" s="86">
        <v>2598.40952810835</v>
      </c>
      <c r="E17" s="86">
        <v>2598.40952810835</v>
      </c>
      <c r="F17" s="86">
        <v>2598.40952810835</v>
      </c>
      <c r="I17" s="373">
        <f t="shared" ref="I17:I19" si="8">(1+B17)</f>
        <v>1.0654296707848</v>
      </c>
      <c r="J17" t="str">
        <f t="shared" si="1"/>
        <v>Trd_2w_gsl150</v>
      </c>
      <c r="K17" t="str">
        <f t="shared" si="2"/>
        <v>Trd_2w_gsl150_07</v>
      </c>
      <c r="L17" t="str">
        <f t="shared" si="3"/>
        <v>Trd_2w</v>
      </c>
      <c r="M17" s="374">
        <f t="shared" si="4"/>
        <v>2623.20910676422</v>
      </c>
      <c r="N17" s="374">
        <f t="shared" si="5"/>
        <v>2598.40952810835</v>
      </c>
      <c r="O17" s="374">
        <f t="shared" si="5"/>
        <v>2598.40952810835</v>
      </c>
      <c r="P17" s="374">
        <f t="shared" si="5"/>
        <v>2598.40952810835</v>
      </c>
      <c r="S17" s="370"/>
      <c r="U17" t="s">
        <v>84</v>
      </c>
      <c r="V17" t="str">
        <f t="shared" si="6"/>
        <v>Trd_2w_gsl150_07</v>
      </c>
      <c r="W17" t="str">
        <f ca="1" t="shared" si="7"/>
        <v>4-stroke MC 50-250 cc motorcycle -- 07%</v>
      </c>
      <c r="X17" s="372" t="s">
        <v>85</v>
      </c>
      <c r="Y17" s="372" t="s">
        <v>86</v>
      </c>
    </row>
    <row r="18" spans="2:25">
      <c r="B18" s="85">
        <v>0.1154296707848</v>
      </c>
      <c r="C18" s="86">
        <v>2666.56616060177</v>
      </c>
      <c r="D18" s="86">
        <v>2648.41909748634</v>
      </c>
      <c r="E18" s="86">
        <v>2648.41909748634</v>
      </c>
      <c r="F18" s="86">
        <v>2648.41909748634</v>
      </c>
      <c r="I18" s="373">
        <f t="shared" si="8"/>
        <v>1.1154296707848</v>
      </c>
      <c r="J18" t="str">
        <f t="shared" si="1"/>
        <v>Trd_2w_gsl150</v>
      </c>
      <c r="K18" t="str">
        <f t="shared" si="2"/>
        <v>Trd_2w_gsl150_12</v>
      </c>
      <c r="L18" t="str">
        <f t="shared" si="3"/>
        <v>Trd_2w</v>
      </c>
      <c r="M18" s="374">
        <f t="shared" si="4"/>
        <v>2666.56616060177</v>
      </c>
      <c r="N18" s="374">
        <f t="shared" si="5"/>
        <v>2648.41909748634</v>
      </c>
      <c r="O18" s="374">
        <f t="shared" si="5"/>
        <v>2648.41909748634</v>
      </c>
      <c r="P18" s="374">
        <f t="shared" si="5"/>
        <v>2648.41909748634</v>
      </c>
      <c r="S18" s="370"/>
      <c r="U18" t="s">
        <v>84</v>
      </c>
      <c r="V18" t="str">
        <f t="shared" si="6"/>
        <v>Trd_2w_gsl150_12</v>
      </c>
      <c r="W18" t="str">
        <f ca="1" t="shared" si="7"/>
        <v>4-stroke MC 50-250 cc motorcycle -- 12%</v>
      </c>
      <c r="X18" s="372" t="s">
        <v>85</v>
      </c>
      <c r="Y18" s="372" t="s">
        <v>86</v>
      </c>
    </row>
    <row r="19" spans="2:25">
      <c r="B19" s="85">
        <v>0.1654296707848</v>
      </c>
      <c r="C19" s="86">
        <v>2850.09035239822</v>
      </c>
      <c r="D19" s="86">
        <v>2698.42866686434</v>
      </c>
      <c r="E19" s="86">
        <v>2698.42866686434</v>
      </c>
      <c r="F19" s="86">
        <v>2698.42866686434</v>
      </c>
      <c r="I19" s="373">
        <f t="shared" si="8"/>
        <v>1.1654296707848</v>
      </c>
      <c r="J19" t="str">
        <f t="shared" si="1"/>
        <v>Trd_2w_gsl150</v>
      </c>
      <c r="K19" t="str">
        <f t="shared" si="2"/>
        <v>Trd_2w_gsl150_17</v>
      </c>
      <c r="L19" t="str">
        <f t="shared" si="3"/>
        <v>Trd_2w</v>
      </c>
      <c r="M19" s="374">
        <f t="shared" si="4"/>
        <v>2850.09035239822</v>
      </c>
      <c r="N19" s="374">
        <f t="shared" si="5"/>
        <v>2698.42866686434</v>
      </c>
      <c r="O19" s="374">
        <f t="shared" si="5"/>
        <v>2698.42866686434</v>
      </c>
      <c r="P19" s="374">
        <f t="shared" si="5"/>
        <v>2698.42866686434</v>
      </c>
      <c r="S19" s="370"/>
      <c r="U19" t="s">
        <v>84</v>
      </c>
      <c r="V19" t="str">
        <f t="shared" si="6"/>
        <v>Trd_2w_gsl150_17</v>
      </c>
      <c r="W19" t="str">
        <f ca="1" t="shared" si="7"/>
        <v>4-stroke MC 50-250 cc motorcycle -- 17%</v>
      </c>
      <c r="X19" s="372" t="s">
        <v>85</v>
      </c>
      <c r="Y19" s="372" t="s">
        <v>86</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74">
        <f t="shared" ref="M20:M83" si="10">IF($K20="\I:","",C20)</f>
        <v>2913.11323778648</v>
      </c>
      <c r="N20" s="374">
        <f t="shared" ref="N20:N83" si="11">IF($K20="\I:","",D20)</f>
        <v>2748.43823624233</v>
      </c>
      <c r="O20" s="374">
        <f t="shared" ref="O20:O83" si="12">IF($K20="\I:","",E20)</f>
        <v>2748.43823624233</v>
      </c>
      <c r="P20" s="374">
        <f t="shared" ref="P20:P83" si="13">IF($K20="\I:","",F20)</f>
        <v>2748.43823624233</v>
      </c>
      <c r="S20" s="370"/>
      <c r="U20" t="s">
        <v>84</v>
      </c>
      <c r="V20" t="str">
        <f t="shared" si="6"/>
        <v>Trd_2w_gsl150_22</v>
      </c>
      <c r="W20" t="str">
        <f ca="1" t="shared" si="7"/>
        <v>4-stroke MC 50-250 cc motorcycle -- 22%</v>
      </c>
      <c r="X20" s="372" t="s">
        <v>85</v>
      </c>
      <c r="Y20" s="372" t="s">
        <v>86</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74">
        <f t="shared" si="10"/>
        <v>3395.17369254124</v>
      </c>
      <c r="N21" s="374">
        <f t="shared" si="11"/>
        <v>2801.32876836239</v>
      </c>
      <c r="O21" s="374">
        <f t="shared" si="12"/>
        <v>2798.44780562032</v>
      </c>
      <c r="P21" s="374">
        <f t="shared" si="13"/>
        <v>2798.44780562032</v>
      </c>
      <c r="S21" s="370"/>
      <c r="U21" t="s">
        <v>84</v>
      </c>
      <c r="V21" t="str">
        <f t="shared" si="6"/>
        <v>Trd_2w_gsl150_27</v>
      </c>
      <c r="W21" t="str">
        <f ca="1" t="shared" si="7"/>
        <v>4-stroke MC 50-250 cc motorcycle -- 27%</v>
      </c>
      <c r="X21" s="372" t="s">
        <v>85</v>
      </c>
      <c r="Y21" s="372" t="s">
        <v>86</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74">
        <f t="shared" si="10"/>
        <v>4641.47609894753</v>
      </c>
      <c r="N22" s="374">
        <f t="shared" si="11"/>
        <v>2995.6373144863</v>
      </c>
      <c r="O22" s="374">
        <f t="shared" si="12"/>
        <v>2848.45737499831</v>
      </c>
      <c r="P22" s="374">
        <f t="shared" si="13"/>
        <v>2848.45737499831</v>
      </c>
      <c r="S22" s="370"/>
      <c r="U22" t="s">
        <v>84</v>
      </c>
      <c r="V22" t="str">
        <f t="shared" si="6"/>
        <v>Trd_2w_gsl150_32</v>
      </c>
      <c r="W22" t="str">
        <f ca="1" t="shared" si="7"/>
        <v>4-stroke MC 50-250 cc motorcycle -- 32%</v>
      </c>
      <c r="X22" s="372" t="s">
        <v>85</v>
      </c>
      <c r="Y22" s="372" t="s">
        <v>86</v>
      </c>
    </row>
    <row r="23" spans="2:25">
      <c r="J23" t="str">
        <f t="shared" si="1"/>
        <v>Trd_2w_gsl150</v>
      </c>
      <c r="K23" t="str">
        <f t="shared" si="9"/>
        <v>\I:</v>
      </c>
      <c r="L23" t="str">
        <f t="shared" si="3"/>
        <v>\I:</v>
      </c>
      <c r="M23" s="374" t="str">
        <f t="shared" si="10"/>
        <v/>
      </c>
      <c r="N23" s="374" t="str">
        <f t="shared" si="11"/>
        <v/>
      </c>
      <c r="O23" s="374" t="str">
        <f t="shared" si="12"/>
        <v/>
      </c>
      <c r="P23" s="374" t="str">
        <f t="shared" si="13"/>
        <v/>
      </c>
      <c r="S23" s="370"/>
      <c r="U23" t="s">
        <v>84</v>
      </c>
      <c r="V23" t="str">
        <f t="shared" si="6"/>
        <v>\I:</v>
      </c>
      <c r="W23" t="str">
        <f ca="1" t="shared" si="7"/>
        <v>4-stroke MC 50-250 cc motorcycle -- 00%</v>
      </c>
      <c r="X23" s="372" t="s">
        <v>85</v>
      </c>
      <c r="Y23" s="372" t="s">
        <v>86</v>
      </c>
    </row>
    <row r="24" spans="2:25">
      <c r="J24" t="str">
        <f t="shared" si="1"/>
        <v>Trd_2w_gsl150</v>
      </c>
      <c r="K24" t="str">
        <f t="shared" si="9"/>
        <v>\I:</v>
      </c>
      <c r="L24" t="str">
        <f t="shared" si="3"/>
        <v>\I:</v>
      </c>
      <c r="M24" s="374" t="str">
        <f t="shared" si="10"/>
        <v/>
      </c>
      <c r="N24" s="374" t="str">
        <f t="shared" si="11"/>
        <v/>
      </c>
      <c r="O24" s="374" t="str">
        <f t="shared" si="12"/>
        <v/>
      </c>
      <c r="P24" s="374" t="str">
        <f t="shared" si="13"/>
        <v/>
      </c>
      <c r="S24" s="370"/>
      <c r="V24" t="str">
        <f t="shared" ref="V24:V87" si="14">K24</f>
        <v>\I:</v>
      </c>
      <c r="W24" t="str">
        <f ca="1" t="shared" ref="W24:W87" si="15">OFFSET($S$1,MATCH(J24,$S$1:$S$11,0)-1,-1)&amp;" -- "&amp;TEXT(B24,"00%")</f>
        <v>4-stroke MC 50-250 cc motorcycle -- 00%</v>
      </c>
      <c r="X24" s="372" t="s">
        <v>85</v>
      </c>
      <c r="Y24" s="372" t="s">
        <v>86</v>
      </c>
    </row>
    <row r="25" spans="2:25">
      <c r="J25" t="str">
        <f t="shared" si="1"/>
        <v>Trd_2w_gsl150</v>
      </c>
      <c r="K25" t="str">
        <f t="shared" si="9"/>
        <v>\I:</v>
      </c>
      <c r="L25" t="str">
        <f t="shared" si="3"/>
        <v>\I:</v>
      </c>
      <c r="M25" s="374" t="str">
        <f t="shared" si="10"/>
        <v/>
      </c>
      <c r="N25" s="374" t="str">
        <f t="shared" si="11"/>
        <v/>
      </c>
      <c r="O25" s="374" t="str">
        <f t="shared" si="12"/>
        <v/>
      </c>
      <c r="P25" s="374" t="str">
        <f t="shared" si="13"/>
        <v/>
      </c>
      <c r="S25" s="370"/>
      <c r="V25" t="str">
        <f t="shared" si="14"/>
        <v>\I:</v>
      </c>
      <c r="W25" t="str">
        <f ca="1" t="shared" si="15"/>
        <v>4-stroke MC 50-250 cc motorcycle -- 00%</v>
      </c>
      <c r="X25" s="372" t="s">
        <v>85</v>
      </c>
      <c r="Y25" s="372" t="s">
        <v>86</v>
      </c>
    </row>
    <row r="26" spans="2:25">
      <c r="J26" t="str">
        <f t="shared" si="1"/>
        <v>Trd_2w_gsl150</v>
      </c>
      <c r="K26" t="str">
        <f t="shared" si="9"/>
        <v>\I:</v>
      </c>
      <c r="L26" t="str">
        <f t="shared" si="3"/>
        <v>\I:</v>
      </c>
      <c r="M26" s="374" t="str">
        <f t="shared" si="10"/>
        <v/>
      </c>
      <c r="N26" s="374" t="str">
        <f t="shared" si="11"/>
        <v/>
      </c>
      <c r="O26" s="374" t="str">
        <f t="shared" si="12"/>
        <v/>
      </c>
      <c r="P26" s="374" t="str">
        <f t="shared" si="13"/>
        <v/>
      </c>
      <c r="S26" s="370"/>
      <c r="V26" t="str">
        <f t="shared" si="14"/>
        <v>\I:</v>
      </c>
      <c r="W26" t="str">
        <f ca="1" t="shared" si="15"/>
        <v>4-stroke MC 50-250 cc motorcycle -- 00%</v>
      </c>
      <c r="X26" s="372" t="s">
        <v>85</v>
      </c>
      <c r="Y26" s="372" t="s">
        <v>86</v>
      </c>
    </row>
    <row r="27" spans="2:25">
      <c r="B27" s="44" t="s">
        <v>142</v>
      </c>
      <c r="J27" t="str">
        <f t="shared" si="1"/>
        <v>Trd_2w_gsl150</v>
      </c>
      <c r="K27" t="str">
        <f t="shared" si="9"/>
        <v>\I:</v>
      </c>
      <c r="L27" t="str">
        <f t="shared" si="3"/>
        <v>\I:</v>
      </c>
      <c r="M27" s="374" t="str">
        <f t="shared" si="10"/>
        <v/>
      </c>
      <c r="N27" s="374" t="str">
        <f t="shared" si="11"/>
        <v/>
      </c>
      <c r="O27" s="374" t="str">
        <f t="shared" si="12"/>
        <v/>
      </c>
      <c r="P27" s="374" t="str">
        <f t="shared" si="13"/>
        <v/>
      </c>
      <c r="S27" s="370"/>
      <c r="V27" t="str">
        <f t="shared" si="14"/>
        <v>\I:</v>
      </c>
      <c r="W27" t="str">
        <f ca="1" t="shared" si="15"/>
        <v>4-stroke MC 50-250 cc motorcycle -- Reference values for 4-stroke MC 250-750 cc motorcycle</v>
      </c>
      <c r="X27" s="372" t="s">
        <v>85</v>
      </c>
      <c r="Y27" s="372" t="s">
        <v>86</v>
      </c>
    </row>
    <row r="28" ht="15" customHeight="1" spans="2:25">
      <c r="B28" s="365">
        <v>2015</v>
      </c>
      <c r="C28" s="365"/>
      <c r="D28" s="365"/>
      <c r="J28" t="str">
        <f t="shared" si="1"/>
        <v>Trd_2w_gsl150</v>
      </c>
      <c r="K28" t="str">
        <f t="shared" si="9"/>
        <v>\I:</v>
      </c>
      <c r="L28" t="str">
        <f t="shared" si="3"/>
        <v>\I:</v>
      </c>
      <c r="M28" s="374" t="str">
        <f t="shared" si="10"/>
        <v/>
      </c>
      <c r="N28" s="374" t="str">
        <f t="shared" si="11"/>
        <v/>
      </c>
      <c r="O28" s="374" t="str">
        <f t="shared" si="12"/>
        <v/>
      </c>
      <c r="P28" s="374" t="str">
        <f t="shared" si="13"/>
        <v/>
      </c>
      <c r="S28" s="370"/>
      <c r="V28" t="str">
        <f t="shared" si="14"/>
        <v>\I:</v>
      </c>
      <c r="W28" t="str">
        <f ca="1" t="shared" si="15"/>
        <v>4-stroke MC 50-250 cc motorcycle -- 201500%</v>
      </c>
      <c r="X28" s="372" t="s">
        <v>85</v>
      </c>
      <c r="Y28" s="372" t="s">
        <v>86</v>
      </c>
    </row>
    <row r="29" spans="2:25">
      <c r="B29" s="46" t="s">
        <v>12</v>
      </c>
      <c r="C29" s="47" t="s">
        <v>13</v>
      </c>
      <c r="D29" s="48">
        <v>4.40705451685865</v>
      </c>
      <c r="G29" s="366">
        <f>D29*$I$4/100*10^9/10^6</f>
        <v>1.38980871243654</v>
      </c>
      <c r="H29" s="366"/>
      <c r="I29" s="366">
        <f>1/G29</f>
        <v>0.719523479059827</v>
      </c>
      <c r="J29" t="str">
        <f t="shared" si="1"/>
        <v>Trd_2w_gsl150</v>
      </c>
      <c r="K29" t="str">
        <f t="shared" si="9"/>
        <v>\I:</v>
      </c>
      <c r="L29" t="str">
        <f t="shared" si="3"/>
        <v>\I:</v>
      </c>
      <c r="M29" s="374" t="str">
        <f t="shared" si="10"/>
        <v/>
      </c>
      <c r="N29" s="374" t="str">
        <f t="shared" si="11"/>
        <v/>
      </c>
      <c r="O29" s="374" t="str">
        <f t="shared" si="12"/>
        <v/>
      </c>
      <c r="P29" s="374" t="str">
        <f t="shared" si="13"/>
        <v/>
      </c>
      <c r="S29" s="370"/>
      <c r="V29" t="str">
        <f t="shared" si="14"/>
        <v>\I:</v>
      </c>
      <c r="W29" t="str">
        <f ca="1" t="shared" si="15"/>
        <v>4-stroke MC 50-250 cc motorcycle -- Energy consumption</v>
      </c>
      <c r="X29" s="372" t="s">
        <v>85</v>
      </c>
      <c r="Y29" s="372" t="s">
        <v>86</v>
      </c>
    </row>
    <row r="30" spans="2:25">
      <c r="B30" s="46" t="s">
        <v>14</v>
      </c>
      <c r="C30" s="47" t="s">
        <v>15</v>
      </c>
      <c r="D30" s="68">
        <v>6006.1537284368</v>
      </c>
      <c r="I30" s="44" t="s">
        <v>70</v>
      </c>
      <c r="J30" t="str">
        <f t="shared" si="1"/>
        <v>Trd_2w_gsl150</v>
      </c>
      <c r="K30" t="str">
        <f t="shared" si="9"/>
        <v>\I:</v>
      </c>
      <c r="L30" t="str">
        <f t="shared" si="3"/>
        <v>\I:</v>
      </c>
      <c r="M30" s="374" t="str">
        <f t="shared" si="10"/>
        <v/>
      </c>
      <c r="N30" s="374" t="str">
        <f t="shared" si="11"/>
        <v/>
      </c>
      <c r="O30" s="374" t="str">
        <f t="shared" si="12"/>
        <v/>
      </c>
      <c r="P30" s="374" t="str">
        <f t="shared" si="13"/>
        <v/>
      </c>
      <c r="S30" s="370"/>
      <c r="V30" t="str">
        <f t="shared" si="14"/>
        <v>\I:</v>
      </c>
      <c r="W30" t="str">
        <f ca="1" t="shared" si="15"/>
        <v>4-stroke MC 50-250 cc motorcycle -- Capital cost</v>
      </c>
      <c r="X30" s="372" t="s">
        <v>85</v>
      </c>
      <c r="Y30" s="372" t="s">
        <v>86</v>
      </c>
    </row>
    <row r="31" spans="2:25">
      <c r="J31" t="str">
        <f t="shared" si="1"/>
        <v>Trd_2w_gsl150</v>
      </c>
      <c r="K31" t="str">
        <f t="shared" si="9"/>
        <v>\I:</v>
      </c>
      <c r="L31" t="str">
        <f t="shared" si="3"/>
        <v>\I:</v>
      </c>
      <c r="M31" s="374" t="str">
        <f t="shared" si="10"/>
        <v/>
      </c>
      <c r="N31" s="374" t="str">
        <f t="shared" si="11"/>
        <v/>
      </c>
      <c r="O31" s="374" t="str">
        <f t="shared" si="12"/>
        <v/>
      </c>
      <c r="P31" s="374" t="str">
        <f t="shared" si="13"/>
        <v/>
      </c>
      <c r="S31" s="370"/>
      <c r="V31" t="str">
        <f t="shared" si="14"/>
        <v>\I:</v>
      </c>
      <c r="W31" t="str">
        <f ca="1" t="shared" si="15"/>
        <v>4-stroke MC 50-250 cc motorcycle -- 00%</v>
      </c>
      <c r="X31" s="372" t="s">
        <v>85</v>
      </c>
      <c r="Y31" s="372" t="s">
        <v>86</v>
      </c>
    </row>
    <row r="32" ht="15" customHeight="1" spans="2:25">
      <c r="B32" s="385" t="s">
        <v>141</v>
      </c>
      <c r="C32" s="385" t="s">
        <v>129</v>
      </c>
      <c r="D32" s="385"/>
      <c r="E32" s="385"/>
      <c r="F32" s="385"/>
      <c r="J32" t="str">
        <f t="shared" si="1"/>
        <v>Trd_2w_gsl500</v>
      </c>
      <c r="K32" t="str">
        <f t="shared" si="9"/>
        <v>\I:</v>
      </c>
      <c r="L32" t="str">
        <f t="shared" si="3"/>
        <v>\I:</v>
      </c>
      <c r="M32" s="374" t="str">
        <f t="shared" si="10"/>
        <v/>
      </c>
      <c r="N32" s="374" t="str">
        <f t="shared" si="11"/>
        <v/>
      </c>
      <c r="O32" s="374" t="str">
        <f t="shared" si="12"/>
        <v/>
      </c>
      <c r="P32" s="374" t="str">
        <f t="shared" si="13"/>
        <v/>
      </c>
      <c r="S32" s="370"/>
      <c r="V32" t="str">
        <f t="shared" si="14"/>
        <v>\I:</v>
      </c>
      <c r="W32" t="str">
        <f ca="1" t="shared" si="15"/>
        <v>4-stroke MC 250-750 cc motorcycle -- Reduction of specific energy consumption relative to 2015 (%)</v>
      </c>
      <c r="X32" s="372" t="s">
        <v>85</v>
      </c>
      <c r="Y32" s="372" t="s">
        <v>86</v>
      </c>
    </row>
    <row r="33" spans="2:25">
      <c r="B33" s="385"/>
      <c r="C33" s="385"/>
      <c r="D33" s="385"/>
      <c r="E33" s="385"/>
      <c r="F33" s="385"/>
      <c r="J33" t="str">
        <f t="shared" si="1"/>
        <v>Trd_2w_gsl500</v>
      </c>
      <c r="K33" t="str">
        <f t="shared" si="9"/>
        <v>\I:</v>
      </c>
      <c r="L33" t="str">
        <f t="shared" si="3"/>
        <v>\I:</v>
      </c>
      <c r="M33" s="374" t="str">
        <f t="shared" si="10"/>
        <v/>
      </c>
      <c r="N33" s="374" t="str">
        <f t="shared" si="11"/>
        <v/>
      </c>
      <c r="O33" s="374" t="str">
        <f t="shared" si="12"/>
        <v/>
      </c>
      <c r="P33" s="374" t="str">
        <f t="shared" si="13"/>
        <v/>
      </c>
      <c r="S33" s="370"/>
      <c r="V33" t="str">
        <f t="shared" si="14"/>
        <v>\I:</v>
      </c>
      <c r="W33" t="str">
        <f ca="1" t="shared" si="15"/>
        <v>4-stroke MC 250-750 cc motorcycle -- 00%</v>
      </c>
      <c r="X33" s="372" t="s">
        <v>85</v>
      </c>
      <c r="Y33" s="372" t="s">
        <v>86</v>
      </c>
    </row>
    <row r="34" spans="2:25">
      <c r="B34" s="385"/>
      <c r="C34" s="385"/>
      <c r="D34" s="385"/>
      <c r="E34" s="385"/>
      <c r="F34" s="385"/>
      <c r="J34" t="str">
        <f t="shared" si="1"/>
        <v>Trd_2w_gsl500</v>
      </c>
      <c r="K34" t="str">
        <f t="shared" si="9"/>
        <v>\I:</v>
      </c>
      <c r="L34" t="str">
        <f t="shared" si="3"/>
        <v>\I:</v>
      </c>
      <c r="M34" s="374" t="str">
        <f t="shared" si="10"/>
        <v/>
      </c>
      <c r="N34" s="374" t="str">
        <f t="shared" si="11"/>
        <v/>
      </c>
      <c r="O34" s="374" t="str">
        <f t="shared" si="12"/>
        <v/>
      </c>
      <c r="P34" s="374" t="str">
        <f t="shared" si="13"/>
        <v/>
      </c>
      <c r="S34" s="370"/>
      <c r="V34" t="str">
        <f t="shared" si="14"/>
        <v>\I:</v>
      </c>
      <c r="W34" t="str">
        <f ca="1" t="shared" si="15"/>
        <v>4-stroke MC 250-750 cc motorcycle -- 00%</v>
      </c>
      <c r="X34" s="372" t="s">
        <v>85</v>
      </c>
      <c r="Y34" s="372" t="s">
        <v>86</v>
      </c>
    </row>
    <row r="35" spans="2:25">
      <c r="B35" s="50"/>
      <c r="C35" s="51">
        <v>2020</v>
      </c>
      <c r="D35" s="51">
        <v>2030</v>
      </c>
      <c r="E35" s="51">
        <v>2040</v>
      </c>
      <c r="F35" s="51">
        <v>2050</v>
      </c>
      <c r="J35" t="str">
        <f t="shared" si="1"/>
        <v>Trd_2w_gsl500</v>
      </c>
      <c r="K35" t="str">
        <f t="shared" si="9"/>
        <v>\I:</v>
      </c>
      <c r="L35" t="str">
        <f t="shared" si="3"/>
        <v>\I:</v>
      </c>
      <c r="M35" s="374" t="str">
        <f t="shared" si="10"/>
        <v/>
      </c>
      <c r="N35" s="374" t="str">
        <f t="shared" si="11"/>
        <v/>
      </c>
      <c r="O35" s="374" t="str">
        <f t="shared" si="12"/>
        <v/>
      </c>
      <c r="P35" s="374" t="str">
        <f t="shared" si="13"/>
        <v/>
      </c>
      <c r="S35" s="370"/>
      <c r="V35" t="str">
        <f t="shared" si="14"/>
        <v>\I:</v>
      </c>
      <c r="W35" t="str">
        <f ca="1" t="shared" si="15"/>
        <v>4-stroke MC 250-750 cc motorcycle -- 00%</v>
      </c>
      <c r="X35" s="372" t="s">
        <v>85</v>
      </c>
      <c r="Y35" s="372" t="s">
        <v>86</v>
      </c>
    </row>
    <row r="36" spans="2:25">
      <c r="B36" s="85">
        <v>0.0181363576788854</v>
      </c>
      <c r="C36" s="86">
        <v>6040.16590734703</v>
      </c>
      <c r="D36" s="86">
        <v>6040.16590734703</v>
      </c>
      <c r="E36" s="86">
        <v>6040.16590734703</v>
      </c>
      <c r="F36" s="86">
        <v>6040.16590734703</v>
      </c>
      <c r="I36" s="373">
        <f>$I$29/$I$7*(1+B36)</f>
        <v>0.740202508286486</v>
      </c>
      <c r="J36" t="str">
        <f t="shared" si="1"/>
        <v>Trd_2w_gsl500</v>
      </c>
      <c r="K36" t="str">
        <f t="shared" si="9"/>
        <v>Trd_2w_gsl500_02</v>
      </c>
      <c r="L36" t="str">
        <f t="shared" si="3"/>
        <v>Trd_2w</v>
      </c>
      <c r="M36" s="374">
        <f t="shared" si="10"/>
        <v>6040.16590734703</v>
      </c>
      <c r="N36" s="374">
        <f t="shared" si="11"/>
        <v>6040.16590734703</v>
      </c>
      <c r="O36" s="374">
        <f t="shared" si="12"/>
        <v>6040.16590734703</v>
      </c>
      <c r="P36" s="374">
        <f t="shared" si="13"/>
        <v>6040.16590734703</v>
      </c>
      <c r="S36" s="370"/>
      <c r="V36" t="str">
        <f t="shared" si="14"/>
        <v>Trd_2w_gsl500_02</v>
      </c>
      <c r="W36" t="str">
        <f ca="1" t="shared" si="15"/>
        <v>4-stroke MC 250-750 cc motorcycle -- 02%</v>
      </c>
      <c r="X36" s="372" t="s">
        <v>85</v>
      </c>
      <c r="Y36" s="372" t="s">
        <v>86</v>
      </c>
    </row>
    <row r="37" spans="2:25">
      <c r="B37" s="85">
        <v>0.0681363576788853</v>
      </c>
      <c r="C37" s="86">
        <v>6180.43305991052</v>
      </c>
      <c r="D37" s="86">
        <v>6133.93384993077</v>
      </c>
      <c r="E37" s="86">
        <v>6133.93384993077</v>
      </c>
      <c r="F37" s="86">
        <v>6133.93384993077</v>
      </c>
      <c r="I37" s="373">
        <f t="shared" ref="I37:I42" si="16">$I$29/$I$7*(1+B37)</f>
        <v>0.776553361622771</v>
      </c>
      <c r="J37" t="str">
        <f t="shared" si="1"/>
        <v>Trd_2w_gsl500</v>
      </c>
      <c r="K37" t="str">
        <f t="shared" si="9"/>
        <v>Trd_2w_gsl500_07</v>
      </c>
      <c r="L37" t="str">
        <f t="shared" si="3"/>
        <v>Trd_2w</v>
      </c>
      <c r="M37" s="374">
        <f t="shared" si="10"/>
        <v>6180.43305991052</v>
      </c>
      <c r="N37" s="374">
        <f t="shared" si="11"/>
        <v>6133.93384993077</v>
      </c>
      <c r="O37" s="374">
        <f t="shared" si="12"/>
        <v>6133.93384993077</v>
      </c>
      <c r="P37" s="374">
        <f t="shared" si="13"/>
        <v>6133.93384993077</v>
      </c>
      <c r="S37" s="370"/>
      <c r="V37" t="str">
        <f t="shared" si="14"/>
        <v>Trd_2w_gsl500_07</v>
      </c>
      <c r="W37" t="str">
        <f ca="1" t="shared" si="15"/>
        <v>4-stroke MC 250-750 cc motorcycle -- 07%</v>
      </c>
      <c r="X37" s="372" t="s">
        <v>85</v>
      </c>
      <c r="Y37" s="372" t="s">
        <v>86</v>
      </c>
    </row>
    <row r="38" spans="2:25">
      <c r="B38" s="85">
        <v>0.118136357678885</v>
      </c>
      <c r="C38" s="86">
        <v>6261.72753585592</v>
      </c>
      <c r="D38" s="86">
        <v>6227.7017925145</v>
      </c>
      <c r="E38" s="86">
        <v>6227.7017925145</v>
      </c>
      <c r="F38" s="86">
        <v>6227.7017925145</v>
      </c>
      <c r="I38" s="373">
        <f t="shared" si="16"/>
        <v>0.812904214959055</v>
      </c>
      <c r="J38" t="str">
        <f t="shared" si="1"/>
        <v>Trd_2w_gsl500</v>
      </c>
      <c r="K38" t="str">
        <f t="shared" si="9"/>
        <v>Trd_2w_gsl500_12</v>
      </c>
      <c r="L38" t="str">
        <f t="shared" si="3"/>
        <v>Trd_2w</v>
      </c>
      <c r="M38" s="374">
        <f t="shared" si="10"/>
        <v>6261.72753585592</v>
      </c>
      <c r="N38" s="374">
        <f t="shared" si="11"/>
        <v>6227.7017925145</v>
      </c>
      <c r="O38" s="374">
        <f t="shared" si="12"/>
        <v>6227.7017925145</v>
      </c>
      <c r="P38" s="374">
        <f t="shared" si="13"/>
        <v>6227.7017925145</v>
      </c>
      <c r="S38" s="370"/>
      <c r="V38" t="str">
        <f t="shared" si="14"/>
        <v>Trd_2w_gsl500_12</v>
      </c>
      <c r="W38" t="str">
        <f ca="1" t="shared" si="15"/>
        <v>4-stroke MC 250-750 cc motorcycle -- 12%</v>
      </c>
      <c r="X38" s="372" t="s">
        <v>85</v>
      </c>
      <c r="Y38" s="372" t="s">
        <v>86</v>
      </c>
    </row>
    <row r="39" spans="2:25">
      <c r="B39" s="85">
        <v>0.168136357678885</v>
      </c>
      <c r="C39" s="86">
        <v>6605.83539547427</v>
      </c>
      <c r="D39" s="86">
        <v>6321.46973509823</v>
      </c>
      <c r="E39" s="86">
        <v>6321.46973509823</v>
      </c>
      <c r="F39" s="86">
        <v>6321.46973509823</v>
      </c>
      <c r="I39" s="373">
        <f t="shared" si="16"/>
        <v>0.84925506829534</v>
      </c>
      <c r="J39" t="str">
        <f t="shared" si="1"/>
        <v>Trd_2w_gsl500</v>
      </c>
      <c r="K39" t="str">
        <f t="shared" si="9"/>
        <v>Trd_2w_gsl500_17</v>
      </c>
      <c r="L39" t="str">
        <f t="shared" si="3"/>
        <v>Trd_2w</v>
      </c>
      <c r="M39" s="374">
        <f t="shared" si="10"/>
        <v>6605.83539547427</v>
      </c>
      <c r="N39" s="374">
        <f t="shared" si="11"/>
        <v>6321.46973509823</v>
      </c>
      <c r="O39" s="374">
        <f t="shared" si="12"/>
        <v>6321.46973509823</v>
      </c>
      <c r="P39" s="374">
        <f t="shared" si="13"/>
        <v>6321.46973509823</v>
      </c>
      <c r="S39" s="370"/>
      <c r="V39" t="str">
        <f t="shared" si="14"/>
        <v>Trd_2w_gsl500_17</v>
      </c>
      <c r="W39" t="str">
        <f ca="1" t="shared" si="15"/>
        <v>4-stroke MC 250-750 cc motorcycle -- 17%</v>
      </c>
      <c r="X39" s="372" t="s">
        <v>85</v>
      </c>
      <c r="Y39" s="372" t="s">
        <v>86</v>
      </c>
    </row>
    <row r="40" spans="2:25">
      <c r="B40" s="85">
        <v>0.218136357678885</v>
      </c>
      <c r="C40" s="86">
        <v>6724.00330557725</v>
      </c>
      <c r="D40" s="86">
        <v>6415.23767768196</v>
      </c>
      <c r="E40" s="86">
        <v>6415.23767768196</v>
      </c>
      <c r="F40" s="86">
        <v>6415.23767768196</v>
      </c>
      <c r="I40" s="373">
        <f t="shared" si="16"/>
        <v>0.885605921631625</v>
      </c>
      <c r="J40" t="str">
        <f t="shared" si="1"/>
        <v>Trd_2w_gsl500</v>
      </c>
      <c r="K40" t="str">
        <f t="shared" si="9"/>
        <v>Trd_2w_gsl500_22</v>
      </c>
      <c r="L40" t="str">
        <f t="shared" si="3"/>
        <v>Trd_2w</v>
      </c>
      <c r="M40" s="374">
        <f t="shared" si="10"/>
        <v>6724.00330557725</v>
      </c>
      <c r="N40" s="374">
        <f t="shared" si="11"/>
        <v>6415.23767768196</v>
      </c>
      <c r="O40" s="374">
        <f t="shared" si="12"/>
        <v>6415.23767768196</v>
      </c>
      <c r="P40" s="374">
        <f t="shared" si="13"/>
        <v>6415.23767768196</v>
      </c>
      <c r="S40" s="370"/>
      <c r="V40" t="str">
        <f t="shared" si="14"/>
        <v>Trd_2w_gsl500_22</v>
      </c>
      <c r="W40" t="str">
        <f ca="1" t="shared" si="15"/>
        <v>4-stroke MC 250-750 cc motorcycle -- 22%</v>
      </c>
      <c r="X40" s="372" t="s">
        <v>85</v>
      </c>
      <c r="Y40" s="372" t="s">
        <v>86</v>
      </c>
    </row>
    <row r="41" spans="2:25">
      <c r="B41" s="85">
        <v>0.268136357678885</v>
      </c>
      <c r="C41" s="86">
        <v>7627.86665824243</v>
      </c>
      <c r="D41" s="86">
        <v>6514.40742540709</v>
      </c>
      <c r="E41" s="86">
        <v>6509.00562026569</v>
      </c>
      <c r="F41" s="86">
        <v>6509.00562026569</v>
      </c>
      <c r="I41" s="373">
        <f t="shared" si="16"/>
        <v>0.92195677496791</v>
      </c>
      <c r="J41" t="str">
        <f t="shared" si="1"/>
        <v>Trd_2w_gsl500</v>
      </c>
      <c r="K41" t="str">
        <f t="shared" si="9"/>
        <v>Trd_2w_gsl500_27</v>
      </c>
      <c r="L41" t="str">
        <f t="shared" si="3"/>
        <v>Trd_2w</v>
      </c>
      <c r="M41" s="374">
        <f t="shared" si="10"/>
        <v>7627.86665824243</v>
      </c>
      <c r="N41" s="374">
        <f t="shared" si="11"/>
        <v>6514.40742540709</v>
      </c>
      <c r="O41" s="374">
        <f t="shared" si="12"/>
        <v>6509.00562026569</v>
      </c>
      <c r="P41" s="374">
        <f t="shared" si="13"/>
        <v>6509.00562026569</v>
      </c>
      <c r="S41" s="370"/>
      <c r="V41" t="str">
        <f t="shared" si="14"/>
        <v>Trd_2w_gsl500_27</v>
      </c>
      <c r="W41" t="str">
        <f ca="1" t="shared" si="15"/>
        <v>4-stroke MC 250-750 cc motorcycle -- 27%</v>
      </c>
      <c r="X41" s="372" t="s">
        <v>85</v>
      </c>
      <c r="Y41" s="372" t="s">
        <v>86</v>
      </c>
    </row>
    <row r="42" spans="2:25">
      <c r="B42" s="85">
        <v>0.318136357678885</v>
      </c>
      <c r="C42" s="86">
        <v>9964.68367025422</v>
      </c>
      <c r="D42" s="86">
        <v>6878.73594938942</v>
      </c>
      <c r="E42" s="86">
        <v>6602.77356284943</v>
      </c>
      <c r="F42" s="86">
        <v>6602.77356284943</v>
      </c>
      <c r="I42" s="373">
        <f t="shared" si="16"/>
        <v>0.958307628304194</v>
      </c>
      <c r="J42" t="str">
        <f t="shared" si="1"/>
        <v>Trd_2w_gsl500</v>
      </c>
      <c r="K42" t="str">
        <f t="shared" si="9"/>
        <v>Trd_2w_gsl500_32</v>
      </c>
      <c r="L42" t="str">
        <f t="shared" si="3"/>
        <v>Trd_2w</v>
      </c>
      <c r="M42" s="374">
        <f t="shared" si="10"/>
        <v>9964.68367025422</v>
      </c>
      <c r="N42" s="374">
        <f t="shared" si="11"/>
        <v>6878.73594938942</v>
      </c>
      <c r="O42" s="374">
        <f t="shared" si="12"/>
        <v>6602.77356284943</v>
      </c>
      <c r="P42" s="374">
        <f t="shared" si="13"/>
        <v>6602.77356284943</v>
      </c>
      <c r="S42" s="370"/>
      <c r="V42" t="str">
        <f t="shared" si="14"/>
        <v>Trd_2w_gsl500_32</v>
      </c>
      <c r="W42" t="str">
        <f ca="1" t="shared" si="15"/>
        <v>4-stroke MC 250-750 cc motorcycle -- 32%</v>
      </c>
      <c r="X42" s="372" t="s">
        <v>85</v>
      </c>
      <c r="Y42" s="372" t="s">
        <v>86</v>
      </c>
    </row>
    <row r="43" spans="2:25">
      <c r="J43" t="str">
        <f t="shared" si="1"/>
        <v>Trd_2w_gsl500</v>
      </c>
      <c r="K43" t="str">
        <f t="shared" si="9"/>
        <v>\I:</v>
      </c>
      <c r="L43" t="str">
        <f t="shared" si="3"/>
        <v>\I:</v>
      </c>
      <c r="M43" s="374" t="str">
        <f t="shared" si="10"/>
        <v/>
      </c>
      <c r="N43" s="374" t="str">
        <f t="shared" si="11"/>
        <v/>
      </c>
      <c r="O43" s="374" t="str">
        <f t="shared" si="12"/>
        <v/>
      </c>
      <c r="P43" s="374" t="str">
        <f t="shared" si="13"/>
        <v/>
      </c>
      <c r="S43" s="370"/>
      <c r="V43" t="str">
        <f t="shared" si="14"/>
        <v>\I:</v>
      </c>
      <c r="W43" t="str">
        <f ca="1" t="shared" si="15"/>
        <v>4-stroke MC 250-750 cc motorcycle -- 00%</v>
      </c>
      <c r="X43" s="372" t="s">
        <v>85</v>
      </c>
      <c r="Y43" s="372" t="s">
        <v>86</v>
      </c>
    </row>
    <row r="44" spans="2:25">
      <c r="J44" t="str">
        <f t="shared" si="1"/>
        <v>Trd_2w_gsl500</v>
      </c>
      <c r="K44" t="str">
        <f t="shared" si="9"/>
        <v>\I:</v>
      </c>
      <c r="L44" t="str">
        <f t="shared" si="3"/>
        <v>\I:</v>
      </c>
      <c r="M44" s="374" t="str">
        <f t="shared" si="10"/>
        <v/>
      </c>
      <c r="N44" s="374" t="str">
        <f t="shared" si="11"/>
        <v/>
      </c>
      <c r="O44" s="374" t="str">
        <f t="shared" si="12"/>
        <v/>
      </c>
      <c r="P44" s="374" t="str">
        <f t="shared" si="13"/>
        <v/>
      </c>
      <c r="S44" s="370"/>
      <c r="V44" t="str">
        <f t="shared" si="14"/>
        <v>\I:</v>
      </c>
      <c r="W44" t="str">
        <f ca="1" t="shared" si="15"/>
        <v>4-stroke MC 250-750 cc motorcycle -- 00%</v>
      </c>
      <c r="X44" s="372" t="s">
        <v>85</v>
      </c>
      <c r="Y44" s="372" t="s">
        <v>86</v>
      </c>
    </row>
    <row r="45" spans="2:25">
      <c r="J45" t="str">
        <f t="shared" si="1"/>
        <v>Trd_2w_gsl500</v>
      </c>
      <c r="K45" t="str">
        <f t="shared" si="9"/>
        <v>\I:</v>
      </c>
      <c r="L45" t="str">
        <f t="shared" si="3"/>
        <v>\I:</v>
      </c>
      <c r="M45" s="374" t="str">
        <f t="shared" si="10"/>
        <v/>
      </c>
      <c r="N45" s="374" t="str">
        <f t="shared" si="11"/>
        <v/>
      </c>
      <c r="O45" s="374" t="str">
        <f t="shared" si="12"/>
        <v/>
      </c>
      <c r="P45" s="374" t="str">
        <f t="shared" si="13"/>
        <v/>
      </c>
      <c r="S45" s="370"/>
      <c r="V45" t="str">
        <f t="shared" si="14"/>
        <v>\I:</v>
      </c>
      <c r="W45" t="str">
        <f ca="1" t="shared" si="15"/>
        <v>4-stroke MC 250-750 cc motorcycle -- 00%</v>
      </c>
      <c r="X45" s="372" t="s">
        <v>85</v>
      </c>
      <c r="Y45" s="372" t="s">
        <v>86</v>
      </c>
    </row>
    <row r="46" spans="2:25">
      <c r="J46" t="str">
        <f t="shared" si="1"/>
        <v>Trd_2w_gsl500</v>
      </c>
      <c r="K46" t="str">
        <f t="shared" si="9"/>
        <v>\I:</v>
      </c>
      <c r="L46" t="str">
        <f t="shared" si="3"/>
        <v>\I:</v>
      </c>
      <c r="M46" s="374" t="str">
        <f t="shared" si="10"/>
        <v/>
      </c>
      <c r="N46" s="374" t="str">
        <f t="shared" si="11"/>
        <v/>
      </c>
      <c r="O46" s="374" t="str">
        <f t="shared" si="12"/>
        <v/>
      </c>
      <c r="P46" s="374" t="str">
        <f t="shared" si="13"/>
        <v/>
      </c>
      <c r="S46" s="370"/>
      <c r="V46" t="str">
        <f t="shared" si="14"/>
        <v>\I:</v>
      </c>
      <c r="W46" t="str">
        <f ca="1" t="shared" si="15"/>
        <v>4-stroke MC 250-750 cc motorcycle -- 00%</v>
      </c>
      <c r="X46" s="372" t="s">
        <v>85</v>
      </c>
      <c r="Y46" s="372" t="s">
        <v>86</v>
      </c>
    </row>
    <row r="47" spans="2:25">
      <c r="B47" s="44" t="s">
        <v>143</v>
      </c>
      <c r="J47" t="str">
        <f t="shared" si="1"/>
        <v>Trd_2w_gsl500</v>
      </c>
      <c r="K47" t="str">
        <f t="shared" si="9"/>
        <v>\I:</v>
      </c>
      <c r="L47" t="str">
        <f t="shared" si="3"/>
        <v>\I:</v>
      </c>
      <c r="M47" s="374" t="str">
        <f t="shared" si="10"/>
        <v/>
      </c>
      <c r="N47" s="374" t="str">
        <f t="shared" si="11"/>
        <v/>
      </c>
      <c r="O47" s="374" t="str">
        <f t="shared" si="12"/>
        <v/>
      </c>
      <c r="P47" s="374" t="str">
        <f t="shared" si="13"/>
        <v/>
      </c>
      <c r="S47" s="370"/>
      <c r="V47" t="str">
        <f t="shared" si="14"/>
        <v>\I:</v>
      </c>
      <c r="W47" t="str">
        <f ca="1" t="shared" si="15"/>
        <v>4-stroke MC 250-750 cc motorcycle -- Reference values for 4-stroke MC &gt;750 cc motorcycle</v>
      </c>
      <c r="X47" s="372" t="s">
        <v>85</v>
      </c>
      <c r="Y47" s="372" t="s">
        <v>86</v>
      </c>
    </row>
    <row r="48" ht="15" customHeight="1" spans="2:25">
      <c r="B48" s="365">
        <v>2015</v>
      </c>
      <c r="C48" s="365"/>
      <c r="D48" s="365"/>
      <c r="J48" t="str">
        <f t="shared" si="1"/>
        <v>Trd_2w_gsl500</v>
      </c>
      <c r="K48" t="str">
        <f t="shared" si="9"/>
        <v>\I:</v>
      </c>
      <c r="L48" t="str">
        <f t="shared" si="3"/>
        <v>\I:</v>
      </c>
      <c r="M48" s="374" t="str">
        <f t="shared" si="10"/>
        <v/>
      </c>
      <c r="N48" s="374" t="str">
        <f t="shared" si="11"/>
        <v/>
      </c>
      <c r="O48" s="374" t="str">
        <f t="shared" si="12"/>
        <v/>
      </c>
      <c r="P48" s="374" t="str">
        <f t="shared" si="13"/>
        <v/>
      </c>
      <c r="S48" s="370"/>
      <c r="V48" t="str">
        <f t="shared" si="14"/>
        <v>\I:</v>
      </c>
      <c r="W48" t="str">
        <f ca="1" t="shared" si="15"/>
        <v>4-stroke MC 250-750 cc motorcycle -- 201500%</v>
      </c>
      <c r="X48" s="372" t="s">
        <v>85</v>
      </c>
      <c r="Y48" s="372" t="s">
        <v>86</v>
      </c>
    </row>
    <row r="49" spans="2:25">
      <c r="B49" s="46" t="s">
        <v>12</v>
      </c>
      <c r="C49" s="47" t="s">
        <v>13</v>
      </c>
      <c r="D49" s="48">
        <v>5.40232952265944</v>
      </c>
      <c r="G49" s="366">
        <f>D49*$I$4/100*10^9/10^6</f>
        <v>1.70367863826588</v>
      </c>
      <c r="H49" s="366"/>
      <c r="I49" s="367">
        <f>1/G49</f>
        <v>0.586965157359646</v>
      </c>
      <c r="J49" t="str">
        <f t="shared" si="1"/>
        <v>Trd_2w_gsl500</v>
      </c>
      <c r="K49" t="str">
        <f t="shared" si="9"/>
        <v>\I:</v>
      </c>
      <c r="L49" t="str">
        <f t="shared" si="3"/>
        <v>\I:</v>
      </c>
      <c r="M49" s="374" t="str">
        <f t="shared" si="10"/>
        <v/>
      </c>
      <c r="N49" s="374" t="str">
        <f t="shared" si="11"/>
        <v/>
      </c>
      <c r="O49" s="374" t="str">
        <f t="shared" si="12"/>
        <v/>
      </c>
      <c r="P49" s="374" t="str">
        <f t="shared" si="13"/>
        <v/>
      </c>
      <c r="S49" s="370"/>
      <c r="V49" t="str">
        <f t="shared" si="14"/>
        <v>\I:</v>
      </c>
      <c r="W49" t="str">
        <f ca="1" t="shared" si="15"/>
        <v>4-stroke MC 250-750 cc motorcycle -- Energy consumption</v>
      </c>
      <c r="X49" s="372" t="s">
        <v>85</v>
      </c>
      <c r="Y49" s="372" t="s">
        <v>86</v>
      </c>
    </row>
    <row r="50" spans="2:25">
      <c r="B50" s="46" t="s">
        <v>14</v>
      </c>
      <c r="C50" s="47" t="s">
        <v>15</v>
      </c>
      <c r="D50" s="68">
        <v>11061.5651294592</v>
      </c>
      <c r="I50" s="44" t="s">
        <v>70</v>
      </c>
      <c r="J50" t="str">
        <f t="shared" si="1"/>
        <v>Trd_2w_gsl500</v>
      </c>
      <c r="K50" t="str">
        <f t="shared" si="9"/>
        <v>\I:</v>
      </c>
      <c r="L50" t="str">
        <f t="shared" si="3"/>
        <v>\I:</v>
      </c>
      <c r="M50" s="374" t="str">
        <f t="shared" si="10"/>
        <v/>
      </c>
      <c r="N50" s="374" t="str">
        <f t="shared" si="11"/>
        <v/>
      </c>
      <c r="O50" s="374" t="str">
        <f t="shared" si="12"/>
        <v/>
      </c>
      <c r="P50" s="374" t="str">
        <f t="shared" si="13"/>
        <v/>
      </c>
      <c r="S50" s="370"/>
      <c r="V50" t="str">
        <f t="shared" si="14"/>
        <v>\I:</v>
      </c>
      <c r="W50" t="str">
        <f ca="1" t="shared" si="15"/>
        <v>4-stroke MC 250-750 cc motorcycle -- Capital cost</v>
      </c>
      <c r="X50" s="372" t="s">
        <v>85</v>
      </c>
      <c r="Y50" s="372" t="s">
        <v>86</v>
      </c>
    </row>
    <row r="51" spans="2:25">
      <c r="J51" t="str">
        <f t="shared" si="1"/>
        <v>Trd_2w_gsl500</v>
      </c>
      <c r="K51" t="str">
        <f t="shared" si="9"/>
        <v>\I:</v>
      </c>
      <c r="L51" t="str">
        <f t="shared" si="3"/>
        <v>\I:</v>
      </c>
      <c r="M51" s="374" t="str">
        <f t="shared" si="10"/>
        <v/>
      </c>
      <c r="N51" s="374" t="str">
        <f t="shared" si="11"/>
        <v/>
      </c>
      <c r="O51" s="374" t="str">
        <f t="shared" si="12"/>
        <v/>
      </c>
      <c r="P51" s="374" t="str">
        <f t="shared" si="13"/>
        <v/>
      </c>
      <c r="S51" s="370"/>
      <c r="V51" t="str">
        <f t="shared" si="14"/>
        <v>\I:</v>
      </c>
      <c r="W51" t="str">
        <f ca="1" t="shared" si="15"/>
        <v>4-stroke MC 250-750 cc motorcycle -- 00%</v>
      </c>
      <c r="X51" s="372" t="s">
        <v>85</v>
      </c>
      <c r="Y51" s="372" t="s">
        <v>86</v>
      </c>
    </row>
    <row r="52" ht="15" customHeight="1" spans="2:25">
      <c r="B52" s="385" t="s">
        <v>141</v>
      </c>
      <c r="C52" s="385" t="s">
        <v>130</v>
      </c>
      <c r="D52" s="385"/>
      <c r="E52" s="385"/>
      <c r="F52" s="385"/>
      <c r="J52" t="str">
        <f t="shared" si="1"/>
        <v>Trd_3w_gsl</v>
      </c>
      <c r="K52" t="str">
        <f t="shared" si="9"/>
        <v>\I:</v>
      </c>
      <c r="L52" t="str">
        <f t="shared" si="3"/>
        <v>\I:</v>
      </c>
      <c r="M52" s="374" t="str">
        <f t="shared" si="10"/>
        <v/>
      </c>
      <c r="N52" s="374" t="str">
        <f t="shared" si="11"/>
        <v/>
      </c>
      <c r="O52" s="374" t="str">
        <f t="shared" si="12"/>
        <v/>
      </c>
      <c r="P52" s="374" t="str">
        <f t="shared" si="13"/>
        <v/>
      </c>
      <c r="S52" s="370"/>
      <c r="V52" t="str">
        <f t="shared" si="14"/>
        <v>\I:</v>
      </c>
      <c r="W52" t="str">
        <f ca="1" t="shared" si="15"/>
        <v>4-stroke MC &gt;750 cc motorcycle -- Reduction of specific energy consumption relative to 2015 (%)</v>
      </c>
      <c r="X52" s="372" t="s">
        <v>85</v>
      </c>
      <c r="Y52" s="372" t="s">
        <v>86</v>
      </c>
    </row>
    <row r="53" spans="2:25">
      <c r="B53" s="385"/>
      <c r="C53" s="385"/>
      <c r="D53" s="385"/>
      <c r="E53" s="385"/>
      <c r="F53" s="385"/>
      <c r="J53" t="str">
        <f t="shared" si="1"/>
        <v>Trd_3w_gsl</v>
      </c>
      <c r="K53" t="str">
        <f t="shared" si="9"/>
        <v>\I:</v>
      </c>
      <c r="L53" t="str">
        <f t="shared" si="3"/>
        <v>\I:</v>
      </c>
      <c r="M53" s="374" t="str">
        <f t="shared" si="10"/>
        <v/>
      </c>
      <c r="N53" s="374" t="str">
        <f t="shared" si="11"/>
        <v/>
      </c>
      <c r="O53" s="374" t="str">
        <f t="shared" si="12"/>
        <v/>
      </c>
      <c r="P53" s="374" t="str">
        <f t="shared" si="13"/>
        <v/>
      </c>
      <c r="S53" s="370"/>
      <c r="V53" t="str">
        <f t="shared" si="14"/>
        <v>\I:</v>
      </c>
      <c r="W53" t="str">
        <f ca="1" t="shared" si="15"/>
        <v>4-stroke MC &gt;750 cc motorcycle -- 00%</v>
      </c>
      <c r="X53" s="372" t="s">
        <v>85</v>
      </c>
      <c r="Y53" s="372" t="s">
        <v>86</v>
      </c>
    </row>
    <row r="54" spans="2:25">
      <c r="B54" s="385"/>
      <c r="C54" s="385"/>
      <c r="D54" s="385"/>
      <c r="E54" s="385"/>
      <c r="F54" s="385"/>
      <c r="J54" t="str">
        <f t="shared" si="1"/>
        <v>Trd_3w_gsl</v>
      </c>
      <c r="K54" t="str">
        <f t="shared" si="9"/>
        <v>\I:</v>
      </c>
      <c r="L54" t="str">
        <f t="shared" si="3"/>
        <v>\I:</v>
      </c>
      <c r="M54" s="374" t="str">
        <f t="shared" si="10"/>
        <v/>
      </c>
      <c r="N54" s="374" t="str">
        <f t="shared" si="11"/>
        <v/>
      </c>
      <c r="O54" s="374" t="str">
        <f t="shared" si="12"/>
        <v/>
      </c>
      <c r="P54" s="374" t="str">
        <f t="shared" si="13"/>
        <v/>
      </c>
      <c r="S54" s="370"/>
      <c r="V54" t="str">
        <f t="shared" si="14"/>
        <v>\I:</v>
      </c>
      <c r="W54" t="str">
        <f ca="1" t="shared" si="15"/>
        <v>4-stroke MC &gt;750 cc motorcycle -- 00%</v>
      </c>
      <c r="X54" s="372" t="s">
        <v>85</v>
      </c>
      <c r="Y54" s="372" t="s">
        <v>86</v>
      </c>
    </row>
    <row r="55" spans="2:25">
      <c r="B55" s="50"/>
      <c r="C55" s="51">
        <v>2020</v>
      </c>
      <c r="D55" s="51">
        <v>2030</v>
      </c>
      <c r="E55" s="51">
        <v>2040</v>
      </c>
      <c r="F55" s="51">
        <v>2050</v>
      </c>
      <c r="J55" t="str">
        <f t="shared" si="1"/>
        <v>Trd_3w_gsl</v>
      </c>
      <c r="K55" t="str">
        <f t="shared" si="9"/>
        <v>\I:</v>
      </c>
      <c r="L55" t="str">
        <f t="shared" si="3"/>
        <v>\I:</v>
      </c>
      <c r="M55" s="374" t="str">
        <f t="shared" si="10"/>
        <v/>
      </c>
      <c r="N55" s="374" t="str">
        <f t="shared" si="11"/>
        <v/>
      </c>
      <c r="O55" s="374" t="str">
        <f t="shared" si="12"/>
        <v/>
      </c>
      <c r="P55" s="374" t="str">
        <f t="shared" si="13"/>
        <v/>
      </c>
      <c r="S55" s="370"/>
      <c r="V55" t="str">
        <f t="shared" si="14"/>
        <v>\I:</v>
      </c>
      <c r="W55" t="str">
        <f ca="1" t="shared" si="15"/>
        <v>4-stroke MC &gt;750 cc motorcycle -- 00%</v>
      </c>
      <c r="X55" s="372" t="s">
        <v>85</v>
      </c>
      <c r="Y55" s="372" t="s">
        <v>86</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74">
        <f t="shared" si="10"/>
        <v>11100.6952961463</v>
      </c>
      <c r="N56" s="374">
        <f t="shared" si="11"/>
        <v>11100.6952961463</v>
      </c>
      <c r="O56" s="374">
        <f t="shared" si="12"/>
        <v>11100.6952961463</v>
      </c>
      <c r="P56" s="374">
        <f t="shared" si="13"/>
        <v>11100.6952961463</v>
      </c>
      <c r="S56" s="370"/>
      <c r="V56" t="str">
        <f t="shared" si="14"/>
        <v>Trd_3w_gsl_02</v>
      </c>
      <c r="W56" t="str">
        <f ca="1" t="shared" si="15"/>
        <v>4-stroke MC &gt;750 cc motorcycle -- 02%</v>
      </c>
      <c r="X56" s="372" t="s">
        <v>85</v>
      </c>
      <c r="Y56" s="372" t="s">
        <v>86</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74">
        <f t="shared" si="10"/>
        <v>11287.7181662309</v>
      </c>
      <c r="N57" s="374">
        <f t="shared" si="11"/>
        <v>11225.7192195912</v>
      </c>
      <c r="O57" s="374">
        <f t="shared" si="12"/>
        <v>11225.7192195912</v>
      </c>
      <c r="P57" s="374">
        <f t="shared" si="13"/>
        <v>11225.7192195912</v>
      </c>
      <c r="S57" s="370"/>
      <c r="V57" t="str">
        <f t="shared" si="14"/>
        <v>Trd_3w_gsl_07</v>
      </c>
      <c r="W57" t="str">
        <f ca="1" t="shared" si="15"/>
        <v>4-stroke MC &gt;750 cc motorcycle -- 07%</v>
      </c>
      <c r="X57" s="372" t="s">
        <v>85</v>
      </c>
      <c r="Y57" s="372" t="s">
        <v>86</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74">
        <f t="shared" si="10"/>
        <v>11396.1108008248</v>
      </c>
      <c r="N58" s="374">
        <f t="shared" si="11"/>
        <v>11350.7431430362</v>
      </c>
      <c r="O58" s="374">
        <f t="shared" si="12"/>
        <v>11350.7431430362</v>
      </c>
      <c r="P58" s="374">
        <f t="shared" si="13"/>
        <v>11350.7431430362</v>
      </c>
      <c r="S58" s="370"/>
      <c r="V58" t="str">
        <f t="shared" si="14"/>
        <v>Trd_3w_gsl_12</v>
      </c>
      <c r="W58" t="str">
        <f ca="1" t="shared" si="15"/>
        <v>4-stroke MC &gt;750 cc motorcycle -- 12%</v>
      </c>
      <c r="X58" s="372" t="s">
        <v>85</v>
      </c>
      <c r="Y58" s="372" t="s">
        <v>86</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74">
        <f t="shared" si="10"/>
        <v>11854.9212803159</v>
      </c>
      <c r="N59" s="374">
        <f t="shared" si="11"/>
        <v>11475.7670664812</v>
      </c>
      <c r="O59" s="374">
        <f t="shared" si="12"/>
        <v>11475.7670664812</v>
      </c>
      <c r="P59" s="374">
        <f t="shared" si="13"/>
        <v>11475.7670664812</v>
      </c>
      <c r="S59" s="370"/>
      <c r="V59" t="str">
        <f t="shared" si="14"/>
        <v>Trd_3w_gsl_17</v>
      </c>
      <c r="W59" t="str">
        <f ca="1" t="shared" si="15"/>
        <v>4-stroke MC &gt;750 cc motorcycle -- 17%</v>
      </c>
      <c r="X59" s="372" t="s">
        <v>85</v>
      </c>
      <c r="Y59" s="372" t="s">
        <v>86</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74">
        <f t="shared" si="10"/>
        <v>12012.4784937866</v>
      </c>
      <c r="N60" s="374">
        <f t="shared" si="11"/>
        <v>11600.7909899262</v>
      </c>
      <c r="O60" s="374">
        <f t="shared" si="12"/>
        <v>11600.7909899262</v>
      </c>
      <c r="P60" s="374">
        <f t="shared" si="13"/>
        <v>11600.7909899262</v>
      </c>
      <c r="S60" s="370"/>
      <c r="V60" t="str">
        <f t="shared" si="14"/>
        <v>Trd_3w_gsl_22</v>
      </c>
      <c r="W60" t="str">
        <f ca="1" t="shared" si="15"/>
        <v>4-stroke MC &gt;750 cc motorcycle -- 22%</v>
      </c>
      <c r="X60" s="372" t="s">
        <v>85</v>
      </c>
      <c r="Y60" s="372" t="s">
        <v>86</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74">
        <f t="shared" si="10"/>
        <v>13217.6296306735</v>
      </c>
      <c r="N61" s="374">
        <f t="shared" si="11"/>
        <v>11733.0173202263</v>
      </c>
      <c r="O61" s="374">
        <f t="shared" si="12"/>
        <v>11725.8149133712</v>
      </c>
      <c r="P61" s="374">
        <f t="shared" si="13"/>
        <v>11725.8149133712</v>
      </c>
      <c r="S61" s="370"/>
      <c r="V61" t="str">
        <f t="shared" si="14"/>
        <v>Trd_3w_gsl_27</v>
      </c>
      <c r="W61" t="str">
        <f ca="1" t="shared" si="15"/>
        <v>4-stroke MC &gt;750 cc motorcycle -- 27%</v>
      </c>
      <c r="X61" s="372" t="s">
        <v>85</v>
      </c>
      <c r="Y61" s="372" t="s">
        <v>86</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74">
        <f t="shared" si="10"/>
        <v>16333.3856466892</v>
      </c>
      <c r="N62" s="374">
        <f t="shared" si="11"/>
        <v>12218.7886855361</v>
      </c>
      <c r="O62" s="374">
        <f t="shared" si="12"/>
        <v>11850.8388368161</v>
      </c>
      <c r="P62" s="374">
        <f t="shared" si="13"/>
        <v>11850.8388368161</v>
      </c>
      <c r="S62" s="370"/>
      <c r="V62" t="str">
        <f t="shared" si="14"/>
        <v>Trd_3w_gsl_32</v>
      </c>
      <c r="W62" t="str">
        <f ca="1" t="shared" si="15"/>
        <v>4-stroke MC &gt;750 cc motorcycle -- 32%</v>
      </c>
      <c r="X62" s="372" t="s">
        <v>85</v>
      </c>
      <c r="Y62" s="372" t="s">
        <v>86</v>
      </c>
    </row>
    <row r="63" spans="2:25">
      <c r="J63" t="str">
        <f t="shared" si="1"/>
        <v>Trd_3w_gsl</v>
      </c>
      <c r="K63" t="str">
        <f t="shared" si="9"/>
        <v>\I:</v>
      </c>
      <c r="L63" t="str">
        <f t="shared" si="3"/>
        <v>\I:</v>
      </c>
      <c r="M63" s="374" t="str">
        <f t="shared" si="10"/>
        <v/>
      </c>
      <c r="N63" s="374" t="str">
        <f t="shared" si="11"/>
        <v/>
      </c>
      <c r="O63" s="374" t="str">
        <f t="shared" si="12"/>
        <v/>
      </c>
      <c r="P63" s="374" t="str">
        <f t="shared" si="13"/>
        <v/>
      </c>
      <c r="S63" s="370"/>
      <c r="V63" t="str">
        <f t="shared" si="14"/>
        <v>\I:</v>
      </c>
      <c r="W63" t="str">
        <f ca="1" t="shared" si="15"/>
        <v>4-stroke MC &gt;750 cc motorcycle -- 00%</v>
      </c>
      <c r="X63" s="372" t="s">
        <v>85</v>
      </c>
      <c r="Y63" s="372" t="s">
        <v>86</v>
      </c>
    </row>
    <row r="64" spans="2:25">
      <c r="J64" t="str">
        <f t="shared" si="1"/>
        <v>Trd_3w_gsl</v>
      </c>
      <c r="K64" t="str">
        <f t="shared" si="9"/>
        <v>\I:</v>
      </c>
      <c r="L64" t="str">
        <f t="shared" si="3"/>
        <v>\I:</v>
      </c>
      <c r="M64" s="374" t="str">
        <f t="shared" si="10"/>
        <v/>
      </c>
      <c r="N64" s="374" t="str">
        <f t="shared" si="11"/>
        <v/>
      </c>
      <c r="O64" s="374" t="str">
        <f t="shared" si="12"/>
        <v/>
      </c>
      <c r="P64" s="374" t="str">
        <f t="shared" si="13"/>
        <v/>
      </c>
      <c r="S64" s="370"/>
      <c r="V64" t="str">
        <f t="shared" si="14"/>
        <v>\I:</v>
      </c>
      <c r="W64" t="str">
        <f ca="1" t="shared" si="15"/>
        <v>4-stroke MC &gt;750 cc motorcycle -- 00%</v>
      </c>
      <c r="X64" s="372" t="s">
        <v>85</v>
      </c>
      <c r="Y64" s="372" t="s">
        <v>86</v>
      </c>
    </row>
    <row r="65" spans="2:25">
      <c r="J65" t="str">
        <f t="shared" si="1"/>
        <v>Trd_3w_gsl</v>
      </c>
      <c r="K65" t="str">
        <f t="shared" si="9"/>
        <v>\I:</v>
      </c>
      <c r="L65" t="str">
        <f t="shared" si="3"/>
        <v>\I:</v>
      </c>
      <c r="M65" s="374" t="str">
        <f t="shared" si="10"/>
        <v/>
      </c>
      <c r="N65" s="374" t="str">
        <f t="shared" si="11"/>
        <v/>
      </c>
      <c r="O65" s="374" t="str">
        <f t="shared" si="12"/>
        <v/>
      </c>
      <c r="P65" s="374" t="str">
        <f t="shared" si="13"/>
        <v/>
      </c>
      <c r="S65" s="370"/>
      <c r="V65" t="str">
        <f t="shared" si="14"/>
        <v>\I:</v>
      </c>
      <c r="W65" t="str">
        <f ca="1" t="shared" si="15"/>
        <v>4-stroke MC &gt;750 cc motorcycle -- 00%</v>
      </c>
      <c r="X65" s="372" t="s">
        <v>85</v>
      </c>
      <c r="Y65" s="372" t="s">
        <v>86</v>
      </c>
    </row>
    <row r="66" spans="2:25">
      <c r="J66" t="str">
        <f t="shared" si="1"/>
        <v>Trd_3w_gsl</v>
      </c>
      <c r="K66" t="str">
        <f t="shared" si="9"/>
        <v>\I:</v>
      </c>
      <c r="L66" t="str">
        <f t="shared" si="3"/>
        <v>\I:</v>
      </c>
      <c r="M66" s="374" t="str">
        <f t="shared" si="10"/>
        <v/>
      </c>
      <c r="N66" s="374" t="str">
        <f t="shared" si="11"/>
        <v/>
      </c>
      <c r="O66" s="374" t="str">
        <f t="shared" si="12"/>
        <v/>
      </c>
      <c r="P66" s="374" t="str">
        <f t="shared" si="13"/>
        <v/>
      </c>
      <c r="S66" s="370"/>
      <c r="V66" t="str">
        <f t="shared" si="14"/>
        <v>\I:</v>
      </c>
      <c r="W66" t="str">
        <f ca="1" t="shared" si="15"/>
        <v>4-stroke MC &gt;750 cc motorcycle -- 00%</v>
      </c>
      <c r="X66" s="372" t="s">
        <v>85</v>
      </c>
      <c r="Y66" s="372" t="s">
        <v>86</v>
      </c>
    </row>
    <row r="67" spans="2:25">
      <c r="B67" s="44" t="s">
        <v>144</v>
      </c>
      <c r="J67" t="str">
        <f t="shared" si="1"/>
        <v>Trd_3w_gsl</v>
      </c>
      <c r="K67" t="str">
        <f t="shared" si="9"/>
        <v>\I:</v>
      </c>
      <c r="L67" t="str">
        <f t="shared" si="3"/>
        <v>\I:</v>
      </c>
      <c r="M67" s="374" t="str">
        <f t="shared" si="10"/>
        <v/>
      </c>
      <c r="N67" s="374" t="str">
        <f t="shared" si="11"/>
        <v/>
      </c>
      <c r="O67" s="374" t="str">
        <f t="shared" si="12"/>
        <v/>
      </c>
      <c r="P67" s="374" t="str">
        <f t="shared" si="13"/>
        <v/>
      </c>
      <c r="S67" s="370"/>
      <c r="V67" t="str">
        <f t="shared" si="14"/>
        <v>\I:</v>
      </c>
      <c r="W67" t="str">
        <f ca="1" t="shared" si="15"/>
        <v>4-stroke MC &gt;750 cc motorcycle -- Reference values for moped</v>
      </c>
      <c r="X67" s="372" t="s">
        <v>85</v>
      </c>
      <c r="Y67" s="372" t="s">
        <v>86</v>
      </c>
    </row>
    <row r="68" ht="15" customHeight="1" spans="2:25">
      <c r="B68" s="365">
        <v>2015</v>
      </c>
      <c r="C68" s="365"/>
      <c r="D68" s="365"/>
      <c r="J68" t="str">
        <f t="shared" si="1"/>
        <v>Trd_3w_gsl</v>
      </c>
      <c r="K68" t="str">
        <f t="shared" si="9"/>
        <v>\I:</v>
      </c>
      <c r="L68" t="str">
        <f t="shared" si="3"/>
        <v>\I:</v>
      </c>
      <c r="M68" s="374" t="str">
        <f t="shared" si="10"/>
        <v/>
      </c>
      <c r="N68" s="374" t="str">
        <f t="shared" si="11"/>
        <v/>
      </c>
      <c r="O68" s="374" t="str">
        <f t="shared" si="12"/>
        <v/>
      </c>
      <c r="P68" s="374" t="str">
        <f t="shared" si="13"/>
        <v/>
      </c>
      <c r="S68" s="370"/>
      <c r="V68" t="str">
        <f t="shared" si="14"/>
        <v>\I:</v>
      </c>
      <c r="W68" t="str">
        <f ca="1" t="shared" si="15"/>
        <v>4-stroke MC &gt;750 cc motorcycle -- 201500%</v>
      </c>
      <c r="X68" s="372" t="s">
        <v>85</v>
      </c>
      <c r="Y68" s="372" t="s">
        <v>86</v>
      </c>
    </row>
    <row r="69" spans="2:25">
      <c r="B69" s="46" t="s">
        <v>12</v>
      </c>
      <c r="C69" s="47" t="s">
        <v>13</v>
      </c>
      <c r="D69" s="48">
        <v>2.89822960633191</v>
      </c>
      <c r="G69" s="366">
        <f>D69*$I$4/100*10^9/10^6</f>
        <v>0.913985688652831</v>
      </c>
      <c r="H69" s="366"/>
      <c r="I69" s="366">
        <f>1/G69</f>
        <v>1.09410903520158</v>
      </c>
      <c r="J69" t="str">
        <f t="shared" si="1"/>
        <v>Trd_3w_gsl</v>
      </c>
      <c r="K69" t="str">
        <f t="shared" si="9"/>
        <v>\I:</v>
      </c>
      <c r="L69" t="str">
        <f t="shared" si="3"/>
        <v>\I:</v>
      </c>
      <c r="M69" s="374" t="str">
        <f t="shared" si="10"/>
        <v/>
      </c>
      <c r="N69" s="374" t="str">
        <f t="shared" si="11"/>
        <v/>
      </c>
      <c r="O69" s="374" t="str">
        <f t="shared" si="12"/>
        <v/>
      </c>
      <c r="P69" s="374" t="str">
        <f t="shared" si="13"/>
        <v/>
      </c>
      <c r="S69" s="370"/>
      <c r="V69" t="str">
        <f t="shared" si="14"/>
        <v>\I:</v>
      </c>
      <c r="W69" t="str">
        <f ca="1" t="shared" si="15"/>
        <v>4-stroke MC &gt;750 cc motorcycle -- Energy consumption</v>
      </c>
      <c r="X69" s="372" t="s">
        <v>85</v>
      </c>
      <c r="Y69" s="372" t="s">
        <v>86</v>
      </c>
    </row>
    <row r="70" spans="2:25">
      <c r="B70" s="46" t="s">
        <v>14</v>
      </c>
      <c r="C70" s="47" t="s">
        <v>15</v>
      </c>
      <c r="D70" s="68">
        <v>1789.17324177336</v>
      </c>
      <c r="I70" s="44" t="s">
        <v>70</v>
      </c>
      <c r="J70" t="str">
        <f t="shared" si="1"/>
        <v>Trd_3w_gsl</v>
      </c>
      <c r="K70" t="str">
        <f t="shared" si="9"/>
        <v>\I:</v>
      </c>
      <c r="L70" t="str">
        <f t="shared" si="3"/>
        <v>\I:</v>
      </c>
      <c r="M70" s="374" t="str">
        <f t="shared" si="10"/>
        <v/>
      </c>
      <c r="N70" s="374" t="str">
        <f t="shared" si="11"/>
        <v/>
      </c>
      <c r="O70" s="374" t="str">
        <f t="shared" si="12"/>
        <v/>
      </c>
      <c r="P70" s="374" t="str">
        <f t="shared" si="13"/>
        <v/>
      </c>
      <c r="S70" s="370"/>
      <c r="V70" t="str">
        <f t="shared" si="14"/>
        <v>\I:</v>
      </c>
      <c r="W70" t="str">
        <f ca="1" t="shared" si="15"/>
        <v>4-stroke MC &gt;750 cc motorcycle -- Capital cost</v>
      </c>
      <c r="X70" s="372" t="s">
        <v>85</v>
      </c>
      <c r="Y70" s="372" t="s">
        <v>86</v>
      </c>
    </row>
    <row r="71" spans="2:25">
      <c r="J71" t="str">
        <f t="shared" si="1"/>
        <v>Trd_3w_gsl</v>
      </c>
      <c r="K71" t="str">
        <f t="shared" si="9"/>
        <v>\I:</v>
      </c>
      <c r="L71" t="str">
        <f t="shared" si="3"/>
        <v>\I:</v>
      </c>
      <c r="M71" s="374" t="str">
        <f t="shared" si="10"/>
        <v/>
      </c>
      <c r="N71" s="374" t="str">
        <f t="shared" si="11"/>
        <v/>
      </c>
      <c r="O71" s="374" t="str">
        <f t="shared" si="12"/>
        <v/>
      </c>
      <c r="P71" s="374" t="str">
        <f t="shared" si="13"/>
        <v/>
      </c>
      <c r="S71" s="370"/>
      <c r="V71" t="str">
        <f t="shared" si="14"/>
        <v>\I:</v>
      </c>
      <c r="W71" t="str">
        <f ca="1" t="shared" si="15"/>
        <v>4-stroke MC &gt;750 cc motorcycle -- 00%</v>
      </c>
      <c r="X71" s="372" t="s">
        <v>85</v>
      </c>
      <c r="Y71" s="372" t="s">
        <v>86</v>
      </c>
    </row>
    <row r="72" ht="15" customHeight="1" spans="2:25">
      <c r="B72" s="385" t="s">
        <v>141</v>
      </c>
      <c r="C72" s="385" t="s">
        <v>132</v>
      </c>
      <c r="D72" s="385"/>
      <c r="E72" s="385"/>
      <c r="F72" s="385"/>
      <c r="J72" t="str">
        <f t="shared" si="1"/>
        <v>Trd_2w_gsl50</v>
      </c>
      <c r="K72" t="str">
        <f t="shared" si="9"/>
        <v>\I:</v>
      </c>
      <c r="L72" t="str">
        <f t="shared" si="3"/>
        <v>\I:</v>
      </c>
      <c r="M72" s="374" t="str">
        <f t="shared" si="10"/>
        <v/>
      </c>
      <c r="N72" s="374" t="str">
        <f t="shared" si="11"/>
        <v/>
      </c>
      <c r="O72" s="374" t="str">
        <f t="shared" si="12"/>
        <v/>
      </c>
      <c r="P72" s="374" t="str">
        <f t="shared" si="13"/>
        <v/>
      </c>
      <c r="S72" s="370"/>
      <c r="V72" t="str">
        <f t="shared" si="14"/>
        <v>\I:</v>
      </c>
      <c r="W72" t="str">
        <f ca="1" t="shared" si="15"/>
        <v>Moped -- Reduction of specific energy consumption relative to 2015 (%)</v>
      </c>
      <c r="X72" s="372" t="s">
        <v>85</v>
      </c>
      <c r="Y72" s="372" t="s">
        <v>86</v>
      </c>
    </row>
    <row r="73" spans="2:25">
      <c r="B73" s="385"/>
      <c r="C73" s="385"/>
      <c r="D73" s="385"/>
      <c r="E73" s="385"/>
      <c r="F73" s="385"/>
      <c r="J73" t="str">
        <f t="shared" si="1"/>
        <v>Trd_2w_gsl50</v>
      </c>
      <c r="K73" t="str">
        <f t="shared" si="9"/>
        <v>\I:</v>
      </c>
      <c r="L73" t="str">
        <f t="shared" si="3"/>
        <v>\I:</v>
      </c>
      <c r="M73" s="374" t="str">
        <f t="shared" si="10"/>
        <v/>
      </c>
      <c r="N73" s="374" t="str">
        <f t="shared" si="11"/>
        <v/>
      </c>
      <c r="O73" s="374" t="str">
        <f t="shared" si="12"/>
        <v/>
      </c>
      <c r="P73" s="374" t="str">
        <f t="shared" si="13"/>
        <v/>
      </c>
      <c r="S73" s="370"/>
      <c r="V73" t="str">
        <f t="shared" si="14"/>
        <v>\I:</v>
      </c>
      <c r="W73" t="str">
        <f ca="1" t="shared" si="15"/>
        <v>Moped -- 00%</v>
      </c>
      <c r="X73" s="372" t="s">
        <v>85</v>
      </c>
      <c r="Y73" s="372" t="s">
        <v>86</v>
      </c>
    </row>
    <row r="74" spans="2:25">
      <c r="B74" s="385"/>
      <c r="C74" s="385"/>
      <c r="D74" s="385"/>
      <c r="E74" s="385"/>
      <c r="F74" s="385"/>
      <c r="J74" t="str">
        <f t="shared" si="1"/>
        <v>Trd_2w_gsl50</v>
      </c>
      <c r="K74" t="str">
        <f t="shared" si="9"/>
        <v>\I:</v>
      </c>
      <c r="L74" t="str">
        <f t="shared" si="3"/>
        <v>\I:</v>
      </c>
      <c r="M74" s="374" t="str">
        <f t="shared" si="10"/>
        <v/>
      </c>
      <c r="N74" s="374" t="str">
        <f t="shared" si="11"/>
        <v/>
      </c>
      <c r="O74" s="374" t="str">
        <f t="shared" si="12"/>
        <v/>
      </c>
      <c r="P74" s="374" t="str">
        <f t="shared" si="13"/>
        <v/>
      </c>
      <c r="S74" s="370"/>
      <c r="V74" t="str">
        <f t="shared" si="14"/>
        <v>\I:</v>
      </c>
      <c r="W74" t="str">
        <f ca="1" t="shared" si="15"/>
        <v>Moped -- 00%</v>
      </c>
      <c r="X74" s="372" t="s">
        <v>85</v>
      </c>
      <c r="Y74" s="372" t="s">
        <v>86</v>
      </c>
    </row>
    <row r="75" spans="2:25">
      <c r="B75" s="50"/>
      <c r="C75" s="51">
        <v>2020</v>
      </c>
      <c r="D75" s="51">
        <v>2030</v>
      </c>
      <c r="E75" s="51">
        <v>2040</v>
      </c>
      <c r="F75" s="51">
        <v>2050</v>
      </c>
      <c r="J75" t="str">
        <f t="shared" si="1"/>
        <v>Trd_2w_gsl50</v>
      </c>
      <c r="K75" t="str">
        <f t="shared" si="9"/>
        <v>\I:</v>
      </c>
      <c r="L75" t="str">
        <f t="shared" si="3"/>
        <v>\I:</v>
      </c>
      <c r="M75" s="374" t="str">
        <f t="shared" si="10"/>
        <v/>
      </c>
      <c r="N75" s="374" t="str">
        <f t="shared" si="11"/>
        <v/>
      </c>
      <c r="O75" s="374" t="str">
        <f t="shared" si="12"/>
        <v/>
      </c>
      <c r="P75" s="374" t="str">
        <f t="shared" si="13"/>
        <v/>
      </c>
      <c r="S75" s="370"/>
      <c r="V75" t="str">
        <f t="shared" si="14"/>
        <v>\I:</v>
      </c>
      <c r="W75" t="str">
        <f ca="1" t="shared" si="15"/>
        <v>Moped -- 00%</v>
      </c>
      <c r="X75" s="372" t="s">
        <v>85</v>
      </c>
      <c r="Y75" s="372" t="s">
        <v>86</v>
      </c>
    </row>
    <row r="76" spans="2:25">
      <c r="B76" s="85">
        <v>0.0160765354439701</v>
      </c>
      <c r="C76" s="386">
        <v>1805.25285406622</v>
      </c>
      <c r="D76" s="86">
        <v>1805.25285406622</v>
      </c>
      <c r="E76" s="86">
        <v>1805.25285406622</v>
      </c>
      <c r="F76" s="86">
        <v>1805.25285406622</v>
      </c>
      <c r="I76" s="373">
        <f>$I$69/$I$7*(1+B76)</f>
        <v>1.12327647266291</v>
      </c>
      <c r="J76" t="str">
        <f t="shared" si="1"/>
        <v>Trd_2w_gsl50</v>
      </c>
      <c r="K76" s="147" t="str">
        <f>IFERROR(IF(VALUE(C76)&gt;202,J76&amp;"_"&amp;TEXT(B76*100,"00"),"\I:"),"\I:")</f>
        <v>Trd_2w_gsl50_02</v>
      </c>
      <c r="L76" t="str">
        <f t="shared" si="3"/>
        <v>Trd_2w</v>
      </c>
      <c r="M76" s="374">
        <f t="shared" si="10"/>
        <v>1805.25285406622</v>
      </c>
      <c r="N76" s="374">
        <f t="shared" si="11"/>
        <v>1805.25285406622</v>
      </c>
      <c r="O76" s="374">
        <f t="shared" si="12"/>
        <v>1805.25285406622</v>
      </c>
      <c r="P76" s="374">
        <f t="shared" si="13"/>
        <v>1805.25285406622</v>
      </c>
      <c r="S76" s="370"/>
      <c r="V76" t="str">
        <f t="shared" si="14"/>
        <v>Trd_2w_gsl50_02</v>
      </c>
      <c r="W76" t="str">
        <f ca="1" t="shared" si="15"/>
        <v>Moped -- 02%</v>
      </c>
      <c r="X76" s="372" t="s">
        <v>85</v>
      </c>
      <c r="Y76" s="372" t="s">
        <v>86</v>
      </c>
    </row>
    <row r="77" spans="2:25">
      <c r="B77" s="85">
        <v>0.0660765354439701</v>
      </c>
      <c r="C77" s="386">
        <v>1855.26242344421</v>
      </c>
      <c r="D77" s="86">
        <v>1855.26242344421</v>
      </c>
      <c r="E77" s="86">
        <v>1855.26242344421</v>
      </c>
      <c r="F77" s="86">
        <v>1855.26242344421</v>
      </c>
      <c r="I77" s="373">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74">
        <f t="shared" si="10"/>
        <v>1855.26242344421</v>
      </c>
      <c r="N77" s="374">
        <f t="shared" si="11"/>
        <v>1855.26242344421</v>
      </c>
      <c r="O77" s="374">
        <f t="shared" si="12"/>
        <v>1855.26242344421</v>
      </c>
      <c r="P77" s="374">
        <f t="shared" si="13"/>
        <v>1855.26242344421</v>
      </c>
      <c r="S77" s="370"/>
      <c r="V77" t="str">
        <f t="shared" si="14"/>
        <v>Trd_2w_gsl50_07</v>
      </c>
      <c r="W77" t="str">
        <f ca="1" t="shared" si="15"/>
        <v>Moped -- 07%</v>
      </c>
      <c r="X77" s="372" t="s">
        <v>85</v>
      </c>
      <c r="Y77" s="372" t="s">
        <v>86</v>
      </c>
    </row>
    <row r="78" spans="2:25">
      <c r="B78" s="85">
        <v>0.11607653544397</v>
      </c>
      <c r="C78" s="386">
        <v>1930.07157147807</v>
      </c>
      <c r="D78" s="86">
        <v>1905.2719928222</v>
      </c>
      <c r="E78" s="86">
        <v>1905.2719928222</v>
      </c>
      <c r="F78" s="86">
        <v>1905.2719928222</v>
      </c>
      <c r="I78" s="373">
        <f t="shared" si="18"/>
        <v>1.23382685282419</v>
      </c>
      <c r="J78" t="str">
        <f t="shared" si="19"/>
        <v>Trd_2w_gsl50</v>
      </c>
      <c r="K78" s="147" t="str">
        <f t="shared" si="20"/>
        <v>Trd_2w_gsl50_12</v>
      </c>
      <c r="L78" t="str">
        <f t="shared" si="21"/>
        <v>Trd_2w</v>
      </c>
      <c r="M78" s="374">
        <f t="shared" si="10"/>
        <v>1930.07157147807</v>
      </c>
      <c r="N78" s="374">
        <f t="shared" si="11"/>
        <v>1905.2719928222</v>
      </c>
      <c r="O78" s="374">
        <f t="shared" si="12"/>
        <v>1905.2719928222</v>
      </c>
      <c r="P78" s="374">
        <f t="shared" si="13"/>
        <v>1905.2719928222</v>
      </c>
      <c r="S78" s="370"/>
      <c r="V78" t="str">
        <f t="shared" si="14"/>
        <v>Trd_2w_gsl50_12</v>
      </c>
      <c r="W78" t="str">
        <f ca="1" t="shared" si="15"/>
        <v>Moped -- 12%</v>
      </c>
      <c r="X78" s="372" t="s">
        <v>85</v>
      </c>
      <c r="Y78" s="372" t="s">
        <v>86</v>
      </c>
    </row>
    <row r="79" spans="2:25">
      <c r="B79" s="85">
        <v>0.16607653544397</v>
      </c>
      <c r="C79" s="386">
        <v>1973.42862531562</v>
      </c>
      <c r="D79" s="86">
        <v>1955.28156220019</v>
      </c>
      <c r="E79" s="86">
        <v>1955.28156220019</v>
      </c>
      <c r="F79" s="86">
        <v>1955.28156220019</v>
      </c>
      <c r="I79" s="373">
        <f t="shared" si="18"/>
        <v>1.28910204290483</v>
      </c>
      <c r="J79" t="str">
        <f t="shared" si="19"/>
        <v>Trd_2w_gsl50</v>
      </c>
      <c r="K79" s="147" t="str">
        <f t="shared" si="20"/>
        <v>Trd_2w_gsl50_17</v>
      </c>
      <c r="L79" t="str">
        <f t="shared" si="21"/>
        <v>Trd_2w</v>
      </c>
      <c r="M79" s="374">
        <f t="shared" si="10"/>
        <v>1973.42862531562</v>
      </c>
      <c r="N79" s="374">
        <f t="shared" si="11"/>
        <v>1955.28156220019</v>
      </c>
      <c r="O79" s="374">
        <f t="shared" si="12"/>
        <v>1955.28156220019</v>
      </c>
      <c r="P79" s="374">
        <f t="shared" si="13"/>
        <v>1955.28156220019</v>
      </c>
      <c r="S79" s="370"/>
      <c r="V79" t="str">
        <f t="shared" si="14"/>
        <v>Trd_2w_gsl50_17</v>
      </c>
      <c r="W79" t="str">
        <f ca="1" t="shared" si="15"/>
        <v>Moped -- 17%</v>
      </c>
      <c r="X79" s="372" t="s">
        <v>85</v>
      </c>
      <c r="Y79" s="372" t="s">
        <v>86</v>
      </c>
    </row>
    <row r="80" spans="2:25">
      <c r="B80" s="85">
        <v>0.21607653544397</v>
      </c>
      <c r="C80" s="86">
        <v>2156.95281711207</v>
      </c>
      <c r="D80" s="86">
        <v>2005.29113157818</v>
      </c>
      <c r="E80" s="86">
        <v>2005.29113157818</v>
      </c>
      <c r="F80" s="86">
        <v>2005.29113157818</v>
      </c>
      <c r="I80" s="373">
        <f t="shared" si="18"/>
        <v>1.34437723298548</v>
      </c>
      <c r="J80" t="str">
        <f t="shared" si="19"/>
        <v>Trd_2w_gsl50</v>
      </c>
      <c r="K80" t="str">
        <f t="shared" si="9"/>
        <v>Trd_2w_gsl50_22</v>
      </c>
      <c r="L80" t="str">
        <f t="shared" si="21"/>
        <v>Trd_2w</v>
      </c>
      <c r="M80" s="374">
        <f t="shared" si="10"/>
        <v>2156.95281711207</v>
      </c>
      <c r="N80" s="374">
        <f t="shared" si="11"/>
        <v>2005.29113157818</v>
      </c>
      <c r="O80" s="374">
        <f t="shared" si="12"/>
        <v>2005.29113157818</v>
      </c>
      <c r="P80" s="374">
        <f t="shared" si="13"/>
        <v>2005.29113157818</v>
      </c>
      <c r="S80" s="370"/>
      <c r="V80" t="str">
        <f t="shared" si="14"/>
        <v>Trd_2w_gsl50_22</v>
      </c>
      <c r="W80" t="str">
        <f ca="1" t="shared" si="15"/>
        <v>Moped -- 22%</v>
      </c>
      <c r="X80" s="372" t="s">
        <v>85</v>
      </c>
      <c r="Y80" s="372" t="s">
        <v>86</v>
      </c>
    </row>
    <row r="81" spans="2:25">
      <c r="B81" s="85">
        <v>0.26607653544397</v>
      </c>
      <c r="C81" s="86">
        <v>2219.97570250033</v>
      </c>
      <c r="D81" s="86">
        <v>2055.30070095617</v>
      </c>
      <c r="E81" s="86">
        <v>2055.30070095617</v>
      </c>
      <c r="F81" s="86">
        <v>2055.30070095617</v>
      </c>
      <c r="I81" s="373">
        <f t="shared" si="18"/>
        <v>1.39965242306612</v>
      </c>
      <c r="J81" t="str">
        <f t="shared" si="19"/>
        <v>Trd_2w_gsl50</v>
      </c>
      <c r="K81" t="str">
        <f t="shared" si="9"/>
        <v>Trd_2w_gsl50_27</v>
      </c>
      <c r="L81" t="str">
        <f t="shared" si="21"/>
        <v>Trd_2w</v>
      </c>
      <c r="M81" s="374">
        <f t="shared" si="10"/>
        <v>2219.97570250033</v>
      </c>
      <c r="N81" s="374">
        <f t="shared" si="11"/>
        <v>2055.30070095617</v>
      </c>
      <c r="O81" s="374">
        <f t="shared" si="12"/>
        <v>2055.30070095617</v>
      </c>
      <c r="P81" s="374">
        <f t="shared" si="13"/>
        <v>2055.30070095617</v>
      </c>
      <c r="S81" s="370"/>
      <c r="V81" t="str">
        <f t="shared" si="14"/>
        <v>Trd_2w_gsl50_27</v>
      </c>
      <c r="W81" t="str">
        <f ca="1" t="shared" si="15"/>
        <v>Moped -- 27%</v>
      </c>
      <c r="X81" s="372" t="s">
        <v>85</v>
      </c>
      <c r="Y81" s="372" t="s">
        <v>86</v>
      </c>
    </row>
    <row r="82" spans="2:25">
      <c r="B82" s="85">
        <v>0.31607653544397</v>
      </c>
      <c r="C82" s="86">
        <v>2702.03615725509</v>
      </c>
      <c r="D82" s="86">
        <v>2108.19123307624</v>
      </c>
      <c r="E82" s="86">
        <v>2105.31027033416</v>
      </c>
      <c r="F82" s="86">
        <v>2105.31027033416</v>
      </c>
      <c r="I82" s="373">
        <f t="shared" si="18"/>
        <v>1.45492761314676</v>
      </c>
      <c r="J82" t="str">
        <f t="shared" si="19"/>
        <v>Trd_2w_gsl50</v>
      </c>
      <c r="K82" t="str">
        <f t="shared" si="9"/>
        <v>Trd_2w_gsl50_32</v>
      </c>
      <c r="L82" t="str">
        <f t="shared" si="21"/>
        <v>Trd_2w</v>
      </c>
      <c r="M82" s="374">
        <f t="shared" si="10"/>
        <v>2702.03615725509</v>
      </c>
      <c r="N82" s="374">
        <f t="shared" si="11"/>
        <v>2108.19123307624</v>
      </c>
      <c r="O82" s="374">
        <f t="shared" si="12"/>
        <v>2105.31027033416</v>
      </c>
      <c r="P82" s="374">
        <f t="shared" si="13"/>
        <v>2105.31027033416</v>
      </c>
      <c r="S82" s="370"/>
      <c r="V82" t="str">
        <f t="shared" si="14"/>
        <v>Trd_2w_gsl50_32</v>
      </c>
      <c r="W82" t="str">
        <f ca="1" t="shared" si="15"/>
        <v>Moped -- 32%</v>
      </c>
      <c r="X82" s="372" t="s">
        <v>85</v>
      </c>
      <c r="Y82" s="372" t="s">
        <v>86</v>
      </c>
    </row>
    <row r="83" spans="2:25">
      <c r="B83" s="85">
        <v>0.36607653544397</v>
      </c>
      <c r="C83" s="86">
        <v>3948.33856366138</v>
      </c>
      <c r="D83" s="86">
        <v>2302.49977920015</v>
      </c>
      <c r="E83" s="86">
        <v>2155.31983971215</v>
      </c>
      <c r="F83" s="86">
        <v>2155.31983971215</v>
      </c>
      <c r="I83" s="373">
        <f t="shared" si="18"/>
        <v>1.5102028032274</v>
      </c>
      <c r="J83" t="str">
        <f t="shared" si="19"/>
        <v>Trd_2w_gsl50</v>
      </c>
      <c r="K83" t="str">
        <f t="shared" si="9"/>
        <v>Trd_2w_gsl50_37</v>
      </c>
      <c r="L83" t="str">
        <f t="shared" si="21"/>
        <v>Trd_2w</v>
      </c>
      <c r="M83" s="374">
        <f t="shared" si="10"/>
        <v>3948.33856366138</v>
      </c>
      <c r="N83" s="374">
        <f t="shared" si="11"/>
        <v>2302.49977920015</v>
      </c>
      <c r="O83" s="374">
        <f t="shared" si="12"/>
        <v>2155.31983971215</v>
      </c>
      <c r="P83" s="374">
        <f t="shared" si="13"/>
        <v>2155.31983971215</v>
      </c>
      <c r="S83" s="370"/>
      <c r="V83" t="str">
        <f t="shared" si="14"/>
        <v>Trd_2w_gsl50_37</v>
      </c>
      <c r="W83" t="str">
        <f ca="1" t="shared" si="15"/>
        <v>Moped -- 37%</v>
      </c>
      <c r="X83" s="372" t="s">
        <v>85</v>
      </c>
      <c r="Y83" s="372" t="s">
        <v>86</v>
      </c>
    </row>
    <row r="84" spans="2:25">
      <c r="J84" t="str">
        <f t="shared" si="19"/>
        <v>Trd_2w_gsl50</v>
      </c>
      <c r="K84" t="str">
        <f t="shared" ref="K84:K93" si="22">IFERROR(IF(VALUE(C84)&gt;2020,J84&amp;"_"&amp;TEXT(B84*100,"00"),"\I:"),"\I:")</f>
        <v>\I:</v>
      </c>
      <c r="L84" t="str">
        <f t="shared" si="21"/>
        <v>\I:</v>
      </c>
      <c r="M84" s="374" t="str">
        <f t="shared" ref="M84:M147" si="23">IF($K84="\I:","",C84)</f>
        <v/>
      </c>
      <c r="N84" s="374" t="str">
        <f t="shared" ref="N84:N147" si="24">IF($K84="\I:","",D84)</f>
        <v/>
      </c>
      <c r="O84" s="374" t="str">
        <f t="shared" ref="O84:O147" si="25">IF($K84="\I:","",E84)</f>
        <v/>
      </c>
      <c r="P84" s="374" t="str">
        <f t="shared" ref="P84:P147" si="26">IF($K84="\I:","",F84)</f>
        <v/>
      </c>
      <c r="S84" s="370"/>
      <c r="V84" t="str">
        <f t="shared" si="14"/>
        <v>\I:</v>
      </c>
      <c r="W84" t="str">
        <f ca="1" t="shared" si="15"/>
        <v>Moped -- 00%</v>
      </c>
      <c r="X84" s="372" t="s">
        <v>85</v>
      </c>
      <c r="Y84" s="372" t="s">
        <v>86</v>
      </c>
    </row>
    <row r="85" spans="2:25">
      <c r="J85" t="str">
        <f t="shared" si="19"/>
        <v>Trd_2w_gsl50</v>
      </c>
      <c r="K85" t="str">
        <f t="shared" si="22"/>
        <v>\I:</v>
      </c>
      <c r="L85" t="str">
        <f t="shared" si="21"/>
        <v>\I:</v>
      </c>
      <c r="M85" s="374" t="str">
        <f t="shared" si="23"/>
        <v/>
      </c>
      <c r="N85" s="374" t="str">
        <f t="shared" si="24"/>
        <v/>
      </c>
      <c r="O85" s="374" t="str">
        <f t="shared" si="25"/>
        <v/>
      </c>
      <c r="P85" s="374" t="str">
        <f t="shared" si="26"/>
        <v/>
      </c>
      <c r="S85" s="370"/>
      <c r="V85" t="str">
        <f t="shared" si="14"/>
        <v>\I:</v>
      </c>
      <c r="W85" t="str">
        <f ca="1" t="shared" si="15"/>
        <v>Moped -- 00%</v>
      </c>
      <c r="X85" s="372" t="s">
        <v>85</v>
      </c>
      <c r="Y85" s="372" t="s">
        <v>86</v>
      </c>
    </row>
    <row r="86" spans="2:25">
      <c r="J86" t="str">
        <f t="shared" si="19"/>
        <v>Trd_2w_gsl50</v>
      </c>
      <c r="K86" t="str">
        <f t="shared" si="22"/>
        <v>\I:</v>
      </c>
      <c r="L86" t="str">
        <f t="shared" si="21"/>
        <v>\I:</v>
      </c>
      <c r="M86" s="374" t="str">
        <f t="shared" si="23"/>
        <v/>
      </c>
      <c r="N86" s="374" t="str">
        <f t="shared" si="24"/>
        <v/>
      </c>
      <c r="O86" s="374" t="str">
        <f t="shared" si="25"/>
        <v/>
      </c>
      <c r="P86" s="374" t="str">
        <f t="shared" si="26"/>
        <v/>
      </c>
      <c r="S86" s="370"/>
      <c r="V86" t="str">
        <f t="shared" si="14"/>
        <v>\I:</v>
      </c>
      <c r="W86" t="str">
        <f ca="1" t="shared" si="15"/>
        <v>Moped -- 00%</v>
      </c>
      <c r="X86" s="372" t="s">
        <v>85</v>
      </c>
      <c r="Y86" s="372" t="s">
        <v>86</v>
      </c>
    </row>
    <row r="87" spans="2:25">
      <c r="B87" s="365">
        <v>2020</v>
      </c>
      <c r="C87" s="365"/>
      <c r="D87" s="365"/>
      <c r="J87" t="str">
        <f t="shared" si="19"/>
        <v>Trd_2w_gsl50</v>
      </c>
      <c r="K87" t="str">
        <f t="shared" si="22"/>
        <v>\I:</v>
      </c>
      <c r="L87" t="str">
        <f t="shared" si="21"/>
        <v>\I:</v>
      </c>
      <c r="M87" s="374" t="str">
        <f t="shared" si="23"/>
        <v/>
      </c>
      <c r="N87" s="374" t="str">
        <f t="shared" si="24"/>
        <v/>
      </c>
      <c r="O87" s="374" t="str">
        <f t="shared" si="25"/>
        <v/>
      </c>
      <c r="P87" s="374" t="str">
        <f t="shared" si="26"/>
        <v/>
      </c>
      <c r="S87" s="370"/>
      <c r="V87" t="str">
        <f t="shared" si="14"/>
        <v>\I:</v>
      </c>
      <c r="W87" t="str">
        <f ca="1" t="shared" si="15"/>
        <v>Moped -- 202000%</v>
      </c>
      <c r="X87" s="372" t="s">
        <v>85</v>
      </c>
      <c r="Y87" s="372" t="s">
        <v>86</v>
      </c>
    </row>
    <row r="88" spans="2:25">
      <c r="B88" s="46" t="s">
        <v>145</v>
      </c>
      <c r="C88" s="47" t="s">
        <v>26</v>
      </c>
      <c r="D88" s="74">
        <v>0.049</v>
      </c>
      <c r="G88" s="75">
        <f>D88/3.6/100*10^9/10^6</f>
        <v>0.136111111111111</v>
      </c>
      <c r="H88" s="75"/>
      <c r="I88" s="366">
        <f>1/G88</f>
        <v>7.3469387755102</v>
      </c>
      <c r="J88" t="str">
        <f t="shared" si="19"/>
        <v>Trd_2w_gsl50</v>
      </c>
      <c r="K88" t="str">
        <f t="shared" si="22"/>
        <v>\I:</v>
      </c>
      <c r="L88" t="str">
        <f t="shared" si="21"/>
        <v>\I:</v>
      </c>
      <c r="M88" s="374" t="str">
        <f t="shared" si="23"/>
        <v/>
      </c>
      <c r="N88" s="374" t="str">
        <f t="shared" si="24"/>
        <v/>
      </c>
      <c r="O88" s="374" t="str">
        <f t="shared" si="25"/>
        <v/>
      </c>
      <c r="P88" s="374" t="str">
        <f t="shared" si="26"/>
        <v/>
      </c>
      <c r="S88" s="370"/>
      <c r="V88" t="str">
        <f t="shared" ref="V88:V151" si="27">K88</f>
        <v>\I:</v>
      </c>
      <c r="W88" t="str">
        <f ca="1" t="shared" ref="W88:W151" si="28">OFFSET($S$1,MATCH(J88,$S$1:$S$11,0)-1,-1)&amp;" -- "&amp;TEXT(B88,"00%")</f>
        <v>Moped -- Energy consumption of Battery electric motorcycle (equivalent to 50-250 cc motorcycle)</v>
      </c>
      <c r="X88" s="372" t="s">
        <v>85</v>
      </c>
      <c r="Y88" s="372" t="s">
        <v>86</v>
      </c>
    </row>
    <row r="89" spans="2:25">
      <c r="I89" s="377" t="s">
        <v>70</v>
      </c>
      <c r="J89" t="str">
        <f t="shared" si="19"/>
        <v>Trd_2w_gsl50</v>
      </c>
      <c r="K89" t="str">
        <f t="shared" si="22"/>
        <v>\I:</v>
      </c>
      <c r="L89" t="str">
        <f t="shared" si="21"/>
        <v>\I:</v>
      </c>
      <c r="M89" s="374" t="str">
        <f t="shared" si="23"/>
        <v/>
      </c>
      <c r="N89" s="374" t="str">
        <f t="shared" si="24"/>
        <v/>
      </c>
      <c r="O89" s="374" t="str">
        <f t="shared" si="25"/>
        <v/>
      </c>
      <c r="P89" s="374" t="str">
        <f t="shared" si="26"/>
        <v/>
      </c>
      <c r="S89" s="370"/>
      <c r="V89" t="str">
        <f t="shared" si="27"/>
        <v>\I:</v>
      </c>
      <c r="W89" t="str">
        <f ca="1" t="shared" si="28"/>
        <v>Moped -- 00%</v>
      </c>
      <c r="X89" s="372" t="s">
        <v>85</v>
      </c>
      <c r="Y89" s="372" t="s">
        <v>86</v>
      </c>
    </row>
    <row r="90" ht="15" customHeight="1" spans="2:25">
      <c r="B90" s="385" t="s">
        <v>27</v>
      </c>
      <c r="C90" s="385" t="s">
        <v>135</v>
      </c>
      <c r="D90" s="385"/>
      <c r="E90" s="385"/>
      <c r="F90" s="385"/>
      <c r="J90" t="str">
        <f t="shared" si="19"/>
        <v>Trd_2w_elc150</v>
      </c>
      <c r="K90" t="str">
        <f t="shared" si="22"/>
        <v>\I:</v>
      </c>
      <c r="L90" t="str">
        <f t="shared" si="21"/>
        <v>\I:</v>
      </c>
      <c r="M90" s="374" t="str">
        <f t="shared" si="23"/>
        <v/>
      </c>
      <c r="N90" s="374" t="str">
        <f t="shared" si="24"/>
        <v/>
      </c>
      <c r="O90" s="374" t="str">
        <f t="shared" si="25"/>
        <v/>
      </c>
      <c r="P90" s="374" t="str">
        <f t="shared" si="26"/>
        <v/>
      </c>
      <c r="S90" s="370"/>
      <c r="V90" t="str">
        <f t="shared" si="27"/>
        <v>\I:</v>
      </c>
      <c r="W90" t="str">
        <f ca="1" t="shared" si="28"/>
        <v>Battery electric motorcycle (equivalent to 50-250 cc motorcycle) -- Electric range (km)</v>
      </c>
      <c r="X90" s="372" t="s">
        <v>85</v>
      </c>
      <c r="Y90" s="372" t="s">
        <v>86</v>
      </c>
    </row>
    <row r="91" spans="2:25">
      <c r="B91" s="385"/>
      <c r="C91" s="385"/>
      <c r="D91" s="385"/>
      <c r="E91" s="385"/>
      <c r="F91" s="385"/>
      <c r="J91" t="str">
        <f t="shared" si="19"/>
        <v>Trd_2w_elc150</v>
      </c>
      <c r="K91" t="str">
        <f t="shared" si="22"/>
        <v>\I:</v>
      </c>
      <c r="L91" t="str">
        <f t="shared" si="21"/>
        <v>\I:</v>
      </c>
      <c r="M91" s="374" t="str">
        <f t="shared" si="23"/>
        <v/>
      </c>
      <c r="N91" s="374" t="str">
        <f t="shared" si="24"/>
        <v/>
      </c>
      <c r="O91" s="374" t="str">
        <f t="shared" si="25"/>
        <v/>
      </c>
      <c r="P91" s="374" t="str">
        <f t="shared" si="26"/>
        <v/>
      </c>
      <c r="S91" s="370"/>
      <c r="V91" t="str">
        <f t="shared" si="27"/>
        <v>\I:</v>
      </c>
      <c r="W91" t="str">
        <f ca="1" t="shared" si="28"/>
        <v>Battery electric motorcycle (equivalent to 50-250 cc motorcycle) -- 00%</v>
      </c>
      <c r="X91" s="372" t="s">
        <v>85</v>
      </c>
      <c r="Y91" s="372" t="s">
        <v>86</v>
      </c>
    </row>
    <row r="92" spans="2:25">
      <c r="B92" s="385"/>
      <c r="C92" s="385"/>
      <c r="D92" s="385"/>
      <c r="E92" s="385"/>
      <c r="F92" s="385"/>
      <c r="J92" t="str">
        <f t="shared" si="19"/>
        <v>Trd_2w_elc150</v>
      </c>
      <c r="K92" t="str">
        <f t="shared" si="22"/>
        <v>\I:</v>
      </c>
      <c r="L92" t="str">
        <f t="shared" si="21"/>
        <v>\I:</v>
      </c>
      <c r="M92" s="374" t="str">
        <f t="shared" si="23"/>
        <v/>
      </c>
      <c r="N92" s="374" t="str">
        <f t="shared" si="24"/>
        <v/>
      </c>
      <c r="O92" s="374" t="str">
        <f t="shared" si="25"/>
        <v/>
      </c>
      <c r="P92" s="374" t="str">
        <f t="shared" si="26"/>
        <v/>
      </c>
      <c r="S92" s="370"/>
      <c r="V92" t="str">
        <f t="shared" si="27"/>
        <v>\I:</v>
      </c>
      <c r="W92" t="str">
        <f ca="1" t="shared" si="28"/>
        <v>Battery electric motorcycle (equivalent to 50-250 cc motorcycle) -- 00%</v>
      </c>
      <c r="X92" s="372" t="s">
        <v>85</v>
      </c>
      <c r="Y92" s="372" t="s">
        <v>86</v>
      </c>
    </row>
    <row r="93" spans="2:25">
      <c r="B93" s="50"/>
      <c r="C93" s="51">
        <v>2020</v>
      </c>
      <c r="D93" s="51">
        <v>2030</v>
      </c>
      <c r="E93" s="51">
        <v>2040</v>
      </c>
      <c r="F93" s="51">
        <v>2050</v>
      </c>
      <c r="J93" t="str">
        <f t="shared" si="19"/>
        <v>Trd_2w_elc150</v>
      </c>
      <c r="K93" t="str">
        <f t="shared" si="22"/>
        <v>\I:</v>
      </c>
      <c r="L93" t="str">
        <f t="shared" si="21"/>
        <v>\I:</v>
      </c>
      <c r="M93" s="374" t="str">
        <f t="shared" si="23"/>
        <v/>
      </c>
      <c r="N93" s="374" t="str">
        <f t="shared" si="24"/>
        <v/>
      </c>
      <c r="O93" s="374" t="str">
        <f t="shared" si="25"/>
        <v/>
      </c>
      <c r="P93" s="374" t="str">
        <f t="shared" si="26"/>
        <v/>
      </c>
      <c r="S93" s="370"/>
      <c r="V93" t="str">
        <f t="shared" si="27"/>
        <v>\I:</v>
      </c>
      <c r="W93" t="str">
        <f ca="1" t="shared" si="28"/>
        <v>Battery electric motorcycle (equivalent to 50-250 cc motorcycle) -- 00%</v>
      </c>
      <c r="X93" s="372" t="s">
        <v>85</v>
      </c>
      <c r="Y93" s="372" t="s">
        <v>86</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79">
        <f>IF($K94="\I:","",C94*80%)</f>
        <v>4014.7718090792</v>
      </c>
      <c r="N94" s="380">
        <f t="shared" ref="N94:N101" si="29">M94*93%</f>
        <v>3733.73778244366</v>
      </c>
      <c r="O94" s="380">
        <f t="shared" ref="O94:O101" si="30">N94*95%</f>
        <v>3547.05089332147</v>
      </c>
      <c r="P94" s="380">
        <f t="shared" ref="P94:P101" si="31">O94*95%</f>
        <v>3369.6983486554</v>
      </c>
      <c r="S94" s="381">
        <v>0.05</v>
      </c>
      <c r="V94" t="str">
        <f t="shared" si="27"/>
        <v>Trd_2w_elc150_120</v>
      </c>
      <c r="W94" t="str">
        <f ca="1" t="shared" si="28"/>
        <v>Battery electric motorcycle (equivalent to 50-250 cc motorcycle) -- 12000%</v>
      </c>
      <c r="X94" s="372" t="s">
        <v>85</v>
      </c>
      <c r="Y94" s="372" t="s">
        <v>86</v>
      </c>
    </row>
    <row r="95" spans="2:25">
      <c r="B95" s="66">
        <v>131.428571428571</v>
      </c>
      <c r="C95" s="86">
        <v>5255.17880196333</v>
      </c>
      <c r="D95" s="86">
        <v>4065.26484849646</v>
      </c>
      <c r="E95" s="86">
        <v>3458.03601447322</v>
      </c>
      <c r="F95" s="86">
        <v>3281.25092110542</v>
      </c>
      <c r="I95" s="75">
        <f t="shared" ref="I95:I101" si="32">$I$88</f>
        <v>7.3469387755102</v>
      </c>
      <c r="J95" t="str">
        <f t="shared" si="19"/>
        <v>Trd_2w_elc150</v>
      </c>
      <c r="K95" t="str">
        <f t="shared" ref="K95:K155" si="33">IFERROR(IF(VALUE(C95)&gt;2020,J95&amp;"_"&amp;TEXT(B95,"00"),"\I:"),"\I:")</f>
        <v>Trd_2w_elc150_131</v>
      </c>
      <c r="L95" t="str">
        <f t="shared" si="21"/>
        <v>Trd_2w</v>
      </c>
      <c r="M95" s="379">
        <f t="shared" ref="M95:M101" si="34">IF($K95="\I:","",C95*80%)</f>
        <v>4204.14304157066</v>
      </c>
      <c r="N95" s="380">
        <f t="shared" si="29"/>
        <v>3909.85302866071</v>
      </c>
      <c r="O95" s="380">
        <f t="shared" si="30"/>
        <v>3714.36037722768</v>
      </c>
      <c r="P95" s="380">
        <f t="shared" si="31"/>
        <v>3528.64235836629</v>
      </c>
      <c r="S95" s="381">
        <v>0.075</v>
      </c>
      <c r="V95" t="str">
        <f t="shared" si="27"/>
        <v>Trd_2w_elc150_131</v>
      </c>
      <c r="W95" t="str">
        <f ca="1" t="shared" si="28"/>
        <v>Battery electric motorcycle (equivalent to 50-250 cc motorcycle) -- 13143%</v>
      </c>
      <c r="X95" s="372" t="s">
        <v>85</v>
      </c>
      <c r="Y95" s="372" t="s">
        <v>86</v>
      </c>
    </row>
    <row r="96" spans="2:25">
      <c r="B96" s="66">
        <v>142.857142857143</v>
      </c>
      <c r="C96" s="86">
        <v>5368.6042797577</v>
      </c>
      <c r="D96" s="86">
        <v>4129.11057822971</v>
      </c>
      <c r="E96" s="86">
        <v>3496.58054278884</v>
      </c>
      <c r="F96" s="86">
        <v>3312.42940386404</v>
      </c>
      <c r="I96" s="75">
        <f t="shared" si="32"/>
        <v>7.3469387755102</v>
      </c>
      <c r="J96" t="str">
        <f t="shared" si="19"/>
        <v>Trd_2w_elc150</v>
      </c>
      <c r="K96" t="str">
        <f t="shared" si="33"/>
        <v>Trd_2w_elc150_143</v>
      </c>
      <c r="L96" t="str">
        <f t="shared" si="21"/>
        <v>Trd_2w</v>
      </c>
      <c r="M96" s="379">
        <f t="shared" si="34"/>
        <v>4294.88342380616</v>
      </c>
      <c r="N96" s="380">
        <f t="shared" si="29"/>
        <v>3994.24158413973</v>
      </c>
      <c r="O96" s="380">
        <f t="shared" si="30"/>
        <v>3794.52950493274</v>
      </c>
      <c r="P96" s="380">
        <f t="shared" si="31"/>
        <v>3604.80302968611</v>
      </c>
      <c r="S96" s="381">
        <v>0.1</v>
      </c>
      <c r="V96" t="str">
        <f t="shared" si="27"/>
        <v>Trd_2w_elc150_143</v>
      </c>
      <c r="W96" t="str">
        <f ca="1" t="shared" si="28"/>
        <v>Battery electric motorcycle (equivalent to 50-250 cc motorcycle) -- 14286%</v>
      </c>
      <c r="X96" s="372" t="s">
        <v>85</v>
      </c>
      <c r="Y96" s="372" t="s">
        <v>86</v>
      </c>
    </row>
    <row r="97" spans="2:25">
      <c r="B97" s="66">
        <v>154.285714285714</v>
      </c>
      <c r="C97" s="86">
        <v>5409.04292836265</v>
      </c>
      <c r="D97" s="86">
        <v>4151.87296883025</v>
      </c>
      <c r="E97" s="86">
        <v>3510.32250505788</v>
      </c>
      <c r="F97" s="86">
        <v>3323.54521076059</v>
      </c>
      <c r="I97" s="75">
        <f t="shared" si="32"/>
        <v>7.3469387755102</v>
      </c>
      <c r="J97" t="str">
        <f t="shared" si="19"/>
        <v>Trd_2w_elc150</v>
      </c>
      <c r="K97" t="str">
        <f t="shared" si="33"/>
        <v>Trd_2w_elc150_154</v>
      </c>
      <c r="L97" t="str">
        <f t="shared" si="21"/>
        <v>Trd_2w</v>
      </c>
      <c r="M97" s="379">
        <f t="shared" si="34"/>
        <v>4327.23434269012</v>
      </c>
      <c r="N97" s="380">
        <f t="shared" si="29"/>
        <v>4024.32793870181</v>
      </c>
      <c r="O97" s="380">
        <f t="shared" si="30"/>
        <v>3823.11154176672</v>
      </c>
      <c r="P97" s="380">
        <f t="shared" si="31"/>
        <v>3631.95596467838</v>
      </c>
      <c r="S97" s="381">
        <v>0.125</v>
      </c>
      <c r="V97" t="str">
        <f t="shared" si="27"/>
        <v>Trd_2w_elc150_154</v>
      </c>
      <c r="W97" t="str">
        <f ca="1" t="shared" si="28"/>
        <v>Battery electric motorcycle (equivalent to 50-250 cc motorcycle) -- 15429%</v>
      </c>
      <c r="X97" s="372" t="s">
        <v>85</v>
      </c>
      <c r="Y97" s="372" t="s">
        <v>86</v>
      </c>
    </row>
    <row r="98" spans="2:25">
      <c r="B98" s="66">
        <v>165.714285714286</v>
      </c>
      <c r="C98" s="86">
        <v>5536.27672519285</v>
      </c>
      <c r="D98" s="86">
        <v>4223.4912221832</v>
      </c>
      <c r="E98" s="86">
        <v>3553.55941073366</v>
      </c>
      <c r="F98" s="86">
        <v>3358.51933489852</v>
      </c>
      <c r="I98" s="75">
        <f t="shared" si="32"/>
        <v>7.3469387755102</v>
      </c>
      <c r="J98" t="str">
        <f t="shared" si="19"/>
        <v>Trd_2w_elc150</v>
      </c>
      <c r="K98" t="str">
        <f t="shared" si="33"/>
        <v>Trd_2w_elc150_166</v>
      </c>
      <c r="L98" t="str">
        <f t="shared" si="21"/>
        <v>Trd_2w</v>
      </c>
      <c r="M98" s="379">
        <f t="shared" si="34"/>
        <v>4429.02138015428</v>
      </c>
      <c r="N98" s="380">
        <f t="shared" si="29"/>
        <v>4118.98988354348</v>
      </c>
      <c r="O98" s="380">
        <f t="shared" si="30"/>
        <v>3913.04038936631</v>
      </c>
      <c r="P98" s="380">
        <f t="shared" si="31"/>
        <v>3717.38836989799</v>
      </c>
      <c r="S98" s="381">
        <v>0.15</v>
      </c>
      <c r="V98" t="str">
        <f t="shared" si="27"/>
        <v>Trd_2w_elc150_166</v>
      </c>
      <c r="W98" t="str">
        <f ca="1" t="shared" si="28"/>
        <v>Battery electric motorcycle (equivalent to 50-250 cc motorcycle) -- 16571%</v>
      </c>
      <c r="X98" s="372" t="s">
        <v>85</v>
      </c>
      <c r="Y98" s="372" t="s">
        <v>86</v>
      </c>
    </row>
    <row r="99" spans="2:25">
      <c r="B99" s="66">
        <v>177.142857142857</v>
      </c>
      <c r="C99" s="86">
        <v>5651.67481999234</v>
      </c>
      <c r="D99" s="86">
        <v>4288.44731243355</v>
      </c>
      <c r="E99" s="86">
        <v>3592.77427867215</v>
      </c>
      <c r="F99" s="86">
        <v>3390.2400521399</v>
      </c>
      <c r="I99" s="75">
        <f t="shared" si="32"/>
        <v>7.3469387755102</v>
      </c>
      <c r="J99" t="str">
        <f t="shared" si="19"/>
        <v>Trd_2w_elc150</v>
      </c>
      <c r="K99" t="str">
        <f t="shared" si="33"/>
        <v>Trd_2w_elc150_177</v>
      </c>
      <c r="L99" t="str">
        <f t="shared" si="21"/>
        <v>Trd_2w</v>
      </c>
      <c r="M99" s="379">
        <f t="shared" si="34"/>
        <v>4521.33985599387</v>
      </c>
      <c r="N99" s="380">
        <f t="shared" si="29"/>
        <v>4204.8460660743</v>
      </c>
      <c r="O99" s="380">
        <f t="shared" si="30"/>
        <v>3994.60376277058</v>
      </c>
      <c r="P99" s="380">
        <f t="shared" si="31"/>
        <v>3794.87357463205</v>
      </c>
      <c r="S99" s="381">
        <v>0.175</v>
      </c>
      <c r="V99" t="str">
        <f t="shared" si="27"/>
        <v>Trd_2w_elc150_177</v>
      </c>
      <c r="W99" t="str">
        <f ca="1" t="shared" si="28"/>
        <v>Battery electric motorcycle (equivalent to 50-250 cc motorcycle) -- 17714%</v>
      </c>
      <c r="X99" s="372" t="s">
        <v>85</v>
      </c>
      <c r="Y99" s="372" t="s">
        <v>86</v>
      </c>
    </row>
    <row r="100" spans="2:25">
      <c r="B100" s="66">
        <v>188.571428571428</v>
      </c>
      <c r="C100" s="86">
        <v>5820.33357393005</v>
      </c>
      <c r="D100" s="86">
        <v>4383.38313664559</v>
      </c>
      <c r="E100" s="86">
        <v>3650.08831642841</v>
      </c>
      <c r="F100" s="86">
        <v>3436.60110041577</v>
      </c>
      <c r="I100" s="75">
        <f t="shared" si="32"/>
        <v>7.3469387755102</v>
      </c>
      <c r="J100" t="str">
        <f t="shared" si="19"/>
        <v>Trd_2w_elc150</v>
      </c>
      <c r="K100" t="str">
        <f t="shared" si="33"/>
        <v>Trd_2w_elc150_189</v>
      </c>
      <c r="L100" t="str">
        <f t="shared" si="21"/>
        <v>Trd_2w</v>
      </c>
      <c r="M100" s="379">
        <f t="shared" si="34"/>
        <v>4656.26685914404</v>
      </c>
      <c r="N100" s="380">
        <f t="shared" si="29"/>
        <v>4330.32817900396</v>
      </c>
      <c r="O100" s="380">
        <f t="shared" si="30"/>
        <v>4113.81177005376</v>
      </c>
      <c r="P100" s="380">
        <f t="shared" si="31"/>
        <v>3908.12118155107</v>
      </c>
      <c r="S100" s="381">
        <v>0.2</v>
      </c>
      <c r="V100" t="str">
        <f t="shared" si="27"/>
        <v>Trd_2w_elc150_189</v>
      </c>
      <c r="W100" t="str">
        <f ca="1" t="shared" si="28"/>
        <v>Battery electric motorcycle (equivalent to 50-250 cc motorcycle) -- 18857%</v>
      </c>
      <c r="X100" s="372" t="s">
        <v>85</v>
      </c>
      <c r="Y100" s="372" t="s">
        <v>86</v>
      </c>
    </row>
    <row r="101" spans="2:25">
      <c r="B101" s="66">
        <v>200</v>
      </c>
      <c r="C101" s="86">
        <v>5985.04709385752</v>
      </c>
      <c r="D101" s="86">
        <v>4476.09823982344</v>
      </c>
      <c r="E101" s="86">
        <v>3706.06167493891</v>
      </c>
      <c r="F101" s="86">
        <v>3481.87767972611</v>
      </c>
      <c r="I101" s="75">
        <f t="shared" si="32"/>
        <v>7.3469387755102</v>
      </c>
      <c r="J101" t="str">
        <f t="shared" si="19"/>
        <v>Trd_2w_elc150</v>
      </c>
      <c r="K101" t="str">
        <f t="shared" si="33"/>
        <v>Trd_2w_elc150_200</v>
      </c>
      <c r="L101" t="str">
        <f t="shared" si="21"/>
        <v>Trd_2w</v>
      </c>
      <c r="M101" s="379">
        <f t="shared" si="34"/>
        <v>4788.03767508602</v>
      </c>
      <c r="N101" s="380">
        <f t="shared" si="29"/>
        <v>4452.87503783</v>
      </c>
      <c r="O101" s="380">
        <f t="shared" si="30"/>
        <v>4230.2312859385</v>
      </c>
      <c r="P101" s="380">
        <f t="shared" si="31"/>
        <v>4018.71972164157</v>
      </c>
      <c r="S101" s="370"/>
      <c r="V101" t="str">
        <f t="shared" si="27"/>
        <v>Trd_2w_elc150_200</v>
      </c>
      <c r="W101" t="str">
        <f ca="1" t="shared" si="28"/>
        <v>Battery electric motorcycle (equivalent to 50-250 cc motorcycle) -- 20000%</v>
      </c>
      <c r="X101" s="372" t="s">
        <v>85</v>
      </c>
      <c r="Y101" s="372" t="s">
        <v>86</v>
      </c>
    </row>
    <row r="102" spans="2:25">
      <c r="J102" t="str">
        <f t="shared" si="19"/>
        <v>Trd_2w_elc150</v>
      </c>
      <c r="K102" t="str">
        <f t="shared" si="33"/>
        <v>\I:</v>
      </c>
      <c r="L102" t="str">
        <f t="shared" si="21"/>
        <v>\I:</v>
      </c>
      <c r="M102" s="374" t="str">
        <f t="shared" si="23"/>
        <v/>
      </c>
      <c r="N102" s="374" t="str">
        <f t="shared" si="24"/>
        <v/>
      </c>
      <c r="O102" s="374" t="str">
        <f t="shared" si="25"/>
        <v/>
      </c>
      <c r="P102" s="374" t="str">
        <f t="shared" si="26"/>
        <v/>
      </c>
      <c r="S102" s="370"/>
      <c r="V102" t="str">
        <f t="shared" si="27"/>
        <v>\I:</v>
      </c>
      <c r="W102" t="str">
        <f ca="1" t="shared" si="28"/>
        <v>Battery electric motorcycle (equivalent to 50-250 cc motorcycle) -- 00%</v>
      </c>
      <c r="X102" s="372" t="s">
        <v>85</v>
      </c>
      <c r="Y102" s="372" t="s">
        <v>86</v>
      </c>
    </row>
    <row r="103" spans="2:25">
      <c r="J103" t="str">
        <f t="shared" si="19"/>
        <v>Trd_2w_elc150</v>
      </c>
      <c r="K103" t="str">
        <f t="shared" si="33"/>
        <v>\I:</v>
      </c>
      <c r="L103" t="str">
        <f t="shared" si="21"/>
        <v>\I:</v>
      </c>
      <c r="M103" s="374" t="str">
        <f t="shared" si="23"/>
        <v/>
      </c>
      <c r="N103" s="374" t="str">
        <f t="shared" si="24"/>
        <v/>
      </c>
      <c r="O103" s="374" t="str">
        <f t="shared" si="25"/>
        <v/>
      </c>
      <c r="P103" s="374" t="str">
        <f t="shared" si="26"/>
        <v/>
      </c>
      <c r="S103" s="370"/>
      <c r="V103" t="str">
        <f t="shared" si="27"/>
        <v>\I:</v>
      </c>
      <c r="W103" t="str">
        <f ca="1" t="shared" si="28"/>
        <v>Battery electric motorcycle (equivalent to 50-250 cc motorcycle) -- 00%</v>
      </c>
      <c r="X103" s="372" t="s">
        <v>85</v>
      </c>
      <c r="Y103" s="372" t="s">
        <v>86</v>
      </c>
    </row>
    <row r="104" spans="2:25">
      <c r="J104" t="str">
        <f t="shared" si="19"/>
        <v>Trd_2w_elc150</v>
      </c>
      <c r="K104" t="str">
        <f t="shared" si="33"/>
        <v>\I:</v>
      </c>
      <c r="L104" t="str">
        <f t="shared" si="21"/>
        <v>\I:</v>
      </c>
      <c r="M104" s="374" t="str">
        <f t="shared" si="23"/>
        <v/>
      </c>
      <c r="N104" s="374" t="str">
        <f t="shared" si="24"/>
        <v/>
      </c>
      <c r="O104" s="374" t="str">
        <f t="shared" si="25"/>
        <v/>
      </c>
      <c r="P104" s="374" t="str">
        <f t="shared" si="26"/>
        <v/>
      </c>
      <c r="S104" s="370"/>
      <c r="V104" t="str">
        <f t="shared" si="27"/>
        <v>\I:</v>
      </c>
      <c r="W104" t="str">
        <f ca="1" t="shared" si="28"/>
        <v>Battery electric motorcycle (equivalent to 50-250 cc motorcycle) -- 00%</v>
      </c>
      <c r="X104" s="372" t="s">
        <v>85</v>
      </c>
      <c r="Y104" s="372" t="s">
        <v>86</v>
      </c>
    </row>
    <row r="105" spans="2:25">
      <c r="B105" s="365">
        <v>2020</v>
      </c>
      <c r="C105" s="365"/>
      <c r="D105" s="365"/>
      <c r="J105" t="str">
        <f t="shared" si="19"/>
        <v>Trd_2w_elc150</v>
      </c>
      <c r="K105" t="str">
        <f t="shared" si="33"/>
        <v>\I:</v>
      </c>
      <c r="L105" t="str">
        <f t="shared" si="21"/>
        <v>\I:</v>
      </c>
      <c r="M105" s="374" t="str">
        <f t="shared" si="23"/>
        <v/>
      </c>
      <c r="N105" s="374" t="str">
        <f t="shared" si="24"/>
        <v/>
      </c>
      <c r="O105" s="374" t="str">
        <f t="shared" si="25"/>
        <v/>
      </c>
      <c r="P105" s="374" t="str">
        <f t="shared" si="26"/>
        <v/>
      </c>
      <c r="S105" s="370"/>
      <c r="V105" t="str">
        <f t="shared" si="27"/>
        <v>\I:</v>
      </c>
      <c r="W105" t="str">
        <f ca="1" t="shared" si="28"/>
        <v>Battery electric motorcycle (equivalent to 50-250 cc motorcycle) -- 202000%</v>
      </c>
      <c r="X105" s="372" t="s">
        <v>85</v>
      </c>
      <c r="Y105" s="372" t="s">
        <v>86</v>
      </c>
    </row>
    <row r="106" spans="2:25">
      <c r="B106" s="46" t="s">
        <v>146</v>
      </c>
      <c r="C106" s="47" t="s">
        <v>26</v>
      </c>
      <c r="D106" s="74">
        <v>0.0574</v>
      </c>
      <c r="G106" s="75">
        <f>D106/3.6/100*10^9/10^6</f>
        <v>0.159444444444444</v>
      </c>
      <c r="H106" s="75"/>
      <c r="I106" s="366">
        <f>1/G106</f>
        <v>6.27177700348432</v>
      </c>
      <c r="J106" t="str">
        <f t="shared" si="19"/>
        <v>Trd_2w_elc150</v>
      </c>
      <c r="K106" t="str">
        <f t="shared" si="33"/>
        <v>\I:</v>
      </c>
      <c r="L106" t="str">
        <f t="shared" si="21"/>
        <v>\I:</v>
      </c>
      <c r="M106" s="374" t="str">
        <f t="shared" si="23"/>
        <v/>
      </c>
      <c r="N106" s="374" t="str">
        <f t="shared" si="24"/>
        <v/>
      </c>
      <c r="O106" s="374" t="str">
        <f t="shared" si="25"/>
        <v/>
      </c>
      <c r="P106" s="374" t="str">
        <f t="shared" si="26"/>
        <v/>
      </c>
      <c r="S106" s="370"/>
      <c r="V106" t="str">
        <f t="shared" si="27"/>
        <v>\I:</v>
      </c>
      <c r="W106" t="str">
        <f ca="1" t="shared" si="28"/>
        <v>Battery electric motorcycle (equivalent to 50-250 cc motorcycle) -- Energy consumption of Battery electric motorcycle (equivalent to 250-750 cc motorcycle) </v>
      </c>
      <c r="X106" s="372" t="s">
        <v>85</v>
      </c>
      <c r="Y106" s="372" t="s">
        <v>86</v>
      </c>
    </row>
    <row r="107" spans="2:25">
      <c r="I107" s="377" t="s">
        <v>70</v>
      </c>
      <c r="J107" t="str">
        <f t="shared" si="19"/>
        <v>Trd_2w_elc150</v>
      </c>
      <c r="K107" t="str">
        <f t="shared" si="33"/>
        <v>\I:</v>
      </c>
      <c r="L107" t="str">
        <f t="shared" si="21"/>
        <v>\I:</v>
      </c>
      <c r="M107" s="374" t="str">
        <f t="shared" si="23"/>
        <v/>
      </c>
      <c r="N107" s="374" t="str">
        <f t="shared" si="24"/>
        <v/>
      </c>
      <c r="O107" s="374" t="str">
        <f t="shared" si="25"/>
        <v/>
      </c>
      <c r="P107" s="374" t="str">
        <f t="shared" si="26"/>
        <v/>
      </c>
      <c r="S107" s="370"/>
      <c r="V107" t="str">
        <f t="shared" si="27"/>
        <v>\I:</v>
      </c>
      <c r="W107" t="str">
        <f ca="1" t="shared" si="28"/>
        <v>Battery electric motorcycle (equivalent to 50-250 cc motorcycle) -- 00%</v>
      </c>
      <c r="X107" s="372" t="s">
        <v>85</v>
      </c>
      <c r="Y107" s="372" t="s">
        <v>86</v>
      </c>
    </row>
    <row r="108" ht="15" customHeight="1" spans="2:25">
      <c r="B108" s="385" t="s">
        <v>27</v>
      </c>
      <c r="C108" s="385" t="s">
        <v>137</v>
      </c>
      <c r="D108" s="385"/>
      <c r="E108" s="385"/>
      <c r="F108" s="385"/>
      <c r="J108" t="str">
        <f t="shared" si="19"/>
        <v>Trd_2w_elc500</v>
      </c>
      <c r="K108" t="str">
        <f t="shared" si="33"/>
        <v>\I:</v>
      </c>
      <c r="L108" t="str">
        <f t="shared" si="21"/>
        <v>\I:</v>
      </c>
      <c r="M108" s="374" t="str">
        <f t="shared" si="23"/>
        <v/>
      </c>
      <c r="N108" s="374" t="str">
        <f t="shared" si="24"/>
        <v/>
      </c>
      <c r="O108" s="374" t="str">
        <f t="shared" si="25"/>
        <v/>
      </c>
      <c r="P108" s="374" t="str">
        <f t="shared" si="26"/>
        <v/>
      </c>
      <c r="S108" s="370"/>
      <c r="V108" t="str">
        <f t="shared" si="27"/>
        <v>\I:</v>
      </c>
      <c r="W108" t="str">
        <f ca="1" t="shared" si="28"/>
        <v>Battery electric motorcycle (equivalent to 250-750 cc motorcycle) -- Electric range (km)</v>
      </c>
      <c r="X108" s="372" t="s">
        <v>85</v>
      </c>
      <c r="Y108" s="372" t="s">
        <v>86</v>
      </c>
    </row>
    <row r="109" spans="2:25">
      <c r="B109" s="385"/>
      <c r="C109" s="385"/>
      <c r="D109" s="385"/>
      <c r="E109" s="385"/>
      <c r="F109" s="385"/>
      <c r="J109" t="str">
        <f t="shared" si="19"/>
        <v>Trd_2w_elc500</v>
      </c>
      <c r="K109" t="str">
        <f t="shared" si="33"/>
        <v>\I:</v>
      </c>
      <c r="L109" t="str">
        <f t="shared" si="21"/>
        <v>\I:</v>
      </c>
      <c r="M109" s="374" t="str">
        <f t="shared" si="23"/>
        <v/>
      </c>
      <c r="N109" s="374" t="str">
        <f t="shared" si="24"/>
        <v/>
      </c>
      <c r="O109" s="374" t="str">
        <f t="shared" si="25"/>
        <v/>
      </c>
      <c r="P109" s="374" t="str">
        <f t="shared" si="26"/>
        <v/>
      </c>
      <c r="S109" s="370"/>
      <c r="V109" t="str">
        <f t="shared" si="27"/>
        <v>\I:</v>
      </c>
      <c r="W109" t="str">
        <f ca="1" t="shared" si="28"/>
        <v>Battery electric motorcycle (equivalent to 250-750 cc motorcycle) -- 00%</v>
      </c>
      <c r="X109" s="372" t="s">
        <v>85</v>
      </c>
      <c r="Y109" s="372" t="s">
        <v>86</v>
      </c>
    </row>
    <row r="110" spans="2:25">
      <c r="B110" s="385"/>
      <c r="C110" s="385"/>
      <c r="D110" s="385"/>
      <c r="E110" s="385"/>
      <c r="F110" s="385"/>
      <c r="J110" t="str">
        <f t="shared" si="19"/>
        <v>Trd_2w_elc500</v>
      </c>
      <c r="K110" t="str">
        <f t="shared" si="33"/>
        <v>\I:</v>
      </c>
      <c r="L110" t="str">
        <f t="shared" si="21"/>
        <v>\I:</v>
      </c>
      <c r="M110" s="374" t="str">
        <f t="shared" si="23"/>
        <v/>
      </c>
      <c r="N110" s="374" t="str">
        <f t="shared" si="24"/>
        <v/>
      </c>
      <c r="O110" s="374" t="str">
        <f t="shared" si="25"/>
        <v/>
      </c>
      <c r="P110" s="374" t="str">
        <f t="shared" si="26"/>
        <v/>
      </c>
      <c r="S110" s="370"/>
      <c r="V110" t="str">
        <f t="shared" si="27"/>
        <v>\I:</v>
      </c>
      <c r="W110" t="str">
        <f ca="1" t="shared" si="28"/>
        <v>Battery electric motorcycle (equivalent to 250-750 cc motorcycle) -- 00%</v>
      </c>
      <c r="X110" s="372" t="s">
        <v>85</v>
      </c>
      <c r="Y110" s="372" t="s">
        <v>86</v>
      </c>
    </row>
    <row r="111" spans="2:25">
      <c r="B111" s="50"/>
      <c r="C111" s="51">
        <v>2020</v>
      </c>
      <c r="D111" s="51">
        <v>2030</v>
      </c>
      <c r="E111" s="51">
        <v>2040</v>
      </c>
      <c r="F111" s="51">
        <v>2050</v>
      </c>
      <c r="J111" t="str">
        <f t="shared" si="19"/>
        <v>Trd_2w_elc500</v>
      </c>
      <c r="K111" t="str">
        <f t="shared" si="33"/>
        <v>\I:</v>
      </c>
      <c r="L111" t="str">
        <f t="shared" si="21"/>
        <v>\I:</v>
      </c>
      <c r="M111" s="374" t="str">
        <f t="shared" si="23"/>
        <v/>
      </c>
      <c r="N111" s="374" t="str">
        <f t="shared" si="24"/>
        <v/>
      </c>
      <c r="O111" s="374" t="str">
        <f t="shared" si="25"/>
        <v/>
      </c>
      <c r="P111" s="374" t="str">
        <f t="shared" si="26"/>
        <v/>
      </c>
      <c r="S111" s="370"/>
      <c r="V111" t="str">
        <f t="shared" si="27"/>
        <v>\I:</v>
      </c>
      <c r="W111" t="str">
        <f ca="1" t="shared" si="28"/>
        <v>Battery electric motorcycle (equivalent to 250-750 cc motorcycle) -- 00%</v>
      </c>
      <c r="X111" s="372" t="s">
        <v>85</v>
      </c>
      <c r="Y111" s="372" t="s">
        <v>86</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3"/>
        <v>Trd_2w_elc500_120</v>
      </c>
      <c r="L112" t="str">
        <f t="shared" si="21"/>
        <v>Trd_2w</v>
      </c>
      <c r="M112" s="379">
        <f>IF($K112="\I:","",C112*80%)</f>
        <v>7204.06712718381</v>
      </c>
      <c r="N112" s="380">
        <f t="shared" ref="N112:N119" si="35">M112*93%</f>
        <v>6699.78242828094</v>
      </c>
      <c r="O112" s="380">
        <f t="shared" ref="O112:O119" si="36">N112*95%</f>
        <v>6364.7933068669</v>
      </c>
      <c r="P112" s="380">
        <f t="shared" ref="P112:P119" si="37">O112*95%</f>
        <v>6046.55364152355</v>
      </c>
      <c r="S112" s="381">
        <v>0.05</v>
      </c>
      <c r="V112" t="str">
        <f t="shared" si="27"/>
        <v>Trd_2w_elc500_120</v>
      </c>
      <c r="W112" t="str">
        <f ca="1" t="shared" si="28"/>
        <v>Battery electric motorcycle (equivalent to 250-750 cc motorcycle) -- 12000%</v>
      </c>
      <c r="X112" s="372" t="s">
        <v>85</v>
      </c>
      <c r="Y112" s="372" t="s">
        <v>86</v>
      </c>
    </row>
    <row r="113" spans="2:25">
      <c r="B113" s="66">
        <v>131.428571428571</v>
      </c>
      <c r="C113" s="86">
        <v>9279.25190789782</v>
      </c>
      <c r="D113" s="86">
        <v>7848.53822458243</v>
      </c>
      <c r="E113" s="86">
        <v>7118.42610243319</v>
      </c>
      <c r="F113" s="86">
        <v>6905.86547874222</v>
      </c>
      <c r="I113" s="75">
        <f t="shared" ref="I113:I119" si="38">$I$106</f>
        <v>6.27177700348432</v>
      </c>
      <c r="J113" t="str">
        <f t="shared" si="19"/>
        <v>Trd_2w_elc500</v>
      </c>
      <c r="K113" t="str">
        <f t="shared" si="33"/>
        <v>Trd_2w_elc500_131</v>
      </c>
      <c r="L113" t="str">
        <f t="shared" si="21"/>
        <v>Trd_2w</v>
      </c>
      <c r="M113" s="379">
        <f t="shared" ref="M113:M119" si="39">IF($K113="\I:","",C113*80%)</f>
        <v>7423.40152631826</v>
      </c>
      <c r="N113" s="380">
        <f t="shared" si="35"/>
        <v>6903.76341947598</v>
      </c>
      <c r="O113" s="380">
        <f t="shared" si="36"/>
        <v>6558.57524850218</v>
      </c>
      <c r="P113" s="380">
        <f t="shared" si="37"/>
        <v>6230.64648607707</v>
      </c>
      <c r="S113" s="381">
        <v>0.075</v>
      </c>
      <c r="V113" t="str">
        <f t="shared" si="27"/>
        <v>Trd_2w_elc500_131</v>
      </c>
      <c r="W113" t="str">
        <f ca="1" t="shared" si="28"/>
        <v>Battery electric motorcycle (equivalent to 250-750 cc motorcycle) -- 13143%</v>
      </c>
      <c r="X113" s="372" t="s">
        <v>85</v>
      </c>
      <c r="Y113" s="372" t="s">
        <v>86</v>
      </c>
    </row>
    <row r="114" spans="2:25">
      <c r="B114" s="66">
        <v>142.857142857143</v>
      </c>
      <c r="C114" s="86">
        <v>9403.70974951194</v>
      </c>
      <c r="D114" s="86">
        <v>7918.59392876279</v>
      </c>
      <c r="E114" s="86">
        <v>7160.71967609476</v>
      </c>
      <c r="F114" s="86">
        <v>6940.07654617079</v>
      </c>
      <c r="I114" s="75">
        <f t="shared" si="38"/>
        <v>6.27177700348432</v>
      </c>
      <c r="J114" t="str">
        <f t="shared" si="19"/>
        <v>Trd_2w_elc500</v>
      </c>
      <c r="K114" t="str">
        <f t="shared" si="33"/>
        <v>Trd_2w_elc500_143</v>
      </c>
      <c r="L114" t="str">
        <f t="shared" si="21"/>
        <v>Trd_2w</v>
      </c>
      <c r="M114" s="379">
        <f t="shared" si="39"/>
        <v>7522.96779960955</v>
      </c>
      <c r="N114" s="380">
        <f t="shared" si="35"/>
        <v>6996.36005363688</v>
      </c>
      <c r="O114" s="380">
        <f t="shared" si="36"/>
        <v>6646.54205095504</v>
      </c>
      <c r="P114" s="380">
        <f t="shared" si="37"/>
        <v>6314.21494840728</v>
      </c>
      <c r="S114" s="381">
        <v>0.1</v>
      </c>
      <c r="V114" t="str">
        <f t="shared" si="27"/>
        <v>Trd_2w_elc500_143</v>
      </c>
      <c r="W114" t="str">
        <f ca="1" t="shared" si="28"/>
        <v>Battery electric motorcycle (equivalent to 250-750 cc motorcycle) -- 14286%</v>
      </c>
      <c r="X114" s="372" t="s">
        <v>85</v>
      </c>
      <c r="Y114" s="372" t="s">
        <v>86</v>
      </c>
    </row>
    <row r="115" spans="2:25">
      <c r="B115" s="66">
        <v>154.285714285714</v>
      </c>
      <c r="C115" s="86">
        <v>9440.07059619241</v>
      </c>
      <c r="D115" s="86">
        <v>7939.06097757031</v>
      </c>
      <c r="E115" s="86">
        <v>7173.07590955931</v>
      </c>
      <c r="F115" s="86">
        <v>6950.07144373138</v>
      </c>
      <c r="I115" s="75">
        <f t="shared" si="38"/>
        <v>6.27177700348432</v>
      </c>
      <c r="J115" t="str">
        <f t="shared" si="19"/>
        <v>Trd_2w_elc500</v>
      </c>
      <c r="K115" t="str">
        <f t="shared" si="33"/>
        <v>Trd_2w_elc500_154</v>
      </c>
      <c r="L115" t="str">
        <f t="shared" si="21"/>
        <v>Trd_2w</v>
      </c>
      <c r="M115" s="379">
        <f t="shared" si="39"/>
        <v>7552.05647695393</v>
      </c>
      <c r="N115" s="380">
        <f t="shared" si="35"/>
        <v>7023.41252356715</v>
      </c>
      <c r="O115" s="380">
        <f t="shared" si="36"/>
        <v>6672.2418973888</v>
      </c>
      <c r="P115" s="380">
        <f t="shared" si="37"/>
        <v>6338.62980251936</v>
      </c>
      <c r="S115" s="381">
        <v>0.125</v>
      </c>
      <c r="V115" t="str">
        <f t="shared" si="27"/>
        <v>Trd_2w_elc500_154</v>
      </c>
      <c r="W115" t="str">
        <f ca="1" t="shared" si="28"/>
        <v>Battery electric motorcycle (equivalent to 250-750 cc motorcycle) -- 15429%</v>
      </c>
      <c r="X115" s="372" t="s">
        <v>85</v>
      </c>
      <c r="Y115" s="372" t="s">
        <v>86</v>
      </c>
    </row>
    <row r="116" spans="2:25">
      <c r="B116" s="66">
        <v>165.714285714286</v>
      </c>
      <c r="C116" s="86">
        <v>9579.35639854656</v>
      </c>
      <c r="D116" s="86">
        <v>8017.46314845562</v>
      </c>
      <c r="E116" s="86">
        <v>7220.40835776407</v>
      </c>
      <c r="F116" s="86">
        <v>6988.3584324368</v>
      </c>
      <c r="I116" s="75">
        <f t="shared" si="38"/>
        <v>6.27177700348432</v>
      </c>
      <c r="J116" t="str">
        <f t="shared" si="19"/>
        <v>Trd_2w_elc500</v>
      </c>
      <c r="K116" t="str">
        <f t="shared" si="33"/>
        <v>Trd_2w_elc500_166</v>
      </c>
      <c r="L116" t="str">
        <f t="shared" si="21"/>
        <v>Trd_2w</v>
      </c>
      <c r="M116" s="379">
        <f t="shared" si="39"/>
        <v>7663.48511883725</v>
      </c>
      <c r="N116" s="380">
        <f t="shared" si="35"/>
        <v>7127.04116051864</v>
      </c>
      <c r="O116" s="380">
        <f t="shared" si="36"/>
        <v>6770.68910249271</v>
      </c>
      <c r="P116" s="380">
        <f t="shared" si="37"/>
        <v>6432.15464736807</v>
      </c>
      <c r="S116" s="381">
        <v>0.15</v>
      </c>
      <c r="V116" t="str">
        <f t="shared" si="27"/>
        <v>Trd_2w_elc500_166</v>
      </c>
      <c r="W116" t="str">
        <f ca="1" t="shared" si="28"/>
        <v>Battery electric motorcycle (equivalent to 250-750 cc motorcycle) -- 16571%</v>
      </c>
      <c r="X116" s="372" t="s">
        <v>85</v>
      </c>
      <c r="Y116" s="372" t="s">
        <v>86</v>
      </c>
    </row>
    <row r="117" spans="2:25">
      <c r="B117" s="66">
        <v>177.142857142857</v>
      </c>
      <c r="C117" s="86">
        <v>9703.54056974434</v>
      </c>
      <c r="D117" s="86">
        <v>8087.36480710955</v>
      </c>
      <c r="E117" s="86">
        <v>7262.60893206328</v>
      </c>
      <c r="F117" s="86">
        <v>7022.49427313039</v>
      </c>
      <c r="I117" s="75">
        <f t="shared" si="38"/>
        <v>6.27177700348432</v>
      </c>
      <c r="J117" t="str">
        <f t="shared" si="19"/>
        <v>Trd_2w_elc500</v>
      </c>
      <c r="K117" t="str">
        <f t="shared" si="33"/>
        <v>Trd_2w_elc500_177</v>
      </c>
      <c r="L117" t="str">
        <f t="shared" si="21"/>
        <v>Trd_2w</v>
      </c>
      <c r="M117" s="379">
        <f t="shared" si="39"/>
        <v>7762.83245579547</v>
      </c>
      <c r="N117" s="380">
        <f t="shared" si="35"/>
        <v>7219.43418388979</v>
      </c>
      <c r="O117" s="380">
        <f t="shared" si="36"/>
        <v>6858.4624746953</v>
      </c>
      <c r="P117" s="380">
        <f t="shared" si="37"/>
        <v>6515.53935096053</v>
      </c>
      <c r="S117" s="381">
        <v>0.175</v>
      </c>
      <c r="V117" t="str">
        <f t="shared" si="27"/>
        <v>Trd_2w_elc500_177</v>
      </c>
      <c r="W117" t="str">
        <f ca="1" t="shared" si="28"/>
        <v>Battery electric motorcycle (equivalent to 250-750 cc motorcycle) -- 17714%</v>
      </c>
      <c r="X117" s="372" t="s">
        <v>85</v>
      </c>
      <c r="Y117" s="372" t="s">
        <v>86</v>
      </c>
    </row>
    <row r="118" ht="15" customHeight="1" spans="2:25">
      <c r="B118" s="66">
        <v>188.571428571428</v>
      </c>
      <c r="C118" s="86">
        <v>9889.67377155065</v>
      </c>
      <c r="D118" s="86">
        <v>8192.13677129253</v>
      </c>
      <c r="E118" s="86">
        <v>7325.86118020902</v>
      </c>
      <c r="F118" s="86">
        <v>7073.65871110478</v>
      </c>
      <c r="I118" s="75">
        <f t="shared" si="38"/>
        <v>6.27177700348432</v>
      </c>
      <c r="J118" t="str">
        <f t="shared" si="19"/>
        <v>Trd_2w_elc500</v>
      </c>
      <c r="K118" t="str">
        <f t="shared" si="33"/>
        <v>Trd_2w_elc500_189</v>
      </c>
      <c r="L118" t="str">
        <f t="shared" si="21"/>
        <v>Trd_2w</v>
      </c>
      <c r="M118" s="379">
        <f t="shared" si="39"/>
        <v>7911.73901724052</v>
      </c>
      <c r="N118" s="380">
        <f t="shared" si="35"/>
        <v>7357.91728603368</v>
      </c>
      <c r="O118" s="380">
        <f t="shared" si="36"/>
        <v>6990.021421732</v>
      </c>
      <c r="P118" s="380">
        <f t="shared" si="37"/>
        <v>6640.5203506454</v>
      </c>
      <c r="S118" s="381">
        <v>0.2</v>
      </c>
      <c r="V118" t="str">
        <f t="shared" si="27"/>
        <v>Trd_2w_elc500_189</v>
      </c>
      <c r="W118" t="str">
        <f ca="1" t="shared" si="28"/>
        <v>Battery electric motorcycle (equivalent to 250-750 cc motorcycle) -- 18857%</v>
      </c>
      <c r="X118" s="372" t="s">
        <v>85</v>
      </c>
      <c r="Y118" s="372" t="s">
        <v>86</v>
      </c>
    </row>
    <row r="119" spans="2:25">
      <c r="B119" s="66">
        <v>200</v>
      </c>
      <c r="C119" s="86">
        <v>10069.7447589828</v>
      </c>
      <c r="D119" s="86">
        <v>8293.4963936627</v>
      </c>
      <c r="E119" s="86">
        <v>7387.05335157005</v>
      </c>
      <c r="F119" s="86">
        <v>7123.15676291956</v>
      </c>
      <c r="I119" s="75">
        <f t="shared" si="38"/>
        <v>6.27177700348432</v>
      </c>
      <c r="J119" t="str">
        <f t="shared" si="19"/>
        <v>Trd_2w_elc500</v>
      </c>
      <c r="K119" t="str">
        <f t="shared" si="33"/>
        <v>Trd_2w_elc500_200</v>
      </c>
      <c r="L119" t="str">
        <f t="shared" si="21"/>
        <v>Trd_2w</v>
      </c>
      <c r="M119" s="379">
        <f t="shared" si="39"/>
        <v>8055.79580718624</v>
      </c>
      <c r="N119" s="380">
        <f t="shared" si="35"/>
        <v>7491.8901006832</v>
      </c>
      <c r="O119" s="380">
        <f t="shared" si="36"/>
        <v>7117.29559564904</v>
      </c>
      <c r="P119" s="380">
        <f t="shared" si="37"/>
        <v>6761.43081586659</v>
      </c>
      <c r="S119" s="370"/>
      <c r="V119" t="str">
        <f t="shared" si="27"/>
        <v>Trd_2w_elc500_200</v>
      </c>
      <c r="W119" t="str">
        <f ca="1" t="shared" si="28"/>
        <v>Battery electric motorcycle (equivalent to 250-750 cc motorcycle) -- 20000%</v>
      </c>
      <c r="X119" s="372" t="s">
        <v>85</v>
      </c>
      <c r="Y119" s="372" t="s">
        <v>86</v>
      </c>
    </row>
    <row r="120" spans="2:25">
      <c r="J120" t="str">
        <f t="shared" si="19"/>
        <v>Trd_2w_elc500</v>
      </c>
      <c r="K120" t="str">
        <f t="shared" si="33"/>
        <v>\I:</v>
      </c>
      <c r="L120" t="str">
        <f t="shared" si="21"/>
        <v>\I:</v>
      </c>
      <c r="M120" s="374" t="str">
        <f t="shared" si="23"/>
        <v/>
      </c>
      <c r="N120" s="374" t="str">
        <f t="shared" si="24"/>
        <v/>
      </c>
      <c r="O120" s="374" t="str">
        <f t="shared" si="25"/>
        <v/>
      </c>
      <c r="P120" s="374" t="str">
        <f t="shared" si="26"/>
        <v/>
      </c>
      <c r="S120" s="370"/>
      <c r="V120" t="str">
        <f t="shared" si="27"/>
        <v>\I:</v>
      </c>
      <c r="W120" t="str">
        <f ca="1" t="shared" si="28"/>
        <v>Battery electric motorcycle (equivalent to 250-750 cc motorcycle) -- 00%</v>
      </c>
      <c r="X120" s="372" t="s">
        <v>85</v>
      </c>
      <c r="Y120" s="372" t="s">
        <v>86</v>
      </c>
    </row>
    <row r="121" spans="2:25">
      <c r="J121" t="str">
        <f t="shared" si="19"/>
        <v>Trd_2w_elc500</v>
      </c>
      <c r="K121" t="str">
        <f t="shared" si="33"/>
        <v>\I:</v>
      </c>
      <c r="L121" t="str">
        <f t="shared" si="21"/>
        <v>\I:</v>
      </c>
      <c r="M121" s="374" t="str">
        <f t="shared" si="23"/>
        <v/>
      </c>
      <c r="N121" s="374" t="str">
        <f t="shared" si="24"/>
        <v/>
      </c>
      <c r="O121" s="374" t="str">
        <f t="shared" si="25"/>
        <v/>
      </c>
      <c r="P121" s="374" t="str">
        <f t="shared" si="26"/>
        <v/>
      </c>
      <c r="S121" s="370"/>
      <c r="V121" t="str">
        <f t="shared" si="27"/>
        <v>\I:</v>
      </c>
      <c r="W121" t="str">
        <f ca="1" t="shared" si="28"/>
        <v>Battery electric motorcycle (equivalent to 250-750 cc motorcycle) -- 00%</v>
      </c>
      <c r="X121" s="372" t="s">
        <v>85</v>
      </c>
      <c r="Y121" s="372" t="s">
        <v>86</v>
      </c>
    </row>
    <row r="122" spans="2:25">
      <c r="J122" t="str">
        <f t="shared" si="19"/>
        <v>Trd_2w_elc500</v>
      </c>
      <c r="K122" t="str">
        <f t="shared" si="33"/>
        <v>\I:</v>
      </c>
      <c r="L122" t="str">
        <f t="shared" si="21"/>
        <v>\I:</v>
      </c>
      <c r="M122" s="374" t="str">
        <f t="shared" si="23"/>
        <v/>
      </c>
      <c r="N122" s="374" t="str">
        <f t="shared" si="24"/>
        <v/>
      </c>
      <c r="O122" s="374" t="str">
        <f t="shared" si="25"/>
        <v/>
      </c>
      <c r="P122" s="374" t="str">
        <f t="shared" si="26"/>
        <v/>
      </c>
      <c r="S122" s="370"/>
      <c r="V122" t="str">
        <f t="shared" si="27"/>
        <v>\I:</v>
      </c>
      <c r="W122" t="str">
        <f ca="1" t="shared" si="28"/>
        <v>Battery electric motorcycle (equivalent to 250-750 cc motorcycle) -- 00%</v>
      </c>
      <c r="X122" s="372" t="s">
        <v>85</v>
      </c>
      <c r="Y122" s="372" t="s">
        <v>86</v>
      </c>
    </row>
    <row r="123" spans="2:25">
      <c r="B123" s="365">
        <v>2020</v>
      </c>
      <c r="C123" s="365"/>
      <c r="D123" s="365"/>
      <c r="J123" t="str">
        <f t="shared" si="19"/>
        <v>Trd_2w_elc500</v>
      </c>
      <c r="K123" t="str">
        <f t="shared" si="33"/>
        <v>\I:</v>
      </c>
      <c r="L123" t="str">
        <f t="shared" si="21"/>
        <v>\I:</v>
      </c>
      <c r="M123" s="374" t="str">
        <f t="shared" si="23"/>
        <v/>
      </c>
      <c r="N123" s="374" t="str">
        <f t="shared" si="24"/>
        <v/>
      </c>
      <c r="O123" s="374" t="str">
        <f t="shared" si="25"/>
        <v/>
      </c>
      <c r="P123" s="374" t="str">
        <f t="shared" si="26"/>
        <v/>
      </c>
      <c r="S123" s="370"/>
      <c r="V123" t="str">
        <f t="shared" si="27"/>
        <v>\I:</v>
      </c>
      <c r="W123" t="str">
        <f ca="1" t="shared" si="28"/>
        <v>Battery electric motorcycle (equivalent to 250-750 cc motorcycle) -- 202000%</v>
      </c>
      <c r="X123" s="372" t="s">
        <v>85</v>
      </c>
      <c r="Y123" s="372" t="s">
        <v>86</v>
      </c>
    </row>
    <row r="124" spans="2:25">
      <c r="B124" s="46" t="s">
        <v>147</v>
      </c>
      <c r="C124" s="47" t="s">
        <v>26</v>
      </c>
      <c r="D124" s="74">
        <v>0.063</v>
      </c>
      <c r="G124" s="75">
        <f>D124/3.6/100*10^9/10^6</f>
        <v>0.175</v>
      </c>
      <c r="H124" s="75"/>
      <c r="I124" s="366">
        <f>1/G124</f>
        <v>5.71428571428572</v>
      </c>
      <c r="J124" t="str">
        <f t="shared" si="19"/>
        <v>Trd_2w_elc500</v>
      </c>
      <c r="K124" t="str">
        <f t="shared" si="33"/>
        <v>\I:</v>
      </c>
      <c r="L124" t="str">
        <f t="shared" si="21"/>
        <v>\I:</v>
      </c>
      <c r="M124" s="374" t="str">
        <f t="shared" si="23"/>
        <v/>
      </c>
      <c r="N124" s="374" t="str">
        <f t="shared" si="24"/>
        <v/>
      </c>
      <c r="O124" s="374" t="str">
        <f t="shared" si="25"/>
        <v/>
      </c>
      <c r="P124" s="374" t="str">
        <f t="shared" si="26"/>
        <v/>
      </c>
      <c r="S124" s="370"/>
      <c r="V124" t="str">
        <f t="shared" si="27"/>
        <v>\I:</v>
      </c>
      <c r="W124" t="str">
        <f ca="1" t="shared" si="28"/>
        <v>Battery electric motorcycle (equivalent to 250-750 cc motorcycle) -- Energy consumption of Battery electric motorcycle (equivalent to &gt;750 cc motorcycle)</v>
      </c>
      <c r="X124" s="372" t="s">
        <v>85</v>
      </c>
      <c r="Y124" s="372" t="s">
        <v>86</v>
      </c>
    </row>
    <row r="125" spans="2:25">
      <c r="I125" s="377" t="s">
        <v>70</v>
      </c>
      <c r="J125" t="str">
        <f t="shared" si="19"/>
        <v>Trd_2w_elc500</v>
      </c>
      <c r="K125" t="str">
        <f t="shared" si="33"/>
        <v>\I:</v>
      </c>
      <c r="L125" t="str">
        <f t="shared" si="21"/>
        <v>\I:</v>
      </c>
      <c r="M125" s="374" t="str">
        <f t="shared" si="23"/>
        <v/>
      </c>
      <c r="N125" s="374" t="str">
        <f t="shared" si="24"/>
        <v/>
      </c>
      <c r="O125" s="374" t="str">
        <f t="shared" si="25"/>
        <v/>
      </c>
      <c r="P125" s="374" t="str">
        <f t="shared" si="26"/>
        <v/>
      </c>
      <c r="S125" s="370"/>
      <c r="V125" t="str">
        <f t="shared" si="27"/>
        <v>\I:</v>
      </c>
      <c r="W125" t="str">
        <f ca="1" t="shared" si="28"/>
        <v>Battery electric motorcycle (equivalent to 250-750 cc motorcycle) -- 00%</v>
      </c>
      <c r="X125" s="372" t="s">
        <v>85</v>
      </c>
      <c r="Y125" s="372" t="s">
        <v>86</v>
      </c>
    </row>
    <row r="126" ht="15" customHeight="1" spans="2:25">
      <c r="B126" s="385" t="s">
        <v>27</v>
      </c>
      <c r="C126" s="385" t="s">
        <v>138</v>
      </c>
      <c r="D126" s="385"/>
      <c r="E126" s="385"/>
      <c r="F126" s="385"/>
      <c r="J126" t="str">
        <f t="shared" si="19"/>
        <v>Trd_3w_elc</v>
      </c>
      <c r="K126" t="str">
        <f t="shared" si="33"/>
        <v>\I:</v>
      </c>
      <c r="L126" t="str">
        <f t="shared" si="21"/>
        <v>\I:</v>
      </c>
      <c r="M126" s="374" t="str">
        <f t="shared" si="23"/>
        <v/>
      </c>
      <c r="N126" s="374" t="str">
        <f t="shared" si="24"/>
        <v/>
      </c>
      <c r="O126" s="374" t="str">
        <f t="shared" si="25"/>
        <v/>
      </c>
      <c r="P126" s="374" t="str">
        <f t="shared" si="26"/>
        <v/>
      </c>
      <c r="S126" s="370"/>
      <c r="V126" t="str">
        <f t="shared" si="27"/>
        <v>\I:</v>
      </c>
      <c r="W126" t="str">
        <f ca="1" t="shared" si="28"/>
        <v>Battery electric motorcycle (equivalent to &gt;750 cc motorcycle) -- Electric range (km)</v>
      </c>
      <c r="X126" s="372" t="s">
        <v>85</v>
      </c>
      <c r="Y126" s="372" t="s">
        <v>86</v>
      </c>
    </row>
    <row r="127" spans="2:25">
      <c r="B127" s="385"/>
      <c r="C127" s="385"/>
      <c r="D127" s="385"/>
      <c r="E127" s="385"/>
      <c r="F127" s="385"/>
      <c r="J127" t="str">
        <f t="shared" si="19"/>
        <v>Trd_3w_elc</v>
      </c>
      <c r="K127" t="str">
        <f t="shared" si="33"/>
        <v>\I:</v>
      </c>
      <c r="L127" t="str">
        <f t="shared" si="21"/>
        <v>\I:</v>
      </c>
      <c r="M127" s="374" t="str">
        <f t="shared" si="23"/>
        <v/>
      </c>
      <c r="N127" s="374" t="str">
        <f t="shared" si="24"/>
        <v/>
      </c>
      <c r="O127" s="374" t="str">
        <f t="shared" si="25"/>
        <v/>
      </c>
      <c r="P127" s="374" t="str">
        <f t="shared" si="26"/>
        <v/>
      </c>
      <c r="S127" s="370"/>
      <c r="V127" t="str">
        <f t="shared" si="27"/>
        <v>\I:</v>
      </c>
      <c r="W127" t="str">
        <f ca="1" t="shared" si="28"/>
        <v>Battery electric motorcycle (equivalent to &gt;750 cc motorcycle) -- 00%</v>
      </c>
      <c r="X127" s="372" t="s">
        <v>85</v>
      </c>
      <c r="Y127" s="372" t="s">
        <v>86</v>
      </c>
    </row>
    <row r="128" spans="2:25">
      <c r="B128" s="385"/>
      <c r="C128" s="385"/>
      <c r="D128" s="385"/>
      <c r="E128" s="385"/>
      <c r="F128" s="385"/>
      <c r="J128" t="str">
        <f t="shared" si="19"/>
        <v>Trd_3w_elc</v>
      </c>
      <c r="K128" t="str">
        <f t="shared" si="33"/>
        <v>\I:</v>
      </c>
      <c r="L128" t="str">
        <f t="shared" si="21"/>
        <v>\I:</v>
      </c>
      <c r="M128" s="374" t="str">
        <f t="shared" si="23"/>
        <v/>
      </c>
      <c r="N128" s="374" t="str">
        <f t="shared" si="24"/>
        <v/>
      </c>
      <c r="O128" s="374" t="str">
        <f t="shared" si="25"/>
        <v/>
      </c>
      <c r="P128" s="374" t="str">
        <f t="shared" si="26"/>
        <v/>
      </c>
      <c r="S128" s="370"/>
      <c r="V128" t="str">
        <f t="shared" si="27"/>
        <v>\I:</v>
      </c>
      <c r="W128" t="str">
        <f ca="1" t="shared" si="28"/>
        <v>Battery electric motorcycle (equivalent to &gt;750 cc motorcycle) -- 00%</v>
      </c>
      <c r="X128" s="372" t="s">
        <v>85</v>
      </c>
      <c r="Y128" s="372" t="s">
        <v>86</v>
      </c>
    </row>
    <row r="129" spans="2:25">
      <c r="B129" s="50"/>
      <c r="C129" s="51">
        <v>2020</v>
      </c>
      <c r="D129" s="51">
        <v>2030</v>
      </c>
      <c r="E129" s="51">
        <v>2040</v>
      </c>
      <c r="F129" s="51">
        <v>2050</v>
      </c>
      <c r="J129" t="str">
        <f t="shared" si="19"/>
        <v>Trd_3w_elc</v>
      </c>
      <c r="K129" t="str">
        <f t="shared" si="33"/>
        <v>\I:</v>
      </c>
      <c r="L129" t="str">
        <f t="shared" si="21"/>
        <v>\I:</v>
      </c>
      <c r="M129" s="374" t="str">
        <f t="shared" si="23"/>
        <v/>
      </c>
      <c r="N129" s="374" t="str">
        <f t="shared" si="24"/>
        <v/>
      </c>
      <c r="O129" s="374" t="str">
        <f t="shared" si="25"/>
        <v/>
      </c>
      <c r="P129" s="374" t="str">
        <f t="shared" si="26"/>
        <v/>
      </c>
      <c r="S129" s="370"/>
      <c r="V129" t="str">
        <f t="shared" si="27"/>
        <v>\I:</v>
      </c>
      <c r="W129" t="str">
        <f ca="1" t="shared" si="28"/>
        <v>Battery electric motorcycle (equivalent to &gt;750 cc motorcycle) -- 00%</v>
      </c>
      <c r="X129" s="372" t="s">
        <v>85</v>
      </c>
      <c r="Y129" s="372" t="s">
        <v>86</v>
      </c>
    </row>
    <row r="130" spans="2:25">
      <c r="B130" s="66">
        <v>120</v>
      </c>
      <c r="C130" s="86">
        <v>14416.9866551673</v>
      </c>
      <c r="D130" s="86">
        <v>12950.2883690462</v>
      </c>
      <c r="E130" s="86">
        <v>12201.8128279785</v>
      </c>
      <c r="F130" s="86">
        <v>11983.9059846316</v>
      </c>
      <c r="I130" s="387">
        <f>$I$124/$I$49</f>
        <v>9.73530650437647</v>
      </c>
      <c r="J130" t="str">
        <f t="shared" si="19"/>
        <v>Trd_3w_elc</v>
      </c>
      <c r="K130" t="str">
        <f t="shared" si="33"/>
        <v>Trd_3w_elc_120</v>
      </c>
      <c r="L130" t="str">
        <f t="shared" si="21"/>
        <v>Trd_3w</v>
      </c>
      <c r="M130" s="379">
        <f>IF($K130="\I:","",C130*80%)</f>
        <v>11533.5893241338</v>
      </c>
      <c r="N130" s="380">
        <f t="shared" ref="N130:N137" si="40">M130*93%</f>
        <v>10726.2380714444</v>
      </c>
      <c r="O130" s="380">
        <f t="shared" ref="O130:O137" si="41">N130*95%</f>
        <v>10189.9261678722</v>
      </c>
      <c r="P130" s="380">
        <f t="shared" ref="P130:P137" si="42">O130*95%</f>
        <v>9680.4298594786</v>
      </c>
      <c r="S130" s="381">
        <v>0.05</v>
      </c>
      <c r="V130" t="str">
        <f t="shared" si="27"/>
        <v>Trd_3w_elc_120</v>
      </c>
      <c r="W130" t="str">
        <f ca="1" t="shared" si="28"/>
        <v>Battery electric motorcycle (equivalent to &gt;750 cc motorcycle) -- 12000%</v>
      </c>
      <c r="X130" s="372" t="s">
        <v>85</v>
      </c>
      <c r="Y130" s="372" t="s">
        <v>86</v>
      </c>
    </row>
    <row r="131" spans="2:25">
      <c r="B131" s="66">
        <v>131.428571428571</v>
      </c>
      <c r="C131" s="86">
        <v>14724.8839894236</v>
      </c>
      <c r="D131" s="86">
        <v>13123.5997834724</v>
      </c>
      <c r="E131" s="86">
        <v>12306.4432668297</v>
      </c>
      <c r="F131" s="86">
        <v>12068.5410411833</v>
      </c>
      <c r="I131" s="387">
        <f t="shared" ref="I131:I137" si="43">$I$124/$I$49</f>
        <v>9.73530650437647</v>
      </c>
      <c r="J131" t="str">
        <f t="shared" si="19"/>
        <v>Trd_3w_elc</v>
      </c>
      <c r="K131" t="str">
        <f t="shared" si="33"/>
        <v>Trd_3w_elc_131</v>
      </c>
      <c r="L131" t="str">
        <f t="shared" si="21"/>
        <v>Trd_3w</v>
      </c>
      <c r="M131" s="379">
        <f t="shared" ref="M131:M137" si="44">IF($K131="\I:","",C131*80%)</f>
        <v>11779.9071915389</v>
      </c>
      <c r="N131" s="380">
        <f t="shared" si="40"/>
        <v>10955.3136881312</v>
      </c>
      <c r="O131" s="380">
        <f t="shared" si="41"/>
        <v>10407.5480037246</v>
      </c>
      <c r="P131" s="380">
        <f t="shared" si="42"/>
        <v>9887.17060353839</v>
      </c>
      <c r="S131" s="381">
        <v>0.05</v>
      </c>
      <c r="V131" t="str">
        <f t="shared" si="27"/>
        <v>Trd_3w_elc_131</v>
      </c>
      <c r="W131" t="str">
        <f ca="1" t="shared" si="28"/>
        <v>Battery electric motorcycle (equivalent to &gt;750 cc motorcycle) -- 13143%</v>
      </c>
      <c r="X131" s="372" t="s">
        <v>85</v>
      </c>
      <c r="Y131" s="372" t="s">
        <v>86</v>
      </c>
    </row>
    <row r="132" spans="2:25">
      <c r="B132" s="66">
        <v>142.857142857143</v>
      </c>
      <c r="C132" s="86">
        <v>14865.3695454917</v>
      </c>
      <c r="D132" s="86">
        <v>13202.6772801563</v>
      </c>
      <c r="E132" s="86">
        <v>12354.1834183292</v>
      </c>
      <c r="F132" s="86">
        <v>12107.1578191144</v>
      </c>
      <c r="I132" s="387">
        <f t="shared" si="43"/>
        <v>9.73530650437647</v>
      </c>
      <c r="J132" t="str">
        <f t="shared" si="19"/>
        <v>Trd_3w_elc</v>
      </c>
      <c r="K132" t="str">
        <f t="shared" si="33"/>
        <v>Trd_3w_elc_143</v>
      </c>
      <c r="L132" t="str">
        <f t="shared" si="21"/>
        <v>Trd_3w</v>
      </c>
      <c r="M132" s="379">
        <f t="shared" si="44"/>
        <v>11892.2956363934</v>
      </c>
      <c r="N132" s="380">
        <f t="shared" si="40"/>
        <v>11059.8349418459</v>
      </c>
      <c r="O132" s="380">
        <f t="shared" si="41"/>
        <v>10506.8431947536</v>
      </c>
      <c r="P132" s="380">
        <f t="shared" si="42"/>
        <v>9981.50103501589</v>
      </c>
      <c r="S132" s="381">
        <v>0.05</v>
      </c>
      <c r="V132" t="str">
        <f t="shared" si="27"/>
        <v>Trd_3w_elc_143</v>
      </c>
      <c r="W132" t="str">
        <f ca="1" t="shared" si="28"/>
        <v>Battery electric motorcycle (equivalent to &gt;750 cc motorcycle) -- 14286%</v>
      </c>
      <c r="X132" s="372" t="s">
        <v>85</v>
      </c>
      <c r="Y132" s="372" t="s">
        <v>86</v>
      </c>
    </row>
    <row r="133" spans="2:25">
      <c r="B133" s="66">
        <v>154.285714285714</v>
      </c>
      <c r="C133" s="86">
        <v>14907.2890658627</v>
      </c>
      <c r="D133" s="86">
        <v>13226.2732342593</v>
      </c>
      <c r="E133" s="86">
        <v>12368.4286141294</v>
      </c>
      <c r="F133" s="86">
        <v>12118.6806891833</v>
      </c>
      <c r="I133" s="387">
        <f t="shared" si="43"/>
        <v>9.73530650437647</v>
      </c>
      <c r="J133" t="str">
        <f t="shared" si="19"/>
        <v>Trd_3w_elc</v>
      </c>
      <c r="K133" t="str">
        <f t="shared" si="33"/>
        <v>Trd_3w_elc_154</v>
      </c>
      <c r="L133" t="str">
        <f t="shared" si="21"/>
        <v>Trd_3w</v>
      </c>
      <c r="M133" s="379">
        <f t="shared" si="44"/>
        <v>11925.8312526902</v>
      </c>
      <c r="N133" s="380">
        <f t="shared" si="40"/>
        <v>11091.0230650019</v>
      </c>
      <c r="O133" s="380">
        <f t="shared" si="41"/>
        <v>10536.4719117518</v>
      </c>
      <c r="P133" s="380">
        <f t="shared" si="42"/>
        <v>10009.6483161642</v>
      </c>
      <c r="S133" s="381">
        <v>0.05</v>
      </c>
      <c r="V133" t="str">
        <f t="shared" si="27"/>
        <v>Trd_3w_elc_154</v>
      </c>
      <c r="W133" t="str">
        <f ca="1" t="shared" si="28"/>
        <v>Battery electric motorcycle (equivalent to &gt;750 cc motorcycle) -- 15429%</v>
      </c>
      <c r="X133" s="372" t="s">
        <v>85</v>
      </c>
      <c r="Y133" s="372" t="s">
        <v>86</v>
      </c>
    </row>
    <row r="134" spans="2:25">
      <c r="B134" s="66">
        <v>165.714285714286</v>
      </c>
      <c r="C134" s="86">
        <v>15064.5475025229</v>
      </c>
      <c r="D134" s="86">
        <v>13314.7919677972</v>
      </c>
      <c r="E134" s="86">
        <v>12421.8685676795</v>
      </c>
      <c r="F134" s="86">
        <v>12161.9080094592</v>
      </c>
      <c r="I134" s="387">
        <f t="shared" si="43"/>
        <v>9.73530650437647</v>
      </c>
      <c r="J134" t="str">
        <f t="shared" si="19"/>
        <v>Trd_3w_elc</v>
      </c>
      <c r="K134" t="str">
        <f t="shared" si="33"/>
        <v>Trd_3w_elc_166</v>
      </c>
      <c r="L134" t="str">
        <f t="shared" si="21"/>
        <v>Trd_3w</v>
      </c>
      <c r="M134" s="379">
        <f t="shared" si="44"/>
        <v>12051.6380020183</v>
      </c>
      <c r="N134" s="380">
        <f t="shared" si="40"/>
        <v>11208.023341877</v>
      </c>
      <c r="O134" s="380">
        <f t="shared" si="41"/>
        <v>10647.6221747832</v>
      </c>
      <c r="P134" s="380">
        <f t="shared" si="42"/>
        <v>10115.241066044</v>
      </c>
      <c r="S134" s="381">
        <v>0.15</v>
      </c>
      <c r="V134" t="str">
        <f t="shared" si="27"/>
        <v>Trd_3w_elc_166</v>
      </c>
      <c r="W134" t="str">
        <f ca="1" t="shared" si="28"/>
        <v>Battery electric motorcycle (equivalent to &gt;750 cc motorcycle) -- 16571%</v>
      </c>
      <c r="X134" s="372" t="s">
        <v>85</v>
      </c>
      <c r="Y134" s="372" t="s">
        <v>86</v>
      </c>
    </row>
    <row r="135" spans="2:25">
      <c r="B135" s="66">
        <v>177.142857142857</v>
      </c>
      <c r="C135" s="86">
        <v>15204.9907882267</v>
      </c>
      <c r="D135" s="86">
        <v>13393.8456710415</v>
      </c>
      <c r="E135" s="86">
        <v>12469.5943547585</v>
      </c>
      <c r="F135" s="86">
        <v>12200.5131680799</v>
      </c>
      <c r="I135" s="387">
        <f t="shared" si="43"/>
        <v>9.73530650437647</v>
      </c>
      <c r="J135" t="str">
        <f t="shared" si="19"/>
        <v>Trd_3w_elc</v>
      </c>
      <c r="K135" t="str">
        <f t="shared" si="33"/>
        <v>Trd_3w_elc_177</v>
      </c>
      <c r="L135" t="str">
        <f t="shared" si="21"/>
        <v>Trd_3w</v>
      </c>
      <c r="M135" s="379">
        <f t="shared" si="44"/>
        <v>12163.9926305814</v>
      </c>
      <c r="N135" s="380">
        <f t="shared" si="40"/>
        <v>11312.5131464407</v>
      </c>
      <c r="O135" s="380">
        <f t="shared" si="41"/>
        <v>10746.8874891187</v>
      </c>
      <c r="P135" s="380">
        <f t="shared" si="42"/>
        <v>10209.5431146627</v>
      </c>
      <c r="S135" s="381">
        <v>0.175</v>
      </c>
      <c r="V135" t="str">
        <f t="shared" si="27"/>
        <v>Trd_3w_elc_177</v>
      </c>
      <c r="W135" t="str">
        <f ca="1" t="shared" si="28"/>
        <v>Battery electric motorcycle (equivalent to &gt;750 cc motorcycle) -- 17714%</v>
      </c>
      <c r="X135" s="372" t="s">
        <v>85</v>
      </c>
      <c r="Y135" s="372" t="s">
        <v>86</v>
      </c>
    </row>
    <row r="136" ht="15" customHeight="1" spans="2:25">
      <c r="B136" s="66">
        <v>188.571428571428</v>
      </c>
      <c r="C136" s="86">
        <v>15414.9772774338</v>
      </c>
      <c r="D136" s="86">
        <v>13512.0443412014</v>
      </c>
      <c r="E136" s="86">
        <v>12540.9524864281</v>
      </c>
      <c r="F136" s="86">
        <v>12258.2344160799</v>
      </c>
      <c r="I136" s="387">
        <f t="shared" si="43"/>
        <v>9.73530650437647</v>
      </c>
      <c r="J136" t="str">
        <f t="shared" si="19"/>
        <v>Trd_3w_elc</v>
      </c>
      <c r="K136" t="str">
        <f t="shared" si="33"/>
        <v>Trd_3w_elc_189</v>
      </c>
      <c r="L136" t="str">
        <f t="shared" si="21"/>
        <v>Trd_3w</v>
      </c>
      <c r="M136" s="379">
        <f t="shared" si="44"/>
        <v>12331.981821947</v>
      </c>
      <c r="N136" s="380">
        <f t="shared" si="40"/>
        <v>11468.7430944107</v>
      </c>
      <c r="O136" s="380">
        <f t="shared" si="41"/>
        <v>10895.3059396902</v>
      </c>
      <c r="P136" s="380">
        <f t="shared" si="42"/>
        <v>10350.5406427057</v>
      </c>
      <c r="S136" s="381">
        <v>0.2</v>
      </c>
      <c r="V136" t="str">
        <f t="shared" si="27"/>
        <v>Trd_3w_elc_189</v>
      </c>
      <c r="W136" t="str">
        <f ca="1" t="shared" si="28"/>
        <v>Battery electric motorcycle (equivalent to &gt;750 cc motorcycle) -- 18857%</v>
      </c>
      <c r="X136" s="372" t="s">
        <v>85</v>
      </c>
      <c r="Y136" s="372" t="s">
        <v>86</v>
      </c>
    </row>
    <row r="137" spans="2:25">
      <c r="B137" s="66">
        <v>200</v>
      </c>
      <c r="C137" s="86">
        <v>15618.3104112851</v>
      </c>
      <c r="D137" s="86">
        <v>13626.4979239601</v>
      </c>
      <c r="E137" s="86">
        <v>12610.0496583125</v>
      </c>
      <c r="F137" s="86">
        <v>12314.1267846316</v>
      </c>
      <c r="I137" s="387">
        <f t="shared" si="43"/>
        <v>9.73530650437647</v>
      </c>
      <c r="J137" t="str">
        <f t="shared" si="19"/>
        <v>Trd_3w_elc</v>
      </c>
      <c r="K137" t="str">
        <f t="shared" si="33"/>
        <v>Trd_3w_elc_200</v>
      </c>
      <c r="L137" t="str">
        <f t="shared" si="21"/>
        <v>Trd_3w</v>
      </c>
      <c r="M137" s="379">
        <f t="shared" si="44"/>
        <v>12494.6483290281</v>
      </c>
      <c r="N137" s="380">
        <f t="shared" si="40"/>
        <v>11620.0229459961</v>
      </c>
      <c r="O137" s="380">
        <f t="shared" si="41"/>
        <v>11039.0217986963</v>
      </c>
      <c r="P137" s="380">
        <f t="shared" si="42"/>
        <v>10487.0707087615</v>
      </c>
      <c r="S137" s="370"/>
      <c r="V137" t="str">
        <f t="shared" si="27"/>
        <v>Trd_3w_elc_200</v>
      </c>
      <c r="W137" t="str">
        <f ca="1" t="shared" si="28"/>
        <v>Battery electric motorcycle (equivalent to &gt;750 cc motorcycle) -- 20000%</v>
      </c>
      <c r="X137" s="372" t="s">
        <v>85</v>
      </c>
      <c r="Y137" s="372" t="s">
        <v>86</v>
      </c>
    </row>
    <row r="138" spans="2:25">
      <c r="J138" t="str">
        <f t="shared" si="19"/>
        <v>Trd_3w_elc</v>
      </c>
      <c r="K138" t="str">
        <f t="shared" si="33"/>
        <v>\I:</v>
      </c>
      <c r="L138" t="str">
        <f t="shared" si="21"/>
        <v>\I:</v>
      </c>
      <c r="M138" s="374" t="str">
        <f t="shared" si="23"/>
        <v/>
      </c>
      <c r="N138" s="374" t="str">
        <f t="shared" si="24"/>
        <v/>
      </c>
      <c r="O138" s="374" t="str">
        <f t="shared" si="25"/>
        <v/>
      </c>
      <c r="P138" s="374" t="str">
        <f t="shared" si="26"/>
        <v/>
      </c>
      <c r="S138" s="370"/>
      <c r="V138" t="str">
        <f t="shared" si="27"/>
        <v>\I:</v>
      </c>
      <c r="W138" t="str">
        <f ca="1" t="shared" si="28"/>
        <v>Battery electric motorcycle (equivalent to &gt;750 cc motorcycle) -- 00%</v>
      </c>
      <c r="X138" s="372" t="s">
        <v>85</v>
      </c>
      <c r="Y138" s="372" t="s">
        <v>86</v>
      </c>
    </row>
    <row r="139" spans="2:25">
      <c r="J139" t="str">
        <f t="shared" si="19"/>
        <v>Trd_3w_elc</v>
      </c>
      <c r="K139" t="str">
        <f t="shared" si="33"/>
        <v>\I:</v>
      </c>
      <c r="L139" t="str">
        <f t="shared" si="21"/>
        <v>\I:</v>
      </c>
      <c r="M139" s="374" t="str">
        <f t="shared" si="23"/>
        <v/>
      </c>
      <c r="N139" s="374" t="str">
        <f t="shared" si="24"/>
        <v/>
      </c>
      <c r="O139" s="374" t="str">
        <f t="shared" si="25"/>
        <v/>
      </c>
      <c r="P139" s="374" t="str">
        <f t="shared" si="26"/>
        <v/>
      </c>
      <c r="S139" s="370"/>
      <c r="V139" t="str">
        <f t="shared" si="27"/>
        <v>\I:</v>
      </c>
      <c r="W139" t="str">
        <f ca="1" t="shared" si="28"/>
        <v>Battery electric motorcycle (equivalent to &gt;750 cc motorcycle) -- 00%</v>
      </c>
      <c r="X139" s="372" t="s">
        <v>85</v>
      </c>
      <c r="Y139" s="372" t="s">
        <v>86</v>
      </c>
    </row>
    <row r="140" spans="2:25">
      <c r="J140" t="str">
        <f t="shared" si="19"/>
        <v>Trd_3w_elc</v>
      </c>
      <c r="K140" t="str">
        <f t="shared" si="33"/>
        <v>\I:</v>
      </c>
      <c r="L140" t="str">
        <f t="shared" si="21"/>
        <v>\I:</v>
      </c>
      <c r="M140" s="374" t="str">
        <f t="shared" si="23"/>
        <v/>
      </c>
      <c r="N140" s="374" t="str">
        <f t="shared" si="24"/>
        <v/>
      </c>
      <c r="O140" s="374" t="str">
        <f t="shared" si="25"/>
        <v/>
      </c>
      <c r="P140" s="374" t="str">
        <f t="shared" si="26"/>
        <v/>
      </c>
      <c r="S140" s="370"/>
      <c r="V140" t="str">
        <f t="shared" si="27"/>
        <v>\I:</v>
      </c>
      <c r="W140" t="str">
        <f ca="1" t="shared" si="28"/>
        <v>Battery electric motorcycle (equivalent to &gt;750 cc motorcycle) -- 00%</v>
      </c>
      <c r="X140" s="372" t="s">
        <v>85</v>
      </c>
      <c r="Y140" s="372" t="s">
        <v>86</v>
      </c>
    </row>
    <row r="141" spans="2:25">
      <c r="B141" s="365">
        <v>2020</v>
      </c>
      <c r="C141" s="365"/>
      <c r="D141" s="365"/>
      <c r="J141" t="str">
        <f t="shared" ref="J141:J155" si="45">IFERROR(VLOOKUP(C141,$R$1:$S$8,2,FALSE),J140)</f>
        <v>Trd_3w_elc</v>
      </c>
      <c r="K141" t="str">
        <f t="shared" si="33"/>
        <v>\I:</v>
      </c>
      <c r="L141" t="str">
        <f t="shared" ref="L141:L155" si="46">LEFT(K141,6)</f>
        <v>\I:</v>
      </c>
      <c r="M141" s="374" t="str">
        <f t="shared" si="23"/>
        <v/>
      </c>
      <c r="N141" s="374" t="str">
        <f t="shared" si="24"/>
        <v/>
      </c>
      <c r="O141" s="374" t="str">
        <f t="shared" si="25"/>
        <v/>
      </c>
      <c r="P141" s="374" t="str">
        <f t="shared" si="26"/>
        <v/>
      </c>
      <c r="S141" s="370"/>
      <c r="V141" t="str">
        <f t="shared" si="27"/>
        <v>\I:</v>
      </c>
      <c r="W141" t="str">
        <f ca="1" t="shared" si="28"/>
        <v>Battery electric motorcycle (equivalent to &gt;750 cc motorcycle) -- 202000%</v>
      </c>
      <c r="X141" s="372" t="s">
        <v>85</v>
      </c>
      <c r="Y141" s="372" t="s">
        <v>86</v>
      </c>
    </row>
    <row r="142" spans="2:25">
      <c r="B142" s="46" t="s">
        <v>148</v>
      </c>
      <c r="C142" s="47" t="s">
        <v>26</v>
      </c>
      <c r="D142" s="74">
        <v>0.0448</v>
      </c>
      <c r="G142" s="75">
        <f>D142/3.6/100*10^9/10^6</f>
        <v>0.124444444444444</v>
      </c>
      <c r="H142" s="75"/>
      <c r="I142" s="366">
        <f>1/G142</f>
        <v>8.03571428571429</v>
      </c>
      <c r="J142" t="str">
        <f t="shared" si="45"/>
        <v>Trd_3w_elc</v>
      </c>
      <c r="K142" t="str">
        <f t="shared" si="33"/>
        <v>\I:</v>
      </c>
      <c r="L142" t="str">
        <f t="shared" si="46"/>
        <v>\I:</v>
      </c>
      <c r="M142" s="374" t="str">
        <f t="shared" si="23"/>
        <v/>
      </c>
      <c r="N142" s="374" t="str">
        <f t="shared" si="24"/>
        <v/>
      </c>
      <c r="O142" s="374" t="str">
        <f t="shared" si="25"/>
        <v/>
      </c>
      <c r="P142" s="374" t="str">
        <f t="shared" si="26"/>
        <v/>
      </c>
      <c r="S142" s="370"/>
      <c r="V142" t="str">
        <f t="shared" si="27"/>
        <v>\I:</v>
      </c>
      <c r="W142" t="str">
        <f ca="1" t="shared" si="28"/>
        <v>Battery electric motorcycle (equivalent to &gt;750 cc motorcycle) -- Energy consumption of Battery electric moped </v>
      </c>
      <c r="X142" s="372" t="s">
        <v>85</v>
      </c>
      <c r="Y142" s="372" t="s">
        <v>86</v>
      </c>
    </row>
    <row r="143" spans="2:25">
      <c r="I143" s="377" t="s">
        <v>70</v>
      </c>
      <c r="J143" t="str">
        <f t="shared" si="45"/>
        <v>Trd_3w_elc</v>
      </c>
      <c r="K143" t="str">
        <f t="shared" si="33"/>
        <v>\I:</v>
      </c>
      <c r="L143" t="str">
        <f t="shared" si="46"/>
        <v>\I:</v>
      </c>
      <c r="M143" s="374" t="str">
        <f t="shared" si="23"/>
        <v/>
      </c>
      <c r="N143" s="374" t="str">
        <f t="shared" si="24"/>
        <v/>
      </c>
      <c r="O143" s="374" t="str">
        <f t="shared" si="25"/>
        <v/>
      </c>
      <c r="P143" s="374" t="str">
        <f t="shared" si="26"/>
        <v/>
      </c>
      <c r="S143" s="370"/>
      <c r="V143" t="str">
        <f t="shared" si="27"/>
        <v>\I:</v>
      </c>
      <c r="W143" t="str">
        <f ca="1" t="shared" si="28"/>
        <v>Battery electric motorcycle (equivalent to &gt;750 cc motorcycle) -- 00%</v>
      </c>
      <c r="X143" s="372" t="s">
        <v>85</v>
      </c>
      <c r="Y143" s="372" t="s">
        <v>86</v>
      </c>
    </row>
    <row r="144" ht="15" customHeight="1" spans="2:25">
      <c r="B144" s="385" t="s">
        <v>27</v>
      </c>
      <c r="C144" s="385" t="s">
        <v>140</v>
      </c>
      <c r="D144" s="385"/>
      <c r="E144" s="385"/>
      <c r="F144" s="385"/>
      <c r="J144" t="str">
        <f t="shared" si="45"/>
        <v>Trd_2w_elc50</v>
      </c>
      <c r="K144" t="str">
        <f t="shared" si="33"/>
        <v>\I:</v>
      </c>
      <c r="L144" t="str">
        <f t="shared" si="46"/>
        <v>\I:</v>
      </c>
      <c r="M144" s="374" t="str">
        <f t="shared" si="23"/>
        <v/>
      </c>
      <c r="N144" s="374" t="str">
        <f t="shared" si="24"/>
        <v/>
      </c>
      <c r="O144" s="374" t="str">
        <f t="shared" si="25"/>
        <v/>
      </c>
      <c r="P144" s="374" t="str">
        <f t="shared" si="26"/>
        <v/>
      </c>
      <c r="S144" s="370"/>
      <c r="V144" t="str">
        <f t="shared" si="27"/>
        <v>\I:</v>
      </c>
      <c r="W144" t="str">
        <f ca="1" t="shared" si="28"/>
        <v>Battery electric moped -- Electric range (km)</v>
      </c>
      <c r="X144" s="372" t="s">
        <v>85</v>
      </c>
      <c r="Y144" s="372" t="s">
        <v>86</v>
      </c>
    </row>
    <row r="145" spans="2:25">
      <c r="B145" s="385"/>
      <c r="C145" s="385"/>
      <c r="D145" s="385"/>
      <c r="E145" s="385"/>
      <c r="F145" s="385"/>
      <c r="J145" t="str">
        <f t="shared" si="45"/>
        <v>Trd_2w_elc50</v>
      </c>
      <c r="K145" t="str">
        <f t="shared" si="33"/>
        <v>\I:</v>
      </c>
      <c r="L145" t="str">
        <f t="shared" si="46"/>
        <v>\I:</v>
      </c>
      <c r="M145" s="374" t="str">
        <f t="shared" si="23"/>
        <v/>
      </c>
      <c r="N145" s="374" t="str">
        <f t="shared" si="24"/>
        <v/>
      </c>
      <c r="O145" s="374" t="str">
        <f t="shared" si="25"/>
        <v/>
      </c>
      <c r="P145" s="374" t="str">
        <f t="shared" si="26"/>
        <v/>
      </c>
      <c r="S145" s="370"/>
      <c r="V145" t="str">
        <f t="shared" si="27"/>
        <v>\I:</v>
      </c>
      <c r="W145" t="str">
        <f ca="1" t="shared" si="28"/>
        <v>Battery electric moped -- 00%</v>
      </c>
      <c r="X145" s="372" t="s">
        <v>85</v>
      </c>
      <c r="Y145" s="372" t="s">
        <v>86</v>
      </c>
    </row>
    <row r="146" spans="2:25">
      <c r="B146" s="385"/>
      <c r="C146" s="385"/>
      <c r="D146" s="385"/>
      <c r="E146" s="385"/>
      <c r="F146" s="385"/>
      <c r="J146" t="str">
        <f t="shared" si="45"/>
        <v>Trd_2w_elc50</v>
      </c>
      <c r="K146" t="str">
        <f t="shared" si="33"/>
        <v>\I:</v>
      </c>
      <c r="L146" t="str">
        <f t="shared" si="46"/>
        <v>\I:</v>
      </c>
      <c r="M146" s="374" t="str">
        <f t="shared" si="23"/>
        <v/>
      </c>
      <c r="N146" s="374" t="str">
        <f t="shared" si="24"/>
        <v/>
      </c>
      <c r="O146" s="374" t="str">
        <f t="shared" si="25"/>
        <v/>
      </c>
      <c r="P146" s="374" t="str">
        <f t="shared" si="26"/>
        <v/>
      </c>
      <c r="S146" s="370"/>
      <c r="V146" t="str">
        <f t="shared" si="27"/>
        <v>\I:</v>
      </c>
      <c r="W146" t="str">
        <f ca="1" t="shared" si="28"/>
        <v>Battery electric moped -- 00%</v>
      </c>
      <c r="X146" s="372" t="s">
        <v>85</v>
      </c>
      <c r="Y146" s="372" t="s">
        <v>86</v>
      </c>
    </row>
    <row r="147" spans="2:25">
      <c r="B147" s="50"/>
      <c r="C147" s="51">
        <v>2020</v>
      </c>
      <c r="D147" s="51">
        <v>2030</v>
      </c>
      <c r="E147" s="51">
        <v>2040</v>
      </c>
      <c r="F147" s="51">
        <v>2050</v>
      </c>
      <c r="J147" t="str">
        <f t="shared" si="45"/>
        <v>Trd_2w_elc50</v>
      </c>
      <c r="K147" t="str">
        <f t="shared" si="33"/>
        <v>\I:</v>
      </c>
      <c r="L147" t="str">
        <f t="shared" si="46"/>
        <v>\I:</v>
      </c>
      <c r="M147" s="374" t="str">
        <f t="shared" si="23"/>
        <v/>
      </c>
      <c r="N147" s="374" t="str">
        <f t="shared" si="24"/>
        <v/>
      </c>
      <c r="O147" s="374" t="str">
        <f t="shared" si="25"/>
        <v/>
      </c>
      <c r="P147" s="374" t="str">
        <f t="shared" si="26"/>
        <v/>
      </c>
      <c r="S147" s="370"/>
      <c r="V147" t="str">
        <f t="shared" si="27"/>
        <v>\I:</v>
      </c>
      <c r="W147" t="str">
        <f ca="1" t="shared" si="28"/>
        <v>Battery electric moped -- 00%</v>
      </c>
      <c r="X147" s="372" t="s">
        <v>85</v>
      </c>
      <c r="Y147" s="372" t="s">
        <v>86</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3"/>
        <v>Trd_2w_elc50_100</v>
      </c>
      <c r="L148" t="str">
        <f t="shared" si="46"/>
        <v>Trd_2w</v>
      </c>
      <c r="M148" s="379">
        <f>IF($K148="\I:","",C148*80%)</f>
        <v>3679.14347146747</v>
      </c>
      <c r="N148" s="380">
        <f t="shared" ref="N148:N155" si="47">M148*93%</f>
        <v>3421.60342846475</v>
      </c>
      <c r="O148" s="380">
        <f t="shared" ref="O148:O155" si="48">N148*95%</f>
        <v>3250.52325704151</v>
      </c>
      <c r="P148" s="380">
        <f t="shared" ref="P148:P155" si="49">O148*95%</f>
        <v>3087.99709418943</v>
      </c>
      <c r="S148" s="381">
        <v>0.05</v>
      </c>
      <c r="V148" t="str">
        <f t="shared" si="27"/>
        <v>Trd_2w_elc50_100</v>
      </c>
      <c r="W148" t="str">
        <f ca="1" t="shared" si="28"/>
        <v>Battery electric moped -- 10000%</v>
      </c>
      <c r="X148" s="372" t="s">
        <v>85</v>
      </c>
      <c r="Y148" s="372" t="s">
        <v>86</v>
      </c>
    </row>
    <row r="149" spans="2:25">
      <c r="B149" s="66">
        <v>108.571428571429</v>
      </c>
      <c r="C149" s="86">
        <v>4826.14686048914</v>
      </c>
      <c r="D149" s="86">
        <v>3104.152506899</v>
      </c>
      <c r="E149" s="86">
        <v>2821.20517954116</v>
      </c>
      <c r="F149" s="86">
        <v>2623.9788908285</v>
      </c>
      <c r="I149" s="75">
        <f t="shared" ref="I149:I155" si="50">$I$142</f>
        <v>8.03571428571429</v>
      </c>
      <c r="J149" t="str">
        <f t="shared" si="45"/>
        <v>Trd_2w_elc50</v>
      </c>
      <c r="K149" t="str">
        <f t="shared" si="33"/>
        <v>Trd_2w_elc50_109</v>
      </c>
      <c r="L149" t="str">
        <f t="shared" si="46"/>
        <v>Trd_2w</v>
      </c>
      <c r="M149" s="379">
        <f t="shared" ref="M149:M155" si="51">IF($K149="\I:","",C149*80%)</f>
        <v>3860.91748839131</v>
      </c>
      <c r="N149" s="380">
        <f t="shared" si="47"/>
        <v>3590.65326420392</v>
      </c>
      <c r="O149" s="380">
        <f t="shared" si="48"/>
        <v>3411.12060099372</v>
      </c>
      <c r="P149" s="380">
        <f t="shared" si="49"/>
        <v>3240.56457094404</v>
      </c>
      <c r="S149" s="381">
        <v>0.075</v>
      </c>
      <c r="V149" t="str">
        <f t="shared" si="27"/>
        <v>Trd_2w_elc50_109</v>
      </c>
      <c r="W149" t="str">
        <f ca="1" t="shared" si="28"/>
        <v>Battery electric moped -- 10857%</v>
      </c>
      <c r="X149" s="372" t="s">
        <v>85</v>
      </c>
      <c r="Y149" s="372" t="s">
        <v>86</v>
      </c>
    </row>
    <row r="150" spans="2:25">
      <c r="B150" s="66">
        <v>117.142857142857</v>
      </c>
      <c r="C150" s="86">
        <v>4915.29569075295</v>
      </c>
      <c r="D150" s="86">
        <v>3142.75306061625</v>
      </c>
      <c r="E150" s="86">
        <v>2851.49995703936</v>
      </c>
      <c r="F150" s="86">
        <v>2648.48419000273</v>
      </c>
      <c r="I150" s="75">
        <f t="shared" si="50"/>
        <v>8.03571428571429</v>
      </c>
      <c r="J150" t="str">
        <f t="shared" si="45"/>
        <v>Trd_2w_elc50</v>
      </c>
      <c r="K150" t="str">
        <f t="shared" si="33"/>
        <v>Trd_2w_elc50_117</v>
      </c>
      <c r="L150" t="str">
        <f t="shared" si="46"/>
        <v>Trd_2w</v>
      </c>
      <c r="M150" s="379">
        <f t="shared" si="51"/>
        <v>3932.23655260236</v>
      </c>
      <c r="N150" s="380">
        <f t="shared" si="47"/>
        <v>3656.97999392019</v>
      </c>
      <c r="O150" s="380">
        <f t="shared" si="48"/>
        <v>3474.13099422419</v>
      </c>
      <c r="P150" s="380">
        <f t="shared" si="49"/>
        <v>3300.42444451298</v>
      </c>
      <c r="S150" s="381">
        <v>0.1</v>
      </c>
      <c r="V150" t="str">
        <f t="shared" si="27"/>
        <v>Trd_2w_elc50_117</v>
      </c>
      <c r="W150" t="str">
        <f ca="1" t="shared" si="28"/>
        <v>Battery electric moped -- 11714%</v>
      </c>
      <c r="X150" s="372" t="s">
        <v>85</v>
      </c>
      <c r="Y150" s="372" t="s">
        <v>86</v>
      </c>
    </row>
    <row r="151" spans="2:25">
      <c r="B151" s="66">
        <v>125.714285714286</v>
      </c>
      <c r="C151" s="86">
        <v>4925.63516312727</v>
      </c>
      <c r="D151" s="86">
        <v>3147.22994895693</v>
      </c>
      <c r="E151" s="86">
        <v>2855.0135422889</v>
      </c>
      <c r="F151" s="86">
        <v>2651.32631213812</v>
      </c>
      <c r="I151" s="75">
        <f t="shared" si="50"/>
        <v>8.03571428571429</v>
      </c>
      <c r="J151" t="str">
        <f t="shared" si="45"/>
        <v>Trd_2w_elc50</v>
      </c>
      <c r="K151" t="str">
        <f t="shared" si="33"/>
        <v>Trd_2w_elc50_126</v>
      </c>
      <c r="L151" t="str">
        <f t="shared" si="46"/>
        <v>Trd_2w</v>
      </c>
      <c r="M151" s="379">
        <f t="shared" si="51"/>
        <v>3940.50813050182</v>
      </c>
      <c r="N151" s="380">
        <f t="shared" si="47"/>
        <v>3664.67256136669</v>
      </c>
      <c r="O151" s="380">
        <f t="shared" si="48"/>
        <v>3481.43893329836</v>
      </c>
      <c r="P151" s="380">
        <f t="shared" si="49"/>
        <v>3307.36698663344</v>
      </c>
      <c r="S151" s="381">
        <v>0.125</v>
      </c>
      <c r="V151" t="str">
        <f t="shared" si="27"/>
        <v>Trd_2w_elc50_126</v>
      </c>
      <c r="W151" t="str">
        <f ca="1" t="shared" si="28"/>
        <v>Battery electric moped -- 12571%</v>
      </c>
      <c r="X151" s="372" t="s">
        <v>85</v>
      </c>
      <c r="Y151" s="372" t="s">
        <v>86</v>
      </c>
    </row>
    <row r="152" spans="2:25">
      <c r="B152" s="66">
        <v>134.285714285714</v>
      </c>
      <c r="C152" s="86">
        <v>5031.68195257476</v>
      </c>
      <c r="D152" s="86">
        <v>3193.1471503436</v>
      </c>
      <c r="E152" s="86">
        <v>2891.0506263561</v>
      </c>
      <c r="F152" s="86">
        <v>2680.47653535684</v>
      </c>
      <c r="I152" s="75">
        <f t="shared" si="50"/>
        <v>8.03571428571429</v>
      </c>
      <c r="J152" t="str">
        <f t="shared" si="45"/>
        <v>Trd_2w_elc50</v>
      </c>
      <c r="K152" t="str">
        <f t="shared" si="33"/>
        <v>Trd_2w_elc50_134</v>
      </c>
      <c r="L152" t="str">
        <f t="shared" si="46"/>
        <v>Trd_2w</v>
      </c>
      <c r="M152" s="379">
        <f t="shared" si="51"/>
        <v>4025.34556205981</v>
      </c>
      <c r="N152" s="380">
        <f t="shared" si="47"/>
        <v>3743.57137271562</v>
      </c>
      <c r="O152" s="380">
        <f t="shared" si="48"/>
        <v>3556.39280407984</v>
      </c>
      <c r="P152" s="380">
        <f t="shared" si="49"/>
        <v>3378.57316387585</v>
      </c>
      <c r="S152" s="381">
        <v>0.15</v>
      </c>
      <c r="V152" t="str">
        <f t="shared" ref="V152:V155" si="52">K152</f>
        <v>Trd_2w_elc50_134</v>
      </c>
      <c r="W152" t="str">
        <f ca="1">OFFSET($S$1,MATCH(J152,$S$1:$S$11,0)-1,-1)&amp;" -- "&amp;TEXT(B152,"00%")</f>
        <v>Battery electric moped -- 13429%</v>
      </c>
      <c r="X152" s="372" t="s">
        <v>85</v>
      </c>
      <c r="Y152" s="372" t="s">
        <v>86</v>
      </c>
    </row>
    <row r="153" spans="2:25">
      <c r="B153" s="66">
        <v>142.857142857143</v>
      </c>
      <c r="C153" s="86">
        <v>5124.86263948367</v>
      </c>
      <c r="D153" s="86">
        <v>3233.49345774656</v>
      </c>
      <c r="E153" s="86">
        <v>2922.71551941954</v>
      </c>
      <c r="F153" s="86">
        <v>2706.09011439322</v>
      </c>
      <c r="I153" s="75">
        <f t="shared" si="50"/>
        <v>8.03571428571429</v>
      </c>
      <c r="J153" t="str">
        <f t="shared" si="45"/>
        <v>Trd_2w_elc50</v>
      </c>
      <c r="K153" t="str">
        <f t="shared" si="33"/>
        <v>Trd_2w_elc50_143</v>
      </c>
      <c r="L153" t="str">
        <f t="shared" si="46"/>
        <v>Trd_2w</v>
      </c>
      <c r="M153" s="379">
        <f t="shared" si="51"/>
        <v>4099.89011158694</v>
      </c>
      <c r="N153" s="380">
        <f t="shared" si="47"/>
        <v>3812.89780377585</v>
      </c>
      <c r="O153" s="380">
        <f t="shared" si="48"/>
        <v>3622.25291358706</v>
      </c>
      <c r="P153" s="380">
        <f t="shared" si="49"/>
        <v>3441.14026790771</v>
      </c>
      <c r="S153" s="381">
        <v>0.175</v>
      </c>
      <c r="V153" t="str">
        <f t="shared" si="52"/>
        <v>Trd_2w_elc50_143</v>
      </c>
      <c r="W153" t="str">
        <f ca="1">OFFSET($S$1,MATCH(J153,$S$1:$S$11,0)-1,-1)&amp;" -- "&amp;TEXT(B153,"00%")</f>
        <v>Battery electric moped -- 14286%</v>
      </c>
      <c r="X153" s="372" t="s">
        <v>85</v>
      </c>
      <c r="Y153" s="372" t="s">
        <v>86</v>
      </c>
    </row>
    <row r="154" spans="2:25">
      <c r="B154" s="66">
        <v>151.428571428571</v>
      </c>
      <c r="C154" s="86">
        <v>5274.35193764196</v>
      </c>
      <c r="D154" s="86">
        <v>3298.22083180899</v>
      </c>
      <c r="E154" s="86">
        <v>2973.51534497716</v>
      </c>
      <c r="F154" s="86">
        <v>2747.18184788961</v>
      </c>
      <c r="I154" s="75">
        <f t="shared" si="50"/>
        <v>8.03571428571429</v>
      </c>
      <c r="J154" t="str">
        <f t="shared" si="45"/>
        <v>Trd_2w_elc50</v>
      </c>
      <c r="K154" t="str">
        <f t="shared" si="33"/>
        <v>Trd_2w_elc50_151</v>
      </c>
      <c r="L154" t="str">
        <f t="shared" si="46"/>
        <v>Trd_2w</v>
      </c>
      <c r="M154" s="379">
        <f t="shared" si="51"/>
        <v>4219.48155011357</v>
      </c>
      <c r="N154" s="380">
        <f t="shared" si="47"/>
        <v>3924.11784160562</v>
      </c>
      <c r="O154" s="380">
        <f t="shared" si="48"/>
        <v>3727.91194952534</v>
      </c>
      <c r="P154" s="380">
        <f t="shared" si="49"/>
        <v>3541.51635204907</v>
      </c>
      <c r="S154" s="381">
        <v>0.2</v>
      </c>
      <c r="V154" t="str">
        <f t="shared" si="52"/>
        <v>Trd_2w_elc50_151</v>
      </c>
      <c r="W154" t="str">
        <f ca="1">OFFSET($S$1,MATCH(J154,$S$1:$S$11,0)-1,-1)&amp;" -- "&amp;TEXT(B154,"00%")</f>
        <v>Battery electric moped -- 15143%</v>
      </c>
      <c r="X154" s="372" t="s">
        <v>85</v>
      </c>
      <c r="Y154" s="372" t="s">
        <v>86</v>
      </c>
    </row>
    <row r="155" spans="2:25">
      <c r="B155" s="66">
        <v>160</v>
      </c>
      <c r="C155" s="86">
        <v>5418.44153445629</v>
      </c>
      <c r="D155" s="86">
        <v>3360.61018908344</v>
      </c>
      <c r="E155" s="86">
        <v>3022.48023057777</v>
      </c>
      <c r="F155" s="86">
        <v>2786.78930731876</v>
      </c>
      <c r="I155" s="75">
        <f t="shared" si="50"/>
        <v>8.03571428571429</v>
      </c>
      <c r="J155" t="str">
        <f t="shared" si="45"/>
        <v>Trd_2w_elc50</v>
      </c>
      <c r="K155" t="str">
        <f t="shared" si="33"/>
        <v>Trd_2w_elc50_160</v>
      </c>
      <c r="L155" t="str">
        <f t="shared" si="46"/>
        <v>Trd_2w</v>
      </c>
      <c r="M155" s="379">
        <f t="shared" si="51"/>
        <v>4334.75322756503</v>
      </c>
      <c r="N155" s="380">
        <f t="shared" si="47"/>
        <v>4031.32050163548</v>
      </c>
      <c r="O155" s="380">
        <f t="shared" si="48"/>
        <v>3829.7544765537</v>
      </c>
      <c r="P155" s="380">
        <f t="shared" si="49"/>
        <v>3638.26675272602</v>
      </c>
      <c r="S155" s="370"/>
      <c r="V155" t="str">
        <f t="shared" si="52"/>
        <v>Trd_2w_elc50_160</v>
      </c>
      <c r="W155" t="str">
        <f ca="1">OFFSET($S$1,MATCH(J155,$S$1:$S$11,0)-1,-1)&amp;" -- "&amp;TEXT(B155,"00%")</f>
        <v>Battery electric moped -- 16000%</v>
      </c>
      <c r="X155" s="372" t="s">
        <v>85</v>
      </c>
      <c r="Y155" s="372" t="s">
        <v>86</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82" zoomScaleNormal="82" topLeftCell="D1" workbookViewId="0">
      <selection activeCell="Q19" sqref="Q19"/>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55" t="s">
        <v>10</v>
      </c>
      <c r="C1" s="356"/>
      <c r="D1" s="356"/>
      <c r="E1" s="356"/>
      <c r="F1" s="357"/>
      <c r="Q1" t="s">
        <v>51</v>
      </c>
      <c r="R1" t="s">
        <v>149</v>
      </c>
      <c r="S1" t="str">
        <f>"Trd_bus_"&amp;Q1</f>
        <v>Trd_bus_dsl</v>
      </c>
    </row>
    <row r="2" spans="2:24">
      <c r="B2" s="358" t="s">
        <v>9</v>
      </c>
      <c r="C2" s="359"/>
      <c r="D2" s="359"/>
      <c r="E2" s="359"/>
      <c r="F2" s="359"/>
      <c r="Q2" t="s">
        <v>54</v>
      </c>
      <c r="R2" t="s">
        <v>150</v>
      </c>
      <c r="S2" t="str">
        <f t="shared" ref="S2:S6" si="0">"Trd_bus_"&amp;Q2</f>
        <v>Trd_bus_dsl-hyb</v>
      </c>
    </row>
    <row r="3" ht="18.5" spans="2:24">
      <c r="B3" s="360" t="s">
        <v>151</v>
      </c>
      <c r="C3" s="361"/>
      <c r="D3" s="361"/>
      <c r="E3" s="361"/>
      <c r="F3" s="362"/>
      <c r="Q3" t="s">
        <v>59</v>
      </c>
      <c r="R3" t="s">
        <v>152</v>
      </c>
      <c r="S3" t="str">
        <f t="shared" si="0"/>
        <v>Trd_bus_cng</v>
      </c>
    </row>
    <row r="4" spans="2:24">
      <c r="I4" s="363">
        <v>0.038</v>
      </c>
      <c r="J4" s="363" t="s">
        <v>50</v>
      </c>
      <c r="Q4" t="s">
        <v>61</v>
      </c>
      <c r="R4" t="s">
        <v>153</v>
      </c>
      <c r="S4" t="str">
        <f>"\I:Trd_bus_"&amp;Q4</f>
        <v>\I:Trd_bus_lpg</v>
      </c>
    </row>
    <row r="5" ht="15" customHeight="1" spans="2:24">
      <c r="B5" s="44" t="s">
        <v>154</v>
      </c>
      <c r="I5" s="364">
        <f>1.406/26.137</f>
        <v>0.053793472854574</v>
      </c>
      <c r="J5" s="363" t="s">
        <v>53</v>
      </c>
      <c r="Q5" t="s">
        <v>66</v>
      </c>
      <c r="R5" t="s">
        <v>155</v>
      </c>
      <c r="S5" t="str">
        <f t="shared" si="0"/>
        <v>Trd_bus_elc</v>
      </c>
    </row>
    <row r="6" spans="2:24">
      <c r="B6" s="365">
        <v>2015</v>
      </c>
      <c r="C6" s="365"/>
      <c r="D6" s="365"/>
      <c r="Q6" t="s">
        <v>68</v>
      </c>
      <c r="R6" t="s">
        <v>156</v>
      </c>
      <c r="S6" t="str">
        <f t="shared" si="0"/>
        <v>Trd_bus_hh2</v>
      </c>
    </row>
    <row r="7" spans="2:24">
      <c r="B7" s="46" t="s">
        <v>12</v>
      </c>
      <c r="C7" s="47" t="s">
        <v>13</v>
      </c>
      <c r="D7" s="48">
        <v>36.5156473019872</v>
      </c>
      <c r="G7" s="366">
        <f>D7*$I$4/100*10^9/10^6</f>
        <v>13.8759459747551</v>
      </c>
      <c r="H7" s="366"/>
      <c r="I7" s="367">
        <f>1/G7</f>
        <v>0.0720671586513327</v>
      </c>
      <c r="R7" t="s">
        <v>157</v>
      </c>
      <c r="S7" t="str">
        <f>"\I:Trd_bus_"&amp;Q7</f>
        <v>\I:Trd_bus_</v>
      </c>
    </row>
    <row r="8" spans="2:24">
      <c r="B8" s="46" t="s">
        <v>14</v>
      </c>
      <c r="C8" s="47" t="s">
        <v>15</v>
      </c>
      <c r="D8" s="68">
        <v>275816.550231559</v>
      </c>
      <c r="I8" s="44" t="s">
        <v>70</v>
      </c>
      <c r="R8" t="s">
        <v>158</v>
      </c>
      <c r="S8" t="str">
        <f>"\I:Trd_bus_"&amp;Q8</f>
        <v>\I:Trd_bus_</v>
      </c>
    </row>
    <row r="9" spans="2:24">
      <c r="R9" t="s">
        <v>159</v>
      </c>
      <c r="S9" t="str">
        <f>"\I:Trd_bus_"&amp;Q9</f>
        <v>\I:Trd_bus_</v>
      </c>
    </row>
    <row r="11" ht="15.25" spans="2:24">
      <c r="K11" s="368" t="s">
        <v>71</v>
      </c>
      <c r="T11" s="368" t="s">
        <v>72</v>
      </c>
      <c r="U11" s="369"/>
      <c r="V11" s="369"/>
      <c r="W11" s="369"/>
      <c r="X11" s="369"/>
    </row>
    <row r="12" spans="2:24">
      <c r="I12" t="s">
        <v>73</v>
      </c>
      <c r="J12" t="s">
        <v>74</v>
      </c>
      <c r="K12" t="s">
        <v>75</v>
      </c>
      <c r="L12" t="s">
        <v>76</v>
      </c>
      <c r="M12">
        <f>C16</f>
        <v>2020</v>
      </c>
      <c r="N12">
        <f>D16</f>
        <v>2030</v>
      </c>
      <c r="O12">
        <f>E16</f>
        <v>2040</v>
      </c>
      <c r="P12" t="s">
        <v>77</v>
      </c>
      <c r="R12" s="370" t="s">
        <v>78</v>
      </c>
      <c r="T12" s="369" t="s">
        <v>79</v>
      </c>
      <c r="U12" s="369" t="s">
        <v>80</v>
      </c>
      <c r="V12" s="369" t="s">
        <v>81</v>
      </c>
      <c r="W12" s="369" t="s">
        <v>82</v>
      </c>
      <c r="X12" s="369" t="s">
        <v>83</v>
      </c>
    </row>
    <row r="13" spans="2:24">
      <c r="B13" s="371" t="s">
        <v>120</v>
      </c>
      <c r="C13" s="371" t="s">
        <v>149</v>
      </c>
      <c r="D13" s="371"/>
      <c r="E13" s="371"/>
      <c r="F13" s="371"/>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70"/>
      <c r="T13" t="s">
        <v>84</v>
      </c>
      <c r="U13" t="str">
        <f>K13</f>
        <v>\I:</v>
      </c>
      <c r="V13" t="str">
        <f ca="1">OFFSET($S$1,MATCH(J13,$S$1:$S$12,0)-1,-1)&amp;" -- "&amp;TEXT(B13,"00%")</f>
        <v>Diesel bus -- Reduction of specific energy consumption relative to 2015 diesel vehicle(%)</v>
      </c>
      <c r="W13" s="372" t="s">
        <v>85</v>
      </c>
      <c r="X13" s="372" t="s">
        <v>86</v>
      </c>
    </row>
    <row r="14" spans="2:24">
      <c r="B14" s="371"/>
      <c r="C14" s="371"/>
      <c r="D14" s="371"/>
      <c r="E14" s="371"/>
      <c r="F14" s="371"/>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70"/>
      <c r="T14" t="s">
        <v>84</v>
      </c>
      <c r="U14" t="str">
        <f t="shared" ref="U14:U23" si="8">K14</f>
        <v>\I:</v>
      </c>
      <c r="V14" t="str">
        <f ca="1" t="shared" ref="V14:V23" si="9">OFFSET($S$1,MATCH(J14,$S$1:$S$12,0)-1,-1)&amp;" -- "&amp;TEXT(B14,"00%")</f>
        <v>Diesel bus -- 00%</v>
      </c>
      <c r="W14" s="372" t="s">
        <v>85</v>
      </c>
      <c r="X14" s="372" t="s">
        <v>86</v>
      </c>
    </row>
    <row r="15" spans="2:24">
      <c r="B15" s="371"/>
      <c r="C15" s="371"/>
      <c r="D15" s="371"/>
      <c r="E15" s="371"/>
      <c r="F15" s="371"/>
      <c r="J15" t="str">
        <f t="shared" si="1"/>
        <v>Trd_bus_dsl</v>
      </c>
      <c r="K15" t="str">
        <f t="shared" si="2"/>
        <v>\I:</v>
      </c>
      <c r="L15" t="str">
        <f t="shared" si="3"/>
        <v>\I:</v>
      </c>
      <c r="M15" t="str">
        <f t="shared" si="4"/>
        <v/>
      </c>
      <c r="N15" t="str">
        <f t="shared" si="5"/>
        <v/>
      </c>
      <c r="O15" t="str">
        <f t="shared" si="6"/>
        <v/>
      </c>
      <c r="P15" t="str">
        <f t="shared" si="7"/>
        <v/>
      </c>
      <c r="R15" s="370"/>
      <c r="T15" t="s">
        <v>84</v>
      </c>
      <c r="U15" t="str">
        <f t="shared" si="8"/>
        <v>\I:</v>
      </c>
      <c r="V15" t="str">
        <f ca="1" t="shared" si="9"/>
        <v>Diesel bus -- 00%</v>
      </c>
      <c r="W15" s="372" t="s">
        <v>85</v>
      </c>
      <c r="X15" s="372" t="s">
        <v>86</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70"/>
      <c r="T16" t="s">
        <v>84</v>
      </c>
      <c r="U16" t="str">
        <f t="shared" si="8"/>
        <v>\I:</v>
      </c>
      <c r="V16" t="str">
        <f ca="1" t="shared" si="9"/>
        <v>Diesel bus -- 00%</v>
      </c>
      <c r="W16" s="372" t="s">
        <v>85</v>
      </c>
      <c r="X16" s="372" t="s">
        <v>86</v>
      </c>
    </row>
    <row r="17" spans="2:24">
      <c r="B17" s="85">
        <v>0.0409380868944008</v>
      </c>
      <c r="C17" s="86">
        <v>277035.545225282</v>
      </c>
      <c r="D17" s="86">
        <v>277035.545225282</v>
      </c>
      <c r="E17" s="86">
        <v>277035.545225282</v>
      </c>
      <c r="F17" s="86">
        <v>277035.545225282</v>
      </c>
      <c r="I17" s="373">
        <f>(1+B17)</f>
        <v>1.0409380868944</v>
      </c>
      <c r="J17" t="str">
        <f t="shared" si="1"/>
        <v>Trd_bus_dsl</v>
      </c>
      <c r="K17" t="str">
        <f t="shared" si="2"/>
        <v>Trd_bus_dsl_04</v>
      </c>
      <c r="L17" t="str">
        <f t="shared" si="3"/>
        <v>Trd_bus</v>
      </c>
      <c r="M17" s="374">
        <f t="shared" si="4"/>
        <v>277035.545225282</v>
      </c>
      <c r="N17" s="374">
        <f t="shared" si="5"/>
        <v>277035.545225282</v>
      </c>
      <c r="O17" s="374">
        <f t="shared" si="6"/>
        <v>277035.545225282</v>
      </c>
      <c r="P17" s="374">
        <f t="shared" si="7"/>
        <v>277035.545225282</v>
      </c>
      <c r="R17" s="370"/>
      <c r="T17" t="s">
        <v>84</v>
      </c>
      <c r="U17" t="str">
        <f t="shared" si="8"/>
        <v>Trd_bus_dsl_04</v>
      </c>
      <c r="V17" t="str">
        <f ca="1" t="shared" si="9"/>
        <v>Diesel bus -- 04%</v>
      </c>
      <c r="W17" s="372" t="s">
        <v>85</v>
      </c>
      <c r="X17" s="372" t="s">
        <v>86</v>
      </c>
    </row>
    <row r="18" spans="2:24">
      <c r="B18" s="85">
        <v>0.0609380868944008</v>
      </c>
      <c r="C18" s="86">
        <v>278399.905207018</v>
      </c>
      <c r="D18" s="86">
        <v>277922.612863842</v>
      </c>
      <c r="E18" s="86">
        <v>277922.612863842</v>
      </c>
      <c r="F18" s="86">
        <v>277922.612863842</v>
      </c>
      <c r="I18" s="373">
        <f t="shared" ref="I18:I23" si="10">(1+B18)</f>
        <v>1.0609380868944</v>
      </c>
      <c r="J18" t="str">
        <f t="shared" si="1"/>
        <v>Trd_bus_dsl</v>
      </c>
      <c r="K18" t="str">
        <f t="shared" si="2"/>
        <v>Trd_bus_dsl_06</v>
      </c>
      <c r="L18" t="str">
        <f t="shared" si="3"/>
        <v>Trd_bus</v>
      </c>
      <c r="M18" s="374">
        <f t="shared" si="4"/>
        <v>278399.905207018</v>
      </c>
      <c r="N18" s="374">
        <f t="shared" si="5"/>
        <v>277922.612863842</v>
      </c>
      <c r="O18" s="374">
        <f t="shared" si="6"/>
        <v>277922.612863842</v>
      </c>
      <c r="P18" s="374">
        <f t="shared" si="7"/>
        <v>277922.612863842</v>
      </c>
      <c r="R18" s="370"/>
      <c r="T18" t="s">
        <v>84</v>
      </c>
      <c r="U18" t="str">
        <f t="shared" si="8"/>
        <v>Trd_bus_dsl_06</v>
      </c>
      <c r="V18" t="str">
        <f ca="1" t="shared" si="9"/>
        <v>Diesel bus -- 06%</v>
      </c>
      <c r="W18" s="372" t="s">
        <v>85</v>
      </c>
      <c r="X18" s="372" t="s">
        <v>86</v>
      </c>
    </row>
    <row r="19" spans="2:24">
      <c r="B19" s="85">
        <v>0.0809380868944008</v>
      </c>
      <c r="C19" s="86">
        <v>280340.227892535</v>
      </c>
      <c r="D19" s="86">
        <v>280036.119387962</v>
      </c>
      <c r="E19" s="86">
        <v>280036.119387962</v>
      </c>
      <c r="F19" s="86">
        <v>280036.119387962</v>
      </c>
      <c r="I19" s="373">
        <f t="shared" si="10"/>
        <v>1.0809380868944</v>
      </c>
      <c r="J19" t="str">
        <f t="shared" si="1"/>
        <v>Trd_bus_dsl</v>
      </c>
      <c r="K19" t="str">
        <f t="shared" si="2"/>
        <v>Trd_bus_dsl_08</v>
      </c>
      <c r="L19" t="str">
        <f t="shared" si="3"/>
        <v>Trd_bus</v>
      </c>
      <c r="M19" s="374">
        <f t="shared" si="4"/>
        <v>280340.227892535</v>
      </c>
      <c r="N19" s="374">
        <f t="shared" si="5"/>
        <v>280036.119387962</v>
      </c>
      <c r="O19" s="374">
        <f t="shared" si="6"/>
        <v>280036.119387962</v>
      </c>
      <c r="P19" s="374">
        <f t="shared" si="7"/>
        <v>280036.119387962</v>
      </c>
      <c r="R19" s="370"/>
      <c r="T19" t="s">
        <v>84</v>
      </c>
      <c r="U19" t="str">
        <f t="shared" si="8"/>
        <v>Trd_bus_dsl_08</v>
      </c>
      <c r="V19" t="str">
        <f ca="1" t="shared" si="9"/>
        <v>Diesel bus -- 08%</v>
      </c>
      <c r="W19" s="372" t="s">
        <v>85</v>
      </c>
      <c r="X19" s="372" t="s">
        <v>86</v>
      </c>
    </row>
    <row r="20" spans="2:24">
      <c r="B20" s="85">
        <v>0.110938086894401</v>
      </c>
      <c r="C20" s="86">
        <v>282100.178960952</v>
      </c>
      <c r="D20" s="86">
        <v>281836.46388557</v>
      </c>
      <c r="E20" s="86">
        <v>281836.46388557</v>
      </c>
      <c r="F20" s="86">
        <v>281836.46388557</v>
      </c>
      <c r="I20" s="373">
        <f t="shared" si="10"/>
        <v>1.1109380868944</v>
      </c>
      <c r="J20" t="str">
        <f t="shared" si="1"/>
        <v>Trd_bus_dsl</v>
      </c>
      <c r="K20" t="str">
        <f t="shared" si="2"/>
        <v>Trd_bus_dsl_11</v>
      </c>
      <c r="L20" t="str">
        <f t="shared" si="3"/>
        <v>Trd_bus</v>
      </c>
      <c r="M20" s="374">
        <f t="shared" si="4"/>
        <v>282100.178960952</v>
      </c>
      <c r="N20" s="374">
        <f t="shared" si="5"/>
        <v>281836.46388557</v>
      </c>
      <c r="O20" s="374">
        <f t="shared" si="6"/>
        <v>281836.46388557</v>
      </c>
      <c r="P20" s="374">
        <f t="shared" si="7"/>
        <v>281836.46388557</v>
      </c>
      <c r="R20" s="370"/>
      <c r="T20" t="s">
        <v>84</v>
      </c>
      <c r="U20" t="str">
        <f t="shared" si="8"/>
        <v>Trd_bus_dsl_11</v>
      </c>
      <c r="V20" t="str">
        <f ca="1" t="shared" si="9"/>
        <v>Diesel bus -- 11%</v>
      </c>
      <c r="W20" s="372" t="s">
        <v>85</v>
      </c>
      <c r="X20" s="372" t="s">
        <v>86</v>
      </c>
    </row>
    <row r="21" spans="2:24">
      <c r="B21" s="85">
        <v>0.140938086894401</v>
      </c>
      <c r="C21" s="86">
        <v>284796.605674726</v>
      </c>
      <c r="D21" s="86">
        <v>284536.980631981</v>
      </c>
      <c r="E21" s="86">
        <v>284536.980631981</v>
      </c>
      <c r="F21" s="86">
        <v>284536.980631981</v>
      </c>
      <c r="I21" s="373">
        <f t="shared" si="10"/>
        <v>1.1409380868944</v>
      </c>
      <c r="J21" t="str">
        <f t="shared" si="1"/>
        <v>Trd_bus_dsl</v>
      </c>
      <c r="K21" t="str">
        <f t="shared" si="2"/>
        <v>Trd_bus_dsl_14</v>
      </c>
      <c r="L21" t="str">
        <f t="shared" si="3"/>
        <v>Trd_bus</v>
      </c>
      <c r="M21" s="374">
        <f t="shared" si="4"/>
        <v>284796.605674726</v>
      </c>
      <c r="N21" s="374">
        <f t="shared" si="5"/>
        <v>284536.980631981</v>
      </c>
      <c r="O21" s="374">
        <f t="shared" si="6"/>
        <v>284536.980631981</v>
      </c>
      <c r="P21" s="374">
        <f t="shared" si="7"/>
        <v>284536.980631981</v>
      </c>
      <c r="R21" s="370"/>
      <c r="T21" t="s">
        <v>84</v>
      </c>
      <c r="U21" t="str">
        <f t="shared" si="8"/>
        <v>Trd_bus_dsl_14</v>
      </c>
      <c r="V21" t="str">
        <f ca="1" t="shared" si="9"/>
        <v>Diesel bus -- 14%</v>
      </c>
      <c r="W21" s="372" t="s">
        <v>85</v>
      </c>
      <c r="X21" s="372" t="s">
        <v>86</v>
      </c>
    </row>
    <row r="22" spans="2:24">
      <c r="B22" s="85">
        <v>0.170938086894401</v>
      </c>
      <c r="C22" s="86">
        <v>312906.877352837</v>
      </c>
      <c r="D22" s="86">
        <v>289153.080385683</v>
      </c>
      <c r="E22" s="86">
        <v>289037.841876</v>
      </c>
      <c r="F22" s="86">
        <v>289037.841876</v>
      </c>
      <c r="I22" s="373">
        <f t="shared" si="10"/>
        <v>1.1709380868944</v>
      </c>
      <c r="J22" t="str">
        <f t="shared" si="1"/>
        <v>Trd_bus_dsl</v>
      </c>
      <c r="K22" t="str">
        <f t="shared" si="2"/>
        <v>Trd_bus_dsl_17</v>
      </c>
      <c r="L22" t="str">
        <f t="shared" si="3"/>
        <v>Trd_bus</v>
      </c>
      <c r="M22" s="374">
        <f t="shared" si="4"/>
        <v>312906.877352837</v>
      </c>
      <c r="N22" s="374">
        <f t="shared" si="5"/>
        <v>289153.080385683</v>
      </c>
      <c r="O22" s="374">
        <f t="shared" si="6"/>
        <v>289037.841876</v>
      </c>
      <c r="P22" s="374">
        <f t="shared" si="7"/>
        <v>289037.841876</v>
      </c>
      <c r="R22" s="370"/>
      <c r="T22" t="s">
        <v>84</v>
      </c>
      <c r="U22" t="str">
        <f t="shared" si="8"/>
        <v>Trd_bus_dsl_17</v>
      </c>
      <c r="V22" t="str">
        <f ca="1" t="shared" si="9"/>
        <v>Diesel bus -- 17%</v>
      </c>
      <c r="W22" s="372" t="s">
        <v>85</v>
      </c>
      <c r="X22" s="372" t="s">
        <v>86</v>
      </c>
    </row>
    <row r="23" spans="2:24">
      <c r="B23" s="85">
        <v>0.210938086894401</v>
      </c>
      <c r="C23" s="86">
        <v>374217.896441724</v>
      </c>
      <c r="D23" s="86">
        <v>299784.837414464</v>
      </c>
      <c r="E23" s="86">
        <v>293128.62465112</v>
      </c>
      <c r="F23" s="86">
        <v>293128.62465112</v>
      </c>
      <c r="I23" s="373">
        <f t="shared" si="10"/>
        <v>1.2109380868944</v>
      </c>
      <c r="J23" t="str">
        <f t="shared" si="1"/>
        <v>Trd_bus_dsl</v>
      </c>
      <c r="K23" t="str">
        <f t="shared" si="2"/>
        <v>Trd_bus_dsl_21</v>
      </c>
      <c r="L23" t="str">
        <f t="shared" si="3"/>
        <v>Trd_bus</v>
      </c>
      <c r="M23" s="374">
        <f t="shared" si="4"/>
        <v>374217.896441724</v>
      </c>
      <c r="N23" s="374">
        <f t="shared" si="5"/>
        <v>299784.837414464</v>
      </c>
      <c r="O23" s="374">
        <f t="shared" si="6"/>
        <v>293128.62465112</v>
      </c>
      <c r="P23" s="374">
        <f t="shared" si="7"/>
        <v>293128.62465112</v>
      </c>
      <c r="R23" s="370"/>
      <c r="T23" t="s">
        <v>84</v>
      </c>
      <c r="U23" t="str">
        <f t="shared" si="8"/>
        <v>Trd_bus_dsl_21</v>
      </c>
      <c r="V23" t="str">
        <f ca="1" t="shared" si="9"/>
        <v>Diesel bus -- 21%</v>
      </c>
      <c r="W23" s="372" t="s">
        <v>85</v>
      </c>
      <c r="X23" s="372" t="s">
        <v>86</v>
      </c>
    </row>
    <row r="24" spans="2:24">
      <c r="J24" t="str">
        <f t="shared" si="1"/>
        <v>Trd_bus_dsl</v>
      </c>
      <c r="K24" t="str">
        <f t="shared" ref="K24:K87" si="11">IFERROR(IF(VALUE(C24)&gt;2020,J24&amp;"_"&amp;TEXT(B24*100,"00"),"\I:"),"\I:")</f>
        <v>\I:</v>
      </c>
      <c r="L24" t="str">
        <f t="shared" si="3"/>
        <v>\I:</v>
      </c>
      <c r="M24" s="374" t="str">
        <f t="shared" ref="M24:M87" si="12">IF($K24="\I:","",C24)</f>
        <v/>
      </c>
      <c r="N24" s="374" t="str">
        <f t="shared" ref="N24:N87" si="13">IF($K24="\I:","",D24)</f>
        <v/>
      </c>
      <c r="O24" s="374" t="str">
        <f t="shared" ref="O24:O87" si="14">IF($K24="\I:","",E24)</f>
        <v/>
      </c>
      <c r="P24" s="374" t="str">
        <f t="shared" ref="P24:P87" si="15">IF($K24="\I:","",F24)</f>
        <v/>
      </c>
      <c r="R24" s="370"/>
      <c r="T24" t="s">
        <v>84</v>
      </c>
      <c r="U24" t="str">
        <f t="shared" ref="U24:U87" si="16">K24</f>
        <v>\I:</v>
      </c>
      <c r="V24" t="str">
        <f ca="1" t="shared" ref="V24:V87" si="17">OFFSET($S$1,MATCH(J24,$S$1:$S$12,0)-1,-1)&amp;" -- "&amp;TEXT(B24,"00%")</f>
        <v>Diesel bus -- 00%</v>
      </c>
      <c r="W24" s="372" t="s">
        <v>85</v>
      </c>
      <c r="X24" s="372" t="s">
        <v>86</v>
      </c>
    </row>
    <row r="25" spans="2:24">
      <c r="J25" t="str">
        <f t="shared" si="1"/>
        <v>Trd_bus_dsl</v>
      </c>
      <c r="K25" t="str">
        <f t="shared" si="11"/>
        <v>\I:</v>
      </c>
      <c r="L25" t="str">
        <f t="shared" si="3"/>
        <v>\I:</v>
      </c>
      <c r="M25" s="374" t="str">
        <f t="shared" si="12"/>
        <v/>
      </c>
      <c r="N25" s="374" t="str">
        <f t="shared" si="13"/>
        <v/>
      </c>
      <c r="O25" s="374" t="str">
        <f t="shared" si="14"/>
        <v/>
      </c>
      <c r="P25" s="374" t="str">
        <f t="shared" si="15"/>
        <v/>
      </c>
      <c r="R25" s="370"/>
      <c r="T25" t="s">
        <v>84</v>
      </c>
      <c r="U25" t="str">
        <f t="shared" si="16"/>
        <v>\I:</v>
      </c>
      <c r="V25" t="str">
        <f ca="1" t="shared" si="17"/>
        <v>Diesel bus -- 00%</v>
      </c>
      <c r="W25" s="372" t="s">
        <v>85</v>
      </c>
      <c r="X25" s="372" t="s">
        <v>86</v>
      </c>
    </row>
    <row r="26" spans="2:24">
      <c r="J26" t="str">
        <f t="shared" si="1"/>
        <v>Trd_bus_dsl</v>
      </c>
      <c r="K26" t="str">
        <f t="shared" si="11"/>
        <v>\I:</v>
      </c>
      <c r="L26" t="str">
        <f t="shared" si="3"/>
        <v>\I:</v>
      </c>
      <c r="M26" s="374" t="str">
        <f t="shared" si="12"/>
        <v/>
      </c>
      <c r="N26" s="374" t="str">
        <f t="shared" si="13"/>
        <v/>
      </c>
      <c r="O26" s="374" t="str">
        <f t="shared" si="14"/>
        <v/>
      </c>
      <c r="P26" s="374" t="str">
        <f t="shared" si="15"/>
        <v/>
      </c>
      <c r="R26" s="370"/>
      <c r="T26" t="s">
        <v>84</v>
      </c>
      <c r="U26" t="str">
        <f t="shared" si="16"/>
        <v>\I:</v>
      </c>
      <c r="V26" t="str">
        <f ca="1" t="shared" si="17"/>
        <v>Diesel bus -- 00%</v>
      </c>
      <c r="W26" s="372" t="s">
        <v>85</v>
      </c>
      <c r="X26" s="372" t="s">
        <v>86</v>
      </c>
    </row>
    <row r="27" ht="15" customHeight="1" spans="2:24">
      <c r="B27" s="371" t="s">
        <v>21</v>
      </c>
      <c r="C27" s="371" t="s">
        <v>150</v>
      </c>
      <c r="D27" s="371"/>
      <c r="E27" s="371"/>
      <c r="F27" s="371"/>
      <c r="J27" t="str">
        <f t="shared" si="1"/>
        <v>Trd_bus_dsl-hyb</v>
      </c>
      <c r="K27" t="str">
        <f t="shared" si="11"/>
        <v>\I:</v>
      </c>
      <c r="L27" t="str">
        <f t="shared" si="3"/>
        <v>\I:</v>
      </c>
      <c r="M27" s="374" t="str">
        <f t="shared" si="12"/>
        <v/>
      </c>
      <c r="N27" s="374" t="str">
        <f t="shared" si="13"/>
        <v/>
      </c>
      <c r="O27" s="374" t="str">
        <f t="shared" si="14"/>
        <v/>
      </c>
      <c r="P27" s="374" t="str">
        <f t="shared" si="15"/>
        <v/>
      </c>
      <c r="R27" s="370"/>
      <c r="T27" t="s">
        <v>84</v>
      </c>
      <c r="U27" t="str">
        <f t="shared" si="16"/>
        <v>\I:</v>
      </c>
      <c r="V27" t="str">
        <f ca="1" t="shared" si="17"/>
        <v>Hybrid diesel bus -- Reduction of specific energy consumption relative to 2015 diesel vehicle (%)</v>
      </c>
      <c r="W27" s="372" t="s">
        <v>85</v>
      </c>
      <c r="X27" s="372" t="s">
        <v>86</v>
      </c>
    </row>
    <row r="28" spans="2:24">
      <c r="B28" s="371"/>
      <c r="C28" s="371"/>
      <c r="D28" s="371"/>
      <c r="E28" s="371"/>
      <c r="F28" s="371"/>
      <c r="J28" t="str">
        <f t="shared" si="1"/>
        <v>Trd_bus_dsl-hyb</v>
      </c>
      <c r="K28" t="str">
        <f t="shared" si="11"/>
        <v>\I:</v>
      </c>
      <c r="L28" t="str">
        <f t="shared" si="3"/>
        <v>\I:</v>
      </c>
      <c r="M28" s="374" t="str">
        <f t="shared" si="12"/>
        <v/>
      </c>
      <c r="N28" s="374" t="str">
        <f t="shared" si="13"/>
        <v/>
      </c>
      <c r="O28" s="374" t="str">
        <f t="shared" si="14"/>
        <v/>
      </c>
      <c r="P28" s="374" t="str">
        <f t="shared" si="15"/>
        <v/>
      </c>
      <c r="R28" s="370"/>
      <c r="T28" t="s">
        <v>84</v>
      </c>
      <c r="U28" t="str">
        <f t="shared" si="16"/>
        <v>\I:</v>
      </c>
      <c r="V28" t="str">
        <f ca="1" t="shared" si="17"/>
        <v>Hybrid diesel bus -- 00%</v>
      </c>
      <c r="W28" s="372" t="s">
        <v>85</v>
      </c>
      <c r="X28" s="372" t="s">
        <v>86</v>
      </c>
    </row>
    <row r="29" spans="2:24">
      <c r="B29" s="371"/>
      <c r="C29" s="371"/>
      <c r="D29" s="371"/>
      <c r="E29" s="371"/>
      <c r="F29" s="371"/>
      <c r="J29" t="str">
        <f t="shared" si="1"/>
        <v>Trd_bus_dsl-hyb</v>
      </c>
      <c r="K29" t="str">
        <f t="shared" si="11"/>
        <v>\I:</v>
      </c>
      <c r="L29" t="str">
        <f t="shared" si="3"/>
        <v>\I:</v>
      </c>
      <c r="M29" s="374" t="str">
        <f t="shared" si="12"/>
        <v/>
      </c>
      <c r="N29" s="374" t="str">
        <f t="shared" si="13"/>
        <v/>
      </c>
      <c r="O29" s="374" t="str">
        <f t="shared" si="14"/>
        <v/>
      </c>
      <c r="P29" s="374" t="str">
        <f t="shared" si="15"/>
        <v/>
      </c>
      <c r="R29" s="370"/>
      <c r="T29" t="s">
        <v>84</v>
      </c>
      <c r="U29" t="str">
        <f t="shared" si="16"/>
        <v>\I:</v>
      </c>
      <c r="V29" t="str">
        <f ca="1" t="shared" si="17"/>
        <v>Hybrid diesel bus -- 00%</v>
      </c>
      <c r="W29" s="372" t="s">
        <v>85</v>
      </c>
      <c r="X29" s="372" t="s">
        <v>86</v>
      </c>
    </row>
    <row r="30" spans="2:24">
      <c r="B30" s="50"/>
      <c r="C30" s="51">
        <v>2020</v>
      </c>
      <c r="D30" s="51">
        <v>2030</v>
      </c>
      <c r="E30" s="51">
        <v>2040</v>
      </c>
      <c r="F30" s="51">
        <v>2050</v>
      </c>
      <c r="J30" t="str">
        <f t="shared" si="1"/>
        <v>Trd_bus_dsl-hyb</v>
      </c>
      <c r="K30" t="str">
        <f t="shared" si="11"/>
        <v>\I:</v>
      </c>
      <c r="L30" t="str">
        <f t="shared" si="3"/>
        <v>\I:</v>
      </c>
      <c r="M30" s="374" t="str">
        <f t="shared" si="12"/>
        <v/>
      </c>
      <c r="N30" s="374" t="str">
        <f t="shared" si="13"/>
        <v/>
      </c>
      <c r="O30" s="374" t="str">
        <f t="shared" si="14"/>
        <v/>
      </c>
      <c r="P30" s="374" t="str">
        <f t="shared" si="15"/>
        <v/>
      </c>
      <c r="R30" s="370"/>
      <c r="T30" t="s">
        <v>84</v>
      </c>
      <c r="U30" t="str">
        <f t="shared" si="16"/>
        <v>\I:</v>
      </c>
      <c r="V30" t="str">
        <f ca="1" t="shared" si="17"/>
        <v>Hybrid diesel bus -- 00%</v>
      </c>
      <c r="W30" s="372" t="s">
        <v>85</v>
      </c>
      <c r="X30" s="372" t="s">
        <v>86</v>
      </c>
    </row>
    <row r="31" spans="2:24">
      <c r="B31" s="85">
        <v>0.335</v>
      </c>
      <c r="C31" s="86">
        <v>293729.977982756</v>
      </c>
      <c r="D31" s="86">
        <v>293729.977982756</v>
      </c>
      <c r="E31" s="86">
        <v>293729.977982756</v>
      </c>
      <c r="F31" s="86">
        <v>293729.977982756</v>
      </c>
      <c r="I31" s="373">
        <f t="shared" ref="I31:I38" si="18">(1+B31)</f>
        <v>1.335</v>
      </c>
      <c r="J31" t="str">
        <f t="shared" si="1"/>
        <v>Trd_bus_dsl-hyb</v>
      </c>
      <c r="K31" t="str">
        <f t="shared" si="11"/>
        <v>Trd_bus_dsl-hyb_34</v>
      </c>
      <c r="L31" t="str">
        <f t="shared" si="3"/>
        <v>Trd_bus</v>
      </c>
      <c r="M31" s="374">
        <f t="shared" si="12"/>
        <v>293729.977982756</v>
      </c>
      <c r="N31" s="374">
        <f t="shared" si="13"/>
        <v>293729.977982756</v>
      </c>
      <c r="O31" s="374">
        <f t="shared" si="14"/>
        <v>293729.977982756</v>
      </c>
      <c r="P31" s="374">
        <f t="shared" si="15"/>
        <v>293729.977982756</v>
      </c>
      <c r="R31" s="370"/>
      <c r="T31" t="s">
        <v>84</v>
      </c>
      <c r="U31" t="str">
        <f t="shared" si="16"/>
        <v>Trd_bus_dsl-hyb_34</v>
      </c>
      <c r="V31" t="str">
        <f ca="1" t="shared" si="17"/>
        <v>Hybrid diesel bus -- 34%</v>
      </c>
      <c r="W31" s="372" t="s">
        <v>85</v>
      </c>
      <c r="X31" s="372" t="s">
        <v>86</v>
      </c>
    </row>
    <row r="32" spans="2:24">
      <c r="B32" s="85">
        <v>0.356</v>
      </c>
      <c r="C32" s="86">
        <v>294730.169370315</v>
      </c>
      <c r="D32" s="86">
        <v>294730.169370315</v>
      </c>
      <c r="E32" s="86">
        <v>294730.169370315</v>
      </c>
      <c r="F32" s="86">
        <v>294730.169370315</v>
      </c>
      <c r="I32" s="373">
        <f t="shared" si="18"/>
        <v>1.356</v>
      </c>
      <c r="J32" t="str">
        <f t="shared" si="1"/>
        <v>Trd_bus_dsl-hyb</v>
      </c>
      <c r="K32" t="str">
        <f t="shared" si="11"/>
        <v>Trd_bus_dsl-hyb_36</v>
      </c>
      <c r="L32" t="str">
        <f t="shared" si="3"/>
        <v>Trd_bus</v>
      </c>
      <c r="M32" s="374">
        <f t="shared" si="12"/>
        <v>294730.169370315</v>
      </c>
      <c r="N32" s="374">
        <f t="shared" si="13"/>
        <v>294730.169370315</v>
      </c>
      <c r="O32" s="374">
        <f t="shared" si="14"/>
        <v>294730.169370315</v>
      </c>
      <c r="P32" s="374">
        <f t="shared" si="15"/>
        <v>294730.169370315</v>
      </c>
      <c r="R32" s="370"/>
      <c r="T32" t="s">
        <v>84</v>
      </c>
      <c r="U32" t="str">
        <f t="shared" si="16"/>
        <v>Trd_bus_dsl-hyb_36</v>
      </c>
      <c r="V32" t="str">
        <f ca="1" t="shared" si="17"/>
        <v>Hybrid diesel bus -- 36%</v>
      </c>
      <c r="W32" s="372" t="s">
        <v>85</v>
      </c>
      <c r="X32" s="372" t="s">
        <v>86</v>
      </c>
    </row>
    <row r="33" spans="2:24">
      <c r="B33" s="85">
        <v>0.37</v>
      </c>
      <c r="C33" s="86">
        <v>295837.202769739</v>
      </c>
      <c r="D33" s="86">
        <v>295617.237008875</v>
      </c>
      <c r="E33" s="86">
        <v>295617.237008875</v>
      </c>
      <c r="F33" s="86">
        <v>295617.237008875</v>
      </c>
      <c r="I33" s="373">
        <f t="shared" si="18"/>
        <v>1.37</v>
      </c>
      <c r="J33" t="str">
        <f t="shared" si="1"/>
        <v>Trd_bus_dsl-hyb</v>
      </c>
      <c r="K33" t="str">
        <f t="shared" si="11"/>
        <v>Trd_bus_dsl-hyb_37</v>
      </c>
      <c r="L33" t="str">
        <f t="shared" si="3"/>
        <v>Trd_bus</v>
      </c>
      <c r="M33" s="374">
        <f t="shared" si="12"/>
        <v>295837.202769739</v>
      </c>
      <c r="N33" s="374">
        <f t="shared" si="13"/>
        <v>295617.237008875</v>
      </c>
      <c r="O33" s="374">
        <f t="shared" si="14"/>
        <v>295617.237008875</v>
      </c>
      <c r="P33" s="374">
        <f t="shared" si="15"/>
        <v>295617.237008875</v>
      </c>
      <c r="R33" s="370"/>
      <c r="T33" t="s">
        <v>84</v>
      </c>
      <c r="U33" t="str">
        <f t="shared" si="16"/>
        <v>Trd_bus_dsl-hyb_37</v>
      </c>
      <c r="V33" t="str">
        <f ca="1" t="shared" si="17"/>
        <v>Hybrid diesel bus -- 37%</v>
      </c>
      <c r="W33" s="372" t="s">
        <v>85</v>
      </c>
      <c r="X33" s="372" t="s">
        <v>86</v>
      </c>
    </row>
    <row r="34" spans="2:24">
      <c r="B34" s="85">
        <v>0.384</v>
      </c>
      <c r="C34" s="86">
        <v>298043.332712174</v>
      </c>
      <c r="D34" s="86">
        <v>297730.743532995</v>
      </c>
      <c r="E34" s="86">
        <v>297730.743532995</v>
      </c>
      <c r="F34" s="86">
        <v>297730.743532995</v>
      </c>
      <c r="I34" s="373">
        <f t="shared" si="18"/>
        <v>1.384</v>
      </c>
      <c r="J34" t="str">
        <f t="shared" si="1"/>
        <v>Trd_bus_dsl-hyb</v>
      </c>
      <c r="K34" t="str">
        <f t="shared" si="11"/>
        <v>Trd_bus_dsl-hyb_38</v>
      </c>
      <c r="L34" t="str">
        <f t="shared" si="3"/>
        <v>Trd_bus</v>
      </c>
      <c r="M34" s="374">
        <f t="shared" si="12"/>
        <v>298043.332712174</v>
      </c>
      <c r="N34" s="374">
        <f t="shared" si="13"/>
        <v>297730.743532995</v>
      </c>
      <c r="O34" s="374">
        <f t="shared" si="14"/>
        <v>297730.743532995</v>
      </c>
      <c r="P34" s="374">
        <f t="shared" si="15"/>
        <v>297730.743532995</v>
      </c>
      <c r="R34" s="370"/>
      <c r="T34" t="s">
        <v>84</v>
      </c>
      <c r="U34" t="str">
        <f t="shared" si="16"/>
        <v>Trd_bus_dsl-hyb_38</v>
      </c>
      <c r="V34" t="str">
        <f ca="1" t="shared" si="17"/>
        <v>Hybrid diesel bus -- 38%</v>
      </c>
      <c r="W34" s="372" t="s">
        <v>85</v>
      </c>
      <c r="X34" s="372" t="s">
        <v>86</v>
      </c>
    </row>
    <row r="35" spans="2:24">
      <c r="B35" s="85">
        <v>0.405</v>
      </c>
      <c r="C35" s="86">
        <v>301248.963386945</v>
      </c>
      <c r="D35" s="86">
        <v>299531.088030602</v>
      </c>
      <c r="E35" s="86">
        <v>299531.088030602</v>
      </c>
      <c r="F35" s="86">
        <v>299531.088030602</v>
      </c>
      <c r="I35" s="373">
        <f t="shared" si="18"/>
        <v>1.405</v>
      </c>
      <c r="J35" t="str">
        <f t="shared" si="1"/>
        <v>Trd_bus_dsl-hyb</v>
      </c>
      <c r="K35" t="str">
        <f t="shared" si="11"/>
        <v>Trd_bus_dsl-hyb_41</v>
      </c>
      <c r="L35" t="str">
        <f t="shared" si="3"/>
        <v>Trd_bus</v>
      </c>
      <c r="M35" s="374">
        <f t="shared" si="12"/>
        <v>301248.963386945</v>
      </c>
      <c r="N35" s="374">
        <f t="shared" si="13"/>
        <v>299531.088030602</v>
      </c>
      <c r="O35" s="374">
        <f t="shared" si="14"/>
        <v>299531.088030602</v>
      </c>
      <c r="P35" s="374">
        <f t="shared" si="15"/>
        <v>299531.088030602</v>
      </c>
      <c r="R35" s="370"/>
      <c r="T35" t="s">
        <v>84</v>
      </c>
      <c r="U35" t="str">
        <f t="shared" si="16"/>
        <v>Trd_bus_dsl-hyb_41</v>
      </c>
      <c r="V35" t="str">
        <f ca="1" t="shared" si="17"/>
        <v>Hybrid diesel bus -- 41%</v>
      </c>
      <c r="W35" s="372" t="s">
        <v>85</v>
      </c>
      <c r="X35" s="372" t="s">
        <v>86</v>
      </c>
    </row>
    <row r="36" spans="2:24">
      <c r="B36" s="85">
        <v>0.426</v>
      </c>
      <c r="C36" s="86">
        <v>306597.98392569</v>
      </c>
      <c r="D36" s="86">
        <v>302231.604777014</v>
      </c>
      <c r="E36" s="86">
        <v>302231.604777014</v>
      </c>
      <c r="F36" s="86">
        <v>302231.604777014</v>
      </c>
      <c r="I36" s="373">
        <f t="shared" si="18"/>
        <v>1.426</v>
      </c>
      <c r="J36" t="str">
        <f t="shared" si="1"/>
        <v>Trd_bus_dsl-hyb</v>
      </c>
      <c r="K36" t="str">
        <f t="shared" si="11"/>
        <v>Trd_bus_dsl-hyb_43</v>
      </c>
      <c r="L36" t="str">
        <f t="shared" si="3"/>
        <v>Trd_bus</v>
      </c>
      <c r="M36" s="374">
        <f t="shared" si="12"/>
        <v>306597.98392569</v>
      </c>
      <c r="N36" s="374">
        <f t="shared" si="13"/>
        <v>302231.604777014</v>
      </c>
      <c r="O36" s="374">
        <f t="shared" si="14"/>
        <v>302231.604777014</v>
      </c>
      <c r="P36" s="374">
        <f t="shared" si="15"/>
        <v>302231.604777014</v>
      </c>
      <c r="R36" s="370"/>
      <c r="T36" t="s">
        <v>84</v>
      </c>
      <c r="U36" t="str">
        <f t="shared" si="16"/>
        <v>Trd_bus_dsl-hyb_43</v>
      </c>
      <c r="V36" t="str">
        <f ca="1" t="shared" si="17"/>
        <v>Hybrid diesel bus -- 43%</v>
      </c>
      <c r="W36" s="372" t="s">
        <v>85</v>
      </c>
      <c r="X36" s="372" t="s">
        <v>86</v>
      </c>
    </row>
    <row r="37" spans="2:24">
      <c r="B37" s="85">
        <v>0.447</v>
      </c>
      <c r="C37" s="86">
        <v>330411.842030686</v>
      </c>
      <c r="D37" s="86">
        <v>306846.788864293</v>
      </c>
      <c r="E37" s="86">
        <v>306732.466021033</v>
      </c>
      <c r="F37" s="86">
        <v>306732.466021033</v>
      </c>
      <c r="I37" s="373">
        <f t="shared" si="18"/>
        <v>1.447</v>
      </c>
      <c r="J37" t="str">
        <f t="shared" si="1"/>
        <v>Trd_bus_dsl-hyb</v>
      </c>
      <c r="K37" t="str">
        <f t="shared" si="11"/>
        <v>Trd_bus_dsl-hyb_45</v>
      </c>
      <c r="L37" t="str">
        <f t="shared" si="3"/>
        <v>Trd_bus</v>
      </c>
      <c r="M37" s="374">
        <f t="shared" si="12"/>
        <v>330411.842030686</v>
      </c>
      <c r="N37" s="374">
        <f t="shared" si="13"/>
        <v>306846.788864293</v>
      </c>
      <c r="O37" s="374">
        <f t="shared" si="14"/>
        <v>306732.466021033</v>
      </c>
      <c r="P37" s="374">
        <f t="shared" si="15"/>
        <v>306732.466021033</v>
      </c>
      <c r="R37" s="370"/>
      <c r="T37" t="s">
        <v>84</v>
      </c>
      <c r="U37" t="str">
        <f t="shared" si="16"/>
        <v>Trd_bus_dsl-hyb_45</v>
      </c>
      <c r="V37" t="str">
        <f ca="1" t="shared" si="17"/>
        <v>Hybrid diesel bus -- 45%</v>
      </c>
      <c r="W37" s="372" t="s">
        <v>85</v>
      </c>
      <c r="X37" s="372" t="s">
        <v>86</v>
      </c>
    </row>
    <row r="38" spans="2:24">
      <c r="B38" s="85">
        <v>0.475</v>
      </c>
      <c r="C38" s="86">
        <v>368539.537336585</v>
      </c>
      <c r="D38" s="86">
        <v>315560.890261571</v>
      </c>
      <c r="E38" s="86">
        <v>310823.248796153</v>
      </c>
      <c r="F38" s="86">
        <v>310823.248796153</v>
      </c>
      <c r="I38" s="373">
        <f t="shared" si="18"/>
        <v>1.475</v>
      </c>
      <c r="J38" t="str">
        <f t="shared" si="1"/>
        <v>Trd_bus_dsl-hyb</v>
      </c>
      <c r="K38" t="str">
        <f t="shared" si="11"/>
        <v>Trd_bus_dsl-hyb_48</v>
      </c>
      <c r="L38" t="str">
        <f t="shared" si="3"/>
        <v>Trd_bus</v>
      </c>
      <c r="M38" s="374">
        <f t="shared" si="12"/>
        <v>368539.537336585</v>
      </c>
      <c r="N38" s="374">
        <f t="shared" si="13"/>
        <v>315560.890261571</v>
      </c>
      <c r="O38" s="374">
        <f t="shared" si="14"/>
        <v>310823.248796153</v>
      </c>
      <c r="P38" s="374">
        <f t="shared" si="15"/>
        <v>310823.248796153</v>
      </c>
      <c r="R38" s="370"/>
      <c r="T38" t="s">
        <v>84</v>
      </c>
      <c r="U38" t="str">
        <f t="shared" si="16"/>
        <v>Trd_bus_dsl-hyb_48</v>
      </c>
      <c r="V38" t="str">
        <f ca="1" t="shared" si="17"/>
        <v>Hybrid diesel bus -- 48%</v>
      </c>
      <c r="W38" s="372" t="s">
        <v>85</v>
      </c>
      <c r="X38" s="372" t="s">
        <v>86</v>
      </c>
    </row>
    <row r="39" spans="2:24">
      <c r="J39" t="str">
        <f t="shared" si="1"/>
        <v>Trd_bus_dsl-hyb</v>
      </c>
      <c r="K39" t="str">
        <f t="shared" si="11"/>
        <v>\I:</v>
      </c>
      <c r="L39" t="str">
        <f t="shared" si="3"/>
        <v>\I:</v>
      </c>
      <c r="M39" s="374" t="str">
        <f t="shared" si="12"/>
        <v/>
      </c>
      <c r="N39" s="374" t="str">
        <f t="shared" si="13"/>
        <v/>
      </c>
      <c r="O39" s="374" t="str">
        <f t="shared" si="14"/>
        <v/>
      </c>
      <c r="P39" s="374" t="str">
        <f t="shared" si="15"/>
        <v/>
      </c>
      <c r="R39" s="370"/>
      <c r="T39" t="s">
        <v>84</v>
      </c>
      <c r="U39" t="str">
        <f t="shared" si="16"/>
        <v>\I:</v>
      </c>
      <c r="V39" t="str">
        <f ca="1" t="shared" si="17"/>
        <v>Hybrid diesel bus -- 00%</v>
      </c>
      <c r="W39" s="372" t="s">
        <v>85</v>
      </c>
      <c r="X39" s="372" t="s">
        <v>86</v>
      </c>
    </row>
    <row r="40" spans="2:24">
      <c r="J40" t="str">
        <f t="shared" si="1"/>
        <v>Trd_bus_dsl-hyb</v>
      </c>
      <c r="K40" t="str">
        <f t="shared" si="11"/>
        <v>\I:</v>
      </c>
      <c r="L40" t="str">
        <f t="shared" si="3"/>
        <v>\I:</v>
      </c>
      <c r="M40" s="374" t="str">
        <f t="shared" si="12"/>
        <v/>
      </c>
      <c r="N40" s="374" t="str">
        <f t="shared" si="13"/>
        <v/>
      </c>
      <c r="O40" s="374" t="str">
        <f t="shared" si="14"/>
        <v/>
      </c>
      <c r="P40" s="374" t="str">
        <f t="shared" si="15"/>
        <v/>
      </c>
      <c r="R40" s="370"/>
      <c r="T40" t="s">
        <v>84</v>
      </c>
      <c r="U40" t="str">
        <f t="shared" si="16"/>
        <v>\I:</v>
      </c>
      <c r="V40" t="str">
        <f ca="1" t="shared" si="17"/>
        <v>Hybrid diesel bus -- 00%</v>
      </c>
      <c r="W40" s="372" t="s">
        <v>85</v>
      </c>
      <c r="X40" s="372" t="s">
        <v>86</v>
      </c>
    </row>
    <row r="41" spans="2:24">
      <c r="J41" t="str">
        <f t="shared" si="1"/>
        <v>Trd_bus_dsl-hyb</v>
      </c>
      <c r="K41" t="str">
        <f t="shared" si="11"/>
        <v>\I:</v>
      </c>
      <c r="L41" t="str">
        <f t="shared" si="3"/>
        <v>\I:</v>
      </c>
      <c r="M41" s="374" t="str">
        <f t="shared" si="12"/>
        <v/>
      </c>
      <c r="N41" s="374" t="str">
        <f t="shared" si="13"/>
        <v/>
      </c>
      <c r="O41" s="374" t="str">
        <f t="shared" si="14"/>
        <v/>
      </c>
      <c r="P41" s="374" t="str">
        <f t="shared" si="15"/>
        <v/>
      </c>
      <c r="R41" s="370"/>
      <c r="T41" t="s">
        <v>84</v>
      </c>
      <c r="U41" t="str">
        <f t="shared" si="16"/>
        <v>\I:</v>
      </c>
      <c r="V41" t="str">
        <f ca="1" t="shared" si="17"/>
        <v>Hybrid diesel bus -- 00%</v>
      </c>
      <c r="W41" s="372" t="s">
        <v>85</v>
      </c>
      <c r="X41" s="372" t="s">
        <v>86</v>
      </c>
    </row>
    <row r="42" spans="2:24">
      <c r="J42" t="str">
        <f t="shared" si="1"/>
        <v>Trd_bus_dsl-hyb</v>
      </c>
      <c r="K42" t="str">
        <f t="shared" si="11"/>
        <v>\I:</v>
      </c>
      <c r="L42" t="str">
        <f t="shared" si="3"/>
        <v>\I:</v>
      </c>
      <c r="M42" s="374" t="str">
        <f t="shared" si="12"/>
        <v/>
      </c>
      <c r="N42" s="374" t="str">
        <f t="shared" si="13"/>
        <v/>
      </c>
      <c r="O42" s="374" t="str">
        <f t="shared" si="14"/>
        <v/>
      </c>
      <c r="P42" s="374" t="str">
        <f t="shared" si="15"/>
        <v/>
      </c>
      <c r="R42" s="370"/>
      <c r="T42" t="s">
        <v>84</v>
      </c>
      <c r="U42" t="str">
        <f t="shared" si="16"/>
        <v>\I:</v>
      </c>
      <c r="V42" t="str">
        <f ca="1" t="shared" si="17"/>
        <v>Hybrid diesel bus -- 00%</v>
      </c>
      <c r="W42" s="372" t="s">
        <v>85</v>
      </c>
      <c r="X42" s="372" t="s">
        <v>86</v>
      </c>
    </row>
    <row r="43" spans="2:24">
      <c r="B43" s="44" t="s">
        <v>160</v>
      </c>
      <c r="J43" t="str">
        <f t="shared" si="1"/>
        <v>Trd_bus_dsl-hyb</v>
      </c>
      <c r="K43" t="str">
        <f t="shared" si="11"/>
        <v>\I:</v>
      </c>
      <c r="L43" t="str">
        <f t="shared" si="3"/>
        <v>\I:</v>
      </c>
      <c r="M43" s="374" t="str">
        <f t="shared" si="12"/>
        <v/>
      </c>
      <c r="N43" s="374" t="str">
        <f t="shared" si="13"/>
        <v/>
      </c>
      <c r="O43" s="374" t="str">
        <f t="shared" si="14"/>
        <v/>
      </c>
      <c r="P43" s="374" t="str">
        <f t="shared" si="15"/>
        <v/>
      </c>
      <c r="R43" s="370"/>
      <c r="T43" t="s">
        <v>84</v>
      </c>
      <c r="U43" t="str">
        <f t="shared" si="16"/>
        <v>\I:</v>
      </c>
      <c r="V43" t="str">
        <f ca="1" t="shared" si="17"/>
        <v>Hybrid diesel bus -- Reference values for CNG bus</v>
      </c>
      <c r="W43" s="372" t="s">
        <v>85</v>
      </c>
      <c r="X43" s="372" t="s">
        <v>86</v>
      </c>
    </row>
    <row r="44" spans="2:24">
      <c r="B44" s="365">
        <v>2015</v>
      </c>
      <c r="C44" s="365"/>
      <c r="D44" s="365"/>
      <c r="J44" t="str">
        <f t="shared" si="1"/>
        <v>Trd_bus_dsl-hyb</v>
      </c>
      <c r="K44" t="str">
        <f t="shared" si="11"/>
        <v>\I:</v>
      </c>
      <c r="L44" t="str">
        <f t="shared" si="3"/>
        <v>\I:</v>
      </c>
      <c r="M44" s="374" t="str">
        <f t="shared" si="12"/>
        <v/>
      </c>
      <c r="N44" s="374" t="str">
        <f t="shared" si="13"/>
        <v/>
      </c>
      <c r="O44" s="374" t="str">
        <f t="shared" si="14"/>
        <v/>
      </c>
      <c r="P44" s="374" t="str">
        <f t="shared" si="15"/>
        <v/>
      </c>
      <c r="R44" s="370"/>
      <c r="T44" t="s">
        <v>84</v>
      </c>
      <c r="U44" t="str">
        <f t="shared" si="16"/>
        <v>\I:</v>
      </c>
      <c r="V44" t="str">
        <f ca="1" t="shared" si="17"/>
        <v>Hybrid diesel bus -- 201500%</v>
      </c>
      <c r="W44" s="372" t="s">
        <v>85</v>
      </c>
      <c r="X44" s="372" t="s">
        <v>86</v>
      </c>
    </row>
    <row r="45" spans="2:24">
      <c r="B45" s="46" t="s">
        <v>12</v>
      </c>
      <c r="C45" s="47" t="s">
        <v>89</v>
      </c>
      <c r="D45" s="48">
        <v>30.3656435458631</v>
      </c>
      <c r="G45" s="366">
        <f>D45*$I$5/100*10^9/10^6</f>
        <v>16.3347342179606</v>
      </c>
      <c r="H45" s="366"/>
      <c r="I45" s="375">
        <f>1/G45</f>
        <v>0.0612192391168794</v>
      </c>
      <c r="J45" t="str">
        <f t="shared" si="1"/>
        <v>Trd_bus_dsl-hyb</v>
      </c>
      <c r="K45" t="str">
        <f t="shared" si="11"/>
        <v>\I:</v>
      </c>
      <c r="L45" t="str">
        <f t="shared" si="3"/>
        <v>\I:</v>
      </c>
      <c r="M45" s="374" t="str">
        <f t="shared" si="12"/>
        <v/>
      </c>
      <c r="N45" s="374" t="str">
        <f t="shared" si="13"/>
        <v/>
      </c>
      <c r="O45" s="374" t="str">
        <f t="shared" si="14"/>
        <v/>
      </c>
      <c r="P45" s="374" t="str">
        <f t="shared" si="15"/>
        <v/>
      </c>
      <c r="R45" s="370"/>
      <c r="T45" t="s">
        <v>84</v>
      </c>
      <c r="U45" t="str">
        <f t="shared" si="16"/>
        <v>\I:</v>
      </c>
      <c r="V45" t="str">
        <f ca="1" t="shared" si="17"/>
        <v>Hybrid diesel bus -- Energy consumption</v>
      </c>
      <c r="W45" s="372" t="s">
        <v>85</v>
      </c>
      <c r="X45" s="372" t="s">
        <v>86</v>
      </c>
    </row>
    <row r="46" spans="2:24">
      <c r="B46" s="46" t="s">
        <v>14</v>
      </c>
      <c r="C46" s="47" t="s">
        <v>15</v>
      </c>
      <c r="D46" s="68">
        <v>300008.80878602</v>
      </c>
      <c r="I46" s="44" t="s">
        <v>70</v>
      </c>
      <c r="J46" t="str">
        <f t="shared" si="1"/>
        <v>Trd_bus_dsl-hyb</v>
      </c>
      <c r="K46" t="str">
        <f t="shared" si="11"/>
        <v>\I:</v>
      </c>
      <c r="L46" t="str">
        <f t="shared" si="3"/>
        <v>\I:</v>
      </c>
      <c r="M46" s="374" t="str">
        <f t="shared" si="12"/>
        <v/>
      </c>
      <c r="N46" s="374" t="str">
        <f t="shared" si="13"/>
        <v/>
      </c>
      <c r="O46" s="374" t="str">
        <f t="shared" si="14"/>
        <v/>
      </c>
      <c r="P46" s="374" t="str">
        <f t="shared" si="15"/>
        <v/>
      </c>
      <c r="R46" s="370"/>
      <c r="T46" t="s">
        <v>84</v>
      </c>
      <c r="U46" t="str">
        <f t="shared" si="16"/>
        <v>\I:</v>
      </c>
      <c r="V46" t="str">
        <f ca="1" t="shared" si="17"/>
        <v>Hybrid diesel bus -- Capital cost</v>
      </c>
      <c r="W46" s="372" t="s">
        <v>85</v>
      </c>
      <c r="X46" s="372" t="s">
        <v>86</v>
      </c>
    </row>
    <row r="47" spans="2:24">
      <c r="J47" t="str">
        <f t="shared" si="1"/>
        <v>Trd_bus_dsl-hyb</v>
      </c>
      <c r="K47" t="str">
        <f t="shared" si="11"/>
        <v>\I:</v>
      </c>
      <c r="L47" t="str">
        <f t="shared" si="3"/>
        <v>\I:</v>
      </c>
      <c r="M47" s="374" t="str">
        <f t="shared" si="12"/>
        <v/>
      </c>
      <c r="N47" s="374" t="str">
        <f t="shared" si="13"/>
        <v/>
      </c>
      <c r="O47" s="374" t="str">
        <f t="shared" si="14"/>
        <v/>
      </c>
      <c r="P47" s="374" t="str">
        <f t="shared" si="15"/>
        <v/>
      </c>
      <c r="R47" s="370"/>
      <c r="T47" t="s">
        <v>84</v>
      </c>
      <c r="U47" t="str">
        <f t="shared" si="16"/>
        <v>\I:</v>
      </c>
      <c r="V47" t="str">
        <f ca="1" t="shared" si="17"/>
        <v>Hybrid diesel bus -- 00%</v>
      </c>
      <c r="W47" s="372" t="s">
        <v>85</v>
      </c>
      <c r="X47" s="372" t="s">
        <v>86</v>
      </c>
    </row>
    <row r="48" ht="15" customHeight="1" spans="2:24">
      <c r="B48" s="371" t="s">
        <v>90</v>
      </c>
      <c r="C48" s="371" t="s">
        <v>152</v>
      </c>
      <c r="D48" s="371"/>
      <c r="E48" s="371"/>
      <c r="F48" s="371"/>
      <c r="J48" t="str">
        <f t="shared" si="1"/>
        <v>Trd_bus_cng</v>
      </c>
      <c r="K48" t="str">
        <f t="shared" si="11"/>
        <v>\I:</v>
      </c>
      <c r="L48" t="str">
        <f t="shared" si="3"/>
        <v>\I:</v>
      </c>
      <c r="M48" s="374" t="str">
        <f t="shared" si="12"/>
        <v/>
      </c>
      <c r="N48" s="374" t="str">
        <f t="shared" si="13"/>
        <v/>
      </c>
      <c r="O48" s="374" t="str">
        <f t="shared" si="14"/>
        <v/>
      </c>
      <c r="P48" s="374" t="str">
        <f t="shared" si="15"/>
        <v/>
      </c>
      <c r="R48" s="370"/>
      <c r="T48" t="s">
        <v>84</v>
      </c>
      <c r="U48" t="str">
        <f t="shared" si="16"/>
        <v>\I:</v>
      </c>
      <c r="V48" t="str">
        <f ca="1" t="shared" si="17"/>
        <v>CNG bus -- Reduction of specific energy consumption relative to 2015 CNG vehicle (%)</v>
      </c>
      <c r="W48" s="372" t="s">
        <v>85</v>
      </c>
      <c r="X48" s="372" t="s">
        <v>86</v>
      </c>
    </row>
    <row r="49" spans="2:24">
      <c r="B49" s="371"/>
      <c r="C49" s="371"/>
      <c r="D49" s="371"/>
      <c r="E49" s="371"/>
      <c r="F49" s="371"/>
      <c r="J49" t="str">
        <f t="shared" si="1"/>
        <v>Trd_bus_cng</v>
      </c>
      <c r="K49" t="str">
        <f t="shared" si="11"/>
        <v>\I:</v>
      </c>
      <c r="L49" t="str">
        <f t="shared" si="3"/>
        <v>\I:</v>
      </c>
      <c r="M49" s="374" t="str">
        <f t="shared" si="12"/>
        <v/>
      </c>
      <c r="N49" s="374" t="str">
        <f t="shared" si="13"/>
        <v/>
      </c>
      <c r="O49" s="374" t="str">
        <f t="shared" si="14"/>
        <v/>
      </c>
      <c r="P49" s="374" t="str">
        <f t="shared" si="15"/>
        <v/>
      </c>
      <c r="R49" s="370"/>
      <c r="T49" t="s">
        <v>84</v>
      </c>
      <c r="U49" t="str">
        <f t="shared" si="16"/>
        <v>\I:</v>
      </c>
      <c r="V49" t="str">
        <f ca="1" t="shared" si="17"/>
        <v>CNG bus -- 00%</v>
      </c>
      <c r="W49" s="372" t="s">
        <v>85</v>
      </c>
      <c r="X49" s="372" t="s">
        <v>86</v>
      </c>
    </row>
    <row r="50" spans="2:24">
      <c r="B50" s="371"/>
      <c r="C50" s="371"/>
      <c r="D50" s="371"/>
      <c r="E50" s="371"/>
      <c r="F50" s="371"/>
      <c r="J50" t="str">
        <f t="shared" si="1"/>
        <v>Trd_bus_cng</v>
      </c>
      <c r="K50" t="str">
        <f t="shared" si="11"/>
        <v>\I:</v>
      </c>
      <c r="L50" t="str">
        <f t="shared" si="3"/>
        <v>\I:</v>
      </c>
      <c r="M50" s="374" t="str">
        <f t="shared" si="12"/>
        <v/>
      </c>
      <c r="N50" s="374" t="str">
        <f t="shared" si="13"/>
        <v/>
      </c>
      <c r="O50" s="374" t="str">
        <f t="shared" si="14"/>
        <v/>
      </c>
      <c r="P50" s="374" t="str">
        <f t="shared" si="15"/>
        <v/>
      </c>
      <c r="R50" s="370"/>
      <c r="T50" t="s">
        <v>84</v>
      </c>
      <c r="U50" t="str">
        <f t="shared" si="16"/>
        <v>\I:</v>
      </c>
      <c r="V50" t="str">
        <f ca="1" t="shared" si="17"/>
        <v>CNG bus -- 00%</v>
      </c>
      <c r="W50" s="372" t="s">
        <v>85</v>
      </c>
      <c r="X50" s="372" t="s">
        <v>86</v>
      </c>
    </row>
    <row r="51" spans="2:24">
      <c r="B51" s="50"/>
      <c r="C51" s="51">
        <v>2020</v>
      </c>
      <c r="D51" s="51">
        <v>2030</v>
      </c>
      <c r="E51" s="51">
        <v>2040</v>
      </c>
      <c r="F51" s="51">
        <v>2050</v>
      </c>
      <c r="J51" t="str">
        <f t="shared" si="1"/>
        <v>Trd_bus_cng</v>
      </c>
      <c r="K51" t="str">
        <f t="shared" si="11"/>
        <v>\I:</v>
      </c>
      <c r="L51" t="str">
        <f t="shared" si="3"/>
        <v>\I:</v>
      </c>
      <c r="M51" s="374" t="str">
        <f t="shared" si="12"/>
        <v/>
      </c>
      <c r="N51" s="374" t="str">
        <f t="shared" si="13"/>
        <v/>
      </c>
      <c r="O51" s="374" t="str">
        <f t="shared" si="14"/>
        <v/>
      </c>
      <c r="P51" s="374" t="str">
        <f t="shared" si="15"/>
        <v/>
      </c>
      <c r="R51" s="370"/>
      <c r="T51" t="s">
        <v>84</v>
      </c>
      <c r="U51" t="str">
        <f t="shared" si="16"/>
        <v>\I:</v>
      </c>
      <c r="V51" t="str">
        <f ca="1" t="shared" si="17"/>
        <v>CNG bus -- 00%</v>
      </c>
      <c r="W51" s="372" t="s">
        <v>85</v>
      </c>
      <c r="X51" s="372" t="s">
        <v>86</v>
      </c>
    </row>
    <row r="52" spans="2:24">
      <c r="B52" s="85">
        <v>0.0409380868944008</v>
      </c>
      <c r="C52" s="86">
        <v>301227.803779743</v>
      </c>
      <c r="D52" s="86">
        <v>301227.803779743</v>
      </c>
      <c r="E52" s="86">
        <v>301227.803779743</v>
      </c>
      <c r="F52" s="86">
        <v>301227.803779743</v>
      </c>
      <c r="I52" s="373">
        <f>(1+B52)*$I$45/$I$7</f>
        <v>0.884250730013717</v>
      </c>
      <c r="J52" t="str">
        <f t="shared" si="1"/>
        <v>Trd_bus_cng</v>
      </c>
      <c r="K52" t="str">
        <f t="shared" si="11"/>
        <v>Trd_bus_cng_04</v>
      </c>
      <c r="L52" t="str">
        <f t="shared" si="3"/>
        <v>Trd_bus</v>
      </c>
      <c r="M52" s="374">
        <f t="shared" si="12"/>
        <v>301227.803779743</v>
      </c>
      <c r="N52" s="374">
        <f t="shared" si="13"/>
        <v>301227.803779743</v>
      </c>
      <c r="O52" s="374">
        <f t="shared" si="14"/>
        <v>301227.803779743</v>
      </c>
      <c r="P52" s="374">
        <f t="shared" si="15"/>
        <v>301227.803779743</v>
      </c>
      <c r="R52" s="370"/>
      <c r="T52" t="s">
        <v>84</v>
      </c>
      <c r="U52" t="str">
        <f t="shared" si="16"/>
        <v>Trd_bus_cng_04</v>
      </c>
      <c r="V52" t="str">
        <f ca="1" t="shared" si="17"/>
        <v>CNG bus -- 04%</v>
      </c>
      <c r="W52" s="372" t="s">
        <v>85</v>
      </c>
      <c r="X52" s="372" t="s">
        <v>86</v>
      </c>
    </row>
    <row r="53" spans="2:24">
      <c r="B53" s="85">
        <v>0.0609380868944008</v>
      </c>
      <c r="C53" s="86">
        <v>302592.163761478</v>
      </c>
      <c r="D53" s="86">
        <v>302114.871418302</v>
      </c>
      <c r="E53" s="86">
        <v>302114.871418302</v>
      </c>
      <c r="F53" s="86">
        <v>302114.871418302</v>
      </c>
      <c r="I53" s="373">
        <f t="shared" ref="I53:I58" si="19">(1+B53)*$I$45/$I$7</f>
        <v>0.901240227105746</v>
      </c>
      <c r="J53" t="str">
        <f t="shared" si="1"/>
        <v>Trd_bus_cng</v>
      </c>
      <c r="K53" t="str">
        <f t="shared" si="11"/>
        <v>Trd_bus_cng_06</v>
      </c>
      <c r="L53" t="str">
        <f t="shared" si="3"/>
        <v>Trd_bus</v>
      </c>
      <c r="M53" s="374">
        <f t="shared" si="12"/>
        <v>302592.163761478</v>
      </c>
      <c r="N53" s="374">
        <f t="shared" si="13"/>
        <v>302114.871418302</v>
      </c>
      <c r="O53" s="374">
        <f t="shared" si="14"/>
        <v>302114.871418302</v>
      </c>
      <c r="P53" s="374">
        <f t="shared" si="15"/>
        <v>302114.871418302</v>
      </c>
      <c r="R53" s="370"/>
      <c r="T53" t="s">
        <v>84</v>
      </c>
      <c r="U53" t="str">
        <f t="shared" si="16"/>
        <v>Trd_bus_cng_06</v>
      </c>
      <c r="V53" t="str">
        <f ca="1" t="shared" si="17"/>
        <v>CNG bus -- 06%</v>
      </c>
      <c r="W53" s="372" t="s">
        <v>85</v>
      </c>
      <c r="X53" s="372" t="s">
        <v>86</v>
      </c>
    </row>
    <row r="54" spans="2:24">
      <c r="B54" s="85">
        <v>0.0809380868944008</v>
      </c>
      <c r="C54" s="86">
        <v>304532.486446996</v>
      </c>
      <c r="D54" s="86">
        <v>304228.377942422</v>
      </c>
      <c r="E54" s="86">
        <v>304228.377942422</v>
      </c>
      <c r="F54" s="86">
        <v>304228.377942422</v>
      </c>
      <c r="I54" s="373">
        <f t="shared" si="19"/>
        <v>0.918229724197775</v>
      </c>
      <c r="J54" t="str">
        <f t="shared" si="1"/>
        <v>Trd_bus_cng</v>
      </c>
      <c r="K54" t="str">
        <f t="shared" si="11"/>
        <v>Trd_bus_cng_08</v>
      </c>
      <c r="L54" t="str">
        <f t="shared" si="3"/>
        <v>Trd_bus</v>
      </c>
      <c r="M54" s="374">
        <f t="shared" si="12"/>
        <v>304532.486446996</v>
      </c>
      <c r="N54" s="374">
        <f t="shared" si="13"/>
        <v>304228.377942422</v>
      </c>
      <c r="O54" s="374">
        <f t="shared" si="14"/>
        <v>304228.377942422</v>
      </c>
      <c r="P54" s="374">
        <f t="shared" si="15"/>
        <v>304228.377942422</v>
      </c>
      <c r="R54" s="370"/>
      <c r="T54" t="s">
        <v>84</v>
      </c>
      <c r="U54" t="str">
        <f t="shared" si="16"/>
        <v>Trd_bus_cng_08</v>
      </c>
      <c r="V54" t="str">
        <f ca="1" t="shared" si="17"/>
        <v>CNG bus -- 08%</v>
      </c>
      <c r="W54" s="372" t="s">
        <v>85</v>
      </c>
      <c r="X54" s="372" t="s">
        <v>86</v>
      </c>
    </row>
    <row r="55" spans="2:24">
      <c r="B55" s="85">
        <v>0.110938086894401</v>
      </c>
      <c r="C55" s="86">
        <v>306292.437515412</v>
      </c>
      <c r="D55" s="86">
        <v>306028.72244003</v>
      </c>
      <c r="E55" s="86">
        <v>306028.72244003</v>
      </c>
      <c r="F55" s="86">
        <v>306028.72244003</v>
      </c>
      <c r="I55" s="373">
        <f t="shared" si="19"/>
        <v>0.943713969835818</v>
      </c>
      <c r="J55" t="str">
        <f t="shared" si="1"/>
        <v>Trd_bus_cng</v>
      </c>
      <c r="K55" t="str">
        <f t="shared" si="11"/>
        <v>Trd_bus_cng_11</v>
      </c>
      <c r="L55" t="str">
        <f t="shared" si="3"/>
        <v>Trd_bus</v>
      </c>
      <c r="M55" s="374">
        <f t="shared" si="12"/>
        <v>306292.437515412</v>
      </c>
      <c r="N55" s="374">
        <f t="shared" si="13"/>
        <v>306028.72244003</v>
      </c>
      <c r="O55" s="374">
        <f t="shared" si="14"/>
        <v>306028.72244003</v>
      </c>
      <c r="P55" s="374">
        <f t="shared" si="15"/>
        <v>306028.72244003</v>
      </c>
      <c r="R55" s="370"/>
      <c r="T55" t="s">
        <v>84</v>
      </c>
      <c r="U55" t="str">
        <f t="shared" si="16"/>
        <v>Trd_bus_cng_11</v>
      </c>
      <c r="V55" t="str">
        <f ca="1" t="shared" si="17"/>
        <v>CNG bus -- 11%</v>
      </c>
      <c r="W55" s="372" t="s">
        <v>85</v>
      </c>
      <c r="X55" s="372" t="s">
        <v>86</v>
      </c>
    </row>
    <row r="56" spans="2:24">
      <c r="B56" s="85">
        <v>0.140938086894401</v>
      </c>
      <c r="C56" s="86">
        <v>308988.864229186</v>
      </c>
      <c r="D56" s="86">
        <v>308729.239186441</v>
      </c>
      <c r="E56" s="86">
        <v>308729.239186441</v>
      </c>
      <c r="F56" s="86">
        <v>308729.239186441</v>
      </c>
      <c r="I56" s="373">
        <f t="shared" si="19"/>
        <v>0.969198215473861</v>
      </c>
      <c r="J56" t="str">
        <f t="shared" si="1"/>
        <v>Trd_bus_cng</v>
      </c>
      <c r="K56" t="str">
        <f t="shared" si="11"/>
        <v>Trd_bus_cng_14</v>
      </c>
      <c r="L56" t="str">
        <f t="shared" si="3"/>
        <v>Trd_bus</v>
      </c>
      <c r="M56" s="374">
        <f t="shared" si="12"/>
        <v>308988.864229186</v>
      </c>
      <c r="N56" s="374">
        <f t="shared" si="13"/>
        <v>308729.239186441</v>
      </c>
      <c r="O56" s="374">
        <f t="shared" si="14"/>
        <v>308729.239186441</v>
      </c>
      <c r="P56" s="374">
        <f t="shared" si="15"/>
        <v>308729.239186441</v>
      </c>
      <c r="R56" s="370"/>
      <c r="T56" t="s">
        <v>84</v>
      </c>
      <c r="U56" t="str">
        <f t="shared" si="16"/>
        <v>Trd_bus_cng_14</v>
      </c>
      <c r="V56" t="str">
        <f ca="1" t="shared" si="17"/>
        <v>CNG bus -- 14%</v>
      </c>
      <c r="W56" s="372" t="s">
        <v>85</v>
      </c>
      <c r="X56" s="372" t="s">
        <v>86</v>
      </c>
    </row>
    <row r="57" spans="2:24">
      <c r="B57" s="85">
        <v>0.170938086894401</v>
      </c>
      <c r="C57" s="86">
        <v>337099.135907297</v>
      </c>
      <c r="D57" s="86">
        <v>313345.338940144</v>
      </c>
      <c r="E57" s="86">
        <v>313230.10043046</v>
      </c>
      <c r="F57" s="86">
        <v>313230.10043046</v>
      </c>
      <c r="I57" s="373">
        <f t="shared" si="19"/>
        <v>0.994682461111904</v>
      </c>
      <c r="J57" t="str">
        <f t="shared" si="1"/>
        <v>Trd_bus_cng</v>
      </c>
      <c r="K57" t="str">
        <f t="shared" si="11"/>
        <v>Trd_bus_cng_17</v>
      </c>
      <c r="L57" t="str">
        <f t="shared" si="3"/>
        <v>Trd_bus</v>
      </c>
      <c r="M57" s="374">
        <f t="shared" si="12"/>
        <v>337099.135907297</v>
      </c>
      <c r="N57" s="374">
        <f t="shared" si="13"/>
        <v>313345.338940144</v>
      </c>
      <c r="O57" s="374">
        <f t="shared" si="14"/>
        <v>313230.10043046</v>
      </c>
      <c r="P57" s="374">
        <f t="shared" si="15"/>
        <v>313230.10043046</v>
      </c>
      <c r="R57" s="370"/>
      <c r="T57" t="s">
        <v>84</v>
      </c>
      <c r="U57" t="str">
        <f t="shared" si="16"/>
        <v>Trd_bus_cng_17</v>
      </c>
      <c r="V57" t="str">
        <f ca="1" t="shared" si="17"/>
        <v>CNG bus -- 17%</v>
      </c>
      <c r="W57" s="372" t="s">
        <v>85</v>
      </c>
      <c r="X57" s="372" t="s">
        <v>86</v>
      </c>
    </row>
    <row r="58" spans="2:24">
      <c r="B58" s="85">
        <v>0.210938086894401</v>
      </c>
      <c r="C58" s="86">
        <v>398410.154996184</v>
      </c>
      <c r="D58" s="86">
        <v>323977.095968925</v>
      </c>
      <c r="E58" s="86">
        <v>317320.88320558</v>
      </c>
      <c r="F58" s="86">
        <v>317320.88320558</v>
      </c>
      <c r="I58" s="373">
        <f t="shared" si="19"/>
        <v>1.02866145529596</v>
      </c>
      <c r="J58" t="str">
        <f t="shared" si="1"/>
        <v>Trd_bus_cng</v>
      </c>
      <c r="K58" t="str">
        <f t="shared" si="11"/>
        <v>Trd_bus_cng_21</v>
      </c>
      <c r="L58" t="str">
        <f t="shared" si="3"/>
        <v>Trd_bus</v>
      </c>
      <c r="M58" s="374">
        <f t="shared" si="12"/>
        <v>398410.154996184</v>
      </c>
      <c r="N58" s="374">
        <f t="shared" si="13"/>
        <v>323977.095968925</v>
      </c>
      <c r="O58" s="374">
        <f t="shared" si="14"/>
        <v>317320.88320558</v>
      </c>
      <c r="P58" s="374">
        <f t="shared" si="15"/>
        <v>317320.88320558</v>
      </c>
      <c r="R58" s="370"/>
      <c r="T58" t="s">
        <v>84</v>
      </c>
      <c r="U58" t="str">
        <f t="shared" si="16"/>
        <v>Trd_bus_cng_21</v>
      </c>
      <c r="V58" t="str">
        <f ca="1" t="shared" si="17"/>
        <v>CNG bus -- 21%</v>
      </c>
      <c r="W58" s="372" t="s">
        <v>85</v>
      </c>
      <c r="X58" s="372" t="s">
        <v>86</v>
      </c>
    </row>
    <row r="59" spans="2:24">
      <c r="J59" t="str">
        <f t="shared" si="1"/>
        <v>Trd_bus_cng</v>
      </c>
      <c r="K59" t="str">
        <f t="shared" si="11"/>
        <v>\I:</v>
      </c>
      <c r="L59" t="str">
        <f t="shared" si="3"/>
        <v>\I:</v>
      </c>
      <c r="M59" s="374" t="str">
        <f t="shared" si="12"/>
        <v/>
      </c>
      <c r="N59" s="374" t="str">
        <f t="shared" si="13"/>
        <v/>
      </c>
      <c r="O59" s="374" t="str">
        <f t="shared" si="14"/>
        <v/>
      </c>
      <c r="P59" s="374" t="str">
        <f t="shared" si="15"/>
        <v/>
      </c>
      <c r="R59" s="370"/>
      <c r="T59" t="s">
        <v>84</v>
      </c>
      <c r="U59" t="str">
        <f t="shared" si="16"/>
        <v>\I:</v>
      </c>
      <c r="V59" t="str">
        <f ca="1" t="shared" si="17"/>
        <v>CNG bus -- 00%</v>
      </c>
      <c r="W59" s="372" t="s">
        <v>85</v>
      </c>
      <c r="X59" s="372" t="s">
        <v>86</v>
      </c>
    </row>
    <row r="60" spans="2:24">
      <c r="J60" t="str">
        <f t="shared" si="1"/>
        <v>Trd_bus_cng</v>
      </c>
      <c r="K60" t="str">
        <f t="shared" si="11"/>
        <v>\I:</v>
      </c>
      <c r="L60" t="str">
        <f t="shared" si="3"/>
        <v>\I:</v>
      </c>
      <c r="M60" s="374" t="str">
        <f t="shared" si="12"/>
        <v/>
      </c>
      <c r="N60" s="374" t="str">
        <f t="shared" si="13"/>
        <v/>
      </c>
      <c r="O60" s="374" t="str">
        <f t="shared" si="14"/>
        <v/>
      </c>
      <c r="P60" s="374" t="str">
        <f t="shared" si="15"/>
        <v/>
      </c>
      <c r="R60" s="370"/>
      <c r="T60" t="s">
        <v>84</v>
      </c>
      <c r="U60" t="str">
        <f t="shared" si="16"/>
        <v>\I:</v>
      </c>
      <c r="V60" t="str">
        <f ca="1" t="shared" si="17"/>
        <v>CNG bus -- 00%</v>
      </c>
      <c r="W60" s="372" t="s">
        <v>85</v>
      </c>
      <c r="X60" s="372" t="s">
        <v>86</v>
      </c>
    </row>
    <row r="61" spans="2:24">
      <c r="J61" t="str">
        <f t="shared" si="1"/>
        <v>Trd_bus_cng</v>
      </c>
      <c r="K61" t="str">
        <f t="shared" si="11"/>
        <v>\I:</v>
      </c>
      <c r="L61" t="str">
        <f t="shared" si="3"/>
        <v>\I:</v>
      </c>
      <c r="M61" s="374" t="str">
        <f t="shared" si="12"/>
        <v/>
      </c>
      <c r="N61" s="374" t="str">
        <f t="shared" si="13"/>
        <v/>
      </c>
      <c r="O61" s="374" t="str">
        <f t="shared" si="14"/>
        <v/>
      </c>
      <c r="P61" s="374" t="str">
        <f t="shared" si="15"/>
        <v/>
      </c>
      <c r="R61" s="370"/>
      <c r="T61" t="s">
        <v>84</v>
      </c>
      <c r="U61" t="str">
        <f t="shared" si="16"/>
        <v>\I:</v>
      </c>
      <c r="V61" t="str">
        <f ca="1" t="shared" si="17"/>
        <v>CNG bus -- 00%</v>
      </c>
      <c r="W61" s="372" t="s">
        <v>85</v>
      </c>
      <c r="X61" s="372" t="s">
        <v>86</v>
      </c>
    </row>
    <row r="62" spans="2:24">
      <c r="J62" t="str">
        <f t="shared" si="1"/>
        <v>Trd_bus_cng</v>
      </c>
      <c r="K62" t="str">
        <f t="shared" si="11"/>
        <v>\I:</v>
      </c>
      <c r="L62" t="str">
        <f t="shared" si="3"/>
        <v>\I:</v>
      </c>
      <c r="M62" s="374" t="str">
        <f t="shared" si="12"/>
        <v/>
      </c>
      <c r="N62" s="374" t="str">
        <f t="shared" si="13"/>
        <v/>
      </c>
      <c r="O62" s="374" t="str">
        <f t="shared" si="14"/>
        <v/>
      </c>
      <c r="P62" s="374" t="str">
        <f t="shared" si="15"/>
        <v/>
      </c>
      <c r="R62" s="370"/>
      <c r="T62" t="s">
        <v>84</v>
      </c>
      <c r="U62" t="str">
        <f t="shared" si="16"/>
        <v>\I:</v>
      </c>
      <c r="V62" t="str">
        <f ca="1" t="shared" si="17"/>
        <v>CNG bus -- 00%</v>
      </c>
      <c r="W62" s="372" t="s">
        <v>85</v>
      </c>
      <c r="X62" s="372" t="s">
        <v>86</v>
      </c>
    </row>
    <row r="63" spans="2:24">
      <c r="B63" s="44" t="s">
        <v>161</v>
      </c>
      <c r="J63" t="str">
        <f t="shared" si="1"/>
        <v>Trd_bus_cng</v>
      </c>
      <c r="K63" t="str">
        <f t="shared" si="11"/>
        <v>\I:</v>
      </c>
      <c r="L63" t="str">
        <f t="shared" si="3"/>
        <v>\I:</v>
      </c>
      <c r="M63" s="374" t="str">
        <f t="shared" si="12"/>
        <v/>
      </c>
      <c r="N63" s="374" t="str">
        <f t="shared" si="13"/>
        <v/>
      </c>
      <c r="O63" s="374" t="str">
        <f t="shared" si="14"/>
        <v/>
      </c>
      <c r="P63" s="374" t="str">
        <f t="shared" si="15"/>
        <v/>
      </c>
      <c r="R63" s="370"/>
      <c r="T63" t="s">
        <v>84</v>
      </c>
      <c r="U63" t="str">
        <f t="shared" si="16"/>
        <v>\I:</v>
      </c>
      <c r="V63" t="str">
        <f ca="1" t="shared" si="17"/>
        <v>CNG bus -- Reference values for LPG bus</v>
      </c>
      <c r="W63" s="372" t="s">
        <v>85</v>
      </c>
      <c r="X63" s="372" t="s">
        <v>86</v>
      </c>
    </row>
    <row r="64" spans="2:24">
      <c r="B64" s="365">
        <v>2015</v>
      </c>
      <c r="C64" s="365"/>
      <c r="D64" s="365"/>
      <c r="J64" t="str">
        <f t="shared" si="1"/>
        <v>Trd_bus_cng</v>
      </c>
      <c r="K64" t="str">
        <f t="shared" si="11"/>
        <v>\I:</v>
      </c>
      <c r="L64" t="str">
        <f t="shared" si="3"/>
        <v>\I:</v>
      </c>
      <c r="M64" s="374" t="str">
        <f t="shared" si="12"/>
        <v/>
      </c>
      <c r="N64" s="374" t="str">
        <f t="shared" si="13"/>
        <v/>
      </c>
      <c r="O64" s="374" t="str">
        <f t="shared" si="14"/>
        <v/>
      </c>
      <c r="P64" s="374" t="str">
        <f t="shared" si="15"/>
        <v/>
      </c>
      <c r="R64" s="370"/>
      <c r="T64" t="s">
        <v>84</v>
      </c>
      <c r="U64" t="str">
        <f t="shared" si="16"/>
        <v>\I:</v>
      </c>
      <c r="V64" t="str">
        <f ca="1" t="shared" si="17"/>
        <v>CNG bus -- 201500%</v>
      </c>
      <c r="W64" s="372" t="s">
        <v>85</v>
      </c>
      <c r="X64" s="372" t="s">
        <v>86</v>
      </c>
    </row>
    <row r="65" spans="2:24">
      <c r="B65" s="46" t="s">
        <v>12</v>
      </c>
      <c r="C65" s="47" t="s">
        <v>13</v>
      </c>
      <c r="D65" s="48">
        <v>44.5875272319002</v>
      </c>
      <c r="J65" t="str">
        <f t="shared" si="1"/>
        <v>Trd_bus_cng</v>
      </c>
      <c r="K65" t="str">
        <f t="shared" si="11"/>
        <v>\I:</v>
      </c>
      <c r="L65" t="str">
        <f t="shared" si="3"/>
        <v>\I:</v>
      </c>
      <c r="M65" s="374" t="str">
        <f t="shared" si="12"/>
        <v/>
      </c>
      <c r="N65" s="374" t="str">
        <f t="shared" si="13"/>
        <v/>
      </c>
      <c r="O65" s="374" t="str">
        <f t="shared" si="14"/>
        <v/>
      </c>
      <c r="P65" s="374" t="str">
        <f t="shared" si="15"/>
        <v/>
      </c>
      <c r="R65" s="370"/>
      <c r="T65" t="s">
        <v>84</v>
      </c>
      <c r="U65" t="str">
        <f t="shared" si="16"/>
        <v>\I:</v>
      </c>
      <c r="V65" t="str">
        <f ca="1" t="shared" si="17"/>
        <v>CNG bus -- Energy consumption</v>
      </c>
      <c r="W65" s="372" t="s">
        <v>85</v>
      </c>
      <c r="X65" s="372" t="s">
        <v>86</v>
      </c>
    </row>
    <row r="66" spans="2:24">
      <c r="B66" s="46" t="s">
        <v>14</v>
      </c>
      <c r="C66" s="47" t="s">
        <v>15</v>
      </c>
      <c r="D66" s="68">
        <v>293034.342145544</v>
      </c>
      <c r="J66" t="str">
        <f t="shared" si="1"/>
        <v>Trd_bus_cng</v>
      </c>
      <c r="K66" t="str">
        <f t="shared" si="11"/>
        <v>\I:</v>
      </c>
      <c r="L66" t="str">
        <f t="shared" si="3"/>
        <v>\I:</v>
      </c>
      <c r="M66" s="374" t="str">
        <f t="shared" si="12"/>
        <v/>
      </c>
      <c r="N66" s="374" t="str">
        <f t="shared" si="13"/>
        <v/>
      </c>
      <c r="O66" s="374" t="str">
        <f t="shared" si="14"/>
        <v/>
      </c>
      <c r="P66" s="374" t="str">
        <f t="shared" si="15"/>
        <v/>
      </c>
      <c r="R66" s="370"/>
      <c r="T66" t="s">
        <v>84</v>
      </c>
      <c r="U66" t="str">
        <f t="shared" si="16"/>
        <v>\I:</v>
      </c>
      <c r="V66" t="str">
        <f ca="1" t="shared" si="17"/>
        <v>CNG bus -- Capital cost</v>
      </c>
      <c r="W66" s="372" t="s">
        <v>85</v>
      </c>
      <c r="X66" s="372" t="s">
        <v>86</v>
      </c>
    </row>
    <row r="67" spans="2:24">
      <c r="J67" t="str">
        <f t="shared" si="1"/>
        <v>Trd_bus_cng</v>
      </c>
      <c r="K67" t="str">
        <f t="shared" si="11"/>
        <v>\I:</v>
      </c>
      <c r="L67" t="str">
        <f t="shared" si="3"/>
        <v>\I:</v>
      </c>
      <c r="M67" s="374" t="str">
        <f t="shared" si="12"/>
        <v/>
      </c>
      <c r="N67" s="374" t="str">
        <f t="shared" si="13"/>
        <v/>
      </c>
      <c r="O67" s="374" t="str">
        <f t="shared" si="14"/>
        <v/>
      </c>
      <c r="P67" s="374" t="str">
        <f t="shared" si="15"/>
        <v/>
      </c>
      <c r="R67" s="370"/>
      <c r="T67" t="s">
        <v>84</v>
      </c>
      <c r="U67" t="str">
        <f t="shared" si="16"/>
        <v>\I:</v>
      </c>
      <c r="V67" t="str">
        <f ca="1" t="shared" si="17"/>
        <v>CNG bus -- 00%</v>
      </c>
      <c r="W67" s="372" t="s">
        <v>85</v>
      </c>
      <c r="X67" s="372" t="s">
        <v>86</v>
      </c>
    </row>
    <row r="68" ht="15" customHeight="1" spans="2:24">
      <c r="B68" s="371" t="s">
        <v>92</v>
      </c>
      <c r="C68" s="371" t="s">
        <v>153</v>
      </c>
      <c r="D68" s="371"/>
      <c r="E68" s="371"/>
      <c r="F68" s="371"/>
      <c r="J68" t="str">
        <f t="shared" si="1"/>
        <v>\I:Trd_bus_lpg</v>
      </c>
      <c r="K68" t="str">
        <f t="shared" si="11"/>
        <v>\I:</v>
      </c>
      <c r="L68" t="str">
        <f t="shared" si="3"/>
        <v>\I:</v>
      </c>
      <c r="M68" s="374" t="str">
        <f t="shared" si="12"/>
        <v/>
      </c>
      <c r="N68" s="374" t="str">
        <f t="shared" si="13"/>
        <v/>
      </c>
      <c r="O68" s="374" t="str">
        <f t="shared" si="14"/>
        <v/>
      </c>
      <c r="P68" s="374" t="str">
        <f t="shared" si="15"/>
        <v/>
      </c>
      <c r="R68" s="370"/>
      <c r="T68" t="s">
        <v>84</v>
      </c>
      <c r="U68" t="str">
        <f t="shared" si="16"/>
        <v>\I:</v>
      </c>
      <c r="V68" t="str">
        <f ca="1" t="shared" si="17"/>
        <v>LPG bus -- Reduction of specific energy consumption relative to 2015 LPG vehicle (%)</v>
      </c>
      <c r="W68" s="372" t="s">
        <v>85</v>
      </c>
      <c r="X68" s="372" t="s">
        <v>86</v>
      </c>
    </row>
    <row r="69" spans="2:24">
      <c r="B69" s="371"/>
      <c r="C69" s="371"/>
      <c r="D69" s="371"/>
      <c r="E69" s="371"/>
      <c r="F69" s="371"/>
      <c r="J69" t="str">
        <f t="shared" si="1"/>
        <v>\I:Trd_bus_lpg</v>
      </c>
      <c r="K69" t="str">
        <f t="shared" si="11"/>
        <v>\I:</v>
      </c>
      <c r="L69" t="str">
        <f t="shared" si="3"/>
        <v>\I:</v>
      </c>
      <c r="M69" s="374" t="str">
        <f t="shared" si="12"/>
        <v/>
      </c>
      <c r="N69" s="374" t="str">
        <f t="shared" si="13"/>
        <v/>
      </c>
      <c r="O69" s="374" t="str">
        <f t="shared" si="14"/>
        <v/>
      </c>
      <c r="P69" s="374" t="str">
        <f t="shared" si="15"/>
        <v/>
      </c>
      <c r="R69" s="370"/>
      <c r="T69" t="s">
        <v>84</v>
      </c>
      <c r="U69" t="str">
        <f t="shared" si="16"/>
        <v>\I:</v>
      </c>
      <c r="V69" t="str">
        <f ca="1" t="shared" si="17"/>
        <v>LPG bus -- 00%</v>
      </c>
      <c r="W69" s="372" t="s">
        <v>85</v>
      </c>
      <c r="X69" s="372" t="s">
        <v>86</v>
      </c>
    </row>
    <row r="70" spans="2:24">
      <c r="B70" s="371"/>
      <c r="C70" s="371"/>
      <c r="D70" s="371"/>
      <c r="E70" s="371"/>
      <c r="F70" s="371"/>
      <c r="J70" t="str">
        <f t="shared" si="1"/>
        <v>\I:Trd_bus_lpg</v>
      </c>
      <c r="K70" t="str">
        <f t="shared" si="11"/>
        <v>\I:</v>
      </c>
      <c r="L70" t="str">
        <f t="shared" si="3"/>
        <v>\I:</v>
      </c>
      <c r="M70" s="374" t="str">
        <f t="shared" si="12"/>
        <v/>
      </c>
      <c r="N70" s="374" t="str">
        <f t="shared" si="13"/>
        <v/>
      </c>
      <c r="O70" s="374" t="str">
        <f t="shared" si="14"/>
        <v/>
      </c>
      <c r="P70" s="374" t="str">
        <f t="shared" si="15"/>
        <v/>
      </c>
      <c r="R70" s="370"/>
      <c r="T70" t="s">
        <v>84</v>
      </c>
      <c r="U70" t="str">
        <f t="shared" si="16"/>
        <v>\I:</v>
      </c>
      <c r="V70" t="str">
        <f ca="1" t="shared" si="17"/>
        <v>LPG bus -- 00%</v>
      </c>
      <c r="W70" s="372" t="s">
        <v>85</v>
      </c>
      <c r="X70" s="372" t="s">
        <v>86</v>
      </c>
    </row>
    <row r="71" spans="2:24">
      <c r="B71" s="50"/>
      <c r="C71" s="51">
        <v>2020</v>
      </c>
      <c r="D71" s="51">
        <v>2030</v>
      </c>
      <c r="E71" s="51">
        <v>2040</v>
      </c>
      <c r="F71" s="51">
        <v>2050</v>
      </c>
      <c r="J71" t="str">
        <f t="shared" si="1"/>
        <v>\I:Trd_bus_lpg</v>
      </c>
      <c r="K71" t="str">
        <f t="shared" si="11"/>
        <v>\I:</v>
      </c>
      <c r="L71" t="str">
        <f t="shared" si="3"/>
        <v>\I:</v>
      </c>
      <c r="M71" s="374" t="str">
        <f t="shared" si="12"/>
        <v/>
      </c>
      <c r="N71" s="374" t="str">
        <f t="shared" si="13"/>
        <v/>
      </c>
      <c r="O71" s="374" t="str">
        <f t="shared" si="14"/>
        <v/>
      </c>
      <c r="P71" s="374" t="str">
        <f t="shared" si="15"/>
        <v/>
      </c>
      <c r="R71" s="370"/>
      <c r="T71" t="s">
        <v>84</v>
      </c>
      <c r="U71" t="str">
        <f t="shared" si="16"/>
        <v>\I:</v>
      </c>
      <c r="V71" t="str">
        <f ca="1" t="shared" si="17"/>
        <v>LPG bus -- 00%</v>
      </c>
      <c r="W71" s="372" t="s">
        <v>85</v>
      </c>
      <c r="X71" s="372" t="s">
        <v>86</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74">
        <f t="shared" si="12"/>
        <v>294253.337139267</v>
      </c>
      <c r="N72" s="374">
        <f t="shared" si="13"/>
        <v>294253.337139267</v>
      </c>
      <c r="O72" s="374">
        <f t="shared" si="14"/>
        <v>294253.337139267</v>
      </c>
      <c r="P72" s="374">
        <f t="shared" si="15"/>
        <v>294253.337139267</v>
      </c>
      <c r="R72" s="370"/>
      <c r="T72" t="s">
        <v>84</v>
      </c>
      <c r="U72" t="str">
        <f t="shared" si="16"/>
        <v>\I:Trd_bus_lpg_04</v>
      </c>
      <c r="V72" t="str">
        <f ca="1" t="shared" si="17"/>
        <v>LPG bus -- 04%</v>
      </c>
      <c r="W72" s="372" t="s">
        <v>85</v>
      </c>
      <c r="X72" s="372" t="s">
        <v>86</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74">
        <f t="shared" si="12"/>
        <v>295617.697121002</v>
      </c>
      <c r="N73" s="374">
        <f t="shared" si="13"/>
        <v>295140.404777826</v>
      </c>
      <c r="O73" s="374">
        <f t="shared" si="14"/>
        <v>295140.404777826</v>
      </c>
      <c r="P73" s="374">
        <f t="shared" si="15"/>
        <v>295140.404777826</v>
      </c>
      <c r="R73" s="370"/>
      <c r="T73" t="s">
        <v>84</v>
      </c>
      <c r="U73" t="str">
        <f t="shared" si="16"/>
        <v>\I:Trd_bus_lpg_06</v>
      </c>
      <c r="V73" t="str">
        <f ca="1" t="shared" si="17"/>
        <v>LPG bus -- 06%</v>
      </c>
      <c r="W73" s="372" t="s">
        <v>85</v>
      </c>
      <c r="X73" s="372" t="s">
        <v>86</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74">
        <f t="shared" si="12"/>
        <v>297558.01980652</v>
      </c>
      <c r="N74" s="374">
        <f t="shared" si="13"/>
        <v>297253.911301946</v>
      </c>
      <c r="O74" s="374">
        <f t="shared" si="14"/>
        <v>297253.911301946</v>
      </c>
      <c r="P74" s="374">
        <f t="shared" si="15"/>
        <v>297253.911301946</v>
      </c>
      <c r="R74" s="370"/>
      <c r="T74" t="s">
        <v>84</v>
      </c>
      <c r="U74" t="str">
        <f t="shared" si="16"/>
        <v>\I:Trd_bus_lpg_08</v>
      </c>
      <c r="V74" t="str">
        <f ca="1" t="shared" si="17"/>
        <v>LPG bus -- 08%</v>
      </c>
      <c r="W74" s="372" t="s">
        <v>85</v>
      </c>
      <c r="X74" s="372" t="s">
        <v>86</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74">
        <f t="shared" si="12"/>
        <v>299317.970874936</v>
      </c>
      <c r="N75" s="374">
        <f t="shared" si="13"/>
        <v>299054.255799554</v>
      </c>
      <c r="O75" s="374">
        <f t="shared" si="14"/>
        <v>299054.255799554</v>
      </c>
      <c r="P75" s="374">
        <f t="shared" si="15"/>
        <v>299054.255799554</v>
      </c>
      <c r="R75" s="370"/>
      <c r="T75" t="s">
        <v>84</v>
      </c>
      <c r="U75" t="str">
        <f t="shared" si="16"/>
        <v>\I:Trd_bus_lpg_11</v>
      </c>
      <c r="V75" t="str">
        <f ca="1" t="shared" si="17"/>
        <v>LPG bus -- 11%</v>
      </c>
      <c r="W75" s="372" t="s">
        <v>85</v>
      </c>
      <c r="X75" s="372" t="s">
        <v>86</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74">
        <f t="shared" si="12"/>
        <v>302014.39758871</v>
      </c>
      <c r="N76" s="374">
        <f t="shared" si="13"/>
        <v>301754.772545965</v>
      </c>
      <c r="O76" s="374">
        <f t="shared" si="14"/>
        <v>301754.772545965</v>
      </c>
      <c r="P76" s="374">
        <f t="shared" si="15"/>
        <v>301754.772545965</v>
      </c>
      <c r="R76" s="370"/>
      <c r="T76" t="s">
        <v>84</v>
      </c>
      <c r="U76" t="str">
        <f t="shared" si="16"/>
        <v>\I:Trd_bus_lpg_14</v>
      </c>
      <c r="V76" t="str">
        <f ca="1" t="shared" si="17"/>
        <v>LPG bus -- 14%</v>
      </c>
      <c r="W76" s="372" t="s">
        <v>85</v>
      </c>
      <c r="X76" s="372" t="s">
        <v>86</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74">
        <f t="shared" si="12"/>
        <v>330124.669266821</v>
      </c>
      <c r="N77" s="374">
        <f t="shared" si="13"/>
        <v>306370.872299667</v>
      </c>
      <c r="O77" s="374">
        <f t="shared" si="14"/>
        <v>306255.633789984</v>
      </c>
      <c r="P77" s="374">
        <f t="shared" si="15"/>
        <v>306255.633789984</v>
      </c>
      <c r="R77" s="370"/>
      <c r="T77" t="s">
        <v>84</v>
      </c>
      <c r="U77" t="str">
        <f t="shared" si="16"/>
        <v>\I:Trd_bus_lpg_17</v>
      </c>
      <c r="V77" t="str">
        <f ca="1" t="shared" si="17"/>
        <v>LPG bus -- 17%</v>
      </c>
      <c r="W77" s="372" t="s">
        <v>85</v>
      </c>
      <c r="X77" s="372" t="s">
        <v>86</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74">
        <f t="shared" si="12"/>
        <v>391435.688355708</v>
      </c>
      <c r="N78" s="374">
        <f t="shared" si="13"/>
        <v>317002.629328449</v>
      </c>
      <c r="O78" s="374">
        <f t="shared" si="14"/>
        <v>310346.416565104</v>
      </c>
      <c r="P78" s="374">
        <f t="shared" si="15"/>
        <v>310346.416565104</v>
      </c>
      <c r="R78" s="370"/>
      <c r="T78" t="s">
        <v>84</v>
      </c>
      <c r="U78" t="str">
        <f t="shared" si="16"/>
        <v>\I:Trd_bus_lpg_21</v>
      </c>
      <c r="V78" t="str">
        <f ca="1" t="shared" si="17"/>
        <v>LPG bus -- 21%</v>
      </c>
      <c r="W78" s="372" t="s">
        <v>85</v>
      </c>
      <c r="X78" s="372" t="s">
        <v>86</v>
      </c>
    </row>
    <row r="79" spans="2:24">
      <c r="J79" t="str">
        <f t="shared" si="20"/>
        <v>\I:Trd_bus_lpg</v>
      </c>
      <c r="K79" t="str">
        <f t="shared" si="11"/>
        <v>\I:</v>
      </c>
      <c r="L79" t="str">
        <f t="shared" si="21"/>
        <v>\I:</v>
      </c>
      <c r="M79" s="374" t="str">
        <f t="shared" si="12"/>
        <v/>
      </c>
      <c r="N79" s="374" t="str">
        <f t="shared" si="13"/>
        <v/>
      </c>
      <c r="O79" s="374" t="str">
        <f t="shared" si="14"/>
        <v/>
      </c>
      <c r="P79" s="374" t="str">
        <f t="shared" si="15"/>
        <v/>
      </c>
      <c r="R79" s="370"/>
      <c r="T79" t="s">
        <v>84</v>
      </c>
      <c r="U79" t="str">
        <f t="shared" si="16"/>
        <v>\I:</v>
      </c>
      <c r="V79" t="str">
        <f ca="1" t="shared" si="17"/>
        <v>LPG bus -- 00%</v>
      </c>
      <c r="W79" s="372" t="s">
        <v>85</v>
      </c>
      <c r="X79" s="372" t="s">
        <v>86</v>
      </c>
    </row>
    <row r="80" spans="2:24">
      <c r="J80" t="str">
        <f t="shared" si="20"/>
        <v>\I:Trd_bus_lpg</v>
      </c>
      <c r="K80" t="str">
        <f t="shared" si="11"/>
        <v>\I:</v>
      </c>
      <c r="L80" t="str">
        <f t="shared" si="21"/>
        <v>\I:</v>
      </c>
      <c r="M80" s="374" t="str">
        <f t="shared" si="12"/>
        <v/>
      </c>
      <c r="N80" s="374" t="str">
        <f t="shared" si="13"/>
        <v/>
      </c>
      <c r="O80" s="374" t="str">
        <f t="shared" si="14"/>
        <v/>
      </c>
      <c r="P80" s="374" t="str">
        <f t="shared" si="15"/>
        <v/>
      </c>
      <c r="R80" s="370"/>
      <c r="T80" t="s">
        <v>84</v>
      </c>
      <c r="U80" t="str">
        <f t="shared" si="16"/>
        <v>\I:</v>
      </c>
      <c r="V80" t="str">
        <f ca="1" t="shared" si="17"/>
        <v>LPG bus -- 00%</v>
      </c>
      <c r="W80" s="372" t="s">
        <v>85</v>
      </c>
      <c r="X80" s="372" t="s">
        <v>86</v>
      </c>
    </row>
    <row r="81" spans="2:24">
      <c r="J81" t="str">
        <f t="shared" si="20"/>
        <v>\I:Trd_bus_lpg</v>
      </c>
      <c r="K81" t="str">
        <f t="shared" si="11"/>
        <v>\I:</v>
      </c>
      <c r="L81" t="str">
        <f t="shared" si="21"/>
        <v>\I:</v>
      </c>
      <c r="M81" s="374" t="str">
        <f t="shared" si="12"/>
        <v/>
      </c>
      <c r="N81" s="374" t="str">
        <f t="shared" si="13"/>
        <v/>
      </c>
      <c r="O81" s="374" t="str">
        <f t="shared" si="14"/>
        <v/>
      </c>
      <c r="P81" s="374" t="str">
        <f t="shared" si="15"/>
        <v/>
      </c>
      <c r="R81" s="370"/>
      <c r="T81" t="s">
        <v>84</v>
      </c>
      <c r="U81" t="str">
        <f t="shared" si="16"/>
        <v>\I:</v>
      </c>
      <c r="V81" t="str">
        <f ca="1" t="shared" si="17"/>
        <v>LPG bus -- 00%</v>
      </c>
      <c r="W81" s="372" t="s">
        <v>85</v>
      </c>
      <c r="X81" s="372" t="s">
        <v>86</v>
      </c>
    </row>
    <row r="82" spans="2:24">
      <c r="B82" s="365">
        <v>2020</v>
      </c>
      <c r="C82" s="365"/>
      <c r="D82" s="365"/>
      <c r="J82" t="str">
        <f t="shared" si="20"/>
        <v>\I:Trd_bus_lpg</v>
      </c>
      <c r="K82" t="str">
        <f t="shared" si="11"/>
        <v>\I:</v>
      </c>
      <c r="L82" t="str">
        <f t="shared" si="21"/>
        <v>\I:</v>
      </c>
      <c r="M82" s="374" t="str">
        <f t="shared" si="12"/>
        <v/>
      </c>
      <c r="N82" s="374" t="str">
        <f t="shared" si="13"/>
        <v/>
      </c>
      <c r="O82" s="374" t="str">
        <f t="shared" si="14"/>
        <v/>
      </c>
      <c r="P82" s="374" t="str">
        <f t="shared" si="15"/>
        <v/>
      </c>
      <c r="R82" s="370"/>
      <c r="T82" t="s">
        <v>84</v>
      </c>
      <c r="U82" t="str">
        <f t="shared" si="16"/>
        <v>\I:</v>
      </c>
      <c r="V82" t="str">
        <f ca="1" t="shared" si="17"/>
        <v>LPG bus -- 202000%</v>
      </c>
      <c r="W82" s="372" t="s">
        <v>85</v>
      </c>
      <c r="X82" s="372" t="s">
        <v>86</v>
      </c>
    </row>
    <row r="83" spans="2:24">
      <c r="B83" s="46" t="s">
        <v>162</v>
      </c>
      <c r="C83" s="47" t="s">
        <v>26</v>
      </c>
      <c r="D83" s="74">
        <v>1.15</v>
      </c>
      <c r="G83" s="75">
        <f>D83/3.6/100*10^9/10^6</f>
        <v>3.19444444444444</v>
      </c>
      <c r="H83" s="75"/>
      <c r="I83" s="376">
        <f>1/G83-0.1</f>
        <v>0.21304347826087</v>
      </c>
      <c r="J83" t="str">
        <f t="shared" si="20"/>
        <v>\I:Trd_bus_lpg</v>
      </c>
      <c r="K83" t="str">
        <f t="shared" si="11"/>
        <v>\I:</v>
      </c>
      <c r="L83" t="str">
        <f t="shared" si="21"/>
        <v>\I:</v>
      </c>
      <c r="M83" s="374" t="str">
        <f t="shared" si="12"/>
        <v/>
      </c>
      <c r="N83" s="374" t="str">
        <f t="shared" si="13"/>
        <v/>
      </c>
      <c r="O83" s="374" t="str">
        <f t="shared" si="14"/>
        <v/>
      </c>
      <c r="P83" s="374" t="str">
        <f t="shared" si="15"/>
        <v/>
      </c>
      <c r="R83" s="370"/>
      <c r="T83" t="s">
        <v>84</v>
      </c>
      <c r="U83" t="str">
        <f t="shared" si="16"/>
        <v>\I:</v>
      </c>
      <c r="V83" t="str">
        <f ca="1" t="shared" si="17"/>
        <v>LPG bus -- Energy consumption of Battery electric bus </v>
      </c>
      <c r="W83" s="372" t="s">
        <v>85</v>
      </c>
      <c r="X83" s="372" t="s">
        <v>86</v>
      </c>
    </row>
    <row r="84" spans="2:24">
      <c r="I84" s="377" t="s">
        <v>70</v>
      </c>
      <c r="J84" t="str">
        <f t="shared" si="20"/>
        <v>\I:Trd_bus_lpg</v>
      </c>
      <c r="K84" t="str">
        <f t="shared" si="11"/>
        <v>\I:</v>
      </c>
      <c r="L84" t="str">
        <f t="shared" si="21"/>
        <v>\I:</v>
      </c>
      <c r="M84" s="374" t="str">
        <f t="shared" si="12"/>
        <v/>
      </c>
      <c r="N84" s="374" t="str">
        <f t="shared" si="13"/>
        <v/>
      </c>
      <c r="O84" s="374" t="str">
        <f t="shared" si="14"/>
        <v/>
      </c>
      <c r="P84" s="374" t="str">
        <f t="shared" si="15"/>
        <v/>
      </c>
      <c r="R84" s="370"/>
      <c r="T84" t="s">
        <v>84</v>
      </c>
      <c r="U84" t="str">
        <f t="shared" si="16"/>
        <v>\I:</v>
      </c>
      <c r="V84" t="str">
        <f ca="1" t="shared" si="17"/>
        <v>LPG bus -- 00%</v>
      </c>
      <c r="W84" s="372" t="s">
        <v>85</v>
      </c>
      <c r="X84" s="372" t="s">
        <v>86</v>
      </c>
    </row>
    <row r="85" ht="15" customHeight="1" spans="2:24">
      <c r="B85" s="371" t="s">
        <v>27</v>
      </c>
      <c r="C85" s="371" t="s">
        <v>155</v>
      </c>
      <c r="D85" s="371"/>
      <c r="E85" s="371"/>
      <c r="F85" s="371"/>
      <c r="J85" t="str">
        <f t="shared" si="20"/>
        <v>Trd_bus_elc</v>
      </c>
      <c r="K85" t="str">
        <f t="shared" si="11"/>
        <v>\I:</v>
      </c>
      <c r="L85" t="str">
        <f t="shared" si="21"/>
        <v>\I:</v>
      </c>
      <c r="M85" s="374" t="str">
        <f t="shared" si="12"/>
        <v/>
      </c>
      <c r="N85" s="374" t="str">
        <f t="shared" si="13"/>
        <v/>
      </c>
      <c r="O85" s="374" t="str">
        <f t="shared" si="14"/>
        <v/>
      </c>
      <c r="P85" s="374" t="str">
        <f t="shared" si="15"/>
        <v/>
      </c>
      <c r="R85" s="370"/>
      <c r="T85" t="s">
        <v>84</v>
      </c>
      <c r="U85" t="str">
        <f t="shared" si="16"/>
        <v>\I:</v>
      </c>
      <c r="V85" t="str">
        <f ca="1" t="shared" si="17"/>
        <v>Battery electric bus -- Electric range (km)</v>
      </c>
      <c r="W85" s="372" t="s">
        <v>85</v>
      </c>
      <c r="X85" s="372" t="s">
        <v>86</v>
      </c>
    </row>
    <row r="86" spans="2:24">
      <c r="B86" s="371"/>
      <c r="C86" s="371"/>
      <c r="D86" s="371"/>
      <c r="E86" s="371"/>
      <c r="F86" s="371"/>
      <c r="J86" t="str">
        <f t="shared" si="20"/>
        <v>Trd_bus_elc</v>
      </c>
      <c r="K86" t="str">
        <f t="shared" si="11"/>
        <v>\I:</v>
      </c>
      <c r="L86" t="str">
        <f t="shared" si="21"/>
        <v>\I:</v>
      </c>
      <c r="M86" s="374" t="str">
        <f t="shared" si="12"/>
        <v/>
      </c>
      <c r="N86" s="374" t="str">
        <f t="shared" si="13"/>
        <v/>
      </c>
      <c r="O86" s="374" t="str">
        <f t="shared" si="14"/>
        <v/>
      </c>
      <c r="P86" s="374" t="str">
        <f t="shared" si="15"/>
        <v/>
      </c>
      <c r="R86" s="370"/>
      <c r="T86" t="s">
        <v>84</v>
      </c>
      <c r="U86" t="str">
        <f t="shared" si="16"/>
        <v>\I:</v>
      </c>
      <c r="V86" t="str">
        <f ca="1" t="shared" si="17"/>
        <v>Battery electric bus -- 00%</v>
      </c>
      <c r="W86" s="372" t="s">
        <v>85</v>
      </c>
      <c r="X86" s="372" t="s">
        <v>86</v>
      </c>
    </row>
    <row r="87" spans="2:24">
      <c r="B87" s="371"/>
      <c r="C87" s="371"/>
      <c r="D87" s="371"/>
      <c r="E87" s="371"/>
      <c r="F87" s="371"/>
      <c r="J87" t="str">
        <f t="shared" si="20"/>
        <v>Trd_bus_elc</v>
      </c>
      <c r="K87" t="str">
        <f t="shared" si="11"/>
        <v>\I:</v>
      </c>
      <c r="L87" t="str">
        <f t="shared" si="21"/>
        <v>\I:</v>
      </c>
      <c r="M87" s="374" t="str">
        <f t="shared" si="12"/>
        <v/>
      </c>
      <c r="N87" s="374" t="str">
        <f t="shared" si="13"/>
        <v/>
      </c>
      <c r="O87" s="374" t="str">
        <f t="shared" si="14"/>
        <v/>
      </c>
      <c r="P87" s="374" t="str">
        <f t="shared" si="15"/>
        <v/>
      </c>
      <c r="R87" s="370"/>
      <c r="T87" t="s">
        <v>84</v>
      </c>
      <c r="U87" t="str">
        <f t="shared" si="16"/>
        <v>\I:</v>
      </c>
      <c r="V87" t="str">
        <f ca="1" t="shared" si="17"/>
        <v>Battery electric bus -- 00%</v>
      </c>
      <c r="W87" s="372" t="s">
        <v>85</v>
      </c>
      <c r="X87" s="372" t="s">
        <v>86</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74" t="str">
        <f t="shared" ref="M88:M151" si="23">IF($K88="\I:","",C88)</f>
        <v/>
      </c>
      <c r="N88" s="374" t="str">
        <f t="shared" ref="N88:N151" si="24">IF($K88="\I:","",D88)</f>
        <v/>
      </c>
      <c r="O88" s="374" t="str">
        <f t="shared" ref="O88:O151" si="25">IF($K88="\I:","",E88)</f>
        <v/>
      </c>
      <c r="P88" s="374" t="str">
        <f t="shared" ref="P88:P151" si="26">IF($K88="\I:","",F88)</f>
        <v/>
      </c>
      <c r="R88" s="370"/>
      <c r="T88" t="s">
        <v>84</v>
      </c>
      <c r="U88" t="str">
        <f t="shared" ref="U88:U151" si="27">K88</f>
        <v>\I:</v>
      </c>
      <c r="V88" t="str">
        <f ca="1" t="shared" ref="V88:V151" si="28">OFFSET($S$1,MATCH(J88,$S$1:$S$12,0)-1,-1)&amp;" -- "&amp;TEXT(B88,"00%")</f>
        <v>Battery electric bus -- 00%</v>
      </c>
      <c r="W88" s="372" t="s">
        <v>85</v>
      </c>
      <c r="X88" s="372" t="s">
        <v>86</v>
      </c>
    </row>
    <row r="89" spans="2:24">
      <c r="B89" s="66">
        <v>120</v>
      </c>
      <c r="C89" s="86">
        <v>414282.581831388</v>
      </c>
      <c r="D89" s="86">
        <v>303169.459903534</v>
      </c>
      <c r="E89" s="86">
        <v>289801.053326816</v>
      </c>
      <c r="F89" s="86">
        <v>284257.075106368</v>
      </c>
      <c r="I89" s="378">
        <f>$I$83/$I$7</f>
        <v>2.95617979462175</v>
      </c>
      <c r="J89" t="str">
        <f t="shared" si="20"/>
        <v>Trd_bus_elc</v>
      </c>
      <c r="K89" t="str">
        <f>IFERROR(IF(VALUE(C89)&gt;2020,J89&amp;"_"&amp;TEXT(B89,"00"),"\I:"),"\I:")</f>
        <v>Trd_bus_elc_120</v>
      </c>
      <c r="L89" t="str">
        <f t="shared" si="21"/>
        <v>Trd_bus</v>
      </c>
      <c r="M89" s="379">
        <f>IF($K89="\I:","",C89*60%)</f>
        <v>248569.549098833</v>
      </c>
      <c r="N89" s="380">
        <f t="shared" ref="N89:N96" si="29">M89*93%</f>
        <v>231169.680661915</v>
      </c>
      <c r="O89" s="380">
        <f t="shared" ref="O89:O96" si="30">N89*95%</f>
        <v>219611.196628819</v>
      </c>
      <c r="P89" s="380">
        <f t="shared" ref="P89:P96" si="31">O89*95%</f>
        <v>208630.636797378</v>
      </c>
      <c r="R89" s="381">
        <v>0.05</v>
      </c>
      <c r="T89" t="s">
        <v>84</v>
      </c>
      <c r="U89" t="str">
        <f t="shared" si="27"/>
        <v>Trd_bus_elc_120</v>
      </c>
      <c r="V89" t="str">
        <f ca="1" t="shared" si="28"/>
        <v>Battery electric bus -- 12000%</v>
      </c>
      <c r="W89" s="372" t="s">
        <v>85</v>
      </c>
      <c r="X89" s="372" t="s">
        <v>86</v>
      </c>
    </row>
    <row r="90" spans="2:24">
      <c r="B90" s="66">
        <v>134.285714285714</v>
      </c>
      <c r="C90" s="86">
        <v>418677.39136009</v>
      </c>
      <c r="D90" s="86">
        <v>306294.576352111</v>
      </c>
      <c r="E90" s="86">
        <v>291398.806588617</v>
      </c>
      <c r="F90" s="86">
        <v>285221.419427949</v>
      </c>
      <c r="I90" s="378">
        <f t="shared" ref="I90:I96" si="32">$I$83/$I$7</f>
        <v>2.95617979462175</v>
      </c>
      <c r="J90" t="str">
        <f t="shared" si="20"/>
        <v>Trd_bus_elc</v>
      </c>
      <c r="K90" t="str">
        <f t="shared" ref="K90:K96" si="33">IFERROR(IF(VALUE(C90)&gt;2020,J90&amp;"_"&amp;TEXT(B90,"00"),"\I:"),"\I:")</f>
        <v>Trd_bus_elc_134</v>
      </c>
      <c r="L90" t="str">
        <f t="shared" si="21"/>
        <v>Trd_bus</v>
      </c>
      <c r="M90" s="379">
        <f t="shared" ref="M90:M96" si="34">IF($K90="\I:","",C90*60%)</f>
        <v>251206.434816054</v>
      </c>
      <c r="N90" s="380">
        <f t="shared" si="29"/>
        <v>233621.98437893</v>
      </c>
      <c r="O90" s="380">
        <f t="shared" si="30"/>
        <v>221940.885159984</v>
      </c>
      <c r="P90" s="380">
        <f t="shared" si="31"/>
        <v>210843.840901985</v>
      </c>
      <c r="R90" s="381">
        <v>0.05</v>
      </c>
      <c r="T90" t="s">
        <v>84</v>
      </c>
      <c r="U90" t="str">
        <f t="shared" si="27"/>
        <v>Trd_bus_elc_134</v>
      </c>
      <c r="V90" t="str">
        <f ca="1" t="shared" si="28"/>
        <v>Battery electric bus -- 13429%</v>
      </c>
      <c r="W90" s="372" t="s">
        <v>85</v>
      </c>
      <c r="X90" s="372" t="s">
        <v>86</v>
      </c>
    </row>
    <row r="91" spans="2:24">
      <c r="B91" s="66">
        <v>148.571428571429</v>
      </c>
      <c r="C91" s="86">
        <v>421065.599852614</v>
      </c>
      <c r="D91" s="86">
        <v>307992.813691836</v>
      </c>
      <c r="E91" s="86">
        <v>292267.050794396</v>
      </c>
      <c r="F91" s="86">
        <v>285745.45927165</v>
      </c>
      <c r="I91" s="378">
        <f t="shared" si="32"/>
        <v>2.95617979462175</v>
      </c>
      <c r="J91" t="str">
        <f t="shared" si="20"/>
        <v>Trd_bus_elc</v>
      </c>
      <c r="K91" t="str">
        <f t="shared" si="33"/>
        <v>Trd_bus_elc_149</v>
      </c>
      <c r="L91" t="str">
        <f t="shared" si="21"/>
        <v>Trd_bus</v>
      </c>
      <c r="M91" s="379">
        <f t="shared" si="34"/>
        <v>252639.359911568</v>
      </c>
      <c r="N91" s="380">
        <f t="shared" si="29"/>
        <v>234954.604717758</v>
      </c>
      <c r="O91" s="380">
        <f t="shared" si="30"/>
        <v>223206.87448187</v>
      </c>
      <c r="P91" s="380">
        <f t="shared" si="31"/>
        <v>212046.530757777</v>
      </c>
      <c r="R91" s="381">
        <v>0.05</v>
      </c>
      <c r="T91" t="s">
        <v>84</v>
      </c>
      <c r="U91" t="str">
        <f t="shared" si="27"/>
        <v>Trd_bus_elc_149</v>
      </c>
      <c r="V91" t="str">
        <f ca="1" t="shared" si="28"/>
        <v>Battery electric bus -- 14857%</v>
      </c>
      <c r="W91" s="372" t="s">
        <v>85</v>
      </c>
      <c r="X91" s="372" t="s">
        <v>86</v>
      </c>
    </row>
    <row r="92" spans="2:24">
      <c r="B92" s="66">
        <v>162.857142857143</v>
      </c>
      <c r="C92" s="86">
        <v>423484.304232436</v>
      </c>
      <c r="D92" s="86">
        <v>309712.736430754</v>
      </c>
      <c r="E92" s="86">
        <v>293146.38192057</v>
      </c>
      <c r="F92" s="86">
        <v>286276.1907673</v>
      </c>
      <c r="I92" s="378">
        <f t="shared" si="32"/>
        <v>2.95617979462175</v>
      </c>
      <c r="J92" t="str">
        <f t="shared" si="20"/>
        <v>Trd_bus_elc</v>
      </c>
      <c r="K92" t="str">
        <f t="shared" si="33"/>
        <v>Trd_bus_elc_163</v>
      </c>
      <c r="L92" t="str">
        <f t="shared" si="21"/>
        <v>Trd_bus</v>
      </c>
      <c r="M92" s="379">
        <f t="shared" si="34"/>
        <v>254090.582539462</v>
      </c>
      <c r="N92" s="380">
        <f t="shared" si="29"/>
        <v>236304.2417617</v>
      </c>
      <c r="O92" s="380">
        <f t="shared" si="30"/>
        <v>224489.029673615</v>
      </c>
      <c r="P92" s="380">
        <f t="shared" si="31"/>
        <v>213264.578189934</v>
      </c>
      <c r="R92" s="381">
        <v>0.05</v>
      </c>
      <c r="T92" t="s">
        <v>84</v>
      </c>
      <c r="U92" t="str">
        <f t="shared" si="27"/>
        <v>Trd_bus_elc_163</v>
      </c>
      <c r="V92" t="str">
        <f ca="1" t="shared" si="28"/>
        <v>Battery electric bus -- 16286%</v>
      </c>
      <c r="W92" s="372" t="s">
        <v>85</v>
      </c>
      <c r="X92" s="372" t="s">
        <v>86</v>
      </c>
    </row>
    <row r="93" spans="2:24">
      <c r="B93" s="66">
        <v>177.142857142857</v>
      </c>
      <c r="C93" s="86">
        <v>426045.337290405</v>
      </c>
      <c r="D93" s="86">
        <v>311533.868036695</v>
      </c>
      <c r="E93" s="86">
        <v>294077.457293741</v>
      </c>
      <c r="F93" s="86">
        <v>286838.153161962</v>
      </c>
      <c r="I93" s="378">
        <f t="shared" si="32"/>
        <v>2.95617979462175</v>
      </c>
      <c r="J93" t="str">
        <f t="shared" si="20"/>
        <v>Trd_bus_elc</v>
      </c>
      <c r="K93" t="str">
        <f t="shared" si="33"/>
        <v>Trd_bus_elc_177</v>
      </c>
      <c r="L93" t="str">
        <f t="shared" si="21"/>
        <v>Trd_bus</v>
      </c>
      <c r="M93" s="379">
        <f t="shared" si="34"/>
        <v>255627.202374243</v>
      </c>
      <c r="N93" s="380">
        <f t="shared" si="29"/>
        <v>237733.298208046</v>
      </c>
      <c r="O93" s="380">
        <f t="shared" si="30"/>
        <v>225846.633297644</v>
      </c>
      <c r="P93" s="380">
        <f t="shared" si="31"/>
        <v>214554.301632761</v>
      </c>
      <c r="R93" s="381">
        <v>0.15</v>
      </c>
      <c r="T93" t="s">
        <v>84</v>
      </c>
      <c r="U93" t="str">
        <f t="shared" si="27"/>
        <v>Trd_bus_elc_177</v>
      </c>
      <c r="V93" t="str">
        <f ca="1" t="shared" si="28"/>
        <v>Battery electric bus -- 17714%</v>
      </c>
      <c r="W93" s="372" t="s">
        <v>85</v>
      </c>
      <c r="X93" s="372" t="s">
        <v>86</v>
      </c>
    </row>
    <row r="94" spans="2:24">
      <c r="B94" s="66">
        <v>191.428571428571</v>
      </c>
      <c r="C94" s="86">
        <v>429934.421537582</v>
      </c>
      <c r="D94" s="86">
        <v>314299.366989808</v>
      </c>
      <c r="E94" s="86">
        <v>295873.386780209</v>
      </c>
      <c r="F94" s="86">
        <v>287922.109266851</v>
      </c>
      <c r="I94" s="378">
        <f t="shared" si="32"/>
        <v>2.95617979462175</v>
      </c>
      <c r="J94" t="str">
        <f t="shared" si="20"/>
        <v>Trd_bus_elc</v>
      </c>
      <c r="K94" t="str">
        <f t="shared" si="33"/>
        <v>Trd_bus_elc_191</v>
      </c>
      <c r="L94" t="str">
        <f t="shared" si="21"/>
        <v>Trd_bus</v>
      </c>
      <c r="M94" s="379">
        <f t="shared" si="34"/>
        <v>257960.652922549</v>
      </c>
      <c r="N94" s="380">
        <f t="shared" si="29"/>
        <v>239903.407217971</v>
      </c>
      <c r="O94" s="380">
        <f t="shared" si="30"/>
        <v>227908.236857072</v>
      </c>
      <c r="P94" s="380">
        <f t="shared" si="31"/>
        <v>216512.825014218</v>
      </c>
      <c r="R94" s="381">
        <v>0.175</v>
      </c>
      <c r="T94" t="s">
        <v>84</v>
      </c>
      <c r="U94" t="str">
        <f t="shared" si="27"/>
        <v>Trd_bus_elc_191</v>
      </c>
      <c r="V94" t="str">
        <f ca="1" t="shared" si="28"/>
        <v>Battery electric bus -- 19143%</v>
      </c>
      <c r="W94" s="372" t="s">
        <v>85</v>
      </c>
      <c r="X94" s="372" t="s">
        <v>86</v>
      </c>
    </row>
    <row r="95" spans="2:24">
      <c r="B95" s="66">
        <v>205.714285714286</v>
      </c>
      <c r="C95" s="86">
        <v>434837.321877915</v>
      </c>
      <c r="D95" s="86">
        <v>317785.783044756</v>
      </c>
      <c r="E95" s="86">
        <v>297678.678035306</v>
      </c>
      <c r="F95" s="86">
        <v>289011.715786377</v>
      </c>
      <c r="I95" s="378">
        <f t="shared" si="32"/>
        <v>2.95617979462175</v>
      </c>
      <c r="J95" t="str">
        <f t="shared" si="20"/>
        <v>Trd_bus_elc</v>
      </c>
      <c r="K95" t="str">
        <f t="shared" si="33"/>
        <v>Trd_bus_elc_206</v>
      </c>
      <c r="L95" t="str">
        <f t="shared" si="21"/>
        <v>Trd_bus</v>
      </c>
      <c r="M95" s="379">
        <f t="shared" si="34"/>
        <v>260902.393126749</v>
      </c>
      <c r="N95" s="380">
        <f t="shared" si="29"/>
        <v>242639.225607877</v>
      </c>
      <c r="O95" s="380">
        <f t="shared" si="30"/>
        <v>230507.264327483</v>
      </c>
      <c r="P95" s="380">
        <f t="shared" si="31"/>
        <v>218981.901111109</v>
      </c>
      <c r="R95" s="381">
        <v>0.2</v>
      </c>
      <c r="T95" t="s">
        <v>84</v>
      </c>
      <c r="U95" t="str">
        <f t="shared" si="27"/>
        <v>Trd_bus_elc_206</v>
      </c>
      <c r="V95" t="str">
        <f ca="1" t="shared" si="28"/>
        <v>Battery electric bus -- 20571%</v>
      </c>
      <c r="W95" s="372" t="s">
        <v>85</v>
      </c>
      <c r="X95" s="372" t="s">
        <v>86</v>
      </c>
    </row>
    <row r="96" spans="2:24">
      <c r="B96" s="66">
        <v>220</v>
      </c>
      <c r="C96" s="86">
        <v>439775.623723911</v>
      </c>
      <c r="D96" s="86">
        <v>321297.372847721</v>
      </c>
      <c r="E96" s="86">
        <v>299069.166215671</v>
      </c>
      <c r="F96" s="86">
        <v>289850.96262944</v>
      </c>
      <c r="I96" s="378">
        <f t="shared" si="32"/>
        <v>2.95617979462175</v>
      </c>
      <c r="J96" t="str">
        <f t="shared" si="20"/>
        <v>Trd_bus_elc</v>
      </c>
      <c r="K96" t="str">
        <f t="shared" si="33"/>
        <v>Trd_bus_elc_220</v>
      </c>
      <c r="L96" t="str">
        <f t="shared" si="21"/>
        <v>Trd_bus</v>
      </c>
      <c r="M96" s="379">
        <f t="shared" si="34"/>
        <v>263865.374234347</v>
      </c>
      <c r="N96" s="380">
        <f t="shared" si="29"/>
        <v>245394.798037943</v>
      </c>
      <c r="O96" s="380">
        <f t="shared" si="30"/>
        <v>233125.058136046</v>
      </c>
      <c r="P96" s="380">
        <f t="shared" si="31"/>
        <v>221468.805229243</v>
      </c>
      <c r="R96" s="370"/>
      <c r="T96" t="s">
        <v>84</v>
      </c>
      <c r="U96" t="str">
        <f t="shared" si="27"/>
        <v>Trd_bus_elc_220</v>
      </c>
      <c r="V96" t="str">
        <f ca="1" t="shared" si="28"/>
        <v>Battery electric bus -- 22000%</v>
      </c>
      <c r="W96" s="372" t="s">
        <v>85</v>
      </c>
      <c r="X96" s="372" t="s">
        <v>86</v>
      </c>
    </row>
    <row r="97" spans="2:24">
      <c r="J97" t="str">
        <f t="shared" si="20"/>
        <v>Trd_bus_elc</v>
      </c>
      <c r="K97" t="str">
        <f t="shared" si="22"/>
        <v>\I:</v>
      </c>
      <c r="L97" t="str">
        <f t="shared" si="21"/>
        <v>\I:</v>
      </c>
      <c r="M97" s="374" t="str">
        <f t="shared" si="23"/>
        <v/>
      </c>
      <c r="N97" s="374" t="str">
        <f t="shared" si="24"/>
        <v/>
      </c>
      <c r="O97" s="374" t="str">
        <f t="shared" si="25"/>
        <v/>
      </c>
      <c r="P97" s="374" t="str">
        <f t="shared" si="26"/>
        <v/>
      </c>
      <c r="R97" s="370"/>
      <c r="T97" t="s">
        <v>84</v>
      </c>
      <c r="U97" t="str">
        <f t="shared" si="27"/>
        <v>\I:</v>
      </c>
      <c r="V97" t="str">
        <f ca="1" t="shared" si="28"/>
        <v>Battery electric bus -- 00%</v>
      </c>
      <c r="W97" s="372" t="s">
        <v>85</v>
      </c>
      <c r="X97" s="372" t="s">
        <v>86</v>
      </c>
    </row>
    <row r="98" spans="2:24">
      <c r="J98" t="str">
        <f t="shared" si="20"/>
        <v>Trd_bus_elc</v>
      </c>
      <c r="K98" t="str">
        <f t="shared" si="22"/>
        <v>\I:</v>
      </c>
      <c r="L98" t="str">
        <f t="shared" si="21"/>
        <v>\I:</v>
      </c>
      <c r="M98" s="374" t="str">
        <f t="shared" si="23"/>
        <v/>
      </c>
      <c r="N98" s="374" t="str">
        <f t="shared" si="24"/>
        <v/>
      </c>
      <c r="O98" s="374" t="str">
        <f t="shared" si="25"/>
        <v/>
      </c>
      <c r="P98" s="374" t="str">
        <f t="shared" si="26"/>
        <v/>
      </c>
      <c r="R98" s="370"/>
      <c r="T98" t="s">
        <v>84</v>
      </c>
      <c r="U98" t="str">
        <f t="shared" si="27"/>
        <v>\I:</v>
      </c>
      <c r="V98" t="str">
        <f ca="1" t="shared" si="28"/>
        <v>Battery electric bus -- 00%</v>
      </c>
      <c r="W98" s="372" t="s">
        <v>85</v>
      </c>
      <c r="X98" s="372" t="s">
        <v>86</v>
      </c>
    </row>
    <row r="99" ht="15.75" customHeight="1" spans="2:24">
      <c r="J99" t="str">
        <f t="shared" si="20"/>
        <v>Trd_bus_elc</v>
      </c>
      <c r="K99" t="str">
        <f t="shared" si="22"/>
        <v>\I:</v>
      </c>
      <c r="L99" t="str">
        <f t="shared" si="21"/>
        <v>\I:</v>
      </c>
      <c r="M99" s="374" t="str">
        <f t="shared" si="23"/>
        <v/>
      </c>
      <c r="N99" s="374" t="str">
        <f t="shared" si="24"/>
        <v/>
      </c>
      <c r="O99" s="374" t="str">
        <f t="shared" si="25"/>
        <v/>
      </c>
      <c r="P99" s="374" t="str">
        <f t="shared" si="26"/>
        <v/>
      </c>
      <c r="R99" s="370"/>
      <c r="T99" t="s">
        <v>84</v>
      </c>
      <c r="U99" t="str">
        <f t="shared" si="27"/>
        <v>\I:</v>
      </c>
      <c r="V99" t="str">
        <f ca="1" t="shared" si="28"/>
        <v>Battery electric bus -- 00%</v>
      </c>
      <c r="W99" s="372" t="s">
        <v>85</v>
      </c>
      <c r="X99" s="372" t="s">
        <v>86</v>
      </c>
    </row>
    <row r="100" ht="20.25" customHeight="1" spans="2:24">
      <c r="B100" s="371" t="s">
        <v>29</v>
      </c>
      <c r="C100" s="371" t="s">
        <v>156</v>
      </c>
      <c r="D100" s="371"/>
      <c r="E100" s="371"/>
      <c r="F100" s="371"/>
      <c r="J100" t="str">
        <f t="shared" si="20"/>
        <v>Trd_bus_hh2</v>
      </c>
      <c r="K100" t="str">
        <f t="shared" si="22"/>
        <v>\I:</v>
      </c>
      <c r="L100" t="str">
        <f t="shared" si="21"/>
        <v>\I:</v>
      </c>
      <c r="M100" s="374" t="str">
        <f t="shared" si="23"/>
        <v/>
      </c>
      <c r="N100" s="374" t="str">
        <f t="shared" si="24"/>
        <v/>
      </c>
      <c r="O100" s="374" t="str">
        <f t="shared" si="25"/>
        <v/>
      </c>
      <c r="P100" s="374" t="str">
        <f t="shared" si="26"/>
        <v/>
      </c>
      <c r="R100" s="370"/>
      <c r="T100" t="s">
        <v>84</v>
      </c>
      <c r="U100" t="str">
        <f t="shared" si="27"/>
        <v>\I:</v>
      </c>
      <c r="V100" t="str">
        <f ca="1" t="shared" si="28"/>
        <v>Hydrogen fuel cell bus -- Energy consumption (kg H2/100km)</v>
      </c>
      <c r="W100" s="372" t="s">
        <v>85</v>
      </c>
      <c r="X100" s="372" t="s">
        <v>86</v>
      </c>
    </row>
    <row r="101" ht="20.25" customHeight="1" spans="2:24">
      <c r="B101" s="371"/>
      <c r="C101" s="371"/>
      <c r="D101" s="371"/>
      <c r="E101" s="371"/>
      <c r="F101" s="371"/>
      <c r="J101" t="str">
        <f t="shared" si="20"/>
        <v>Trd_bus_hh2</v>
      </c>
      <c r="K101" t="str">
        <f t="shared" si="22"/>
        <v>\I:</v>
      </c>
      <c r="L101" t="str">
        <f t="shared" si="21"/>
        <v>\I:</v>
      </c>
      <c r="M101" s="374" t="str">
        <f t="shared" si="23"/>
        <v/>
      </c>
      <c r="N101" s="374" t="str">
        <f t="shared" si="24"/>
        <v/>
      </c>
      <c r="O101" s="374" t="str">
        <f t="shared" si="25"/>
        <v/>
      </c>
      <c r="P101" s="374" t="str">
        <f t="shared" si="26"/>
        <v/>
      </c>
      <c r="R101" s="370"/>
      <c r="T101" t="s">
        <v>84</v>
      </c>
      <c r="U101" t="str">
        <f t="shared" si="27"/>
        <v>\I:</v>
      </c>
      <c r="V101" t="str">
        <f ca="1" t="shared" si="28"/>
        <v>Hydrogen fuel cell bus -- 00%</v>
      </c>
      <c r="W101" s="372" t="s">
        <v>85</v>
      </c>
      <c r="X101" s="372" t="s">
        <v>86</v>
      </c>
    </row>
    <row r="102" spans="2:24">
      <c r="B102" s="371"/>
      <c r="C102" s="371"/>
      <c r="D102" s="371"/>
      <c r="E102" s="371"/>
      <c r="F102" s="371"/>
      <c r="J102" t="str">
        <f t="shared" si="20"/>
        <v>Trd_bus_hh2</v>
      </c>
      <c r="K102" t="str">
        <f t="shared" si="22"/>
        <v>\I:</v>
      </c>
      <c r="L102" t="str">
        <f t="shared" si="21"/>
        <v>\I:</v>
      </c>
      <c r="M102" s="374" t="str">
        <f t="shared" si="23"/>
        <v/>
      </c>
      <c r="N102" s="374" t="str">
        <f t="shared" si="24"/>
        <v/>
      </c>
      <c r="O102" s="374" t="str">
        <f t="shared" si="25"/>
        <v/>
      </c>
      <c r="P102" s="374" t="str">
        <f t="shared" si="26"/>
        <v/>
      </c>
      <c r="R102" s="370"/>
      <c r="T102" t="s">
        <v>84</v>
      </c>
      <c r="U102" t="str">
        <f t="shared" si="27"/>
        <v>\I:</v>
      </c>
      <c r="V102" t="str">
        <f ca="1" t="shared" si="28"/>
        <v>Hydrogen fuel cell bus -- 00%</v>
      </c>
      <c r="W102" s="372" t="s">
        <v>85</v>
      </c>
      <c r="X102" s="372" t="s">
        <v>86</v>
      </c>
    </row>
    <row r="103" spans="2:24">
      <c r="B103" s="50"/>
      <c r="C103" s="51">
        <v>2020</v>
      </c>
      <c r="D103" s="51">
        <v>2030</v>
      </c>
      <c r="E103" s="51">
        <v>2040</v>
      </c>
      <c r="F103" s="51">
        <v>2050</v>
      </c>
      <c r="J103" t="str">
        <f t="shared" si="20"/>
        <v>Trd_bus_hh2</v>
      </c>
      <c r="K103" t="str">
        <f t="shared" si="22"/>
        <v>\I:</v>
      </c>
      <c r="L103" t="str">
        <f t="shared" si="21"/>
        <v>\I:</v>
      </c>
      <c r="M103" s="374" t="str">
        <f t="shared" si="23"/>
        <v/>
      </c>
      <c r="N103" s="374" t="str">
        <f t="shared" si="24"/>
        <v/>
      </c>
      <c r="O103" s="374" t="str">
        <f t="shared" si="25"/>
        <v/>
      </c>
      <c r="P103" s="374" t="str">
        <f t="shared" si="26"/>
        <v/>
      </c>
      <c r="R103" s="370"/>
      <c r="T103" t="s">
        <v>84</v>
      </c>
      <c r="U103" t="str">
        <f t="shared" si="27"/>
        <v>\I:</v>
      </c>
      <c r="V103" t="str">
        <f ca="1" t="shared" si="28"/>
        <v>Hydrogen fuel cell bus -- 00%</v>
      </c>
      <c r="W103" s="372" t="s">
        <v>85</v>
      </c>
      <c r="X103" s="372" t="s">
        <v>86</v>
      </c>
    </row>
    <row r="104" spans="2:24">
      <c r="B104" s="67">
        <v>9</v>
      </c>
      <c r="C104" s="86">
        <v>598114.464021425</v>
      </c>
      <c r="D104" s="86">
        <v>388321.426107765</v>
      </c>
      <c r="E104" s="86">
        <v>330842.322103657</v>
      </c>
      <c r="F104" s="86">
        <v>315835.594304073</v>
      </c>
      <c r="G104" s="75">
        <f>B104*0.12/100*10^9/10^6</f>
        <v>10.8</v>
      </c>
      <c r="H104" s="75"/>
      <c r="I104" s="366">
        <f>1/G104/$I$7</f>
        <v>1.28480981247733</v>
      </c>
      <c r="J104" t="str">
        <f t="shared" si="20"/>
        <v>Trd_bus_hh2</v>
      </c>
      <c r="K104" t="str">
        <f>IFERROR(IF(VALUE(C104)&gt;2020,J104&amp;"_"&amp;TEXT(B104,"0.0"),"\I:"),"\I:")</f>
        <v>Trd_bus_hh2_9.0</v>
      </c>
      <c r="L104" t="str">
        <f t="shared" si="21"/>
        <v>Trd_bus</v>
      </c>
      <c r="M104" s="374">
        <f t="shared" si="23"/>
        <v>598114.464021425</v>
      </c>
      <c r="N104" s="374">
        <f t="shared" si="24"/>
        <v>388321.426107765</v>
      </c>
      <c r="O104" s="374">
        <f t="shared" si="25"/>
        <v>330842.322103657</v>
      </c>
      <c r="P104" s="374">
        <f t="shared" si="26"/>
        <v>315835.594304073</v>
      </c>
      <c r="R104" s="370"/>
      <c r="T104" t="s">
        <v>84</v>
      </c>
      <c r="U104" t="str">
        <f t="shared" si="27"/>
        <v>Trd_bus_hh2_9.0</v>
      </c>
      <c r="V104" t="str">
        <f ca="1" t="shared" si="28"/>
        <v>Hydrogen fuel cell bus -- 900%</v>
      </c>
      <c r="W104" s="372" t="s">
        <v>85</v>
      </c>
      <c r="X104" s="372" t="s">
        <v>86</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66">
        <f t="shared" ref="I105:I111" si="36">1/G105/$I$7</f>
        <v>1.3249087691195</v>
      </c>
      <c r="J105" t="str">
        <f t="shared" si="20"/>
        <v>Trd_bus_hh2</v>
      </c>
      <c r="K105" t="str">
        <f t="shared" ref="K105:K111" si="37">IFERROR(IF(VALUE(C105)&gt;2020,J105&amp;"_"&amp;TEXT(B105,"0.0"),"\I:"),"\I:")</f>
        <v>Trd_bus_hh2_8.7</v>
      </c>
      <c r="L105" t="str">
        <f t="shared" si="21"/>
        <v>Trd_bus</v>
      </c>
      <c r="M105" s="374">
        <f t="shared" si="23"/>
        <v>598869.167854178</v>
      </c>
      <c r="N105" s="374">
        <f t="shared" si="24"/>
        <v>388841.77453982</v>
      </c>
      <c r="O105" s="374">
        <f t="shared" si="25"/>
        <v>331297.792486932</v>
      </c>
      <c r="P105" s="374">
        <f t="shared" si="26"/>
        <v>316226.186638567</v>
      </c>
      <c r="R105" s="370"/>
      <c r="T105" t="s">
        <v>84</v>
      </c>
      <c r="U105" t="str">
        <f t="shared" si="27"/>
        <v>Trd_bus_hh2_8.7</v>
      </c>
      <c r="V105" t="str">
        <f ca="1" t="shared" si="28"/>
        <v>Hydrogen fuel cell bus -- 873%</v>
      </c>
      <c r="W105" s="372" t="s">
        <v>85</v>
      </c>
      <c r="X105" s="372" t="s">
        <v>86</v>
      </c>
    </row>
    <row r="106" spans="2:24">
      <c r="B106" s="67">
        <v>8.45522194706371</v>
      </c>
      <c r="C106" s="86">
        <v>599623.87168693</v>
      </c>
      <c r="D106" s="86">
        <v>389362.122971876</v>
      </c>
      <c r="E106" s="86">
        <v>331753.262870207</v>
      </c>
      <c r="F106" s="86">
        <v>316616.778973062</v>
      </c>
      <c r="G106" s="75">
        <f t="shared" si="35"/>
        <v>10.1462663364765</v>
      </c>
      <c r="H106" s="75"/>
      <c r="I106" s="366">
        <f t="shared" si="36"/>
        <v>1.36759133996614</v>
      </c>
      <c r="J106" t="str">
        <f t="shared" si="20"/>
        <v>Trd_bus_hh2</v>
      </c>
      <c r="K106" t="str">
        <f t="shared" si="37"/>
        <v>Trd_bus_hh2_8.5</v>
      </c>
      <c r="L106" t="str">
        <f t="shared" si="21"/>
        <v>Trd_bus</v>
      </c>
      <c r="M106" s="374">
        <f t="shared" si="23"/>
        <v>599623.87168693</v>
      </c>
      <c r="N106" s="374">
        <f t="shared" si="24"/>
        <v>389362.122971876</v>
      </c>
      <c r="O106" s="374">
        <f t="shared" si="25"/>
        <v>331753.262870207</v>
      </c>
      <c r="P106" s="374">
        <f t="shared" si="26"/>
        <v>316616.778973062</v>
      </c>
      <c r="R106" s="370"/>
      <c r="T106" t="s">
        <v>84</v>
      </c>
      <c r="U106" t="str">
        <f t="shared" si="27"/>
        <v>Trd_bus_hh2_8.5</v>
      </c>
      <c r="V106" t="str">
        <f ca="1" t="shared" si="28"/>
        <v>Hydrogen fuel cell bus -- 846%</v>
      </c>
      <c r="W106" s="372" t="s">
        <v>85</v>
      </c>
      <c r="X106" s="372" t="s">
        <v>86</v>
      </c>
    </row>
    <row r="107" spans="2:24">
      <c r="B107" s="67">
        <v>8.18283292059556</v>
      </c>
      <c r="C107" s="86">
        <v>600378.575519683</v>
      </c>
      <c r="D107" s="86">
        <v>389882.471403932</v>
      </c>
      <c r="E107" s="86">
        <v>332208.733253483</v>
      </c>
      <c r="F107" s="86">
        <v>317007.371307557</v>
      </c>
      <c r="G107" s="75">
        <f t="shared" si="35"/>
        <v>9.81939950471467</v>
      </c>
      <c r="H107" s="75"/>
      <c r="I107" s="366">
        <f t="shared" si="36"/>
        <v>1.41311553400926</v>
      </c>
      <c r="J107" t="str">
        <f t="shared" si="20"/>
        <v>Trd_bus_hh2</v>
      </c>
      <c r="K107" t="str">
        <f t="shared" si="37"/>
        <v>Trd_bus_hh2_8.2</v>
      </c>
      <c r="L107" t="str">
        <f t="shared" si="21"/>
        <v>Trd_bus</v>
      </c>
      <c r="M107" s="374">
        <f t="shared" si="23"/>
        <v>600378.575519683</v>
      </c>
      <c r="N107" s="374">
        <f t="shared" si="24"/>
        <v>389882.471403932</v>
      </c>
      <c r="O107" s="374">
        <f t="shared" si="25"/>
        <v>332208.733253483</v>
      </c>
      <c r="P107" s="374">
        <f t="shared" si="26"/>
        <v>317007.371307557</v>
      </c>
      <c r="R107" s="370"/>
      <c r="T107" t="s">
        <v>84</v>
      </c>
      <c r="U107" t="str">
        <f t="shared" si="27"/>
        <v>Trd_bus_hh2_8.2</v>
      </c>
      <c r="V107" t="str">
        <f ca="1" t="shared" si="28"/>
        <v>Hydrogen fuel cell bus -- 818%</v>
      </c>
      <c r="W107" s="372" t="s">
        <v>85</v>
      </c>
      <c r="X107" s="372" t="s">
        <v>86</v>
      </c>
    </row>
    <row r="108" spans="2:24">
      <c r="B108" s="67">
        <v>7.91044389412742</v>
      </c>
      <c r="C108" s="86">
        <v>601133.279352436</v>
      </c>
      <c r="D108" s="86">
        <v>390402.819835988</v>
      </c>
      <c r="E108" s="86">
        <v>332664.203636758</v>
      </c>
      <c r="F108" s="86">
        <v>317397.963642052</v>
      </c>
      <c r="G108" s="75">
        <f t="shared" si="35"/>
        <v>9.4925326729529</v>
      </c>
      <c r="H108" s="75"/>
      <c r="I108" s="366">
        <f t="shared" si="36"/>
        <v>1.46177489747198</v>
      </c>
      <c r="J108" t="str">
        <f t="shared" si="20"/>
        <v>Trd_bus_hh2</v>
      </c>
      <c r="K108" t="str">
        <f t="shared" si="37"/>
        <v>Trd_bus_hh2_7.9</v>
      </c>
      <c r="L108" t="str">
        <f t="shared" si="21"/>
        <v>Trd_bus</v>
      </c>
      <c r="M108" s="374">
        <f t="shared" si="23"/>
        <v>601133.279352436</v>
      </c>
      <c r="N108" s="374">
        <f t="shared" si="24"/>
        <v>390402.819835988</v>
      </c>
      <c r="O108" s="374">
        <f t="shared" si="25"/>
        <v>332664.203636758</v>
      </c>
      <c r="P108" s="374">
        <f t="shared" si="26"/>
        <v>317397.963642052</v>
      </c>
      <c r="R108" s="370"/>
      <c r="T108" t="s">
        <v>84</v>
      </c>
      <c r="U108" t="str">
        <f t="shared" si="27"/>
        <v>Trd_bus_hh2_7.9</v>
      </c>
      <c r="V108" t="str">
        <f ca="1" t="shared" si="28"/>
        <v>Hydrogen fuel cell bus -- 791%</v>
      </c>
      <c r="W108" s="372" t="s">
        <v>85</v>
      </c>
      <c r="X108" s="372" t="s">
        <v>86</v>
      </c>
    </row>
    <row r="109" spans="2:24">
      <c r="B109" s="67">
        <v>7.63805486765927</v>
      </c>
      <c r="C109" s="86">
        <v>601887.983185188</v>
      </c>
      <c r="D109" s="86">
        <v>390923.168268043</v>
      </c>
      <c r="E109" s="86">
        <v>333119.674020033</v>
      </c>
      <c r="F109" s="86">
        <v>317788.555976546</v>
      </c>
      <c r="G109" s="75">
        <f t="shared" si="35"/>
        <v>9.16566584119112</v>
      </c>
      <c r="H109" s="75"/>
      <c r="I109" s="366">
        <f t="shared" si="36"/>
        <v>1.51390485046877</v>
      </c>
      <c r="J109" t="str">
        <f t="shared" si="20"/>
        <v>Trd_bus_hh2</v>
      </c>
      <c r="K109" t="str">
        <f t="shared" si="37"/>
        <v>Trd_bus_hh2_7.6</v>
      </c>
      <c r="L109" t="str">
        <f t="shared" si="21"/>
        <v>Trd_bus</v>
      </c>
      <c r="M109" s="374">
        <f t="shared" si="23"/>
        <v>601887.983185188</v>
      </c>
      <c r="N109" s="374">
        <f t="shared" si="24"/>
        <v>390923.168268043</v>
      </c>
      <c r="O109" s="374">
        <f t="shared" si="25"/>
        <v>333119.674020033</v>
      </c>
      <c r="P109" s="374">
        <f t="shared" si="26"/>
        <v>317788.555976546</v>
      </c>
      <c r="R109" s="370"/>
      <c r="T109" t="s">
        <v>84</v>
      </c>
      <c r="U109" t="str">
        <f t="shared" si="27"/>
        <v>Trd_bus_hh2_7.6</v>
      </c>
      <c r="V109" t="str">
        <f ca="1" t="shared" si="28"/>
        <v>Hydrogen fuel cell bus -- 764%</v>
      </c>
      <c r="W109" s="372" t="s">
        <v>85</v>
      </c>
      <c r="X109" s="372" t="s">
        <v>86</v>
      </c>
    </row>
    <row r="110" spans="2:24">
      <c r="B110" s="67">
        <v>7.36566584119112</v>
      </c>
      <c r="C110" s="86">
        <v>602642.687017941</v>
      </c>
      <c r="D110" s="86">
        <v>391443.516700099</v>
      </c>
      <c r="E110" s="86">
        <v>333575.144403309</v>
      </c>
      <c r="F110" s="86">
        <v>318179.148311041</v>
      </c>
      <c r="G110" s="75">
        <f t="shared" si="35"/>
        <v>8.83879900942934</v>
      </c>
      <c r="H110" s="75"/>
      <c r="I110" s="366">
        <f t="shared" si="36"/>
        <v>1.56989042967852</v>
      </c>
      <c r="J110" t="str">
        <f t="shared" si="20"/>
        <v>Trd_bus_hh2</v>
      </c>
      <c r="K110" t="str">
        <f t="shared" si="37"/>
        <v>Trd_bus_hh2_7.4</v>
      </c>
      <c r="L110" t="str">
        <f t="shared" si="21"/>
        <v>Trd_bus</v>
      </c>
      <c r="M110" s="374">
        <f t="shared" si="23"/>
        <v>602642.687017941</v>
      </c>
      <c r="N110" s="374">
        <f t="shared" si="24"/>
        <v>391443.516700099</v>
      </c>
      <c r="O110" s="374">
        <f t="shared" si="25"/>
        <v>333575.144403309</v>
      </c>
      <c r="P110" s="374">
        <f t="shared" si="26"/>
        <v>318179.148311041</v>
      </c>
      <c r="R110" s="370"/>
      <c r="T110" t="s">
        <v>84</v>
      </c>
      <c r="U110" t="str">
        <f t="shared" si="27"/>
        <v>Trd_bus_hh2_7.4</v>
      </c>
      <c r="V110" t="str">
        <f ca="1" t="shared" si="28"/>
        <v>Hydrogen fuel cell bus -- 737%</v>
      </c>
      <c r="W110" s="372" t="s">
        <v>85</v>
      </c>
      <c r="X110" s="372" t="s">
        <v>86</v>
      </c>
    </row>
    <row r="111" spans="2:24">
      <c r="B111" s="67">
        <v>7.09327681472298</v>
      </c>
      <c r="C111" s="86">
        <v>603397.390850693</v>
      </c>
      <c r="D111" s="86">
        <v>391963.865132155</v>
      </c>
      <c r="E111" s="86">
        <v>334030.614786584</v>
      </c>
      <c r="F111" s="86">
        <v>318569.740645536</v>
      </c>
      <c r="G111" s="75">
        <f t="shared" si="35"/>
        <v>8.51193217766758</v>
      </c>
      <c r="H111" s="75"/>
      <c r="I111" s="366">
        <f t="shared" si="36"/>
        <v>1.63017581497664</v>
      </c>
      <c r="J111" t="str">
        <f t="shared" si="20"/>
        <v>Trd_bus_hh2</v>
      </c>
      <c r="K111" t="str">
        <f t="shared" si="37"/>
        <v>Trd_bus_hh2_7.1</v>
      </c>
      <c r="L111" t="str">
        <f t="shared" si="21"/>
        <v>Trd_bus</v>
      </c>
      <c r="M111" s="374">
        <f t="shared" si="23"/>
        <v>603397.390850693</v>
      </c>
      <c r="N111" s="374">
        <f t="shared" si="24"/>
        <v>391963.865132155</v>
      </c>
      <c r="O111" s="374">
        <f t="shared" si="25"/>
        <v>334030.614786584</v>
      </c>
      <c r="P111" s="374">
        <f t="shared" si="26"/>
        <v>318569.740645536</v>
      </c>
      <c r="R111" s="370"/>
      <c r="T111" t="s">
        <v>84</v>
      </c>
      <c r="U111" t="str">
        <f t="shared" si="27"/>
        <v>Trd_bus_hh2_7.1</v>
      </c>
      <c r="V111" t="str">
        <f ca="1" t="shared" si="28"/>
        <v>Hydrogen fuel cell bus -- 709%</v>
      </c>
      <c r="W111" s="372" t="s">
        <v>85</v>
      </c>
      <c r="X111" s="372" t="s">
        <v>86</v>
      </c>
    </row>
    <row r="112" spans="2:24">
      <c r="J112" t="str">
        <f t="shared" si="20"/>
        <v>Trd_bus_hh2</v>
      </c>
      <c r="K112" t="str">
        <f t="shared" si="22"/>
        <v>\I:</v>
      </c>
      <c r="L112" t="str">
        <f t="shared" si="21"/>
        <v>\I:</v>
      </c>
      <c r="M112" s="374" t="str">
        <f t="shared" si="23"/>
        <v/>
      </c>
      <c r="N112" s="374" t="str">
        <f t="shared" si="24"/>
        <v/>
      </c>
      <c r="O112" s="374" t="str">
        <f t="shared" si="25"/>
        <v/>
      </c>
      <c r="P112" s="374" t="str">
        <f t="shared" si="26"/>
        <v/>
      </c>
      <c r="R112" s="370"/>
      <c r="T112" t="s">
        <v>84</v>
      </c>
      <c r="U112" t="str">
        <f t="shared" si="27"/>
        <v>\I:</v>
      </c>
      <c r="V112" t="str">
        <f ca="1" t="shared" si="28"/>
        <v>Hydrogen fuel cell bus -- 00%</v>
      </c>
      <c r="W112" s="372" t="s">
        <v>85</v>
      </c>
      <c r="X112" s="372" t="s">
        <v>86</v>
      </c>
    </row>
    <row r="113" spans="2:24">
      <c r="J113" t="str">
        <f t="shared" si="20"/>
        <v>Trd_bus_hh2</v>
      </c>
      <c r="K113" t="str">
        <f t="shared" si="22"/>
        <v>\I:</v>
      </c>
      <c r="L113" t="str">
        <f t="shared" si="21"/>
        <v>\I:</v>
      </c>
      <c r="M113" s="374" t="str">
        <f t="shared" si="23"/>
        <v/>
      </c>
      <c r="N113" s="374" t="str">
        <f t="shared" si="24"/>
        <v/>
      </c>
      <c r="O113" s="374" t="str">
        <f t="shared" si="25"/>
        <v/>
      </c>
      <c r="P113" s="374" t="str">
        <f t="shared" si="26"/>
        <v/>
      </c>
      <c r="R113" s="370"/>
      <c r="T113" t="s">
        <v>84</v>
      </c>
      <c r="U113" t="str">
        <f t="shared" si="27"/>
        <v>\I:</v>
      </c>
      <c r="V113" t="str">
        <f ca="1" t="shared" si="28"/>
        <v>Hydrogen fuel cell bus -- 00%</v>
      </c>
      <c r="W113" s="372" t="s">
        <v>85</v>
      </c>
      <c r="X113" s="372" t="s">
        <v>86</v>
      </c>
    </row>
    <row r="114" ht="18.5" spans="2:24">
      <c r="B114" s="360" t="s">
        <v>163</v>
      </c>
      <c r="C114" s="361"/>
      <c r="D114" s="361"/>
      <c r="E114" s="361"/>
      <c r="F114" s="362"/>
      <c r="J114" t="str">
        <f t="shared" si="20"/>
        <v>Trd_bus_hh2</v>
      </c>
      <c r="K114" t="str">
        <f t="shared" si="22"/>
        <v>\I:</v>
      </c>
      <c r="L114" t="str">
        <f t="shared" si="21"/>
        <v>\I:</v>
      </c>
      <c r="M114" s="374" t="str">
        <f t="shared" si="23"/>
        <v/>
      </c>
      <c r="N114" s="374" t="str">
        <f t="shared" si="24"/>
        <v/>
      </c>
      <c r="O114" s="374" t="str">
        <f t="shared" si="25"/>
        <v/>
      </c>
      <c r="P114" s="374" t="str">
        <f t="shared" si="26"/>
        <v/>
      </c>
      <c r="R114" s="370"/>
      <c r="T114" t="s">
        <v>84</v>
      </c>
      <c r="U114" t="str">
        <f t="shared" si="27"/>
        <v>\I:</v>
      </c>
      <c r="V114" t="str">
        <f ca="1" t="shared" si="28"/>
        <v>Hydrogen fuel cell bus -- COACHES</v>
      </c>
      <c r="W114" s="372" t="s">
        <v>85</v>
      </c>
      <c r="X114" s="372" t="s">
        <v>86</v>
      </c>
    </row>
    <row r="115" spans="2:24">
      <c r="J115" t="str">
        <f t="shared" si="20"/>
        <v>Trd_bus_hh2</v>
      </c>
      <c r="K115" t="str">
        <f t="shared" si="22"/>
        <v>\I:</v>
      </c>
      <c r="L115" t="str">
        <f t="shared" si="21"/>
        <v>\I:</v>
      </c>
      <c r="M115" s="374" t="str">
        <f t="shared" si="23"/>
        <v/>
      </c>
      <c r="N115" s="374" t="str">
        <f t="shared" si="24"/>
        <v/>
      </c>
      <c r="O115" s="374" t="str">
        <f t="shared" si="25"/>
        <v/>
      </c>
      <c r="P115" s="374" t="str">
        <f t="shared" si="26"/>
        <v/>
      </c>
      <c r="R115" s="370"/>
      <c r="T115" t="s">
        <v>84</v>
      </c>
      <c r="U115" t="str">
        <f t="shared" si="27"/>
        <v>\I:</v>
      </c>
      <c r="V115" t="str">
        <f ca="1" t="shared" si="28"/>
        <v>Hydrogen fuel cell bus -- 00%</v>
      </c>
      <c r="W115" s="372" t="s">
        <v>85</v>
      </c>
      <c r="X115" s="372" t="s">
        <v>86</v>
      </c>
    </row>
    <row r="116" spans="2:24">
      <c r="B116" s="44" t="s">
        <v>164</v>
      </c>
      <c r="J116" t="str">
        <f t="shared" si="20"/>
        <v>Trd_bus_hh2</v>
      </c>
      <c r="K116" t="str">
        <f t="shared" si="22"/>
        <v>\I:</v>
      </c>
      <c r="L116" t="str">
        <f t="shared" si="21"/>
        <v>\I:</v>
      </c>
      <c r="M116" s="374" t="str">
        <f t="shared" si="23"/>
        <v/>
      </c>
      <c r="N116" s="374" t="str">
        <f t="shared" si="24"/>
        <v/>
      </c>
      <c r="O116" s="374" t="str">
        <f t="shared" si="25"/>
        <v/>
      </c>
      <c r="P116" s="374" t="str">
        <f t="shared" si="26"/>
        <v/>
      </c>
      <c r="R116" s="370"/>
      <c r="T116" t="s">
        <v>84</v>
      </c>
      <c r="U116" t="str">
        <f t="shared" si="27"/>
        <v>\I:</v>
      </c>
      <c r="V116" t="str">
        <f ca="1" t="shared" si="28"/>
        <v>Hydrogen fuel cell bus -- Reference values for diesel coach</v>
      </c>
      <c r="W116" s="372" t="s">
        <v>85</v>
      </c>
      <c r="X116" s="372" t="s">
        <v>86</v>
      </c>
    </row>
    <row r="117" spans="2:24">
      <c r="B117" s="365">
        <v>2015</v>
      </c>
      <c r="C117" s="365"/>
      <c r="D117" s="365"/>
      <c r="J117" t="str">
        <f t="shared" si="20"/>
        <v>Trd_bus_hh2</v>
      </c>
      <c r="K117" t="str">
        <f t="shared" si="22"/>
        <v>\I:</v>
      </c>
      <c r="L117" t="str">
        <f t="shared" si="21"/>
        <v>\I:</v>
      </c>
      <c r="M117" s="374" t="str">
        <f t="shared" si="23"/>
        <v/>
      </c>
      <c r="N117" s="374" t="str">
        <f t="shared" si="24"/>
        <v/>
      </c>
      <c r="O117" s="374" t="str">
        <f t="shared" si="25"/>
        <v/>
      </c>
      <c r="P117" s="374" t="str">
        <f t="shared" si="26"/>
        <v/>
      </c>
      <c r="R117" s="370"/>
      <c r="T117" t="s">
        <v>84</v>
      </c>
      <c r="U117" t="str">
        <f t="shared" si="27"/>
        <v>\I:</v>
      </c>
      <c r="V117" t="str">
        <f ca="1" t="shared" si="28"/>
        <v>Hydrogen fuel cell bus -- 201500%</v>
      </c>
      <c r="W117" s="372" t="s">
        <v>85</v>
      </c>
      <c r="X117" s="372" t="s">
        <v>86</v>
      </c>
    </row>
    <row r="118" spans="2:24">
      <c r="B118" s="46" t="s">
        <v>12</v>
      </c>
      <c r="C118" s="47" t="s">
        <v>13</v>
      </c>
      <c r="D118" s="48">
        <v>26.3482912719114</v>
      </c>
      <c r="J118" t="str">
        <f t="shared" si="20"/>
        <v>Trd_bus_hh2</v>
      </c>
      <c r="K118" t="str">
        <f t="shared" si="22"/>
        <v>\I:</v>
      </c>
      <c r="L118" t="str">
        <f t="shared" si="21"/>
        <v>\I:</v>
      </c>
      <c r="M118" s="374" t="str">
        <f t="shared" si="23"/>
        <v/>
      </c>
      <c r="N118" s="374" t="str">
        <f t="shared" si="24"/>
        <v/>
      </c>
      <c r="O118" s="374" t="str">
        <f t="shared" si="25"/>
        <v/>
      </c>
      <c r="P118" s="374" t="str">
        <f t="shared" si="26"/>
        <v/>
      </c>
      <c r="R118" s="370"/>
      <c r="T118" t="s">
        <v>84</v>
      </c>
      <c r="U118" t="str">
        <f t="shared" si="27"/>
        <v>\I:</v>
      </c>
      <c r="V118" t="str">
        <f ca="1" t="shared" si="28"/>
        <v>Hydrogen fuel cell bus -- Energy consumption</v>
      </c>
      <c r="W118" s="372" t="s">
        <v>85</v>
      </c>
      <c r="X118" s="372" t="s">
        <v>86</v>
      </c>
    </row>
    <row r="119" spans="2:24">
      <c r="B119" s="46" t="s">
        <v>14</v>
      </c>
      <c r="C119" s="47" t="s">
        <v>15</v>
      </c>
      <c r="D119" s="68">
        <v>295091.098544713</v>
      </c>
      <c r="J119" t="str">
        <f t="shared" si="20"/>
        <v>Trd_bus_hh2</v>
      </c>
      <c r="K119" t="str">
        <f t="shared" si="22"/>
        <v>\I:</v>
      </c>
      <c r="L119" t="str">
        <f t="shared" si="21"/>
        <v>\I:</v>
      </c>
      <c r="M119" s="374" t="str">
        <f t="shared" si="23"/>
        <v/>
      </c>
      <c r="N119" s="374" t="str">
        <f t="shared" si="24"/>
        <v/>
      </c>
      <c r="O119" s="374" t="str">
        <f t="shared" si="25"/>
        <v/>
      </c>
      <c r="P119" s="374" t="str">
        <f t="shared" si="26"/>
        <v/>
      </c>
      <c r="R119" s="370"/>
      <c r="T119" t="s">
        <v>84</v>
      </c>
      <c r="U119" t="str">
        <f t="shared" si="27"/>
        <v>\I:</v>
      </c>
      <c r="V119" t="str">
        <f ca="1" t="shared" si="28"/>
        <v>Hydrogen fuel cell bus -- Capital cost</v>
      </c>
      <c r="W119" s="372" t="s">
        <v>85</v>
      </c>
      <c r="X119" s="372" t="s">
        <v>86</v>
      </c>
    </row>
    <row r="120" spans="2:24">
      <c r="J120" t="str">
        <f t="shared" si="20"/>
        <v>Trd_bus_hh2</v>
      </c>
      <c r="K120" t="str">
        <f t="shared" si="22"/>
        <v>\I:</v>
      </c>
      <c r="L120" t="str">
        <f t="shared" si="21"/>
        <v>\I:</v>
      </c>
      <c r="M120" s="374" t="str">
        <f t="shared" si="23"/>
        <v/>
      </c>
      <c r="N120" s="374" t="str">
        <f t="shared" si="24"/>
        <v/>
      </c>
      <c r="O120" s="374" t="str">
        <f t="shared" si="25"/>
        <v/>
      </c>
      <c r="P120" s="374" t="str">
        <f t="shared" si="26"/>
        <v/>
      </c>
      <c r="R120" s="370"/>
      <c r="T120" t="s">
        <v>84</v>
      </c>
      <c r="U120" t="str">
        <f t="shared" si="27"/>
        <v>\I:</v>
      </c>
      <c r="V120" t="str">
        <f ca="1" t="shared" si="28"/>
        <v>Hydrogen fuel cell bus -- 00%</v>
      </c>
      <c r="W120" s="372" t="s">
        <v>85</v>
      </c>
      <c r="X120" s="372" t="s">
        <v>86</v>
      </c>
    </row>
    <row r="121" ht="15" customHeight="1" spans="2:24">
      <c r="B121" s="371" t="s">
        <v>21</v>
      </c>
      <c r="C121" s="371" t="s">
        <v>165</v>
      </c>
      <c r="D121" s="371"/>
      <c r="E121" s="371"/>
      <c r="F121" s="371"/>
      <c r="J121" t="str">
        <f t="shared" si="20"/>
        <v>\I:Trd_bus_</v>
      </c>
      <c r="K121" t="str">
        <f t="shared" si="22"/>
        <v>\I:</v>
      </c>
      <c r="L121" t="str">
        <f t="shared" si="21"/>
        <v>\I:</v>
      </c>
      <c r="M121" s="374" t="str">
        <f t="shared" si="23"/>
        <v/>
      </c>
      <c r="N121" s="374" t="str">
        <f t="shared" si="24"/>
        <v/>
      </c>
      <c r="O121" s="374" t="str">
        <f t="shared" si="25"/>
        <v/>
      </c>
      <c r="P121" s="374" t="str">
        <f t="shared" si="26"/>
        <v/>
      </c>
      <c r="R121" s="370"/>
      <c r="T121" t="s">
        <v>84</v>
      </c>
      <c r="U121" t="str">
        <f t="shared" si="27"/>
        <v>\I:</v>
      </c>
      <c r="V121" t="str">
        <f ca="1" t="shared" si="28"/>
        <v>Hybrid diesel coach -- Reduction of specific energy consumption relative to 2015 diesel vehicle (%)</v>
      </c>
      <c r="W121" s="372" t="s">
        <v>85</v>
      </c>
      <c r="X121" s="372" t="s">
        <v>86</v>
      </c>
    </row>
    <row r="122" spans="2:24">
      <c r="B122" s="371"/>
      <c r="C122" s="371"/>
      <c r="D122" s="371"/>
      <c r="E122" s="371"/>
      <c r="F122" s="371"/>
      <c r="J122" t="str">
        <f t="shared" si="20"/>
        <v>\I:Trd_bus_</v>
      </c>
      <c r="K122" t="str">
        <f t="shared" si="22"/>
        <v>\I:</v>
      </c>
      <c r="L122" t="str">
        <f t="shared" si="21"/>
        <v>\I:</v>
      </c>
      <c r="M122" s="374" t="str">
        <f t="shared" si="23"/>
        <v/>
      </c>
      <c r="N122" s="374" t="str">
        <f t="shared" si="24"/>
        <v/>
      </c>
      <c r="O122" s="374" t="str">
        <f t="shared" si="25"/>
        <v/>
      </c>
      <c r="P122" s="374" t="str">
        <f t="shared" si="26"/>
        <v/>
      </c>
      <c r="R122" s="370"/>
      <c r="T122" t="s">
        <v>84</v>
      </c>
      <c r="U122" t="str">
        <f t="shared" si="27"/>
        <v>\I:</v>
      </c>
      <c r="V122" t="str">
        <f ca="1" t="shared" si="28"/>
        <v>Hybrid diesel coach -- 00%</v>
      </c>
      <c r="W122" s="372" t="s">
        <v>85</v>
      </c>
      <c r="X122" s="372" t="s">
        <v>86</v>
      </c>
    </row>
    <row r="123" spans="2:24">
      <c r="B123" s="371"/>
      <c r="C123" s="371"/>
      <c r="D123" s="371"/>
      <c r="E123" s="371"/>
      <c r="F123" s="371"/>
      <c r="J123" t="str">
        <f t="shared" si="20"/>
        <v>\I:Trd_bus_</v>
      </c>
      <c r="K123" t="str">
        <f t="shared" si="22"/>
        <v>\I:</v>
      </c>
      <c r="L123" t="str">
        <f t="shared" si="21"/>
        <v>\I:</v>
      </c>
      <c r="M123" s="374" t="str">
        <f t="shared" si="23"/>
        <v/>
      </c>
      <c r="N123" s="374" t="str">
        <f t="shared" si="24"/>
        <v/>
      </c>
      <c r="O123" s="374" t="str">
        <f t="shared" si="25"/>
        <v/>
      </c>
      <c r="P123" s="374" t="str">
        <f t="shared" si="26"/>
        <v/>
      </c>
      <c r="R123" s="370"/>
      <c r="T123" t="s">
        <v>84</v>
      </c>
      <c r="U123" t="str">
        <f t="shared" si="27"/>
        <v>\I:</v>
      </c>
      <c r="V123" t="str">
        <f ca="1" t="shared" si="28"/>
        <v>Hybrid diesel coach -- 00%</v>
      </c>
      <c r="W123" s="372" t="s">
        <v>85</v>
      </c>
      <c r="X123" s="372" t="s">
        <v>86</v>
      </c>
    </row>
    <row r="124" spans="2:24">
      <c r="B124" s="50"/>
      <c r="C124" s="51">
        <v>2020</v>
      </c>
      <c r="D124" s="51">
        <v>2030</v>
      </c>
      <c r="E124" s="51">
        <v>2040</v>
      </c>
      <c r="F124" s="51">
        <v>2050</v>
      </c>
      <c r="J124" t="str">
        <f t="shared" si="20"/>
        <v>\I:Trd_bus_</v>
      </c>
      <c r="K124" t="str">
        <f t="shared" si="22"/>
        <v>\I:</v>
      </c>
      <c r="L124" t="str">
        <f t="shared" si="21"/>
        <v>\I:</v>
      </c>
      <c r="M124" s="374" t="str">
        <f t="shared" si="23"/>
        <v/>
      </c>
      <c r="N124" s="374" t="str">
        <f t="shared" si="24"/>
        <v/>
      </c>
      <c r="O124" s="374" t="str">
        <f t="shared" si="25"/>
        <v/>
      </c>
      <c r="P124" s="374" t="str">
        <f t="shared" si="26"/>
        <v/>
      </c>
      <c r="R124" s="370"/>
      <c r="T124" t="s">
        <v>84</v>
      </c>
      <c r="U124" t="str">
        <f t="shared" si="27"/>
        <v>\I:</v>
      </c>
      <c r="V124" t="str">
        <f ca="1" t="shared" si="28"/>
        <v>Hybrid diesel coach -- 00%</v>
      </c>
      <c r="W124" s="372" t="s">
        <v>85</v>
      </c>
      <c r="X124" s="372" t="s">
        <v>86</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74">
        <f t="shared" si="23"/>
        <v>295911.463573696</v>
      </c>
      <c r="N125" s="374">
        <f t="shared" si="24"/>
        <v>295911.463573696</v>
      </c>
      <c r="O125" s="374">
        <f t="shared" si="25"/>
        <v>295911.463573696</v>
      </c>
      <c r="P125" s="374">
        <f t="shared" si="26"/>
        <v>295911.463573696</v>
      </c>
      <c r="R125" s="370"/>
      <c r="T125" t="s">
        <v>84</v>
      </c>
      <c r="U125" t="str">
        <f t="shared" si="27"/>
        <v>\I:Trd_bus__06</v>
      </c>
      <c r="V125" t="str">
        <f ca="1" t="shared" si="28"/>
        <v>Hybrid diesel coach -- 06%</v>
      </c>
      <c r="W125" s="372" t="s">
        <v>85</v>
      </c>
      <c r="X125" s="372" t="s">
        <v>86</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74">
        <f t="shared" si="23"/>
        <v>297415.753257641</v>
      </c>
      <c r="N126" s="374">
        <f t="shared" si="24"/>
        <v>296918.611737195</v>
      </c>
      <c r="O126" s="374">
        <f t="shared" si="25"/>
        <v>296918.611737195</v>
      </c>
      <c r="P126" s="374">
        <f t="shared" si="26"/>
        <v>296918.611737195</v>
      </c>
      <c r="R126" s="370"/>
      <c r="T126" t="s">
        <v>84</v>
      </c>
      <c r="U126" t="str">
        <f t="shared" si="27"/>
        <v>\I:Trd_bus__11</v>
      </c>
      <c r="V126" t="str">
        <f ca="1" t="shared" si="28"/>
        <v>Hybrid diesel coach -- 11%</v>
      </c>
      <c r="W126" s="372" t="s">
        <v>85</v>
      </c>
      <c r="X126" s="372" t="s">
        <v>86</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74">
        <f t="shared" si="23"/>
        <v>298843.040992476</v>
      </c>
      <c r="N127" s="374">
        <f t="shared" si="24"/>
        <v>298432.836564148</v>
      </c>
      <c r="O127" s="374">
        <f t="shared" si="25"/>
        <v>298432.836564148</v>
      </c>
      <c r="P127" s="374">
        <f t="shared" si="26"/>
        <v>298432.836564148</v>
      </c>
      <c r="R127" s="370"/>
      <c r="T127" t="s">
        <v>84</v>
      </c>
      <c r="U127" t="str">
        <f t="shared" si="27"/>
        <v>\I:Trd_bus__16</v>
      </c>
      <c r="V127" t="str">
        <f ca="1" t="shared" si="28"/>
        <v>Hybrid diesel coach -- 16%</v>
      </c>
      <c r="W127" s="372" t="s">
        <v>85</v>
      </c>
      <c r="X127" s="372" t="s">
        <v>86</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74">
        <f t="shared" si="23"/>
        <v>303920.757291406</v>
      </c>
      <c r="N128" s="374">
        <f t="shared" si="24"/>
        <v>300709.439858143</v>
      </c>
      <c r="O128" s="374">
        <f t="shared" si="25"/>
        <v>300709.439858143</v>
      </c>
      <c r="P128" s="374">
        <f t="shared" si="26"/>
        <v>300709.439858143</v>
      </c>
      <c r="R128" s="370"/>
      <c r="T128" t="s">
        <v>84</v>
      </c>
      <c r="U128" t="str">
        <f t="shared" si="27"/>
        <v>\I:Trd_bus__21</v>
      </c>
      <c r="V128" t="str">
        <f ca="1" t="shared" si="28"/>
        <v>Hybrid diesel coach -- 21%</v>
      </c>
      <c r="W128" s="372" t="s">
        <v>85</v>
      </c>
      <c r="X128" s="372" t="s">
        <v>86</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74">
        <f t="shared" si="23"/>
        <v>309741.765477435</v>
      </c>
      <c r="N129" s="374">
        <f t="shared" si="24"/>
        <v>304132.262193354</v>
      </c>
      <c r="O129" s="374">
        <f t="shared" si="25"/>
        <v>304132.262193354</v>
      </c>
      <c r="P129" s="374">
        <f t="shared" si="26"/>
        <v>304132.262193354</v>
      </c>
      <c r="R129" s="370"/>
      <c r="T129" t="s">
        <v>84</v>
      </c>
      <c r="U129" t="str">
        <f t="shared" si="27"/>
        <v>\I:Trd_bus__26</v>
      </c>
      <c r="V129" t="str">
        <f ca="1" t="shared" si="28"/>
        <v>Hybrid diesel coach -- 26%</v>
      </c>
      <c r="W129" s="372" t="s">
        <v>85</v>
      </c>
      <c r="X129" s="372" t="s">
        <v>86</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74">
        <f t="shared" si="23"/>
        <v>335473.605243984</v>
      </c>
      <c r="N130" s="374">
        <f t="shared" si="24"/>
        <v>309404.868466266</v>
      </c>
      <c r="O130" s="374">
        <f t="shared" si="25"/>
        <v>309278.399321997</v>
      </c>
      <c r="P130" s="374">
        <f t="shared" si="26"/>
        <v>309278.399321997</v>
      </c>
      <c r="R130" s="370"/>
      <c r="T130" t="s">
        <v>84</v>
      </c>
      <c r="U130" t="str">
        <f t="shared" si="27"/>
        <v>\I:Trd_bus__28</v>
      </c>
      <c r="V130" t="str">
        <f ca="1" t="shared" si="28"/>
        <v>Hybrid diesel coach -- 28%</v>
      </c>
      <c r="W130" s="372" t="s">
        <v>85</v>
      </c>
      <c r="X130" s="372" t="s">
        <v>86</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74">
        <f t="shared" si="23"/>
        <v>420562.333159275</v>
      </c>
      <c r="N131" s="374">
        <f t="shared" si="24"/>
        <v>325515.14335664</v>
      </c>
      <c r="O131" s="374">
        <f t="shared" si="25"/>
        <v>317015.501851208</v>
      </c>
      <c r="P131" s="374">
        <f t="shared" si="26"/>
        <v>317015.501851208</v>
      </c>
      <c r="R131" s="370"/>
      <c r="T131" t="s">
        <v>84</v>
      </c>
      <c r="U131" t="str">
        <f t="shared" si="27"/>
        <v>\I:Trd_bus__31</v>
      </c>
      <c r="V131" t="str">
        <f ca="1" t="shared" si="28"/>
        <v>Hybrid diesel coach -- 31%</v>
      </c>
      <c r="W131" s="372" t="s">
        <v>85</v>
      </c>
      <c r="X131" s="372" t="s">
        <v>86</v>
      </c>
    </row>
    <row r="132" spans="2:24">
      <c r="J132" t="str">
        <f t="shared" si="20"/>
        <v>\I:Trd_bus_</v>
      </c>
      <c r="K132" t="str">
        <f t="shared" si="22"/>
        <v>\I:</v>
      </c>
      <c r="L132" t="str">
        <f t="shared" si="21"/>
        <v>\I:</v>
      </c>
      <c r="M132" s="374" t="str">
        <f t="shared" si="23"/>
        <v/>
      </c>
      <c r="N132" s="374" t="str">
        <f t="shared" si="24"/>
        <v/>
      </c>
      <c r="O132" s="374" t="str">
        <f t="shared" si="25"/>
        <v/>
      </c>
      <c r="P132" s="374" t="str">
        <f t="shared" si="26"/>
        <v/>
      </c>
      <c r="R132" s="370"/>
      <c r="T132" t="s">
        <v>84</v>
      </c>
      <c r="U132" t="str">
        <f t="shared" si="27"/>
        <v>\I:</v>
      </c>
      <c r="V132" t="str">
        <f ca="1" t="shared" si="28"/>
        <v>Hybrid diesel coach -- 00%</v>
      </c>
      <c r="W132" s="372" t="s">
        <v>85</v>
      </c>
      <c r="X132" s="372" t="s">
        <v>86</v>
      </c>
    </row>
    <row r="133" spans="2:24">
      <c r="J133" t="str">
        <f t="shared" si="20"/>
        <v>\I:Trd_bus_</v>
      </c>
      <c r="K133" t="str">
        <f t="shared" si="22"/>
        <v>\I:</v>
      </c>
      <c r="L133" t="str">
        <f t="shared" si="21"/>
        <v>\I:</v>
      </c>
      <c r="M133" s="374" t="str">
        <f t="shared" si="23"/>
        <v/>
      </c>
      <c r="N133" s="374" t="str">
        <f t="shared" si="24"/>
        <v/>
      </c>
      <c r="O133" s="374" t="str">
        <f t="shared" si="25"/>
        <v/>
      </c>
      <c r="P133" s="374" t="str">
        <f t="shared" si="26"/>
        <v/>
      </c>
      <c r="R133" s="370"/>
      <c r="T133" t="s">
        <v>84</v>
      </c>
      <c r="U133" t="str">
        <f t="shared" si="27"/>
        <v>\I:</v>
      </c>
      <c r="V133" t="str">
        <f ca="1" t="shared" si="28"/>
        <v>Hybrid diesel coach -- 00%</v>
      </c>
      <c r="W133" s="372" t="s">
        <v>85</v>
      </c>
      <c r="X133" s="372" t="s">
        <v>86</v>
      </c>
    </row>
    <row r="134" spans="2:24">
      <c r="J134" t="str">
        <f t="shared" si="20"/>
        <v>\I:Trd_bus_</v>
      </c>
      <c r="K134" t="str">
        <f t="shared" si="22"/>
        <v>\I:</v>
      </c>
      <c r="L134" t="str">
        <f t="shared" si="21"/>
        <v>\I:</v>
      </c>
      <c r="M134" s="374" t="str">
        <f t="shared" si="23"/>
        <v/>
      </c>
      <c r="N134" s="374" t="str">
        <f t="shared" si="24"/>
        <v/>
      </c>
      <c r="O134" s="374" t="str">
        <f t="shared" si="25"/>
        <v/>
      </c>
      <c r="P134" s="374" t="str">
        <f t="shared" si="26"/>
        <v/>
      </c>
      <c r="R134" s="370"/>
      <c r="T134" t="s">
        <v>84</v>
      </c>
      <c r="U134" t="str">
        <f t="shared" si="27"/>
        <v>\I:</v>
      </c>
      <c r="V134" t="str">
        <f ca="1" t="shared" si="28"/>
        <v>Hybrid diesel coach -- 00%</v>
      </c>
      <c r="W134" s="372" t="s">
        <v>85</v>
      </c>
      <c r="X134" s="372" t="s">
        <v>86</v>
      </c>
    </row>
    <row r="135" ht="15" customHeight="1" spans="2:24">
      <c r="B135" s="371" t="s">
        <v>21</v>
      </c>
      <c r="C135" s="371" t="s">
        <v>157</v>
      </c>
      <c r="D135" s="371"/>
      <c r="E135" s="371"/>
      <c r="F135" s="371"/>
      <c r="J135" t="str">
        <f t="shared" si="20"/>
        <v>\I:Trd_bus_</v>
      </c>
      <c r="K135" t="str">
        <f t="shared" si="22"/>
        <v>\I:</v>
      </c>
      <c r="L135" t="str">
        <f t="shared" si="21"/>
        <v>\I:</v>
      </c>
      <c r="M135" s="374" t="str">
        <f t="shared" si="23"/>
        <v/>
      </c>
      <c r="N135" s="374" t="str">
        <f t="shared" si="24"/>
        <v/>
      </c>
      <c r="O135" s="374" t="str">
        <f t="shared" si="25"/>
        <v/>
      </c>
      <c r="P135" s="374" t="str">
        <f t="shared" si="26"/>
        <v/>
      </c>
      <c r="R135" s="370"/>
      <c r="T135" t="s">
        <v>84</v>
      </c>
      <c r="U135" t="str">
        <f t="shared" si="27"/>
        <v>\I:</v>
      </c>
      <c r="V135" t="str">
        <f ca="1" t="shared" si="28"/>
        <v>Hybrid diesel coach -- Reduction of specific energy consumption relative to 2015 diesel vehicle (%)</v>
      </c>
      <c r="W135" s="372" t="s">
        <v>85</v>
      </c>
      <c r="X135" s="372" t="s">
        <v>86</v>
      </c>
    </row>
    <row r="136" spans="2:24">
      <c r="B136" s="371"/>
      <c r="C136" s="371"/>
      <c r="D136" s="371"/>
      <c r="E136" s="371"/>
      <c r="F136" s="371"/>
      <c r="J136" t="str">
        <f t="shared" si="20"/>
        <v>\I:Trd_bus_</v>
      </c>
      <c r="K136" t="str">
        <f t="shared" si="22"/>
        <v>\I:</v>
      </c>
      <c r="L136" t="str">
        <f t="shared" si="21"/>
        <v>\I:</v>
      </c>
      <c r="M136" s="374" t="str">
        <f t="shared" si="23"/>
        <v/>
      </c>
      <c r="N136" s="374" t="str">
        <f t="shared" si="24"/>
        <v/>
      </c>
      <c r="O136" s="374" t="str">
        <f t="shared" si="25"/>
        <v/>
      </c>
      <c r="P136" s="374" t="str">
        <f t="shared" si="26"/>
        <v/>
      </c>
      <c r="R136" s="370"/>
      <c r="T136" t="s">
        <v>84</v>
      </c>
      <c r="U136" t="str">
        <f t="shared" si="27"/>
        <v>\I:</v>
      </c>
      <c r="V136" t="str">
        <f ca="1" t="shared" si="28"/>
        <v>Hybrid diesel coach -- 00%</v>
      </c>
      <c r="W136" s="372" t="s">
        <v>85</v>
      </c>
      <c r="X136" s="372" t="s">
        <v>86</v>
      </c>
    </row>
    <row r="137" spans="2:24">
      <c r="B137" s="371"/>
      <c r="C137" s="371"/>
      <c r="D137" s="371"/>
      <c r="E137" s="371"/>
      <c r="F137" s="371"/>
      <c r="J137" t="str">
        <f t="shared" si="20"/>
        <v>\I:Trd_bus_</v>
      </c>
      <c r="K137" t="str">
        <f t="shared" si="22"/>
        <v>\I:</v>
      </c>
      <c r="L137" t="str">
        <f t="shared" si="21"/>
        <v>\I:</v>
      </c>
      <c r="M137" s="374" t="str">
        <f t="shared" si="23"/>
        <v/>
      </c>
      <c r="N137" s="374" t="str">
        <f t="shared" si="24"/>
        <v/>
      </c>
      <c r="O137" s="374" t="str">
        <f t="shared" si="25"/>
        <v/>
      </c>
      <c r="P137" s="374" t="str">
        <f t="shared" si="26"/>
        <v/>
      </c>
      <c r="R137" s="370"/>
      <c r="T137" t="s">
        <v>84</v>
      </c>
      <c r="U137" t="str">
        <f t="shared" si="27"/>
        <v>\I:</v>
      </c>
      <c r="V137" t="str">
        <f ca="1" t="shared" si="28"/>
        <v>Hybrid diesel coach -- 00%</v>
      </c>
      <c r="W137" s="372" t="s">
        <v>85</v>
      </c>
      <c r="X137" s="372" t="s">
        <v>86</v>
      </c>
    </row>
    <row r="138" spans="2:24">
      <c r="B138" s="50"/>
      <c r="C138" s="51">
        <v>2020</v>
      </c>
      <c r="D138" s="51">
        <v>2030</v>
      </c>
      <c r="E138" s="51">
        <v>2040</v>
      </c>
      <c r="F138" s="51">
        <v>2050</v>
      </c>
      <c r="J138" t="str">
        <f t="shared" si="20"/>
        <v>\I:Trd_bus_</v>
      </c>
      <c r="K138" t="str">
        <f t="shared" si="22"/>
        <v>\I:</v>
      </c>
      <c r="L138" t="str">
        <f t="shared" si="21"/>
        <v>\I:</v>
      </c>
      <c r="M138" s="374" t="str">
        <f t="shared" si="23"/>
        <v/>
      </c>
      <c r="N138" s="374" t="str">
        <f t="shared" si="24"/>
        <v/>
      </c>
      <c r="O138" s="374" t="str">
        <f t="shared" si="25"/>
        <v/>
      </c>
      <c r="P138" s="374" t="str">
        <f t="shared" si="26"/>
        <v/>
      </c>
      <c r="R138" s="370"/>
      <c r="T138" t="s">
        <v>84</v>
      </c>
      <c r="U138" t="str">
        <f t="shared" si="27"/>
        <v>\I:</v>
      </c>
      <c r="V138" t="str">
        <f ca="1" t="shared" si="28"/>
        <v>Hybrid diesel coach -- 00%</v>
      </c>
      <c r="W138" s="372" t="s">
        <v>85</v>
      </c>
      <c r="X138" s="372" t="s">
        <v>86</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74">
        <f t="shared" si="23"/>
        <v>321832.916726531</v>
      </c>
      <c r="N139" s="374">
        <f t="shared" si="24"/>
        <v>321832.916726531</v>
      </c>
      <c r="O139" s="374">
        <f t="shared" si="25"/>
        <v>321832.916726531</v>
      </c>
      <c r="P139" s="374">
        <f t="shared" si="26"/>
        <v>321832.916726531</v>
      </c>
      <c r="R139" s="370"/>
      <c r="T139" t="s">
        <v>84</v>
      </c>
      <c r="U139" t="str">
        <f t="shared" si="27"/>
        <v>\I:Trd_bus__16</v>
      </c>
      <c r="V139" t="str">
        <f ca="1" t="shared" si="28"/>
        <v>Hybrid diesel coach -- 16%</v>
      </c>
      <c r="W139" s="372" t="s">
        <v>85</v>
      </c>
      <c r="X139" s="372" t="s">
        <v>86</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74">
        <f t="shared" si="23"/>
        <v>322833.108114091</v>
      </c>
      <c r="N140" s="374">
        <f t="shared" si="24"/>
        <v>322833.108114091</v>
      </c>
      <c r="O140" s="374">
        <f t="shared" si="25"/>
        <v>322833.108114091</v>
      </c>
      <c r="P140" s="374">
        <f t="shared" si="26"/>
        <v>322833.108114091</v>
      </c>
      <c r="R140" s="370"/>
      <c r="T140" t="s">
        <v>84</v>
      </c>
      <c r="U140" t="str">
        <f t="shared" si="27"/>
        <v>\I:Trd_bus__21</v>
      </c>
      <c r="V140" t="str">
        <f ca="1" t="shared" si="28"/>
        <v>Hybrid diesel coach -- 21%</v>
      </c>
      <c r="W140" s="372" t="s">
        <v>85</v>
      </c>
      <c r="X140" s="372" t="s">
        <v>86</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74">
        <f t="shared" si="23"/>
        <v>325072.21883208</v>
      </c>
      <c r="N141" s="374">
        <f t="shared" si="24"/>
        <v>323840.25627759</v>
      </c>
      <c r="O141" s="374">
        <f t="shared" si="25"/>
        <v>323840.25627759</v>
      </c>
      <c r="P141" s="374">
        <f t="shared" si="26"/>
        <v>323840.25627759</v>
      </c>
      <c r="R141" s="370"/>
      <c r="T141" t="s">
        <v>84</v>
      </c>
      <c r="U141" t="str">
        <f t="shared" si="27"/>
        <v>\I:Trd_bus__25</v>
      </c>
      <c r="V141" t="str">
        <f ca="1" t="shared" si="28"/>
        <v>Hybrid diesel coach -- 25%</v>
      </c>
      <c r="W141" s="372" t="s">
        <v>85</v>
      </c>
      <c r="X141" s="372" t="s">
        <v>86</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74">
        <f t="shared" si="23"/>
        <v>327717.496433645</v>
      </c>
      <c r="N142" s="374">
        <f t="shared" si="24"/>
        <v>325354.481104544</v>
      </c>
      <c r="O142" s="374">
        <f t="shared" si="25"/>
        <v>325354.481104544</v>
      </c>
      <c r="P142" s="374">
        <f t="shared" si="26"/>
        <v>325354.481104544</v>
      </c>
      <c r="R142" s="370"/>
      <c r="T142" t="s">
        <v>84</v>
      </c>
      <c r="U142" t="str">
        <f t="shared" si="27"/>
        <v>\I:Trd_bus__30</v>
      </c>
      <c r="V142" t="str">
        <f ca="1" t="shared" si="28"/>
        <v>Hybrid diesel coach -- 30%</v>
      </c>
      <c r="W142" s="372" t="s">
        <v>85</v>
      </c>
      <c r="X142" s="372" t="s">
        <v>86</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74">
        <f t="shared" si="23"/>
        <v>341195.768621874</v>
      </c>
      <c r="N143" s="374">
        <f t="shared" si="24"/>
        <v>327631.084398538</v>
      </c>
      <c r="O143" s="374">
        <f t="shared" si="25"/>
        <v>327631.084398538</v>
      </c>
      <c r="P143" s="374">
        <f t="shared" si="26"/>
        <v>327631.084398538</v>
      </c>
      <c r="R143" s="370"/>
      <c r="T143" t="s">
        <v>84</v>
      </c>
      <c r="U143" t="str">
        <f t="shared" si="27"/>
        <v>\I:Trd_bus__34</v>
      </c>
      <c r="V143" t="str">
        <f ca="1" t="shared" si="28"/>
        <v>Hybrid diesel coach -- 34%</v>
      </c>
      <c r="W143" s="372" t="s">
        <v>85</v>
      </c>
      <c r="X143" s="372" t="s">
        <v>86</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74">
        <f t="shared" si="23"/>
        <v>357695.810307068</v>
      </c>
      <c r="N144" s="374">
        <f t="shared" si="24"/>
        <v>331053.906733749</v>
      </c>
      <c r="O144" s="374">
        <f t="shared" si="25"/>
        <v>331053.906733749</v>
      </c>
      <c r="P144" s="374">
        <f t="shared" si="26"/>
        <v>331053.906733749</v>
      </c>
      <c r="R144" s="370"/>
      <c r="T144" t="s">
        <v>84</v>
      </c>
      <c r="U144" t="str">
        <f t="shared" si="27"/>
        <v>\I:Trd_bus__38</v>
      </c>
      <c r="V144" t="str">
        <f ca="1" t="shared" si="28"/>
        <v>Hybrid diesel coach -- 38%</v>
      </c>
      <c r="W144" s="372" t="s">
        <v>85</v>
      </c>
      <c r="X144" s="372" t="s">
        <v>86</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74">
        <f t="shared" si="23"/>
        <v>367686.550041485</v>
      </c>
      <c r="N145" s="374">
        <f t="shared" si="24"/>
        <v>336352.059139705</v>
      </c>
      <c r="O145" s="374">
        <f t="shared" si="25"/>
        <v>336200.043862392</v>
      </c>
      <c r="P145" s="374">
        <f t="shared" si="26"/>
        <v>336200.043862392</v>
      </c>
      <c r="R145" s="370"/>
      <c r="T145" t="s">
        <v>84</v>
      </c>
      <c r="U145" t="str">
        <f t="shared" si="27"/>
        <v>\I:Trd_bus__40</v>
      </c>
      <c r="V145" t="str">
        <f ca="1" t="shared" si="28"/>
        <v>Hybrid diesel coach -- 40%</v>
      </c>
      <c r="W145" s="372" t="s">
        <v>85</v>
      </c>
      <c r="X145" s="372" t="s">
        <v>86</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74">
        <f t="shared" si="23"/>
        <v>424470.664466407</v>
      </c>
      <c r="N146" s="374">
        <f t="shared" si="24"/>
        <v>350547.740111951</v>
      </c>
      <c r="O146" s="374">
        <f t="shared" si="25"/>
        <v>343937.146391603</v>
      </c>
      <c r="P146" s="374">
        <f t="shared" si="26"/>
        <v>343937.146391603</v>
      </c>
      <c r="R146" s="370"/>
      <c r="T146" t="s">
        <v>84</v>
      </c>
      <c r="U146" t="str">
        <f t="shared" si="27"/>
        <v>\I:Trd_bus__43</v>
      </c>
      <c r="V146" t="str">
        <f ca="1" t="shared" si="28"/>
        <v>Hybrid diesel coach -- 43%</v>
      </c>
      <c r="W146" s="372" t="s">
        <v>85</v>
      </c>
      <c r="X146" s="372" t="s">
        <v>86</v>
      </c>
    </row>
    <row r="147" spans="2:24">
      <c r="J147" t="str">
        <f t="shared" si="38"/>
        <v>\I:Trd_bus_</v>
      </c>
      <c r="K147" t="str">
        <f t="shared" si="22"/>
        <v>\I:</v>
      </c>
      <c r="L147" t="str">
        <f t="shared" si="39"/>
        <v>\I:</v>
      </c>
      <c r="M147" s="374" t="str">
        <f t="shared" si="23"/>
        <v/>
      </c>
      <c r="N147" s="374" t="str">
        <f t="shared" si="24"/>
        <v/>
      </c>
      <c r="O147" s="374" t="str">
        <f t="shared" si="25"/>
        <v/>
      </c>
      <c r="P147" s="374" t="str">
        <f t="shared" si="26"/>
        <v/>
      </c>
      <c r="R147" s="370"/>
      <c r="T147" t="s">
        <v>84</v>
      </c>
      <c r="U147" t="str">
        <f t="shared" si="27"/>
        <v>\I:</v>
      </c>
      <c r="V147" t="str">
        <f ca="1" t="shared" si="28"/>
        <v>Hybrid diesel coach -- 00%</v>
      </c>
      <c r="W147" s="372" t="s">
        <v>85</v>
      </c>
      <c r="X147" s="372" t="s">
        <v>86</v>
      </c>
    </row>
    <row r="148" spans="2:24">
      <c r="J148" t="str">
        <f t="shared" si="38"/>
        <v>\I:Trd_bus_</v>
      </c>
      <c r="K148" t="str">
        <f t="shared" si="22"/>
        <v>\I:</v>
      </c>
      <c r="L148" t="str">
        <f t="shared" si="39"/>
        <v>\I:</v>
      </c>
      <c r="M148" s="374" t="str">
        <f t="shared" si="23"/>
        <v/>
      </c>
      <c r="N148" s="374" t="str">
        <f t="shared" si="24"/>
        <v/>
      </c>
      <c r="O148" s="374" t="str">
        <f t="shared" si="25"/>
        <v/>
      </c>
      <c r="P148" s="374" t="str">
        <f t="shared" si="26"/>
        <v/>
      </c>
      <c r="R148" s="370"/>
      <c r="T148" t="s">
        <v>84</v>
      </c>
      <c r="U148" t="str">
        <f t="shared" si="27"/>
        <v>\I:</v>
      </c>
      <c r="V148" t="str">
        <f ca="1" t="shared" si="28"/>
        <v>Hybrid diesel coach -- 00%</v>
      </c>
      <c r="W148" s="372" t="s">
        <v>85</v>
      </c>
      <c r="X148" s="372" t="s">
        <v>86</v>
      </c>
    </row>
    <row r="149" spans="2:24">
      <c r="J149" t="str">
        <f t="shared" si="38"/>
        <v>\I:Trd_bus_</v>
      </c>
      <c r="K149" t="str">
        <f t="shared" si="22"/>
        <v>\I:</v>
      </c>
      <c r="L149" t="str">
        <f t="shared" si="39"/>
        <v>\I:</v>
      </c>
      <c r="M149" s="374" t="str">
        <f t="shared" si="23"/>
        <v/>
      </c>
      <c r="N149" s="374" t="str">
        <f t="shared" si="24"/>
        <v/>
      </c>
      <c r="O149" s="374" t="str">
        <f t="shared" si="25"/>
        <v/>
      </c>
      <c r="P149" s="374" t="str">
        <f t="shared" si="26"/>
        <v/>
      </c>
      <c r="R149" s="370"/>
      <c r="T149" t="s">
        <v>84</v>
      </c>
      <c r="U149" t="str">
        <f t="shared" si="27"/>
        <v>\I:</v>
      </c>
      <c r="V149" t="str">
        <f ca="1" t="shared" si="28"/>
        <v>Hybrid diesel coach -- 00%</v>
      </c>
      <c r="W149" s="372" t="s">
        <v>85</v>
      </c>
      <c r="X149" s="372" t="s">
        <v>86</v>
      </c>
    </row>
    <row r="150" spans="2:24">
      <c r="J150" t="str">
        <f t="shared" si="38"/>
        <v>\I:Trd_bus_</v>
      </c>
      <c r="K150" t="str">
        <f t="shared" si="22"/>
        <v>\I:</v>
      </c>
      <c r="L150" t="str">
        <f t="shared" si="39"/>
        <v>\I:</v>
      </c>
      <c r="M150" s="374" t="str">
        <f t="shared" si="23"/>
        <v/>
      </c>
      <c r="N150" s="374" t="str">
        <f t="shared" si="24"/>
        <v/>
      </c>
      <c r="O150" s="374" t="str">
        <f t="shared" si="25"/>
        <v/>
      </c>
      <c r="P150" s="374" t="str">
        <f t="shared" si="26"/>
        <v/>
      </c>
      <c r="R150" s="370"/>
      <c r="T150" t="s">
        <v>84</v>
      </c>
      <c r="U150" t="str">
        <f t="shared" si="27"/>
        <v>\I:</v>
      </c>
      <c r="V150" t="str">
        <f ca="1" t="shared" si="28"/>
        <v>Hybrid diesel coach -- 00%</v>
      </c>
      <c r="W150" s="372" t="s">
        <v>85</v>
      </c>
      <c r="X150" s="372" t="s">
        <v>86</v>
      </c>
    </row>
    <row r="151" spans="2:24">
      <c r="B151" s="44" t="s">
        <v>166</v>
      </c>
      <c r="J151" t="str">
        <f t="shared" si="38"/>
        <v>\I:Trd_bus_</v>
      </c>
      <c r="K151" t="str">
        <f t="shared" si="22"/>
        <v>\I:</v>
      </c>
      <c r="L151" t="str">
        <f t="shared" si="39"/>
        <v>\I:</v>
      </c>
      <c r="M151" s="374" t="str">
        <f t="shared" si="23"/>
        <v/>
      </c>
      <c r="N151" s="374" t="str">
        <f t="shared" si="24"/>
        <v/>
      </c>
      <c r="O151" s="374" t="str">
        <f t="shared" si="25"/>
        <v/>
      </c>
      <c r="P151" s="374" t="str">
        <f t="shared" si="26"/>
        <v/>
      </c>
      <c r="R151" s="370"/>
      <c r="T151" t="s">
        <v>84</v>
      </c>
      <c r="U151" t="str">
        <f t="shared" si="27"/>
        <v>\I:</v>
      </c>
      <c r="V151" t="str">
        <f ca="1" t="shared" si="28"/>
        <v>Hybrid diesel coach -- Reference values for LNG coach</v>
      </c>
      <c r="W151" s="372" t="s">
        <v>85</v>
      </c>
      <c r="X151" s="372" t="s">
        <v>86</v>
      </c>
    </row>
    <row r="152" spans="2:24">
      <c r="B152" s="365">
        <v>2015</v>
      </c>
      <c r="C152" s="365"/>
      <c r="D152" s="365"/>
      <c r="J152" t="str">
        <f t="shared" si="38"/>
        <v>\I:Trd_bus_</v>
      </c>
      <c r="K152" t="str">
        <f t="shared" ref="K152:K215" si="40">IFERROR(IF(VALUE(C152)&gt;2020,J152&amp;"_"&amp;TEXT(B152*100,"00"),"\I:"),"\I:")</f>
        <v>\I:</v>
      </c>
      <c r="L152" t="str">
        <f t="shared" si="39"/>
        <v>\I:</v>
      </c>
      <c r="M152" s="374" t="str">
        <f t="shared" ref="M152:M215" si="41">IF($K152="\I:","",C152)</f>
        <v/>
      </c>
      <c r="N152" s="374" t="str">
        <f t="shared" ref="N152:N215" si="42">IF($K152="\I:","",D152)</f>
        <v/>
      </c>
      <c r="O152" s="374" t="str">
        <f t="shared" ref="O152:O215" si="43">IF($K152="\I:","",E152)</f>
        <v/>
      </c>
      <c r="P152" s="374" t="str">
        <f t="shared" ref="P152:P215" si="44">IF($K152="\I:","",F152)</f>
        <v/>
      </c>
      <c r="R152" s="370"/>
      <c r="T152" t="s">
        <v>84</v>
      </c>
      <c r="U152" t="str">
        <f t="shared" ref="U152:U215" si="45">K152</f>
        <v>\I:</v>
      </c>
      <c r="V152" t="str">
        <f ca="1" t="shared" ref="V152:V215" si="46">OFFSET($S$1,MATCH(J152,$S$1:$S$12,0)-1,-1)&amp;" -- "&amp;TEXT(B152,"00%")</f>
        <v>Hybrid diesel coach -- 201500%</v>
      </c>
      <c r="W152" s="372" t="s">
        <v>85</v>
      </c>
      <c r="X152" s="372" t="s">
        <v>86</v>
      </c>
    </row>
    <row r="153" spans="2:24">
      <c r="B153" s="46" t="s">
        <v>12</v>
      </c>
      <c r="C153" s="47" t="s">
        <v>89</v>
      </c>
      <c r="D153" s="48">
        <v>21.9255423798406</v>
      </c>
      <c r="J153" t="str">
        <f t="shared" si="38"/>
        <v>\I:Trd_bus_</v>
      </c>
      <c r="K153" t="str">
        <f t="shared" si="40"/>
        <v>\I:</v>
      </c>
      <c r="L153" t="str">
        <f t="shared" si="39"/>
        <v>\I:</v>
      </c>
      <c r="M153" s="374" t="str">
        <f t="shared" si="41"/>
        <v/>
      </c>
      <c r="N153" s="374" t="str">
        <f t="shared" si="42"/>
        <v/>
      </c>
      <c r="O153" s="374" t="str">
        <f t="shared" si="43"/>
        <v/>
      </c>
      <c r="P153" s="374" t="str">
        <f t="shared" si="44"/>
        <v/>
      </c>
      <c r="R153" s="370"/>
      <c r="T153" t="s">
        <v>84</v>
      </c>
      <c r="U153" t="str">
        <f t="shared" si="45"/>
        <v>\I:</v>
      </c>
      <c r="V153" t="str">
        <f ca="1" t="shared" si="46"/>
        <v>Hybrid diesel coach -- Energy consumption</v>
      </c>
      <c r="W153" s="372" t="s">
        <v>85</v>
      </c>
      <c r="X153" s="372" t="s">
        <v>86</v>
      </c>
    </row>
    <row r="154" spans="2:24">
      <c r="B154" s="46" t="s">
        <v>14</v>
      </c>
      <c r="C154" s="47" t="s">
        <v>15</v>
      </c>
      <c r="D154" s="68">
        <v>321393.556544713</v>
      </c>
      <c r="J154" t="str">
        <f t="shared" si="38"/>
        <v>\I:Trd_bus_</v>
      </c>
      <c r="K154" t="str">
        <f t="shared" si="40"/>
        <v>\I:</v>
      </c>
      <c r="L154" t="str">
        <f t="shared" si="39"/>
        <v>\I:</v>
      </c>
      <c r="M154" s="374" t="str">
        <f t="shared" si="41"/>
        <v/>
      </c>
      <c r="N154" s="374" t="str">
        <f t="shared" si="42"/>
        <v/>
      </c>
      <c r="O154" s="374" t="str">
        <f t="shared" si="43"/>
        <v/>
      </c>
      <c r="P154" s="374" t="str">
        <f t="shared" si="44"/>
        <v/>
      </c>
      <c r="R154" s="370"/>
      <c r="T154" t="s">
        <v>84</v>
      </c>
      <c r="U154" t="str">
        <f t="shared" si="45"/>
        <v>\I:</v>
      </c>
      <c r="V154" t="str">
        <f ca="1" t="shared" si="46"/>
        <v>Hybrid diesel coach -- Capital cost</v>
      </c>
      <c r="W154" s="372" t="s">
        <v>85</v>
      </c>
      <c r="X154" s="372" t="s">
        <v>86</v>
      </c>
    </row>
    <row r="155" spans="2:24">
      <c r="J155" t="str">
        <f t="shared" si="38"/>
        <v>\I:Trd_bus_</v>
      </c>
      <c r="K155" t="str">
        <f t="shared" si="40"/>
        <v>\I:</v>
      </c>
      <c r="L155" t="str">
        <f t="shared" si="39"/>
        <v>\I:</v>
      </c>
      <c r="M155" s="374" t="str">
        <f t="shared" si="41"/>
        <v/>
      </c>
      <c r="N155" s="374" t="str">
        <f t="shared" si="42"/>
        <v/>
      </c>
      <c r="O155" s="374" t="str">
        <f t="shared" si="43"/>
        <v/>
      </c>
      <c r="P155" s="374" t="str">
        <f t="shared" si="44"/>
        <v/>
      </c>
      <c r="R155" s="370"/>
      <c r="T155" t="s">
        <v>84</v>
      </c>
      <c r="U155" t="str">
        <f t="shared" si="45"/>
        <v>\I:</v>
      </c>
      <c r="V155" t="str">
        <f ca="1" t="shared" si="46"/>
        <v>Hybrid diesel coach -- 00%</v>
      </c>
      <c r="W155" s="372" t="s">
        <v>85</v>
      </c>
      <c r="X155" s="372" t="s">
        <v>86</v>
      </c>
    </row>
    <row r="156" ht="15" customHeight="1" spans="2:24">
      <c r="B156" s="371" t="s">
        <v>122</v>
      </c>
      <c r="C156" s="371" t="s">
        <v>167</v>
      </c>
      <c r="D156" s="371"/>
      <c r="E156" s="371"/>
      <c r="F156" s="371"/>
      <c r="J156" t="str">
        <f t="shared" si="38"/>
        <v>\I:Trd_bus_</v>
      </c>
      <c r="K156" t="str">
        <f t="shared" si="40"/>
        <v>\I:</v>
      </c>
      <c r="L156" t="str">
        <f t="shared" si="39"/>
        <v>\I:</v>
      </c>
      <c r="M156" s="374" t="str">
        <f t="shared" si="41"/>
        <v/>
      </c>
      <c r="N156" s="374" t="str">
        <f t="shared" si="42"/>
        <v/>
      </c>
      <c r="O156" s="374" t="str">
        <f t="shared" si="43"/>
        <v/>
      </c>
      <c r="P156" s="374" t="str">
        <f t="shared" si="44"/>
        <v/>
      </c>
      <c r="R156" s="370"/>
      <c r="T156" t="s">
        <v>84</v>
      </c>
      <c r="U156" t="str">
        <f t="shared" si="45"/>
        <v>\I:</v>
      </c>
      <c r="V156" t="str">
        <f ca="1" t="shared" si="46"/>
        <v>Hybrid diesel coach -- Reduction of specific energy consumption relative to 2015 LNG vehicle (%)</v>
      </c>
      <c r="W156" s="372" t="s">
        <v>85</v>
      </c>
      <c r="X156" s="372" t="s">
        <v>86</v>
      </c>
    </row>
    <row r="157" spans="2:24">
      <c r="B157" s="371"/>
      <c r="C157" s="371"/>
      <c r="D157" s="371"/>
      <c r="E157" s="371"/>
      <c r="F157" s="371"/>
      <c r="J157" t="str">
        <f t="shared" si="38"/>
        <v>\I:Trd_bus_</v>
      </c>
      <c r="K157" t="str">
        <f t="shared" si="40"/>
        <v>\I:</v>
      </c>
      <c r="L157" t="str">
        <f t="shared" si="39"/>
        <v>\I:</v>
      </c>
      <c r="M157" s="374" t="str">
        <f t="shared" si="41"/>
        <v/>
      </c>
      <c r="N157" s="374" t="str">
        <f t="shared" si="42"/>
        <v/>
      </c>
      <c r="O157" s="374" t="str">
        <f t="shared" si="43"/>
        <v/>
      </c>
      <c r="P157" s="374" t="str">
        <f t="shared" si="44"/>
        <v/>
      </c>
      <c r="R157" s="370"/>
      <c r="T157" t="s">
        <v>84</v>
      </c>
      <c r="U157" t="str">
        <f t="shared" si="45"/>
        <v>\I:</v>
      </c>
      <c r="V157" t="str">
        <f ca="1" t="shared" si="46"/>
        <v>Hybrid diesel coach -- 00%</v>
      </c>
      <c r="W157" s="372" t="s">
        <v>85</v>
      </c>
      <c r="X157" s="372" t="s">
        <v>86</v>
      </c>
    </row>
    <row r="158" spans="2:24">
      <c r="B158" s="371"/>
      <c r="C158" s="371"/>
      <c r="D158" s="371"/>
      <c r="E158" s="371"/>
      <c r="F158" s="371"/>
      <c r="J158" t="str">
        <f t="shared" si="38"/>
        <v>\I:Trd_bus_</v>
      </c>
      <c r="K158" t="str">
        <f t="shared" si="40"/>
        <v>\I:</v>
      </c>
      <c r="L158" t="str">
        <f t="shared" si="39"/>
        <v>\I:</v>
      </c>
      <c r="M158" s="374" t="str">
        <f t="shared" si="41"/>
        <v/>
      </c>
      <c r="N158" s="374" t="str">
        <f t="shared" si="42"/>
        <v/>
      </c>
      <c r="O158" s="374" t="str">
        <f t="shared" si="43"/>
        <v/>
      </c>
      <c r="P158" s="374" t="str">
        <f t="shared" si="44"/>
        <v/>
      </c>
      <c r="R158" s="370"/>
      <c r="T158" t="s">
        <v>84</v>
      </c>
      <c r="U158" t="str">
        <f t="shared" si="45"/>
        <v>\I:</v>
      </c>
      <c r="V158" t="str">
        <f ca="1" t="shared" si="46"/>
        <v>Hybrid diesel coach -- 00%</v>
      </c>
      <c r="W158" s="372" t="s">
        <v>85</v>
      </c>
      <c r="X158" s="372" t="s">
        <v>86</v>
      </c>
    </row>
    <row r="159" spans="2:24">
      <c r="B159" s="50"/>
      <c r="C159" s="51">
        <v>2020</v>
      </c>
      <c r="D159" s="51">
        <v>2030</v>
      </c>
      <c r="E159" s="51">
        <v>2040</v>
      </c>
      <c r="F159" s="51">
        <v>2050</v>
      </c>
      <c r="J159" t="str">
        <f t="shared" si="38"/>
        <v>\I:Trd_bus_</v>
      </c>
      <c r="K159" t="str">
        <f t="shared" si="40"/>
        <v>\I:</v>
      </c>
      <c r="L159" t="str">
        <f t="shared" si="39"/>
        <v>\I:</v>
      </c>
      <c r="M159" s="374" t="str">
        <f t="shared" si="41"/>
        <v/>
      </c>
      <c r="N159" s="374" t="str">
        <f t="shared" si="42"/>
        <v/>
      </c>
      <c r="O159" s="374" t="str">
        <f t="shared" si="43"/>
        <v/>
      </c>
      <c r="P159" s="374" t="str">
        <f t="shared" si="44"/>
        <v/>
      </c>
      <c r="R159" s="370"/>
      <c r="T159" t="s">
        <v>84</v>
      </c>
      <c r="U159" t="str">
        <f t="shared" si="45"/>
        <v>\I:</v>
      </c>
      <c r="V159" t="str">
        <f ca="1" t="shared" si="46"/>
        <v>Hybrid diesel coach -- 00%</v>
      </c>
      <c r="W159" s="372" t="s">
        <v>85</v>
      </c>
      <c r="X159" s="372" t="s">
        <v>86</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74">
        <f t="shared" si="41"/>
        <v>322213.921573696</v>
      </c>
      <c r="N160" s="374">
        <f t="shared" si="42"/>
        <v>322213.921573696</v>
      </c>
      <c r="O160" s="374">
        <f t="shared" si="43"/>
        <v>322213.921573696</v>
      </c>
      <c r="P160" s="374">
        <f t="shared" si="44"/>
        <v>322213.921573696</v>
      </c>
      <c r="R160" s="370"/>
      <c r="T160" t="s">
        <v>84</v>
      </c>
      <c r="U160" t="str">
        <f t="shared" si="45"/>
        <v>\I:Trd_bus__04</v>
      </c>
      <c r="V160" t="str">
        <f ca="1" t="shared" si="46"/>
        <v>Hybrid diesel coach -- 04%</v>
      </c>
      <c r="W160" s="372" t="s">
        <v>85</v>
      </c>
      <c r="X160" s="372" t="s">
        <v>86</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74">
        <f t="shared" si="41"/>
        <v>323718.211257641</v>
      </c>
      <c r="N161" s="374">
        <f t="shared" si="42"/>
        <v>323221.069737195</v>
      </c>
      <c r="O161" s="374">
        <f t="shared" si="43"/>
        <v>323221.069737195</v>
      </c>
      <c r="P161" s="374">
        <f t="shared" si="44"/>
        <v>323221.069737195</v>
      </c>
      <c r="R161" s="370"/>
      <c r="T161" t="s">
        <v>84</v>
      </c>
      <c r="U161" t="str">
        <f t="shared" si="45"/>
        <v>\I:Trd_bus__09</v>
      </c>
      <c r="V161" t="str">
        <f ca="1" t="shared" si="46"/>
        <v>Hybrid diesel coach -- 09%</v>
      </c>
      <c r="W161" s="372" t="s">
        <v>85</v>
      </c>
      <c r="X161" s="372" t="s">
        <v>86</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74">
        <f t="shared" si="41"/>
        <v>325145.498992476</v>
      </c>
      <c r="N162" s="374">
        <f t="shared" si="42"/>
        <v>324735.294564148</v>
      </c>
      <c r="O162" s="374">
        <f t="shared" si="43"/>
        <v>324735.294564148</v>
      </c>
      <c r="P162" s="374">
        <f t="shared" si="44"/>
        <v>324735.294564148</v>
      </c>
      <c r="R162" s="370"/>
      <c r="T162" t="s">
        <v>84</v>
      </c>
      <c r="U162" t="str">
        <f t="shared" si="45"/>
        <v>\I:Trd_bus__14</v>
      </c>
      <c r="V162" t="str">
        <f ca="1" t="shared" si="46"/>
        <v>Hybrid diesel coach -- 14%</v>
      </c>
      <c r="W162" s="372" t="s">
        <v>85</v>
      </c>
      <c r="X162" s="372" t="s">
        <v>86</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74">
        <f t="shared" si="41"/>
        <v>330223.215291406</v>
      </c>
      <c r="N163" s="374">
        <f t="shared" si="42"/>
        <v>327011.897858143</v>
      </c>
      <c r="O163" s="374">
        <f t="shared" si="43"/>
        <v>327011.897858143</v>
      </c>
      <c r="P163" s="374">
        <f t="shared" si="44"/>
        <v>327011.897858143</v>
      </c>
      <c r="R163" s="370"/>
      <c r="T163" t="s">
        <v>84</v>
      </c>
      <c r="U163" t="str">
        <f t="shared" si="45"/>
        <v>\I:Trd_bus__19</v>
      </c>
      <c r="V163" t="str">
        <f ca="1" t="shared" si="46"/>
        <v>Hybrid diesel coach -- 19%</v>
      </c>
      <c r="W163" s="372" t="s">
        <v>85</v>
      </c>
      <c r="X163" s="372" t="s">
        <v>86</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74">
        <f t="shared" si="41"/>
        <v>336044.223477435</v>
      </c>
      <c r="N164" s="374">
        <f t="shared" si="42"/>
        <v>330434.720193354</v>
      </c>
      <c r="O164" s="374">
        <f t="shared" si="43"/>
        <v>330434.720193354</v>
      </c>
      <c r="P164" s="374">
        <f t="shared" si="44"/>
        <v>330434.720193354</v>
      </c>
      <c r="R164" s="370"/>
      <c r="T164" t="s">
        <v>84</v>
      </c>
      <c r="U164" t="str">
        <f t="shared" si="45"/>
        <v>\I:Trd_bus__24</v>
      </c>
      <c r="V164" t="str">
        <f ca="1" t="shared" si="46"/>
        <v>Hybrid diesel coach -- 24%</v>
      </c>
      <c r="W164" s="372" t="s">
        <v>85</v>
      </c>
      <c r="X164" s="372" t="s">
        <v>86</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74">
        <f t="shared" si="41"/>
        <v>361776.063243984</v>
      </c>
      <c r="N165" s="374">
        <f t="shared" si="42"/>
        <v>335707.326466266</v>
      </c>
      <c r="O165" s="374">
        <f t="shared" si="43"/>
        <v>335580.857321997</v>
      </c>
      <c r="P165" s="374">
        <f t="shared" si="44"/>
        <v>335580.857321997</v>
      </c>
      <c r="R165" s="370"/>
      <c r="T165" t="s">
        <v>84</v>
      </c>
      <c r="U165" t="str">
        <f t="shared" si="45"/>
        <v>\I:Trd_bus__26</v>
      </c>
      <c r="V165" t="str">
        <f ca="1" t="shared" si="46"/>
        <v>Hybrid diesel coach -- 26%</v>
      </c>
      <c r="W165" s="372" t="s">
        <v>85</v>
      </c>
      <c r="X165" s="372" t="s">
        <v>86</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74">
        <f t="shared" si="41"/>
        <v>446864.791159275</v>
      </c>
      <c r="N166" s="374">
        <f t="shared" si="42"/>
        <v>351817.60135664</v>
      </c>
      <c r="O166" s="374">
        <f t="shared" si="43"/>
        <v>343317.959851208</v>
      </c>
      <c r="P166" s="374">
        <f t="shared" si="44"/>
        <v>343317.959851208</v>
      </c>
      <c r="R166" s="370"/>
      <c r="T166" t="s">
        <v>84</v>
      </c>
      <c r="U166" t="str">
        <f t="shared" si="45"/>
        <v>\I:Trd_bus__29</v>
      </c>
      <c r="V166" t="str">
        <f ca="1" t="shared" si="46"/>
        <v>Hybrid diesel coach -- 29%</v>
      </c>
      <c r="W166" s="372" t="s">
        <v>85</v>
      </c>
      <c r="X166" s="372" t="s">
        <v>86</v>
      </c>
    </row>
    <row r="167" spans="2:24">
      <c r="J167" t="str">
        <f t="shared" si="38"/>
        <v>\I:Trd_bus_</v>
      </c>
      <c r="K167" t="str">
        <f t="shared" si="40"/>
        <v>\I:</v>
      </c>
      <c r="L167" t="str">
        <f t="shared" si="39"/>
        <v>\I:</v>
      </c>
      <c r="M167" s="374" t="str">
        <f t="shared" si="41"/>
        <v/>
      </c>
      <c r="N167" s="374" t="str">
        <f t="shared" si="42"/>
        <v/>
      </c>
      <c r="O167" s="374" t="str">
        <f t="shared" si="43"/>
        <v/>
      </c>
      <c r="P167" s="374" t="str">
        <f t="shared" si="44"/>
        <v/>
      </c>
      <c r="R167" s="370"/>
      <c r="T167" t="s">
        <v>84</v>
      </c>
      <c r="U167" t="str">
        <f t="shared" si="45"/>
        <v>\I:</v>
      </c>
      <c r="V167" t="str">
        <f ca="1" t="shared" si="46"/>
        <v>Hybrid diesel coach -- 00%</v>
      </c>
      <c r="W167" s="372" t="s">
        <v>85</v>
      </c>
      <c r="X167" s="372" t="s">
        <v>86</v>
      </c>
    </row>
    <row r="168" spans="2:24">
      <c r="J168" t="str">
        <f t="shared" si="38"/>
        <v>\I:Trd_bus_</v>
      </c>
      <c r="K168" t="str">
        <f t="shared" si="40"/>
        <v>\I:</v>
      </c>
      <c r="L168" t="str">
        <f t="shared" si="39"/>
        <v>\I:</v>
      </c>
      <c r="M168" s="374" t="str">
        <f t="shared" si="41"/>
        <v/>
      </c>
      <c r="N168" s="374" t="str">
        <f t="shared" si="42"/>
        <v/>
      </c>
      <c r="O168" s="374" t="str">
        <f t="shared" si="43"/>
        <v/>
      </c>
      <c r="P168" s="374" t="str">
        <f t="shared" si="44"/>
        <v/>
      </c>
      <c r="R168" s="370"/>
      <c r="T168" t="s">
        <v>84</v>
      </c>
      <c r="U168" t="str">
        <f t="shared" si="45"/>
        <v>\I:</v>
      </c>
      <c r="V168" t="str">
        <f ca="1" t="shared" si="46"/>
        <v>Hybrid diesel coach -- 00%</v>
      </c>
      <c r="W168" s="372" t="s">
        <v>85</v>
      </c>
      <c r="X168" s="372" t="s">
        <v>86</v>
      </c>
    </row>
    <row r="169" spans="2:24">
      <c r="J169" t="str">
        <f t="shared" si="38"/>
        <v>\I:Trd_bus_</v>
      </c>
      <c r="K169" t="str">
        <f t="shared" si="40"/>
        <v>\I:</v>
      </c>
      <c r="L169" t="str">
        <f t="shared" si="39"/>
        <v>\I:</v>
      </c>
      <c r="M169" s="374" t="str">
        <f t="shared" si="41"/>
        <v/>
      </c>
      <c r="N169" s="374" t="str">
        <f t="shared" si="42"/>
        <v/>
      </c>
      <c r="O169" s="374" t="str">
        <f t="shared" si="43"/>
        <v/>
      </c>
      <c r="P169" s="374" t="str">
        <f t="shared" si="44"/>
        <v/>
      </c>
      <c r="R169" s="370"/>
      <c r="T169" t="s">
        <v>84</v>
      </c>
      <c r="U169" t="str">
        <f t="shared" si="45"/>
        <v>\I:</v>
      </c>
      <c r="V169" t="str">
        <f ca="1" t="shared" si="46"/>
        <v>Hybrid diesel coach -- 00%</v>
      </c>
      <c r="W169" s="372" t="s">
        <v>85</v>
      </c>
      <c r="X169" s="372" t="s">
        <v>86</v>
      </c>
    </row>
    <row r="170" spans="2:24">
      <c r="J170" t="str">
        <f t="shared" si="38"/>
        <v>\I:Trd_bus_</v>
      </c>
      <c r="K170" t="str">
        <f t="shared" si="40"/>
        <v>\I:</v>
      </c>
      <c r="L170" t="str">
        <f t="shared" si="39"/>
        <v>\I:</v>
      </c>
      <c r="M170" s="374" t="str">
        <f t="shared" si="41"/>
        <v/>
      </c>
      <c r="N170" s="374" t="str">
        <f t="shared" si="42"/>
        <v/>
      </c>
      <c r="O170" s="374" t="str">
        <f t="shared" si="43"/>
        <v/>
      </c>
      <c r="P170" s="374" t="str">
        <f t="shared" si="44"/>
        <v/>
      </c>
      <c r="R170" s="370"/>
      <c r="T170" t="s">
        <v>84</v>
      </c>
      <c r="U170" t="str">
        <f t="shared" si="45"/>
        <v>\I:</v>
      </c>
      <c r="V170" t="str">
        <f ca="1" t="shared" si="46"/>
        <v>Hybrid diesel coach -- 00%</v>
      </c>
      <c r="W170" s="372" t="s">
        <v>85</v>
      </c>
      <c r="X170" s="372" t="s">
        <v>86</v>
      </c>
    </row>
    <row r="171" spans="2:24">
      <c r="B171" s="44" t="s">
        <v>168</v>
      </c>
      <c r="J171" t="str">
        <f t="shared" si="38"/>
        <v>\I:Trd_bus_</v>
      </c>
      <c r="K171" t="str">
        <f t="shared" si="40"/>
        <v>\I:</v>
      </c>
      <c r="L171" t="str">
        <f t="shared" si="39"/>
        <v>\I:</v>
      </c>
      <c r="M171" s="374" t="str">
        <f t="shared" si="41"/>
        <v/>
      </c>
      <c r="N171" s="374" t="str">
        <f t="shared" si="42"/>
        <v/>
      </c>
      <c r="O171" s="374" t="str">
        <f t="shared" si="43"/>
        <v/>
      </c>
      <c r="P171" s="374" t="str">
        <f t="shared" si="44"/>
        <v/>
      </c>
      <c r="R171" s="370"/>
      <c r="T171" t="s">
        <v>84</v>
      </c>
      <c r="U171" t="str">
        <f t="shared" si="45"/>
        <v>\I:</v>
      </c>
      <c r="V171" t="str">
        <f ca="1" t="shared" si="46"/>
        <v>Hybrid diesel coach -- Reference values for LPG coach</v>
      </c>
      <c r="W171" s="372" t="s">
        <v>85</v>
      </c>
      <c r="X171" s="372" t="s">
        <v>86</v>
      </c>
    </row>
    <row r="172" spans="2:24">
      <c r="B172" s="365">
        <v>2015</v>
      </c>
      <c r="C172" s="365"/>
      <c r="D172" s="365"/>
      <c r="J172" t="str">
        <f t="shared" si="38"/>
        <v>\I:Trd_bus_</v>
      </c>
      <c r="K172" t="str">
        <f t="shared" si="40"/>
        <v>\I:</v>
      </c>
      <c r="L172" t="str">
        <f t="shared" si="39"/>
        <v>\I:</v>
      </c>
      <c r="M172" s="374" t="str">
        <f t="shared" si="41"/>
        <v/>
      </c>
      <c r="N172" s="374" t="str">
        <f t="shared" si="42"/>
        <v/>
      </c>
      <c r="O172" s="374" t="str">
        <f t="shared" si="43"/>
        <v/>
      </c>
      <c r="P172" s="374" t="str">
        <f t="shared" si="44"/>
        <v/>
      </c>
      <c r="R172" s="370"/>
      <c r="T172" t="s">
        <v>84</v>
      </c>
      <c r="U172" t="str">
        <f t="shared" si="45"/>
        <v>\I:</v>
      </c>
      <c r="V172" t="str">
        <f ca="1" t="shared" si="46"/>
        <v>Hybrid diesel coach -- 201500%</v>
      </c>
      <c r="W172" s="372" t="s">
        <v>85</v>
      </c>
      <c r="X172" s="372" t="s">
        <v>86</v>
      </c>
    </row>
    <row r="173" spans="2:24">
      <c r="B173" s="46" t="s">
        <v>12</v>
      </c>
      <c r="C173" s="47" t="s">
        <v>13</v>
      </c>
      <c r="D173" s="48">
        <v>32.1825557678347</v>
      </c>
      <c r="J173" t="str">
        <f t="shared" si="38"/>
        <v>\I:Trd_bus_</v>
      </c>
      <c r="K173" t="str">
        <f t="shared" si="40"/>
        <v>\I:</v>
      </c>
      <c r="L173" t="str">
        <f t="shared" si="39"/>
        <v>\I:</v>
      </c>
      <c r="M173" s="374" t="str">
        <f t="shared" si="41"/>
        <v/>
      </c>
      <c r="N173" s="374" t="str">
        <f t="shared" si="42"/>
        <v/>
      </c>
      <c r="O173" s="374" t="str">
        <f t="shared" si="43"/>
        <v/>
      </c>
      <c r="P173" s="374" t="str">
        <f t="shared" si="44"/>
        <v/>
      </c>
      <c r="R173" s="370"/>
      <c r="T173" t="s">
        <v>84</v>
      </c>
      <c r="U173" t="str">
        <f t="shared" si="45"/>
        <v>\I:</v>
      </c>
      <c r="V173" t="str">
        <f ca="1" t="shared" si="46"/>
        <v>Hybrid diesel coach -- Energy consumption</v>
      </c>
      <c r="W173" s="372" t="s">
        <v>85</v>
      </c>
      <c r="X173" s="372" t="s">
        <v>86</v>
      </c>
    </row>
    <row r="174" spans="2:24">
      <c r="B174" s="46" t="s">
        <v>14</v>
      </c>
      <c r="C174" s="47" t="s">
        <v>15</v>
      </c>
      <c r="D174" s="68">
        <v>314033.258144713</v>
      </c>
      <c r="J174" t="str">
        <f t="shared" si="38"/>
        <v>\I:Trd_bus_</v>
      </c>
      <c r="K174" t="str">
        <f t="shared" si="40"/>
        <v>\I:</v>
      </c>
      <c r="L174" t="str">
        <f t="shared" si="39"/>
        <v>\I:</v>
      </c>
      <c r="M174" s="374" t="str">
        <f t="shared" si="41"/>
        <v/>
      </c>
      <c r="N174" s="374" t="str">
        <f t="shared" si="42"/>
        <v/>
      </c>
      <c r="O174" s="374" t="str">
        <f t="shared" si="43"/>
        <v/>
      </c>
      <c r="P174" s="374" t="str">
        <f t="shared" si="44"/>
        <v/>
      </c>
      <c r="R174" s="370"/>
      <c r="T174" t="s">
        <v>84</v>
      </c>
      <c r="U174" t="str">
        <f t="shared" si="45"/>
        <v>\I:</v>
      </c>
      <c r="V174" t="str">
        <f ca="1" t="shared" si="46"/>
        <v>Hybrid diesel coach -- Capital cost</v>
      </c>
      <c r="W174" s="372" t="s">
        <v>85</v>
      </c>
      <c r="X174" s="372" t="s">
        <v>86</v>
      </c>
    </row>
    <row r="175" spans="2:24">
      <c r="J175" t="str">
        <f t="shared" si="38"/>
        <v>\I:Trd_bus_</v>
      </c>
      <c r="K175" t="str">
        <f t="shared" si="40"/>
        <v>\I:</v>
      </c>
      <c r="L175" t="str">
        <f t="shared" si="39"/>
        <v>\I:</v>
      </c>
      <c r="M175" s="374" t="str">
        <f t="shared" si="41"/>
        <v/>
      </c>
      <c r="N175" s="374" t="str">
        <f t="shared" si="42"/>
        <v/>
      </c>
      <c r="O175" s="374" t="str">
        <f t="shared" si="43"/>
        <v/>
      </c>
      <c r="P175" s="374" t="str">
        <f t="shared" si="44"/>
        <v/>
      </c>
      <c r="R175" s="370"/>
      <c r="T175" t="s">
        <v>84</v>
      </c>
      <c r="U175" t="str">
        <f t="shared" si="45"/>
        <v>\I:</v>
      </c>
      <c r="V175" t="str">
        <f ca="1" t="shared" si="46"/>
        <v>Hybrid diesel coach -- 00%</v>
      </c>
      <c r="W175" s="372" t="s">
        <v>85</v>
      </c>
      <c r="X175" s="372" t="s">
        <v>86</v>
      </c>
    </row>
    <row r="176" ht="15" customHeight="1" spans="2:24">
      <c r="B176" s="371" t="s">
        <v>92</v>
      </c>
      <c r="C176" s="371" t="s">
        <v>169</v>
      </c>
      <c r="D176" s="371"/>
      <c r="E176" s="371"/>
      <c r="F176" s="371"/>
      <c r="J176" t="str">
        <f t="shared" si="38"/>
        <v>\I:Trd_bus_</v>
      </c>
      <c r="K176" t="str">
        <f t="shared" si="40"/>
        <v>\I:</v>
      </c>
      <c r="L176" t="str">
        <f t="shared" si="39"/>
        <v>\I:</v>
      </c>
      <c r="M176" s="374" t="str">
        <f t="shared" si="41"/>
        <v/>
      </c>
      <c r="N176" s="374" t="str">
        <f t="shared" si="42"/>
        <v/>
      </c>
      <c r="O176" s="374" t="str">
        <f t="shared" si="43"/>
        <v/>
      </c>
      <c r="P176" s="374" t="str">
        <f t="shared" si="44"/>
        <v/>
      </c>
      <c r="R176" s="370"/>
      <c r="T176" t="s">
        <v>84</v>
      </c>
      <c r="U176" t="str">
        <f t="shared" si="45"/>
        <v>\I:</v>
      </c>
      <c r="V176" t="str">
        <f ca="1" t="shared" si="46"/>
        <v>Hybrid diesel coach -- Reduction of specific energy consumption relative to 2015 LPG vehicle (%)</v>
      </c>
      <c r="W176" s="372" t="s">
        <v>85</v>
      </c>
      <c r="X176" s="372" t="s">
        <v>86</v>
      </c>
    </row>
    <row r="177" spans="2:24">
      <c r="B177" s="371"/>
      <c r="C177" s="371"/>
      <c r="D177" s="371"/>
      <c r="E177" s="371"/>
      <c r="F177" s="371"/>
      <c r="J177" t="str">
        <f t="shared" si="38"/>
        <v>\I:Trd_bus_</v>
      </c>
      <c r="K177" t="str">
        <f t="shared" si="40"/>
        <v>\I:</v>
      </c>
      <c r="L177" t="str">
        <f t="shared" si="39"/>
        <v>\I:</v>
      </c>
      <c r="M177" s="374" t="str">
        <f t="shared" si="41"/>
        <v/>
      </c>
      <c r="N177" s="374" t="str">
        <f t="shared" si="42"/>
        <v/>
      </c>
      <c r="O177" s="374" t="str">
        <f t="shared" si="43"/>
        <v/>
      </c>
      <c r="P177" s="374" t="str">
        <f t="shared" si="44"/>
        <v/>
      </c>
      <c r="R177" s="370"/>
      <c r="T177" t="s">
        <v>84</v>
      </c>
      <c r="U177" t="str">
        <f t="shared" si="45"/>
        <v>\I:</v>
      </c>
      <c r="V177" t="str">
        <f ca="1" t="shared" si="46"/>
        <v>Hybrid diesel coach -- 00%</v>
      </c>
      <c r="W177" s="372" t="s">
        <v>85</v>
      </c>
      <c r="X177" s="372" t="s">
        <v>86</v>
      </c>
    </row>
    <row r="178" spans="2:24">
      <c r="B178" s="371"/>
      <c r="C178" s="371"/>
      <c r="D178" s="371"/>
      <c r="E178" s="371"/>
      <c r="F178" s="371"/>
      <c r="J178" t="str">
        <f t="shared" si="38"/>
        <v>\I:Trd_bus_</v>
      </c>
      <c r="K178" t="str">
        <f t="shared" si="40"/>
        <v>\I:</v>
      </c>
      <c r="L178" t="str">
        <f t="shared" si="39"/>
        <v>\I:</v>
      </c>
      <c r="M178" s="374" t="str">
        <f t="shared" si="41"/>
        <v/>
      </c>
      <c r="N178" s="374" t="str">
        <f t="shared" si="42"/>
        <v/>
      </c>
      <c r="O178" s="374" t="str">
        <f t="shared" si="43"/>
        <v/>
      </c>
      <c r="P178" s="374" t="str">
        <f t="shared" si="44"/>
        <v/>
      </c>
      <c r="R178" s="370"/>
      <c r="T178" t="s">
        <v>84</v>
      </c>
      <c r="U178" t="str">
        <f t="shared" si="45"/>
        <v>\I:</v>
      </c>
      <c r="V178" t="str">
        <f ca="1" t="shared" si="46"/>
        <v>Hybrid diesel coach -- 00%</v>
      </c>
      <c r="W178" s="372" t="s">
        <v>85</v>
      </c>
      <c r="X178" s="372" t="s">
        <v>86</v>
      </c>
    </row>
    <row r="179" spans="2:24">
      <c r="B179" s="50"/>
      <c r="C179" s="51">
        <v>2020</v>
      </c>
      <c r="D179" s="51">
        <v>2030</v>
      </c>
      <c r="E179" s="51">
        <v>2040</v>
      </c>
      <c r="F179" s="51">
        <v>2050</v>
      </c>
      <c r="J179" t="str">
        <f t="shared" si="38"/>
        <v>\I:Trd_bus_</v>
      </c>
      <c r="K179" t="str">
        <f t="shared" si="40"/>
        <v>\I:</v>
      </c>
      <c r="L179" t="str">
        <f t="shared" si="39"/>
        <v>\I:</v>
      </c>
      <c r="M179" s="374" t="str">
        <f t="shared" si="41"/>
        <v/>
      </c>
      <c r="N179" s="374" t="str">
        <f t="shared" si="42"/>
        <v/>
      </c>
      <c r="O179" s="374" t="str">
        <f t="shared" si="43"/>
        <v/>
      </c>
      <c r="P179" s="374" t="str">
        <f t="shared" si="44"/>
        <v/>
      </c>
      <c r="R179" s="370"/>
      <c r="T179" t="s">
        <v>84</v>
      </c>
      <c r="U179" t="str">
        <f t="shared" si="45"/>
        <v>\I:</v>
      </c>
      <c r="V179" t="str">
        <f ca="1" t="shared" si="46"/>
        <v>Hybrid diesel coach -- 00%</v>
      </c>
      <c r="W179" s="372" t="s">
        <v>85</v>
      </c>
      <c r="X179" s="372" t="s">
        <v>86</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74">
        <f t="shared" si="41"/>
        <v>314853.623173696</v>
      </c>
      <c r="N180" s="374">
        <f t="shared" si="42"/>
        <v>314853.623173696</v>
      </c>
      <c r="O180" s="374">
        <f t="shared" si="43"/>
        <v>314853.623173696</v>
      </c>
      <c r="P180" s="374">
        <f t="shared" si="44"/>
        <v>314853.623173696</v>
      </c>
      <c r="R180" s="370"/>
      <c r="T180" t="s">
        <v>84</v>
      </c>
      <c r="U180" t="str">
        <f t="shared" si="45"/>
        <v>\I:Trd_bus__04</v>
      </c>
      <c r="V180" t="str">
        <f ca="1" t="shared" si="46"/>
        <v>Hybrid diesel coach -- 04%</v>
      </c>
      <c r="W180" s="372" t="s">
        <v>85</v>
      </c>
      <c r="X180" s="372" t="s">
        <v>86</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74">
        <f t="shared" si="41"/>
        <v>316357.912857641</v>
      </c>
      <c r="N181" s="374">
        <f t="shared" si="42"/>
        <v>315860.771337195</v>
      </c>
      <c r="O181" s="374">
        <f t="shared" si="43"/>
        <v>315860.771337195</v>
      </c>
      <c r="P181" s="374">
        <f t="shared" si="44"/>
        <v>315860.771337195</v>
      </c>
      <c r="R181" s="370"/>
      <c r="T181" t="s">
        <v>84</v>
      </c>
      <c r="U181" t="str">
        <f t="shared" si="45"/>
        <v>\I:Trd_bus__09</v>
      </c>
      <c r="V181" t="str">
        <f ca="1" t="shared" si="46"/>
        <v>Hybrid diesel coach -- 09%</v>
      </c>
      <c r="W181" s="372" t="s">
        <v>85</v>
      </c>
      <c r="X181" s="372" t="s">
        <v>86</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74">
        <f t="shared" si="41"/>
        <v>317785.200592476</v>
      </c>
      <c r="N182" s="374">
        <f t="shared" si="42"/>
        <v>317374.996164148</v>
      </c>
      <c r="O182" s="374">
        <f t="shared" si="43"/>
        <v>317374.996164148</v>
      </c>
      <c r="P182" s="374">
        <f t="shared" si="44"/>
        <v>317374.996164148</v>
      </c>
      <c r="R182" s="370"/>
      <c r="T182" t="s">
        <v>84</v>
      </c>
      <c r="U182" t="str">
        <f t="shared" si="45"/>
        <v>\I:Trd_bus__14</v>
      </c>
      <c r="V182" t="str">
        <f ca="1" t="shared" si="46"/>
        <v>Hybrid diesel coach -- 14%</v>
      </c>
      <c r="W182" s="372" t="s">
        <v>85</v>
      </c>
      <c r="X182" s="372" t="s">
        <v>86</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74">
        <f t="shared" si="41"/>
        <v>322862.916891406</v>
      </c>
      <c r="N183" s="374">
        <f t="shared" si="42"/>
        <v>319651.599458143</v>
      </c>
      <c r="O183" s="374">
        <f t="shared" si="43"/>
        <v>319651.599458143</v>
      </c>
      <c r="P183" s="374">
        <f t="shared" si="44"/>
        <v>319651.599458143</v>
      </c>
      <c r="R183" s="370"/>
      <c r="T183" t="s">
        <v>84</v>
      </c>
      <c r="U183" t="str">
        <f t="shared" si="45"/>
        <v>\I:Trd_bus__19</v>
      </c>
      <c r="V183" t="str">
        <f ca="1" t="shared" si="46"/>
        <v>Hybrid diesel coach -- 19%</v>
      </c>
      <c r="W183" s="372" t="s">
        <v>85</v>
      </c>
      <c r="X183" s="372" t="s">
        <v>86</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74">
        <f t="shared" si="41"/>
        <v>328683.925077435</v>
      </c>
      <c r="N184" s="374">
        <f t="shared" si="42"/>
        <v>323074.421793354</v>
      </c>
      <c r="O184" s="374">
        <f t="shared" si="43"/>
        <v>323074.421793354</v>
      </c>
      <c r="P184" s="374">
        <f t="shared" si="44"/>
        <v>323074.421793354</v>
      </c>
      <c r="R184" s="370"/>
      <c r="T184" t="s">
        <v>84</v>
      </c>
      <c r="U184" t="str">
        <f t="shared" si="45"/>
        <v>\I:Trd_bus__24</v>
      </c>
      <c r="V184" t="str">
        <f ca="1" t="shared" si="46"/>
        <v>Hybrid diesel coach -- 24%</v>
      </c>
      <c r="W184" s="372" t="s">
        <v>85</v>
      </c>
      <c r="X184" s="372" t="s">
        <v>86</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74">
        <f t="shared" si="41"/>
        <v>354415.764843984</v>
      </c>
      <c r="N185" s="374">
        <f t="shared" si="42"/>
        <v>328347.028066266</v>
      </c>
      <c r="O185" s="374">
        <f t="shared" si="43"/>
        <v>328220.558921997</v>
      </c>
      <c r="P185" s="374">
        <f t="shared" si="44"/>
        <v>328220.558921997</v>
      </c>
      <c r="R185" s="370"/>
      <c r="T185" t="s">
        <v>84</v>
      </c>
      <c r="U185" t="str">
        <f t="shared" si="45"/>
        <v>\I:Trd_bus__26</v>
      </c>
      <c r="V185" t="str">
        <f ca="1" t="shared" si="46"/>
        <v>Hybrid diesel coach -- 26%</v>
      </c>
      <c r="W185" s="372" t="s">
        <v>85</v>
      </c>
      <c r="X185" s="372" t="s">
        <v>86</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74">
        <f t="shared" si="41"/>
        <v>439504.492759275</v>
      </c>
      <c r="N186" s="374">
        <f t="shared" si="42"/>
        <v>344457.30295664</v>
      </c>
      <c r="O186" s="374">
        <f t="shared" si="43"/>
        <v>335957.661451208</v>
      </c>
      <c r="P186" s="374">
        <f t="shared" si="44"/>
        <v>335957.661451208</v>
      </c>
      <c r="R186" s="370"/>
      <c r="T186" t="s">
        <v>84</v>
      </c>
      <c r="U186" t="str">
        <f t="shared" si="45"/>
        <v>\I:Trd_bus__29</v>
      </c>
      <c r="V186" t="str">
        <f ca="1" t="shared" si="46"/>
        <v>Hybrid diesel coach -- 29%</v>
      </c>
      <c r="W186" s="372" t="s">
        <v>85</v>
      </c>
      <c r="X186" s="372" t="s">
        <v>86</v>
      </c>
    </row>
    <row r="187" spans="2:24">
      <c r="J187" t="str">
        <f t="shared" si="38"/>
        <v>\I:Trd_bus_</v>
      </c>
      <c r="K187" t="str">
        <f t="shared" si="40"/>
        <v>\I:</v>
      </c>
      <c r="L187" t="str">
        <f t="shared" si="39"/>
        <v>\I:</v>
      </c>
      <c r="M187" s="374" t="str">
        <f t="shared" si="41"/>
        <v/>
      </c>
      <c r="N187" s="374" t="str">
        <f t="shared" si="42"/>
        <v/>
      </c>
      <c r="O187" s="374" t="str">
        <f t="shared" si="43"/>
        <v/>
      </c>
      <c r="P187" s="374" t="str">
        <f t="shared" si="44"/>
        <v/>
      </c>
      <c r="R187" s="370"/>
      <c r="T187" t="s">
        <v>84</v>
      </c>
      <c r="U187" t="str">
        <f t="shared" si="45"/>
        <v>\I:</v>
      </c>
      <c r="V187" t="str">
        <f ca="1" t="shared" si="46"/>
        <v>Hybrid diesel coach -- 00%</v>
      </c>
      <c r="W187" s="372" t="s">
        <v>85</v>
      </c>
      <c r="X187" s="372" t="s">
        <v>86</v>
      </c>
    </row>
    <row r="188" spans="2:24">
      <c r="J188" t="str">
        <f t="shared" si="38"/>
        <v>\I:Trd_bus_</v>
      </c>
      <c r="K188" t="str">
        <f t="shared" si="40"/>
        <v>\I:</v>
      </c>
      <c r="L188" t="str">
        <f t="shared" si="39"/>
        <v>\I:</v>
      </c>
      <c r="M188" s="374" t="str">
        <f t="shared" si="41"/>
        <v/>
      </c>
      <c r="N188" s="374" t="str">
        <f t="shared" si="42"/>
        <v/>
      </c>
      <c r="O188" s="374" t="str">
        <f t="shared" si="43"/>
        <v/>
      </c>
      <c r="P188" s="374" t="str">
        <f t="shared" si="44"/>
        <v/>
      </c>
      <c r="R188" s="370"/>
      <c r="T188" t="s">
        <v>84</v>
      </c>
      <c r="U188" t="str">
        <f t="shared" si="45"/>
        <v>\I:</v>
      </c>
      <c r="V188" t="str">
        <f ca="1" t="shared" si="46"/>
        <v>Hybrid diesel coach -- 00%</v>
      </c>
      <c r="W188" s="372" t="s">
        <v>85</v>
      </c>
      <c r="X188" s="372" t="s">
        <v>86</v>
      </c>
    </row>
    <row r="189" spans="2:24">
      <c r="J189" t="str">
        <f t="shared" si="38"/>
        <v>\I:Trd_bus_</v>
      </c>
      <c r="K189" t="str">
        <f t="shared" si="40"/>
        <v>\I:</v>
      </c>
      <c r="L189" t="str">
        <f t="shared" si="39"/>
        <v>\I:</v>
      </c>
      <c r="M189" s="374" t="str">
        <f t="shared" si="41"/>
        <v/>
      </c>
      <c r="N189" s="374" t="str">
        <f t="shared" si="42"/>
        <v/>
      </c>
      <c r="O189" s="374" t="str">
        <f t="shared" si="43"/>
        <v/>
      </c>
      <c r="P189" s="374" t="str">
        <f t="shared" si="44"/>
        <v/>
      </c>
      <c r="R189" s="370"/>
      <c r="T189" t="s">
        <v>84</v>
      </c>
      <c r="U189" t="str">
        <f t="shared" si="45"/>
        <v>\I:</v>
      </c>
      <c r="V189" t="str">
        <f ca="1" t="shared" si="46"/>
        <v>Hybrid diesel coach -- 00%</v>
      </c>
      <c r="W189" s="372" t="s">
        <v>85</v>
      </c>
      <c r="X189" s="372" t="s">
        <v>86</v>
      </c>
    </row>
    <row r="190" spans="2:24">
      <c r="B190" s="365">
        <v>2020</v>
      </c>
      <c r="C190" s="365"/>
      <c r="D190" s="365"/>
      <c r="J190" t="str">
        <f t="shared" si="38"/>
        <v>\I:Trd_bus_</v>
      </c>
      <c r="K190" t="str">
        <f t="shared" si="40"/>
        <v>\I:</v>
      </c>
      <c r="L190" t="str">
        <f t="shared" si="39"/>
        <v>\I:</v>
      </c>
      <c r="M190" s="374" t="str">
        <f t="shared" si="41"/>
        <v/>
      </c>
      <c r="N190" s="374" t="str">
        <f t="shared" si="42"/>
        <v/>
      </c>
      <c r="O190" s="374" t="str">
        <f t="shared" si="43"/>
        <v/>
      </c>
      <c r="P190" s="374" t="str">
        <f t="shared" si="44"/>
        <v/>
      </c>
      <c r="R190" s="370"/>
      <c r="T190" t="s">
        <v>84</v>
      </c>
      <c r="U190" t="str">
        <f t="shared" si="45"/>
        <v>\I:</v>
      </c>
      <c r="V190" t="str">
        <f ca="1" t="shared" si="46"/>
        <v>Hybrid diesel coach -- 202000%</v>
      </c>
      <c r="W190" s="372" t="s">
        <v>85</v>
      </c>
      <c r="X190" s="372" t="s">
        <v>86</v>
      </c>
    </row>
    <row r="191" spans="2:24">
      <c r="B191" s="46" t="s">
        <v>170</v>
      </c>
      <c r="C191" s="47" t="s">
        <v>26</v>
      </c>
      <c r="D191" s="74">
        <v>1.15</v>
      </c>
      <c r="J191" t="str">
        <f t="shared" si="38"/>
        <v>\I:Trd_bus_</v>
      </c>
      <c r="K191" t="str">
        <f t="shared" si="40"/>
        <v>\I:</v>
      </c>
      <c r="L191" t="str">
        <f t="shared" si="39"/>
        <v>\I:</v>
      </c>
      <c r="M191" s="374" t="str">
        <f t="shared" si="41"/>
        <v/>
      </c>
      <c r="N191" s="374" t="str">
        <f t="shared" si="42"/>
        <v/>
      </c>
      <c r="O191" s="374" t="str">
        <f t="shared" si="43"/>
        <v/>
      </c>
      <c r="P191" s="374" t="str">
        <f t="shared" si="44"/>
        <v/>
      </c>
      <c r="R191" s="370"/>
      <c r="T191" t="s">
        <v>84</v>
      </c>
      <c r="U191" t="str">
        <f t="shared" si="45"/>
        <v>\I:</v>
      </c>
      <c r="V191" t="str">
        <f ca="1" t="shared" si="46"/>
        <v>Hybrid diesel coach -- Energy consumption of Battery electric coach</v>
      </c>
      <c r="W191" s="372" t="s">
        <v>85</v>
      </c>
      <c r="X191" s="372" t="s">
        <v>86</v>
      </c>
    </row>
    <row r="192" spans="2:24">
      <c r="J192" t="str">
        <f t="shared" si="38"/>
        <v>\I:Trd_bus_</v>
      </c>
      <c r="K192" t="str">
        <f t="shared" si="40"/>
        <v>\I:</v>
      </c>
      <c r="L192" t="str">
        <f t="shared" si="39"/>
        <v>\I:</v>
      </c>
      <c r="M192" s="374" t="str">
        <f t="shared" si="41"/>
        <v/>
      </c>
      <c r="N192" s="374" t="str">
        <f t="shared" si="42"/>
        <v/>
      </c>
      <c r="O192" s="374" t="str">
        <f t="shared" si="43"/>
        <v/>
      </c>
      <c r="P192" s="374" t="str">
        <f t="shared" si="44"/>
        <v/>
      </c>
      <c r="R192" s="370"/>
      <c r="T192" t="s">
        <v>84</v>
      </c>
      <c r="U192" t="str">
        <f t="shared" si="45"/>
        <v>\I:</v>
      </c>
      <c r="V192" t="str">
        <f ca="1" t="shared" si="46"/>
        <v>Hybrid diesel coach -- 00%</v>
      </c>
      <c r="W192" s="372" t="s">
        <v>85</v>
      </c>
      <c r="X192" s="372" t="s">
        <v>86</v>
      </c>
    </row>
    <row r="193" ht="15" customHeight="1" spans="2:24">
      <c r="B193" s="371" t="s">
        <v>27</v>
      </c>
      <c r="C193" s="371" t="s">
        <v>158</v>
      </c>
      <c r="D193" s="371"/>
      <c r="E193" s="371"/>
      <c r="F193" s="371"/>
      <c r="J193" t="str">
        <f t="shared" si="38"/>
        <v>\I:Trd_bus_</v>
      </c>
      <c r="K193" t="str">
        <f t="shared" si="40"/>
        <v>\I:</v>
      </c>
      <c r="L193" t="str">
        <f t="shared" si="39"/>
        <v>\I:</v>
      </c>
      <c r="M193" s="374" t="str">
        <f t="shared" si="41"/>
        <v/>
      </c>
      <c r="N193" s="374" t="str">
        <f t="shared" si="42"/>
        <v/>
      </c>
      <c r="O193" s="374" t="str">
        <f t="shared" si="43"/>
        <v/>
      </c>
      <c r="P193" s="374" t="str">
        <f t="shared" si="44"/>
        <v/>
      </c>
      <c r="R193" s="370"/>
      <c r="T193" t="s">
        <v>84</v>
      </c>
      <c r="U193" t="str">
        <f t="shared" si="45"/>
        <v>\I:</v>
      </c>
      <c r="V193" t="str">
        <f ca="1" t="shared" si="46"/>
        <v>Hybrid diesel coach -- Electric range (km)</v>
      </c>
      <c r="W193" s="372" t="s">
        <v>85</v>
      </c>
      <c r="X193" s="372" t="s">
        <v>86</v>
      </c>
    </row>
    <row r="194" spans="2:24">
      <c r="B194" s="371"/>
      <c r="C194" s="371"/>
      <c r="D194" s="371"/>
      <c r="E194" s="371"/>
      <c r="F194" s="371"/>
      <c r="J194" t="str">
        <f t="shared" si="38"/>
        <v>\I:Trd_bus_</v>
      </c>
      <c r="K194" t="str">
        <f t="shared" si="40"/>
        <v>\I:</v>
      </c>
      <c r="L194" t="str">
        <f t="shared" si="39"/>
        <v>\I:</v>
      </c>
      <c r="M194" s="374" t="str">
        <f t="shared" si="41"/>
        <v/>
      </c>
      <c r="N194" s="374" t="str">
        <f t="shared" si="42"/>
        <v/>
      </c>
      <c r="O194" s="374" t="str">
        <f t="shared" si="43"/>
        <v/>
      </c>
      <c r="P194" s="374" t="str">
        <f t="shared" si="44"/>
        <v/>
      </c>
      <c r="R194" s="370"/>
      <c r="T194" t="s">
        <v>84</v>
      </c>
      <c r="U194" t="str">
        <f t="shared" si="45"/>
        <v>\I:</v>
      </c>
      <c r="V194" t="str">
        <f ca="1" t="shared" si="46"/>
        <v>Hybrid diesel coach -- 00%</v>
      </c>
      <c r="W194" s="372" t="s">
        <v>85</v>
      </c>
      <c r="X194" s="372" t="s">
        <v>86</v>
      </c>
    </row>
    <row r="195" spans="2:24">
      <c r="B195" s="371"/>
      <c r="C195" s="371"/>
      <c r="D195" s="371"/>
      <c r="E195" s="371"/>
      <c r="F195" s="371"/>
      <c r="J195" t="str">
        <f t="shared" si="38"/>
        <v>\I:Trd_bus_</v>
      </c>
      <c r="K195" t="str">
        <f t="shared" si="40"/>
        <v>\I:</v>
      </c>
      <c r="L195" t="str">
        <f t="shared" si="39"/>
        <v>\I:</v>
      </c>
      <c r="M195" s="374" t="str">
        <f t="shared" si="41"/>
        <v/>
      </c>
      <c r="N195" s="374" t="str">
        <f t="shared" si="42"/>
        <v/>
      </c>
      <c r="O195" s="374" t="str">
        <f t="shared" si="43"/>
        <v/>
      </c>
      <c r="P195" s="374" t="str">
        <f t="shared" si="44"/>
        <v/>
      </c>
      <c r="R195" s="370"/>
      <c r="T195" t="s">
        <v>84</v>
      </c>
      <c r="U195" t="str">
        <f t="shared" si="45"/>
        <v>\I:</v>
      </c>
      <c r="V195" t="str">
        <f ca="1" t="shared" si="46"/>
        <v>Hybrid diesel coach -- 00%</v>
      </c>
      <c r="W195" s="372" t="s">
        <v>85</v>
      </c>
      <c r="X195" s="372" t="s">
        <v>86</v>
      </c>
    </row>
    <row r="196" spans="2:24">
      <c r="B196" s="50"/>
      <c r="C196" s="51">
        <v>2020</v>
      </c>
      <c r="D196" s="51">
        <v>2030</v>
      </c>
      <c r="E196" s="51">
        <v>2040</v>
      </c>
      <c r="F196" s="51">
        <v>2050</v>
      </c>
      <c r="J196" t="str">
        <f t="shared" si="38"/>
        <v>\I:Trd_bus_</v>
      </c>
      <c r="K196" t="str">
        <f t="shared" si="40"/>
        <v>\I:</v>
      </c>
      <c r="L196" t="str">
        <f t="shared" si="39"/>
        <v>\I:</v>
      </c>
      <c r="M196" s="374" t="str">
        <f t="shared" si="41"/>
        <v/>
      </c>
      <c r="N196" s="374" t="str">
        <f t="shared" si="42"/>
        <v/>
      </c>
      <c r="O196" s="374" t="str">
        <f t="shared" si="43"/>
        <v/>
      </c>
      <c r="P196" s="374" t="str">
        <f t="shared" si="44"/>
        <v/>
      </c>
      <c r="R196" s="370"/>
      <c r="T196" t="s">
        <v>84</v>
      </c>
      <c r="U196" t="str">
        <f t="shared" si="45"/>
        <v>\I:</v>
      </c>
      <c r="V196" t="str">
        <f ca="1" t="shared" si="46"/>
        <v>Hybrid diesel coach -- 00%</v>
      </c>
      <c r="W196" s="372" t="s">
        <v>85</v>
      </c>
      <c r="X196" s="372" t="s">
        <v>86</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74">
        <f t="shared" si="41"/>
        <v>432403.149196547</v>
      </c>
      <c r="N197" s="374">
        <f t="shared" si="42"/>
        <v>321623.420926528</v>
      </c>
      <c r="O197" s="374">
        <f t="shared" si="43"/>
        <v>308656.066547112</v>
      </c>
      <c r="P197" s="374">
        <f t="shared" si="44"/>
        <v>303278.407673277</v>
      </c>
      <c r="R197" s="370"/>
      <c r="T197" t="s">
        <v>84</v>
      </c>
      <c r="U197" t="str">
        <f t="shared" si="45"/>
        <v>\I:Trd_bus__12000</v>
      </c>
      <c r="V197" t="str">
        <f ca="1" t="shared" si="46"/>
        <v>Hybrid diesel coach -- 12000%</v>
      </c>
      <c r="W197" s="372" t="s">
        <v>85</v>
      </c>
      <c r="X197" s="372" t="s">
        <v>86</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74">
        <f t="shared" si="41"/>
        <v>436722.073356786</v>
      </c>
      <c r="N198" s="374">
        <f t="shared" si="42"/>
        <v>324694.575852623</v>
      </c>
      <c r="O198" s="374">
        <f t="shared" si="43"/>
        <v>310226.231333419</v>
      </c>
      <c r="P198" s="374">
        <f t="shared" si="44"/>
        <v>304226.100619255</v>
      </c>
      <c r="R198" s="370"/>
      <c r="T198" t="s">
        <v>84</v>
      </c>
      <c r="U198" t="str">
        <f t="shared" si="45"/>
        <v>\I:Trd_bus__13429</v>
      </c>
      <c r="V198" t="str">
        <f ca="1" t="shared" si="46"/>
        <v>Hybrid diesel coach -- 13429%</v>
      </c>
      <c r="W198" s="372" t="s">
        <v>85</v>
      </c>
      <c r="X198" s="372" t="s">
        <v>86</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74">
        <f t="shared" si="41"/>
        <v>439101.341331762</v>
      </c>
      <c r="N199" s="374">
        <f t="shared" si="42"/>
        <v>326386.455656653</v>
      </c>
      <c r="O199" s="374">
        <f t="shared" si="43"/>
        <v>311091.225172832</v>
      </c>
      <c r="P199" s="374">
        <f t="shared" si="44"/>
        <v>304748.178662957</v>
      </c>
      <c r="R199" s="370"/>
      <c r="T199" t="s">
        <v>84</v>
      </c>
      <c r="U199" t="str">
        <f t="shared" si="45"/>
        <v>\I:Trd_bus__14857</v>
      </c>
      <c r="V199" t="str">
        <f ca="1" t="shared" si="46"/>
        <v>Hybrid diesel coach -- 14857%</v>
      </c>
      <c r="W199" s="372" t="s">
        <v>85</v>
      </c>
      <c r="X199" s="372" t="s">
        <v>86</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74">
        <f t="shared" si="41"/>
        <v>441517.145494916</v>
      </c>
      <c r="N200" s="374">
        <f t="shared" si="42"/>
        <v>328104.316073016</v>
      </c>
      <c r="O200" s="374">
        <f t="shared" si="43"/>
        <v>311969.501911868</v>
      </c>
      <c r="P200" s="374">
        <f t="shared" si="44"/>
        <v>305278.273769826</v>
      </c>
      <c r="R200" s="370"/>
      <c r="T200" t="s">
        <v>84</v>
      </c>
      <c r="U200" t="str">
        <f t="shared" si="45"/>
        <v>\I:Trd_bus__16286</v>
      </c>
      <c r="V200" t="str">
        <f ca="1" t="shared" si="46"/>
        <v>Hybrid diesel coach -- 16286%</v>
      </c>
      <c r="W200" s="372" t="s">
        <v>85</v>
      </c>
      <c r="X200" s="372" t="s">
        <v>86</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74">
        <f t="shared" si="41"/>
        <v>444078.767318675</v>
      </c>
      <c r="N201" s="374">
        <f t="shared" si="42"/>
        <v>329925.866345942</v>
      </c>
      <c r="O201" s="374">
        <f t="shared" si="43"/>
        <v>312900.791333556</v>
      </c>
      <c r="P201" s="374">
        <f t="shared" si="44"/>
        <v>305840.365356196</v>
      </c>
      <c r="R201" s="370"/>
      <c r="T201" t="s">
        <v>84</v>
      </c>
      <c r="U201" t="str">
        <f t="shared" si="45"/>
        <v>\I:Trd_bus__17714</v>
      </c>
      <c r="V201" t="str">
        <f ca="1" t="shared" si="46"/>
        <v>Hybrid diesel coach -- 17714%</v>
      </c>
      <c r="W201" s="372" t="s">
        <v>85</v>
      </c>
      <c r="X201" s="372" t="s">
        <v>86</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74">
        <f t="shared" si="41"/>
        <v>488912.15374367</v>
      </c>
      <c r="N202" s="374">
        <f t="shared" si="42"/>
        <v>365809.482166322</v>
      </c>
      <c r="O202" s="374">
        <f t="shared" si="43"/>
        <v>330905.629479526</v>
      </c>
      <c r="P202" s="374">
        <f t="shared" si="44"/>
        <v>316707.414632298</v>
      </c>
      <c r="R202" s="370"/>
      <c r="T202" t="s">
        <v>84</v>
      </c>
      <c r="U202" t="str">
        <f t="shared" si="45"/>
        <v>\I:Trd_bus__35000</v>
      </c>
      <c r="V202" t="str">
        <f ca="1" t="shared" si="46"/>
        <v>Hybrid diesel coach -- 35000%</v>
      </c>
      <c r="W202" s="372" t="s">
        <v>85</v>
      </c>
      <c r="X202" s="372" t="s">
        <v>86</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74">
        <f t="shared" si="41"/>
        <v>530094.963307474</v>
      </c>
      <c r="N203" s="374">
        <f t="shared" si="42"/>
        <v>398620.776220214</v>
      </c>
      <c r="O203" s="374">
        <f t="shared" si="43"/>
        <v>348984.265806477</v>
      </c>
      <c r="P203" s="374">
        <f t="shared" si="44"/>
        <v>327038.150254399</v>
      </c>
      <c r="R203" s="370"/>
      <c r="T203" t="s">
        <v>84</v>
      </c>
      <c r="U203" t="str">
        <f t="shared" si="45"/>
        <v>\I:Trd_bus__50000</v>
      </c>
      <c r="V203" t="str">
        <f ca="1" t="shared" si="46"/>
        <v>Hybrid diesel coach -- 50000%</v>
      </c>
      <c r="W203" s="372" t="s">
        <v>85</v>
      </c>
      <c r="X203" s="372" t="s">
        <v>86</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74">
        <f t="shared" si="41"/>
        <v>565928.361387453</v>
      </c>
      <c r="N204" s="374">
        <f t="shared" si="42"/>
        <v>427615.94590543</v>
      </c>
      <c r="O204" s="374">
        <f t="shared" si="43"/>
        <v>362846.01604123</v>
      </c>
      <c r="P204" s="374">
        <f t="shared" si="44"/>
        <v>335985.441563159</v>
      </c>
      <c r="R204" s="370"/>
      <c r="T204" t="s">
        <v>84</v>
      </c>
      <c r="U204" t="str">
        <f t="shared" si="45"/>
        <v>\I:Trd_bus__60000</v>
      </c>
      <c r="V204" t="str">
        <f ca="1" t="shared" si="46"/>
        <v>Hybrid diesel coach -- 60000%</v>
      </c>
      <c r="W204" s="372" t="s">
        <v>85</v>
      </c>
      <c r="X204" s="372" t="s">
        <v>86</v>
      </c>
    </row>
    <row r="205" spans="2:24">
      <c r="B205" s="374"/>
      <c r="J205" t="str">
        <f t="shared" si="38"/>
        <v>\I:Trd_bus_</v>
      </c>
      <c r="K205" t="str">
        <f t="shared" si="40"/>
        <v>\I:</v>
      </c>
      <c r="L205" t="str">
        <f t="shared" si="39"/>
        <v>\I:</v>
      </c>
      <c r="M205" s="374" t="str">
        <f t="shared" si="41"/>
        <v/>
      </c>
      <c r="N205" s="374" t="str">
        <f t="shared" si="42"/>
        <v/>
      </c>
      <c r="O205" s="374" t="str">
        <f t="shared" si="43"/>
        <v/>
      </c>
      <c r="P205" s="374" t="str">
        <f t="shared" si="44"/>
        <v/>
      </c>
      <c r="R205" s="370"/>
      <c r="T205" t="s">
        <v>84</v>
      </c>
      <c r="U205" t="str">
        <f t="shared" si="45"/>
        <v>\I:</v>
      </c>
      <c r="V205" t="str">
        <f ca="1" t="shared" si="46"/>
        <v>Hybrid diesel coach -- 00%</v>
      </c>
      <c r="W205" s="372" t="s">
        <v>85</v>
      </c>
      <c r="X205" s="372" t="s">
        <v>86</v>
      </c>
    </row>
    <row r="206" spans="2:24">
      <c r="J206" t="str">
        <f t="shared" ref="J206:J219" si="47">IFERROR(VLOOKUP(C206,$R$1:$S$9,2,FALSE),J205)</f>
        <v>\I:Trd_bus_</v>
      </c>
      <c r="K206" t="str">
        <f t="shared" si="40"/>
        <v>\I:</v>
      </c>
      <c r="L206" t="str">
        <f t="shared" ref="L206:L219" si="48">LEFT(K206,7)</f>
        <v>\I:</v>
      </c>
      <c r="M206" s="374" t="str">
        <f t="shared" si="41"/>
        <v/>
      </c>
      <c r="N206" s="374" t="str">
        <f t="shared" si="42"/>
        <v/>
      </c>
      <c r="O206" s="374" t="str">
        <f t="shared" si="43"/>
        <v/>
      </c>
      <c r="P206" s="374" t="str">
        <f t="shared" si="44"/>
        <v/>
      </c>
      <c r="R206" s="370"/>
      <c r="T206" t="s">
        <v>84</v>
      </c>
      <c r="U206" t="str">
        <f t="shared" si="45"/>
        <v>\I:</v>
      </c>
      <c r="V206" t="str">
        <f ca="1" t="shared" si="46"/>
        <v>Hybrid diesel coach -- 00%</v>
      </c>
      <c r="W206" s="372" t="s">
        <v>85</v>
      </c>
      <c r="X206" s="372" t="s">
        <v>86</v>
      </c>
    </row>
    <row r="207" spans="2:24">
      <c r="J207" t="str">
        <f t="shared" si="47"/>
        <v>\I:Trd_bus_</v>
      </c>
      <c r="K207" t="str">
        <f t="shared" si="40"/>
        <v>\I:</v>
      </c>
      <c r="L207" t="str">
        <f t="shared" si="48"/>
        <v>\I:</v>
      </c>
      <c r="M207" s="374" t="str">
        <f t="shared" si="41"/>
        <v/>
      </c>
      <c r="N207" s="374" t="str">
        <f t="shared" si="42"/>
        <v/>
      </c>
      <c r="O207" s="374" t="str">
        <f t="shared" si="43"/>
        <v/>
      </c>
      <c r="P207" s="374" t="str">
        <f t="shared" si="44"/>
        <v/>
      </c>
      <c r="R207" s="370"/>
      <c r="T207" t="s">
        <v>84</v>
      </c>
      <c r="U207" t="str">
        <f t="shared" si="45"/>
        <v>\I:</v>
      </c>
      <c r="V207" t="str">
        <f ca="1" t="shared" si="46"/>
        <v>Hybrid diesel coach -- 00%</v>
      </c>
      <c r="W207" s="372" t="s">
        <v>85</v>
      </c>
      <c r="X207" s="372" t="s">
        <v>86</v>
      </c>
    </row>
    <row r="208" ht="21.75" customHeight="1" spans="2:24">
      <c r="B208" s="371" t="s">
        <v>29</v>
      </c>
      <c r="C208" s="371" t="s">
        <v>171</v>
      </c>
      <c r="D208" s="371"/>
      <c r="E208" s="371"/>
      <c r="F208" s="371"/>
      <c r="J208" t="str">
        <f t="shared" si="47"/>
        <v>\I:Trd_bus_</v>
      </c>
      <c r="K208" t="str">
        <f t="shared" si="40"/>
        <v>\I:</v>
      </c>
      <c r="L208" t="str">
        <f t="shared" si="48"/>
        <v>\I:</v>
      </c>
      <c r="M208" s="374" t="str">
        <f t="shared" si="41"/>
        <v/>
      </c>
      <c r="N208" s="374" t="str">
        <f t="shared" si="42"/>
        <v/>
      </c>
      <c r="O208" s="374" t="str">
        <f t="shared" si="43"/>
        <v/>
      </c>
      <c r="P208" s="374" t="str">
        <f t="shared" si="44"/>
        <v/>
      </c>
      <c r="R208" s="370"/>
      <c r="T208" t="s">
        <v>84</v>
      </c>
      <c r="U208" t="str">
        <f t="shared" si="45"/>
        <v>\I:</v>
      </c>
      <c r="V208" t="str">
        <f ca="1" t="shared" si="46"/>
        <v>Hybrid diesel coach -- Energy consumption (kg H2/100km)</v>
      </c>
      <c r="W208" s="372" t="s">
        <v>85</v>
      </c>
      <c r="X208" s="372" t="s">
        <v>86</v>
      </c>
    </row>
    <row r="209" ht="21.75" customHeight="1" spans="2:24">
      <c r="B209" s="371"/>
      <c r="C209" s="371"/>
      <c r="D209" s="371"/>
      <c r="E209" s="371"/>
      <c r="F209" s="371"/>
      <c r="J209" t="str">
        <f t="shared" si="47"/>
        <v>\I:Trd_bus_</v>
      </c>
      <c r="K209" t="str">
        <f t="shared" si="40"/>
        <v>\I:</v>
      </c>
      <c r="L209" t="str">
        <f t="shared" si="48"/>
        <v>\I:</v>
      </c>
      <c r="M209" s="374" t="str">
        <f t="shared" si="41"/>
        <v/>
      </c>
      <c r="N209" s="374" t="str">
        <f t="shared" si="42"/>
        <v/>
      </c>
      <c r="O209" s="374" t="str">
        <f t="shared" si="43"/>
        <v/>
      </c>
      <c r="P209" s="374" t="str">
        <f t="shared" si="44"/>
        <v/>
      </c>
      <c r="R209" s="370"/>
      <c r="T209" t="s">
        <v>84</v>
      </c>
      <c r="U209" t="str">
        <f t="shared" si="45"/>
        <v>\I:</v>
      </c>
      <c r="V209" t="str">
        <f ca="1" t="shared" si="46"/>
        <v>Hybrid diesel coach -- 00%</v>
      </c>
      <c r="W209" s="372" t="s">
        <v>85</v>
      </c>
      <c r="X209" s="372" t="s">
        <v>86</v>
      </c>
    </row>
    <row r="210" spans="2:24">
      <c r="B210" s="371"/>
      <c r="C210" s="371"/>
      <c r="D210" s="371"/>
      <c r="E210" s="371"/>
      <c r="F210" s="371"/>
      <c r="J210" t="str">
        <f t="shared" si="47"/>
        <v>\I:Trd_bus_</v>
      </c>
      <c r="K210" t="str">
        <f t="shared" si="40"/>
        <v>\I:</v>
      </c>
      <c r="L210" t="str">
        <f t="shared" si="48"/>
        <v>\I:</v>
      </c>
      <c r="M210" s="374" t="str">
        <f t="shared" si="41"/>
        <v/>
      </c>
      <c r="N210" s="374" t="str">
        <f t="shared" si="42"/>
        <v/>
      </c>
      <c r="O210" s="374" t="str">
        <f t="shared" si="43"/>
        <v/>
      </c>
      <c r="P210" s="374" t="str">
        <f t="shared" si="44"/>
        <v/>
      </c>
      <c r="R210" s="370"/>
      <c r="T210" t="s">
        <v>84</v>
      </c>
      <c r="U210" t="str">
        <f t="shared" si="45"/>
        <v>\I:</v>
      </c>
      <c r="V210" t="str">
        <f ca="1" t="shared" si="46"/>
        <v>Hybrid diesel coach -- 00%</v>
      </c>
      <c r="W210" s="372" t="s">
        <v>85</v>
      </c>
      <c r="X210" s="372" t="s">
        <v>86</v>
      </c>
    </row>
    <row r="211" spans="2:24">
      <c r="B211" s="50"/>
      <c r="C211" s="51">
        <v>2020</v>
      </c>
      <c r="D211" s="51">
        <v>2030</v>
      </c>
      <c r="E211" s="51">
        <v>2040</v>
      </c>
      <c r="F211" s="51">
        <v>2050</v>
      </c>
      <c r="J211" t="str">
        <f t="shared" si="47"/>
        <v>\I:Trd_bus_</v>
      </c>
      <c r="K211" t="str">
        <f t="shared" si="40"/>
        <v>\I:</v>
      </c>
      <c r="L211" t="str">
        <f t="shared" si="48"/>
        <v>\I:</v>
      </c>
      <c r="M211" s="374" t="str">
        <f t="shared" si="41"/>
        <v/>
      </c>
      <c r="N211" s="374" t="str">
        <f t="shared" si="42"/>
        <v/>
      </c>
      <c r="O211" s="374" t="str">
        <f t="shared" si="43"/>
        <v/>
      </c>
      <c r="P211" s="374" t="str">
        <f t="shared" si="44"/>
        <v/>
      </c>
      <c r="R211" s="370"/>
      <c r="T211" t="s">
        <v>84</v>
      </c>
      <c r="U211" t="str">
        <f t="shared" si="45"/>
        <v>\I:</v>
      </c>
      <c r="V211" t="str">
        <f ca="1" t="shared" si="46"/>
        <v>Hybrid diesel coach -- 00%</v>
      </c>
      <c r="W211" s="372" t="s">
        <v>85</v>
      </c>
      <c r="X211" s="372" t="s">
        <v>86</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74">
        <f t="shared" si="41"/>
        <v>645414.917881523</v>
      </c>
      <c r="N212" s="374">
        <f t="shared" si="42"/>
        <v>417379.007105806</v>
      </c>
      <c r="O212" s="374">
        <f t="shared" si="43"/>
        <v>354901.720144819</v>
      </c>
      <c r="P212" s="374">
        <f t="shared" si="44"/>
        <v>338590.059493097</v>
      </c>
      <c r="R212" s="370"/>
      <c r="T212" t="s">
        <v>84</v>
      </c>
      <c r="U212" t="str">
        <f t="shared" si="45"/>
        <v>\I:Trd_bus__665</v>
      </c>
      <c r="V212" t="str">
        <f ca="1" t="shared" si="46"/>
        <v>Hybrid diesel coach -- 665%</v>
      </c>
      <c r="W212" s="372" t="s">
        <v>85</v>
      </c>
      <c r="X212" s="372" t="s">
        <v>86</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74">
        <f t="shared" si="41"/>
        <v>646209.342968632</v>
      </c>
      <c r="N213" s="374">
        <f t="shared" si="42"/>
        <v>417926.742297443</v>
      </c>
      <c r="O213" s="374">
        <f t="shared" si="43"/>
        <v>355381.16265353</v>
      </c>
      <c r="P213" s="374">
        <f t="shared" si="44"/>
        <v>339001.209318881</v>
      </c>
      <c r="R213" s="370"/>
      <c r="T213" t="s">
        <v>84</v>
      </c>
      <c r="U213" t="str">
        <f t="shared" si="45"/>
        <v>\I:Trd_bus__645</v>
      </c>
      <c r="V213" t="str">
        <f ca="1" t="shared" si="46"/>
        <v>Hybrid diesel coach -- 645%</v>
      </c>
      <c r="W213" s="372" t="s">
        <v>85</v>
      </c>
      <c r="X213" s="372" t="s">
        <v>86</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74">
        <f t="shared" si="41"/>
        <v>647003.76805574</v>
      </c>
      <c r="N214" s="374">
        <f t="shared" si="42"/>
        <v>418474.477489081</v>
      </c>
      <c r="O214" s="374">
        <f t="shared" si="43"/>
        <v>355860.605162241</v>
      </c>
      <c r="P214" s="374">
        <f t="shared" si="44"/>
        <v>339412.359144665</v>
      </c>
      <c r="R214" s="370"/>
      <c r="T214" t="s">
        <v>84</v>
      </c>
      <c r="U214" t="str">
        <f t="shared" si="45"/>
        <v>\I:Trd_bus__625</v>
      </c>
      <c r="V214" t="str">
        <f ca="1" t="shared" si="46"/>
        <v>Hybrid diesel coach -- 625%</v>
      </c>
      <c r="W214" s="372" t="s">
        <v>85</v>
      </c>
      <c r="X214" s="372" t="s">
        <v>86</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74">
        <f t="shared" si="41"/>
        <v>647798.193142848</v>
      </c>
      <c r="N215" s="374">
        <f t="shared" si="42"/>
        <v>419022.212680718</v>
      </c>
      <c r="O215" s="374">
        <f t="shared" si="43"/>
        <v>356340.047670951</v>
      </c>
      <c r="P215" s="374">
        <f t="shared" si="44"/>
        <v>339823.508970449</v>
      </c>
      <c r="R215" s="370"/>
      <c r="T215" t="s">
        <v>84</v>
      </c>
      <c r="U215" t="str">
        <f t="shared" si="45"/>
        <v>\I:Trd_bus__605</v>
      </c>
      <c r="V215" t="str">
        <f ca="1" t="shared" si="46"/>
        <v>Hybrid diesel coach -- 605%</v>
      </c>
      <c r="W215" s="372" t="s">
        <v>85</v>
      </c>
      <c r="X215" s="372" t="s">
        <v>86</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74">
        <f t="shared" ref="M216:M219" si="50">IF($K216="\I:","",C216)</f>
        <v>648592.618229956</v>
      </c>
      <c r="N216" s="374">
        <f t="shared" ref="N216:N219" si="51">IF($K216="\I:","",D216)</f>
        <v>419569.947872356</v>
      </c>
      <c r="O216" s="374">
        <f t="shared" ref="O216:O219" si="52">IF($K216="\I:","",E216)</f>
        <v>356819.490179662</v>
      </c>
      <c r="P216" s="374">
        <f t="shared" ref="P216:P219" si="53">IF($K216="\I:","",F216)</f>
        <v>340234.658796233</v>
      </c>
      <c r="R216" s="370"/>
      <c r="T216" t="s">
        <v>84</v>
      </c>
      <c r="U216" t="str">
        <f t="shared" ref="U216:U219" si="54">K216</f>
        <v>\I:Trd_bus__585</v>
      </c>
      <c r="V216" t="str">
        <f ca="1">OFFSET($S$1,MATCH(J216,$S$1:$S$12,0)-1,-1)&amp;" -- "&amp;TEXT(B216,"00%")</f>
        <v>Hybrid diesel coach -- 585%</v>
      </c>
      <c r="W216" s="372" t="s">
        <v>85</v>
      </c>
      <c r="X216" s="372" t="s">
        <v>86</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74">
        <f t="shared" si="50"/>
        <v>649387.043317064</v>
      </c>
      <c r="N217" s="374">
        <f t="shared" si="51"/>
        <v>420117.683063994</v>
      </c>
      <c r="O217" s="374">
        <f t="shared" si="52"/>
        <v>357298.932688373</v>
      </c>
      <c r="P217" s="374">
        <f t="shared" si="53"/>
        <v>340645.808622017</v>
      </c>
      <c r="R217" s="370"/>
      <c r="T217" t="s">
        <v>84</v>
      </c>
      <c r="U217" t="str">
        <f t="shared" si="54"/>
        <v>\I:Trd_bus__565</v>
      </c>
      <c r="V217" t="str">
        <f ca="1">OFFSET($S$1,MATCH(J217,$S$1:$S$12,0)-1,-1)&amp;" -- "&amp;TEXT(B217,"00%")</f>
        <v>Hybrid diesel coach -- 565%</v>
      </c>
      <c r="W217" s="372" t="s">
        <v>85</v>
      </c>
      <c r="X217" s="372" t="s">
        <v>86</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74">
        <f t="shared" si="50"/>
        <v>650181.468404172</v>
      </c>
      <c r="N218" s="374">
        <f t="shared" si="51"/>
        <v>420665.418255631</v>
      </c>
      <c r="O218" s="374">
        <f t="shared" si="52"/>
        <v>357778.375197084</v>
      </c>
      <c r="P218" s="374">
        <f t="shared" si="53"/>
        <v>341056.958447801</v>
      </c>
      <c r="R218" s="370"/>
      <c r="T218" t="s">
        <v>84</v>
      </c>
      <c r="U218" t="str">
        <f t="shared" si="54"/>
        <v>\I:Trd_bus__544</v>
      </c>
      <c r="V218" t="str">
        <f ca="1">OFFSET($S$1,MATCH(J218,$S$1:$S$12,0)-1,-1)&amp;" -- "&amp;TEXT(B218,"00%")</f>
        <v>Hybrid diesel coach -- 544%</v>
      </c>
      <c r="W218" s="372" t="s">
        <v>85</v>
      </c>
      <c r="X218" s="372" t="s">
        <v>86</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74">
        <f t="shared" si="50"/>
        <v>650975.89349128</v>
      </c>
      <c r="N219" s="374">
        <f t="shared" si="51"/>
        <v>421213.153447269</v>
      </c>
      <c r="O219" s="374">
        <f t="shared" si="52"/>
        <v>358257.817705795</v>
      </c>
      <c r="P219" s="374">
        <f t="shared" si="53"/>
        <v>341468.108273585</v>
      </c>
      <c r="R219" s="370"/>
      <c r="T219" t="s">
        <v>84</v>
      </c>
      <c r="U219" t="str">
        <f t="shared" si="54"/>
        <v>\I:Trd_bus__524</v>
      </c>
      <c r="V219" t="str">
        <f ca="1">OFFSET($S$1,MATCH(J219,$S$1:$S$12,0)-1,-1)&amp;" -- "&amp;TEXT(B219,"00%")</f>
        <v>Hybrid diesel coach -- 524%</v>
      </c>
      <c r="W219" s="372" t="s">
        <v>85</v>
      </c>
      <c r="X219" s="372" t="s">
        <v>86</v>
      </c>
    </row>
  </sheetData>
  <pageMargins left="0.7" right="0.7" top="0.75" bottom="0.75" header="0.3" footer="0.3"/>
  <pageSetup paperSize="9" orientation="portrait"/>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F88"/>
  <sheetViews>
    <sheetView tabSelected="1" zoomScale="63" zoomScaleNormal="63" topLeftCell="AP32" workbookViewId="0">
      <selection activeCell="AX60" sqref="AX60"/>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4" t="s">
        <v>172</v>
      </c>
      <c r="P2" s="164" t="s">
        <v>173</v>
      </c>
      <c r="Q2" s="164" t="s">
        <v>174</v>
      </c>
      <c r="R2" s="164" t="s">
        <v>175</v>
      </c>
      <c r="S2" s="164" t="s">
        <v>176</v>
      </c>
      <c r="T2" s="164" t="s">
        <v>177</v>
      </c>
      <c r="U2" s="164" t="s">
        <v>178</v>
      </c>
    </row>
    <row r="3" spans="2:21">
      <c r="B3" s="164"/>
      <c r="C3" s="164"/>
      <c r="D3" s="164"/>
      <c r="E3" s="164"/>
      <c r="F3" s="164"/>
      <c r="G3" s="164"/>
      <c r="H3" s="164"/>
      <c r="I3" s="164"/>
      <c r="J3" s="164"/>
      <c r="K3" s="171"/>
      <c r="L3" s="171"/>
      <c r="N3" s="164" t="s">
        <v>75</v>
      </c>
      <c r="O3" s="164" t="s">
        <v>179</v>
      </c>
      <c r="P3" s="164" t="s">
        <v>180</v>
      </c>
      <c r="Q3" s="164" t="s">
        <v>181</v>
      </c>
      <c r="R3" s="164" t="s">
        <v>182</v>
      </c>
      <c r="S3" s="164" t="s">
        <v>183</v>
      </c>
      <c r="T3" s="164" t="s">
        <v>184</v>
      </c>
      <c r="U3" s="164" t="s">
        <v>185</v>
      </c>
    </row>
    <row r="4" spans="2:21">
      <c r="B4" s="285"/>
      <c r="C4" s="164"/>
      <c r="D4" s="164"/>
      <c r="E4" s="164"/>
      <c r="F4" s="164"/>
      <c r="G4" s="164"/>
      <c r="H4" s="164"/>
      <c r="I4" s="164"/>
      <c r="J4" s="164"/>
      <c r="K4" s="171"/>
      <c r="L4" s="171"/>
      <c r="N4" s="164" t="s">
        <v>186</v>
      </c>
      <c r="O4" s="164">
        <v>0.095</v>
      </c>
      <c r="P4" s="164">
        <v>0.106</v>
      </c>
      <c r="Q4" s="164">
        <v>0.102</v>
      </c>
      <c r="R4" s="164">
        <v>0.141</v>
      </c>
      <c r="S4" s="164">
        <v>0.136</v>
      </c>
      <c r="T4" s="164">
        <v>0.118</v>
      </c>
      <c r="U4" s="164">
        <v>0.1</v>
      </c>
    </row>
    <row r="5" spans="2:21">
      <c r="B5" s="294"/>
      <c r="C5" s="164"/>
      <c r="D5" s="164"/>
      <c r="E5" s="164"/>
      <c r="F5" s="164"/>
      <c r="G5" s="164"/>
      <c r="H5" s="164"/>
      <c r="I5" s="164"/>
      <c r="J5" s="164"/>
      <c r="K5" s="171"/>
      <c r="L5" s="171"/>
      <c r="N5" s="164" t="s">
        <v>187</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188</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189</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190</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191</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192</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193</v>
      </c>
      <c r="Q20" s="259"/>
      <c r="T20" s="244"/>
      <c r="U20" s="244"/>
      <c r="V20" s="244" t="s">
        <v>193</v>
      </c>
      <c r="W20" s="259"/>
      <c r="Z20" s="171"/>
      <c r="AA20" s="171"/>
      <c r="AB20" s="171" t="s">
        <v>193</v>
      </c>
      <c r="AC20" s="192"/>
      <c r="AF20" s="171"/>
      <c r="AG20" s="171"/>
      <c r="AH20" s="171" t="s">
        <v>193</v>
      </c>
      <c r="AI20" s="192"/>
      <c r="AL20" s="171"/>
      <c r="AM20" s="171"/>
      <c r="AN20" s="171" t="s">
        <v>193</v>
      </c>
      <c r="AO20" s="192"/>
      <c r="AR20" s="171"/>
      <c r="AS20" s="171"/>
      <c r="AT20" s="171" t="s">
        <v>193</v>
      </c>
      <c r="AU20" s="192"/>
      <c r="AX20" s="171"/>
      <c r="AY20" s="171"/>
      <c r="AZ20" s="171" t="s">
        <v>193</v>
      </c>
      <c r="BA20" s="192"/>
    </row>
    <row r="21" spans="13:53">
      <c r="M21" s="157" t="s">
        <v>194</v>
      </c>
      <c r="N21" s="244" t="s">
        <v>76</v>
      </c>
      <c r="O21" s="244" t="s">
        <v>80</v>
      </c>
      <c r="P21" s="244" t="s">
        <v>195</v>
      </c>
      <c r="Q21" s="259">
        <v>2019</v>
      </c>
      <c r="S21" s="157" t="s">
        <v>194</v>
      </c>
      <c r="T21" s="244" t="s">
        <v>76</v>
      </c>
      <c r="U21" s="244" t="s">
        <v>80</v>
      </c>
      <c r="V21" s="244" t="s">
        <v>195</v>
      </c>
      <c r="W21" s="259">
        <v>2019</v>
      </c>
      <c r="Y21" s="157" t="s">
        <v>194</v>
      </c>
      <c r="Z21" s="171" t="s">
        <v>76</v>
      </c>
      <c r="AA21" s="171" t="s">
        <v>80</v>
      </c>
      <c r="AB21" s="171" t="s">
        <v>195</v>
      </c>
      <c r="AC21" s="192">
        <v>2019</v>
      </c>
      <c r="AE21" s="157" t="s">
        <v>194</v>
      </c>
      <c r="AF21" s="171" t="s">
        <v>76</v>
      </c>
      <c r="AG21" s="171" t="s">
        <v>80</v>
      </c>
      <c r="AH21" s="171" t="s">
        <v>195</v>
      </c>
      <c r="AI21" s="192">
        <v>2019</v>
      </c>
      <c r="AK21" s="157" t="s">
        <v>194</v>
      </c>
      <c r="AL21" s="171" t="s">
        <v>76</v>
      </c>
      <c r="AM21" s="171" t="s">
        <v>80</v>
      </c>
      <c r="AN21" s="171" t="s">
        <v>195</v>
      </c>
      <c r="AO21" s="192">
        <v>2019</v>
      </c>
      <c r="AQ21" s="157" t="s">
        <v>194</v>
      </c>
      <c r="AR21" s="171" t="s">
        <v>76</v>
      </c>
      <c r="AS21" s="171" t="s">
        <v>80</v>
      </c>
      <c r="AT21" s="171" t="s">
        <v>195</v>
      </c>
      <c r="AU21" s="192">
        <v>2019</v>
      </c>
      <c r="AW21" s="157" t="s">
        <v>194</v>
      </c>
      <c r="AX21" s="171" t="s">
        <v>76</v>
      </c>
      <c r="AY21" s="171" t="s">
        <v>80</v>
      </c>
      <c r="AZ21" s="171" t="s">
        <v>195</v>
      </c>
      <c r="BA21" s="192">
        <v>2019</v>
      </c>
    </row>
    <row r="22" spans="13:53">
      <c r="M22" s="152" t="s">
        <v>196</v>
      </c>
      <c r="N22" s="344" t="s">
        <v>172</v>
      </c>
      <c r="O22" s="345" t="s">
        <v>179</v>
      </c>
      <c r="P22" s="345" t="s">
        <v>186</v>
      </c>
      <c r="Q22" s="346">
        <f t="shared" ref="Q22:Q28" si="0">O4</f>
        <v>0.095</v>
      </c>
      <c r="S22" s="152" t="s">
        <v>196</v>
      </c>
      <c r="T22" s="344" t="str">
        <f>P2</f>
        <v>Tra_EV_Batt-LMO_virgin_package</v>
      </c>
      <c r="U22" s="345" t="str">
        <f>P3</f>
        <v>Tra_EV_Batt-LMO_virgin</v>
      </c>
      <c r="V22" s="345" t="s">
        <v>186</v>
      </c>
      <c r="W22" s="346">
        <f t="shared" ref="W22:W28" si="1">P4</f>
        <v>0.106</v>
      </c>
      <c r="Y22" s="152" t="s">
        <v>196</v>
      </c>
      <c r="Z22" s="294" t="str">
        <f>Q2</f>
        <v>Tra_EV_Batt-NCA_virgin_package</v>
      </c>
      <c r="AA22" s="164" t="str">
        <f>Q3</f>
        <v>Tra_EV_Batt-NCA_virgin</v>
      </c>
      <c r="AB22" s="164" t="s">
        <v>186</v>
      </c>
      <c r="AC22" s="196">
        <f t="shared" ref="AC22:AC28" si="2">Q4</f>
        <v>0.102</v>
      </c>
      <c r="AE22" s="152" t="s">
        <v>196</v>
      </c>
      <c r="AF22" s="294" t="str">
        <f>R2</f>
        <v>Tra_EV_Batt-NMC111_virgin_package</v>
      </c>
      <c r="AG22" s="164" t="str">
        <f>R3</f>
        <v>Tra_EV_Batt-NMC111_virgin</v>
      </c>
      <c r="AH22" s="164" t="s">
        <v>186</v>
      </c>
      <c r="AI22" s="196">
        <f t="shared" ref="AI22:AI28" si="3">R4</f>
        <v>0.141</v>
      </c>
      <c r="AK22" s="152" t="s">
        <v>196</v>
      </c>
      <c r="AL22" s="294" t="str">
        <f>S2</f>
        <v>Tra_EV_Batt-NMC532_virgin_package</v>
      </c>
      <c r="AM22" s="164" t="str">
        <f>S3</f>
        <v>Tra_EV_Batt-NMC532_virgin</v>
      </c>
      <c r="AN22" s="164" t="s">
        <v>186</v>
      </c>
      <c r="AO22" s="196">
        <f t="shared" ref="AO22:AO28" si="4">S4</f>
        <v>0.136</v>
      </c>
      <c r="AQ22" s="152" t="s">
        <v>196</v>
      </c>
      <c r="AR22" s="294" t="str">
        <f>T2</f>
        <v>Tra_EV_Batt-NMC622_virgin_package</v>
      </c>
      <c r="AS22" s="164" t="str">
        <f>T3</f>
        <v>Tra_EV_Batt-NMC622_virgin</v>
      </c>
      <c r="AT22" s="164" t="s">
        <v>186</v>
      </c>
      <c r="AU22" s="196">
        <f t="shared" ref="AU22:AU28" si="5">T4</f>
        <v>0.118</v>
      </c>
      <c r="AW22" s="152" t="s">
        <v>196</v>
      </c>
      <c r="AX22" s="294" t="str">
        <f>U2</f>
        <v>Tra_EV_Batt-NMC811_virgin_package</v>
      </c>
      <c r="AY22" s="164" t="str">
        <f>U3</f>
        <v>Tra_EV_Batt-NMC811_virgin</v>
      </c>
      <c r="AZ22" s="164" t="s">
        <v>186</v>
      </c>
      <c r="BA22" s="196">
        <f t="shared" ref="BA22:BA28" si="6">U4</f>
        <v>0.1</v>
      </c>
    </row>
    <row r="23" spans="13:53">
      <c r="M23" s="152" t="s">
        <v>196</v>
      </c>
      <c r="N23" s="344" t="s">
        <v>172</v>
      </c>
      <c r="O23" s="345" t="s">
        <v>179</v>
      </c>
      <c r="P23" s="345" t="s">
        <v>187</v>
      </c>
      <c r="Q23" s="346">
        <f t="shared" si="0"/>
        <v>0</v>
      </c>
      <c r="S23" s="152" t="s">
        <v>196</v>
      </c>
      <c r="T23" s="344" t="str">
        <f t="shared" ref="T23:T28" si="7">T22</f>
        <v>Tra_EV_Batt-LMO_virgin_package</v>
      </c>
      <c r="U23" s="345" t="str">
        <f t="shared" ref="U23:U28" si="8">U22</f>
        <v>Tra_EV_Batt-LMO_virgin</v>
      </c>
      <c r="V23" s="345" t="s">
        <v>187</v>
      </c>
      <c r="W23" s="346">
        <f t="shared" si="1"/>
        <v>0</v>
      </c>
      <c r="Y23" s="152" t="s">
        <v>196</v>
      </c>
      <c r="Z23" s="294" t="str">
        <f t="shared" ref="Z23:Z28" si="9">Z22</f>
        <v>Tra_EV_Batt-NCA_virgin_package</v>
      </c>
      <c r="AA23" s="164" t="str">
        <f t="shared" ref="AA23:AA28" si="10">AA22</f>
        <v>Tra_EV_Batt-NCA_virgin</v>
      </c>
      <c r="AB23" s="164" t="s">
        <v>187</v>
      </c>
      <c r="AC23" s="196">
        <f t="shared" si="2"/>
        <v>0.672</v>
      </c>
      <c r="AE23" s="152" t="s">
        <v>196</v>
      </c>
      <c r="AF23" s="294" t="str">
        <f t="shared" ref="AF23:AF28" si="11">AF22</f>
        <v>Tra_EV_Batt-NMC111_virgin_package</v>
      </c>
      <c r="AG23" s="164" t="str">
        <f t="shared" ref="AG23:AG28" si="12">AG22</f>
        <v>Tra_EV_Batt-NMC111_virgin</v>
      </c>
      <c r="AH23" s="164" t="s">
        <v>187</v>
      </c>
      <c r="AI23" s="196">
        <f t="shared" si="3"/>
        <v>0.351</v>
      </c>
      <c r="AK23" s="152" t="s">
        <v>196</v>
      </c>
      <c r="AL23" s="294" t="str">
        <f t="shared" ref="AL23:AL28" si="13">AL22</f>
        <v>Tra_EV_Batt-NMC532_virgin_package</v>
      </c>
      <c r="AM23" s="164" t="str">
        <f t="shared" ref="AM23:AM28" si="14">AM22</f>
        <v>Tra_EV_Batt-NMC532_virgin</v>
      </c>
      <c r="AN23" s="164" t="s">
        <v>187</v>
      </c>
      <c r="AO23" s="196">
        <f t="shared" si="4"/>
        <v>0.508</v>
      </c>
      <c r="AQ23" s="152" t="s">
        <v>196</v>
      </c>
      <c r="AR23" s="294" t="str">
        <f t="shared" ref="AR23:AR28" si="15">AR22</f>
        <v>Tra_EV_Batt-NMC622_virgin_package</v>
      </c>
      <c r="AS23" s="164" t="str">
        <f t="shared" ref="AS23:AS28" si="16">AS22</f>
        <v>Tra_EV_Batt-NMC622_virgin</v>
      </c>
      <c r="AT23" s="164" t="s">
        <v>187</v>
      </c>
      <c r="AU23" s="196">
        <f t="shared" si="5"/>
        <v>0.531</v>
      </c>
      <c r="AW23" s="152" t="s">
        <v>196</v>
      </c>
      <c r="AX23" s="294" t="str">
        <f t="shared" ref="AX23:AX28" si="17">AX22</f>
        <v>Tra_EV_Batt-NMC811_virgin_package</v>
      </c>
      <c r="AY23" s="164" t="str">
        <f t="shared" ref="AY23:AY28" si="18">AY22</f>
        <v>Tra_EV_Batt-NMC811_virgin</v>
      </c>
      <c r="AZ23" s="164" t="s">
        <v>187</v>
      </c>
      <c r="BA23" s="196">
        <f t="shared" si="6"/>
        <v>0.6</v>
      </c>
    </row>
    <row r="24" spans="13:53">
      <c r="M24" s="152" t="s">
        <v>196</v>
      </c>
      <c r="N24" s="344" t="s">
        <v>172</v>
      </c>
      <c r="O24" s="345" t="s">
        <v>179</v>
      </c>
      <c r="P24" s="345" t="s">
        <v>188</v>
      </c>
      <c r="Q24" s="346">
        <f t="shared" si="0"/>
        <v>0</v>
      </c>
      <c r="S24" s="152" t="s">
        <v>196</v>
      </c>
      <c r="T24" s="344" t="str">
        <f t="shared" si="7"/>
        <v>Tra_EV_Batt-LMO_virgin_package</v>
      </c>
      <c r="U24" s="345" t="str">
        <f t="shared" si="8"/>
        <v>Tra_EV_Batt-LMO_virgin</v>
      </c>
      <c r="V24" s="345" t="s">
        <v>188</v>
      </c>
      <c r="W24" s="346">
        <f t="shared" si="1"/>
        <v>0</v>
      </c>
      <c r="Y24" s="152" t="s">
        <v>196</v>
      </c>
      <c r="Z24" s="294" t="str">
        <f t="shared" si="9"/>
        <v>Tra_EV_Batt-NCA_virgin_package</v>
      </c>
      <c r="AA24" s="164" t="str">
        <f t="shared" si="10"/>
        <v>Tra_EV_Batt-NCA_virgin</v>
      </c>
      <c r="AB24" s="164" t="s">
        <v>188</v>
      </c>
      <c r="AC24" s="196">
        <f t="shared" si="2"/>
        <v>0.127</v>
      </c>
      <c r="AE24" s="152" t="s">
        <v>196</v>
      </c>
      <c r="AF24" s="294" t="str">
        <f t="shared" si="11"/>
        <v>Tra_EV_Batt-NMC111_virgin_package</v>
      </c>
      <c r="AG24" s="164" t="str">
        <f t="shared" si="12"/>
        <v>Tra_EV_Batt-NMC111_virgin</v>
      </c>
      <c r="AH24" s="164" t="s">
        <v>188</v>
      </c>
      <c r="AI24" s="196">
        <f t="shared" si="3"/>
        <v>0.352</v>
      </c>
      <c r="AK24" s="152" t="s">
        <v>196</v>
      </c>
      <c r="AL24" s="294" t="str">
        <f t="shared" si="13"/>
        <v>Tra_EV_Batt-NMC532_virgin_package</v>
      </c>
      <c r="AM24" s="164" t="str">
        <f t="shared" si="14"/>
        <v>Tra_EV_Batt-NMC532_virgin</v>
      </c>
      <c r="AN24" s="164" t="s">
        <v>188</v>
      </c>
      <c r="AO24" s="196">
        <f t="shared" si="4"/>
        <v>0.204</v>
      </c>
      <c r="AQ24" s="152" t="s">
        <v>196</v>
      </c>
      <c r="AR24" s="294" t="str">
        <f t="shared" si="15"/>
        <v>Tra_EV_Batt-NMC622_virgin_package</v>
      </c>
      <c r="AS24" s="164" t="str">
        <f t="shared" si="16"/>
        <v>Tra_EV_Batt-NMC622_virgin</v>
      </c>
      <c r="AT24" s="164" t="s">
        <v>188</v>
      </c>
      <c r="AU24" s="196">
        <f t="shared" si="5"/>
        <v>0.178</v>
      </c>
      <c r="AW24" s="152" t="s">
        <v>196</v>
      </c>
      <c r="AX24" s="294" t="str">
        <f t="shared" si="17"/>
        <v>Tra_EV_Batt-NMC811_virgin_package</v>
      </c>
      <c r="AY24" s="164" t="str">
        <f t="shared" si="18"/>
        <v>Tra_EV_Batt-NMC811_virgin</v>
      </c>
      <c r="AZ24" s="164" t="s">
        <v>188</v>
      </c>
      <c r="BA24" s="196">
        <f t="shared" si="6"/>
        <v>0.075</v>
      </c>
    </row>
    <row r="25" spans="13:53">
      <c r="M25" s="152" t="s">
        <v>196</v>
      </c>
      <c r="N25" s="344" t="s">
        <v>172</v>
      </c>
      <c r="O25" s="345" t="s">
        <v>179</v>
      </c>
      <c r="P25" s="345" t="s">
        <v>189</v>
      </c>
      <c r="Q25" s="346">
        <f t="shared" si="0"/>
        <v>0</v>
      </c>
      <c r="S25" s="152" t="s">
        <v>196</v>
      </c>
      <c r="T25" s="344" t="str">
        <f t="shared" si="7"/>
        <v>Tra_EV_Batt-LMO_virgin_package</v>
      </c>
      <c r="U25" s="345" t="str">
        <f t="shared" si="8"/>
        <v>Tra_EV_Batt-LMO_virgin</v>
      </c>
      <c r="V25" s="345" t="s">
        <v>189</v>
      </c>
      <c r="W25" s="346">
        <f t="shared" si="1"/>
        <v>1.396</v>
      </c>
      <c r="Y25" s="152" t="s">
        <v>196</v>
      </c>
      <c r="Z25" s="294" t="str">
        <f t="shared" si="9"/>
        <v>Tra_EV_Batt-NCA_virgin_package</v>
      </c>
      <c r="AA25" s="164" t="str">
        <f t="shared" si="10"/>
        <v>Tra_EV_Batt-NCA_virgin</v>
      </c>
      <c r="AB25" s="164" t="s">
        <v>189</v>
      </c>
      <c r="AC25" s="196">
        <f t="shared" si="2"/>
        <v>0</v>
      </c>
      <c r="AE25" s="152" t="s">
        <v>196</v>
      </c>
      <c r="AF25" s="294" t="str">
        <f t="shared" si="11"/>
        <v>Tra_EV_Batt-NMC111_virgin_package</v>
      </c>
      <c r="AG25" s="164" t="str">
        <f t="shared" si="12"/>
        <v>Tra_EV_Batt-NMC111_virgin</v>
      </c>
      <c r="AH25" s="164" t="s">
        <v>189</v>
      </c>
      <c r="AI25" s="196">
        <f t="shared" si="3"/>
        <v>0.328</v>
      </c>
      <c r="AK25" s="152" t="s">
        <v>196</v>
      </c>
      <c r="AL25" s="294" t="str">
        <f t="shared" si="13"/>
        <v>Tra_EV_Batt-NMC532_virgin_package</v>
      </c>
      <c r="AM25" s="164" t="str">
        <f t="shared" si="14"/>
        <v>Tra_EV_Batt-NMC532_virgin</v>
      </c>
      <c r="AN25" s="164" t="s">
        <v>189</v>
      </c>
      <c r="AO25" s="196">
        <f t="shared" si="4"/>
        <v>0.285</v>
      </c>
      <c r="AQ25" s="152" t="s">
        <v>196</v>
      </c>
      <c r="AR25" s="294" t="str">
        <f t="shared" si="15"/>
        <v>Tra_EV_Batt-NMC622_virgin_package</v>
      </c>
      <c r="AS25" s="164" t="str">
        <f t="shared" si="16"/>
        <v>Tra_EV_Batt-NMC622_virgin</v>
      </c>
      <c r="AT25" s="164" t="s">
        <v>189</v>
      </c>
      <c r="AU25" s="196">
        <f t="shared" si="5"/>
        <v>0.166</v>
      </c>
      <c r="AW25" s="152" t="s">
        <v>196</v>
      </c>
      <c r="AX25" s="294" t="str">
        <f t="shared" si="17"/>
        <v>Tra_EV_Batt-NMC811_virgin_package</v>
      </c>
      <c r="AY25" s="164" t="str">
        <f t="shared" si="18"/>
        <v>Tra_EV_Batt-NMC811_virgin</v>
      </c>
      <c r="AZ25" s="164" t="s">
        <v>189</v>
      </c>
      <c r="BA25" s="196">
        <f t="shared" si="6"/>
        <v>0.07</v>
      </c>
    </row>
    <row r="26" spans="13:53">
      <c r="M26" s="152" t="s">
        <v>196</v>
      </c>
      <c r="N26" s="344" t="s">
        <v>172</v>
      </c>
      <c r="O26" s="345" t="s">
        <v>179</v>
      </c>
      <c r="P26" s="345" t="s">
        <v>190</v>
      </c>
      <c r="Q26" s="346">
        <f t="shared" si="0"/>
        <v>3.528</v>
      </c>
      <c r="S26" s="152" t="s">
        <v>196</v>
      </c>
      <c r="T26" s="344" t="str">
        <f t="shared" si="7"/>
        <v>Tra_EV_Batt-LMO_virgin_package</v>
      </c>
      <c r="U26" s="345" t="str">
        <f t="shared" si="8"/>
        <v>Tra_EV_Batt-LMO_virgin</v>
      </c>
      <c r="V26" s="345" t="s">
        <v>190</v>
      </c>
      <c r="W26" s="346">
        <f t="shared" si="1"/>
        <v>3.369</v>
      </c>
      <c r="Y26" s="152" t="s">
        <v>196</v>
      </c>
      <c r="Z26" s="294" t="str">
        <f t="shared" si="9"/>
        <v>Tra_EV_Batt-NCA_virgin_package</v>
      </c>
      <c r="AA26" s="164" t="str">
        <f t="shared" si="10"/>
        <v>Tra_EV_Batt-NCA_virgin</v>
      </c>
      <c r="AB26" s="164" t="s">
        <v>190</v>
      </c>
      <c r="AC26" s="196">
        <f t="shared" si="2"/>
        <v>2.92</v>
      </c>
      <c r="AE26" s="152" t="s">
        <v>196</v>
      </c>
      <c r="AF26" s="294" t="str">
        <f t="shared" si="11"/>
        <v>Tra_EV_Batt-NMC111_virgin_package</v>
      </c>
      <c r="AG26" s="164" t="str">
        <f t="shared" si="12"/>
        <v>Tra_EV_Batt-NMC111_virgin</v>
      </c>
      <c r="AH26" s="164" t="s">
        <v>190</v>
      </c>
      <c r="AI26" s="196">
        <f t="shared" si="3"/>
        <v>3.11</v>
      </c>
      <c r="AK26" s="152" t="s">
        <v>196</v>
      </c>
      <c r="AL26" s="294" t="str">
        <f t="shared" si="13"/>
        <v>Tra_EV_Batt-NMC532_virgin_package</v>
      </c>
      <c r="AM26" s="164" t="str">
        <f t="shared" si="14"/>
        <v>Tra_EV_Batt-NMC532_virgin</v>
      </c>
      <c r="AN26" s="164" t="s">
        <v>190</v>
      </c>
      <c r="AO26" s="196">
        <f t="shared" si="4"/>
        <v>3.07</v>
      </c>
      <c r="AQ26" s="152" t="s">
        <v>196</v>
      </c>
      <c r="AR26" s="294" t="str">
        <f t="shared" si="15"/>
        <v>Tra_EV_Batt-NMC622_virgin_package</v>
      </c>
      <c r="AS26" s="164" t="str">
        <f t="shared" si="16"/>
        <v>Tra_EV_Batt-NMC622_virgin</v>
      </c>
      <c r="AT26" s="164" t="s">
        <v>190</v>
      </c>
      <c r="AU26" s="196">
        <f t="shared" si="5"/>
        <v>3.017</v>
      </c>
      <c r="AW26" s="152" t="s">
        <v>196</v>
      </c>
      <c r="AX26" s="294" t="str">
        <f t="shared" si="17"/>
        <v>Tra_EV_Batt-NMC811_virgin_package</v>
      </c>
      <c r="AY26" s="164" t="str">
        <f t="shared" si="18"/>
        <v>Tra_EV_Batt-NMC811_virgin</v>
      </c>
      <c r="AZ26" s="164" t="s">
        <v>190</v>
      </c>
      <c r="BA26" s="196">
        <f t="shared" si="6"/>
        <v>2.921</v>
      </c>
    </row>
    <row r="27" spans="13:53">
      <c r="M27" s="152" t="s">
        <v>196</v>
      </c>
      <c r="N27" s="344" t="s">
        <v>172</v>
      </c>
      <c r="O27" s="345" t="s">
        <v>179</v>
      </c>
      <c r="P27" s="345" t="s">
        <v>191</v>
      </c>
      <c r="Q27" s="346">
        <f t="shared" si="0"/>
        <v>0.946</v>
      </c>
      <c r="S27" s="152" t="s">
        <v>196</v>
      </c>
      <c r="T27" s="344" t="str">
        <f t="shared" si="7"/>
        <v>Tra_EV_Batt-LMO_virgin_package</v>
      </c>
      <c r="U27" s="345" t="str">
        <f t="shared" si="8"/>
        <v>Tra_EV_Batt-LMO_virgin</v>
      </c>
      <c r="V27" s="345" t="s">
        <v>191</v>
      </c>
      <c r="W27" s="346">
        <f t="shared" si="1"/>
        <v>0.863</v>
      </c>
      <c r="Y27" s="152" t="s">
        <v>196</v>
      </c>
      <c r="Z27" s="294" t="str">
        <f t="shared" si="9"/>
        <v>Tra_EV_Batt-NCA_virgin_package</v>
      </c>
      <c r="AA27" s="164" t="str">
        <f t="shared" si="10"/>
        <v>Tra_EV_Batt-NCA_virgin</v>
      </c>
      <c r="AB27" s="164" t="s">
        <v>191</v>
      </c>
      <c r="AC27" s="196">
        <f t="shared" si="2"/>
        <v>0.564</v>
      </c>
      <c r="AE27" s="152" t="s">
        <v>196</v>
      </c>
      <c r="AF27" s="294" t="str">
        <f t="shared" si="11"/>
        <v>Tra_EV_Batt-NMC111_virgin_package</v>
      </c>
      <c r="AG27" s="164" t="str">
        <f t="shared" si="12"/>
        <v>Tra_EV_Batt-NMC111_virgin</v>
      </c>
      <c r="AH27" s="164" t="s">
        <v>191</v>
      </c>
      <c r="AI27" s="196">
        <f t="shared" si="3"/>
        <v>0.677</v>
      </c>
      <c r="AK27" s="152" t="s">
        <v>196</v>
      </c>
      <c r="AL27" s="294" t="str">
        <f t="shared" si="13"/>
        <v>Tra_EV_Batt-NMC532_virgin_package</v>
      </c>
      <c r="AM27" s="164" t="str">
        <f t="shared" si="14"/>
        <v>Tra_EV_Batt-NMC532_virgin</v>
      </c>
      <c r="AN27" s="164" t="s">
        <v>191</v>
      </c>
      <c r="AO27" s="196">
        <f t="shared" si="4"/>
        <v>0.661</v>
      </c>
      <c r="AQ27" s="152" t="s">
        <v>196</v>
      </c>
      <c r="AR27" s="294" t="str">
        <f t="shared" si="15"/>
        <v>Tra_EV_Batt-NMC622_virgin_package</v>
      </c>
      <c r="AS27" s="164" t="str">
        <f t="shared" si="16"/>
        <v>Tra_EV_Batt-NMC622_virgin</v>
      </c>
      <c r="AT27" s="164" t="s">
        <v>191</v>
      </c>
      <c r="AU27" s="196">
        <f t="shared" si="5"/>
        <v>0.605</v>
      </c>
      <c r="AW27" s="152" t="s">
        <v>196</v>
      </c>
      <c r="AX27" s="294" t="str">
        <f t="shared" si="17"/>
        <v>Tra_EV_Batt-NMC811_virgin_package</v>
      </c>
      <c r="AY27" s="164" t="str">
        <f t="shared" si="18"/>
        <v>Tra_EV_Batt-NMC811_virgin</v>
      </c>
      <c r="AZ27" s="164" t="s">
        <v>191</v>
      </c>
      <c r="BA27" s="196">
        <f t="shared" si="6"/>
        <v>0.549</v>
      </c>
    </row>
    <row r="28" spans="13:53">
      <c r="M28" s="152" t="s">
        <v>196</v>
      </c>
      <c r="N28" s="344" t="s">
        <v>172</v>
      </c>
      <c r="O28" s="345" t="s">
        <v>179</v>
      </c>
      <c r="P28" s="345" t="s">
        <v>192</v>
      </c>
      <c r="Q28" s="346">
        <f t="shared" si="0"/>
        <v>1.085</v>
      </c>
      <c r="S28" s="152" t="s">
        <v>196</v>
      </c>
      <c r="T28" s="344" t="str">
        <f t="shared" si="7"/>
        <v>Tra_EV_Batt-LMO_virgin_package</v>
      </c>
      <c r="U28" s="345" t="str">
        <f t="shared" si="8"/>
        <v>Tra_EV_Batt-LMO_virgin</v>
      </c>
      <c r="V28" s="345" t="s">
        <v>192</v>
      </c>
      <c r="W28" s="346">
        <f t="shared" si="1"/>
        <v>0.911</v>
      </c>
      <c r="Y28" s="152" t="s">
        <v>196</v>
      </c>
      <c r="Z28" s="294" t="str">
        <f t="shared" si="9"/>
        <v>Tra_EV_Batt-NCA_virgin_package</v>
      </c>
      <c r="AA28" s="164" t="str">
        <f t="shared" si="10"/>
        <v>Tra_EV_Batt-NCA_virgin</v>
      </c>
      <c r="AB28" s="164" t="s">
        <v>192</v>
      </c>
      <c r="AC28" s="196">
        <f t="shared" si="2"/>
        <v>0.978</v>
      </c>
      <c r="AE28" s="152" t="s">
        <v>196</v>
      </c>
      <c r="AF28" s="294" t="str">
        <f t="shared" si="11"/>
        <v>Tra_EV_Batt-NMC111_virgin_package</v>
      </c>
      <c r="AG28" s="164" t="str">
        <f t="shared" si="12"/>
        <v>Tra_EV_Batt-NMC111_virgin</v>
      </c>
      <c r="AH28" s="164" t="s">
        <v>192</v>
      </c>
      <c r="AI28" s="196">
        <f t="shared" si="3"/>
        <v>0.978</v>
      </c>
      <c r="AK28" s="152" t="s">
        <v>196</v>
      </c>
      <c r="AL28" s="294" t="str">
        <f t="shared" si="13"/>
        <v>Tra_EV_Batt-NMC532_virgin_package</v>
      </c>
      <c r="AM28" s="164" t="str">
        <f t="shared" si="14"/>
        <v>Tra_EV_Batt-NMC532_virgin</v>
      </c>
      <c r="AN28" s="164" t="s">
        <v>192</v>
      </c>
      <c r="AO28" s="196">
        <f t="shared" si="4"/>
        <v>0.981</v>
      </c>
      <c r="AQ28" s="152" t="s">
        <v>196</v>
      </c>
      <c r="AR28" s="294" t="str">
        <f t="shared" si="15"/>
        <v>Tra_EV_Batt-NMC622_virgin_package</v>
      </c>
      <c r="AS28" s="164" t="str">
        <f t="shared" si="16"/>
        <v>Tra_EV_Batt-NMC622_virgin</v>
      </c>
      <c r="AT28" s="164" t="s">
        <v>192</v>
      </c>
      <c r="AU28" s="196">
        <f t="shared" si="5"/>
        <v>0.96</v>
      </c>
      <c r="AW28" s="152" t="s">
        <v>196</v>
      </c>
      <c r="AX28" s="294" t="str">
        <f t="shared" si="17"/>
        <v>Tra_EV_Batt-NMC811_virgin_package</v>
      </c>
      <c r="AY28" s="164" t="str">
        <f t="shared" si="18"/>
        <v>Tra_EV_Batt-NMC811_virgin</v>
      </c>
      <c r="AZ28" s="164" t="s">
        <v>192</v>
      </c>
      <c r="BA28" s="196">
        <f t="shared" si="6"/>
        <v>0.961</v>
      </c>
    </row>
    <row r="34" spans="13:53">
      <c r="AX34" s="171"/>
      <c r="AY34" s="171"/>
      <c r="AZ34" s="171" t="s">
        <v>193</v>
      </c>
      <c r="BA34" s="192"/>
    </row>
    <row r="35" spans="13:53">
      <c r="AW35" s="157" t="s">
        <v>194</v>
      </c>
      <c r="AX35" s="171" t="s">
        <v>76</v>
      </c>
      <c r="AY35" s="171" t="s">
        <v>80</v>
      </c>
      <c r="AZ35" s="171" t="s">
        <v>195</v>
      </c>
      <c r="BA35" s="192">
        <v>2019</v>
      </c>
    </row>
    <row r="36" spans="13:53">
      <c r="AW36" s="152" t="s">
        <v>196</v>
      </c>
      <c r="AX36" s="294" t="s">
        <v>197</v>
      </c>
      <c r="AY36" s="192" t="s">
        <v>198</v>
      </c>
      <c r="AZ36" s="164" t="s">
        <v>186</v>
      </c>
      <c r="BA36" s="196">
        <v>0</v>
      </c>
    </row>
    <row r="37" spans="13:53">
      <c r="AW37" s="152" t="s">
        <v>196</v>
      </c>
      <c r="AX37" s="294" t="str">
        <f t="shared" ref="AX37:AX42" si="19">AX36</f>
        <v>Tra_EV_Batt-Sodium_virgin_package</v>
      </c>
      <c r="AY37" s="164" t="str">
        <f t="shared" ref="AY37:AY42" si="20">AY36</f>
        <v>Tra_EV_Batt-Sodium_virgin</v>
      </c>
      <c r="AZ37" s="164" t="s">
        <v>187</v>
      </c>
      <c r="BA37" s="196">
        <v>0</v>
      </c>
    </row>
    <row r="38" spans="13:53">
      <c r="O38" s="347"/>
      <c r="AW38" s="152" t="s">
        <v>196</v>
      </c>
      <c r="AX38" s="294" t="str">
        <f t="shared" si="19"/>
        <v>Tra_EV_Batt-Sodium_virgin_package</v>
      </c>
      <c r="AY38" s="164" t="str">
        <f t="shared" si="20"/>
        <v>Tra_EV_Batt-Sodium_virgin</v>
      </c>
      <c r="AZ38" s="164" t="s">
        <v>188</v>
      </c>
      <c r="BA38" s="196">
        <v>0</v>
      </c>
    </row>
    <row r="39" spans="13:53">
      <c r="M39" s="157"/>
      <c r="N39" s="244"/>
      <c r="O39" s="244"/>
      <c r="P39" s="244"/>
      <c r="Q39" s="259"/>
      <c r="AW39" s="152" t="s">
        <v>196</v>
      </c>
      <c r="AX39" s="294" t="str">
        <f t="shared" si="19"/>
        <v>Tra_EV_Batt-Sodium_virgin_package</v>
      </c>
      <c r="AY39" s="164" t="str">
        <f t="shared" si="20"/>
        <v>Tra_EV_Batt-Sodium_virgin</v>
      </c>
      <c r="AZ39" s="164" t="s">
        <v>189</v>
      </c>
      <c r="BA39" s="196">
        <v>0</v>
      </c>
    </row>
    <row r="40" spans="13:53">
      <c r="M40" s="152"/>
      <c r="N40" s="344"/>
      <c r="O40" s="345"/>
      <c r="P40" s="345"/>
      <c r="Q40" s="346"/>
      <c r="AW40" s="152" t="s">
        <v>196</v>
      </c>
      <c r="AX40" s="294" t="str">
        <f t="shared" si="19"/>
        <v>Tra_EV_Batt-Sodium_virgin_package</v>
      </c>
      <c r="AY40" s="164" t="str">
        <f t="shared" si="20"/>
        <v>Tra_EV_Batt-Sodium_virgin</v>
      </c>
      <c r="AZ40" s="164" t="s">
        <v>190</v>
      </c>
      <c r="BA40" s="196">
        <f>Q26</f>
        <v>3.528</v>
      </c>
    </row>
    <row r="41" spans="13:53">
      <c r="M41" s="152"/>
      <c r="N41" s="344"/>
      <c r="O41" s="345"/>
      <c r="P41" s="345"/>
      <c r="Q41" s="346"/>
      <c r="AW41" s="152" t="s">
        <v>196</v>
      </c>
      <c r="AX41" s="294" t="str">
        <f t="shared" si="19"/>
        <v>Tra_EV_Batt-Sodium_virgin_package</v>
      </c>
      <c r="AY41" s="164" t="str">
        <f t="shared" si="20"/>
        <v>Tra_EV_Batt-Sodium_virgin</v>
      </c>
      <c r="AZ41" s="164" t="s">
        <v>191</v>
      </c>
      <c r="BA41" s="196">
        <v>0</v>
      </c>
    </row>
    <row r="42" spans="13:53">
      <c r="M42" s="152"/>
      <c r="N42" s="344"/>
      <c r="O42" s="345"/>
      <c r="P42" s="345"/>
      <c r="Q42" s="346"/>
      <c r="AW42" s="152" t="s">
        <v>196</v>
      </c>
      <c r="AX42" s="294" t="str">
        <f t="shared" si="19"/>
        <v>Tra_EV_Batt-Sodium_virgin_package</v>
      </c>
      <c r="AY42" s="164" t="str">
        <f t="shared" si="20"/>
        <v>Tra_EV_Batt-Sodium_virgin</v>
      </c>
      <c r="AZ42" s="164" t="s">
        <v>192</v>
      </c>
      <c r="BA42" s="196">
        <v>0</v>
      </c>
    </row>
    <row r="43" spans="13:53">
      <c r="M43" s="152"/>
      <c r="N43" s="344"/>
      <c r="O43" s="345"/>
      <c r="P43" s="345"/>
      <c r="Q43" s="346"/>
    </row>
    <row r="44" spans="13:53">
      <c r="M44" s="152"/>
      <c r="N44" s="344"/>
      <c r="O44" s="345"/>
      <c r="P44" s="345"/>
      <c r="Q44" s="346"/>
    </row>
    <row r="45" spans="13:53">
      <c r="M45" s="152"/>
      <c r="N45" s="344"/>
      <c r="O45" s="345"/>
      <c r="P45" s="345"/>
      <c r="Q45" s="346"/>
    </row>
    <row r="46" spans="13:53">
      <c r="M46" s="152"/>
      <c r="N46" s="344"/>
      <c r="O46" s="345"/>
      <c r="P46" s="345"/>
      <c r="Q46" s="346"/>
    </row>
    <row r="49" spans="49:58">
      <c r="AW49" s="348"/>
      <c r="AX49" s="310"/>
      <c r="AY49" s="310"/>
      <c r="AZ49" s="310" t="s">
        <v>199</v>
      </c>
      <c r="BA49" s="349"/>
    </row>
    <row r="50" spans="49:58">
      <c r="AW50" s="350" t="s">
        <v>194</v>
      </c>
      <c r="AX50" s="310" t="s">
        <v>76</v>
      </c>
      <c r="AY50" s="310" t="s">
        <v>80</v>
      </c>
      <c r="AZ50" s="310" t="s">
        <v>195</v>
      </c>
      <c r="BA50" s="349">
        <v>2020</v>
      </c>
      <c r="BB50">
        <v>0</v>
      </c>
    </row>
    <row r="51" spans="49:58">
      <c r="AW51" s="351" t="s">
        <v>196</v>
      </c>
      <c r="AX51" s="352"/>
      <c r="AY51" s="349" t="str">
        <f>O22</f>
        <v>Tra_EV_Batt-LFP_virgin</v>
      </c>
      <c r="AZ51" s="314"/>
      <c r="BE51" s="353">
        <v>5</v>
      </c>
      <c r="BF51">
        <v>5</v>
      </c>
    </row>
    <row r="52" spans="49:58">
      <c r="AW52" s="351" t="s">
        <v>196</v>
      </c>
      <c r="AX52" s="352"/>
      <c r="AY52" s="314" t="str">
        <f>U22</f>
        <v>Tra_EV_Batt-LMO_virgin</v>
      </c>
      <c r="AZ52" s="314"/>
      <c r="BE52" s="353">
        <v>5</v>
      </c>
      <c r="BF52">
        <v>5</v>
      </c>
    </row>
    <row r="53" spans="49:58">
      <c r="AW53" s="351" t="s">
        <v>196</v>
      </c>
      <c r="AX53" s="352"/>
      <c r="AY53" s="314" t="str">
        <f>AA22</f>
        <v>Tra_EV_Batt-NCA_virgin</v>
      </c>
      <c r="AZ53" s="314"/>
      <c r="BE53" s="353">
        <v>5</v>
      </c>
      <c r="BF53">
        <v>5</v>
      </c>
    </row>
    <row r="54" spans="49:58">
      <c r="AW54" s="351" t="s">
        <v>196</v>
      </c>
      <c r="AX54" s="352"/>
      <c r="AY54" s="314" t="str">
        <f>AG22</f>
        <v>Tra_EV_Batt-NMC111_virgin</v>
      </c>
      <c r="AZ54" s="314"/>
      <c r="BE54" s="353">
        <v>5</v>
      </c>
      <c r="BF54">
        <v>5</v>
      </c>
    </row>
    <row r="55" spans="49:58">
      <c r="AW55" s="351" t="s">
        <v>196</v>
      </c>
      <c r="AX55" s="352"/>
      <c r="AY55" s="314" t="str">
        <f>AS22</f>
        <v>Tra_EV_Batt-NMC622_virgin</v>
      </c>
      <c r="AZ55" s="314"/>
      <c r="BE55" s="353">
        <v>5</v>
      </c>
      <c r="BF55">
        <v>5</v>
      </c>
    </row>
    <row r="56" spans="49:58">
      <c r="AW56" s="351" t="s">
        <v>196</v>
      </c>
      <c r="AX56" s="352"/>
      <c r="AY56" s="314" t="str">
        <f>AY22</f>
        <v>Tra_EV_Batt-NMC811_virgin</v>
      </c>
      <c r="AZ56" s="314"/>
      <c r="BE56" s="353">
        <v>5</v>
      </c>
      <c r="BF56">
        <v>5</v>
      </c>
    </row>
    <row r="57" spans="49:58">
      <c r="AW57" s="351" t="s">
        <v>196</v>
      </c>
      <c r="AX57" s="352"/>
      <c r="AY57" s="314" t="str">
        <f>AM22</f>
        <v>Tra_EV_Batt-NMC532_virgin</v>
      </c>
      <c r="AZ57" s="314"/>
      <c r="BE57" s="353">
        <v>5</v>
      </c>
      <c r="BF57">
        <v>5</v>
      </c>
    </row>
    <row r="58" spans="49:58">
      <c r="AW58" s="351" t="s">
        <v>196</v>
      </c>
      <c r="AX58" s="352"/>
      <c r="AY58" s="314" t="str">
        <f>AY36</f>
        <v>Tra_EV_Batt-Sodium_virgin</v>
      </c>
      <c r="AZ58" s="314"/>
      <c r="BE58" s="353">
        <v>5</v>
      </c>
      <c r="BF58">
        <v>5</v>
      </c>
    </row>
    <row r="62" spans="49:58">
      <c r="AW62" s="348"/>
      <c r="AX62" s="310"/>
      <c r="AY62" s="310"/>
      <c r="AZ62" s="310" t="s">
        <v>200</v>
      </c>
      <c r="BA62" s="349"/>
    </row>
    <row r="63" spans="49:58">
      <c r="AW63" s="350" t="s">
        <v>194</v>
      </c>
      <c r="AX63" s="310" t="s">
        <v>76</v>
      </c>
      <c r="AY63" s="310" t="s">
        <v>80</v>
      </c>
      <c r="AZ63" s="310" t="s">
        <v>195</v>
      </c>
      <c r="BA63" s="349" t="s">
        <v>201</v>
      </c>
      <c r="BB63" t="s">
        <v>202</v>
      </c>
    </row>
    <row r="64" spans="49:58">
      <c r="AW64" s="351" t="s">
        <v>196</v>
      </c>
      <c r="AX64" s="352"/>
      <c r="AY64" s="349" t="s">
        <v>179</v>
      </c>
      <c r="AZ64" s="314"/>
      <c r="BA64" s="354">
        <v>1</v>
      </c>
      <c r="BD64">
        <v>2020</v>
      </c>
    </row>
    <row r="65" spans="49:56">
      <c r="AW65" s="351" t="s">
        <v>196</v>
      </c>
      <c r="AX65" s="352"/>
      <c r="AY65" s="314" t="s">
        <v>180</v>
      </c>
      <c r="AZ65" s="314"/>
      <c r="BA65" s="354">
        <v>1</v>
      </c>
      <c r="BD65" s="217">
        <v>2020</v>
      </c>
    </row>
    <row r="66" spans="49:56">
      <c r="AW66" s="351" t="s">
        <v>196</v>
      </c>
      <c r="AX66" s="352"/>
      <c r="AY66" s="314" t="s">
        <v>181</v>
      </c>
      <c r="AZ66" s="314"/>
      <c r="BA66" s="354">
        <f t="shared" ref="BA66:BA70" si="21">BA65</f>
        <v>1</v>
      </c>
      <c r="BD66">
        <v>2020</v>
      </c>
    </row>
    <row r="67" spans="49:56">
      <c r="AW67" s="351" t="s">
        <v>196</v>
      </c>
      <c r="AX67" s="352"/>
      <c r="AY67" s="314" t="s">
        <v>184</v>
      </c>
      <c r="AZ67" s="314"/>
      <c r="BA67" s="354">
        <f t="shared" si="21"/>
        <v>1</v>
      </c>
      <c r="BD67">
        <v>2020</v>
      </c>
    </row>
    <row r="68" spans="49:56">
      <c r="AW68" s="351" t="s">
        <v>196</v>
      </c>
      <c r="AX68" s="352"/>
      <c r="AY68" s="314" t="s">
        <v>185</v>
      </c>
      <c r="AZ68" s="314"/>
      <c r="BA68" s="354">
        <f t="shared" si="21"/>
        <v>1</v>
      </c>
      <c r="BD68">
        <v>2020</v>
      </c>
    </row>
    <row r="69" spans="49:56">
      <c r="AW69" s="351" t="s">
        <v>196</v>
      </c>
      <c r="AX69" s="352"/>
      <c r="AY69" s="314" t="s">
        <v>183</v>
      </c>
      <c r="AZ69" s="314"/>
      <c r="BA69" s="354">
        <f t="shared" si="21"/>
        <v>1</v>
      </c>
      <c r="BD69">
        <v>2020</v>
      </c>
    </row>
    <row r="70" spans="49:56">
      <c r="AW70" s="351" t="s">
        <v>196</v>
      </c>
      <c r="AX70" s="352"/>
      <c r="AY70" s="314" t="s">
        <v>198</v>
      </c>
      <c r="AZ70" s="314"/>
      <c r="BA70" s="354">
        <f t="shared" si="21"/>
        <v>1</v>
      </c>
      <c r="BD70">
        <v>2020</v>
      </c>
    </row>
    <row r="71" spans="49:56">
      <c r="AW71" t="s">
        <v>196</v>
      </c>
      <c r="AY71" t="s">
        <v>182</v>
      </c>
      <c r="BA71">
        <v>1</v>
      </c>
      <c r="BD71">
        <v>2020</v>
      </c>
    </row>
    <row r="79" spans="49:56">
      <c r="AZ79" t="s">
        <v>203</v>
      </c>
    </row>
    <row r="80" spans="49:56">
      <c r="AW80" t="s">
        <v>194</v>
      </c>
      <c r="AX80" t="s">
        <v>76</v>
      </c>
      <c r="AY80" t="s">
        <v>80</v>
      </c>
      <c r="AZ80" t="s">
        <v>195</v>
      </c>
      <c r="BA80">
        <v>2019</v>
      </c>
    </row>
    <row r="81" spans="49:53">
      <c r="AW81" t="s">
        <v>196</v>
      </c>
      <c r="AY81" t="s">
        <v>179</v>
      </c>
      <c r="BA81">
        <v>25</v>
      </c>
    </row>
    <row r="82" spans="49:53">
      <c r="AW82" t="s">
        <v>196</v>
      </c>
      <c r="AY82" t="s">
        <v>180</v>
      </c>
      <c r="BA82">
        <v>25</v>
      </c>
    </row>
    <row r="83" spans="49:53">
      <c r="AW83" t="s">
        <v>196</v>
      </c>
      <c r="AY83" t="s">
        <v>181</v>
      </c>
      <c r="BA83">
        <v>25</v>
      </c>
    </row>
    <row r="84" spans="49:53">
      <c r="AW84" t="s">
        <v>196</v>
      </c>
      <c r="AY84" t="s">
        <v>184</v>
      </c>
      <c r="BA84">
        <v>25</v>
      </c>
    </row>
    <row r="85" spans="49:53">
      <c r="AW85" t="s">
        <v>196</v>
      </c>
      <c r="AY85" t="s">
        <v>185</v>
      </c>
      <c r="BA85">
        <v>25</v>
      </c>
    </row>
    <row r="86" spans="49:53">
      <c r="AW86" t="s">
        <v>196</v>
      </c>
      <c r="AY86" t="s">
        <v>183</v>
      </c>
      <c r="BA86">
        <v>25</v>
      </c>
    </row>
    <row r="87" spans="49:53">
      <c r="AW87" t="s">
        <v>196</v>
      </c>
      <c r="AY87" t="s">
        <v>198</v>
      </c>
      <c r="BA87">
        <v>25</v>
      </c>
    </row>
    <row r="88" spans="49:53">
      <c r="AW88" t="s">
        <v>196</v>
      </c>
      <c r="AY88" t="s">
        <v>182</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27" zoomScaleNormal="27" topLeftCell="A18" workbookViewId="0">
      <selection activeCell="K30" sqref="K30"/>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200</v>
      </c>
    </row>
    <row r="7" spans="4:31">
      <c r="D7" t="s">
        <v>80</v>
      </c>
      <c r="E7" t="s">
        <v>195</v>
      </c>
      <c r="F7" t="s">
        <v>204</v>
      </c>
      <c r="G7" t="s">
        <v>76</v>
      </c>
      <c r="H7" t="s">
        <v>205</v>
      </c>
      <c r="I7" t="s">
        <v>206</v>
      </c>
      <c r="J7" t="s">
        <v>207</v>
      </c>
      <c r="O7" t="s">
        <v>80</v>
      </c>
      <c r="P7" t="s">
        <v>195</v>
      </c>
      <c r="Q7" t="s">
        <v>204</v>
      </c>
      <c r="R7" t="s">
        <v>76</v>
      </c>
      <c r="S7" t="s">
        <v>205</v>
      </c>
      <c r="T7" t="s">
        <v>206</v>
      </c>
      <c r="U7" t="s">
        <v>207</v>
      </c>
      <c r="V7" t="s">
        <v>208</v>
      </c>
      <c r="AE7" s="171"/>
    </row>
    <row r="8" ht="16" spans="4:31">
      <c r="D8" s="171" t="s">
        <v>209</v>
      </c>
      <c r="E8" t="s">
        <v>210</v>
      </c>
      <c r="G8" t="s">
        <v>210</v>
      </c>
      <c r="I8" t="s">
        <v>211</v>
      </c>
      <c r="L8" s="75"/>
      <c r="O8" s="340" t="s">
        <v>209</v>
      </c>
      <c r="P8" t="s">
        <v>210</v>
      </c>
      <c r="R8" t="s">
        <v>210</v>
      </c>
      <c r="T8" t="s">
        <v>211</v>
      </c>
    </row>
    <row r="9" spans="4:31">
      <c r="D9" s="308"/>
      <c r="E9" s="308"/>
      <c r="F9" s="341"/>
      <c r="G9" s="308"/>
      <c r="H9" s="308" t="s">
        <v>212</v>
      </c>
      <c r="I9" s="308" t="str">
        <f t="shared" ref="I9:I13" si="0">H9</f>
        <v>AuxStoOUT</v>
      </c>
      <c r="J9" s="342">
        <v>1.08695652173913</v>
      </c>
      <c r="L9" s="75"/>
      <c r="Q9" s="343"/>
      <c r="S9" t="s">
        <v>212</v>
      </c>
      <c r="T9" t="s">
        <v>212</v>
      </c>
      <c r="U9" s="75">
        <v>1.08695652173913</v>
      </c>
    </row>
    <row r="10" spans="4:31">
      <c r="D10" s="171" t="s">
        <v>213</v>
      </c>
      <c r="E10" t="s">
        <v>210</v>
      </c>
      <c r="G10" t="s">
        <v>210</v>
      </c>
      <c r="I10" t="s">
        <v>211</v>
      </c>
      <c r="L10" s="75"/>
      <c r="Q10" s="343"/>
      <c r="S10" s="343" t="s">
        <v>214</v>
      </c>
      <c r="T10" t="s">
        <v>210</v>
      </c>
      <c r="V10">
        <v>1</v>
      </c>
    </row>
    <row r="11" spans="4:31">
      <c r="E11" s="308"/>
      <c r="F11" s="341"/>
      <c r="G11" s="308"/>
      <c r="H11" s="308" t="s">
        <v>212</v>
      </c>
      <c r="I11" s="308" t="str">
        <f t="shared" si="0"/>
        <v>AuxStoOUT</v>
      </c>
      <c r="J11" s="342">
        <v>1.08695652173913</v>
      </c>
    </row>
    <row r="12" spans="4:31">
      <c r="D12" s="171" t="s">
        <v>215</v>
      </c>
      <c r="E12" t="s">
        <v>210</v>
      </c>
      <c r="G12" t="s">
        <v>210</v>
      </c>
      <c r="I12" t="s">
        <v>211</v>
      </c>
    </row>
    <row r="13" spans="4:31">
      <c r="E13" s="308"/>
      <c r="F13" s="341"/>
      <c r="G13" s="308"/>
      <c r="H13" s="308" t="s">
        <v>212</v>
      </c>
      <c r="I13" s="308" t="str">
        <f t="shared" si="0"/>
        <v>AuxStoOUT</v>
      </c>
      <c r="J13" s="342">
        <v>1.08695652173913</v>
      </c>
    </row>
    <row r="14" spans="4:31">
      <c r="D14" s="171" t="s">
        <v>216</v>
      </c>
      <c r="E14" t="s">
        <v>210</v>
      </c>
      <c r="G14" t="s">
        <v>210</v>
      </c>
      <c r="I14" t="s">
        <v>211</v>
      </c>
    </row>
    <row r="15" spans="4:31">
      <c r="E15" s="308"/>
      <c r="F15" s="341"/>
      <c r="G15" s="308"/>
      <c r="H15" s="308" t="s">
        <v>212</v>
      </c>
      <c r="I15" s="308" t="str">
        <f t="shared" ref="I15:I19" si="1">H15</f>
        <v>AuxStoOUT</v>
      </c>
      <c r="J15" s="342">
        <v>1.08695652173913</v>
      </c>
    </row>
    <row r="16" spans="4:31">
      <c r="D16" s="171" t="s">
        <v>217</v>
      </c>
      <c r="E16" t="s">
        <v>210</v>
      </c>
      <c r="G16" t="s">
        <v>210</v>
      </c>
      <c r="I16" t="s">
        <v>211</v>
      </c>
    </row>
    <row r="17" spans="4:22">
      <c r="E17" s="308"/>
      <c r="F17" s="341"/>
      <c r="G17" s="308"/>
      <c r="H17" s="308" t="s">
        <v>212</v>
      </c>
      <c r="I17" s="308" t="str">
        <f t="shared" si="1"/>
        <v>AuxStoOUT</v>
      </c>
      <c r="J17" s="342">
        <v>1.08695652173913</v>
      </c>
    </row>
    <row r="18" spans="4:22">
      <c r="D18" s="171" t="s">
        <v>218</v>
      </c>
      <c r="E18" t="s">
        <v>210</v>
      </c>
      <c r="G18" t="s">
        <v>210</v>
      </c>
      <c r="I18" t="s">
        <v>211</v>
      </c>
      <c r="T18" t="s">
        <v>200</v>
      </c>
    </row>
    <row r="19" spans="4:22">
      <c r="E19" s="308"/>
      <c r="F19" s="341"/>
      <c r="G19" s="308"/>
      <c r="H19" s="308" t="s">
        <v>212</v>
      </c>
      <c r="I19" s="308" t="str">
        <f t="shared" si="1"/>
        <v>AuxStoOUT</v>
      </c>
      <c r="J19" s="342">
        <v>1.08695652173913</v>
      </c>
      <c r="O19" t="s">
        <v>80</v>
      </c>
      <c r="P19" t="s">
        <v>195</v>
      </c>
      <c r="Q19" t="s">
        <v>204</v>
      </c>
      <c r="R19" t="s">
        <v>76</v>
      </c>
      <c r="S19" t="s">
        <v>205</v>
      </c>
      <c r="T19" t="s">
        <v>206</v>
      </c>
      <c r="U19" t="s">
        <v>207</v>
      </c>
      <c r="V19" t="s">
        <v>208</v>
      </c>
    </row>
    <row r="20" ht="16" spans="4:22">
      <c r="D20" s="171" t="s">
        <v>219</v>
      </c>
      <c r="E20" t="s">
        <v>210</v>
      </c>
      <c r="G20" t="s">
        <v>210</v>
      </c>
      <c r="I20" t="s">
        <v>211</v>
      </c>
      <c r="O20" s="340" t="s">
        <v>213</v>
      </c>
      <c r="P20" t="s">
        <v>210</v>
      </c>
      <c r="R20" t="s">
        <v>210</v>
      </c>
      <c r="T20" t="s">
        <v>211</v>
      </c>
    </row>
    <row r="21" spans="4:22">
      <c r="E21" s="308"/>
      <c r="F21" s="341"/>
      <c r="G21" s="308"/>
      <c r="H21" s="308" t="s">
        <v>212</v>
      </c>
      <c r="I21" s="308" t="str">
        <f>H21</f>
        <v>AuxStoOUT</v>
      </c>
      <c r="J21" s="342">
        <v>1.08695652173913</v>
      </c>
      <c r="Q21" s="343"/>
      <c r="S21" t="s">
        <v>212</v>
      </c>
      <c r="T21" t="s">
        <v>212</v>
      </c>
      <c r="U21" s="75">
        <v>1.08695652173913</v>
      </c>
    </row>
    <row r="22" spans="4:22">
      <c r="Q22" s="343"/>
      <c r="S22" s="343" t="s">
        <v>214</v>
      </c>
      <c r="T22" t="s">
        <v>210</v>
      </c>
      <c r="V22">
        <v>1</v>
      </c>
    </row>
    <row r="28" spans="4:22">
      <c r="T28" t="s">
        <v>200</v>
      </c>
    </row>
    <row r="29" spans="4:22">
      <c r="O29" t="s">
        <v>80</v>
      </c>
      <c r="P29" t="s">
        <v>195</v>
      </c>
      <c r="Q29" t="s">
        <v>204</v>
      </c>
      <c r="R29" t="s">
        <v>76</v>
      </c>
      <c r="S29" t="s">
        <v>205</v>
      </c>
      <c r="T29" t="s">
        <v>206</v>
      </c>
      <c r="U29" t="s">
        <v>207</v>
      </c>
      <c r="V29" t="s">
        <v>208</v>
      </c>
    </row>
    <row r="30" ht="16" spans="4:22">
      <c r="O30" s="340" t="s">
        <v>215</v>
      </c>
      <c r="P30" t="s">
        <v>210</v>
      </c>
      <c r="R30" t="s">
        <v>210</v>
      </c>
      <c r="T30" t="s">
        <v>211</v>
      </c>
    </row>
    <row r="31" spans="4:22">
      <c r="Q31" s="343"/>
      <c r="S31" t="s">
        <v>212</v>
      </c>
      <c r="T31" t="s">
        <v>212</v>
      </c>
      <c r="U31" s="75">
        <v>1.08695652173913</v>
      </c>
    </row>
    <row r="32" spans="4:22">
      <c r="Q32" s="343"/>
      <c r="S32" s="343" t="s">
        <v>214</v>
      </c>
      <c r="T32" t="s">
        <v>210</v>
      </c>
      <c r="V32">
        <v>1</v>
      </c>
    </row>
    <row r="39" spans="15:22">
      <c r="T39" t="s">
        <v>200</v>
      </c>
    </row>
    <row r="40" spans="15:22">
      <c r="O40" t="s">
        <v>80</v>
      </c>
      <c r="P40" t="s">
        <v>195</v>
      </c>
      <c r="Q40" t="s">
        <v>204</v>
      </c>
      <c r="R40" t="s">
        <v>76</v>
      </c>
      <c r="S40" t="s">
        <v>205</v>
      </c>
      <c r="T40" t="s">
        <v>206</v>
      </c>
      <c r="U40" t="s">
        <v>207</v>
      </c>
      <c r="V40" t="s">
        <v>208</v>
      </c>
    </row>
    <row r="41" ht="16" spans="15:22">
      <c r="O41" s="178" t="s">
        <v>216</v>
      </c>
      <c r="P41" t="s">
        <v>210</v>
      </c>
      <c r="R41" t="s">
        <v>210</v>
      </c>
      <c r="T41" t="s">
        <v>211</v>
      </c>
    </row>
    <row r="42" spans="15:22">
      <c r="Q42" s="343"/>
      <c r="S42" t="s">
        <v>212</v>
      </c>
      <c r="T42" t="s">
        <v>212</v>
      </c>
      <c r="U42" s="75">
        <v>1.08695652173913</v>
      </c>
    </row>
    <row r="43" spans="15:22">
      <c r="Q43" s="343"/>
      <c r="S43" s="343" t="s">
        <v>214</v>
      </c>
      <c r="T43" t="s">
        <v>210</v>
      </c>
      <c r="V43">
        <v>1</v>
      </c>
    </row>
    <row r="50" spans="15:22">
      <c r="T50" t="s">
        <v>200</v>
      </c>
    </row>
    <row r="51" spans="15:22">
      <c r="O51" t="s">
        <v>80</v>
      </c>
      <c r="P51" t="s">
        <v>195</v>
      </c>
      <c r="Q51" t="s">
        <v>204</v>
      </c>
      <c r="R51" t="s">
        <v>76</v>
      </c>
      <c r="S51" t="s">
        <v>205</v>
      </c>
      <c r="T51" t="s">
        <v>206</v>
      </c>
      <c r="U51" t="s">
        <v>207</v>
      </c>
      <c r="V51" t="s">
        <v>208</v>
      </c>
    </row>
    <row r="52" ht="16" spans="15:22">
      <c r="O52" s="178" t="s">
        <v>217</v>
      </c>
      <c r="P52" t="s">
        <v>210</v>
      </c>
      <c r="R52" t="s">
        <v>210</v>
      </c>
      <c r="T52" t="s">
        <v>211</v>
      </c>
    </row>
    <row r="53" spans="15:22">
      <c r="Q53" s="343"/>
      <c r="S53" t="s">
        <v>212</v>
      </c>
      <c r="T53" t="s">
        <v>212</v>
      </c>
      <c r="U53" s="75">
        <v>1.08695652173913</v>
      </c>
    </row>
    <row r="54" spans="15:22">
      <c r="Q54" s="343"/>
      <c r="S54" s="343" t="s">
        <v>214</v>
      </c>
      <c r="T54" t="s">
        <v>210</v>
      </c>
      <c r="V54">
        <v>1</v>
      </c>
    </row>
    <row r="60" spans="15:22">
      <c r="T60" t="s">
        <v>200</v>
      </c>
    </row>
    <row r="61" spans="15:22">
      <c r="O61" t="s">
        <v>80</v>
      </c>
      <c r="P61" t="s">
        <v>195</v>
      </c>
      <c r="Q61" t="s">
        <v>204</v>
      </c>
      <c r="R61" t="s">
        <v>76</v>
      </c>
      <c r="S61" t="s">
        <v>205</v>
      </c>
      <c r="T61" t="s">
        <v>206</v>
      </c>
      <c r="U61" t="s">
        <v>207</v>
      </c>
      <c r="V61" t="s">
        <v>208</v>
      </c>
    </row>
    <row r="62" ht="16" spans="15:22">
      <c r="O62" s="178" t="s">
        <v>218</v>
      </c>
      <c r="P62" t="s">
        <v>210</v>
      </c>
      <c r="R62" t="s">
        <v>210</v>
      </c>
      <c r="T62" t="s">
        <v>211</v>
      </c>
    </row>
    <row r="63" spans="15:22">
      <c r="Q63" s="343"/>
      <c r="S63" t="s">
        <v>212</v>
      </c>
      <c r="T63" t="s">
        <v>212</v>
      </c>
      <c r="U63" s="75">
        <v>1.08695652173913</v>
      </c>
    </row>
    <row r="64" spans="15:22">
      <c r="Q64" s="343"/>
      <c r="S64" s="343" t="s">
        <v>214</v>
      </c>
      <c r="T64" t="s">
        <v>210</v>
      </c>
      <c r="V64">
        <v>1</v>
      </c>
    </row>
    <row r="70" spans="15:22">
      <c r="T70" t="s">
        <v>200</v>
      </c>
    </row>
    <row r="71" spans="15:22">
      <c r="O71" t="s">
        <v>80</v>
      </c>
      <c r="P71" t="s">
        <v>195</v>
      </c>
      <c r="Q71" t="s">
        <v>204</v>
      </c>
      <c r="R71" t="s">
        <v>76</v>
      </c>
      <c r="S71" t="s">
        <v>205</v>
      </c>
      <c r="T71" t="s">
        <v>206</v>
      </c>
      <c r="U71" t="s">
        <v>207</v>
      </c>
      <c r="V71" t="s">
        <v>208</v>
      </c>
    </row>
    <row r="72" ht="16" spans="15:22">
      <c r="O72" s="178" t="s">
        <v>219</v>
      </c>
      <c r="P72" t="s">
        <v>210</v>
      </c>
      <c r="R72" t="s">
        <v>210</v>
      </c>
      <c r="T72" t="s">
        <v>211</v>
      </c>
    </row>
    <row r="73" spans="15:22">
      <c r="Q73" s="343"/>
      <c r="S73" t="s">
        <v>212</v>
      </c>
      <c r="T73" t="s">
        <v>212</v>
      </c>
      <c r="U73" s="75">
        <v>1.08695652173913</v>
      </c>
    </row>
    <row r="74" spans="15:22">
      <c r="Q74" s="343"/>
      <c r="S74" s="343" t="s">
        <v>214</v>
      </c>
      <c r="T74" t="s">
        <v>210</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zoomScale="50" zoomScaleNormal="50" topLeftCell="S72" workbookViewId="0">
      <selection activeCell="AA122" sqref="AA122"/>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48.6545454545455" style="171" customWidth="1"/>
    <col min="23" max="23" width="122.527272727273" style="171" hidden="1" customWidth="1"/>
    <col min="24" max="24" width="22.5272727272727" style="171" hidden="1" customWidth="1"/>
    <col min="25" max="25" width="14.7272727272727" style="171" hidden="1" customWidth="1"/>
    <col min="26" max="26" width="17.2727272727273" style="171" hidden="1" customWidth="1"/>
    <col min="27" max="27" width="33.6" style="171" customWidth="1"/>
    <col min="28" max="28" width="14.3363636363636" style="171" customWidth="1"/>
    <col min="29" max="29" width="27.1" style="171" customWidth="1"/>
    <col min="30" max="30" width="10.2636363636364" style="171" customWidth="1"/>
    <col min="31" max="31" width="35.9272727272727" style="171" customWidth="1"/>
    <col min="32" max="32" width="13.8181818181818" style="171" customWidth="1"/>
    <col min="33" max="33" width="22.2636363636364" style="171" customWidth="1"/>
    <col min="34" max="34" width="22.5272727272727" style="171" customWidth="1"/>
    <col min="35" max="35" width="27.1818181818182"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220</v>
      </c>
      <c r="BF1" s="171" t="s">
        <v>221</v>
      </c>
    </row>
    <row r="3" ht="14.55" customHeight="1" spans="1:72">
      <c r="P3" s="192"/>
      <c r="Q3" s="192"/>
      <c r="U3" s="192" t="s">
        <v>72</v>
      </c>
      <c r="V3" s="192"/>
      <c r="W3" s="192"/>
      <c r="X3" s="192"/>
      <c r="Y3" s="192"/>
      <c r="Z3" s="192"/>
      <c r="AA3" s="192"/>
      <c r="AB3" s="192"/>
      <c r="AC3" s="192"/>
      <c r="AD3" s="171" t="s">
        <v>222</v>
      </c>
      <c r="AU3" s="192"/>
      <c r="AV3" s="192"/>
      <c r="AW3" s="192"/>
      <c r="AX3" s="192"/>
      <c r="AY3" s="192"/>
      <c r="AZ3" s="192" t="s">
        <v>223</v>
      </c>
      <c r="BA3" s="192"/>
      <c r="BB3" s="192"/>
      <c r="BC3" s="192"/>
      <c r="BD3" s="192"/>
      <c r="BE3" s="192"/>
      <c r="BF3" s="192"/>
      <c r="BG3" s="192"/>
      <c r="BH3" s="192"/>
    </row>
    <row r="4" ht="14.55" customHeight="1" spans="1:72">
      <c r="P4" s="192"/>
      <c r="Q4" s="192"/>
      <c r="U4" s="192" t="s">
        <v>79</v>
      </c>
      <c r="V4" s="192" t="s">
        <v>80</v>
      </c>
      <c r="W4" s="192" t="s">
        <v>81</v>
      </c>
      <c r="X4" s="192" t="s">
        <v>82</v>
      </c>
      <c r="Y4" s="192" t="s">
        <v>83</v>
      </c>
      <c r="Z4" s="192" t="s">
        <v>224</v>
      </c>
      <c r="AA4" s="192" t="s">
        <v>225</v>
      </c>
      <c r="AB4" s="192" t="s">
        <v>226</v>
      </c>
      <c r="AC4" s="192"/>
      <c r="AD4" s="171" t="s">
        <v>227</v>
      </c>
      <c r="AE4" s="171" t="s">
        <v>228</v>
      </c>
      <c r="AF4" s="171" t="s">
        <v>229</v>
      </c>
      <c r="AG4" s="171" t="s">
        <v>230</v>
      </c>
      <c r="AH4" s="171" t="s">
        <v>231</v>
      </c>
      <c r="AI4" s="171" t="s">
        <v>194</v>
      </c>
      <c r="AJ4" s="171" t="s">
        <v>232</v>
      </c>
      <c r="AK4" s="171" t="s">
        <v>233</v>
      </c>
      <c r="AL4" s="171" t="s">
        <v>234</v>
      </c>
      <c r="AN4" s="194" t="s">
        <v>235</v>
      </c>
      <c r="AO4" s="194" t="s">
        <v>236</v>
      </c>
      <c r="AP4" s="194" t="s">
        <v>237</v>
      </c>
      <c r="AQ4" s="194" t="s">
        <v>238</v>
      </c>
      <c r="AT4" s="192" t="s">
        <v>80</v>
      </c>
      <c r="AU4" s="171" t="s">
        <v>206</v>
      </c>
      <c r="AV4" s="192" t="s">
        <v>195</v>
      </c>
      <c r="AW4" s="192" t="s">
        <v>76</v>
      </c>
      <c r="AX4" s="192" t="s">
        <v>205</v>
      </c>
      <c r="AY4" s="192" t="s">
        <v>239</v>
      </c>
      <c r="AZ4" s="192" t="s">
        <v>202</v>
      </c>
      <c r="BA4" s="192" t="s">
        <v>73</v>
      </c>
      <c r="BB4" s="171" t="s">
        <v>240</v>
      </c>
      <c r="BC4" s="192" t="s">
        <v>201</v>
      </c>
      <c r="BD4" s="192" t="s">
        <v>241</v>
      </c>
      <c r="BE4" s="171" t="s">
        <v>242</v>
      </c>
      <c r="BF4" s="192" t="s">
        <v>243</v>
      </c>
      <c r="BG4" s="285" t="s">
        <v>244</v>
      </c>
      <c r="BH4" s="192" t="s">
        <v>245</v>
      </c>
      <c r="BI4" s="171" t="s">
        <v>246</v>
      </c>
      <c r="BJ4" s="171" t="s">
        <v>207</v>
      </c>
      <c r="BK4" s="171" t="s">
        <v>208</v>
      </c>
      <c r="BR4" s="285" t="s">
        <v>247</v>
      </c>
      <c r="BS4" s="192" t="s">
        <v>206</v>
      </c>
      <c r="BT4" s="192" t="s">
        <v>247</v>
      </c>
    </row>
    <row r="5" ht="14.55" customHeight="1" spans="1:72">
      <c r="B5" s="164"/>
      <c r="C5" s="164"/>
      <c r="D5" s="164"/>
      <c r="E5" s="164"/>
      <c r="F5" s="164"/>
      <c r="G5" s="164"/>
      <c r="H5" s="164"/>
      <c r="I5" s="164"/>
      <c r="J5" s="164"/>
      <c r="P5" s="192"/>
      <c r="Q5" s="192"/>
      <c r="U5" s="171" t="s">
        <v>248</v>
      </c>
      <c r="V5" s="192" t="str">
        <f>AT5</f>
        <v>Tra_BEV_Batt_VtoG</v>
      </c>
      <c r="W5" s="192" t="s">
        <v>249</v>
      </c>
      <c r="X5" s="192" t="s">
        <v>250</v>
      </c>
      <c r="Y5" s="192" t="s">
        <v>251</v>
      </c>
      <c r="Z5" s="192" t="s">
        <v>252</v>
      </c>
      <c r="AA5" s="192"/>
      <c r="AB5" s="192"/>
      <c r="AC5" s="192"/>
      <c r="AD5" s="171" t="s">
        <v>253</v>
      </c>
      <c r="AE5" s="171" t="s">
        <v>186</v>
      </c>
      <c r="AI5" s="171" t="s">
        <v>254</v>
      </c>
      <c r="AL5" s="171" t="s">
        <v>255</v>
      </c>
      <c r="AT5" s="192" t="s">
        <v>256</v>
      </c>
      <c r="AU5" s="171" t="s">
        <v>211</v>
      </c>
      <c r="AV5" s="192" t="s">
        <v>257</v>
      </c>
      <c r="AW5" s="192" t="s">
        <v>210</v>
      </c>
      <c r="AX5" s="200"/>
      <c r="AY5" s="286">
        <v>100</v>
      </c>
      <c r="AZ5" s="192">
        <v>2030</v>
      </c>
      <c r="BA5" s="192">
        <f>0.95^2</f>
        <v>0.9025</v>
      </c>
      <c r="BB5" s="171">
        <v>12</v>
      </c>
      <c r="BC5" s="287">
        <v>31.54</v>
      </c>
      <c r="BD5" s="288">
        <v>100</v>
      </c>
      <c r="BE5" s="171">
        <f>AY5*3%</f>
        <v>3</v>
      </c>
      <c r="BF5" s="171">
        <f>BD5*3%</f>
        <v>3</v>
      </c>
      <c r="BG5" s="164">
        <v>5</v>
      </c>
      <c r="BH5" s="171">
        <v>5</v>
      </c>
      <c r="BI5" s="277">
        <v>0.2</v>
      </c>
      <c r="BR5" s="289">
        <v>1</v>
      </c>
      <c r="BS5" s="192" t="s">
        <v>211</v>
      </c>
      <c r="BT5" s="287">
        <f>24/6</f>
        <v>4</v>
      </c>
    </row>
    <row r="6" ht="14.55" customHeight="1" spans="1:72">
      <c r="B6" s="290" t="s">
        <v>76</v>
      </c>
      <c r="C6" s="291" t="s">
        <v>258</v>
      </c>
      <c r="D6" s="291" t="s">
        <v>186</v>
      </c>
      <c r="E6" s="291" t="s">
        <v>187</v>
      </c>
      <c r="F6" s="291" t="s">
        <v>188</v>
      </c>
      <c r="G6" s="291" t="s">
        <v>189</v>
      </c>
      <c r="H6" s="291" t="s">
        <v>190</v>
      </c>
      <c r="I6" s="291" t="s">
        <v>191</v>
      </c>
      <c r="J6" s="291" t="s">
        <v>192</v>
      </c>
      <c r="P6" s="192"/>
      <c r="Q6" s="192"/>
      <c r="U6" s="192" t="s">
        <v>259</v>
      </c>
      <c r="V6" s="192" t="str">
        <f t="shared" ref="V6:V12" si="0">B22</f>
        <v>Tra_EV_Batt-LFP_virgin_pack</v>
      </c>
      <c r="W6" s="192" t="str">
        <f>_xlfn.TEXTJOIN("; ",TRUE,AO6:AQ6)</f>
        <v>Lithium Iron Phosphate; High safety, long cycle life, lower energy density; EVs, energy storage systems</v>
      </c>
      <c r="X6" s="192" t="s">
        <v>250</v>
      </c>
      <c r="Y6" s="192" t="s">
        <v>260</v>
      </c>
      <c r="Z6" s="192" t="s">
        <v>252</v>
      </c>
      <c r="AA6" s="192"/>
      <c r="AB6" s="192"/>
      <c r="AC6" s="192"/>
      <c r="AE6" s="171" t="s">
        <v>187</v>
      </c>
      <c r="AI6" s="171" t="s">
        <v>254</v>
      </c>
      <c r="AL6" s="171" t="s">
        <v>255</v>
      </c>
      <c r="AN6" s="195" t="s">
        <v>261</v>
      </c>
      <c r="AO6" s="195" t="s">
        <v>262</v>
      </c>
      <c r="AP6" s="195" t="s">
        <v>263</v>
      </c>
      <c r="AQ6" s="195" t="s">
        <v>264</v>
      </c>
      <c r="AU6" s="171" t="s">
        <v>212</v>
      </c>
      <c r="AX6" s="171" t="s">
        <v>212</v>
      </c>
      <c r="BJ6" s="171">
        <v>1.08695652173913</v>
      </c>
      <c r="BS6" s="171" t="s">
        <v>265</v>
      </c>
    </row>
    <row r="7" ht="14.55" customHeight="1" spans="1:72">
      <c r="B7" s="292" t="s">
        <v>172</v>
      </c>
      <c r="C7" s="291" t="s">
        <v>179</v>
      </c>
      <c r="D7" s="291">
        <v>0.095</v>
      </c>
      <c r="E7" s="291">
        <v>0</v>
      </c>
      <c r="F7" s="291">
        <v>0</v>
      </c>
      <c r="G7" s="291">
        <v>0</v>
      </c>
      <c r="H7" s="291">
        <v>3.528</v>
      </c>
      <c r="I7" s="291">
        <v>0.946</v>
      </c>
      <c r="J7" s="291">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250</v>
      </c>
      <c r="Y7" s="192" t="s">
        <v>260</v>
      </c>
      <c r="Z7" s="192" t="s">
        <v>252</v>
      </c>
      <c r="AA7" s="192"/>
      <c r="AB7" s="192"/>
      <c r="AC7" s="192"/>
      <c r="AE7" s="171" t="s">
        <v>188</v>
      </c>
      <c r="AI7" s="171" t="s">
        <v>254</v>
      </c>
      <c r="AL7" s="171" t="s">
        <v>255</v>
      </c>
      <c r="AN7" s="195" t="s">
        <v>266</v>
      </c>
      <c r="AO7" s="195" t="s">
        <v>267</v>
      </c>
      <c r="AP7" s="195" t="s">
        <v>268</v>
      </c>
      <c r="AQ7" s="195" t="s">
        <v>269</v>
      </c>
      <c r="AU7" s="171" t="s">
        <v>210</v>
      </c>
      <c r="AX7" s="171" t="s">
        <v>214</v>
      </c>
      <c r="BK7" s="171">
        <v>1</v>
      </c>
    </row>
    <row r="8" ht="18" customHeight="1" spans="1:72">
      <c r="B8" s="291" t="s">
        <v>173</v>
      </c>
      <c r="C8" s="291" t="s">
        <v>180</v>
      </c>
      <c r="D8" s="291">
        <v>0.106</v>
      </c>
      <c r="E8" s="291">
        <v>0</v>
      </c>
      <c r="F8" s="291">
        <v>0</v>
      </c>
      <c r="G8" s="291">
        <v>1.396</v>
      </c>
      <c r="H8" s="291">
        <v>3.369</v>
      </c>
      <c r="I8" s="291">
        <v>0.863</v>
      </c>
      <c r="J8" s="291">
        <v>0.911</v>
      </c>
      <c r="P8" s="196"/>
      <c r="Q8" s="196"/>
      <c r="U8" s="200"/>
      <c r="V8" s="192" t="str">
        <f t="shared" si="0"/>
        <v>Tra_EV_Batt-NCA_virgin_pack</v>
      </c>
      <c r="W8" s="192" t="str">
        <f t="shared" si="1"/>
        <v>Nickel Cobalt Aluminum Oxide; High energy density, long cycle life, higher cost; Premium EVs, energy storage</v>
      </c>
      <c r="X8" s="192" t="s">
        <v>250</v>
      </c>
      <c r="Y8" s="192" t="s">
        <v>260</v>
      </c>
      <c r="Z8" s="192" t="s">
        <v>252</v>
      </c>
      <c r="AA8" s="199"/>
      <c r="AB8" s="199"/>
      <c r="AC8" s="199"/>
      <c r="AE8" s="171" t="s">
        <v>189</v>
      </c>
      <c r="AI8" s="171" t="s">
        <v>254</v>
      </c>
      <c r="AL8" s="171" t="s">
        <v>255</v>
      </c>
      <c r="AN8" s="195" t="s">
        <v>270</v>
      </c>
      <c r="AO8" s="195" t="s">
        <v>271</v>
      </c>
      <c r="AP8" s="195" t="s">
        <v>272</v>
      </c>
      <c r="AQ8" s="195" t="s">
        <v>273</v>
      </c>
      <c r="BR8" s="195" t="s">
        <v>274</v>
      </c>
      <c r="BS8" s="195" t="s">
        <v>275</v>
      </c>
    </row>
    <row r="9" ht="18" spans="1:72">
      <c r="B9" s="291" t="s">
        <v>174</v>
      </c>
      <c r="C9" s="291" t="s">
        <v>181</v>
      </c>
      <c r="D9" s="291">
        <v>0.102</v>
      </c>
      <c r="E9" s="291">
        <v>0.672</v>
      </c>
      <c r="F9" s="291">
        <v>0.127</v>
      </c>
      <c r="G9" s="291">
        <v>0</v>
      </c>
      <c r="H9" s="291">
        <v>2.92</v>
      </c>
      <c r="I9" s="291">
        <v>0.564</v>
      </c>
      <c r="J9" s="291">
        <v>0.978</v>
      </c>
      <c r="P9" s="196"/>
      <c r="Q9" s="196"/>
      <c r="U9" s="200"/>
      <c r="V9" s="192" t="str">
        <f t="shared" si="0"/>
        <v>Tra_EV_Batt-NMC111_virgin_pack</v>
      </c>
      <c r="W9" s="192" t="str">
        <f t="shared" si="1"/>
        <v>Nickel Manganese Cobalt (1:1:1); Balanced energy density, safety, and cost; Consumer electronics, EVs</v>
      </c>
      <c r="X9" s="192" t="s">
        <v>250</v>
      </c>
      <c r="Y9" s="192" t="s">
        <v>260</v>
      </c>
      <c r="Z9" s="192" t="s">
        <v>252</v>
      </c>
      <c r="AA9" s="199"/>
      <c r="AB9" s="199"/>
      <c r="AC9" s="199"/>
      <c r="AE9" s="171" t="s">
        <v>190</v>
      </c>
      <c r="AI9" s="171" t="s">
        <v>254</v>
      </c>
      <c r="AL9" s="171" t="s">
        <v>255</v>
      </c>
      <c r="AN9" s="195" t="s">
        <v>276</v>
      </c>
      <c r="AO9" s="195" t="s">
        <v>277</v>
      </c>
      <c r="AP9" s="195" t="s">
        <v>278</v>
      </c>
      <c r="AQ9" s="195" t="s">
        <v>279</v>
      </c>
      <c r="AU9" s="192"/>
      <c r="AV9" s="192"/>
      <c r="AW9" s="192"/>
      <c r="AX9" s="192"/>
      <c r="AY9" s="192"/>
      <c r="AZ9" s="192" t="s">
        <v>280</v>
      </c>
      <c r="BA9" s="192"/>
      <c r="BB9" s="192"/>
      <c r="BC9" s="192"/>
      <c r="BD9" s="192"/>
      <c r="BE9" s="192"/>
      <c r="BF9" s="192"/>
      <c r="BG9" s="192"/>
      <c r="BR9" s="171">
        <v>1</v>
      </c>
      <c r="BS9" s="171">
        <v>1</v>
      </c>
    </row>
    <row r="10" ht="14.5" spans="1:72">
      <c r="B10" s="291" t="s">
        <v>175</v>
      </c>
      <c r="C10" s="291" t="s">
        <v>182</v>
      </c>
      <c r="D10" s="291">
        <v>0.141</v>
      </c>
      <c r="E10" s="291">
        <v>0.351</v>
      </c>
      <c r="F10" s="291">
        <v>0.352</v>
      </c>
      <c r="G10" s="291">
        <v>0.328</v>
      </c>
      <c r="H10" s="291">
        <v>3.11</v>
      </c>
      <c r="I10" s="291">
        <v>0.677</v>
      </c>
      <c r="J10" s="291">
        <v>0.978</v>
      </c>
      <c r="P10" s="200"/>
      <c r="Q10" s="200"/>
      <c r="U10" s="200"/>
      <c r="V10" s="192" t="str">
        <f t="shared" si="0"/>
        <v>Tra_EV_Batt-NMC532_virgin_pack</v>
      </c>
      <c r="W10" s="192" t="str">
        <f t="shared" si="1"/>
        <v>Nickel Manganese Cobalt (5:3:2); Higher energy density, better thermal stability; Modern EV batteries</v>
      </c>
      <c r="X10" s="192" t="s">
        <v>250</v>
      </c>
      <c r="Y10" s="192" t="s">
        <v>260</v>
      </c>
      <c r="Z10" s="192" t="s">
        <v>252</v>
      </c>
      <c r="AA10" s="200"/>
      <c r="AB10" s="200"/>
      <c r="AC10" s="200"/>
      <c r="AE10" s="171" t="s">
        <v>191</v>
      </c>
      <c r="AI10" s="171" t="s">
        <v>254</v>
      </c>
      <c r="AL10" s="171" t="s">
        <v>255</v>
      </c>
      <c r="AN10" s="195" t="s">
        <v>281</v>
      </c>
      <c r="AO10" s="195" t="s">
        <v>282</v>
      </c>
      <c r="AP10" s="195" t="s">
        <v>283</v>
      </c>
      <c r="AQ10" s="195" t="s">
        <v>284</v>
      </c>
      <c r="AU10" s="192" t="s">
        <v>80</v>
      </c>
      <c r="AV10" s="192" t="s">
        <v>195</v>
      </c>
      <c r="AW10" s="192" t="s">
        <v>76</v>
      </c>
      <c r="AX10" s="192" t="s">
        <v>205</v>
      </c>
      <c r="AY10" s="192" t="s">
        <v>206</v>
      </c>
      <c r="AZ10" s="192" t="s">
        <v>285</v>
      </c>
      <c r="BA10" s="192">
        <v>2030</v>
      </c>
      <c r="BB10" s="192">
        <v>0</v>
      </c>
      <c r="BC10" s="192" t="s">
        <v>286</v>
      </c>
      <c r="BD10" s="171" t="s">
        <v>240</v>
      </c>
      <c r="BE10" s="192" t="s">
        <v>247</v>
      </c>
      <c r="BF10" s="192" t="s">
        <v>201</v>
      </c>
      <c r="BG10" s="192" t="s">
        <v>287</v>
      </c>
    </row>
    <row r="11" ht="14.5" spans="1:72">
      <c r="B11" s="291" t="s">
        <v>176</v>
      </c>
      <c r="C11" s="291" t="s">
        <v>183</v>
      </c>
      <c r="D11" s="291">
        <v>0.136</v>
      </c>
      <c r="E11" s="291">
        <v>0.508</v>
      </c>
      <c r="F11" s="291">
        <v>0.204</v>
      </c>
      <c r="G11" s="291">
        <v>0.285</v>
      </c>
      <c r="H11" s="291">
        <v>3.07</v>
      </c>
      <c r="I11" s="291">
        <v>0.661</v>
      </c>
      <c r="J11" s="291">
        <v>0.981</v>
      </c>
      <c r="V11" s="192" t="str">
        <f t="shared" si="0"/>
        <v>Tra_EV_Batt-NMC622_virgin_pack</v>
      </c>
      <c r="W11" s="192" t="str">
        <f t="shared" si="1"/>
        <v>Nickel Manganese Cobalt (6:2:2); Improved energy density, cost efficiency; Long-range EVs</v>
      </c>
      <c r="X11" s="192" t="s">
        <v>250</v>
      </c>
      <c r="Y11" s="192" t="s">
        <v>260</v>
      </c>
      <c r="Z11" s="192" t="s">
        <v>252</v>
      </c>
      <c r="AE11" s="171" t="s">
        <v>192</v>
      </c>
      <c r="AI11" s="171" t="s">
        <v>254</v>
      </c>
      <c r="AL11" s="171" t="s">
        <v>255</v>
      </c>
      <c r="AN11" s="195" t="s">
        <v>288</v>
      </c>
      <c r="AO11" s="195" t="s">
        <v>289</v>
      </c>
      <c r="AP11" s="195" t="s">
        <v>290</v>
      </c>
      <c r="AQ11" s="195" t="s">
        <v>291</v>
      </c>
      <c r="AU11" s="192">
        <f>BN11</f>
        <v>0</v>
      </c>
      <c r="AV11" s="192" t="s">
        <v>292</v>
      </c>
      <c r="AW11" s="192" t="s">
        <v>210</v>
      </c>
      <c r="AX11" s="200"/>
      <c r="AY11" s="192" t="s">
        <v>211</v>
      </c>
      <c r="AZ11" s="192"/>
      <c r="BA11" s="192"/>
      <c r="BB11" s="192"/>
      <c r="BC11" s="192">
        <f>0.95^2</f>
        <v>0.9025</v>
      </c>
      <c r="BD11" s="171">
        <v>12</v>
      </c>
      <c r="BE11" s="287">
        <f>24/6</f>
        <v>4</v>
      </c>
      <c r="BF11" s="287">
        <v>1.314</v>
      </c>
      <c r="BG11" s="192">
        <v>1</v>
      </c>
    </row>
    <row r="12" ht="14.5" spans="1:72">
      <c r="B12" s="291" t="s">
        <v>177</v>
      </c>
      <c r="C12" s="291" t="s">
        <v>184</v>
      </c>
      <c r="D12" s="291">
        <v>0.118</v>
      </c>
      <c r="E12" s="291">
        <v>0.531</v>
      </c>
      <c r="F12" s="291">
        <v>0.178</v>
      </c>
      <c r="G12" s="291">
        <v>0.166</v>
      </c>
      <c r="H12" s="291">
        <v>3.017</v>
      </c>
      <c r="I12" s="291">
        <v>0.605</v>
      </c>
      <c r="J12" s="291">
        <v>0.96</v>
      </c>
      <c r="V12" s="192" t="str">
        <f t="shared" si="0"/>
        <v>Tra_EV_Batt-NMC811_virgin_pack</v>
      </c>
      <c r="W12" s="192" t="str">
        <f t="shared" si="1"/>
        <v>Nickel Manganese Cobalt (8:1:1); Highest energy density, reduced cobalt content, lower cost; Long-range EVs</v>
      </c>
      <c r="X12" s="192" t="s">
        <v>250</v>
      </c>
      <c r="Y12" s="192" t="s">
        <v>260</v>
      </c>
      <c r="Z12" s="192" t="s">
        <v>252</v>
      </c>
      <c r="AE12" s="171" t="s">
        <v>293</v>
      </c>
      <c r="AI12" s="171" t="s">
        <v>254</v>
      </c>
      <c r="AL12" s="171" t="s">
        <v>255</v>
      </c>
      <c r="AN12" s="195" t="s">
        <v>294</v>
      </c>
      <c r="AO12" s="195" t="s">
        <v>295</v>
      </c>
      <c r="AP12" s="195" t="s">
        <v>296</v>
      </c>
      <c r="AQ12" s="195" t="s">
        <v>291</v>
      </c>
      <c r="AU12" s="192"/>
      <c r="AV12" s="192"/>
      <c r="AW12" s="192"/>
      <c r="AX12" s="200"/>
      <c r="AY12" s="192" t="s">
        <v>265</v>
      </c>
      <c r="AZ12" s="192"/>
      <c r="BA12" s="192"/>
      <c r="BB12" s="192"/>
      <c r="BC12" s="192"/>
      <c r="BE12" s="293">
        <v>1</v>
      </c>
      <c r="BF12" s="192"/>
      <c r="BG12" s="192"/>
    </row>
    <row r="13" ht="14.5" spans="1:72">
      <c r="B13" s="291" t="s">
        <v>178</v>
      </c>
      <c r="C13" s="291" t="s">
        <v>185</v>
      </c>
      <c r="D13" s="291">
        <v>0.1</v>
      </c>
      <c r="E13" s="291">
        <v>0.6</v>
      </c>
      <c r="F13" s="291">
        <v>0.075</v>
      </c>
      <c r="G13" s="291">
        <v>0.07</v>
      </c>
      <c r="H13" s="291">
        <v>2.921</v>
      </c>
      <c r="I13" s="291">
        <v>0.549</v>
      </c>
      <c r="J13" s="291">
        <v>0.961</v>
      </c>
      <c r="U13" s="201" t="s">
        <v>297</v>
      </c>
      <c r="V13" s="202" t="s">
        <v>298</v>
      </c>
      <c r="W13" s="202"/>
      <c r="X13" s="202" t="s">
        <v>255</v>
      </c>
      <c r="Y13" s="202" t="s">
        <v>299</v>
      </c>
      <c r="Z13" s="202"/>
      <c r="AA13" s="202"/>
      <c r="AE13" s="171" t="s">
        <v>300</v>
      </c>
      <c r="AI13" s="171" t="s">
        <v>254</v>
      </c>
      <c r="AL13" s="171" t="s">
        <v>255</v>
      </c>
      <c r="AU13" s="192"/>
      <c r="AV13" s="192"/>
      <c r="AW13" s="192" t="s">
        <v>257</v>
      </c>
      <c r="AX13" s="200"/>
      <c r="AY13" s="192"/>
      <c r="AZ13" s="192"/>
      <c r="BA13" s="192"/>
      <c r="BB13" s="192"/>
      <c r="BC13" s="192"/>
      <c r="BE13" s="192"/>
      <c r="BF13" s="192"/>
      <c r="BG13" s="192"/>
    </row>
    <row r="14" ht="14.5" spans="1:72">
      <c r="U14" s="202"/>
      <c r="V14" s="202" t="s">
        <v>301</v>
      </c>
      <c r="W14" s="202"/>
      <c r="X14" s="202" t="s">
        <v>255</v>
      </c>
      <c r="Y14" s="202" t="s">
        <v>299</v>
      </c>
      <c r="Z14" s="202"/>
      <c r="AA14" s="202"/>
      <c r="AE14" s="171" t="s">
        <v>302</v>
      </c>
      <c r="AI14" s="171" t="s">
        <v>254</v>
      </c>
      <c r="AL14" s="171" t="s">
        <v>255</v>
      </c>
      <c r="AN14"/>
      <c r="AO14"/>
      <c r="AP14"/>
      <c r="AQ14"/>
      <c r="AU14" s="200"/>
      <c r="AV14" s="200"/>
      <c r="AW14" s="200"/>
      <c r="AX14" s="196"/>
      <c r="AY14" s="196"/>
      <c r="AZ14" s="196"/>
      <c r="BA14" s="196"/>
      <c r="BB14" s="196"/>
      <c r="BC14" s="196"/>
      <c r="BE14" s="196"/>
      <c r="BF14" s="196"/>
      <c r="BG14" s="196"/>
    </row>
    <row r="15" ht="14.5" spans="1:72">
      <c r="U15" s="202"/>
      <c r="V15" s="202" t="s">
        <v>303</v>
      </c>
      <c r="W15" s="202"/>
      <c r="X15" s="202" t="s">
        <v>255</v>
      </c>
      <c r="Y15" s="202" t="s">
        <v>299</v>
      </c>
      <c r="Z15" s="202"/>
      <c r="AA15" s="202"/>
      <c r="AE15" s="171" t="s">
        <v>304</v>
      </c>
      <c r="AI15" s="171" t="s">
        <v>254</v>
      </c>
      <c r="AL15" s="171" t="s">
        <v>255</v>
      </c>
      <c r="AN15"/>
      <c r="AO15"/>
      <c r="AP15"/>
      <c r="AQ15"/>
      <c r="AU15" s="200"/>
      <c r="AV15" s="200"/>
      <c r="AW15" s="200"/>
      <c r="AX15" s="196"/>
      <c r="AY15" s="196"/>
      <c r="AZ15" s="196"/>
      <c r="BA15" s="196"/>
      <c r="BB15" s="196"/>
      <c r="BC15" s="196"/>
      <c r="BE15" s="196"/>
      <c r="BF15" s="196"/>
      <c r="BG15" s="196"/>
    </row>
    <row r="16" ht="14.5" spans="1:72">
      <c r="C16" s="171" t="s">
        <v>305</v>
      </c>
      <c r="U16" s="202"/>
      <c r="V16" s="202" t="s">
        <v>306</v>
      </c>
      <c r="W16" s="202"/>
      <c r="X16" s="202" t="s">
        <v>255</v>
      </c>
      <c r="Y16" s="202" t="s">
        <v>299</v>
      </c>
      <c r="Z16" s="202"/>
      <c r="AA16" s="202"/>
      <c r="AE16" s="171" t="s">
        <v>307</v>
      </c>
      <c r="AI16" s="171" t="s">
        <v>254</v>
      </c>
      <c r="AL16" s="171" t="s">
        <v>255</v>
      </c>
      <c r="AU16" s="200"/>
      <c r="AV16" s="200"/>
      <c r="AW16" s="200"/>
      <c r="AX16" s="196"/>
      <c r="AY16" s="196"/>
      <c r="AZ16" s="196"/>
      <c r="BA16" s="196"/>
      <c r="BB16" s="196"/>
      <c r="BC16" s="200"/>
      <c r="BE16" s="200"/>
      <c r="BF16" s="200"/>
      <c r="BG16" s="200"/>
    </row>
    <row r="17" spans="1:38">
      <c r="U17" s="202"/>
      <c r="V17" s="202" t="s">
        <v>308</v>
      </c>
      <c r="W17" s="202"/>
      <c r="X17" s="202" t="s">
        <v>255</v>
      </c>
      <c r="Y17" s="202" t="s">
        <v>299</v>
      </c>
      <c r="Z17" s="202"/>
      <c r="AA17" s="202"/>
      <c r="AE17" s="171" t="s">
        <v>309</v>
      </c>
      <c r="AI17" s="171" t="s">
        <v>254</v>
      </c>
      <c r="AL17" s="171" t="s">
        <v>255</v>
      </c>
    </row>
    <row r="18" spans="1:38">
      <c r="U18" s="202"/>
      <c r="V18" s="202" t="s">
        <v>310</v>
      </c>
      <c r="W18" s="202"/>
      <c r="X18" s="202" t="s">
        <v>255</v>
      </c>
      <c r="Y18" s="202" t="s">
        <v>299</v>
      </c>
      <c r="Z18" s="202"/>
      <c r="AA18" s="202"/>
      <c r="AE18" s="171" t="s">
        <v>311</v>
      </c>
      <c r="AI18" s="171" t="s">
        <v>254</v>
      </c>
      <c r="AL18" s="171" t="s">
        <v>255</v>
      </c>
    </row>
    <row r="19" spans="1:38">
      <c r="U19" s="202"/>
      <c r="V19" s="202" t="s">
        <v>312</v>
      </c>
      <c r="W19" s="202"/>
      <c r="X19" s="202" t="s">
        <v>255</v>
      </c>
      <c r="Y19" s="202" t="s">
        <v>299</v>
      </c>
      <c r="Z19" s="202"/>
      <c r="AA19" s="202"/>
      <c r="AE19" s="171" t="s">
        <v>313</v>
      </c>
      <c r="AI19" s="171" t="s">
        <v>254</v>
      </c>
      <c r="AL19" s="171" t="s">
        <v>314</v>
      </c>
    </row>
    <row r="20" spans="1:38">
      <c r="A20" s="164"/>
      <c r="B20" s="164" t="s">
        <v>315</v>
      </c>
      <c r="C20" s="164"/>
      <c r="D20" s="164"/>
      <c r="E20" s="164"/>
      <c r="F20" s="164"/>
      <c r="G20" s="164"/>
      <c r="H20" s="164"/>
      <c r="I20" s="164"/>
      <c r="J20" s="164"/>
      <c r="K20" s="164"/>
      <c r="L20" s="164"/>
      <c r="M20" s="164"/>
      <c r="N20" s="164"/>
      <c r="O20" s="164"/>
      <c r="P20" s="164"/>
      <c r="Q20" s="164"/>
      <c r="R20" s="164"/>
      <c r="U20" s="202"/>
      <c r="V20" s="202" t="s">
        <v>316</v>
      </c>
      <c r="W20" s="202"/>
      <c r="X20" s="202" t="str">
        <f>X19</f>
        <v>kt</v>
      </c>
      <c r="Y20" s="202" t="str">
        <f>Y19</f>
        <v>ktpa</v>
      </c>
      <c r="Z20" s="202"/>
      <c r="AA20" s="202"/>
      <c r="AE20" s="171" t="s">
        <v>317</v>
      </c>
      <c r="AI20" s="171" t="s">
        <v>254</v>
      </c>
      <c r="AL20" s="171" t="s">
        <v>314</v>
      </c>
    </row>
    <row r="21" ht="14.5" spans="1:38">
      <c r="A21" s="285" t="s">
        <v>205</v>
      </c>
      <c r="B21" s="164" t="s">
        <v>258</v>
      </c>
      <c r="C21" s="294" t="s">
        <v>172</v>
      </c>
      <c r="D21" s="164" t="s">
        <v>173</v>
      </c>
      <c r="E21" s="164" t="s">
        <v>174</v>
      </c>
      <c r="F21" s="164" t="s">
        <v>175</v>
      </c>
      <c r="G21" s="164" t="s">
        <v>176</v>
      </c>
      <c r="H21" s="164" t="s">
        <v>177</v>
      </c>
      <c r="I21" s="164" t="s">
        <v>178</v>
      </c>
      <c r="J21" s="208" t="s">
        <v>197</v>
      </c>
      <c r="K21" s="164" t="s">
        <v>240</v>
      </c>
      <c r="L21" s="285" t="s">
        <v>195</v>
      </c>
      <c r="M21" s="285" t="s">
        <v>76</v>
      </c>
      <c r="N21" s="164" t="s">
        <v>286</v>
      </c>
      <c r="O21" s="164" t="s">
        <v>318</v>
      </c>
      <c r="P21" s="285" t="s">
        <v>319</v>
      </c>
      <c r="Q21" s="285" t="s">
        <v>320</v>
      </c>
      <c r="R21" s="164" t="s">
        <v>321</v>
      </c>
      <c r="S21" s="171" t="s">
        <v>202</v>
      </c>
      <c r="U21" s="202"/>
      <c r="V21" s="295" t="s">
        <v>322</v>
      </c>
      <c r="X21" s="202" t="str">
        <f>X20</f>
        <v>kt</v>
      </c>
      <c r="Y21" s="202" t="str">
        <f>Y20</f>
        <v>ktpa</v>
      </c>
      <c r="Z21" s="296"/>
      <c r="AA21" s="202"/>
      <c r="AE21" s="171" t="s">
        <v>323</v>
      </c>
      <c r="AI21" s="171" t="s">
        <v>254</v>
      </c>
      <c r="AL21" s="171" t="s">
        <v>314</v>
      </c>
    </row>
    <row r="22" ht="14.5" spans="1:38">
      <c r="A22" s="294" t="s">
        <v>214</v>
      </c>
      <c r="B22" s="164" t="s">
        <v>324</v>
      </c>
      <c r="C22" s="164">
        <v>1</v>
      </c>
      <c r="D22" s="164">
        <v>0</v>
      </c>
      <c r="E22" s="164">
        <v>0</v>
      </c>
      <c r="F22" s="164">
        <v>0</v>
      </c>
      <c r="G22" s="164">
        <v>0</v>
      </c>
      <c r="H22" s="164">
        <v>0</v>
      </c>
      <c r="I22" s="164">
        <v>0</v>
      </c>
      <c r="J22" s="171">
        <v>0</v>
      </c>
      <c r="K22" s="206">
        <v>12</v>
      </c>
      <c r="L22" s="164" t="s">
        <v>292</v>
      </c>
      <c r="M22" s="164" t="s">
        <v>257</v>
      </c>
      <c r="N22" s="164">
        <v>0.9</v>
      </c>
      <c r="O22" s="164">
        <v>1.314</v>
      </c>
      <c r="P22" s="289">
        <v>1</v>
      </c>
      <c r="Q22" s="164">
        <v>1</v>
      </c>
      <c r="R22" s="206">
        <v>4000</v>
      </c>
      <c r="U22" s="202"/>
      <c r="V22" s="171" t="s">
        <v>325</v>
      </c>
      <c r="X22" s="202" t="str">
        <f>X21</f>
        <v>kt</v>
      </c>
      <c r="Y22" s="202" t="str">
        <f>Y21</f>
        <v>ktpa</v>
      </c>
      <c r="AE22" s="171" t="s">
        <v>326</v>
      </c>
      <c r="AI22" s="171" t="s">
        <v>254</v>
      </c>
      <c r="AL22" s="171" t="s">
        <v>314</v>
      </c>
    </row>
    <row r="23" ht="14.5" spans="1:38">
      <c r="A23" s="294" t="s">
        <v>214</v>
      </c>
      <c r="B23" s="164" t="s">
        <v>327</v>
      </c>
      <c r="C23" s="164">
        <v>0</v>
      </c>
      <c r="D23" s="164">
        <v>1</v>
      </c>
      <c r="E23" s="164">
        <v>0</v>
      </c>
      <c r="F23" s="164">
        <v>0</v>
      </c>
      <c r="G23" s="164">
        <v>0</v>
      </c>
      <c r="H23" s="164">
        <v>0</v>
      </c>
      <c r="I23" s="164">
        <v>0</v>
      </c>
      <c r="J23" s="171">
        <v>0</v>
      </c>
      <c r="K23" s="206">
        <v>6</v>
      </c>
      <c r="L23" s="164" t="s">
        <v>292</v>
      </c>
      <c r="M23" s="164" t="s">
        <v>257</v>
      </c>
      <c r="N23" s="164">
        <v>0.9</v>
      </c>
      <c r="O23" s="164">
        <v>1.314</v>
      </c>
      <c r="P23" s="289">
        <v>1</v>
      </c>
      <c r="Q23" s="164">
        <v>1</v>
      </c>
      <c r="R23" s="206">
        <v>800</v>
      </c>
      <c r="S23" s="219"/>
      <c r="U23" s="202"/>
      <c r="V23" s="297" t="s">
        <v>328</v>
      </c>
      <c r="X23" s="202" t="str">
        <f>X22</f>
        <v>kt</v>
      </c>
      <c r="Y23" s="202" t="str">
        <f>Y22</f>
        <v>ktpa</v>
      </c>
      <c r="AB23" s="159"/>
      <c r="AE23" s="171" t="s">
        <v>329</v>
      </c>
      <c r="AI23" s="171" t="s">
        <v>254</v>
      </c>
      <c r="AL23" s="171" t="s">
        <v>314</v>
      </c>
    </row>
    <row r="24" ht="14.5" spans="1:38">
      <c r="A24" s="294" t="s">
        <v>214</v>
      </c>
      <c r="B24" s="164" t="s">
        <v>330</v>
      </c>
      <c r="C24" s="164">
        <v>0</v>
      </c>
      <c r="D24" s="164">
        <v>0</v>
      </c>
      <c r="E24" s="164">
        <v>1</v>
      </c>
      <c r="F24" s="164">
        <v>0</v>
      </c>
      <c r="G24" s="164">
        <v>0</v>
      </c>
      <c r="H24" s="164">
        <v>0</v>
      </c>
      <c r="I24" s="164">
        <v>0</v>
      </c>
      <c r="J24" s="171">
        <v>0</v>
      </c>
      <c r="K24" s="164">
        <v>9</v>
      </c>
      <c r="L24" s="164" t="s">
        <v>292</v>
      </c>
      <c r="M24" s="164" t="s">
        <v>257</v>
      </c>
      <c r="N24" s="164">
        <v>0.9</v>
      </c>
      <c r="O24" s="164">
        <v>1.314</v>
      </c>
      <c r="P24" s="289">
        <v>1</v>
      </c>
      <c r="Q24" s="164">
        <v>1</v>
      </c>
      <c r="R24" s="206">
        <v>2000</v>
      </c>
      <c r="U24" s="202"/>
      <c r="AB24" s="159"/>
      <c r="AE24" s="171" t="s">
        <v>331</v>
      </c>
      <c r="AI24" s="171" t="s">
        <v>254</v>
      </c>
      <c r="AL24" s="171" t="s">
        <v>314</v>
      </c>
    </row>
    <row r="25" ht="14.5" spans="1:38">
      <c r="A25" s="294" t="s">
        <v>214</v>
      </c>
      <c r="B25" s="164" t="s">
        <v>332</v>
      </c>
      <c r="C25" s="164">
        <v>0</v>
      </c>
      <c r="D25" s="164">
        <v>0</v>
      </c>
      <c r="E25" s="164">
        <v>0</v>
      </c>
      <c r="F25" s="164">
        <v>1</v>
      </c>
      <c r="G25" s="164">
        <v>0</v>
      </c>
      <c r="H25" s="164">
        <v>0</v>
      </c>
      <c r="I25" s="164">
        <v>0</v>
      </c>
      <c r="J25" s="171">
        <v>0</v>
      </c>
      <c r="K25" s="164">
        <v>9</v>
      </c>
      <c r="L25" s="164" t="s">
        <v>292</v>
      </c>
      <c r="M25" s="164" t="s">
        <v>257</v>
      </c>
      <c r="N25" s="164">
        <v>0.9</v>
      </c>
      <c r="O25" s="164">
        <v>1.314</v>
      </c>
      <c r="P25" s="289">
        <v>1</v>
      </c>
      <c r="Q25" s="164">
        <v>1</v>
      </c>
      <c r="R25" s="206">
        <v>2000</v>
      </c>
      <c r="U25" s="202"/>
      <c r="V25" s="296" t="s">
        <v>258</v>
      </c>
      <c r="W25" s="296" t="s">
        <v>333</v>
      </c>
      <c r="X25" s="296" t="s">
        <v>334</v>
      </c>
      <c r="Y25" s="296" t="s">
        <v>194</v>
      </c>
      <c r="Z25" s="296" t="s">
        <v>335</v>
      </c>
      <c r="AA25" s="296" t="s">
        <v>336</v>
      </c>
      <c r="AB25" s="159"/>
      <c r="AE25" s="171" t="s">
        <v>337</v>
      </c>
      <c r="AI25" s="171" t="s">
        <v>254</v>
      </c>
      <c r="AL25" s="171" t="s">
        <v>314</v>
      </c>
    </row>
    <row r="26" ht="14.5" spans="1:38">
      <c r="A26" s="294" t="s">
        <v>214</v>
      </c>
      <c r="B26" s="164" t="s">
        <v>338</v>
      </c>
      <c r="C26" s="164">
        <v>0</v>
      </c>
      <c r="D26" s="164">
        <v>0</v>
      </c>
      <c r="E26" s="164">
        <v>0</v>
      </c>
      <c r="F26" s="164">
        <v>0</v>
      </c>
      <c r="G26" s="164">
        <v>1</v>
      </c>
      <c r="H26" s="164">
        <v>0</v>
      </c>
      <c r="I26" s="164">
        <v>0</v>
      </c>
      <c r="J26" s="171">
        <v>0</v>
      </c>
      <c r="K26" s="164">
        <v>9</v>
      </c>
      <c r="L26" s="164" t="s">
        <v>292</v>
      </c>
      <c r="M26" s="164" t="s">
        <v>257</v>
      </c>
      <c r="N26" s="164">
        <v>0.9</v>
      </c>
      <c r="O26" s="164">
        <v>1.314</v>
      </c>
      <c r="P26" s="289">
        <v>1</v>
      </c>
      <c r="Q26" s="164">
        <v>1</v>
      </c>
      <c r="R26" s="206">
        <v>2000</v>
      </c>
      <c r="U26" s="202"/>
      <c r="V26" s="298" t="str">
        <f>V13</f>
        <v>MINBatMaterials_LI</v>
      </c>
      <c r="W26" s="298" t="str">
        <f t="shared" ref="W26:W32" si="2">AE5</f>
        <v>m_lithium</v>
      </c>
      <c r="X26" s="298">
        <v>12.85</v>
      </c>
      <c r="Y26" s="298" t="s">
        <v>339</v>
      </c>
      <c r="Z26" s="296">
        <v>15.7</v>
      </c>
      <c r="AA26" s="171">
        <v>5</v>
      </c>
      <c r="AB26" s="207"/>
      <c r="AE26" s="171" t="s">
        <v>172</v>
      </c>
      <c r="AL26" s="171" t="s">
        <v>314</v>
      </c>
    </row>
    <row r="27" ht="14.5" spans="1:38">
      <c r="A27" s="294" t="s">
        <v>214</v>
      </c>
      <c r="B27" s="164" t="s">
        <v>340</v>
      </c>
      <c r="C27" s="164">
        <v>0</v>
      </c>
      <c r="D27" s="164">
        <v>0</v>
      </c>
      <c r="E27" s="164">
        <v>0</v>
      </c>
      <c r="F27" s="164">
        <v>0</v>
      </c>
      <c r="G27" s="164">
        <v>0</v>
      </c>
      <c r="H27" s="164">
        <v>1</v>
      </c>
      <c r="I27" s="164">
        <v>0</v>
      </c>
      <c r="J27" s="171">
        <v>0</v>
      </c>
      <c r="K27" s="164">
        <v>9</v>
      </c>
      <c r="L27" s="164" t="s">
        <v>292</v>
      </c>
      <c r="M27" s="164" t="s">
        <v>257</v>
      </c>
      <c r="N27" s="164">
        <v>0.9</v>
      </c>
      <c r="O27" s="164">
        <v>1.314</v>
      </c>
      <c r="P27" s="289">
        <v>1</v>
      </c>
      <c r="Q27" s="164">
        <v>1</v>
      </c>
      <c r="R27" s="206">
        <v>2000</v>
      </c>
      <c r="U27" s="202"/>
      <c r="V27" s="298" t="str">
        <f t="shared" ref="V27:V32" si="3">V14</f>
        <v>MINBatMaterials_NI</v>
      </c>
      <c r="W27" s="298" t="str">
        <f t="shared" si="2"/>
        <v>m_nickel</v>
      </c>
      <c r="X27" s="298">
        <v>20</v>
      </c>
      <c r="Y27" s="298" t="s">
        <v>339</v>
      </c>
      <c r="Z27" s="296">
        <v>15.7</v>
      </c>
      <c r="AA27" s="171">
        <v>5</v>
      </c>
      <c r="AB27" s="207"/>
      <c r="AE27" s="171" t="s">
        <v>173</v>
      </c>
      <c r="AL27" s="171" t="s">
        <v>314</v>
      </c>
    </row>
    <row r="28" ht="14.5" spans="1:38">
      <c r="A28" s="294" t="s">
        <v>214</v>
      </c>
      <c r="B28" s="164" t="s">
        <v>341</v>
      </c>
      <c r="C28" s="164">
        <v>0</v>
      </c>
      <c r="D28" s="164">
        <v>0</v>
      </c>
      <c r="E28" s="164">
        <v>0</v>
      </c>
      <c r="F28" s="164">
        <v>0</v>
      </c>
      <c r="G28" s="164">
        <v>0</v>
      </c>
      <c r="H28" s="164">
        <v>0</v>
      </c>
      <c r="I28" s="164">
        <v>1</v>
      </c>
      <c r="J28" s="171">
        <v>0</v>
      </c>
      <c r="K28" s="164">
        <v>9</v>
      </c>
      <c r="L28" s="164" t="s">
        <v>292</v>
      </c>
      <c r="M28" s="164" t="s">
        <v>257</v>
      </c>
      <c r="N28" s="164">
        <v>0.9</v>
      </c>
      <c r="O28" s="164">
        <v>1.314</v>
      </c>
      <c r="P28" s="289">
        <v>1</v>
      </c>
      <c r="Q28" s="164">
        <v>1</v>
      </c>
      <c r="R28" s="206">
        <v>2000</v>
      </c>
      <c r="U28" s="202"/>
      <c r="V28" s="298" t="str">
        <f t="shared" si="3"/>
        <v>MINBatMaterials_COB</v>
      </c>
      <c r="W28" s="298" t="str">
        <f t="shared" si="2"/>
        <v>m_cobalt</v>
      </c>
      <c r="X28" s="298">
        <v>29.3</v>
      </c>
      <c r="Y28" s="298" t="s">
        <v>339</v>
      </c>
      <c r="Z28" s="296">
        <v>15.7</v>
      </c>
      <c r="AA28" s="171">
        <v>5</v>
      </c>
      <c r="AB28" s="159"/>
      <c r="AE28" s="171" t="s">
        <v>174</v>
      </c>
      <c r="AL28" s="171" t="s">
        <v>314</v>
      </c>
    </row>
    <row r="29" s="164" customFormat="1" ht="14.5" spans="1:38">
      <c r="A29" s="299" t="s">
        <v>214</v>
      </c>
      <c r="B29" s="208" t="s">
        <v>342</v>
      </c>
      <c r="C29" s="208">
        <v>0</v>
      </c>
      <c r="D29" s="208">
        <v>0</v>
      </c>
      <c r="E29" s="208">
        <v>0</v>
      </c>
      <c r="F29" s="208">
        <v>0</v>
      </c>
      <c r="G29" s="208">
        <v>0</v>
      </c>
      <c r="H29" s="208">
        <v>0</v>
      </c>
      <c r="I29" s="208">
        <v>0</v>
      </c>
      <c r="J29" s="300">
        <v>1</v>
      </c>
      <c r="K29" s="208">
        <v>15</v>
      </c>
      <c r="L29" s="208" t="s">
        <v>292</v>
      </c>
      <c r="M29" s="208" t="s">
        <v>257</v>
      </c>
      <c r="N29" s="208">
        <v>0.925</v>
      </c>
      <c r="O29" s="208">
        <f>O28</f>
        <v>1.314</v>
      </c>
      <c r="P29" s="208">
        <f>P28</f>
        <v>1</v>
      </c>
      <c r="Q29" s="208">
        <f>Q28</f>
        <v>1</v>
      </c>
      <c r="R29" s="208">
        <v>4000</v>
      </c>
      <c r="S29" s="171">
        <v>2150</v>
      </c>
      <c r="U29" s="301"/>
      <c r="V29" s="298" t="str">
        <f t="shared" si="3"/>
        <v>MINBatMaterials_MN</v>
      </c>
      <c r="W29" s="298" t="str">
        <f t="shared" si="2"/>
        <v>m_manganese</v>
      </c>
      <c r="X29" s="298">
        <v>2</v>
      </c>
      <c r="Y29" s="298" t="s">
        <v>339</v>
      </c>
      <c r="Z29" s="296">
        <v>15.7</v>
      </c>
      <c r="AA29" s="171">
        <v>5</v>
      </c>
      <c r="AB29" s="302"/>
      <c r="AE29" s="164" t="s">
        <v>175</v>
      </c>
      <c r="AL29" s="164" t="s">
        <v>314</v>
      </c>
    </row>
    <row r="30" spans="1:38">
      <c r="V30" s="298" t="str">
        <f t="shared" si="3"/>
        <v>MINBatMaterials_AL</v>
      </c>
      <c r="W30" s="298" t="str">
        <f t="shared" si="2"/>
        <v>m_aluminum</v>
      </c>
      <c r="X30" s="298">
        <v>2.5</v>
      </c>
      <c r="Y30" s="298" t="s">
        <v>339</v>
      </c>
      <c r="Z30" s="296">
        <v>15.7</v>
      </c>
      <c r="AA30" s="171">
        <v>5</v>
      </c>
      <c r="AE30" s="171" t="s">
        <v>176</v>
      </c>
      <c r="AL30" s="171" t="s">
        <v>314</v>
      </c>
    </row>
    <row r="31" spans="1:38">
      <c r="V31" s="298" t="str">
        <f t="shared" si="3"/>
        <v>MINBatMaterials_COP</v>
      </c>
      <c r="W31" s="298" t="str">
        <f t="shared" si="2"/>
        <v>m_copper</v>
      </c>
      <c r="X31" s="298">
        <v>8</v>
      </c>
      <c r="Y31" s="298" t="s">
        <v>339</v>
      </c>
      <c r="Z31" s="296">
        <v>15.7</v>
      </c>
      <c r="AA31" s="171">
        <v>5</v>
      </c>
      <c r="AE31" s="171" t="s">
        <v>177</v>
      </c>
      <c r="AL31" s="171" t="s">
        <v>314</v>
      </c>
    </row>
    <row r="32" ht="14.5" spans="1:38">
      <c r="V32" s="298" t="str">
        <f t="shared" si="3"/>
        <v>MINBatMaterials_GR</v>
      </c>
      <c r="W32" s="298" t="str">
        <f t="shared" si="2"/>
        <v>m_graphite</v>
      </c>
      <c r="X32" s="298">
        <v>1</v>
      </c>
      <c r="Y32" s="298" t="s">
        <v>339</v>
      </c>
      <c r="Z32" s="296">
        <v>15.7</v>
      </c>
      <c r="AA32" s="171">
        <v>5</v>
      </c>
      <c r="AD32" s="192"/>
      <c r="AE32" s="192" t="s">
        <v>178</v>
      </c>
      <c r="AF32" s="192"/>
      <c r="AG32" s="192"/>
      <c r="AH32" s="192"/>
      <c r="AL32" s="171" t="s">
        <v>314</v>
      </c>
    </row>
    <row r="33" spans="3:38">
      <c r="AE33" s="208" t="s">
        <v>197</v>
      </c>
      <c r="AL33" s="171" t="s">
        <v>260</v>
      </c>
    </row>
    <row r="34" spans="3:38">
      <c r="N34" s="210" t="s">
        <v>343</v>
      </c>
      <c r="O34" s="210">
        <v>0.6</v>
      </c>
      <c r="V34" s="209" t="s">
        <v>258</v>
      </c>
      <c r="W34" s="209" t="s">
        <v>195</v>
      </c>
      <c r="X34" s="209" t="s">
        <v>76</v>
      </c>
      <c r="Y34" s="209" t="s">
        <v>73</v>
      </c>
    </row>
    <row r="35" spans="3:38">
      <c r="N35" s="210" t="s">
        <v>344</v>
      </c>
      <c r="O35" s="210">
        <v>0.56</v>
      </c>
      <c r="V35" s="209" t="str">
        <f t="shared" ref="V35:V40" si="4">"Tra_bat_recy_"&amp;N34</f>
        <v>Tra_bat_recy_lithium</v>
      </c>
      <c r="W35" s="209" t="s">
        <v>345</v>
      </c>
      <c r="X35" s="209" t="s">
        <v>186</v>
      </c>
      <c r="Y35" s="209">
        <f t="shared" ref="Y35:Y40" si="5">O34</f>
        <v>0.6</v>
      </c>
      <c r="AA35" s="303"/>
    </row>
    <row r="36" spans="3:38">
      <c r="N36" s="210" t="s">
        <v>346</v>
      </c>
      <c r="O36" s="210">
        <v>0.65</v>
      </c>
      <c r="V36" s="209" t="str">
        <f t="shared" si="4"/>
        <v>Tra_bat_recy_nickel</v>
      </c>
      <c r="W36" s="209" t="s">
        <v>347</v>
      </c>
      <c r="X36" s="209" t="s">
        <v>187</v>
      </c>
      <c r="Y36" s="209">
        <f t="shared" si="5"/>
        <v>0.56</v>
      </c>
      <c r="AA36" s="303"/>
    </row>
    <row r="37" ht="14.5" spans="3:38">
      <c r="D37" s="304">
        <v>1</v>
      </c>
      <c r="G37" s="171" t="s">
        <v>348</v>
      </c>
      <c r="H37" s="171" t="s">
        <v>349</v>
      </c>
      <c r="I37" s="171" t="s">
        <v>350</v>
      </c>
      <c r="J37" s="171" t="s">
        <v>351</v>
      </c>
      <c r="K37" s="171" t="s">
        <v>352</v>
      </c>
      <c r="L37" s="171" t="s">
        <v>353</v>
      </c>
      <c r="M37" s="171" t="s">
        <v>354</v>
      </c>
      <c r="N37" s="210" t="s">
        <v>355</v>
      </c>
      <c r="O37" s="210">
        <v>0.61</v>
      </c>
      <c r="V37" s="209" t="str">
        <f t="shared" si="4"/>
        <v>Tra_bat_recy_cobalt</v>
      </c>
      <c r="W37" s="209" t="s">
        <v>356</v>
      </c>
      <c r="X37" s="209" t="s">
        <v>188</v>
      </c>
      <c r="Y37" s="209">
        <f t="shared" si="5"/>
        <v>0.65</v>
      </c>
      <c r="AA37" s="303"/>
      <c r="AD37" s="192" t="s">
        <v>79</v>
      </c>
      <c r="AE37" s="192" t="s">
        <v>80</v>
      </c>
      <c r="AF37" s="192" t="s">
        <v>81</v>
      </c>
      <c r="AG37" s="192" t="s">
        <v>82</v>
      </c>
      <c r="AH37" s="192" t="s">
        <v>83</v>
      </c>
    </row>
    <row r="38" spans="3:38">
      <c r="C38" s="249">
        <f>SUM(G38:M38)</f>
        <v>5.654</v>
      </c>
      <c r="F38" s="171" t="s">
        <v>261</v>
      </c>
      <c r="G38" s="171">
        <v>0.095</v>
      </c>
      <c r="H38" s="171">
        <v>0</v>
      </c>
      <c r="I38" s="171">
        <v>0</v>
      </c>
      <c r="J38" s="171">
        <v>0</v>
      </c>
      <c r="K38" s="171">
        <v>3.528</v>
      </c>
      <c r="L38" s="171">
        <v>0.946</v>
      </c>
      <c r="M38" s="171">
        <v>1.085</v>
      </c>
      <c r="N38" s="210" t="s">
        <v>357</v>
      </c>
      <c r="O38" s="210">
        <v>0.52</v>
      </c>
      <c r="V38" s="209" t="str">
        <f t="shared" si="4"/>
        <v>Tra_bat_recy_manganese</v>
      </c>
      <c r="W38" s="209" t="s">
        <v>358</v>
      </c>
      <c r="X38" s="209" t="s">
        <v>189</v>
      </c>
      <c r="Y38" s="209">
        <f t="shared" si="5"/>
        <v>0.61</v>
      </c>
      <c r="AA38" s="303"/>
      <c r="AD38" s="171" t="s">
        <v>359</v>
      </c>
      <c r="AE38" s="171" t="str">
        <f t="shared" ref="AE38:AE43" si="6">V35</f>
        <v>Tra_bat_recy_lithium</v>
      </c>
      <c r="AG38" s="171" t="s">
        <v>255</v>
      </c>
      <c r="AH38" s="171" t="s">
        <v>299</v>
      </c>
    </row>
    <row r="39" spans="3:38">
      <c r="C39" s="249">
        <f t="shared" ref="C39:C44" si="7">SUM(G39:M39)</f>
        <v>6.645</v>
      </c>
      <c r="F39" s="171" t="s">
        <v>266</v>
      </c>
      <c r="G39" s="171">
        <v>0.106</v>
      </c>
      <c r="H39" s="171">
        <v>0</v>
      </c>
      <c r="I39" s="171">
        <v>0</v>
      </c>
      <c r="J39" s="171">
        <v>1.396</v>
      </c>
      <c r="K39" s="171">
        <v>3.369</v>
      </c>
      <c r="L39" s="171">
        <v>0.863</v>
      </c>
      <c r="M39" s="171">
        <v>0.911</v>
      </c>
      <c r="N39" s="210" t="s">
        <v>360</v>
      </c>
      <c r="O39" s="210">
        <v>0.55</v>
      </c>
      <c r="V39" s="209" t="str">
        <f t="shared" si="4"/>
        <v>Tra_bat_recy_aluminum</v>
      </c>
      <c r="W39" s="209" t="s">
        <v>361</v>
      </c>
      <c r="X39" s="209" t="s">
        <v>190</v>
      </c>
      <c r="Y39" s="209">
        <f t="shared" si="5"/>
        <v>0.52</v>
      </c>
      <c r="AA39" s="303"/>
      <c r="AE39" s="171" t="str">
        <f t="shared" si="6"/>
        <v>Tra_bat_recy_nickel</v>
      </c>
      <c r="AG39" s="171" t="s">
        <v>255</v>
      </c>
      <c r="AH39" s="171" t="s">
        <v>299</v>
      </c>
    </row>
    <row r="40" spans="3:38">
      <c r="C40" s="249">
        <f t="shared" si="7"/>
        <v>5.363</v>
      </c>
      <c r="F40" s="171" t="s">
        <v>270</v>
      </c>
      <c r="G40" s="171">
        <v>0.102</v>
      </c>
      <c r="H40" s="171">
        <v>0.672</v>
      </c>
      <c r="I40" s="171">
        <v>0.127</v>
      </c>
      <c r="J40" s="171">
        <v>0</v>
      </c>
      <c r="K40" s="171">
        <v>2.92</v>
      </c>
      <c r="L40" s="171">
        <v>0.564</v>
      </c>
      <c r="M40" s="171">
        <v>0.978</v>
      </c>
      <c r="V40" s="209" t="str">
        <f t="shared" si="4"/>
        <v>Tra_bat_recy_copper</v>
      </c>
      <c r="W40" s="209" t="s">
        <v>362</v>
      </c>
      <c r="X40" s="209" t="s">
        <v>191</v>
      </c>
      <c r="Y40" s="209">
        <f t="shared" si="5"/>
        <v>0.55</v>
      </c>
      <c r="AA40" s="303"/>
      <c r="AE40" s="171" t="str">
        <f t="shared" si="6"/>
        <v>Tra_bat_recy_cobalt</v>
      </c>
      <c r="AG40" s="171" t="s">
        <v>255</v>
      </c>
      <c r="AH40" s="171" t="s">
        <v>299</v>
      </c>
    </row>
    <row r="41" spans="3:38">
      <c r="C41" s="249">
        <f t="shared" si="7"/>
        <v>5.937</v>
      </c>
      <c r="F41" s="171" t="s">
        <v>276</v>
      </c>
      <c r="G41" s="171">
        <v>0.141</v>
      </c>
      <c r="H41" s="171">
        <v>0.351</v>
      </c>
      <c r="I41" s="171">
        <v>0.352</v>
      </c>
      <c r="J41" s="171">
        <v>0.328</v>
      </c>
      <c r="K41" s="171">
        <v>3.11</v>
      </c>
      <c r="L41" s="171">
        <v>0.677</v>
      </c>
      <c r="M41" s="171">
        <v>0.978</v>
      </c>
      <c r="AE41" s="171" t="str">
        <f t="shared" si="6"/>
        <v>Tra_bat_recy_manganese</v>
      </c>
      <c r="AG41" s="171" t="s">
        <v>255</v>
      </c>
      <c r="AH41" s="171" t="s">
        <v>299</v>
      </c>
    </row>
    <row r="42" ht="14.5" spans="3:38">
      <c r="C42" s="249">
        <f t="shared" si="7"/>
        <v>5.845</v>
      </c>
      <c r="F42" s="171" t="s">
        <v>281</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255</v>
      </c>
      <c r="AH42" s="171" t="s">
        <v>299</v>
      </c>
    </row>
    <row r="43" ht="14.5" spans="3:38">
      <c r="C43" s="249">
        <f t="shared" si="7"/>
        <v>5.575</v>
      </c>
      <c r="F43" s="171" t="s">
        <v>288</v>
      </c>
      <c r="G43" s="171">
        <v>0.118</v>
      </c>
      <c r="H43" s="171">
        <v>0.531</v>
      </c>
      <c r="I43" s="171">
        <v>0.178</v>
      </c>
      <c r="J43" s="171">
        <v>0.166</v>
      </c>
      <c r="K43" s="171">
        <v>3.017</v>
      </c>
      <c r="L43" s="171">
        <v>0.605</v>
      </c>
      <c r="M43" s="171">
        <v>0.96</v>
      </c>
      <c r="U43" s="192" t="s">
        <v>79</v>
      </c>
      <c r="V43" s="192" t="s">
        <v>80</v>
      </c>
      <c r="W43" s="192" t="s">
        <v>81</v>
      </c>
      <c r="X43" s="192" t="s">
        <v>82</v>
      </c>
      <c r="Y43" s="192" t="s">
        <v>83</v>
      </c>
      <c r="Z43" s="192" t="s">
        <v>224</v>
      </c>
      <c r="AA43" s="192" t="s">
        <v>225</v>
      </c>
      <c r="AB43" s="192" t="s">
        <v>226</v>
      </c>
      <c r="AE43" s="171" t="str">
        <f t="shared" si="6"/>
        <v>Tra_bat_recy_copper</v>
      </c>
      <c r="AG43" s="171" t="s">
        <v>255</v>
      </c>
      <c r="AH43" s="171" t="s">
        <v>299</v>
      </c>
    </row>
    <row r="44" ht="14.5" spans="3:38">
      <c r="C44" s="249">
        <f t="shared" si="7"/>
        <v>5.276</v>
      </c>
      <c r="F44" s="171" t="s">
        <v>294</v>
      </c>
      <c r="G44" s="171">
        <v>0.1</v>
      </c>
      <c r="H44" s="171">
        <v>0.6</v>
      </c>
      <c r="I44" s="171">
        <v>0.075</v>
      </c>
      <c r="J44" s="171">
        <v>0.07</v>
      </c>
      <c r="K44" s="171">
        <v>2.921</v>
      </c>
      <c r="L44" s="171">
        <v>0.549</v>
      </c>
      <c r="M44" s="171">
        <v>0.961</v>
      </c>
      <c r="U44" s="201" t="s">
        <v>363</v>
      </c>
      <c r="V44" s="192" t="str">
        <f>C7</f>
        <v>Tra_EV_Batt-LFP_virgin</v>
      </c>
      <c r="W44" s="192" t="str">
        <f t="shared" ref="W44:W50" si="8">_xlfn.TEXTJOIN("; ",TRUE,AO45:AQ45)</f>
        <v/>
      </c>
      <c r="X44" s="192" t="s">
        <v>260</v>
      </c>
      <c r="Y44" s="192" t="s">
        <v>260</v>
      </c>
      <c r="Z44" s="192" t="s">
        <v>252</v>
      </c>
      <c r="AA44" s="192"/>
      <c r="AB44" s="192"/>
    </row>
    <row r="45" ht="14.5" spans="3:38">
      <c r="V45" s="192" t="str">
        <f t="shared" ref="V45:V50" si="9">C8</f>
        <v>Tra_EV_Batt-LMO_virgin</v>
      </c>
      <c r="W45" s="192" t="str">
        <f t="shared" si="8"/>
        <v/>
      </c>
      <c r="X45" s="192" t="s">
        <v>260</v>
      </c>
      <c r="Y45" s="192" t="s">
        <v>260</v>
      </c>
      <c r="Z45" s="192" t="s">
        <v>252</v>
      </c>
      <c r="AA45" s="192"/>
      <c r="AB45" s="192"/>
    </row>
    <row r="46" ht="14.5" spans="3:38">
      <c r="U46" s="192"/>
      <c r="V46" s="192" t="str">
        <f t="shared" si="9"/>
        <v>Tra_EV_Batt-NCA_virgin</v>
      </c>
      <c r="W46" s="192" t="str">
        <f t="shared" si="8"/>
        <v/>
      </c>
      <c r="X46" s="192" t="s">
        <v>260</v>
      </c>
      <c r="Y46" s="192" t="s">
        <v>260</v>
      </c>
      <c r="Z46" s="192" t="s">
        <v>252</v>
      </c>
      <c r="AA46" s="192"/>
      <c r="AB46" s="192"/>
    </row>
    <row r="47" ht="18" spans="3:38">
      <c r="U47" s="200"/>
      <c r="V47" s="192" t="str">
        <f t="shared" si="9"/>
        <v>Tra_EV_Batt-NMC111_virgin</v>
      </c>
      <c r="W47" s="192" t="str">
        <f t="shared" si="8"/>
        <v/>
      </c>
      <c r="X47" s="192" t="s">
        <v>260</v>
      </c>
      <c r="Y47" s="192" t="s">
        <v>260</v>
      </c>
      <c r="Z47" s="192" t="s">
        <v>252</v>
      </c>
      <c r="AA47" s="199"/>
      <c r="AB47" s="199"/>
    </row>
    <row r="48" ht="18" spans="3:38">
      <c r="U48" s="200"/>
      <c r="V48" s="192" t="str">
        <f t="shared" si="9"/>
        <v>Tra_EV_Batt-NMC532_virgin</v>
      </c>
      <c r="W48" s="192" t="str">
        <f t="shared" si="8"/>
        <v/>
      </c>
      <c r="X48" s="192" t="s">
        <v>260</v>
      </c>
      <c r="Y48" s="192" t="s">
        <v>260</v>
      </c>
      <c r="Z48" s="192" t="s">
        <v>252</v>
      </c>
      <c r="AA48" s="199"/>
      <c r="AB48" s="199"/>
    </row>
    <row r="49" ht="14.5" spans="1:28">
      <c r="U49" s="200"/>
      <c r="V49" s="192" t="str">
        <f t="shared" si="9"/>
        <v>Tra_EV_Batt-NMC622_virgin</v>
      </c>
      <c r="W49" s="192" t="str">
        <f t="shared" si="8"/>
        <v/>
      </c>
      <c r="X49" s="192" t="s">
        <v>260</v>
      </c>
      <c r="Y49" s="192" t="s">
        <v>260</v>
      </c>
      <c r="Z49" s="192" t="s">
        <v>252</v>
      </c>
      <c r="AA49" s="200"/>
      <c r="AB49" s="200"/>
    </row>
    <row r="50" ht="14.5" spans="1:28">
      <c r="V50" s="192" t="str">
        <f t="shared" si="9"/>
        <v>Tra_EV_Batt-NMC811_virgin</v>
      </c>
      <c r="W50" s="192" t="str">
        <f t="shared" si="8"/>
        <v/>
      </c>
      <c r="X50" s="192" t="s">
        <v>260</v>
      </c>
      <c r="Y50" s="192" t="s">
        <v>260</v>
      </c>
      <c r="Z50" s="192" t="s">
        <v>252</v>
      </c>
    </row>
    <row r="51" ht="14.5" spans="1:28">
      <c r="V51" s="192" t="s">
        <v>198</v>
      </c>
      <c r="X51" s="192" t="s">
        <v>260</v>
      </c>
      <c r="Y51" s="192" t="s">
        <v>260</v>
      </c>
      <c r="Z51" s="192" t="s">
        <v>252</v>
      </c>
    </row>
    <row r="53" ht="14.5" spans="1:28">
      <c r="U53" s="305" t="s">
        <v>72</v>
      </c>
      <c r="V53" s="305"/>
      <c r="W53" s="305"/>
      <c r="X53" s="305"/>
      <c r="Y53" s="305"/>
      <c r="Z53" s="305"/>
      <c r="AA53" s="305"/>
      <c r="AB53" s="305"/>
    </row>
    <row r="54" ht="14.5" spans="1:28">
      <c r="U54" s="305" t="s">
        <v>79</v>
      </c>
      <c r="V54" s="305" t="s">
        <v>80</v>
      </c>
      <c r="W54" s="305" t="s">
        <v>81</v>
      </c>
      <c r="X54" s="305" t="s">
        <v>82</v>
      </c>
      <c r="Y54" s="305" t="s">
        <v>83</v>
      </c>
      <c r="Z54" s="305" t="s">
        <v>224</v>
      </c>
      <c r="AA54" s="305" t="s">
        <v>225</v>
      </c>
      <c r="AB54" s="305" t="s">
        <v>226</v>
      </c>
    </row>
    <row r="55" ht="14.5" spans="1:28">
      <c r="U55" s="305" t="s">
        <v>259</v>
      </c>
      <c r="V55" s="305" t="str">
        <f>B29</f>
        <v>Tra_EV_Batt-Sodium_virgin_pack</v>
      </c>
      <c r="W55" s="305" t="s">
        <v>364</v>
      </c>
      <c r="X55" s="305" t="s">
        <v>250</v>
      </c>
      <c r="Y55" s="305" t="s">
        <v>251</v>
      </c>
      <c r="Z55" s="305" t="s">
        <v>252</v>
      </c>
      <c r="AA55" s="305"/>
      <c r="AB55" s="305"/>
    </row>
    <row r="56" spans="1:28">
      <c r="U56" s="306"/>
      <c r="V56" s="306"/>
      <c r="W56" s="306"/>
      <c r="X56" s="306"/>
      <c r="Y56" s="306"/>
      <c r="Z56" s="306"/>
      <c r="AA56" s="306"/>
      <c r="AB56" s="306"/>
    </row>
    <row r="59" ht="14.5" spans="1:28">
      <c r="C59" s="171" t="s">
        <v>315</v>
      </c>
      <c r="W59" s="192" t="s">
        <v>72</v>
      </c>
      <c r="X59" s="192"/>
      <c r="Y59" s="192"/>
      <c r="Z59" s="192"/>
      <c r="AA59" s="192"/>
      <c r="AB59" s="192"/>
    </row>
    <row r="60" ht="14.5" spans="1:28">
      <c r="A60" s="171" t="s">
        <v>202</v>
      </c>
      <c r="B60" s="192" t="s">
        <v>205</v>
      </c>
      <c r="C60" s="171" t="s">
        <v>258</v>
      </c>
      <c r="D60" s="171" t="s">
        <v>365</v>
      </c>
      <c r="E60" s="171" t="s">
        <v>366</v>
      </c>
      <c r="F60" s="171" t="s">
        <v>367</v>
      </c>
      <c r="G60" s="171" t="s">
        <v>368</v>
      </c>
      <c r="H60" s="171" t="s">
        <v>369</v>
      </c>
      <c r="I60" s="171" t="s">
        <v>370</v>
      </c>
      <c r="J60" s="171" t="s">
        <v>371</v>
      </c>
      <c r="K60" s="219" t="s">
        <v>240</v>
      </c>
      <c r="L60" s="192" t="s">
        <v>195</v>
      </c>
      <c r="M60" s="192" t="s">
        <v>76</v>
      </c>
      <c r="N60" s="171" t="s">
        <v>286</v>
      </c>
      <c r="O60" s="171" t="s">
        <v>318</v>
      </c>
      <c r="P60" s="192" t="s">
        <v>319</v>
      </c>
      <c r="Q60" s="192" t="s">
        <v>320</v>
      </c>
      <c r="R60" s="171" t="s">
        <v>372</v>
      </c>
      <c r="S60" s="171" t="s">
        <v>321</v>
      </c>
      <c r="T60" s="171" t="s">
        <v>373</v>
      </c>
      <c r="U60" s="171" t="s">
        <v>374</v>
      </c>
      <c r="W60" s="192" t="s">
        <v>79</v>
      </c>
      <c r="X60" s="192" t="s">
        <v>80</v>
      </c>
      <c r="Y60" s="192" t="s">
        <v>81</v>
      </c>
      <c r="Z60" s="192" t="s">
        <v>82</v>
      </c>
      <c r="AA60" s="192" t="s">
        <v>83</v>
      </c>
      <c r="AB60" s="192" t="s">
        <v>224</v>
      </c>
    </row>
    <row r="61" ht="14.5" spans="1:28">
      <c r="A61" s="307">
        <v>2030</v>
      </c>
      <c r="B61" s="308" t="s">
        <v>212</v>
      </c>
      <c r="C61" s="171" t="s">
        <v>209</v>
      </c>
      <c r="D61" s="171">
        <v>1</v>
      </c>
      <c r="E61" s="171">
        <v>0</v>
      </c>
      <c r="F61" s="171">
        <v>0</v>
      </c>
      <c r="G61" s="171">
        <v>0</v>
      </c>
      <c r="H61" s="171">
        <v>0</v>
      </c>
      <c r="I61" s="171">
        <v>0</v>
      </c>
      <c r="J61" s="171">
        <v>0</v>
      </c>
      <c r="K61" s="219">
        <f t="shared" ref="K61:K67" si="10">ROUND(K22*80%,0)</f>
        <v>10</v>
      </c>
      <c r="L61" s="171" t="s">
        <v>210</v>
      </c>
      <c r="M61" s="171" t="s">
        <v>210</v>
      </c>
      <c r="N61" s="171">
        <v>0.88</v>
      </c>
      <c r="O61" s="171">
        <v>1.314</v>
      </c>
      <c r="P61" s="277">
        <v>1</v>
      </c>
      <c r="Q61" s="171">
        <v>1</v>
      </c>
      <c r="S61" s="171">
        <v>2000</v>
      </c>
      <c r="T61" s="171">
        <v>1</v>
      </c>
      <c r="U61" s="171" t="str">
        <f>B22</f>
        <v>Tra_EV_Batt-LFP_virgin_pack</v>
      </c>
      <c r="W61" s="192" t="s">
        <v>259</v>
      </c>
      <c r="X61" s="192" t="str">
        <f>C61</f>
        <v>Util_Rep_Batt-LFP</v>
      </c>
      <c r="Y61" s="192" t="str">
        <f>"Repurposed: "&amp;W6</f>
        <v>Repurposed: Lithium Iron Phosphate; High safety, long cycle life, lower energy density; EVs, energy storage systems</v>
      </c>
      <c r="Z61" s="192" t="s">
        <v>250</v>
      </c>
      <c r="AA61" s="192" t="s">
        <v>260</v>
      </c>
      <c r="AB61" s="192" t="s">
        <v>252</v>
      </c>
    </row>
    <row r="62" ht="14.5" spans="1:28">
      <c r="A62" s="307">
        <v>2030</v>
      </c>
      <c r="B62" s="308" t="s">
        <v>212</v>
      </c>
      <c r="C62" s="171" t="s">
        <v>213</v>
      </c>
      <c r="D62" s="171">
        <v>0</v>
      </c>
      <c r="E62" s="171">
        <v>1</v>
      </c>
      <c r="F62" s="171">
        <v>0</v>
      </c>
      <c r="G62" s="171">
        <v>0</v>
      </c>
      <c r="H62" s="171">
        <v>0</v>
      </c>
      <c r="I62" s="171">
        <v>0</v>
      </c>
      <c r="J62" s="171">
        <v>0</v>
      </c>
      <c r="K62" s="219">
        <f t="shared" si="10"/>
        <v>5</v>
      </c>
      <c r="L62" s="171" t="s">
        <v>210</v>
      </c>
      <c r="M62" s="171" t="s">
        <v>210</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250</v>
      </c>
      <c r="AA62" s="192" t="s">
        <v>260</v>
      </c>
      <c r="AB62" s="192" t="s">
        <v>252</v>
      </c>
    </row>
    <row r="63" ht="14.5" spans="1:28">
      <c r="A63" s="307">
        <v>2030</v>
      </c>
      <c r="B63" s="308" t="s">
        <v>212</v>
      </c>
      <c r="C63" s="171" t="s">
        <v>215</v>
      </c>
      <c r="D63" s="171">
        <v>0</v>
      </c>
      <c r="E63" s="171">
        <v>0</v>
      </c>
      <c r="F63" s="171">
        <v>1</v>
      </c>
      <c r="G63" s="171">
        <v>0</v>
      </c>
      <c r="H63" s="171">
        <v>0</v>
      </c>
      <c r="I63" s="171">
        <v>0</v>
      </c>
      <c r="J63" s="171">
        <v>0</v>
      </c>
      <c r="K63" s="219">
        <f t="shared" si="10"/>
        <v>7</v>
      </c>
      <c r="L63" s="171" t="s">
        <v>210</v>
      </c>
      <c r="M63" s="171" t="s">
        <v>210</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250</v>
      </c>
      <c r="AA63" s="192" t="s">
        <v>260</v>
      </c>
      <c r="AB63" s="192" t="s">
        <v>252</v>
      </c>
    </row>
    <row r="64" ht="14.5" spans="1:28">
      <c r="A64" s="307">
        <v>2030</v>
      </c>
      <c r="B64" s="308" t="s">
        <v>212</v>
      </c>
      <c r="C64" s="171" t="s">
        <v>216</v>
      </c>
      <c r="D64" s="171">
        <v>0</v>
      </c>
      <c r="E64" s="171">
        <v>0</v>
      </c>
      <c r="F64" s="171">
        <v>0</v>
      </c>
      <c r="G64" s="171">
        <v>1</v>
      </c>
      <c r="H64" s="171">
        <v>0</v>
      </c>
      <c r="I64" s="171">
        <v>0</v>
      </c>
      <c r="J64" s="171">
        <v>0</v>
      </c>
      <c r="K64" s="219">
        <f t="shared" si="10"/>
        <v>7</v>
      </c>
      <c r="L64" s="171" t="s">
        <v>210</v>
      </c>
      <c r="M64" s="171" t="s">
        <v>210</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250</v>
      </c>
      <c r="AA64" s="192" t="s">
        <v>260</v>
      </c>
      <c r="AB64" s="192" t="s">
        <v>252</v>
      </c>
    </row>
    <row r="65" ht="14.5" spans="1:28">
      <c r="A65" s="307">
        <v>2030</v>
      </c>
      <c r="B65" s="308" t="s">
        <v>212</v>
      </c>
      <c r="C65" s="171" t="s">
        <v>217</v>
      </c>
      <c r="D65" s="171">
        <v>0</v>
      </c>
      <c r="E65" s="171">
        <v>0</v>
      </c>
      <c r="F65" s="171">
        <v>0</v>
      </c>
      <c r="G65" s="171">
        <v>0</v>
      </c>
      <c r="H65" s="171">
        <v>1</v>
      </c>
      <c r="I65" s="171">
        <v>0</v>
      </c>
      <c r="J65" s="171">
        <v>0</v>
      </c>
      <c r="K65" s="219">
        <f t="shared" si="10"/>
        <v>7</v>
      </c>
      <c r="L65" s="171" t="s">
        <v>210</v>
      </c>
      <c r="M65" s="171" t="s">
        <v>210</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250</v>
      </c>
      <c r="AA65" s="192" t="s">
        <v>260</v>
      </c>
      <c r="AB65" s="192" t="s">
        <v>252</v>
      </c>
    </row>
    <row r="66" ht="14.5" spans="1:28">
      <c r="A66" s="307">
        <v>2030</v>
      </c>
      <c r="B66" s="308" t="s">
        <v>212</v>
      </c>
      <c r="C66" s="171" t="s">
        <v>218</v>
      </c>
      <c r="D66" s="171">
        <v>0</v>
      </c>
      <c r="E66" s="171">
        <v>0</v>
      </c>
      <c r="F66" s="171">
        <v>0</v>
      </c>
      <c r="G66" s="171">
        <v>0</v>
      </c>
      <c r="H66" s="171">
        <v>0</v>
      </c>
      <c r="I66" s="171">
        <v>1</v>
      </c>
      <c r="J66" s="171">
        <v>0</v>
      </c>
      <c r="K66" s="219">
        <f t="shared" si="10"/>
        <v>7</v>
      </c>
      <c r="L66" s="171" t="s">
        <v>210</v>
      </c>
      <c r="M66" s="171" t="s">
        <v>210</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250</v>
      </c>
      <c r="AA66" s="192" t="s">
        <v>260</v>
      </c>
      <c r="AB66" s="192" t="s">
        <v>252</v>
      </c>
    </row>
    <row r="67" ht="14.5" spans="1:28">
      <c r="A67" s="307">
        <v>2030</v>
      </c>
      <c r="B67" s="308" t="s">
        <v>212</v>
      </c>
      <c r="C67" s="171" t="s">
        <v>219</v>
      </c>
      <c r="D67" s="171">
        <v>0</v>
      </c>
      <c r="E67" s="171">
        <v>0</v>
      </c>
      <c r="F67" s="171">
        <v>0</v>
      </c>
      <c r="G67" s="171">
        <v>0</v>
      </c>
      <c r="H67" s="171">
        <v>0</v>
      </c>
      <c r="I67" s="171">
        <v>0</v>
      </c>
      <c r="J67" s="171">
        <v>1</v>
      </c>
      <c r="K67" s="219">
        <f t="shared" si="10"/>
        <v>7</v>
      </c>
      <c r="L67" s="171" t="s">
        <v>210</v>
      </c>
      <c r="M67" s="171" t="s">
        <v>210</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250</v>
      </c>
      <c r="AA67" s="192" t="s">
        <v>260</v>
      </c>
      <c r="AB67" s="192" t="s">
        <v>252</v>
      </c>
    </row>
    <row r="68" ht="14.5" spans="1:28">
      <c r="X68" s="192"/>
      <c r="Y68" s="192"/>
      <c r="Z68" s="192"/>
      <c r="AA68" s="192"/>
      <c r="AB68" s="192"/>
    </row>
    <row r="71" spans="1:28">
      <c r="C71" s="171" t="s">
        <v>375</v>
      </c>
    </row>
    <row r="72" spans="1:28">
      <c r="C72" s="171" t="s">
        <v>258</v>
      </c>
      <c r="D72" s="309" t="s">
        <v>376</v>
      </c>
      <c r="E72" s="309" t="s">
        <v>377</v>
      </c>
      <c r="F72" s="309" t="s">
        <v>378</v>
      </c>
      <c r="G72" s="309" t="s">
        <v>379</v>
      </c>
      <c r="H72" s="309" t="s">
        <v>380</v>
      </c>
      <c r="I72" s="309" t="s">
        <v>381</v>
      </c>
      <c r="J72" s="309" t="s">
        <v>382</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5" spans="2:30">
      <c r="U85" s="296"/>
      <c r="V85" s="296"/>
      <c r="W85" s="296"/>
      <c r="X85" s="296"/>
      <c r="Y85" s="296"/>
      <c r="Z85" s="296"/>
      <c r="AA85" s="296"/>
      <c r="AB85" s="296"/>
      <c r="AC85" s="296"/>
    </row>
    <row r="86" spans="2:30">
      <c r="U86" s="296"/>
      <c r="V86" s="296"/>
      <c r="W86" s="296"/>
      <c r="X86" s="296"/>
      <c r="Y86" s="296"/>
      <c r="Z86" s="296"/>
      <c r="AA86" s="296"/>
      <c r="AB86" s="296"/>
      <c r="AC86" s="296"/>
    </row>
    <row r="87" spans="2:30">
      <c r="C87" s="171" t="s">
        <v>200</v>
      </c>
      <c r="F87" s="310"/>
      <c r="G87" s="310" t="s">
        <v>200</v>
      </c>
      <c r="J87" s="310"/>
      <c r="K87" s="310"/>
      <c r="L87" s="202"/>
      <c r="P87" s="202"/>
      <c r="U87" s="296"/>
      <c r="V87" s="296"/>
      <c r="W87" s="296"/>
      <c r="X87" s="296"/>
      <c r="Y87" s="296"/>
      <c r="Z87" s="296"/>
      <c r="AA87" s="296"/>
      <c r="AB87" s="296"/>
      <c r="AC87" s="296"/>
    </row>
    <row r="88" ht="14.5" spans="2:30">
      <c r="B88" s="171" t="s">
        <v>202</v>
      </c>
      <c r="C88" s="171" t="s">
        <v>258</v>
      </c>
      <c r="G88" s="310" t="s">
        <v>258</v>
      </c>
      <c r="I88" s="311" t="s">
        <v>383</v>
      </c>
      <c r="J88" s="310"/>
      <c r="K88" s="310"/>
      <c r="N88" s="277"/>
      <c r="P88" s="202"/>
      <c r="Q88" s="171" t="s">
        <v>202</v>
      </c>
      <c r="U88" s="296"/>
      <c r="V88" s="296"/>
      <c r="W88" s="296"/>
      <c r="X88" s="296"/>
      <c r="Y88" s="296"/>
      <c r="Z88" s="296"/>
      <c r="AA88" s="296"/>
      <c r="AB88" s="296"/>
      <c r="AC88" s="296"/>
      <c r="AD88"/>
    </row>
    <row r="89" spans="2:30">
      <c r="B89" s="307">
        <v>2020</v>
      </c>
      <c r="C89" s="312" t="s">
        <v>384</v>
      </c>
      <c r="G89" s="313" t="s">
        <v>384</v>
      </c>
      <c r="I89" s="311">
        <v>3</v>
      </c>
      <c r="J89" s="314"/>
      <c r="N89" s="277"/>
      <c r="O89" s="314">
        <v>15.7</v>
      </c>
      <c r="P89" s="315" t="s">
        <v>385</v>
      </c>
      <c r="Q89" s="171">
        <v>2020</v>
      </c>
      <c r="U89" s="296"/>
      <c r="V89" s="298"/>
      <c r="W89" s="298"/>
      <c r="X89" s="296"/>
      <c r="Y89" s="296"/>
      <c r="Z89" s="298"/>
      <c r="AA89" s="296"/>
      <c r="AB89" s="296"/>
      <c r="AC89" s="296"/>
    </row>
    <row r="90" spans="2:30">
      <c r="B90" s="307">
        <v>2020</v>
      </c>
      <c r="C90" s="312" t="s">
        <v>386</v>
      </c>
      <c r="G90" s="313" t="s">
        <v>386</v>
      </c>
      <c r="I90" s="311">
        <v>3</v>
      </c>
      <c r="J90" s="314"/>
      <c r="N90" s="277"/>
      <c r="O90" s="314">
        <v>15.7</v>
      </c>
      <c r="P90" s="301"/>
      <c r="Q90" s="171">
        <v>2020</v>
      </c>
      <c r="U90" s="296"/>
      <c r="V90" s="298"/>
      <c r="W90" s="298"/>
      <c r="X90" s="296"/>
      <c r="Y90" s="296"/>
      <c r="Z90" s="298"/>
      <c r="AA90" s="296"/>
      <c r="AB90" s="296"/>
      <c r="AC90" s="296"/>
    </row>
    <row r="91" ht="14.5" spans="2:30">
      <c r="B91" s="307">
        <v>2020</v>
      </c>
      <c r="C91" s="312" t="s">
        <v>387</v>
      </c>
      <c r="G91" s="313" t="s">
        <v>387</v>
      </c>
      <c r="I91" s="311">
        <v>3</v>
      </c>
      <c r="J91" s="314"/>
      <c r="N91" s="277"/>
      <c r="O91" s="314">
        <v>15.7</v>
      </c>
      <c r="P91" s="301"/>
      <c r="Q91" s="171">
        <v>2020</v>
      </c>
      <c r="U91" s="296"/>
      <c r="V91" s="298"/>
      <c r="W91" s="298"/>
      <c r="X91" s="296"/>
      <c r="Y91" s="316"/>
      <c r="Z91" s="298"/>
      <c r="AA91" s="296"/>
      <c r="AB91" s="296"/>
      <c r="AC91" s="296"/>
    </row>
    <row r="92" spans="2:30">
      <c r="B92" s="307">
        <v>2020</v>
      </c>
      <c r="C92" s="312" t="s">
        <v>388</v>
      </c>
      <c r="G92" s="313" t="s">
        <v>388</v>
      </c>
      <c r="I92" s="311">
        <v>3</v>
      </c>
      <c r="J92" s="314"/>
      <c r="N92" s="277"/>
      <c r="O92" s="314">
        <v>15.7</v>
      </c>
      <c r="P92" s="301"/>
      <c r="Q92" s="171">
        <v>2020</v>
      </c>
      <c r="U92" s="296"/>
      <c r="V92" s="298"/>
      <c r="W92" s="298"/>
      <c r="X92" s="296"/>
      <c r="Y92" s="296"/>
      <c r="Z92" s="298"/>
      <c r="AA92" s="296"/>
      <c r="AB92" s="296"/>
      <c r="AC92" s="296"/>
    </row>
    <row r="93" spans="2:30">
      <c r="B93" s="307">
        <v>2020</v>
      </c>
      <c r="C93" s="312" t="s">
        <v>389</v>
      </c>
      <c r="G93" s="313" t="s">
        <v>389</v>
      </c>
      <c r="I93" s="311">
        <v>3</v>
      </c>
      <c r="J93" s="314"/>
      <c r="N93" s="277"/>
      <c r="O93" s="314">
        <v>15.7</v>
      </c>
      <c r="P93" s="301" t="s">
        <v>390</v>
      </c>
      <c r="Q93" s="171">
        <v>2020</v>
      </c>
      <c r="U93" s="296"/>
      <c r="V93" s="298"/>
      <c r="W93" s="298"/>
      <c r="X93" s="296"/>
      <c r="Y93" s="296"/>
      <c r="Z93" s="298"/>
      <c r="AA93" s="296"/>
      <c r="AB93" s="296"/>
      <c r="AC93" s="296"/>
    </row>
    <row r="94" spans="2:30">
      <c r="B94" s="307">
        <v>2020</v>
      </c>
      <c r="C94" s="312" t="s">
        <v>391</v>
      </c>
      <c r="G94" s="313" t="s">
        <v>391</v>
      </c>
      <c r="I94" s="311">
        <v>3</v>
      </c>
      <c r="J94" s="314"/>
      <c r="N94" s="277"/>
      <c r="O94" s="314">
        <v>15.7</v>
      </c>
      <c r="P94" s="301"/>
      <c r="Q94" s="171">
        <v>2020</v>
      </c>
      <c r="U94" s="296"/>
      <c r="V94" s="298"/>
      <c r="W94" s="298"/>
      <c r="X94" s="296"/>
      <c r="Y94" s="296"/>
      <c r="Z94" s="298"/>
      <c r="AA94" s="296"/>
      <c r="AB94" s="296"/>
      <c r="AC94" s="296"/>
    </row>
    <row r="95" spans="2:30">
      <c r="B95" s="307">
        <v>2020</v>
      </c>
      <c r="C95" s="312" t="s">
        <v>392</v>
      </c>
      <c r="G95" s="313" t="s">
        <v>392</v>
      </c>
      <c r="I95" s="311">
        <v>3</v>
      </c>
      <c r="J95" s="314"/>
      <c r="N95" s="277"/>
      <c r="O95" s="314">
        <v>15.7</v>
      </c>
      <c r="P95" s="301"/>
      <c r="Q95" s="171">
        <v>2020</v>
      </c>
      <c r="U95" s="296"/>
      <c r="V95" s="298"/>
      <c r="W95" s="298"/>
      <c r="X95" s="296"/>
      <c r="Y95" s="296"/>
      <c r="Z95" s="298"/>
      <c r="AA95" s="296"/>
      <c r="AB95" s="296"/>
      <c r="AC95" s="296"/>
    </row>
    <row r="96" ht="14.5" spans="2:30">
      <c r="B96" s="307">
        <v>2020</v>
      </c>
      <c r="C96" s="312" t="s">
        <v>393</v>
      </c>
      <c r="D96" s="192"/>
      <c r="E96" s="192"/>
      <c r="G96" s="313" t="s">
        <v>393</v>
      </c>
      <c r="H96" s="192"/>
      <c r="I96" s="311">
        <v>3</v>
      </c>
      <c r="J96" s="192"/>
      <c r="U96" s="296"/>
      <c r="V96" s="296"/>
      <c r="W96" s="296"/>
      <c r="X96" s="296"/>
      <c r="Y96" s="296"/>
      <c r="Z96" s="296"/>
      <c r="AA96" s="296"/>
      <c r="AB96" s="296"/>
      <c r="AC96" s="296"/>
    </row>
    <row r="97" ht="14.5" spans="2:34">
      <c r="B97" s="307">
        <v>2020</v>
      </c>
      <c r="C97" s="312" t="s">
        <v>394</v>
      </c>
      <c r="D97" s="192"/>
      <c r="E97" s="192"/>
      <c r="G97" s="313" t="s">
        <v>394</v>
      </c>
      <c r="H97" s="192"/>
      <c r="I97" s="311">
        <v>3</v>
      </c>
      <c r="J97" s="192"/>
      <c r="U97" s="296"/>
      <c r="V97" s="296"/>
      <c r="W97" s="296"/>
      <c r="X97" s="296"/>
      <c r="Y97" s="296"/>
      <c r="Z97" s="296"/>
      <c r="AA97" s="296"/>
      <c r="AB97" s="296"/>
      <c r="AC97" s="296"/>
    </row>
    <row r="98" ht="14.5" spans="2:34">
      <c r="B98" s="307">
        <v>2020</v>
      </c>
      <c r="C98" s="312" t="s">
        <v>395</v>
      </c>
      <c r="D98" s="192"/>
      <c r="E98" s="192"/>
      <c r="G98" s="313" t="s">
        <v>395</v>
      </c>
      <c r="H98" s="192"/>
      <c r="I98" s="311">
        <v>3</v>
      </c>
      <c r="J98" s="192"/>
    </row>
    <row r="99" ht="14.5" spans="2:34">
      <c r="B99" s="307">
        <v>2020</v>
      </c>
      <c r="C99" s="312" t="s">
        <v>396</v>
      </c>
      <c r="D99" s="192"/>
      <c r="E99" s="192"/>
      <c r="G99" s="313" t="s">
        <v>396</v>
      </c>
      <c r="I99" s="311">
        <v>3</v>
      </c>
      <c r="X99" s="317"/>
    </row>
    <row r="100" ht="14.5" spans="2:34">
      <c r="B100" s="307">
        <v>2020</v>
      </c>
      <c r="C100" s="312" t="s">
        <v>397</v>
      </c>
      <c r="D100" s="192"/>
      <c r="E100" s="192"/>
      <c r="G100" s="313" t="s">
        <v>397</v>
      </c>
      <c r="I100" s="311">
        <v>3</v>
      </c>
      <c r="W100" s="296" t="s">
        <v>223</v>
      </c>
      <c r="X100" s="317"/>
    </row>
    <row r="101" ht="14.5" spans="2:34">
      <c r="B101" s="307">
        <v>2020</v>
      </c>
      <c r="C101" s="312" t="s">
        <v>398</v>
      </c>
      <c r="D101" s="192"/>
      <c r="E101" s="192"/>
      <c r="G101" s="313" t="s">
        <v>398</v>
      </c>
      <c r="I101" s="311">
        <v>3</v>
      </c>
      <c r="V101" s="171" t="s">
        <v>258</v>
      </c>
      <c r="W101" s="171" t="s">
        <v>333</v>
      </c>
      <c r="X101" s="317" t="s">
        <v>399</v>
      </c>
      <c r="Y101" s="171" t="s">
        <v>400</v>
      </c>
      <c r="Z101" s="171" t="s">
        <v>401</v>
      </c>
      <c r="AA101" s="296" t="s">
        <v>402</v>
      </c>
      <c r="AB101" s="296" t="s">
        <v>336</v>
      </c>
      <c r="AC101" s="171" t="s">
        <v>403</v>
      </c>
      <c r="AD101" s="171" t="s">
        <v>404</v>
      </c>
      <c r="AE101" s="171" t="s">
        <v>405</v>
      </c>
      <c r="AF101" t="s">
        <v>406</v>
      </c>
    </row>
    <row r="102" ht="14.5" spans="2:34">
      <c r="B102" s="307">
        <v>2020</v>
      </c>
      <c r="C102" s="312" t="s">
        <v>407</v>
      </c>
      <c r="D102" s="192"/>
      <c r="E102" s="192"/>
      <c r="G102" s="313" t="s">
        <v>407</v>
      </c>
      <c r="I102" s="311">
        <v>3</v>
      </c>
      <c r="V102" s="318" t="s">
        <v>298</v>
      </c>
      <c r="W102" s="319" t="s">
        <v>186</v>
      </c>
      <c r="X102" s="320">
        <v>5.3</v>
      </c>
      <c r="Y102" s="320">
        <v>45</v>
      </c>
      <c r="Z102" s="171" t="s">
        <v>339</v>
      </c>
      <c r="AB102" s="171">
        <v>5</v>
      </c>
      <c r="AC102" s="171">
        <f t="shared" ref="AC102:AC107" si="15">Y102*3%</f>
        <v>1.35</v>
      </c>
      <c r="AD102" s="171">
        <v>0.9</v>
      </c>
      <c r="AE102" s="171">
        <v>30</v>
      </c>
      <c r="AH102" s="277">
        <v>6</v>
      </c>
    </row>
    <row r="103" ht="14.5" spans="2:34">
      <c r="B103" s="307">
        <v>2030</v>
      </c>
      <c r="C103" s="312" t="s">
        <v>408</v>
      </c>
      <c r="D103" s="192"/>
      <c r="E103" s="192"/>
      <c r="G103" s="313" t="s">
        <v>408</v>
      </c>
      <c r="I103" s="311">
        <v>3</v>
      </c>
      <c r="V103" s="297" t="s">
        <v>301</v>
      </c>
      <c r="W103" s="171" t="s">
        <v>187</v>
      </c>
      <c r="X103" s="320">
        <v>8</v>
      </c>
      <c r="Y103" s="320">
        <v>50</v>
      </c>
      <c r="Z103" s="171" t="s">
        <v>339</v>
      </c>
      <c r="AB103" s="171">
        <v>5</v>
      </c>
      <c r="AC103" s="171">
        <f t="shared" si="15"/>
        <v>1.5</v>
      </c>
      <c r="AD103" s="171">
        <v>0.9</v>
      </c>
      <c r="AE103" s="171">
        <v>30</v>
      </c>
      <c r="AH103" s="171">
        <v>4</v>
      </c>
    </row>
    <row r="104" ht="14.5" spans="2:34">
      <c r="B104" s="307">
        <v>2030</v>
      </c>
      <c r="C104" s="312" t="s">
        <v>409</v>
      </c>
      <c r="D104" s="192"/>
      <c r="E104" s="192"/>
      <c r="G104" s="313" t="s">
        <v>409</v>
      </c>
      <c r="I104" s="311">
        <v>3</v>
      </c>
      <c r="V104" s="297" t="s">
        <v>306</v>
      </c>
      <c r="W104" s="171" t="s">
        <v>189</v>
      </c>
      <c r="X104" s="321">
        <v>3.3</v>
      </c>
      <c r="Y104" s="321">
        <v>10</v>
      </c>
      <c r="Z104" s="171" t="s">
        <v>339</v>
      </c>
      <c r="AB104" s="171">
        <v>5</v>
      </c>
      <c r="AC104" s="171">
        <f t="shared" si="15"/>
        <v>0.3</v>
      </c>
      <c r="AD104" s="171">
        <v>0.9</v>
      </c>
      <c r="AE104" s="171">
        <v>30</v>
      </c>
      <c r="AH104" s="171">
        <v>4</v>
      </c>
    </row>
    <row r="105" ht="14.5" spans="2:34">
      <c r="B105" s="307">
        <v>2030</v>
      </c>
      <c r="C105" s="312" t="s">
        <v>410</v>
      </c>
      <c r="G105" s="313" t="s">
        <v>410</v>
      </c>
      <c r="I105" s="311">
        <v>3</v>
      </c>
      <c r="V105" s="297" t="s">
        <v>308</v>
      </c>
      <c r="W105" s="171" t="s">
        <v>190</v>
      </c>
      <c r="X105" s="320">
        <v>1.5</v>
      </c>
      <c r="Y105" s="320">
        <v>10</v>
      </c>
      <c r="Z105" s="171" t="s">
        <v>339</v>
      </c>
      <c r="AB105" s="171">
        <v>5</v>
      </c>
      <c r="AC105" s="171">
        <f t="shared" si="15"/>
        <v>0.3</v>
      </c>
      <c r="AD105" s="171">
        <v>0.9</v>
      </c>
      <c r="AE105" s="171">
        <v>30</v>
      </c>
      <c r="AH105" s="171">
        <v>5</v>
      </c>
    </row>
    <row r="106" ht="14.5" spans="2:34">
      <c r="B106" s="307">
        <v>2030</v>
      </c>
      <c r="C106" s="312" t="s">
        <v>411</v>
      </c>
      <c r="G106" s="313" t="s">
        <v>411</v>
      </c>
      <c r="I106" s="311">
        <v>3</v>
      </c>
      <c r="V106" s="297" t="s">
        <v>310</v>
      </c>
      <c r="W106" s="171" t="s">
        <v>191</v>
      </c>
      <c r="X106" s="320">
        <v>4.5</v>
      </c>
      <c r="Y106" s="320">
        <v>18.5</v>
      </c>
      <c r="Z106" s="171" t="s">
        <v>339</v>
      </c>
      <c r="AB106" s="171">
        <v>5</v>
      </c>
      <c r="AC106" s="171">
        <f t="shared" si="15"/>
        <v>0.555</v>
      </c>
      <c r="AD106" s="171">
        <v>0.9</v>
      </c>
      <c r="AE106" s="171">
        <v>30</v>
      </c>
      <c r="AH106" s="171">
        <v>4</v>
      </c>
    </row>
    <row r="107" ht="14.5" spans="2:34">
      <c r="B107" s="307">
        <v>2030</v>
      </c>
      <c r="C107" s="312" t="s">
        <v>412</v>
      </c>
      <c r="G107" s="313" t="s">
        <v>412</v>
      </c>
      <c r="I107" s="311">
        <v>3</v>
      </c>
      <c r="V107" s="297" t="s">
        <v>312</v>
      </c>
      <c r="W107" s="171" t="s">
        <v>192</v>
      </c>
      <c r="X107" s="320">
        <v>1.7</v>
      </c>
      <c r="Y107" s="320">
        <v>1.9</v>
      </c>
      <c r="Z107" s="171" t="s">
        <v>339</v>
      </c>
      <c r="AB107" s="171">
        <v>5</v>
      </c>
      <c r="AC107" s="171">
        <f t="shared" si="15"/>
        <v>0.057</v>
      </c>
      <c r="AD107" s="171">
        <v>0.9</v>
      </c>
      <c r="AE107" s="171">
        <v>30</v>
      </c>
      <c r="AH107" s="171">
        <v>9</v>
      </c>
    </row>
    <row r="108" ht="14.5" spans="2:34">
      <c r="B108" s="307">
        <v>2030</v>
      </c>
      <c r="C108" s="312" t="s">
        <v>413</v>
      </c>
      <c r="D108" s="192"/>
      <c r="E108" s="192"/>
      <c r="G108" s="313" t="s">
        <v>413</v>
      </c>
      <c r="I108" s="311">
        <v>3</v>
      </c>
      <c r="V108" s="297" t="s">
        <v>316</v>
      </c>
      <c r="W108" s="171" t="s">
        <v>188</v>
      </c>
      <c r="X108" s="321">
        <v>24</v>
      </c>
      <c r="Y108" s="171">
        <v>30</v>
      </c>
      <c r="Z108" s="171" t="s">
        <v>339</v>
      </c>
      <c r="AB108" s="171">
        <v>5</v>
      </c>
      <c r="AC108" s="171">
        <v>0.24</v>
      </c>
      <c r="AD108" s="171">
        <v>0.9</v>
      </c>
      <c r="AE108" s="171">
        <v>30</v>
      </c>
      <c r="AF108" s="322">
        <v>0.03</v>
      </c>
      <c r="AH108" s="171">
        <v>4</v>
      </c>
    </row>
    <row r="109" spans="2:34">
      <c r="B109" s="307">
        <v>2030</v>
      </c>
      <c r="C109" s="323" t="s">
        <v>414</v>
      </c>
      <c r="G109" s="324" t="s">
        <v>414</v>
      </c>
      <c r="I109" s="311">
        <v>3</v>
      </c>
      <c r="W109" s="171" t="s">
        <v>191</v>
      </c>
    </row>
    <row r="110" ht="14.5" spans="2:34">
      <c r="C110" s="192"/>
      <c r="V110" s="295" t="s">
        <v>322</v>
      </c>
      <c r="W110" s="171" t="s">
        <v>188</v>
      </c>
      <c r="X110" s="321">
        <v>24</v>
      </c>
      <c r="Y110" s="171">
        <v>30</v>
      </c>
      <c r="Z110" s="171" t="s">
        <v>339</v>
      </c>
      <c r="AB110" s="171">
        <v>5</v>
      </c>
      <c r="AC110" s="171">
        <f>Y110*3%</f>
        <v>0.9</v>
      </c>
      <c r="AD110" s="171">
        <v>0.9</v>
      </c>
      <c r="AE110" s="171">
        <v>30</v>
      </c>
      <c r="AF110" s="322">
        <v>0.03</v>
      </c>
      <c r="AH110" s="171">
        <v>4</v>
      </c>
    </row>
    <row r="111" ht="14.5" spans="2:34">
      <c r="C111" s="192"/>
      <c r="W111" s="171" t="s">
        <v>191</v>
      </c>
    </row>
    <row r="112" ht="14.5" spans="2:34">
      <c r="C112" s="192"/>
      <c r="V112" s="297" t="s">
        <v>328</v>
      </c>
      <c r="W112" s="171" t="s">
        <v>188</v>
      </c>
      <c r="X112" s="171">
        <f>X110</f>
        <v>24</v>
      </c>
      <c r="Y112" s="171">
        <v>50</v>
      </c>
      <c r="Z112" s="171" t="s">
        <v>339</v>
      </c>
      <c r="AB112" s="171">
        <f>AB110</f>
        <v>5</v>
      </c>
      <c r="AC112" s="171">
        <f>Y112*3%</f>
        <v>1.5</v>
      </c>
      <c r="AD112" s="171">
        <f>AD110</f>
        <v>0.9</v>
      </c>
      <c r="AE112" s="171">
        <f>AE110</f>
        <v>30</v>
      </c>
      <c r="AF112" s="322">
        <v>0.03</v>
      </c>
      <c r="AH112" s="171">
        <v>4</v>
      </c>
    </row>
    <row r="113" ht="14.5" spans="1:46">
      <c r="C113" s="192"/>
      <c r="W113" s="171" t="s">
        <v>191</v>
      </c>
    </row>
    <row r="114" ht="14.5" spans="1:46">
      <c r="C114" s="192"/>
      <c r="V114" s="171" t="s">
        <v>325</v>
      </c>
      <c r="W114" s="171" t="s">
        <v>188</v>
      </c>
      <c r="X114" s="171">
        <f>X112</f>
        <v>24</v>
      </c>
      <c r="Y114" s="171">
        <v>50</v>
      </c>
      <c r="Z114" s="171" t="s">
        <v>339</v>
      </c>
      <c r="AB114" s="171">
        <v>5</v>
      </c>
      <c r="AC114" s="171">
        <f>Y114*3%</f>
        <v>1.5</v>
      </c>
      <c r="AD114" s="171">
        <v>0.9</v>
      </c>
      <c r="AE114" s="171">
        <v>30</v>
      </c>
      <c r="AH114" s="171">
        <v>4</v>
      </c>
    </row>
    <row r="115" ht="14.5" spans="1:46">
      <c r="C115" s="192"/>
    </row>
    <row r="123" ht="53" customHeight="1"/>
    <row r="124" spans="1:46">
      <c r="AA124" s="216" t="s">
        <v>415</v>
      </c>
      <c r="AB124" s="216"/>
      <c r="AC124" s="216"/>
      <c r="AD124" s="216"/>
      <c r="AE124" s="216"/>
      <c r="AF124" s="216"/>
    </row>
    <row r="125" ht="14.5" spans="1:46">
      <c r="B125"/>
      <c r="C125"/>
      <c r="D125"/>
    </row>
    <row r="126" ht="21" spans="1:46">
      <c r="B126" s="217"/>
      <c r="C126" s="218" t="s">
        <v>416</v>
      </c>
      <c r="D126" s="219"/>
      <c r="E126" s="219"/>
      <c r="F126" s="219"/>
      <c r="H126" s="209"/>
      <c r="I126" s="220"/>
      <c r="J126" s="221" t="s">
        <v>417</v>
      </c>
      <c r="K126" s="221"/>
      <c r="L126" s="221"/>
      <c r="M126" s="221"/>
      <c r="N126" s="221"/>
      <c r="O126" s="221"/>
      <c r="P126" s="221"/>
      <c r="Q126" s="221"/>
      <c r="R126" s="221"/>
      <c r="S126" s="209"/>
      <c r="T126" s="209"/>
      <c r="U126" s="209"/>
    </row>
    <row r="127" ht="14.5" spans="1:46">
      <c r="B127" s="217"/>
      <c r="C127" s="222" t="s">
        <v>418</v>
      </c>
      <c r="D127" s="219"/>
      <c r="E127" s="219"/>
      <c r="F127" s="219"/>
      <c r="H127" s="223" t="s">
        <v>419</v>
      </c>
      <c r="I127" s="224" t="s">
        <v>420</v>
      </c>
      <c r="J127" s="224" t="s">
        <v>421</v>
      </c>
      <c r="K127" s="224" t="s">
        <v>422</v>
      </c>
      <c r="L127" s="224" t="s">
        <v>423</v>
      </c>
      <c r="M127" s="225" t="s">
        <v>421</v>
      </c>
      <c r="N127" s="225" t="s">
        <v>422</v>
      </c>
      <c r="O127" s="225" t="s">
        <v>423</v>
      </c>
      <c r="P127" s="224" t="s">
        <v>421</v>
      </c>
      <c r="Q127" s="224" t="s">
        <v>422</v>
      </c>
      <c r="R127" s="224" t="s">
        <v>423</v>
      </c>
      <c r="S127" s="209"/>
      <c r="T127" s="226" t="s">
        <v>424</v>
      </c>
      <c r="U127" s="209"/>
      <c r="AA127" s="219"/>
      <c r="AB127" s="219"/>
      <c r="AC127" s="219" t="s">
        <v>418</v>
      </c>
      <c r="AD127" s="219"/>
      <c r="AE127" s="219"/>
      <c r="AF127" s="219"/>
      <c r="AI127" s="219"/>
      <c r="AJ127" s="219"/>
      <c r="AK127" s="219" t="s">
        <v>418</v>
      </c>
      <c r="AL127" s="219"/>
      <c r="AM127" s="219"/>
      <c r="AN127" s="219"/>
      <c r="AQ127" s="245"/>
      <c r="AR127" s="325"/>
      <c r="AS127" s="325"/>
      <c r="AT127" s="325"/>
    </row>
    <row r="128" ht="20" spans="1:46">
      <c r="A128" s="227"/>
      <c r="B128" s="219"/>
      <c r="C128" s="219"/>
      <c r="D128" s="222"/>
      <c r="E128" s="222"/>
      <c r="F128" s="222"/>
      <c r="H128" s="209" t="s">
        <v>425</v>
      </c>
      <c r="I128" s="224" t="s">
        <v>426</v>
      </c>
      <c r="J128" s="228" t="s">
        <v>427</v>
      </c>
      <c r="K128" s="229"/>
      <c r="L128" s="230"/>
      <c r="M128" s="231" t="s">
        <v>428</v>
      </c>
      <c r="N128" s="232"/>
      <c r="O128" s="233"/>
      <c r="P128" s="228" t="s">
        <v>429</v>
      </c>
      <c r="Q128" s="229"/>
      <c r="R128" s="230"/>
      <c r="S128" s="209"/>
      <c r="T128" s="209" t="s">
        <v>428</v>
      </c>
      <c r="U128" s="209"/>
      <c r="AA128" s="219"/>
      <c r="AB128" s="219"/>
      <c r="AC128" s="219"/>
      <c r="AD128" s="219"/>
      <c r="AE128" s="219"/>
      <c r="AF128" s="219"/>
      <c r="AI128" s="219"/>
      <c r="AJ128" s="219"/>
      <c r="AK128" s="219"/>
      <c r="AL128" s="219"/>
      <c r="AM128" s="219"/>
      <c r="AN128" s="219"/>
      <c r="AQ128" s="245"/>
      <c r="AR128" s="245"/>
      <c r="AS128" s="325"/>
      <c r="AT128" s="325"/>
    </row>
    <row r="129" ht="13" spans="1:46">
      <c r="B129" s="219" t="s">
        <v>401</v>
      </c>
      <c r="C129" s="222" t="s">
        <v>258</v>
      </c>
      <c r="D129" s="222" t="s">
        <v>430</v>
      </c>
      <c r="E129" s="222" t="s">
        <v>431</v>
      </c>
      <c r="F129" s="222" t="s">
        <v>432</v>
      </c>
      <c r="H129" s="209"/>
      <c r="I129" s="224" t="s">
        <v>433</v>
      </c>
      <c r="J129" s="228" t="s">
        <v>434</v>
      </c>
      <c r="K129" s="229"/>
      <c r="L129" s="230"/>
      <c r="M129" s="231" t="s">
        <v>434</v>
      </c>
      <c r="N129" s="232"/>
      <c r="O129" s="233"/>
      <c r="P129" s="228" t="s">
        <v>434</v>
      </c>
      <c r="Q129" s="229"/>
      <c r="R129" s="230"/>
      <c r="S129" s="209"/>
      <c r="T129" s="209" t="s">
        <v>434</v>
      </c>
      <c r="U129" s="209"/>
      <c r="AA129" s="219" t="s">
        <v>401</v>
      </c>
      <c r="AB129" s="219" t="s">
        <v>435</v>
      </c>
      <c r="AC129" s="219" t="s">
        <v>258</v>
      </c>
      <c r="AD129" s="219" t="s">
        <v>430</v>
      </c>
      <c r="AE129" s="219" t="s">
        <v>431</v>
      </c>
      <c r="AF129" s="219" t="s">
        <v>432</v>
      </c>
      <c r="AI129" s="219" t="s">
        <v>401</v>
      </c>
      <c r="AJ129" s="219" t="s">
        <v>435</v>
      </c>
      <c r="AK129" s="219" t="s">
        <v>258</v>
      </c>
      <c r="AL129" s="219" t="s">
        <v>430</v>
      </c>
      <c r="AM129" s="219" t="s">
        <v>431</v>
      </c>
      <c r="AN129" s="219" t="s">
        <v>432</v>
      </c>
      <c r="AQ129" s="325"/>
      <c r="AR129" s="325"/>
      <c r="AS129" s="325"/>
      <c r="AT129" s="325"/>
    </row>
    <row r="130" ht="13" spans="1:46">
      <c r="B130" s="219" t="s">
        <v>372</v>
      </c>
      <c r="C130" s="219"/>
      <c r="D130" s="219"/>
      <c r="E130" s="219"/>
      <c r="F130" s="219"/>
      <c r="H130" s="209">
        <v>0.2</v>
      </c>
      <c r="I130" s="224" t="s">
        <v>436</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372</v>
      </c>
      <c r="AB130" s="219"/>
      <c r="AC130" s="219"/>
      <c r="AD130" s="219"/>
      <c r="AE130" s="219"/>
      <c r="AF130" s="219"/>
      <c r="AI130" s="219" t="s">
        <v>372</v>
      </c>
      <c r="AJ130" s="219"/>
      <c r="AK130" s="219"/>
      <c r="AL130" s="219"/>
      <c r="AM130" s="219"/>
      <c r="AN130" s="219"/>
      <c r="AQ130" s="325"/>
      <c r="AR130" s="325"/>
      <c r="AS130" s="325"/>
      <c r="AT130" s="325"/>
    </row>
    <row r="131" ht="13" spans="1:46">
      <c r="A131" s="237"/>
      <c r="B131" s="219" t="s">
        <v>196</v>
      </c>
      <c r="C131" s="222" t="s">
        <v>437</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438</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196</v>
      </c>
      <c r="AB131" s="219">
        <v>2050</v>
      </c>
      <c r="AC131" s="219" t="s">
        <v>437</v>
      </c>
      <c r="AD131" s="219">
        <f>D131*0.313</f>
        <v>25.1599342966667</v>
      </c>
      <c r="AE131" s="219">
        <f>E131*0.313</f>
        <v>17.36734649</v>
      </c>
      <c r="AF131" s="219">
        <f>F131*0.313</f>
        <v>33.43624065</v>
      </c>
      <c r="AI131" s="219" t="s">
        <v>196</v>
      </c>
      <c r="AJ131" s="219">
        <v>0</v>
      </c>
      <c r="AK131" s="219" t="s">
        <v>437</v>
      </c>
      <c r="AL131" s="219">
        <v>5</v>
      </c>
      <c r="AM131" s="219">
        <v>5</v>
      </c>
      <c r="AN131" s="219">
        <v>5</v>
      </c>
      <c r="AQ131" s="325"/>
      <c r="AR131" s="325"/>
      <c r="AS131" s="325"/>
      <c r="AT131" s="325"/>
    </row>
    <row r="132" ht="13" spans="1:46">
      <c r="B132" s="219" t="s">
        <v>196</v>
      </c>
      <c r="C132" s="222" t="s">
        <v>439</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440</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196</v>
      </c>
      <c r="AB132" s="219">
        <v>2050</v>
      </c>
      <c r="AC132" s="219" t="s">
        <v>439</v>
      </c>
      <c r="AD132" s="219">
        <f t="shared" ref="AD132:AD144" si="18">D132*0.313</f>
        <v>29.8628918</v>
      </c>
      <c r="AE132" s="219">
        <f t="shared" ref="AE132:AE144" si="19">E132*0.313</f>
        <v>20.75992845</v>
      </c>
      <c r="AF132" s="219">
        <f t="shared" ref="AF132:AF144" si="20">F132*0.313</f>
        <v>39.52049115</v>
      </c>
      <c r="AI132" s="219" t="s">
        <v>196</v>
      </c>
      <c r="AJ132" s="219">
        <v>0</v>
      </c>
      <c r="AK132" s="219" t="s">
        <v>439</v>
      </c>
      <c r="AL132" s="219">
        <v>5</v>
      </c>
      <c r="AM132" s="219">
        <v>5</v>
      </c>
      <c r="AN132" s="219">
        <v>5</v>
      </c>
      <c r="AQ132" s="325"/>
      <c r="AR132" s="325"/>
      <c r="AS132" s="325"/>
      <c r="AT132" s="325"/>
    </row>
    <row r="133" ht="13" spans="1:46">
      <c r="B133" s="219" t="s">
        <v>196</v>
      </c>
      <c r="C133" s="222" t="s">
        <v>441</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270</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196</v>
      </c>
      <c r="AB133" s="219">
        <v>2050</v>
      </c>
      <c r="AC133" s="219" t="s">
        <v>441</v>
      </c>
      <c r="AD133" s="219">
        <f t="shared" si="18"/>
        <v>26.7138290566667</v>
      </c>
      <c r="AE133" s="219">
        <f t="shared" si="19"/>
        <v>17.55976011</v>
      </c>
      <c r="AF133" s="219">
        <f t="shared" si="20"/>
        <v>36.41065148</v>
      </c>
      <c r="AI133" s="219" t="s">
        <v>196</v>
      </c>
      <c r="AJ133" s="219">
        <v>0</v>
      </c>
      <c r="AK133" s="219" t="s">
        <v>441</v>
      </c>
      <c r="AL133" s="219">
        <v>5</v>
      </c>
      <c r="AM133" s="219">
        <v>5</v>
      </c>
      <c r="AN133" s="219">
        <v>5</v>
      </c>
      <c r="AQ133" s="325"/>
      <c r="AR133" s="325"/>
      <c r="AS133" s="325"/>
      <c r="AT133" s="325"/>
    </row>
    <row r="134" ht="30" spans="1:46">
      <c r="A134" s="238"/>
      <c r="B134" s="219" t="s">
        <v>196</v>
      </c>
      <c r="C134" s="222" t="s">
        <v>442</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276</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196</v>
      </c>
      <c r="AB134" s="219">
        <v>2050</v>
      </c>
      <c r="AC134" s="219" t="s">
        <v>442</v>
      </c>
      <c r="AD134" s="219">
        <f t="shared" si="18"/>
        <v>26.76825141</v>
      </c>
      <c r="AE134" s="219">
        <f t="shared" si="19"/>
        <v>17.39012663</v>
      </c>
      <c r="AF134" s="219">
        <f t="shared" si="20"/>
        <v>36.71624903</v>
      </c>
      <c r="AI134" s="219" t="s">
        <v>196</v>
      </c>
      <c r="AJ134" s="219">
        <v>0</v>
      </c>
      <c r="AK134" s="219" t="s">
        <v>442</v>
      </c>
      <c r="AL134" s="219">
        <v>5</v>
      </c>
      <c r="AM134" s="219">
        <v>5</v>
      </c>
      <c r="AN134" s="219">
        <v>5</v>
      </c>
      <c r="AQ134" s="325"/>
      <c r="AR134" s="325"/>
      <c r="AS134" s="325"/>
      <c r="AT134" s="325"/>
    </row>
    <row r="135" ht="13" spans="1:46">
      <c r="B135" s="219" t="s">
        <v>196</v>
      </c>
      <c r="C135" s="222" t="s">
        <v>443</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281</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196</v>
      </c>
      <c r="AB135" s="219">
        <v>2050</v>
      </c>
      <c r="AC135" s="219" t="s">
        <v>443</v>
      </c>
      <c r="AD135" s="219">
        <f t="shared" si="18"/>
        <v>28.1990829166667</v>
      </c>
      <c r="AE135" s="219">
        <f t="shared" si="19"/>
        <v>18.5820901</v>
      </c>
      <c r="AF135" s="219">
        <f t="shared" si="20"/>
        <v>38.39541265</v>
      </c>
      <c r="AI135" s="219" t="s">
        <v>196</v>
      </c>
      <c r="AJ135" s="219">
        <v>0</v>
      </c>
      <c r="AK135" s="219" t="s">
        <v>443</v>
      </c>
      <c r="AL135" s="219">
        <v>5</v>
      </c>
      <c r="AM135" s="219">
        <v>5</v>
      </c>
      <c r="AN135" s="219">
        <v>5</v>
      </c>
      <c r="AQ135" s="325"/>
      <c r="AR135" s="325"/>
      <c r="AS135" s="325"/>
      <c r="AT135" s="325"/>
    </row>
    <row r="136" ht="25" spans="1:46">
      <c r="A136" s="239"/>
      <c r="B136" s="219" t="s">
        <v>196</v>
      </c>
      <c r="C136" s="222" t="s">
        <v>444</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288</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196</v>
      </c>
      <c r="AB136" s="219">
        <v>2050</v>
      </c>
      <c r="AC136" s="219" t="s">
        <v>444</v>
      </c>
      <c r="AD136" s="219">
        <f t="shared" si="18"/>
        <v>27.2066538166667</v>
      </c>
      <c r="AE136" s="219">
        <f t="shared" si="19"/>
        <v>17.94665315</v>
      </c>
      <c r="AF136" s="219">
        <f t="shared" si="20"/>
        <v>37.0192299</v>
      </c>
      <c r="AI136" s="219" t="s">
        <v>196</v>
      </c>
      <c r="AJ136" s="219">
        <v>0</v>
      </c>
      <c r="AK136" s="219" t="s">
        <v>444</v>
      </c>
      <c r="AL136" s="219">
        <v>5</v>
      </c>
      <c r="AM136" s="219">
        <v>5</v>
      </c>
      <c r="AN136" s="219">
        <v>5</v>
      </c>
    </row>
    <row r="137" ht="13" spans="1:46">
      <c r="B137" s="219" t="s">
        <v>196</v>
      </c>
      <c r="C137" s="222" t="s">
        <v>445</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294</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196</v>
      </c>
      <c r="AB137" s="219">
        <v>2050</v>
      </c>
      <c r="AC137" s="219" t="s">
        <v>445</v>
      </c>
      <c r="AD137" s="219">
        <f t="shared" si="18"/>
        <v>28.0299846666667</v>
      </c>
      <c r="AE137" s="219">
        <f t="shared" si="19"/>
        <v>18.77670724</v>
      </c>
      <c r="AF137" s="219">
        <f t="shared" si="20"/>
        <v>37.83372476</v>
      </c>
      <c r="AI137" s="219" t="s">
        <v>196</v>
      </c>
      <c r="AJ137" s="219">
        <v>0</v>
      </c>
      <c r="AK137" s="219" t="s">
        <v>445</v>
      </c>
      <c r="AL137" s="219">
        <v>5</v>
      </c>
      <c r="AM137" s="219">
        <v>5</v>
      </c>
      <c r="AN137" s="219">
        <v>5</v>
      </c>
    </row>
    <row r="138" spans="1:46">
      <c r="B138" s="219" t="s">
        <v>196</v>
      </c>
      <c r="C138" s="219" t="s">
        <v>209</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196</v>
      </c>
      <c r="AB138" s="219">
        <v>2050</v>
      </c>
      <c r="AC138" s="219" t="s">
        <v>209</v>
      </c>
      <c r="AD138" s="219">
        <f t="shared" si="18"/>
        <v>5.58010556718251</v>
      </c>
      <c r="AE138" s="219">
        <f t="shared" si="19"/>
        <v>4.23717556890199</v>
      </c>
      <c r="AF138" s="219">
        <f t="shared" si="20"/>
        <v>6.94618953095062</v>
      </c>
      <c r="AI138" s="219" t="s">
        <v>196</v>
      </c>
      <c r="AJ138" s="219">
        <v>0</v>
      </c>
      <c r="AK138" s="219" t="s">
        <v>209</v>
      </c>
      <c r="AL138" s="219">
        <v>5</v>
      </c>
      <c r="AM138" s="219">
        <v>5</v>
      </c>
      <c r="AN138" s="219">
        <v>5</v>
      </c>
    </row>
    <row r="139" spans="1:46">
      <c r="B139" s="219" t="s">
        <v>196</v>
      </c>
      <c r="C139" s="219" t="s">
        <v>213</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196</v>
      </c>
      <c r="AB139" s="219">
        <v>2050</v>
      </c>
      <c r="AC139" s="219" t="s">
        <v>213</v>
      </c>
      <c r="AD139" s="219">
        <f t="shared" si="18"/>
        <v>5.63537263301401</v>
      </c>
      <c r="AE139" s="219">
        <f t="shared" si="19"/>
        <v>4.27914190309506</v>
      </c>
      <c r="AF139" s="219">
        <f t="shared" si="20"/>
        <v>7.01498667722919</v>
      </c>
      <c r="AI139" s="219" t="s">
        <v>196</v>
      </c>
      <c r="AJ139" s="219">
        <v>0</v>
      </c>
      <c r="AK139" s="219" t="s">
        <v>213</v>
      </c>
      <c r="AL139" s="219">
        <v>5</v>
      </c>
      <c r="AM139" s="219">
        <v>5</v>
      </c>
      <c r="AN139" s="219">
        <v>5</v>
      </c>
    </row>
    <row r="140" ht="21" spans="1:46">
      <c r="B140" s="219" t="s">
        <v>196</v>
      </c>
      <c r="C140" s="219" t="s">
        <v>215</v>
      </c>
      <c r="D140" s="219">
        <f t="shared" si="21"/>
        <v>17.8278133136821</v>
      </c>
      <c r="E140" s="219">
        <f t="shared" si="22"/>
        <v>13.5373021370671</v>
      </c>
      <c r="F140" s="219">
        <f t="shared" si="23"/>
        <v>22.1922988209285</v>
      </c>
      <c r="H140" s="209"/>
      <c r="I140" s="209"/>
      <c r="J140" s="240" t="s">
        <v>446</v>
      </c>
      <c r="K140" s="240"/>
      <c r="L140" s="240"/>
      <c r="M140" s="240"/>
      <c r="N140" s="240"/>
      <c r="O140" s="240"/>
      <c r="P140" s="240"/>
      <c r="Q140" s="240"/>
      <c r="R140" s="240"/>
      <c r="S140" s="209"/>
      <c r="T140" s="209"/>
      <c r="U140" s="209"/>
      <c r="AA140" s="219" t="s">
        <v>196</v>
      </c>
      <c r="AB140" s="219">
        <v>2050</v>
      </c>
      <c r="AC140" s="219" t="s">
        <v>215</v>
      </c>
      <c r="AD140" s="219">
        <f t="shared" si="18"/>
        <v>5.58010556718251</v>
      </c>
      <c r="AE140" s="219">
        <f t="shared" si="19"/>
        <v>4.23717556890199</v>
      </c>
      <c r="AF140" s="219">
        <f t="shared" si="20"/>
        <v>6.94618953095062</v>
      </c>
      <c r="AI140" s="219" t="s">
        <v>196</v>
      </c>
      <c r="AJ140" s="219">
        <v>0</v>
      </c>
      <c r="AK140" s="219" t="s">
        <v>215</v>
      </c>
      <c r="AL140" s="219">
        <v>5</v>
      </c>
      <c r="AM140" s="219">
        <v>5</v>
      </c>
      <c r="AN140" s="219">
        <v>5</v>
      </c>
    </row>
    <row r="141" ht="13" spans="1:46">
      <c r="B141" s="219" t="s">
        <v>196</v>
      </c>
      <c r="C141" s="219" t="s">
        <v>216</v>
      </c>
      <c r="D141" s="219">
        <f t="shared" si="21"/>
        <v>17.8322684844019</v>
      </c>
      <c r="E141" s="219">
        <f t="shared" si="22"/>
        <v>13.5406853352985</v>
      </c>
      <c r="F141" s="219">
        <f t="shared" si="23"/>
        <v>22.1978445099484</v>
      </c>
      <c r="H141" s="209"/>
      <c r="I141" s="209" t="s">
        <v>258</v>
      </c>
      <c r="J141" s="209" t="s">
        <v>186</v>
      </c>
      <c r="K141" s="209" t="s">
        <v>187</v>
      </c>
      <c r="L141" s="209" t="s">
        <v>188</v>
      </c>
      <c r="M141" s="209" t="s">
        <v>189</v>
      </c>
      <c r="N141" s="209" t="s">
        <v>190</v>
      </c>
      <c r="O141" s="209" t="s">
        <v>191</v>
      </c>
      <c r="P141" s="209" t="s">
        <v>192</v>
      </c>
      <c r="Q141" s="209"/>
      <c r="R141" s="241" t="s">
        <v>447</v>
      </c>
      <c r="S141" s="209"/>
      <c r="T141" s="209"/>
      <c r="U141" s="209"/>
      <c r="AA141" s="219" t="s">
        <v>196</v>
      </c>
      <c r="AB141" s="219">
        <v>2050</v>
      </c>
      <c r="AC141" s="219" t="s">
        <v>216</v>
      </c>
      <c r="AD141" s="219">
        <f t="shared" si="18"/>
        <v>5.58150003561778</v>
      </c>
      <c r="AE141" s="219">
        <f t="shared" si="19"/>
        <v>4.23823450994842</v>
      </c>
      <c r="AF141" s="219">
        <f t="shared" si="20"/>
        <v>6.94792533161385</v>
      </c>
      <c r="AI141" s="219" t="s">
        <v>196</v>
      </c>
      <c r="AJ141" s="219">
        <v>0</v>
      </c>
      <c r="AK141" s="219" t="s">
        <v>216</v>
      </c>
      <c r="AL141" s="219">
        <v>5</v>
      </c>
      <c r="AM141" s="219">
        <v>5</v>
      </c>
      <c r="AN141" s="219">
        <v>5</v>
      </c>
    </row>
    <row r="142" ht="13" spans="1:46">
      <c r="B142" s="219" t="s">
        <v>196</v>
      </c>
      <c r="C142" s="219" t="s">
        <v>217</v>
      </c>
      <c r="D142" s="219">
        <f t="shared" si="21"/>
        <v>17.8292980840088</v>
      </c>
      <c r="E142" s="219">
        <f t="shared" si="22"/>
        <v>13.5384296241709</v>
      </c>
      <c r="F142" s="219">
        <f t="shared" si="23"/>
        <v>22.1941470154753</v>
      </c>
      <c r="H142" s="209"/>
      <c r="I142" s="209" t="s">
        <v>372</v>
      </c>
      <c r="J142" s="209"/>
      <c r="K142" s="209"/>
      <c r="L142" s="209"/>
      <c r="M142" s="209"/>
      <c r="N142" s="209"/>
      <c r="O142" s="209"/>
      <c r="P142" s="209"/>
      <c r="Q142" s="209"/>
      <c r="R142" s="241"/>
      <c r="S142" s="209"/>
      <c r="T142" s="209"/>
      <c r="U142" s="209"/>
      <c r="AA142" s="219" t="s">
        <v>196</v>
      </c>
      <c r="AB142" s="219">
        <v>2050</v>
      </c>
      <c r="AC142" s="219" t="s">
        <v>217</v>
      </c>
      <c r="AD142" s="219">
        <f t="shared" si="18"/>
        <v>5.58057030029476</v>
      </c>
      <c r="AE142" s="219">
        <f t="shared" si="19"/>
        <v>4.23752847236551</v>
      </c>
      <c r="AF142" s="219">
        <f t="shared" si="20"/>
        <v>6.94676801584377</v>
      </c>
      <c r="AI142" s="219" t="s">
        <v>196</v>
      </c>
      <c r="AJ142" s="219">
        <v>0</v>
      </c>
      <c r="AK142" s="219" t="s">
        <v>217</v>
      </c>
      <c r="AL142" s="219">
        <v>5</v>
      </c>
      <c r="AM142" s="219">
        <v>5</v>
      </c>
      <c r="AN142" s="219">
        <v>5</v>
      </c>
    </row>
    <row r="143" ht="13" spans="1:46">
      <c r="B143" s="219" t="s">
        <v>196</v>
      </c>
      <c r="C143" s="219" t="s">
        <v>218</v>
      </c>
      <c r="D143" s="219">
        <f t="shared" si="21"/>
        <v>17.8278133136821</v>
      </c>
      <c r="E143" s="219">
        <f t="shared" si="22"/>
        <v>13.5373021370671</v>
      </c>
      <c r="F143" s="219">
        <f t="shared" si="23"/>
        <v>22.1922988209285</v>
      </c>
      <c r="H143" s="209"/>
      <c r="I143" s="209" t="s">
        <v>437</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196</v>
      </c>
      <c r="AB143" s="219">
        <v>2050</v>
      </c>
      <c r="AC143" s="219" t="s">
        <v>218</v>
      </c>
      <c r="AD143" s="219">
        <f t="shared" si="18"/>
        <v>5.58010556718251</v>
      </c>
      <c r="AE143" s="219">
        <f t="shared" si="19"/>
        <v>4.23717556890199</v>
      </c>
      <c r="AF143" s="219">
        <f t="shared" si="20"/>
        <v>6.94618953095062</v>
      </c>
      <c r="AI143" s="219" t="s">
        <v>196</v>
      </c>
      <c r="AJ143" s="219">
        <v>0</v>
      </c>
      <c r="AK143" s="219" t="s">
        <v>218</v>
      </c>
      <c r="AL143" s="219">
        <v>5</v>
      </c>
      <c r="AM143" s="219">
        <v>5</v>
      </c>
      <c r="AN143" s="219">
        <v>5</v>
      </c>
    </row>
    <row r="144" ht="13" spans="1:46">
      <c r="B144" s="219" t="s">
        <v>196</v>
      </c>
      <c r="C144" s="219" t="s">
        <v>219</v>
      </c>
      <c r="D144" s="219">
        <f t="shared" si="21"/>
        <v>17.8248445099484</v>
      </c>
      <c r="E144" s="219">
        <f t="shared" si="22"/>
        <v>13.5350478997789</v>
      </c>
      <c r="F144" s="219">
        <f t="shared" si="23"/>
        <v>22.1886031687546</v>
      </c>
      <c r="H144" s="209"/>
      <c r="I144" s="209" t="s">
        <v>439</v>
      </c>
      <c r="J144" s="209">
        <v>0.106</v>
      </c>
      <c r="K144" s="209">
        <v>0</v>
      </c>
      <c r="L144" s="209">
        <v>0</v>
      </c>
      <c r="M144" s="209">
        <v>1.396</v>
      </c>
      <c r="N144" s="209">
        <v>3.369</v>
      </c>
      <c r="O144" s="209">
        <v>0.863</v>
      </c>
      <c r="P144" s="209">
        <v>0.911</v>
      </c>
      <c r="Q144" s="209"/>
      <c r="R144" s="241">
        <f t="shared" si="24"/>
        <v>6.645</v>
      </c>
      <c r="S144" s="209"/>
      <c r="T144" s="209"/>
      <c r="U144" s="209"/>
      <c r="AA144" s="219" t="s">
        <v>196</v>
      </c>
      <c r="AB144" s="219">
        <v>2050</v>
      </c>
      <c r="AC144" s="219" t="s">
        <v>219</v>
      </c>
      <c r="AD144" s="219">
        <f t="shared" si="18"/>
        <v>5.57917633161385</v>
      </c>
      <c r="AE144" s="219">
        <f t="shared" si="19"/>
        <v>4.2364699926308</v>
      </c>
      <c r="AF144" s="219">
        <f t="shared" si="20"/>
        <v>6.94503279182019</v>
      </c>
      <c r="AI144" s="219" t="s">
        <v>196</v>
      </c>
      <c r="AJ144" s="219">
        <v>0</v>
      </c>
      <c r="AK144" s="219" t="s">
        <v>219</v>
      </c>
      <c r="AL144" s="219">
        <v>5</v>
      </c>
      <c r="AM144" s="219">
        <v>5</v>
      </c>
      <c r="AN144" s="219">
        <v>5</v>
      </c>
    </row>
    <row r="145" ht="13" spans="2:43">
      <c r="B145" s="219"/>
      <c r="C145" s="219"/>
      <c r="D145" s="219"/>
      <c r="E145" s="219"/>
      <c r="F145" s="219"/>
      <c r="H145" s="209"/>
      <c r="I145" s="209" t="s">
        <v>441</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442</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443</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444</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445</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448</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258</v>
      </c>
      <c r="J153" t="s">
        <v>449</v>
      </c>
    </row>
    <row r="154" customFormat="1" ht="14.5" spans="2:43">
      <c r="I154" t="s">
        <v>333</v>
      </c>
      <c r="J154" t="s">
        <v>186</v>
      </c>
      <c r="K154" t="s">
        <v>187</v>
      </c>
      <c r="L154" t="s">
        <v>188</v>
      </c>
      <c r="M154" t="s">
        <v>189</v>
      </c>
      <c r="N154" t="s">
        <v>190</v>
      </c>
      <c r="O154" t="s">
        <v>191</v>
      </c>
      <c r="P154" t="s">
        <v>192</v>
      </c>
    </row>
    <row r="155" customFormat="1" ht="14.5" spans="2:43">
      <c r="I155" t="s">
        <v>334</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26" t="s">
        <v>72</v>
      </c>
      <c r="AA156" s="326"/>
      <c r="AB156" s="326"/>
      <c r="AC156" s="326"/>
      <c r="AD156" s="326"/>
      <c r="AE156" s="326"/>
      <c r="AF156" s="326"/>
      <c r="AG156" s="326"/>
      <c r="AI156" s="245" t="s">
        <v>222</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26" t="s">
        <v>79</v>
      </c>
      <c r="AA157" s="326" t="s">
        <v>80</v>
      </c>
      <c r="AB157" s="326" t="s">
        <v>81</v>
      </c>
      <c r="AC157" s="326" t="s">
        <v>82</v>
      </c>
      <c r="AD157" s="326" t="s">
        <v>83</v>
      </c>
      <c r="AE157" s="326" t="s">
        <v>224</v>
      </c>
      <c r="AF157" s="326" t="s">
        <v>225</v>
      </c>
      <c r="AG157" s="326" t="s">
        <v>226</v>
      </c>
      <c r="AI157" s="245" t="s">
        <v>227</v>
      </c>
      <c r="AJ157" s="245" t="s">
        <v>228</v>
      </c>
      <c r="AK157" s="245" t="s">
        <v>229</v>
      </c>
      <c r="AL157" s="245" t="s">
        <v>230</v>
      </c>
      <c r="AM157" s="245" t="s">
        <v>231</v>
      </c>
      <c r="AN157" s="245" t="s">
        <v>194</v>
      </c>
      <c r="AO157" s="245" t="s">
        <v>232</v>
      </c>
      <c r="AP157" s="245" t="s">
        <v>233</v>
      </c>
      <c r="AQ157" s="245" t="s">
        <v>234</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27" t="s">
        <v>450</v>
      </c>
      <c r="AA158" s="326" t="s">
        <v>384</v>
      </c>
      <c r="AB158" s="326" t="s">
        <v>451</v>
      </c>
      <c r="AC158" s="326" t="s">
        <v>452</v>
      </c>
      <c r="AD158" s="326" t="s">
        <v>453</v>
      </c>
      <c r="AE158" s="326" t="s">
        <v>252</v>
      </c>
      <c r="AF158" s="326"/>
      <c r="AG158" s="326"/>
      <c r="AI158" s="245" t="s">
        <v>253</v>
      </c>
      <c r="AJ158" s="245" t="s">
        <v>376</v>
      </c>
      <c r="AK158" s="245"/>
      <c r="AL158" s="245"/>
      <c r="AM158" s="245"/>
      <c r="AN158" s="245" t="s">
        <v>254</v>
      </c>
      <c r="AO158" s="245"/>
      <c r="AP158" s="245"/>
      <c r="AQ158" s="245" t="s">
        <v>314</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25"/>
      <c r="AA159" s="326" t="s">
        <v>386</v>
      </c>
      <c r="AB159" s="326" t="s">
        <v>451</v>
      </c>
      <c r="AC159" s="326" t="s">
        <v>452</v>
      </c>
      <c r="AD159" s="326" t="s">
        <v>453</v>
      </c>
      <c r="AE159" s="326" t="s">
        <v>252</v>
      </c>
      <c r="AF159" s="325"/>
      <c r="AG159" s="325"/>
      <c r="AI159" s="245"/>
      <c r="AJ159" s="245" t="s">
        <v>377</v>
      </c>
      <c r="AK159" s="245"/>
      <c r="AL159" s="245"/>
      <c r="AM159" s="245"/>
      <c r="AN159" s="245" t="s">
        <v>254</v>
      </c>
      <c r="AO159" s="245"/>
      <c r="AP159" s="245"/>
      <c r="AQ159" s="245" t="s">
        <v>314</v>
      </c>
    </row>
    <row r="160" customFormat="1" ht="14.5" spans="2:43">
      <c r="B160" s="245" t="s">
        <v>375</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25"/>
      <c r="AA160" s="326" t="s">
        <v>387</v>
      </c>
      <c r="AB160" s="326" t="s">
        <v>451</v>
      </c>
      <c r="AC160" s="326" t="s">
        <v>452</v>
      </c>
      <c r="AD160" s="326" t="s">
        <v>453</v>
      </c>
      <c r="AE160" s="326" t="s">
        <v>252</v>
      </c>
      <c r="AF160" s="325"/>
      <c r="AG160" s="325"/>
      <c r="AI160" s="245"/>
      <c r="AJ160" s="245" t="s">
        <v>378</v>
      </c>
      <c r="AK160" s="245"/>
      <c r="AL160" s="245"/>
      <c r="AM160" s="245"/>
      <c r="AN160" s="245" t="s">
        <v>254</v>
      </c>
      <c r="AO160" s="245"/>
      <c r="AP160" s="245"/>
      <c r="AQ160" s="245" t="s">
        <v>314</v>
      </c>
    </row>
    <row r="161" customFormat="1" ht="14.5" spans="2:60">
      <c r="B161" s="245" t="s">
        <v>258</v>
      </c>
      <c r="C161" s="245" t="s">
        <v>454</v>
      </c>
      <c r="D161" s="245" t="s">
        <v>455</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25"/>
      <c r="AA161" s="326" t="s">
        <v>388</v>
      </c>
      <c r="AB161" s="326" t="s">
        <v>451</v>
      </c>
      <c r="AC161" s="326" t="s">
        <v>452</v>
      </c>
      <c r="AD161" s="326" t="s">
        <v>453</v>
      </c>
      <c r="AE161" s="326" t="s">
        <v>252</v>
      </c>
      <c r="AF161" s="325"/>
      <c r="AG161" s="325"/>
      <c r="AI161" s="245"/>
      <c r="AJ161" s="245" t="s">
        <v>379</v>
      </c>
      <c r="AK161" s="245"/>
      <c r="AL161" s="245"/>
      <c r="AM161" s="245"/>
      <c r="AN161" s="245" t="s">
        <v>254</v>
      </c>
      <c r="AO161" s="245"/>
      <c r="AP161" s="245"/>
      <c r="AQ161" s="245" t="s">
        <v>314</v>
      </c>
    </row>
    <row r="162" customFormat="1" ht="14.5" spans="2:60">
      <c r="B162" s="245" t="s">
        <v>324</v>
      </c>
      <c r="C162" s="245" t="s">
        <v>456</v>
      </c>
      <c r="D162" s="245">
        <v>1</v>
      </c>
      <c r="E162" s="171"/>
      <c r="F162" s="171"/>
      <c r="G162" s="171"/>
      <c r="H162" s="171"/>
      <c r="I162" s="171"/>
      <c r="U162" s="171"/>
      <c r="V162" s="171"/>
      <c r="W162" s="171"/>
      <c r="Y162" s="171"/>
      <c r="Z162" s="325"/>
      <c r="AA162" s="326" t="s">
        <v>389</v>
      </c>
      <c r="AB162" s="326" t="s">
        <v>451</v>
      </c>
      <c r="AC162" s="326" t="s">
        <v>452</v>
      </c>
      <c r="AD162" s="326" t="s">
        <v>453</v>
      </c>
      <c r="AE162" s="326" t="s">
        <v>252</v>
      </c>
      <c r="AF162" s="325"/>
      <c r="AG162" s="325"/>
      <c r="AH162" s="192"/>
      <c r="AI162" s="245"/>
      <c r="AJ162" s="245" t="s">
        <v>380</v>
      </c>
      <c r="AK162" s="245"/>
      <c r="AL162" s="245"/>
      <c r="AM162" s="245"/>
      <c r="AN162" s="245" t="s">
        <v>254</v>
      </c>
      <c r="AO162" s="245"/>
      <c r="AP162" s="245"/>
      <c r="AQ162" s="245" t="s">
        <v>314</v>
      </c>
    </row>
    <row r="163" customFormat="1" ht="14.5" spans="2:60">
      <c r="B163" s="245" t="s">
        <v>327</v>
      </c>
      <c r="C163" s="245" t="s">
        <v>457</v>
      </c>
      <c r="D163" s="245">
        <v>1</v>
      </c>
      <c r="E163" s="171"/>
      <c r="F163" s="171"/>
      <c r="G163" s="171"/>
      <c r="H163" s="171"/>
      <c r="I163" s="171"/>
      <c r="U163" s="171"/>
      <c r="V163" s="171"/>
      <c r="W163" s="171"/>
      <c r="Y163" s="171"/>
      <c r="Z163" s="325"/>
      <c r="AA163" s="326" t="s">
        <v>391</v>
      </c>
      <c r="AB163" s="326" t="s">
        <v>451</v>
      </c>
      <c r="AC163" s="326" t="s">
        <v>452</v>
      </c>
      <c r="AD163" s="326" t="s">
        <v>453</v>
      </c>
      <c r="AE163" s="326" t="s">
        <v>252</v>
      </c>
      <c r="AF163" s="325"/>
      <c r="AG163" s="325"/>
      <c r="AH163" s="192"/>
      <c r="AI163" s="245"/>
      <c r="AJ163" s="245" t="s">
        <v>381</v>
      </c>
      <c r="AK163" s="245"/>
      <c r="AL163" s="245"/>
      <c r="AM163" s="245"/>
      <c r="AN163" s="245" t="s">
        <v>254</v>
      </c>
      <c r="AO163" s="245"/>
      <c r="AP163" s="245"/>
      <c r="AQ163" s="245" t="s">
        <v>314</v>
      </c>
    </row>
    <row r="164" customFormat="1" ht="14.5" spans="2:60">
      <c r="B164" s="245" t="s">
        <v>330</v>
      </c>
      <c r="C164" s="245" t="s">
        <v>458</v>
      </c>
      <c r="D164" s="245">
        <v>1</v>
      </c>
      <c r="E164" s="171"/>
      <c r="F164" s="171"/>
      <c r="G164" s="171"/>
      <c r="H164" s="171"/>
      <c r="I164" s="171"/>
      <c r="U164" s="171"/>
      <c r="V164" s="171"/>
      <c r="W164" s="171"/>
      <c r="Y164" s="171"/>
      <c r="Z164" s="325"/>
      <c r="AA164" s="326" t="s">
        <v>392</v>
      </c>
      <c r="AB164" s="326" t="s">
        <v>451</v>
      </c>
      <c r="AC164" s="326" t="s">
        <v>452</v>
      </c>
      <c r="AD164" s="326" t="s">
        <v>453</v>
      </c>
      <c r="AE164" s="326" t="s">
        <v>252</v>
      </c>
      <c r="AF164" s="325"/>
      <c r="AG164" s="325"/>
      <c r="AH164" s="192"/>
      <c r="AI164" s="245"/>
      <c r="AJ164" s="245" t="s">
        <v>382</v>
      </c>
      <c r="AK164" s="245"/>
      <c r="AL164" s="245"/>
      <c r="AM164" s="245"/>
      <c r="AN164" s="245" t="s">
        <v>254</v>
      </c>
      <c r="AO164" s="245"/>
      <c r="AP164" s="245"/>
      <c r="AQ164" s="245" t="s">
        <v>314</v>
      </c>
    </row>
    <row r="165" customFormat="1" ht="14.5" spans="2:60">
      <c r="B165" s="245" t="s">
        <v>332</v>
      </c>
      <c r="C165" s="245" t="s">
        <v>459</v>
      </c>
      <c r="D165" s="245">
        <v>1</v>
      </c>
      <c r="E165" s="171"/>
      <c r="F165" s="171"/>
      <c r="G165" s="171"/>
      <c r="H165" s="171"/>
      <c r="I165" s="171"/>
      <c r="U165" s="171"/>
      <c r="V165" s="171"/>
      <c r="W165" s="171"/>
      <c r="Y165" s="171"/>
      <c r="Z165" s="325"/>
      <c r="AA165" s="325" t="s">
        <v>393</v>
      </c>
      <c r="AB165" s="325" t="s">
        <v>460</v>
      </c>
      <c r="AC165" s="326" t="s">
        <v>452</v>
      </c>
      <c r="AD165" s="326" t="s">
        <v>453</v>
      </c>
      <c r="AE165" s="325" t="str">
        <f>AE164</f>
        <v>DAYNITE</v>
      </c>
      <c r="AF165" s="325"/>
      <c r="AG165" s="325"/>
      <c r="AI165" s="245"/>
      <c r="AJ165" s="245" t="s">
        <v>456</v>
      </c>
      <c r="AK165" s="245"/>
      <c r="AL165" s="245"/>
      <c r="AM165" s="245"/>
      <c r="AN165" s="245" t="s">
        <v>254</v>
      </c>
      <c r="AO165" s="245"/>
      <c r="AP165" s="245"/>
      <c r="AQ165" s="245" t="s">
        <v>314</v>
      </c>
    </row>
    <row r="166" customFormat="1" ht="14.5" spans="2:60">
      <c r="B166" s="245" t="s">
        <v>338</v>
      </c>
      <c r="C166" s="245" t="s">
        <v>461</v>
      </c>
      <c r="D166" s="245">
        <v>1</v>
      </c>
      <c r="E166" s="171"/>
      <c r="F166" s="171"/>
      <c r="G166" s="171"/>
      <c r="H166" s="171"/>
      <c r="I166" s="171"/>
      <c r="U166" s="171"/>
      <c r="V166" s="171"/>
      <c r="W166" s="171"/>
      <c r="Y166" s="171"/>
      <c r="Z166" s="325"/>
      <c r="AA166" s="325" t="s">
        <v>394</v>
      </c>
      <c r="AB166" s="325" t="s">
        <v>460</v>
      </c>
      <c r="AC166" s="326" t="s">
        <v>452</v>
      </c>
      <c r="AD166" s="326" t="s">
        <v>453</v>
      </c>
      <c r="AE166" s="325" t="str">
        <f t="shared" ref="AE166:AE172" si="34">AE165</f>
        <v>DAYNITE</v>
      </c>
      <c r="AF166" s="325"/>
      <c r="AG166" s="325"/>
      <c r="AI166" s="245"/>
      <c r="AJ166" s="245" t="s">
        <v>457</v>
      </c>
      <c r="AK166" s="245"/>
      <c r="AL166" s="245"/>
      <c r="AM166" s="245"/>
      <c r="AN166" s="245" t="s">
        <v>254</v>
      </c>
      <c r="AO166" s="245"/>
      <c r="AP166" s="245"/>
      <c r="AQ166" s="245" t="s">
        <v>314</v>
      </c>
      <c r="AR166" s="192"/>
      <c r="AS166" s="192"/>
      <c r="AT166" s="192"/>
      <c r="AU166" s="192"/>
      <c r="AV166" s="192"/>
      <c r="AW166" s="192"/>
      <c r="AX166" s="192"/>
      <c r="BA166" s="192"/>
      <c r="BB166" s="192"/>
      <c r="BC166" s="192"/>
      <c r="BD166" s="192"/>
      <c r="BE166" s="192"/>
      <c r="BF166" s="192"/>
      <c r="BG166" s="192"/>
      <c r="BH166" s="192"/>
    </row>
    <row r="167" customFormat="1" ht="14.5" spans="2:60">
      <c r="B167" s="245" t="s">
        <v>340</v>
      </c>
      <c r="C167" s="245" t="s">
        <v>462</v>
      </c>
      <c r="D167" s="245">
        <v>1</v>
      </c>
      <c r="E167" s="171"/>
      <c r="F167" s="171"/>
      <c r="G167" s="171"/>
      <c r="H167" s="171"/>
      <c r="I167" s="171"/>
      <c r="U167" s="171"/>
      <c r="V167" s="171"/>
      <c r="W167" s="171"/>
      <c r="Y167" s="171"/>
      <c r="Z167" s="325"/>
      <c r="AA167" s="325" t="s">
        <v>395</v>
      </c>
      <c r="AB167" s="325" t="s">
        <v>460</v>
      </c>
      <c r="AC167" s="326" t="s">
        <v>452</v>
      </c>
      <c r="AD167" s="326" t="s">
        <v>453</v>
      </c>
      <c r="AE167" s="325" t="str">
        <f t="shared" si="34"/>
        <v>DAYNITE</v>
      </c>
      <c r="AF167" s="325"/>
      <c r="AG167" s="325"/>
      <c r="AI167" s="245"/>
      <c r="AJ167" s="245" t="s">
        <v>458</v>
      </c>
      <c r="AK167" s="245"/>
      <c r="AL167" s="245"/>
      <c r="AM167" s="245"/>
      <c r="AN167" s="245" t="s">
        <v>254</v>
      </c>
      <c r="AO167" s="245"/>
      <c r="AP167" s="245"/>
      <c r="AQ167" s="245" t="s">
        <v>314</v>
      </c>
      <c r="AR167" s="192"/>
      <c r="AS167" s="192"/>
      <c r="AT167" s="192"/>
      <c r="AU167" s="192"/>
      <c r="AV167" s="192"/>
      <c r="AW167" s="192"/>
      <c r="AX167" s="192"/>
      <c r="BA167" s="192"/>
      <c r="BB167" s="192"/>
      <c r="BC167" s="192"/>
      <c r="BD167" s="192"/>
      <c r="BE167" s="192"/>
      <c r="BF167" s="192"/>
      <c r="BG167" s="192"/>
      <c r="BH167" s="192"/>
    </row>
    <row r="168" customFormat="1" ht="14.5" spans="2:60">
      <c r="B168" s="245" t="s">
        <v>341</v>
      </c>
      <c r="C168" s="245" t="s">
        <v>463</v>
      </c>
      <c r="D168" s="245">
        <v>1</v>
      </c>
      <c r="E168" s="171"/>
      <c r="F168" s="171"/>
      <c r="G168" s="171"/>
      <c r="H168" s="171"/>
      <c r="I168" s="171"/>
      <c r="U168" s="171"/>
      <c r="V168" s="171"/>
      <c r="W168" s="171"/>
      <c r="Y168" s="171"/>
      <c r="Z168" s="325"/>
      <c r="AA168" s="325" t="s">
        <v>396</v>
      </c>
      <c r="AB168" s="325" t="s">
        <v>460</v>
      </c>
      <c r="AC168" s="326" t="s">
        <v>452</v>
      </c>
      <c r="AD168" s="326" t="s">
        <v>453</v>
      </c>
      <c r="AE168" s="325" t="str">
        <f t="shared" si="34"/>
        <v>DAYNITE</v>
      </c>
      <c r="AF168" s="325"/>
      <c r="AG168" s="325"/>
      <c r="AH168" s="171"/>
      <c r="AI168" s="245"/>
      <c r="AJ168" s="245" t="s">
        <v>459</v>
      </c>
      <c r="AK168" s="245"/>
      <c r="AL168" s="245"/>
      <c r="AM168" s="245"/>
      <c r="AN168" s="245" t="s">
        <v>254</v>
      </c>
      <c r="AO168" s="245"/>
      <c r="AP168" s="245"/>
      <c r="AQ168" s="245" t="s">
        <v>314</v>
      </c>
      <c r="AR168" s="192"/>
      <c r="AS168" s="192"/>
      <c r="AT168" s="192"/>
      <c r="AU168" s="192"/>
      <c r="AV168" s="192"/>
      <c r="AW168" s="192"/>
      <c r="AX168" s="192"/>
      <c r="BA168" s="192"/>
      <c r="BB168" s="192"/>
      <c r="BC168" s="192"/>
      <c r="BD168" s="192"/>
      <c r="BE168" s="192"/>
      <c r="BF168" s="192"/>
      <c r="BG168" s="192"/>
      <c r="BH168" s="192"/>
    </row>
    <row r="169" customFormat="1" ht="14.5" spans="2:60">
      <c r="F169" s="328" t="s">
        <v>464</v>
      </c>
      <c r="J169" s="171"/>
      <c r="K169" s="171"/>
      <c r="P169" s="171"/>
      <c r="S169" s="171"/>
      <c r="T169" s="171"/>
      <c r="U169" s="171"/>
      <c r="V169" s="171"/>
      <c r="W169" s="171"/>
      <c r="Y169" s="171"/>
      <c r="Z169" s="325"/>
      <c r="AA169" s="325" t="s">
        <v>397</v>
      </c>
      <c r="AB169" s="325" t="s">
        <v>460</v>
      </c>
      <c r="AC169" s="326" t="s">
        <v>452</v>
      </c>
      <c r="AD169" s="326" t="s">
        <v>453</v>
      </c>
      <c r="AE169" s="325" t="str">
        <f t="shared" si="34"/>
        <v>DAYNITE</v>
      </c>
      <c r="AF169" s="325"/>
      <c r="AG169" s="325"/>
      <c r="AH169" s="171"/>
      <c r="AI169" s="245"/>
      <c r="AJ169" s="245" t="s">
        <v>461</v>
      </c>
      <c r="AK169" s="245"/>
      <c r="AL169" s="245"/>
      <c r="AM169" s="245"/>
      <c r="AN169" s="245" t="s">
        <v>254</v>
      </c>
      <c r="AO169" s="245"/>
      <c r="AP169" s="245"/>
      <c r="AQ169" s="245" t="s">
        <v>314</v>
      </c>
    </row>
    <row r="170" customFormat="1" ht="14.5" spans="2:60">
      <c r="J170" s="171"/>
      <c r="K170" s="171"/>
      <c r="P170" s="171"/>
      <c r="S170" s="171"/>
      <c r="T170" s="171"/>
      <c r="U170" s="171"/>
      <c r="V170" s="171"/>
      <c r="W170" s="171"/>
      <c r="Y170" s="171"/>
      <c r="Z170" s="325"/>
      <c r="AA170" s="325" t="s">
        <v>398</v>
      </c>
      <c r="AB170" s="325" t="s">
        <v>460</v>
      </c>
      <c r="AC170" s="326" t="s">
        <v>452</v>
      </c>
      <c r="AD170" s="326" t="s">
        <v>453</v>
      </c>
      <c r="AE170" s="325" t="str">
        <f t="shared" si="34"/>
        <v>DAYNITE</v>
      </c>
      <c r="AF170" s="325"/>
      <c r="AG170" s="325"/>
      <c r="AH170" s="171"/>
      <c r="AI170" s="245"/>
      <c r="AJ170" s="245" t="s">
        <v>462</v>
      </c>
      <c r="AK170" s="245"/>
      <c r="AL170" s="245"/>
      <c r="AM170" s="245"/>
      <c r="AN170" s="245" t="s">
        <v>254</v>
      </c>
      <c r="AO170" s="245"/>
      <c r="AP170" s="245"/>
      <c r="AQ170" s="245" t="s">
        <v>314</v>
      </c>
    </row>
    <row r="171" customFormat="1" ht="14.5" spans="2:60">
      <c r="J171" s="171"/>
      <c r="K171" s="171"/>
      <c r="P171" s="171"/>
      <c r="S171" s="171"/>
      <c r="T171" s="171"/>
      <c r="U171" s="171"/>
      <c r="V171" s="171"/>
      <c r="W171" s="171"/>
      <c r="Y171" s="171"/>
      <c r="Z171" s="325"/>
      <c r="AA171" s="325" t="s">
        <v>407</v>
      </c>
      <c r="AB171" s="325" t="s">
        <v>460</v>
      </c>
      <c r="AC171" s="326" t="s">
        <v>452</v>
      </c>
      <c r="AD171" s="326" t="s">
        <v>453</v>
      </c>
      <c r="AE171" s="325" t="str">
        <f t="shared" si="34"/>
        <v>DAYNITE</v>
      </c>
      <c r="AF171" s="325"/>
      <c r="AG171" s="325"/>
      <c r="AH171" s="171"/>
      <c r="AI171" s="245"/>
      <c r="AJ171" s="245" t="s">
        <v>463</v>
      </c>
      <c r="AK171" s="245"/>
      <c r="AL171" s="245"/>
      <c r="AM171" s="245"/>
      <c r="AN171" s="245" t="s">
        <v>254</v>
      </c>
      <c r="AO171" s="245"/>
      <c r="AP171" s="245"/>
      <c r="AQ171" s="245" t="s">
        <v>314</v>
      </c>
    </row>
    <row r="172" ht="14.5" spans="2:60">
      <c r="B172" s="309"/>
      <c r="C172" s="309" t="s">
        <v>200</v>
      </c>
      <c r="D172" s="309"/>
      <c r="E172" s="245"/>
      <c r="Y172"/>
      <c r="Z172" s="325"/>
      <c r="AA172" s="325" t="s">
        <v>408</v>
      </c>
      <c r="AB172" s="325" t="s">
        <v>465</v>
      </c>
      <c r="AC172" s="326" t="s">
        <v>452</v>
      </c>
      <c r="AD172" s="326" t="s">
        <v>453</v>
      </c>
      <c r="AE172" s="325" t="str">
        <f t="shared" si="34"/>
        <v>DAYNITE</v>
      </c>
      <c r="AF172" s="325"/>
      <c r="AG172" s="325"/>
      <c r="AH172" s="192"/>
      <c r="AI172" s="245"/>
      <c r="AJ172" s="245" t="s">
        <v>456</v>
      </c>
      <c r="AK172" s="245"/>
      <c r="AL172" s="245"/>
      <c r="AM172" s="245"/>
      <c r="AN172" s="245" t="s">
        <v>254</v>
      </c>
      <c r="AO172" s="245"/>
      <c r="AP172" s="245"/>
      <c r="AQ172" s="245" t="s">
        <v>314</v>
      </c>
    </row>
    <row r="173" ht="16" spans="2:60">
      <c r="B173" s="309" t="s">
        <v>258</v>
      </c>
      <c r="C173" s="309" t="s">
        <v>195</v>
      </c>
      <c r="D173" s="309" t="s">
        <v>76</v>
      </c>
      <c r="E173" s="245" t="s">
        <v>466</v>
      </c>
      <c r="F173" s="178" t="s">
        <v>467</v>
      </c>
      <c r="G173" s="171" t="s">
        <v>201</v>
      </c>
      <c r="H173" s="245" t="s">
        <v>468</v>
      </c>
      <c r="I173" s="245" t="s">
        <v>469</v>
      </c>
      <c r="Y173"/>
      <c r="Z173" s="325"/>
      <c r="AA173" s="325" t="s">
        <v>409</v>
      </c>
      <c r="AB173" s="325" t="s">
        <v>465</v>
      </c>
      <c r="AC173" s="326" t="s">
        <v>452</v>
      </c>
      <c r="AD173" s="326" t="s">
        <v>453</v>
      </c>
      <c r="AE173" s="325" t="str">
        <f t="shared" ref="AE173:AE178" si="35">AE172</f>
        <v>DAYNITE</v>
      </c>
      <c r="AF173" s="325"/>
      <c r="AG173" s="325"/>
      <c r="AH173" s="192"/>
      <c r="AI173" s="245"/>
      <c r="AJ173" s="245" t="s">
        <v>457</v>
      </c>
      <c r="AK173" s="245"/>
      <c r="AL173" s="245"/>
      <c r="AM173" s="245"/>
      <c r="AN173" s="245" t="s">
        <v>254</v>
      </c>
      <c r="AO173" s="245"/>
      <c r="AP173" s="245"/>
      <c r="AQ173" s="245" t="s">
        <v>314</v>
      </c>
    </row>
    <row r="174" ht="14.5" spans="2:60">
      <c r="B174" s="309" t="s">
        <v>470</v>
      </c>
      <c r="C174" s="309" t="s">
        <v>456</v>
      </c>
      <c r="D174" s="309" t="s">
        <v>376</v>
      </c>
      <c r="E174" s="329">
        <v>0.65</v>
      </c>
      <c r="F174" s="171">
        <v>2</v>
      </c>
      <c r="G174" s="171">
        <v>1</v>
      </c>
      <c r="H174" s="171">
        <v>0.9</v>
      </c>
      <c r="I174" s="171">
        <v>0.9</v>
      </c>
      <c r="Y174"/>
      <c r="Z174" s="325"/>
      <c r="AA174" s="325" t="s">
        <v>410</v>
      </c>
      <c r="AB174" s="325" t="s">
        <v>465</v>
      </c>
      <c r="AC174" s="326" t="s">
        <v>452</v>
      </c>
      <c r="AD174" s="326" t="s">
        <v>453</v>
      </c>
      <c r="AE174" s="325" t="str">
        <f t="shared" si="35"/>
        <v>DAYNITE</v>
      </c>
      <c r="AF174" s="325"/>
      <c r="AG174" s="325"/>
      <c r="AH174" s="192"/>
      <c r="AI174" s="245"/>
      <c r="AJ174" s="245" t="s">
        <v>458</v>
      </c>
      <c r="AK174" s="245"/>
      <c r="AL174" s="245"/>
      <c r="AM174" s="245"/>
      <c r="AN174" s="245" t="s">
        <v>254</v>
      </c>
      <c r="AO174" s="245"/>
      <c r="AP174" s="245"/>
      <c r="AQ174" s="245" t="s">
        <v>314</v>
      </c>
    </row>
    <row r="175" ht="14.5" spans="2:60">
      <c r="B175" s="309" t="s">
        <v>471</v>
      </c>
      <c r="C175" s="309" t="s">
        <v>457</v>
      </c>
      <c r="D175" s="309" t="s">
        <v>377</v>
      </c>
      <c r="E175" s="329">
        <f t="shared" ref="E175:E180" si="36">E174</f>
        <v>0.65</v>
      </c>
      <c r="F175" s="171">
        <v>2</v>
      </c>
      <c r="G175" s="171">
        <v>1</v>
      </c>
      <c r="H175" s="171">
        <f t="shared" ref="H175:H180" si="37">H174</f>
        <v>0.9</v>
      </c>
      <c r="I175" s="171">
        <f t="shared" ref="I175:I180" si="38">I174</f>
        <v>0.9</v>
      </c>
      <c r="Y175"/>
      <c r="Z175" s="325"/>
      <c r="AA175" s="325" t="s">
        <v>411</v>
      </c>
      <c r="AB175" s="325" t="s">
        <v>465</v>
      </c>
      <c r="AC175" s="326" t="s">
        <v>452</v>
      </c>
      <c r="AD175" s="326" t="s">
        <v>453</v>
      </c>
      <c r="AE175" s="325" t="str">
        <f t="shared" si="35"/>
        <v>DAYNITE</v>
      </c>
      <c r="AF175" s="325"/>
      <c r="AG175" s="325"/>
      <c r="AI175" s="245"/>
      <c r="AJ175" s="245" t="s">
        <v>459</v>
      </c>
      <c r="AK175" s="245"/>
      <c r="AL175" s="245"/>
      <c r="AM175" s="245"/>
      <c r="AN175" s="245" t="s">
        <v>254</v>
      </c>
      <c r="AO175" s="245"/>
      <c r="AP175" s="245"/>
      <c r="AQ175" s="245" t="s">
        <v>314</v>
      </c>
    </row>
    <row r="176" ht="14.5" spans="2:60">
      <c r="B176" s="309" t="s">
        <v>472</v>
      </c>
      <c r="C176" s="309" t="s">
        <v>458</v>
      </c>
      <c r="D176" s="309" t="s">
        <v>378</v>
      </c>
      <c r="E176" s="329">
        <f t="shared" si="36"/>
        <v>0.65</v>
      </c>
      <c r="F176" s="171">
        <v>2</v>
      </c>
      <c r="G176" s="171">
        <v>1</v>
      </c>
      <c r="H176" s="171">
        <f t="shared" si="37"/>
        <v>0.9</v>
      </c>
      <c r="I176" s="171">
        <f t="shared" si="38"/>
        <v>0.9</v>
      </c>
      <c r="Y176"/>
      <c r="Z176" s="325"/>
      <c r="AA176" s="325" t="s">
        <v>412</v>
      </c>
      <c r="AB176" s="325" t="s">
        <v>465</v>
      </c>
      <c r="AC176" s="326" t="s">
        <v>452</v>
      </c>
      <c r="AD176" s="326" t="s">
        <v>453</v>
      </c>
      <c r="AE176" s="325" t="str">
        <f t="shared" si="35"/>
        <v>DAYNITE</v>
      </c>
      <c r="AF176" s="325"/>
      <c r="AG176" s="325"/>
      <c r="AI176" s="245"/>
      <c r="AJ176" s="245" t="s">
        <v>461</v>
      </c>
      <c r="AK176" s="245"/>
      <c r="AL176" s="245"/>
      <c r="AM176" s="245"/>
      <c r="AN176" s="245" t="s">
        <v>254</v>
      </c>
      <c r="AO176" s="245"/>
      <c r="AP176" s="245"/>
      <c r="AQ176" s="245" t="s">
        <v>314</v>
      </c>
      <c r="AR176" s="192"/>
      <c r="AS176" s="192"/>
      <c r="AT176" s="192"/>
      <c r="AU176" s="192"/>
      <c r="AW176" s="192"/>
      <c r="AX176" s="192"/>
      <c r="BA176" s="192"/>
      <c r="BB176" s="192"/>
      <c r="BC176" s="192"/>
      <c r="BD176" s="192"/>
      <c r="BE176" s="192"/>
      <c r="BG176" s="192"/>
      <c r="BH176" s="192"/>
    </row>
    <row r="177" ht="16" spans="1:60">
      <c r="B177" s="309" t="s">
        <v>473</v>
      </c>
      <c r="C177" s="309" t="s">
        <v>459</v>
      </c>
      <c r="D177" s="309" t="s">
        <v>379</v>
      </c>
      <c r="E177" s="329">
        <f t="shared" si="36"/>
        <v>0.65</v>
      </c>
      <c r="F177" s="171">
        <v>2</v>
      </c>
      <c r="G177" s="171">
        <v>1</v>
      </c>
      <c r="H177" s="171">
        <f t="shared" si="37"/>
        <v>0.9</v>
      </c>
      <c r="I177" s="171">
        <f t="shared" si="38"/>
        <v>0.9</v>
      </c>
      <c r="Y177"/>
      <c r="Z177" s="325"/>
      <c r="AA177" s="325" t="s">
        <v>413</v>
      </c>
      <c r="AB177" s="325" t="s">
        <v>465</v>
      </c>
      <c r="AC177" s="326" t="s">
        <v>452</v>
      </c>
      <c r="AD177" s="326" t="s">
        <v>453</v>
      </c>
      <c r="AE177" s="325" t="str">
        <f t="shared" si="35"/>
        <v>DAYNITE</v>
      </c>
      <c r="AF177" s="325"/>
      <c r="AG177" s="325"/>
      <c r="AI177" s="245"/>
      <c r="AJ177" s="245" t="s">
        <v>462</v>
      </c>
      <c r="AK177" s="245"/>
      <c r="AL177" s="245"/>
      <c r="AM177" s="245"/>
      <c r="AN177" s="245" t="s">
        <v>254</v>
      </c>
      <c r="AO177" s="245"/>
      <c r="AP177" s="245"/>
      <c r="AQ177" s="245" t="s">
        <v>314</v>
      </c>
      <c r="AR177" s="192"/>
      <c r="AS177" s="192"/>
      <c r="AT177" s="178"/>
      <c r="AU177" s="192"/>
      <c r="AV177" s="192"/>
      <c r="AW177" s="192"/>
      <c r="AX177" s="192"/>
      <c r="BA177" s="192"/>
      <c r="BB177" s="192"/>
      <c r="BC177" s="192"/>
      <c r="BD177" s="178"/>
      <c r="BE177" s="192"/>
      <c r="BF177" s="192"/>
      <c r="BG177" s="192"/>
      <c r="BH177" s="192"/>
    </row>
    <row r="178" ht="14.5" spans="1:60">
      <c r="B178" s="309" t="s">
        <v>474</v>
      </c>
      <c r="C178" s="309" t="s">
        <v>461</v>
      </c>
      <c r="D178" s="309" t="s">
        <v>380</v>
      </c>
      <c r="E178" s="329">
        <f t="shared" si="36"/>
        <v>0.65</v>
      </c>
      <c r="F178" s="171">
        <v>2</v>
      </c>
      <c r="G178" s="171">
        <v>1</v>
      </c>
      <c r="H178" s="171">
        <f t="shared" si="37"/>
        <v>0.9</v>
      </c>
      <c r="I178" s="171">
        <f t="shared" si="38"/>
        <v>0.9</v>
      </c>
      <c r="Y178"/>
      <c r="Z178" s="325"/>
      <c r="AA178" s="325" t="s">
        <v>414</v>
      </c>
      <c r="AB178" s="325" t="s">
        <v>465</v>
      </c>
      <c r="AC178" s="326" t="s">
        <v>452</v>
      </c>
      <c r="AD178" s="326" t="s">
        <v>453</v>
      </c>
      <c r="AE178" s="325" t="str">
        <f t="shared" si="35"/>
        <v>DAYNITE</v>
      </c>
      <c r="AF178" s="325"/>
      <c r="AG178" s="325"/>
      <c r="AI178" s="245"/>
      <c r="AJ178" s="245" t="s">
        <v>463</v>
      </c>
      <c r="AK178" s="245"/>
      <c r="AL178" s="245"/>
      <c r="AM178" s="245"/>
      <c r="AN178" s="245" t="s">
        <v>254</v>
      </c>
      <c r="AO178" s="245"/>
      <c r="AP178" s="245"/>
      <c r="AQ178" s="245" t="s">
        <v>314</v>
      </c>
      <c r="AR178" s="192"/>
      <c r="AT178" s="200"/>
      <c r="AU178" s="192"/>
      <c r="AV178" s="192"/>
      <c r="AW178" s="192"/>
      <c r="AX178" s="192"/>
      <c r="BA178" s="192"/>
      <c r="BB178" s="192"/>
      <c r="BD178" s="200"/>
      <c r="BE178" s="192"/>
      <c r="BF178" s="192"/>
      <c r="BG178" s="192"/>
      <c r="BH178" s="192"/>
    </row>
    <row r="179" ht="14.5" spans="1:60">
      <c r="B179" s="309" t="s">
        <v>475</v>
      </c>
      <c r="C179" s="309" t="s">
        <v>462</v>
      </c>
      <c r="D179" s="309" t="s">
        <v>381</v>
      </c>
      <c r="E179" s="329">
        <f t="shared" si="36"/>
        <v>0.65</v>
      </c>
      <c r="F179" s="171">
        <v>2</v>
      </c>
      <c r="G179" s="171">
        <v>1</v>
      </c>
      <c r="H179" s="171">
        <f t="shared" si="37"/>
        <v>0.9</v>
      </c>
      <c r="I179" s="171">
        <f t="shared" si="38"/>
        <v>0.9</v>
      </c>
      <c r="Y179"/>
      <c r="Z179" s="325"/>
      <c r="AA179" s="325" t="s">
        <v>372</v>
      </c>
      <c r="AB179" s="325"/>
      <c r="AC179" s="325"/>
      <c r="AD179" s="325"/>
      <c r="AE179" s="325"/>
      <c r="AF179" s="325"/>
      <c r="AG179" s="325"/>
      <c r="AI179" s="245"/>
      <c r="AJ179" s="245" t="s">
        <v>365</v>
      </c>
      <c r="AK179" s="245"/>
      <c r="AL179" s="245"/>
      <c r="AM179" s="245"/>
      <c r="AN179" s="245" t="s">
        <v>254</v>
      </c>
      <c r="AO179" s="245"/>
      <c r="AP179" s="245"/>
      <c r="AQ179" s="245" t="s">
        <v>314</v>
      </c>
    </row>
    <row r="180" ht="14.5" spans="1:60">
      <c r="B180" s="309" t="s">
        <v>476</v>
      </c>
      <c r="C180" s="309" t="s">
        <v>463</v>
      </c>
      <c r="D180" s="309" t="s">
        <v>382</v>
      </c>
      <c r="E180" s="329">
        <f t="shared" si="36"/>
        <v>0.65</v>
      </c>
      <c r="F180" s="171">
        <v>2</v>
      </c>
      <c r="G180" s="171">
        <v>1</v>
      </c>
      <c r="H180" s="171">
        <f t="shared" si="37"/>
        <v>0.9</v>
      </c>
      <c r="I180" s="171">
        <f t="shared" si="38"/>
        <v>0.9</v>
      </c>
      <c r="Y180"/>
      <c r="Z180" s="325"/>
      <c r="AA180" s="325" t="s">
        <v>470</v>
      </c>
      <c r="AB180" s="325"/>
      <c r="AC180" s="326" t="s">
        <v>452</v>
      </c>
      <c r="AD180" s="326" t="s">
        <v>453</v>
      </c>
      <c r="AE180" s="325" t="s">
        <v>252</v>
      </c>
      <c r="AF180" s="325"/>
      <c r="AG180" s="325"/>
      <c r="AI180" s="245"/>
      <c r="AJ180" s="245" t="s">
        <v>366</v>
      </c>
      <c r="AK180" s="245"/>
      <c r="AL180" s="245"/>
      <c r="AM180" s="245"/>
      <c r="AN180" s="245" t="s">
        <v>254</v>
      </c>
      <c r="AO180" s="245"/>
      <c r="AP180" s="245"/>
      <c r="AQ180" s="245" t="s">
        <v>314</v>
      </c>
    </row>
    <row r="181" ht="14.5" spans="1:60">
      <c r="B181" s="309" t="s">
        <v>477</v>
      </c>
      <c r="C181" s="309" t="s">
        <v>456</v>
      </c>
      <c r="D181" s="309" t="s">
        <v>365</v>
      </c>
      <c r="E181" s="245">
        <v>1</v>
      </c>
      <c r="F181" s="171">
        <v>0</v>
      </c>
      <c r="G181" s="171">
        <v>1</v>
      </c>
      <c r="Y181"/>
      <c r="Z181" s="325"/>
      <c r="AA181" s="325" t="s">
        <v>471</v>
      </c>
      <c r="AB181" s="325"/>
      <c r="AC181" s="326" t="s">
        <v>452</v>
      </c>
      <c r="AD181" s="326" t="s">
        <v>453</v>
      </c>
      <c r="AE181" s="325" t="s">
        <v>252</v>
      </c>
      <c r="AF181" s="325"/>
      <c r="AG181" s="325"/>
      <c r="AI181" s="245"/>
      <c r="AJ181" s="245" t="s">
        <v>367</v>
      </c>
      <c r="AK181" s="245"/>
      <c r="AL181" s="245"/>
      <c r="AM181" s="245"/>
      <c r="AN181" s="245" t="s">
        <v>254</v>
      </c>
      <c r="AO181" s="245"/>
      <c r="AP181" s="245"/>
      <c r="AQ181" s="245" t="s">
        <v>314</v>
      </c>
    </row>
    <row r="182" ht="14.5" spans="1:60">
      <c r="B182" s="309" t="s">
        <v>478</v>
      </c>
      <c r="C182" s="309" t="s">
        <v>457</v>
      </c>
      <c r="D182" s="309" t="s">
        <v>366</v>
      </c>
      <c r="E182" s="245">
        <v>1</v>
      </c>
      <c r="F182" s="171">
        <v>0</v>
      </c>
      <c r="G182" s="171">
        <v>1</v>
      </c>
      <c r="Y182"/>
      <c r="Z182" s="325"/>
      <c r="AA182" s="325" t="s">
        <v>472</v>
      </c>
      <c r="AB182" s="325"/>
      <c r="AC182" s="326" t="s">
        <v>452</v>
      </c>
      <c r="AD182" s="326" t="s">
        <v>453</v>
      </c>
      <c r="AE182" s="325" t="s">
        <v>252</v>
      </c>
      <c r="AF182" s="325"/>
      <c r="AG182" s="325"/>
      <c r="AI182" s="245"/>
      <c r="AJ182" s="245" t="s">
        <v>368</v>
      </c>
      <c r="AK182" s="245"/>
      <c r="AL182" s="245"/>
      <c r="AM182" s="245"/>
      <c r="AN182" s="245" t="s">
        <v>254</v>
      </c>
      <c r="AO182" s="245"/>
      <c r="AP182" s="245"/>
      <c r="AQ182" s="245" t="s">
        <v>314</v>
      </c>
    </row>
    <row r="183" ht="14.5" spans="1:60">
      <c r="B183" s="309" t="s">
        <v>479</v>
      </c>
      <c r="C183" s="309" t="s">
        <v>458</v>
      </c>
      <c r="D183" s="309" t="s">
        <v>367</v>
      </c>
      <c r="E183" s="245">
        <v>1</v>
      </c>
      <c r="F183" s="171">
        <v>0</v>
      </c>
      <c r="G183" s="171">
        <v>1</v>
      </c>
      <c r="Y183"/>
      <c r="Z183" s="325"/>
      <c r="AA183" s="325" t="s">
        <v>473</v>
      </c>
      <c r="AB183" s="325"/>
      <c r="AC183" s="326" t="s">
        <v>452</v>
      </c>
      <c r="AD183" s="326" t="s">
        <v>453</v>
      </c>
      <c r="AE183" s="325" t="s">
        <v>252</v>
      </c>
      <c r="AF183" s="325"/>
      <c r="AG183" s="325"/>
      <c r="AI183" s="245"/>
      <c r="AJ183" s="245" t="s">
        <v>369</v>
      </c>
      <c r="AK183" s="245"/>
      <c r="AL183" s="245"/>
      <c r="AM183" s="245"/>
      <c r="AN183" s="245" t="s">
        <v>254</v>
      </c>
      <c r="AO183" s="245"/>
      <c r="AP183" s="245"/>
      <c r="AQ183" s="245" t="s">
        <v>314</v>
      </c>
    </row>
    <row r="184" ht="14.5" spans="1:60">
      <c r="B184" s="309" t="s">
        <v>480</v>
      </c>
      <c r="C184" s="309" t="s">
        <v>459</v>
      </c>
      <c r="D184" s="309" t="s">
        <v>368</v>
      </c>
      <c r="E184" s="245">
        <v>1</v>
      </c>
      <c r="F184" s="171">
        <v>0</v>
      </c>
      <c r="G184" s="171">
        <v>1</v>
      </c>
      <c r="Y184"/>
      <c r="Z184" s="325"/>
      <c r="AA184" s="325" t="s">
        <v>474</v>
      </c>
      <c r="AB184" s="325"/>
      <c r="AC184" s="326" t="s">
        <v>452</v>
      </c>
      <c r="AD184" s="326" t="s">
        <v>453</v>
      </c>
      <c r="AE184" s="325" t="s">
        <v>252</v>
      </c>
      <c r="AF184" s="325"/>
      <c r="AG184" s="325"/>
      <c r="AI184" s="245"/>
      <c r="AJ184" s="245" t="s">
        <v>370</v>
      </c>
      <c r="AK184" s="245"/>
      <c r="AL184" s="245"/>
      <c r="AM184" s="245"/>
      <c r="AN184" s="245" t="s">
        <v>254</v>
      </c>
      <c r="AO184" s="245"/>
      <c r="AP184" s="245"/>
      <c r="AQ184" s="245" t="s">
        <v>314</v>
      </c>
    </row>
    <row r="185" ht="14.5" spans="1:60">
      <c r="B185" s="309" t="s">
        <v>481</v>
      </c>
      <c r="C185" s="309" t="s">
        <v>461</v>
      </c>
      <c r="D185" s="309" t="s">
        <v>369</v>
      </c>
      <c r="E185" s="245">
        <v>1</v>
      </c>
      <c r="F185" s="171">
        <v>0</v>
      </c>
      <c r="G185" s="171">
        <v>1</v>
      </c>
      <c r="Y185"/>
      <c r="Z185" s="325"/>
      <c r="AA185" s="325" t="s">
        <v>475</v>
      </c>
      <c r="AB185" s="325"/>
      <c r="AC185" s="326" t="s">
        <v>452</v>
      </c>
      <c r="AD185" s="326" t="s">
        <v>453</v>
      </c>
      <c r="AE185" s="325" t="s">
        <v>252</v>
      </c>
      <c r="AF185" s="325"/>
      <c r="AG185" s="325"/>
      <c r="AI185" s="330"/>
      <c r="AJ185" s="330" t="s">
        <v>371</v>
      </c>
      <c r="AK185" s="245"/>
      <c r="AL185" s="245"/>
      <c r="AM185" s="245"/>
      <c r="AN185" s="245" t="s">
        <v>254</v>
      </c>
      <c r="AO185" s="245"/>
      <c r="AP185" s="245"/>
      <c r="AQ185" s="330" t="s">
        <v>314</v>
      </c>
    </row>
    <row r="186" ht="14.5" spans="1:60">
      <c r="B186" s="309" t="s">
        <v>482</v>
      </c>
      <c r="C186" s="309" t="s">
        <v>462</v>
      </c>
      <c r="D186" s="309" t="s">
        <v>370</v>
      </c>
      <c r="E186" s="245">
        <v>1</v>
      </c>
      <c r="F186" s="171">
        <v>0</v>
      </c>
      <c r="G186" s="171">
        <v>1</v>
      </c>
      <c r="Y186"/>
      <c r="Z186" s="325"/>
      <c r="AA186" s="325" t="s">
        <v>476</v>
      </c>
      <c r="AB186" s="325"/>
      <c r="AC186" s="326" t="s">
        <v>452</v>
      </c>
      <c r="AD186" s="326" t="s">
        <v>453</v>
      </c>
      <c r="AE186" s="325" t="s">
        <v>252</v>
      </c>
      <c r="AF186" s="325"/>
      <c r="AG186" s="325"/>
      <c r="AJ186"/>
      <c r="AK186"/>
      <c r="AL186"/>
      <c r="AM186"/>
      <c r="AN186"/>
      <c r="AO186"/>
      <c r="AP186"/>
      <c r="AQ186"/>
    </row>
    <row r="187" ht="14.5" spans="1:60">
      <c r="B187" s="309" t="s">
        <v>483</v>
      </c>
      <c r="C187" s="309" t="s">
        <v>463</v>
      </c>
      <c r="D187" s="309" t="s">
        <v>371</v>
      </c>
      <c r="E187" s="245">
        <v>1</v>
      </c>
      <c r="F187" s="171">
        <v>0</v>
      </c>
      <c r="G187" s="171">
        <v>1</v>
      </c>
      <c r="Y187"/>
      <c r="Z187" s="325"/>
      <c r="AA187" s="325" t="s">
        <v>477</v>
      </c>
      <c r="AB187" s="325"/>
      <c r="AC187" s="326" t="s">
        <v>452</v>
      </c>
      <c r="AD187" s="326" t="s">
        <v>453</v>
      </c>
      <c r="AE187" s="325" t="s">
        <v>252</v>
      </c>
      <c r="AF187" s="325"/>
      <c r="AG187" s="325"/>
      <c r="AJ187"/>
      <c r="AK187"/>
      <c r="AL187"/>
      <c r="AM187"/>
      <c r="AN187"/>
      <c r="AO187"/>
      <c r="AP187"/>
      <c r="AQ187"/>
    </row>
    <row r="188" ht="14.5" spans="1:60">
      <c r="Y188"/>
      <c r="Z188" s="325"/>
      <c r="AA188" s="325" t="s">
        <v>478</v>
      </c>
      <c r="AB188" s="325"/>
      <c r="AC188" s="326" t="s">
        <v>452</v>
      </c>
      <c r="AD188" s="326" t="s">
        <v>453</v>
      </c>
      <c r="AE188" s="325" t="s">
        <v>252</v>
      </c>
      <c r="AF188" s="325"/>
      <c r="AG188" s="325"/>
      <c r="AH188" s="192"/>
      <c r="AJ188"/>
      <c r="AK188"/>
      <c r="AL188"/>
      <c r="AM188"/>
      <c r="AN188"/>
      <c r="AO188"/>
      <c r="AP188"/>
      <c r="AQ188"/>
    </row>
    <row r="189" ht="14.5" spans="1:60">
      <c r="Y189"/>
      <c r="Z189" s="325"/>
      <c r="AA189" s="325" t="s">
        <v>479</v>
      </c>
      <c r="AB189" s="325"/>
      <c r="AC189" s="326" t="s">
        <v>452</v>
      </c>
      <c r="AD189" s="326" t="s">
        <v>453</v>
      </c>
      <c r="AE189" s="325" t="s">
        <v>252</v>
      </c>
      <c r="AF189" s="325"/>
      <c r="AG189" s="325"/>
      <c r="AJ189"/>
      <c r="AK189"/>
      <c r="AL189"/>
      <c r="AM189"/>
      <c r="AN189"/>
      <c r="AO189"/>
      <c r="AP189"/>
      <c r="AQ189"/>
    </row>
    <row r="190" ht="27.5" spans="1:60">
      <c r="A190" s="247"/>
      <c r="Y190"/>
      <c r="Z190" s="325"/>
      <c r="AA190" s="325" t="s">
        <v>480</v>
      </c>
      <c r="AB190" s="325"/>
      <c r="AC190" s="326" t="s">
        <v>452</v>
      </c>
      <c r="AD190" s="326" t="s">
        <v>453</v>
      </c>
      <c r="AE190" s="325" t="s">
        <v>252</v>
      </c>
      <c r="AF190" s="325"/>
      <c r="AG190" s="326"/>
      <c r="AJ190"/>
      <c r="AK190"/>
      <c r="AL190"/>
      <c r="AM190"/>
      <c r="AN190"/>
      <c r="AO190"/>
      <c r="AP190"/>
      <c r="AQ190"/>
    </row>
    <row r="191" ht="14.5" spans="1:60">
      <c r="Y191"/>
      <c r="Z191" s="325"/>
      <c r="AA191" s="325" t="s">
        <v>481</v>
      </c>
      <c r="AB191" s="325"/>
      <c r="AC191" s="326" t="s">
        <v>452</v>
      </c>
      <c r="AD191" s="326" t="s">
        <v>453</v>
      </c>
      <c r="AE191" s="325" t="s">
        <v>252</v>
      </c>
      <c r="AF191" s="325"/>
      <c r="AG191" s="325"/>
      <c r="AJ191"/>
      <c r="AK191"/>
      <c r="AL191"/>
      <c r="AM191"/>
      <c r="AN191"/>
      <c r="AO191"/>
      <c r="AP191"/>
      <c r="AQ191"/>
    </row>
    <row r="192" ht="14.5" spans="1:60">
      <c r="X192" s="192"/>
      <c r="Y192"/>
      <c r="Z192" s="325"/>
      <c r="AA192" s="325" t="s">
        <v>482</v>
      </c>
      <c r="AB192" s="325"/>
      <c r="AC192" s="326" t="s">
        <v>452</v>
      </c>
      <c r="AD192" s="326" t="s">
        <v>453</v>
      </c>
      <c r="AE192" s="325" t="s">
        <v>252</v>
      </c>
      <c r="AF192" s="325"/>
      <c r="AG192" s="325"/>
      <c r="AJ192"/>
      <c r="AK192"/>
      <c r="AL192"/>
      <c r="AM192"/>
      <c r="AN192"/>
      <c r="AO192"/>
      <c r="AP192"/>
      <c r="AQ192"/>
      <c r="AR192" s="192"/>
      <c r="BB192" s="192"/>
    </row>
    <row r="193" ht="14.5" spans="1:53">
      <c r="Z193" s="325"/>
      <c r="AA193" s="325" t="s">
        <v>483</v>
      </c>
      <c r="AB193" s="325"/>
      <c r="AC193" s="326" t="s">
        <v>452</v>
      </c>
      <c r="AD193" s="326" t="s">
        <v>453</v>
      </c>
      <c r="AE193" s="325" t="s">
        <v>252</v>
      </c>
      <c r="AF193" s="325"/>
      <c r="AG193" s="325"/>
    </row>
    <row r="194" ht="23" spans="1:53">
      <c r="A194" s="248"/>
      <c r="W194" s="192"/>
      <c r="Z194" s="325"/>
      <c r="AA194" s="325"/>
      <c r="AB194" s="325"/>
      <c r="AC194" s="326"/>
      <c r="AD194" s="326"/>
      <c r="AE194" s="325"/>
      <c r="AF194" s="325"/>
      <c r="AG194" s="325"/>
      <c r="BA194" s="192"/>
    </row>
    <row r="195" ht="14.5" spans="1:53">
      <c r="Z195" s="325"/>
      <c r="AA195" s="325"/>
      <c r="AB195" s="325"/>
      <c r="AC195" s="326"/>
      <c r="AD195" s="326"/>
      <c r="AE195" s="325"/>
      <c r="AF195" s="325"/>
      <c r="AG195" s="325"/>
    </row>
    <row r="196" ht="14.5" spans="1:53">
      <c r="Z196" s="325"/>
      <c r="AA196" s="325"/>
      <c r="AB196" s="325"/>
      <c r="AC196" s="326"/>
      <c r="AD196" s="326"/>
      <c r="AE196" s="325"/>
      <c r="AF196" s="325"/>
      <c r="AG196" s="325"/>
    </row>
    <row r="197" ht="14.5" spans="1:53">
      <c r="Z197" s="325"/>
      <c r="AA197" s="325"/>
      <c r="AB197" s="325"/>
      <c r="AC197" s="326"/>
      <c r="AD197" s="326"/>
      <c r="AE197" s="325"/>
      <c r="AF197" s="325"/>
      <c r="AG197" s="325"/>
    </row>
    <row r="198" ht="14.5" spans="1:53">
      <c r="Z198" s="325"/>
      <c r="AA198" s="325"/>
      <c r="AB198" s="325"/>
      <c r="AC198" s="326"/>
      <c r="AD198" s="326"/>
      <c r="AE198" s="325"/>
      <c r="AF198" s="325"/>
      <c r="AG198" s="325"/>
    </row>
    <row r="199" ht="14.5" spans="1:53">
      <c r="Z199" s="325"/>
      <c r="AA199" s="325"/>
      <c r="AB199" s="325"/>
      <c r="AC199" s="326"/>
      <c r="AD199" s="326"/>
      <c r="AE199" s="325"/>
      <c r="AF199" s="325"/>
      <c r="AG199" s="325"/>
    </row>
    <row r="200" ht="14.5" spans="1:53">
      <c r="Z200" s="325"/>
      <c r="AA200" s="325"/>
      <c r="AB200" s="325"/>
      <c r="AC200" s="326"/>
      <c r="AD200" s="326"/>
      <c r="AE200" s="325"/>
      <c r="AF200" s="325"/>
      <c r="AG200" s="325"/>
    </row>
    <row r="211" ht="21" spans="1:64">
      <c r="B211" s="249" t="s">
        <v>484</v>
      </c>
      <c r="C211" s="250"/>
      <c r="D211" s="249"/>
      <c r="E211" s="249"/>
      <c r="I211" s="209"/>
      <c r="J211" s="221" t="s">
        <v>485</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418</v>
      </c>
      <c r="C212" s="249"/>
      <c r="D212" s="249"/>
      <c r="E212" s="249"/>
      <c r="I212" s="236"/>
      <c r="J212" s="254" t="s">
        <v>421</v>
      </c>
      <c r="K212" s="255"/>
      <c r="L212" s="255"/>
      <c r="M212" s="254" t="s">
        <v>422</v>
      </c>
      <c r="N212" s="255"/>
      <c r="O212" s="255"/>
      <c r="P212" s="254" t="s">
        <v>423</v>
      </c>
      <c r="Q212" s="255"/>
      <c r="R212" s="255"/>
      <c r="S212" s="226" t="s">
        <v>424</v>
      </c>
      <c r="T212" s="209"/>
      <c r="U212" s="209"/>
      <c r="W212" s="256"/>
      <c r="X212" s="257"/>
      <c r="Y212" s="257"/>
      <c r="Z212" s="257"/>
      <c r="AA212" s="257"/>
      <c r="AB212" s="257"/>
      <c r="AC212" s="257"/>
      <c r="AD212" s="257"/>
      <c r="AE212" s="257"/>
      <c r="AF212" s="257"/>
      <c r="AH212" s="221" t="s">
        <v>486</v>
      </c>
      <c r="AI212" s="221"/>
      <c r="AJ212" s="221"/>
      <c r="AK212" s="221"/>
      <c r="AL212" s="221"/>
      <c r="AM212" s="221"/>
      <c r="AN212" s="221"/>
      <c r="AO212" s="258"/>
      <c r="AP212" s="258"/>
      <c r="AS212" s="245" t="s">
        <v>487</v>
      </c>
      <c r="AT212" s="331"/>
      <c r="AU212" s="331"/>
      <c r="AV212" s="245"/>
      <c r="AW212" s="245"/>
      <c r="AX212" s="245"/>
      <c r="AY212" s="245"/>
      <c r="AZ212" s="245"/>
      <c r="BA212" s="245"/>
      <c r="BB212" s="325"/>
      <c r="BC212" s="245" t="s">
        <v>487</v>
      </c>
      <c r="BD212" s="331"/>
      <c r="BE212" s="331"/>
      <c r="BF212" s="245"/>
      <c r="BG212" s="245"/>
      <c r="BH212" s="245"/>
      <c r="BI212" s="245"/>
      <c r="BJ212" s="245"/>
      <c r="BK212" s="245"/>
      <c r="BL212" s="245"/>
    </row>
    <row r="213" ht="13" spans="1:64">
      <c r="B213" s="249"/>
      <c r="C213" s="253"/>
      <c r="D213" s="253"/>
      <c r="E213" s="253"/>
      <c r="I213" s="236"/>
      <c r="J213" s="260" t="s">
        <v>488</v>
      </c>
      <c r="K213" s="261"/>
      <c r="L213" s="255"/>
      <c r="M213" s="260" t="s">
        <v>488</v>
      </c>
      <c r="N213" s="261"/>
      <c r="O213" s="255"/>
      <c r="P213" s="260" t="s">
        <v>488</v>
      </c>
      <c r="Q213" s="261"/>
      <c r="R213" s="255"/>
      <c r="S213" s="260" t="s">
        <v>488</v>
      </c>
      <c r="T213" s="261"/>
      <c r="U213" s="255"/>
      <c r="W213" s="256"/>
      <c r="X213" s="262"/>
      <c r="Y213" s="262"/>
      <c r="Z213" s="262"/>
      <c r="AA213" s="245" t="s">
        <v>200</v>
      </c>
      <c r="AB213" s="245"/>
      <c r="AC213" s="245"/>
      <c r="AD213" s="332"/>
      <c r="AE213" s="262"/>
      <c r="AF213" s="262"/>
      <c r="AH213" s="220"/>
      <c r="AI213" s="220" t="s">
        <v>489</v>
      </c>
      <c r="AJ213" s="220" t="s">
        <v>490</v>
      </c>
      <c r="AK213" s="220" t="s">
        <v>491</v>
      </c>
      <c r="AL213" s="220" t="s">
        <v>492</v>
      </c>
      <c r="AM213" s="263" t="s">
        <v>493</v>
      </c>
      <c r="AN213" s="220" t="s">
        <v>494</v>
      </c>
      <c r="AO213" s="220" t="s">
        <v>354</v>
      </c>
      <c r="AP213" s="220" t="s">
        <v>495</v>
      </c>
      <c r="AQ213" s="251"/>
      <c r="AS213" s="245" t="s">
        <v>258</v>
      </c>
      <c r="AT213" s="245" t="s">
        <v>293</v>
      </c>
      <c r="AU213" s="245" t="s">
        <v>300</v>
      </c>
      <c r="AV213" s="245" t="s">
        <v>302</v>
      </c>
      <c r="AW213" s="245" t="s">
        <v>304</v>
      </c>
      <c r="AX213" s="245" t="s">
        <v>307</v>
      </c>
      <c r="AY213" s="245" t="s">
        <v>309</v>
      </c>
      <c r="AZ213" s="245" t="s">
        <v>311</v>
      </c>
      <c r="BA213" s="245" t="s">
        <v>401</v>
      </c>
      <c r="BB213" s="325"/>
      <c r="BC213" s="245" t="s">
        <v>258</v>
      </c>
      <c r="BD213" s="245" t="s">
        <v>293</v>
      </c>
      <c r="BE213" s="245" t="s">
        <v>300</v>
      </c>
      <c r="BF213" s="245" t="s">
        <v>302</v>
      </c>
      <c r="BG213" s="245" t="s">
        <v>304</v>
      </c>
      <c r="BH213" s="245" t="s">
        <v>307</v>
      </c>
      <c r="BI213" s="245" t="s">
        <v>309</v>
      </c>
      <c r="BJ213" s="245" t="s">
        <v>311</v>
      </c>
      <c r="BK213" s="245" t="s">
        <v>401</v>
      </c>
      <c r="BL213" s="245" t="s">
        <v>435</v>
      </c>
    </row>
    <row r="214" ht="14.5" spans="1:64">
      <c r="B214" s="253" t="s">
        <v>258</v>
      </c>
      <c r="C214" s="253" t="s">
        <v>430</v>
      </c>
      <c r="D214" s="253" t="s">
        <v>431</v>
      </c>
      <c r="E214" s="253" t="s">
        <v>432</v>
      </c>
      <c r="I214" s="236"/>
      <c r="J214" s="260" t="s">
        <v>496</v>
      </c>
      <c r="K214" s="260" t="s">
        <v>497</v>
      </c>
      <c r="L214" s="260" t="s">
        <v>498</v>
      </c>
      <c r="M214" s="254" t="s">
        <v>496</v>
      </c>
      <c r="N214" s="264" t="s">
        <v>497</v>
      </c>
      <c r="O214" s="254" t="s">
        <v>498</v>
      </c>
      <c r="P214" s="254" t="s">
        <v>496</v>
      </c>
      <c r="Q214" s="254" t="s">
        <v>497</v>
      </c>
      <c r="R214" s="254" t="s">
        <v>498</v>
      </c>
      <c r="S214" s="254" t="s">
        <v>496</v>
      </c>
      <c r="T214" s="254" t="s">
        <v>497</v>
      </c>
      <c r="U214" s="254" t="s">
        <v>498</v>
      </c>
      <c r="W214" s="256"/>
      <c r="X214" s="262"/>
      <c r="Y214" s="262"/>
      <c r="Z214" s="262"/>
      <c r="AA214" s="333" t="str">
        <f>B214</f>
        <v>process</v>
      </c>
      <c r="AB214" s="331" t="s">
        <v>195</v>
      </c>
      <c r="AC214" s="331" t="s">
        <v>76</v>
      </c>
      <c r="AD214" s="334" t="s">
        <v>73</v>
      </c>
      <c r="AE214" s="257"/>
      <c r="AF214" s="257"/>
      <c r="AH214" s="265" t="s">
        <v>499</v>
      </c>
      <c r="AI214" s="220">
        <v>0</v>
      </c>
      <c r="AJ214" s="220">
        <v>0.98</v>
      </c>
      <c r="AK214" s="220">
        <v>0.9</v>
      </c>
      <c r="AL214" s="220">
        <v>0</v>
      </c>
      <c r="AM214" s="220">
        <v>0</v>
      </c>
      <c r="AN214" s="220">
        <v>0.9</v>
      </c>
      <c r="AO214" s="220">
        <v>0</v>
      </c>
      <c r="AP214" s="220">
        <v>0.9</v>
      </c>
      <c r="AQ214" s="251"/>
      <c r="AS214" s="245" t="s">
        <v>384</v>
      </c>
      <c r="AT214" s="245">
        <f>D263/AD215</f>
        <v>0</v>
      </c>
      <c r="AU214" s="245">
        <f>E263/AD215</f>
        <v>0</v>
      </c>
      <c r="AV214" s="245">
        <f>F263/AD215</f>
        <v>0</v>
      </c>
      <c r="AW214" s="245">
        <f>G263/AD215</f>
        <v>0</v>
      </c>
      <c r="AX214" s="245">
        <f>H263/AD215</f>
        <v>0</v>
      </c>
      <c r="AY214" s="245">
        <f>I263/AD215</f>
        <v>1</v>
      </c>
      <c r="AZ214" s="245">
        <f>J263/AD215</f>
        <v>0</v>
      </c>
      <c r="BA214" s="245" t="s">
        <v>339</v>
      </c>
      <c r="BB214" s="325"/>
      <c r="BC214" s="245" t="s">
        <v>384</v>
      </c>
      <c r="BD214" s="245">
        <v>5</v>
      </c>
      <c r="BE214" s="245">
        <v>5</v>
      </c>
      <c r="BF214" s="245">
        <v>5</v>
      </c>
      <c r="BG214" s="245">
        <v>5</v>
      </c>
      <c r="BH214" s="245">
        <v>5</v>
      </c>
      <c r="BI214" s="245">
        <v>5</v>
      </c>
      <c r="BJ214" s="245">
        <v>5</v>
      </c>
      <c r="BK214" s="245" t="s">
        <v>339</v>
      </c>
      <c r="BL214" s="245">
        <v>0</v>
      </c>
    </row>
    <row r="215" ht="20" spans="1:64">
      <c r="A215" s="266"/>
      <c r="B215" s="253" t="s">
        <v>372</v>
      </c>
      <c r="C215" s="253"/>
      <c r="D215" s="267"/>
      <c r="E215" s="267"/>
      <c r="I215" s="226" t="s">
        <v>436</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09" t="str">
        <f>B216</f>
        <v>PyroRecy-LFP</v>
      </c>
      <c r="AB215" s="309" t="s">
        <v>376</v>
      </c>
      <c r="AC215" s="245" t="s">
        <v>500</v>
      </c>
      <c r="AD215" s="335">
        <f>SUM(D263:J263)</f>
        <v>0.8514</v>
      </c>
      <c r="AE215" s="269"/>
      <c r="AF215" s="269"/>
      <c r="AH215" s="220"/>
      <c r="AI215" s="220">
        <f t="shared" ref="AI215:AN215" si="39">AI214</f>
        <v>0</v>
      </c>
      <c r="AJ215" s="220">
        <f t="shared" si="39"/>
        <v>0.98</v>
      </c>
      <c r="AK215" s="220">
        <f t="shared" si="39"/>
        <v>0.9</v>
      </c>
      <c r="AL215" s="220">
        <f t="shared" si="39"/>
        <v>0</v>
      </c>
      <c r="AM215" s="220">
        <f t="shared" si="39"/>
        <v>0</v>
      </c>
      <c r="AN215" s="220">
        <f t="shared" si="39"/>
        <v>0.9</v>
      </c>
      <c r="AO215" s="220">
        <v>0</v>
      </c>
      <c r="AP215" s="220">
        <f t="shared" ref="AP215:AP220" si="40">AP214</f>
        <v>0.9</v>
      </c>
      <c r="AQ215" s="251"/>
      <c r="AS215" s="245" t="s">
        <v>386</v>
      </c>
      <c r="AT215" s="245">
        <f t="shared" ref="AT215:AT234" si="41">D264/AD216</f>
        <v>0</v>
      </c>
      <c r="AU215" s="245">
        <f t="shared" ref="AU215:AU234" si="42">E264/AD216</f>
        <v>0</v>
      </c>
      <c r="AV215" s="245">
        <f t="shared" ref="AV215:AV234" si="43">F264/AD216</f>
        <v>0</v>
      </c>
      <c r="AW215" s="245">
        <f t="shared" ref="AW215:AW234" si="44">G264/AD216</f>
        <v>0</v>
      </c>
      <c r="AX215" s="245">
        <f t="shared" ref="AX215:AX234" si="45">H264/AD216</f>
        <v>0</v>
      </c>
      <c r="AY215" s="245">
        <f t="shared" ref="AY215:AY234" si="46">I264/AD216</f>
        <v>1</v>
      </c>
      <c r="AZ215" s="245">
        <f t="shared" ref="AZ215:AZ234" si="47">J264/AD216</f>
        <v>0</v>
      </c>
      <c r="BA215" s="245" t="s">
        <v>339</v>
      </c>
      <c r="BB215" s="325"/>
      <c r="BC215" s="245" t="s">
        <v>386</v>
      </c>
      <c r="BD215" s="245">
        <v>5</v>
      </c>
      <c r="BE215" s="245">
        <v>5</v>
      </c>
      <c r="BF215" s="245">
        <v>5</v>
      </c>
      <c r="BG215" s="245">
        <v>5</v>
      </c>
      <c r="BH215" s="245">
        <v>5</v>
      </c>
      <c r="BI215" s="245">
        <v>5</v>
      </c>
      <c r="BJ215" s="245">
        <v>5</v>
      </c>
      <c r="BK215" s="245" t="s">
        <v>339</v>
      </c>
      <c r="BL215" s="245">
        <v>0</v>
      </c>
    </row>
    <row r="216" ht="20" spans="1:64">
      <c r="A216" s="266"/>
      <c r="B216" s="253" t="s">
        <v>384</v>
      </c>
      <c r="C216" s="253">
        <f>S216</f>
        <v>7.11384396954065</v>
      </c>
      <c r="D216" s="267">
        <f>P216</f>
        <v>5.40179852616065</v>
      </c>
      <c r="E216" s="267">
        <f>J216</f>
        <v>8.85540744288872</v>
      </c>
      <c r="I216" s="226" t="s">
        <v>501</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8">AVERAGE(J216,M216,P216)</f>
        <v>7.11384396954065</v>
      </c>
      <c r="T216" s="236">
        <f t="shared" ref="T216:T222" si="49">AVERAGE(K216,N216,Q216)</f>
        <v>4.18384600835176</v>
      </c>
      <c r="U216" s="236">
        <f t="shared" ref="U216:U222" si="50">AVERAGE(L216,O216,R216)</f>
        <v>3.56556266273643</v>
      </c>
      <c r="W216" s="257"/>
      <c r="X216" s="269"/>
      <c r="Y216" s="269"/>
      <c r="Z216" s="269"/>
      <c r="AA216" s="309" t="str">
        <f t="shared" ref="AA216:AA235" si="51">B217</f>
        <v>PyroRecy-LMO</v>
      </c>
      <c r="AB216" s="309" t="s">
        <v>377</v>
      </c>
      <c r="AC216" s="245" t="s">
        <v>500</v>
      </c>
      <c r="AD216" s="335">
        <f t="shared" ref="AD216:AD235" si="52">SUM(D264:J264)</f>
        <v>0.7767</v>
      </c>
      <c r="AE216" s="269"/>
      <c r="AF216" s="269"/>
      <c r="AH216" s="220"/>
      <c r="AI216" s="220">
        <f t="shared" ref="AI216:AN216" si="53">AI215</f>
        <v>0</v>
      </c>
      <c r="AJ216" s="220">
        <f t="shared" si="53"/>
        <v>0.98</v>
      </c>
      <c r="AK216" s="220">
        <f t="shared" si="53"/>
        <v>0.9</v>
      </c>
      <c r="AL216" s="220">
        <f t="shared" si="53"/>
        <v>0</v>
      </c>
      <c r="AM216" s="220">
        <f t="shared" si="53"/>
        <v>0</v>
      </c>
      <c r="AN216" s="220">
        <f t="shared" si="53"/>
        <v>0.9</v>
      </c>
      <c r="AO216" s="220">
        <v>0</v>
      </c>
      <c r="AP216" s="220">
        <f t="shared" si="40"/>
        <v>0.9</v>
      </c>
      <c r="AQ216" s="251"/>
      <c r="AS216" s="245" t="s">
        <v>387</v>
      </c>
      <c r="AT216" s="245">
        <f t="shared" si="41"/>
        <v>0</v>
      </c>
      <c r="AU216" s="245">
        <f t="shared" si="42"/>
        <v>0.514315167986505</v>
      </c>
      <c r="AV216" s="245">
        <f t="shared" si="43"/>
        <v>0.0892647954641301</v>
      </c>
      <c r="AW216" s="245">
        <f t="shared" si="44"/>
        <v>0</v>
      </c>
      <c r="AX216" s="245">
        <f t="shared" si="45"/>
        <v>0</v>
      </c>
      <c r="AY216" s="245">
        <f t="shared" si="46"/>
        <v>0.396420036549365</v>
      </c>
      <c r="AZ216" s="245">
        <f t="shared" si="47"/>
        <v>0</v>
      </c>
      <c r="BA216" s="245" t="s">
        <v>339</v>
      </c>
      <c r="BB216" s="325"/>
      <c r="BC216" s="245" t="s">
        <v>387</v>
      </c>
      <c r="BD216" s="245">
        <v>5</v>
      </c>
      <c r="BE216" s="245">
        <v>5</v>
      </c>
      <c r="BF216" s="245">
        <v>5</v>
      </c>
      <c r="BG216" s="245">
        <v>5</v>
      </c>
      <c r="BH216" s="245">
        <v>5</v>
      </c>
      <c r="BI216" s="245">
        <v>5</v>
      </c>
      <c r="BJ216" s="245">
        <v>5</v>
      </c>
      <c r="BK216" s="245" t="s">
        <v>339</v>
      </c>
      <c r="BL216" s="245">
        <v>0</v>
      </c>
    </row>
    <row r="217" ht="20" spans="1:64">
      <c r="A217" s="270"/>
      <c r="B217" s="253" t="s">
        <v>386</v>
      </c>
      <c r="C217" s="253">
        <f t="shared" ref="C217:C222" si="54">S217</f>
        <v>7.11384396954065</v>
      </c>
      <c r="D217" s="267">
        <f t="shared" ref="D217:D222" si="55">P217</f>
        <v>5.40179852616065</v>
      </c>
      <c r="E217" s="267">
        <f t="shared" ref="E217:E222" si="56">J217</f>
        <v>8.85540744288872</v>
      </c>
      <c r="I217" s="226" t="s">
        <v>502</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8"/>
        <v>7.11384396954065</v>
      </c>
      <c r="T217" s="236">
        <f t="shared" si="49"/>
        <v>4.18384600835176</v>
      </c>
      <c r="U217" s="236">
        <f t="shared" si="50"/>
        <v>3.60087708179809</v>
      </c>
      <c r="W217" s="257"/>
      <c r="X217" s="269"/>
      <c r="Y217" s="269"/>
      <c r="Z217" s="269"/>
      <c r="AA217" s="309" t="str">
        <f t="shared" si="51"/>
        <v>PyroRecy-NCA</v>
      </c>
      <c r="AB217" s="309" t="s">
        <v>378</v>
      </c>
      <c r="AC217" s="245" t="s">
        <v>500</v>
      </c>
      <c r="AD217" s="335">
        <f t="shared" si="52"/>
        <v>1.28046</v>
      </c>
      <c r="AE217" s="269"/>
      <c r="AF217" s="269"/>
      <c r="AH217" s="220"/>
      <c r="AI217" s="220">
        <f t="shared" ref="AI217:AN217" si="57">AI216</f>
        <v>0</v>
      </c>
      <c r="AJ217" s="220">
        <f t="shared" si="57"/>
        <v>0.98</v>
      </c>
      <c r="AK217" s="220">
        <f t="shared" si="57"/>
        <v>0.9</v>
      </c>
      <c r="AL217" s="220">
        <f t="shared" si="57"/>
        <v>0</v>
      </c>
      <c r="AM217" s="220">
        <f t="shared" si="57"/>
        <v>0</v>
      </c>
      <c r="AN217" s="220">
        <f t="shared" si="57"/>
        <v>0.9</v>
      </c>
      <c r="AO217" s="220">
        <v>0</v>
      </c>
      <c r="AP217" s="220">
        <f t="shared" si="40"/>
        <v>0.9</v>
      </c>
      <c r="AQ217" s="251"/>
      <c r="AS217" s="245" t="s">
        <v>388</v>
      </c>
      <c r="AT217" s="245">
        <f t="shared" si="41"/>
        <v>0</v>
      </c>
      <c r="AU217" s="245">
        <f t="shared" si="42"/>
        <v>0.270833333333333</v>
      </c>
      <c r="AV217" s="245">
        <f t="shared" si="43"/>
        <v>0.249433106575964</v>
      </c>
      <c r="AW217" s="245">
        <f t="shared" si="44"/>
        <v>0</v>
      </c>
      <c r="AX217" s="245">
        <f t="shared" si="45"/>
        <v>0</v>
      </c>
      <c r="AY217" s="245">
        <f t="shared" si="46"/>
        <v>0.479733560090703</v>
      </c>
      <c r="AZ217" s="245">
        <f t="shared" si="47"/>
        <v>0</v>
      </c>
      <c r="BA217" s="245" t="s">
        <v>339</v>
      </c>
      <c r="BB217" s="325"/>
      <c r="BC217" s="245" t="s">
        <v>388</v>
      </c>
      <c r="BD217" s="245">
        <v>5</v>
      </c>
      <c r="BE217" s="245">
        <v>5</v>
      </c>
      <c r="BF217" s="245">
        <v>5</v>
      </c>
      <c r="BG217" s="245">
        <v>5</v>
      </c>
      <c r="BH217" s="245">
        <v>5</v>
      </c>
      <c r="BI217" s="245">
        <v>5</v>
      </c>
      <c r="BJ217" s="245">
        <v>5</v>
      </c>
      <c r="BK217" s="245" t="s">
        <v>339</v>
      </c>
      <c r="BL217" s="245">
        <v>0</v>
      </c>
    </row>
    <row r="218" ht="15.5" spans="1:64">
      <c r="B218" s="253" t="s">
        <v>387</v>
      </c>
      <c r="C218" s="253">
        <f t="shared" si="54"/>
        <v>7.62975445836404</v>
      </c>
      <c r="D218" s="267">
        <f t="shared" si="55"/>
        <v>5.79354797347089</v>
      </c>
      <c r="E218" s="267">
        <f t="shared" si="56"/>
        <v>9.49761967575534</v>
      </c>
      <c r="I218" s="226" t="s">
        <v>270</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8"/>
        <v>7.62975445836404</v>
      </c>
      <c r="T218" s="236">
        <f t="shared" si="49"/>
        <v>4.18384600835176</v>
      </c>
      <c r="U218" s="236">
        <f t="shared" si="50"/>
        <v>3.56556266273643</v>
      </c>
      <c r="W218" s="257"/>
      <c r="X218" s="269"/>
      <c r="Y218" s="269"/>
      <c r="Z218" s="269"/>
      <c r="AA218" s="309" t="str">
        <f t="shared" si="51"/>
        <v>PyroRecy-NMC111</v>
      </c>
      <c r="AB218" s="309" t="s">
        <v>379</v>
      </c>
      <c r="AC218" s="245" t="s">
        <v>500</v>
      </c>
      <c r="AD218" s="335">
        <f t="shared" si="52"/>
        <v>1.27008</v>
      </c>
      <c r="AE218" s="269"/>
      <c r="AF218" s="269"/>
      <c r="AH218" s="220"/>
      <c r="AI218" s="220">
        <f t="shared" ref="AI218:AN218" si="58">AI217</f>
        <v>0</v>
      </c>
      <c r="AJ218" s="220">
        <f t="shared" si="58"/>
        <v>0.98</v>
      </c>
      <c r="AK218" s="220">
        <f t="shared" si="58"/>
        <v>0.9</v>
      </c>
      <c r="AL218" s="220">
        <f t="shared" si="58"/>
        <v>0</v>
      </c>
      <c r="AM218" s="220">
        <f t="shared" si="58"/>
        <v>0</v>
      </c>
      <c r="AN218" s="220">
        <f t="shared" si="58"/>
        <v>0.9</v>
      </c>
      <c r="AO218" s="220">
        <v>0</v>
      </c>
      <c r="AP218" s="220">
        <f t="shared" si="40"/>
        <v>0.9</v>
      </c>
      <c r="AQ218" s="251"/>
      <c r="AS218" s="245" t="s">
        <v>389</v>
      </c>
      <c r="AT218" s="245">
        <f t="shared" si="41"/>
        <v>0</v>
      </c>
      <c r="AU218" s="245">
        <f t="shared" si="42"/>
        <v>0.390052807245718</v>
      </c>
      <c r="AV218" s="245">
        <f t="shared" si="43"/>
        <v>0.143848817713149</v>
      </c>
      <c r="AW218" s="245">
        <f t="shared" si="44"/>
        <v>0</v>
      </c>
      <c r="AX218" s="245">
        <f t="shared" si="45"/>
        <v>0</v>
      </c>
      <c r="AY218" s="245">
        <f t="shared" si="46"/>
        <v>0.466098375041133</v>
      </c>
      <c r="AZ218" s="245">
        <f t="shared" si="47"/>
        <v>0</v>
      </c>
      <c r="BA218" s="245" t="s">
        <v>339</v>
      </c>
      <c r="BB218" s="325"/>
      <c r="BC218" s="245" t="s">
        <v>389</v>
      </c>
      <c r="BD218" s="245">
        <v>5</v>
      </c>
      <c r="BE218" s="245">
        <v>5</v>
      </c>
      <c r="BF218" s="245">
        <v>5</v>
      </c>
      <c r="BG218" s="245">
        <v>5</v>
      </c>
      <c r="BH218" s="245">
        <v>5</v>
      </c>
      <c r="BI218" s="245">
        <v>5</v>
      </c>
      <c r="BJ218" s="245">
        <v>5</v>
      </c>
      <c r="BK218" s="245" t="s">
        <v>339</v>
      </c>
      <c r="BL218" s="245">
        <v>0</v>
      </c>
    </row>
    <row r="219" ht="15.5" spans="1:64">
      <c r="B219" s="253" t="s">
        <v>388</v>
      </c>
      <c r="C219" s="253">
        <f t="shared" si="54"/>
        <v>7.47097081798084</v>
      </c>
      <c r="D219" s="267">
        <f t="shared" si="55"/>
        <v>5.67297781871776</v>
      </c>
      <c r="E219" s="267">
        <f t="shared" si="56"/>
        <v>9.29996366985999</v>
      </c>
      <c r="I219" s="226" t="s">
        <v>276</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8"/>
        <v>7.47097081798084</v>
      </c>
      <c r="T219" s="236">
        <f t="shared" si="49"/>
        <v>4.18384600835176</v>
      </c>
      <c r="U219" s="236">
        <f t="shared" si="50"/>
        <v>3.56645369688037</v>
      </c>
      <c r="W219" s="257"/>
      <c r="X219" s="269"/>
      <c r="Y219" s="269"/>
      <c r="Z219" s="269"/>
      <c r="AA219" s="309" t="str">
        <f t="shared" si="51"/>
        <v>PyroRecy-NMC532</v>
      </c>
      <c r="AB219" s="309" t="s">
        <v>380</v>
      </c>
      <c r="AC219" s="245" t="s">
        <v>500</v>
      </c>
      <c r="AD219" s="335">
        <f t="shared" si="52"/>
        <v>1.27634</v>
      </c>
      <c r="AE219" s="269"/>
      <c r="AF219" s="269"/>
      <c r="AH219" s="220"/>
      <c r="AI219" s="220">
        <f t="shared" ref="AI219:AN219" si="59">AI218</f>
        <v>0</v>
      </c>
      <c r="AJ219" s="220">
        <f t="shared" si="59"/>
        <v>0.98</v>
      </c>
      <c r="AK219" s="220">
        <f t="shared" si="59"/>
        <v>0.9</v>
      </c>
      <c r="AL219" s="220">
        <f t="shared" si="59"/>
        <v>0</v>
      </c>
      <c r="AM219" s="220">
        <f t="shared" si="59"/>
        <v>0</v>
      </c>
      <c r="AN219" s="220">
        <f t="shared" si="59"/>
        <v>0.9</v>
      </c>
      <c r="AO219" s="220">
        <v>0</v>
      </c>
      <c r="AP219" s="220">
        <f t="shared" si="40"/>
        <v>0.9</v>
      </c>
      <c r="AQ219" s="251"/>
      <c r="AS219" s="245" t="s">
        <v>391</v>
      </c>
      <c r="AT219" s="245">
        <f t="shared" si="41"/>
        <v>0</v>
      </c>
      <c r="AU219" s="245">
        <f t="shared" si="42"/>
        <v>0.42477225977079</v>
      </c>
      <c r="AV219" s="245">
        <f t="shared" si="43"/>
        <v>0.130766970320306</v>
      </c>
      <c r="AW219" s="245">
        <f t="shared" si="44"/>
        <v>0</v>
      </c>
      <c r="AX219" s="245">
        <f t="shared" si="45"/>
        <v>0</v>
      </c>
      <c r="AY219" s="245">
        <f t="shared" si="46"/>
        <v>0.444460769908904</v>
      </c>
      <c r="AZ219" s="245">
        <f t="shared" si="47"/>
        <v>0</v>
      </c>
      <c r="BA219" s="245" t="s">
        <v>339</v>
      </c>
      <c r="BB219" s="325"/>
      <c r="BC219" s="245" t="s">
        <v>391</v>
      </c>
      <c r="BD219" s="245">
        <v>5</v>
      </c>
      <c r="BE219" s="245">
        <v>5</v>
      </c>
      <c r="BF219" s="245">
        <v>5</v>
      </c>
      <c r="BG219" s="245">
        <v>5</v>
      </c>
      <c r="BH219" s="245">
        <v>5</v>
      </c>
      <c r="BI219" s="245">
        <v>5</v>
      </c>
      <c r="BJ219" s="245">
        <v>5</v>
      </c>
      <c r="BK219" s="245" t="s">
        <v>339</v>
      </c>
      <c r="BL219" s="245">
        <v>0</v>
      </c>
    </row>
    <row r="220" ht="15.5" spans="1:64">
      <c r="B220" s="253" t="s">
        <v>389</v>
      </c>
      <c r="C220" s="253">
        <f t="shared" si="54"/>
        <v>7.51643520019651</v>
      </c>
      <c r="D220" s="267">
        <f t="shared" si="55"/>
        <v>5.70750058953574</v>
      </c>
      <c r="E220" s="267">
        <f t="shared" si="56"/>
        <v>9.35655836403832</v>
      </c>
      <c r="I220" s="226" t="s">
        <v>281</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8"/>
        <v>7.51643520019651</v>
      </c>
      <c r="T220" s="236">
        <f t="shared" si="49"/>
        <v>4.18384600835176</v>
      </c>
      <c r="U220" s="236">
        <f t="shared" si="50"/>
        <v>3.56585961680177</v>
      </c>
      <c r="W220" s="257"/>
      <c r="X220" s="269"/>
      <c r="Y220" s="269"/>
      <c r="Z220" s="269"/>
      <c r="AA220" s="309" t="str">
        <f t="shared" si="51"/>
        <v>PyroRecy-NMC622</v>
      </c>
      <c r="AB220" s="309" t="s">
        <v>381</v>
      </c>
      <c r="AC220" s="245" t="s">
        <v>500</v>
      </c>
      <c r="AD220" s="335">
        <f t="shared" si="52"/>
        <v>1.22508</v>
      </c>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0"/>
        <v>0.9</v>
      </c>
      <c r="AQ220" s="251"/>
      <c r="AS220" s="245" t="s">
        <v>392</v>
      </c>
      <c r="AT220" s="245">
        <f t="shared" si="41"/>
        <v>0</v>
      </c>
      <c r="AU220" s="245">
        <f t="shared" si="42"/>
        <v>0.511482254697286</v>
      </c>
      <c r="AV220" s="245">
        <f t="shared" si="43"/>
        <v>0.0587160751565762</v>
      </c>
      <c r="AW220" s="245">
        <f t="shared" si="44"/>
        <v>0</v>
      </c>
      <c r="AX220" s="245">
        <f t="shared" si="45"/>
        <v>0</v>
      </c>
      <c r="AY220" s="245">
        <f t="shared" si="46"/>
        <v>0.429801670146138</v>
      </c>
      <c r="AZ220" s="245">
        <f t="shared" si="47"/>
        <v>0</v>
      </c>
      <c r="BA220" s="245" t="s">
        <v>339</v>
      </c>
      <c r="BB220" s="325"/>
      <c r="BC220" s="245" t="s">
        <v>392</v>
      </c>
      <c r="BD220" s="245">
        <v>5</v>
      </c>
      <c r="BE220" s="245">
        <v>5</v>
      </c>
      <c r="BF220" s="245">
        <v>5</v>
      </c>
      <c r="BG220" s="245">
        <v>5</v>
      </c>
      <c r="BH220" s="245">
        <v>5</v>
      </c>
      <c r="BI220" s="245">
        <v>5</v>
      </c>
      <c r="BJ220" s="245">
        <v>5</v>
      </c>
      <c r="BK220" s="245" t="s">
        <v>339</v>
      </c>
      <c r="BL220" s="245">
        <v>0</v>
      </c>
    </row>
    <row r="221" ht="15.5" spans="1:64">
      <c r="B221" s="253" t="s">
        <v>391</v>
      </c>
      <c r="C221" s="253">
        <f t="shared" si="54"/>
        <v>7.55036263817244</v>
      </c>
      <c r="D221" s="267">
        <f t="shared" si="55"/>
        <v>5.73326293294031</v>
      </c>
      <c r="E221" s="267">
        <f t="shared" si="56"/>
        <v>9.39879167280766</v>
      </c>
      <c r="I221" s="226" t="s">
        <v>288</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8"/>
        <v>7.55036263817244</v>
      </c>
      <c r="T221" s="236">
        <f t="shared" si="49"/>
        <v>4.18384600835176</v>
      </c>
      <c r="U221" s="236">
        <f t="shared" si="50"/>
        <v>3.56556266273643</v>
      </c>
      <c r="W221" s="257"/>
      <c r="X221" s="269"/>
      <c r="Y221" s="269"/>
      <c r="Z221" s="269"/>
      <c r="AA221" s="309" t="str">
        <f t="shared" si="51"/>
        <v>PyroRecy-NMC811</v>
      </c>
      <c r="AB221" s="309" t="s">
        <v>382</v>
      </c>
      <c r="AC221" s="245" t="s">
        <v>500</v>
      </c>
      <c r="AD221" s="335">
        <f t="shared" si="52"/>
        <v>1.1496</v>
      </c>
      <c r="AE221" s="269"/>
      <c r="AF221" s="269"/>
      <c r="AH221" s="196"/>
      <c r="AI221" s="237"/>
      <c r="AQ221" s="251"/>
      <c r="AS221" s="245" t="s">
        <v>393</v>
      </c>
      <c r="AT221" s="245">
        <f t="shared" si="41"/>
        <v>0.0168022638839759</v>
      </c>
      <c r="AU221" s="245">
        <f t="shared" si="42"/>
        <v>0</v>
      </c>
      <c r="AV221" s="245">
        <f t="shared" si="43"/>
        <v>0</v>
      </c>
      <c r="AW221" s="245">
        <f t="shared" si="44"/>
        <v>0</v>
      </c>
      <c r="AX221" s="245">
        <f t="shared" si="45"/>
        <v>0.62398302087018</v>
      </c>
      <c r="AY221" s="245">
        <f t="shared" si="46"/>
        <v>0.167315175097276</v>
      </c>
      <c r="AZ221" s="245">
        <f t="shared" si="47"/>
        <v>0.191899540148567</v>
      </c>
      <c r="BA221" s="245" t="s">
        <v>339</v>
      </c>
      <c r="BB221" s="325"/>
      <c r="BC221" s="245" t="s">
        <v>393</v>
      </c>
      <c r="BD221" s="245">
        <v>5</v>
      </c>
      <c r="BE221" s="245">
        <v>5</v>
      </c>
      <c r="BF221" s="245">
        <v>5</v>
      </c>
      <c r="BG221" s="245">
        <v>5</v>
      </c>
      <c r="BH221" s="245">
        <v>5</v>
      </c>
      <c r="BI221" s="245">
        <v>5</v>
      </c>
      <c r="BJ221" s="245">
        <v>5</v>
      </c>
      <c r="BK221" s="245" t="s">
        <v>339</v>
      </c>
      <c r="BL221" s="245">
        <v>0</v>
      </c>
    </row>
    <row r="222" ht="15.5" spans="1:64">
      <c r="B222" s="253" t="s">
        <v>392</v>
      </c>
      <c r="C222" s="253">
        <f t="shared" si="54"/>
        <v>7.62975445836404</v>
      </c>
      <c r="D222" s="267">
        <f t="shared" si="55"/>
        <v>5.79354797347089</v>
      </c>
      <c r="E222" s="267">
        <f t="shared" si="56"/>
        <v>9.49761967575534</v>
      </c>
      <c r="I222" s="226" t="s">
        <v>294</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8"/>
        <v>7.62975445836404</v>
      </c>
      <c r="T222" s="236">
        <f t="shared" si="49"/>
        <v>4.18384600835176</v>
      </c>
      <c r="U222" s="236">
        <f t="shared" si="50"/>
        <v>3.56496890198968</v>
      </c>
      <c r="W222" s="257"/>
      <c r="X222" s="269"/>
      <c r="Y222" s="269"/>
      <c r="Z222" s="269"/>
      <c r="AA222" s="309" t="str">
        <f t="shared" si="51"/>
        <v>HydRecy-LFP</v>
      </c>
      <c r="AB222" s="309" t="s">
        <v>376</v>
      </c>
      <c r="AC222" s="245" t="s">
        <v>500</v>
      </c>
      <c r="AD222" s="335">
        <f t="shared" si="52"/>
        <v>5.0886</v>
      </c>
      <c r="AE222" s="269"/>
      <c r="AF222" s="269"/>
      <c r="AH222" s="251"/>
      <c r="AI222" s="251"/>
      <c r="AJ222" s="251"/>
      <c r="AK222" s="251"/>
      <c r="AL222" s="251"/>
      <c r="AM222" s="251"/>
      <c r="AN222" s="251"/>
      <c r="AO222" s="251"/>
      <c r="AP222" s="251"/>
      <c r="AQ222" s="251"/>
      <c r="AS222" s="245" t="s">
        <v>394</v>
      </c>
      <c r="AT222" s="245">
        <f t="shared" si="41"/>
        <v>0.0156594191241887</v>
      </c>
      <c r="AU222" s="245">
        <f t="shared" si="42"/>
        <v>0</v>
      </c>
      <c r="AV222" s="245">
        <f t="shared" si="43"/>
        <v>0</v>
      </c>
      <c r="AW222" s="245">
        <f t="shared" si="44"/>
        <v>0.224563292614466</v>
      </c>
      <c r="AX222" s="245">
        <f t="shared" si="45"/>
        <v>0.497703613484828</v>
      </c>
      <c r="AY222" s="245">
        <f t="shared" si="46"/>
        <v>0.127491308529952</v>
      </c>
      <c r="AZ222" s="245">
        <f t="shared" si="47"/>
        <v>0.134582366246565</v>
      </c>
      <c r="BA222" s="245" t="s">
        <v>339</v>
      </c>
      <c r="BB222" s="325"/>
      <c r="BC222" s="245" t="s">
        <v>394</v>
      </c>
      <c r="BD222" s="245">
        <v>5</v>
      </c>
      <c r="BE222" s="245">
        <v>5</v>
      </c>
      <c r="BF222" s="245">
        <v>5</v>
      </c>
      <c r="BG222" s="245">
        <v>5</v>
      </c>
      <c r="BH222" s="245">
        <v>5</v>
      </c>
      <c r="BI222" s="245">
        <v>5</v>
      </c>
      <c r="BJ222" s="245">
        <v>5</v>
      </c>
      <c r="BK222" s="245" t="s">
        <v>339</v>
      </c>
      <c r="BL222" s="245">
        <v>0</v>
      </c>
    </row>
    <row r="223" ht="21" spans="1:64">
      <c r="B223" s="253" t="s">
        <v>393</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09" t="str">
        <f t="shared" si="51"/>
        <v>HydRecy-LMO</v>
      </c>
      <c r="AB223" s="309" t="s">
        <v>377</v>
      </c>
      <c r="AC223" s="245" t="s">
        <v>500</v>
      </c>
      <c r="AD223" s="335">
        <f t="shared" si="52"/>
        <v>6.09218</v>
      </c>
      <c r="AE223" s="269"/>
      <c r="AH223" s="221" t="s">
        <v>503</v>
      </c>
      <c r="AI223" s="221"/>
      <c r="AJ223" s="221"/>
      <c r="AK223" s="221"/>
      <c r="AL223" s="221"/>
      <c r="AM223" s="221"/>
      <c r="AN223" s="221"/>
      <c r="AO223" s="251"/>
      <c r="AP223" s="251"/>
      <c r="AQ223" s="251"/>
      <c r="AS223" s="245" t="s">
        <v>395</v>
      </c>
      <c r="AT223" s="245">
        <f t="shared" si="41"/>
        <v>0.0187706262191706</v>
      </c>
      <c r="AU223" s="245">
        <f t="shared" si="42"/>
        <v>0.134657773452037</v>
      </c>
      <c r="AV223" s="245">
        <f t="shared" si="43"/>
        <v>0.0254487161137034</v>
      </c>
      <c r="AW223" s="245">
        <f t="shared" si="44"/>
        <v>0</v>
      </c>
      <c r="AX223" s="245">
        <f t="shared" si="45"/>
        <v>0.537355181960569</v>
      </c>
      <c r="AY223" s="245">
        <f t="shared" si="46"/>
        <v>0.103790521447178</v>
      </c>
      <c r="AZ223" s="245">
        <f t="shared" si="47"/>
        <v>0.179977180807341</v>
      </c>
      <c r="BA223" s="245" t="s">
        <v>339</v>
      </c>
      <c r="BB223" s="325"/>
      <c r="BC223" s="245" t="s">
        <v>395</v>
      </c>
      <c r="BD223" s="245">
        <v>5</v>
      </c>
      <c r="BE223" s="245">
        <v>5</v>
      </c>
      <c r="BF223" s="245">
        <v>5</v>
      </c>
      <c r="BG223" s="245">
        <v>5</v>
      </c>
      <c r="BH223" s="245">
        <v>5</v>
      </c>
      <c r="BI223" s="245">
        <v>5</v>
      </c>
      <c r="BJ223" s="245">
        <v>5</v>
      </c>
      <c r="BK223" s="245" t="s">
        <v>339</v>
      </c>
      <c r="BL223" s="245">
        <v>0</v>
      </c>
    </row>
    <row r="224" ht="13" spans="1:64">
      <c r="B224" s="253" t="s">
        <v>394</v>
      </c>
      <c r="C224" s="253">
        <f t="shared" ref="C224:C229" si="61">T217</f>
        <v>4.18384600835176</v>
      </c>
      <c r="D224" s="267">
        <f t="shared" ref="D224:D229" si="62">Q217</f>
        <v>3.17694532056006</v>
      </c>
      <c r="E224" s="267">
        <f t="shared" ref="E224:E229" si="63">K217</f>
        <v>5.20810707442889</v>
      </c>
      <c r="I224" s="209"/>
      <c r="J224" s="209"/>
      <c r="K224" s="209"/>
      <c r="L224" s="209"/>
      <c r="M224" s="209"/>
      <c r="N224" s="209"/>
      <c r="O224" s="209"/>
      <c r="P224" s="209"/>
      <c r="Q224" s="209"/>
      <c r="R224" s="209"/>
      <c r="S224" s="209"/>
      <c r="T224" s="209"/>
      <c r="U224" s="209"/>
      <c r="AA224" s="309" t="str">
        <f t="shared" si="51"/>
        <v>HydRecy-NCA</v>
      </c>
      <c r="AB224" s="309" t="s">
        <v>378</v>
      </c>
      <c r="AC224" s="245" t="s">
        <v>500</v>
      </c>
      <c r="AD224" s="335">
        <f t="shared" si="52"/>
        <v>4.89062</v>
      </c>
      <c r="AE224" s="269"/>
      <c r="AH224" s="251"/>
      <c r="AI224" s="271" t="s">
        <v>345</v>
      </c>
      <c r="AJ224" s="271" t="s">
        <v>347</v>
      </c>
      <c r="AK224" s="271" t="s">
        <v>356</v>
      </c>
      <c r="AL224" s="271" t="s">
        <v>358</v>
      </c>
      <c r="AM224" s="271" t="s">
        <v>361</v>
      </c>
      <c r="AN224" s="271" t="s">
        <v>362</v>
      </c>
      <c r="AO224" s="271" t="s">
        <v>504</v>
      </c>
      <c r="AP224" s="251"/>
      <c r="AQ224" s="251"/>
      <c r="AS224" s="245" t="s">
        <v>396</v>
      </c>
      <c r="AT224" s="245">
        <f t="shared" si="41"/>
        <v>0.0233883423212884</v>
      </c>
      <c r="AU224" s="245">
        <f t="shared" si="42"/>
        <v>0.0633973364198327</v>
      </c>
      <c r="AV224" s="245">
        <f t="shared" si="43"/>
        <v>0.063577955611912</v>
      </c>
      <c r="AW224" s="245">
        <f t="shared" si="44"/>
        <v>0.0592430950020089</v>
      </c>
      <c r="AX224" s="245">
        <f t="shared" si="45"/>
        <v>0.515870529214233</v>
      </c>
      <c r="AY224" s="245">
        <f t="shared" si="46"/>
        <v>0.112297218095831</v>
      </c>
      <c r="AZ224" s="245">
        <f t="shared" si="47"/>
        <v>0.162225523334894</v>
      </c>
      <c r="BA224" s="245" t="s">
        <v>339</v>
      </c>
      <c r="BB224" s="325"/>
      <c r="BC224" s="245" t="s">
        <v>396</v>
      </c>
      <c r="BD224" s="245">
        <v>5</v>
      </c>
      <c r="BE224" s="245">
        <v>5</v>
      </c>
      <c r="BF224" s="245">
        <v>5</v>
      </c>
      <c r="BG224" s="245">
        <v>5</v>
      </c>
      <c r="BH224" s="245">
        <v>5</v>
      </c>
      <c r="BI224" s="245">
        <v>5</v>
      </c>
      <c r="BJ224" s="245">
        <v>5</v>
      </c>
      <c r="BK224" s="245" t="s">
        <v>339</v>
      </c>
      <c r="BL224" s="245">
        <v>0</v>
      </c>
    </row>
    <row r="225" ht="13" spans="1:64">
      <c r="B225" s="253" t="s">
        <v>395</v>
      </c>
      <c r="C225" s="253">
        <f t="shared" si="61"/>
        <v>4.18384600835176</v>
      </c>
      <c r="D225" s="267">
        <f t="shared" si="62"/>
        <v>3.17694532056006</v>
      </c>
      <c r="E225" s="267">
        <f t="shared" si="63"/>
        <v>5.20810707442889</v>
      </c>
      <c r="I225" s="209"/>
      <c r="J225" s="209"/>
      <c r="K225" s="209"/>
      <c r="L225" s="209"/>
      <c r="M225" s="209"/>
      <c r="N225" s="209"/>
      <c r="O225" s="209"/>
      <c r="P225" s="209"/>
      <c r="Q225" s="209"/>
      <c r="R225" s="209"/>
      <c r="S225" s="209"/>
      <c r="T225" s="209"/>
      <c r="U225" s="209"/>
      <c r="AA225" s="309" t="str">
        <f t="shared" si="51"/>
        <v>HydRecy-NMC111</v>
      </c>
      <c r="AB225" s="309" t="s">
        <v>379</v>
      </c>
      <c r="AC225" s="245" t="s">
        <v>500</v>
      </c>
      <c r="AD225" s="335">
        <f t="shared" si="52"/>
        <v>5.42578</v>
      </c>
      <c r="AE225" s="269"/>
      <c r="AH225" s="251"/>
      <c r="AI225" s="271">
        <v>0.9</v>
      </c>
      <c r="AJ225" s="271">
        <v>0.98</v>
      </c>
      <c r="AK225" s="271">
        <v>0.98</v>
      </c>
      <c r="AL225" s="271">
        <v>0.98</v>
      </c>
      <c r="AM225" s="271">
        <v>0.9</v>
      </c>
      <c r="AN225" s="271">
        <v>0.9</v>
      </c>
      <c r="AO225" s="271">
        <v>0.9</v>
      </c>
      <c r="AP225" s="251"/>
      <c r="AQ225" s="251"/>
      <c r="AS225" s="245" t="s">
        <v>397</v>
      </c>
      <c r="AT225" s="245">
        <f t="shared" si="41"/>
        <v>0.0229202323482377</v>
      </c>
      <c r="AU225" s="245">
        <f t="shared" si="42"/>
        <v>0.0932239254268519</v>
      </c>
      <c r="AV225" s="245">
        <f t="shared" si="43"/>
        <v>0.0374363795021216</v>
      </c>
      <c r="AW225" s="245">
        <f t="shared" si="44"/>
        <v>0.0523008243044346</v>
      </c>
      <c r="AX225" s="245">
        <f t="shared" si="45"/>
        <v>0.517390539037425</v>
      </c>
      <c r="AY225" s="245">
        <f t="shared" si="46"/>
        <v>0.111399070457244</v>
      </c>
      <c r="AZ225" s="245">
        <f t="shared" si="47"/>
        <v>0.165329028923685</v>
      </c>
      <c r="BA225" s="245" t="s">
        <v>339</v>
      </c>
      <c r="BB225" s="325"/>
      <c r="BC225" s="245" t="s">
        <v>397</v>
      </c>
      <c r="BD225" s="245">
        <v>5</v>
      </c>
      <c r="BE225" s="245">
        <v>5</v>
      </c>
      <c r="BF225" s="245">
        <v>5</v>
      </c>
      <c r="BG225" s="245">
        <v>5</v>
      </c>
      <c r="BH225" s="245">
        <v>5</v>
      </c>
      <c r="BI225" s="245">
        <v>5</v>
      </c>
      <c r="BJ225" s="245">
        <v>5</v>
      </c>
      <c r="BK225" s="245" t="s">
        <v>339</v>
      </c>
      <c r="BL225" s="245">
        <v>0</v>
      </c>
    </row>
    <row r="226" ht="13" spans="1:64">
      <c r="B226" s="253" t="s">
        <v>396</v>
      </c>
      <c r="C226" s="253">
        <f t="shared" si="61"/>
        <v>4.18384600835176</v>
      </c>
      <c r="D226" s="267">
        <f t="shared" si="62"/>
        <v>3.17694532056006</v>
      </c>
      <c r="E226" s="267">
        <f t="shared" si="63"/>
        <v>5.20810707442889</v>
      </c>
      <c r="I226" s="209"/>
      <c r="J226" s="209"/>
      <c r="K226" s="209"/>
      <c r="L226" s="209"/>
      <c r="M226" s="209"/>
      <c r="N226" s="209"/>
      <c r="O226" s="209"/>
      <c r="P226" s="209"/>
      <c r="Q226" s="209"/>
      <c r="R226" s="209"/>
      <c r="S226" s="209"/>
      <c r="T226" s="209"/>
      <c r="U226" s="209"/>
      <c r="AA226" s="309" t="str">
        <f t="shared" si="51"/>
        <v>HydRecy-NMC532</v>
      </c>
      <c r="AB226" s="309" t="s">
        <v>380</v>
      </c>
      <c r="AC226" s="245" t="s">
        <v>500</v>
      </c>
      <c r="AD226" s="335">
        <f t="shared" si="52"/>
        <v>5.34026</v>
      </c>
      <c r="AE226" s="269"/>
      <c r="AH226" s="251"/>
      <c r="AI226" s="271">
        <f t="shared" ref="AI226:AO226" si="64">AI225</f>
        <v>0.9</v>
      </c>
      <c r="AJ226" s="271">
        <f t="shared" si="64"/>
        <v>0.98</v>
      </c>
      <c r="AK226" s="271">
        <f t="shared" si="64"/>
        <v>0.98</v>
      </c>
      <c r="AL226" s="271">
        <f t="shared" si="64"/>
        <v>0.98</v>
      </c>
      <c r="AM226" s="271">
        <f t="shared" si="64"/>
        <v>0.9</v>
      </c>
      <c r="AN226" s="271">
        <f t="shared" si="64"/>
        <v>0.9</v>
      </c>
      <c r="AO226" s="271">
        <f t="shared" si="64"/>
        <v>0.9</v>
      </c>
      <c r="AP226" s="251"/>
      <c r="AQ226" s="251"/>
      <c r="AS226" s="245" t="s">
        <v>398</v>
      </c>
      <c r="AT226" s="245">
        <f t="shared" si="41"/>
        <v>0.0208746928746929</v>
      </c>
      <c r="AU226" s="245">
        <f t="shared" si="42"/>
        <v>0.102285995085995</v>
      </c>
      <c r="AV226" s="245">
        <f t="shared" si="43"/>
        <v>0.0342879606879607</v>
      </c>
      <c r="AW226" s="245">
        <f t="shared" si="44"/>
        <v>0.0319764127764128</v>
      </c>
      <c r="AX226" s="245">
        <f t="shared" si="45"/>
        <v>0.533719901719902</v>
      </c>
      <c r="AY226" s="245">
        <f t="shared" si="46"/>
        <v>0.107027027027027</v>
      </c>
      <c r="AZ226" s="245">
        <f t="shared" si="47"/>
        <v>0.16982800982801</v>
      </c>
      <c r="BA226" s="245" t="s">
        <v>339</v>
      </c>
      <c r="BB226" s="325"/>
      <c r="BC226" s="245" t="s">
        <v>398</v>
      </c>
      <c r="BD226" s="245">
        <v>5</v>
      </c>
      <c r="BE226" s="245">
        <v>5</v>
      </c>
      <c r="BF226" s="245">
        <v>5</v>
      </c>
      <c r="BG226" s="245">
        <v>5</v>
      </c>
      <c r="BH226" s="245">
        <v>5</v>
      </c>
      <c r="BI226" s="245">
        <v>5</v>
      </c>
      <c r="BJ226" s="245">
        <v>5</v>
      </c>
      <c r="BK226" s="245" t="s">
        <v>339</v>
      </c>
      <c r="BL226" s="245">
        <v>0</v>
      </c>
    </row>
    <row r="227" ht="13" spans="1:64">
      <c r="B227" s="253" t="s">
        <v>397</v>
      </c>
      <c r="C227" s="253">
        <f t="shared" si="61"/>
        <v>4.18384600835176</v>
      </c>
      <c r="D227" s="267">
        <f t="shared" si="62"/>
        <v>3.17694532056006</v>
      </c>
      <c r="E227" s="267">
        <f t="shared" si="63"/>
        <v>5.20810707442889</v>
      </c>
      <c r="I227" s="209"/>
      <c r="J227" s="209"/>
      <c r="K227" s="209"/>
      <c r="L227" s="209"/>
      <c r="M227" s="209"/>
      <c r="N227" s="209"/>
      <c r="O227" s="209"/>
      <c r="P227" s="209"/>
      <c r="Q227" s="209"/>
      <c r="R227" s="209"/>
      <c r="S227" s="209"/>
      <c r="T227" s="209"/>
      <c r="U227" s="209"/>
      <c r="AA227" s="309" t="str">
        <f t="shared" si="51"/>
        <v>HydRecy-NMC622</v>
      </c>
      <c r="AB227" s="309" t="s">
        <v>381</v>
      </c>
      <c r="AC227" s="245" t="s">
        <v>500</v>
      </c>
      <c r="AD227" s="335">
        <f t="shared" si="52"/>
        <v>5.0875</v>
      </c>
      <c r="AE227" s="269"/>
      <c r="AH227" s="251"/>
      <c r="AI227" s="271">
        <f t="shared" ref="AI227:AO227" si="65">AI226</f>
        <v>0.9</v>
      </c>
      <c r="AJ227" s="271">
        <f t="shared" si="65"/>
        <v>0.98</v>
      </c>
      <c r="AK227" s="271">
        <f t="shared" si="65"/>
        <v>0.98</v>
      </c>
      <c r="AL227" s="271">
        <f t="shared" si="65"/>
        <v>0.98</v>
      </c>
      <c r="AM227" s="271">
        <f t="shared" si="65"/>
        <v>0.9</v>
      </c>
      <c r="AN227" s="271">
        <f t="shared" si="65"/>
        <v>0.9</v>
      </c>
      <c r="AO227" s="271">
        <f t="shared" si="65"/>
        <v>0.9</v>
      </c>
      <c r="AP227" s="251"/>
      <c r="AQ227" s="251"/>
      <c r="AS227" s="245" t="s">
        <v>407</v>
      </c>
      <c r="AT227" s="245">
        <f t="shared" si="41"/>
        <v>0.0187188019966722</v>
      </c>
      <c r="AU227" s="245">
        <f t="shared" si="42"/>
        <v>0.122296173044925</v>
      </c>
      <c r="AV227" s="245">
        <f t="shared" si="43"/>
        <v>0.0152870216306156</v>
      </c>
      <c r="AW227" s="245">
        <f t="shared" si="44"/>
        <v>0.0142678868552413</v>
      </c>
      <c r="AX227" s="245">
        <f t="shared" si="45"/>
        <v>0.546776206322795</v>
      </c>
      <c r="AY227" s="245">
        <f t="shared" si="46"/>
        <v>0.10276622296173</v>
      </c>
      <c r="AZ227" s="245">
        <f t="shared" si="47"/>
        <v>0.17988768718802</v>
      </c>
      <c r="BA227" s="245" t="s">
        <v>339</v>
      </c>
      <c r="BB227" s="325"/>
      <c r="BC227" s="245" t="s">
        <v>407</v>
      </c>
      <c r="BD227" s="245">
        <v>5</v>
      </c>
      <c r="BE227" s="245">
        <v>5</v>
      </c>
      <c r="BF227" s="245">
        <v>5</v>
      </c>
      <c r="BG227" s="245">
        <v>5</v>
      </c>
      <c r="BH227" s="245">
        <v>5</v>
      </c>
      <c r="BI227" s="245">
        <v>5</v>
      </c>
      <c r="BJ227" s="245">
        <v>5</v>
      </c>
      <c r="BK227" s="245" t="s">
        <v>339</v>
      </c>
      <c r="BL227" s="245">
        <v>0</v>
      </c>
    </row>
    <row r="228" ht="13" spans="1:64">
      <c r="B228" s="253" t="s">
        <v>398</v>
      </c>
      <c r="C228" s="253">
        <f t="shared" si="61"/>
        <v>4.18384600835176</v>
      </c>
      <c r="D228" s="267">
        <f t="shared" si="62"/>
        <v>3.17694532056006</v>
      </c>
      <c r="E228" s="267">
        <f t="shared" si="63"/>
        <v>5.20810707442889</v>
      </c>
      <c r="I228" s="209"/>
      <c r="J228" s="209"/>
      <c r="K228" s="209"/>
      <c r="L228" s="209"/>
      <c r="M228" s="209"/>
      <c r="N228" s="209"/>
      <c r="O228" s="209"/>
      <c r="P228" s="209"/>
      <c r="Q228" s="209"/>
      <c r="R228" s="209"/>
      <c r="S228" s="209"/>
      <c r="T228" s="209"/>
      <c r="U228" s="209"/>
      <c r="AA228" s="309" t="str">
        <f t="shared" si="51"/>
        <v>HydRecy-NMC811</v>
      </c>
      <c r="AB228" s="309" t="s">
        <v>382</v>
      </c>
      <c r="AC228" s="245" t="s">
        <v>500</v>
      </c>
      <c r="AD228" s="335">
        <f t="shared" si="52"/>
        <v>4.808</v>
      </c>
      <c r="AE228" s="269"/>
      <c r="AH228" s="251"/>
      <c r="AI228" s="271">
        <f t="shared" ref="AI228:AO228" si="66">AI227</f>
        <v>0.9</v>
      </c>
      <c r="AJ228" s="271">
        <f t="shared" si="66"/>
        <v>0.98</v>
      </c>
      <c r="AK228" s="271">
        <f t="shared" si="66"/>
        <v>0.98</v>
      </c>
      <c r="AL228" s="271">
        <f t="shared" si="66"/>
        <v>0.98</v>
      </c>
      <c r="AM228" s="271">
        <f t="shared" si="66"/>
        <v>0.9</v>
      </c>
      <c r="AN228" s="271">
        <f t="shared" si="66"/>
        <v>0.9</v>
      </c>
      <c r="AO228" s="271">
        <f t="shared" si="66"/>
        <v>0.9</v>
      </c>
      <c r="AP228" s="251"/>
      <c r="AQ228" s="251"/>
      <c r="AS228" s="245" t="s">
        <v>408</v>
      </c>
      <c r="AT228" s="245">
        <f t="shared" si="41"/>
        <v>0.0168022638839759</v>
      </c>
      <c r="AU228" s="245">
        <f t="shared" si="42"/>
        <v>0</v>
      </c>
      <c r="AV228" s="245">
        <f t="shared" si="43"/>
        <v>0</v>
      </c>
      <c r="AW228" s="245">
        <f t="shared" si="44"/>
        <v>0</v>
      </c>
      <c r="AX228" s="245">
        <f t="shared" si="45"/>
        <v>0.62398302087018</v>
      </c>
      <c r="AY228" s="245">
        <f t="shared" si="46"/>
        <v>0.167315175097276</v>
      </c>
      <c r="AZ228" s="245">
        <f t="shared" si="47"/>
        <v>0.191899540148567</v>
      </c>
      <c r="BA228" s="245" t="s">
        <v>339</v>
      </c>
      <c r="BB228" s="325"/>
      <c r="BC228" s="245" t="s">
        <v>408</v>
      </c>
      <c r="BD228" s="245">
        <v>5</v>
      </c>
      <c r="BE228" s="245">
        <v>5</v>
      </c>
      <c r="BF228" s="245">
        <v>5</v>
      </c>
      <c r="BG228" s="245">
        <v>5</v>
      </c>
      <c r="BH228" s="245">
        <v>5</v>
      </c>
      <c r="BI228" s="245">
        <v>5</v>
      </c>
      <c r="BJ228" s="245">
        <v>5</v>
      </c>
      <c r="BK228" s="245" t="s">
        <v>339</v>
      </c>
      <c r="BL228" s="245">
        <v>0</v>
      </c>
    </row>
    <row r="229" ht="13" spans="1:64">
      <c r="B229" s="253" t="s">
        <v>407</v>
      </c>
      <c r="C229" s="253">
        <f t="shared" si="61"/>
        <v>4.18384600835176</v>
      </c>
      <c r="D229" s="267">
        <f t="shared" si="62"/>
        <v>3.17694532056006</v>
      </c>
      <c r="E229" s="267">
        <f t="shared" si="63"/>
        <v>5.20810707442889</v>
      </c>
      <c r="I229" s="209"/>
      <c r="J229" s="209"/>
      <c r="K229" s="209"/>
      <c r="L229" s="209"/>
      <c r="M229" s="209"/>
      <c r="N229" s="209"/>
      <c r="O229" s="209"/>
      <c r="P229" s="209"/>
      <c r="Q229" s="209"/>
      <c r="R229" s="209"/>
      <c r="S229" s="209"/>
      <c r="T229" s="209"/>
      <c r="U229" s="209"/>
      <c r="AA229" s="309" t="str">
        <f t="shared" si="51"/>
        <v>DirRecy-LFP</v>
      </c>
      <c r="AB229" s="309" t="s">
        <v>376</v>
      </c>
      <c r="AC229" s="245" t="s">
        <v>500</v>
      </c>
      <c r="AD229" s="335">
        <f t="shared" si="52"/>
        <v>5.0886</v>
      </c>
      <c r="AE229" s="269"/>
      <c r="AH229" s="251"/>
      <c r="AI229" s="271">
        <f t="shared" ref="AI229:AO229" si="67">AI228</f>
        <v>0.9</v>
      </c>
      <c r="AJ229" s="271">
        <f t="shared" si="67"/>
        <v>0.98</v>
      </c>
      <c r="AK229" s="271">
        <f t="shared" si="67"/>
        <v>0.98</v>
      </c>
      <c r="AL229" s="271">
        <f t="shared" si="67"/>
        <v>0.98</v>
      </c>
      <c r="AM229" s="271">
        <f t="shared" si="67"/>
        <v>0.9</v>
      </c>
      <c r="AN229" s="271">
        <f t="shared" si="67"/>
        <v>0.9</v>
      </c>
      <c r="AO229" s="271">
        <f t="shared" si="67"/>
        <v>0.9</v>
      </c>
      <c r="AP229" s="251"/>
      <c r="AQ229" s="251"/>
      <c r="AS229" s="245" t="s">
        <v>409</v>
      </c>
      <c r="AT229" s="245">
        <f t="shared" si="41"/>
        <v>0.0159518434913469</v>
      </c>
      <c r="AU229" s="245">
        <f t="shared" si="42"/>
        <v>0</v>
      </c>
      <c r="AV229" s="245">
        <f t="shared" si="43"/>
        <v>0</v>
      </c>
      <c r="AW229" s="245">
        <f t="shared" si="44"/>
        <v>0.210082768999248</v>
      </c>
      <c r="AX229" s="245">
        <f t="shared" si="45"/>
        <v>0.506997742663657</v>
      </c>
      <c r="AY229" s="245">
        <f t="shared" si="46"/>
        <v>0.12987208427389</v>
      </c>
      <c r="AZ229" s="245">
        <f t="shared" si="47"/>
        <v>0.137095560571859</v>
      </c>
      <c r="BA229" s="245" t="s">
        <v>339</v>
      </c>
      <c r="BB229" s="325"/>
      <c r="BC229" s="245" t="s">
        <v>409</v>
      </c>
      <c r="BD229" s="245">
        <v>5</v>
      </c>
      <c r="BE229" s="245">
        <v>5</v>
      </c>
      <c r="BF229" s="245">
        <v>5</v>
      </c>
      <c r="BG229" s="245">
        <v>5</v>
      </c>
      <c r="BH229" s="245">
        <v>5</v>
      </c>
      <c r="BI229" s="245">
        <v>5</v>
      </c>
      <c r="BJ229" s="245">
        <v>5</v>
      </c>
      <c r="BK229" s="245" t="s">
        <v>339</v>
      </c>
      <c r="BL229" s="245">
        <v>0</v>
      </c>
    </row>
    <row r="230" ht="23" spans="1:64">
      <c r="A230" s="272"/>
      <c r="B230" s="253" t="s">
        <v>408</v>
      </c>
      <c r="C230" s="253">
        <f>U216</f>
        <v>3.56556266273643</v>
      </c>
      <c r="D230" s="267">
        <f>R216</f>
        <v>2.70746042741341</v>
      </c>
      <c r="E230" s="267">
        <f>L216</f>
        <v>4.4384597641857</v>
      </c>
      <c r="I230" s="273" t="s">
        <v>505</v>
      </c>
      <c r="J230" s="240" t="s">
        <v>506</v>
      </c>
      <c r="K230" s="240"/>
      <c r="L230" s="240"/>
      <c r="M230" s="240"/>
      <c r="N230" s="240"/>
      <c r="O230" s="240"/>
      <c r="P230" s="240"/>
      <c r="Q230" s="240"/>
      <c r="R230" s="240"/>
      <c r="S230" s="209"/>
      <c r="T230" s="209"/>
      <c r="U230" s="209"/>
      <c r="W230" s="274"/>
      <c r="X230" s="274"/>
      <c r="Y230" s="274"/>
      <c r="Z230" s="274"/>
      <c r="AA230" s="309" t="str">
        <f t="shared" si="51"/>
        <v>DirRecy-LMO</v>
      </c>
      <c r="AB230" s="309" t="s">
        <v>377</v>
      </c>
      <c r="AC230" s="245" t="s">
        <v>500</v>
      </c>
      <c r="AD230" s="335">
        <f t="shared" si="52"/>
        <v>5.9805</v>
      </c>
      <c r="AE230" s="269"/>
      <c r="AH230" s="251"/>
      <c r="AI230" s="271">
        <f t="shared" ref="AI230:AO230" si="68">AI229</f>
        <v>0.9</v>
      </c>
      <c r="AJ230" s="271">
        <f t="shared" si="68"/>
        <v>0.98</v>
      </c>
      <c r="AK230" s="271">
        <f t="shared" si="68"/>
        <v>0.98</v>
      </c>
      <c r="AL230" s="271">
        <f t="shared" si="68"/>
        <v>0.98</v>
      </c>
      <c r="AM230" s="271">
        <f t="shared" si="68"/>
        <v>0.9</v>
      </c>
      <c r="AN230" s="271">
        <f t="shared" si="68"/>
        <v>0.9</v>
      </c>
      <c r="AO230" s="271">
        <f t="shared" si="68"/>
        <v>0.9</v>
      </c>
      <c r="AP230" s="251"/>
      <c r="AQ230" s="251"/>
      <c r="AS230" s="309" t="s">
        <v>410</v>
      </c>
      <c r="AT230" s="309">
        <f t="shared" si="41"/>
        <v>0.0190192056684691</v>
      </c>
      <c r="AU230" s="309">
        <f t="shared" si="42"/>
        <v>0.125303002051091</v>
      </c>
      <c r="AV230" s="309">
        <f t="shared" si="43"/>
        <v>0.0236807756852508</v>
      </c>
      <c r="AW230" s="309">
        <f t="shared" si="44"/>
        <v>0</v>
      </c>
      <c r="AX230" s="309">
        <f t="shared" si="45"/>
        <v>0.544471377960097</v>
      </c>
      <c r="AY230" s="309">
        <f t="shared" si="46"/>
        <v>0.105165019578594</v>
      </c>
      <c r="AZ230" s="309">
        <f t="shared" si="47"/>
        <v>0.182360619056498</v>
      </c>
      <c r="BA230" s="245" t="s">
        <v>339</v>
      </c>
      <c r="BB230" s="336"/>
      <c r="BC230" s="309" t="s">
        <v>410</v>
      </c>
      <c r="BD230" s="245">
        <v>5</v>
      </c>
      <c r="BE230" s="245">
        <v>5</v>
      </c>
      <c r="BF230" s="245">
        <v>5</v>
      </c>
      <c r="BG230" s="245">
        <v>5</v>
      </c>
      <c r="BH230" s="245">
        <v>5</v>
      </c>
      <c r="BI230" s="245">
        <v>5</v>
      </c>
      <c r="BJ230" s="245">
        <v>5</v>
      </c>
      <c r="BK230" s="245" t="s">
        <v>339</v>
      </c>
      <c r="BL230" s="245">
        <v>0</v>
      </c>
    </row>
    <row r="231" ht="25" spans="1:64">
      <c r="A231" s="239"/>
      <c r="B231" s="253" t="s">
        <v>409</v>
      </c>
      <c r="C231" s="253">
        <f t="shared" ref="C231:C236" si="69">U217</f>
        <v>3.60087708179809</v>
      </c>
      <c r="D231" s="267">
        <f t="shared" ref="D231:D236" si="70">R217</f>
        <v>2.73427597641857</v>
      </c>
      <c r="E231" s="267">
        <f t="shared" ref="E231:E236" si="71">L217</f>
        <v>4.48241960206338</v>
      </c>
      <c r="I231" s="209" t="s">
        <v>507</v>
      </c>
      <c r="J231" s="209"/>
      <c r="K231" s="209"/>
      <c r="L231" s="209"/>
      <c r="M231" s="209"/>
      <c r="N231" s="209"/>
      <c r="O231" s="209"/>
      <c r="P231" s="209"/>
      <c r="Q231" s="209"/>
      <c r="R231" s="241" t="s">
        <v>447</v>
      </c>
      <c r="S231" s="209"/>
      <c r="T231" s="209"/>
      <c r="U231" s="209"/>
      <c r="AA231" s="309" t="str">
        <f t="shared" si="51"/>
        <v>DirRecy-NCA</v>
      </c>
      <c r="AB231" s="309" t="s">
        <v>378</v>
      </c>
      <c r="AC231" s="245" t="s">
        <v>500</v>
      </c>
      <c r="AD231" s="335">
        <f t="shared" si="52"/>
        <v>4.8267</v>
      </c>
      <c r="AE231" s="269"/>
      <c r="AH231" s="251"/>
      <c r="AI231" s="271">
        <f t="shared" ref="AI231:AO231" si="72">AI230</f>
        <v>0.9</v>
      </c>
      <c r="AJ231" s="271">
        <f t="shared" si="72"/>
        <v>0.98</v>
      </c>
      <c r="AK231" s="271">
        <f t="shared" si="72"/>
        <v>0.98</v>
      </c>
      <c r="AL231" s="271">
        <f t="shared" si="72"/>
        <v>0.98</v>
      </c>
      <c r="AM231" s="271">
        <f t="shared" si="72"/>
        <v>0.9</v>
      </c>
      <c r="AN231" s="271">
        <f t="shared" si="72"/>
        <v>0.9</v>
      </c>
      <c r="AO231" s="271">
        <f t="shared" si="72"/>
        <v>0.9</v>
      </c>
      <c r="AP231" s="251"/>
      <c r="AQ231" s="251"/>
      <c r="AS231" s="309" t="s">
        <v>411</v>
      </c>
      <c r="AT231" s="309">
        <f t="shared" si="41"/>
        <v>0.0237493683678626</v>
      </c>
      <c r="AU231" s="309">
        <f t="shared" si="42"/>
        <v>0.0591207680646791</v>
      </c>
      <c r="AV231" s="309">
        <f t="shared" si="43"/>
        <v>0.0592892033013306</v>
      </c>
      <c r="AW231" s="309">
        <f t="shared" si="44"/>
        <v>0.0552467576216945</v>
      </c>
      <c r="AX231" s="309">
        <f t="shared" si="45"/>
        <v>0.523833585986188</v>
      </c>
      <c r="AY231" s="309">
        <f t="shared" si="46"/>
        <v>0.114030655213071</v>
      </c>
      <c r="AZ231" s="309">
        <f t="shared" si="47"/>
        <v>0.164729661445174</v>
      </c>
      <c r="BA231" s="245" t="s">
        <v>339</v>
      </c>
      <c r="BB231" s="336"/>
      <c r="BC231" s="309" t="s">
        <v>411</v>
      </c>
      <c r="BD231" s="245">
        <v>5</v>
      </c>
      <c r="BE231" s="245">
        <v>5</v>
      </c>
      <c r="BF231" s="245">
        <v>5</v>
      </c>
      <c r="BG231" s="245">
        <v>5</v>
      </c>
      <c r="BH231" s="245">
        <v>5</v>
      </c>
      <c r="BI231" s="245">
        <v>5</v>
      </c>
      <c r="BJ231" s="245">
        <v>5</v>
      </c>
      <c r="BK231" s="245" t="s">
        <v>339</v>
      </c>
      <c r="BL231" s="245">
        <v>0</v>
      </c>
    </row>
    <row r="232" ht="13" spans="1:64">
      <c r="B232" s="253" t="s">
        <v>410</v>
      </c>
      <c r="C232" s="253">
        <f t="shared" si="69"/>
        <v>3.56556266273643</v>
      </c>
      <c r="D232" s="267">
        <f t="shared" si="70"/>
        <v>2.70746042741341</v>
      </c>
      <c r="E232" s="267">
        <f t="shared" si="71"/>
        <v>4.4384597641857</v>
      </c>
      <c r="I232" s="209" t="s">
        <v>258</v>
      </c>
      <c r="J232" s="209" t="s">
        <v>186</v>
      </c>
      <c r="K232" s="209" t="s">
        <v>187</v>
      </c>
      <c r="L232" s="209" t="s">
        <v>188</v>
      </c>
      <c r="M232" s="209" t="s">
        <v>189</v>
      </c>
      <c r="N232" s="209" t="s">
        <v>190</v>
      </c>
      <c r="O232" s="209" t="s">
        <v>191</v>
      </c>
      <c r="P232" s="209" t="s">
        <v>192</v>
      </c>
      <c r="Q232" s="209"/>
      <c r="R232" s="241"/>
      <c r="S232" s="209"/>
      <c r="T232" s="209"/>
      <c r="U232" s="209"/>
      <c r="AA232" s="309" t="str">
        <f t="shared" si="51"/>
        <v>DirRecy-NMC111</v>
      </c>
      <c r="AB232" s="309" t="s">
        <v>379</v>
      </c>
      <c r="AC232" s="245" t="s">
        <v>500</v>
      </c>
      <c r="AD232" s="335">
        <f t="shared" si="52"/>
        <v>5.3433</v>
      </c>
      <c r="AE232" s="269"/>
      <c r="AH232" s="251"/>
      <c r="AI232" s="251"/>
      <c r="AJ232" s="251"/>
      <c r="AK232" s="251"/>
      <c r="AL232" s="251"/>
      <c r="AM232" s="251"/>
      <c r="AN232" s="251"/>
      <c r="AO232" s="251"/>
      <c r="AP232" s="251"/>
      <c r="AQ232" s="251"/>
      <c r="AS232" s="309" t="s">
        <v>412</v>
      </c>
      <c r="AT232" s="309">
        <f t="shared" si="41"/>
        <v>0.023267750213858</v>
      </c>
      <c r="AU232" s="309">
        <f t="shared" si="42"/>
        <v>0.0869118905047049</v>
      </c>
      <c r="AV232" s="309">
        <f t="shared" si="43"/>
        <v>0.034901625320787</v>
      </c>
      <c r="AW232" s="309">
        <f t="shared" si="44"/>
        <v>0.048759623609923</v>
      </c>
      <c r="AX232" s="309">
        <f t="shared" si="45"/>
        <v>0.525235243798118</v>
      </c>
      <c r="AY232" s="309">
        <f t="shared" si="46"/>
        <v>0.113088109495295</v>
      </c>
      <c r="AZ232" s="309">
        <f t="shared" si="47"/>
        <v>0.167835757057314</v>
      </c>
      <c r="BA232" s="245" t="s">
        <v>339</v>
      </c>
      <c r="BB232" s="336"/>
      <c r="BC232" s="309" t="s">
        <v>412</v>
      </c>
      <c r="BD232" s="245">
        <v>5</v>
      </c>
      <c r="BE232" s="245">
        <v>5</v>
      </c>
      <c r="BF232" s="245">
        <v>5</v>
      </c>
      <c r="BG232" s="245">
        <v>5</v>
      </c>
      <c r="BH232" s="245">
        <v>5</v>
      </c>
      <c r="BI232" s="245">
        <v>5</v>
      </c>
      <c r="BJ232" s="245">
        <v>5</v>
      </c>
      <c r="BK232" s="245" t="s">
        <v>339</v>
      </c>
      <c r="BL232" s="245">
        <v>0</v>
      </c>
    </row>
    <row r="233" ht="13" spans="1:64">
      <c r="B233" s="253" t="s">
        <v>411</v>
      </c>
      <c r="C233" s="253">
        <f t="shared" si="69"/>
        <v>3.56645369688037</v>
      </c>
      <c r="D233" s="267">
        <f t="shared" si="70"/>
        <v>2.70813706705969</v>
      </c>
      <c r="E233" s="267">
        <f t="shared" si="71"/>
        <v>4.43956890198968</v>
      </c>
      <c r="I233" s="209" t="s">
        <v>437</v>
      </c>
      <c r="J233" s="209">
        <v>0.095</v>
      </c>
      <c r="K233" s="209">
        <v>0</v>
      </c>
      <c r="L233" s="209">
        <v>0</v>
      </c>
      <c r="M233" s="209">
        <v>0</v>
      </c>
      <c r="N233" s="209">
        <v>3.528</v>
      </c>
      <c r="O233" s="209">
        <v>0.946</v>
      </c>
      <c r="P233" s="209">
        <v>1.085</v>
      </c>
      <c r="Q233" s="209"/>
      <c r="R233" s="241">
        <f t="shared" ref="R233:R239" si="73">SUM(J233:P233)</f>
        <v>5.654</v>
      </c>
      <c r="S233" s="209"/>
      <c r="T233" s="209"/>
      <c r="U233" s="209"/>
      <c r="AA233" s="309" t="str">
        <f t="shared" si="51"/>
        <v>DirRecy-NMC532</v>
      </c>
      <c r="AB233" s="309" t="s">
        <v>380</v>
      </c>
      <c r="AC233" s="245" t="s">
        <v>500</v>
      </c>
      <c r="AD233" s="335">
        <f t="shared" si="52"/>
        <v>5.2605</v>
      </c>
      <c r="AE233" s="269"/>
      <c r="AH233" s="251"/>
      <c r="AI233" s="251"/>
      <c r="AJ233" s="251"/>
      <c r="AK233" s="251"/>
      <c r="AL233" s="251"/>
      <c r="AM233" s="251"/>
      <c r="AN233" s="251"/>
      <c r="AO233" s="251"/>
      <c r="AP233" s="251"/>
      <c r="AQ233" s="251"/>
      <c r="AS233" s="309" t="s">
        <v>413</v>
      </c>
      <c r="AT233" s="309">
        <f t="shared" si="41"/>
        <v>0.0211659192825112</v>
      </c>
      <c r="AU233" s="309">
        <f t="shared" si="42"/>
        <v>0.0952466367713004</v>
      </c>
      <c r="AV233" s="309">
        <f t="shared" si="43"/>
        <v>0.0319282511210762</v>
      </c>
      <c r="AW233" s="309">
        <f t="shared" si="44"/>
        <v>0.0297757847533632</v>
      </c>
      <c r="AX233" s="309">
        <f t="shared" si="45"/>
        <v>0.541165919282511</v>
      </c>
      <c r="AY233" s="309">
        <f t="shared" si="46"/>
        <v>0.108520179372197</v>
      </c>
      <c r="AZ233" s="309">
        <f t="shared" si="47"/>
        <v>0.17219730941704</v>
      </c>
      <c r="BA233" s="245" t="s">
        <v>339</v>
      </c>
      <c r="BB233" s="336"/>
      <c r="BC233" s="309" t="s">
        <v>413</v>
      </c>
      <c r="BD233" s="245">
        <v>5</v>
      </c>
      <c r="BE233" s="245">
        <v>5</v>
      </c>
      <c r="BF233" s="245">
        <v>5</v>
      </c>
      <c r="BG233" s="245">
        <v>5</v>
      </c>
      <c r="BH233" s="245">
        <v>5</v>
      </c>
      <c r="BI233" s="245">
        <v>5</v>
      </c>
      <c r="BJ233" s="245">
        <v>5</v>
      </c>
      <c r="BK233" s="245" t="s">
        <v>339</v>
      </c>
      <c r="BL233" s="245">
        <v>0</v>
      </c>
    </row>
    <row r="234" ht="21" spans="1:64">
      <c r="B234" s="253" t="s">
        <v>412</v>
      </c>
      <c r="C234" s="253">
        <f t="shared" si="69"/>
        <v>3.56585961680177</v>
      </c>
      <c r="D234" s="267">
        <f t="shared" si="70"/>
        <v>2.70768592483419</v>
      </c>
      <c r="E234" s="267">
        <f t="shared" si="71"/>
        <v>4.43882940309506</v>
      </c>
      <c r="I234" s="209" t="s">
        <v>439</v>
      </c>
      <c r="J234" s="209">
        <v>0.106</v>
      </c>
      <c r="K234" s="209">
        <v>0</v>
      </c>
      <c r="L234" s="209">
        <v>0</v>
      </c>
      <c r="M234" s="209">
        <v>1.396</v>
      </c>
      <c r="N234" s="209">
        <v>3.369</v>
      </c>
      <c r="O234" s="209">
        <v>0.863</v>
      </c>
      <c r="P234" s="209">
        <v>0.911</v>
      </c>
      <c r="Q234" s="209"/>
      <c r="R234" s="241">
        <f t="shared" si="73"/>
        <v>6.645</v>
      </c>
      <c r="S234" s="209"/>
      <c r="T234" s="209"/>
      <c r="U234" s="209"/>
      <c r="AA234" s="309" t="str">
        <f t="shared" si="51"/>
        <v>DirRecy-NMC622</v>
      </c>
      <c r="AB234" s="309" t="s">
        <v>381</v>
      </c>
      <c r="AC234" s="245" t="s">
        <v>500</v>
      </c>
      <c r="AD234" s="335">
        <f t="shared" si="52"/>
        <v>5.0175</v>
      </c>
      <c r="AE234" s="269"/>
      <c r="AH234" s="221" t="s">
        <v>508</v>
      </c>
      <c r="AI234" s="221"/>
      <c r="AJ234" s="221"/>
      <c r="AK234" s="221"/>
      <c r="AL234" s="221"/>
      <c r="AM234" s="221"/>
      <c r="AN234" s="221"/>
      <c r="AS234" s="309" t="s">
        <v>414</v>
      </c>
      <c r="AT234" s="309">
        <f t="shared" si="41"/>
        <v>0.0189537528430629</v>
      </c>
      <c r="AU234" s="309">
        <f t="shared" si="42"/>
        <v>0.113722517058378</v>
      </c>
      <c r="AV234" s="309">
        <f t="shared" si="43"/>
        <v>0.0142153146322972</v>
      </c>
      <c r="AW234" s="309">
        <f t="shared" si="44"/>
        <v>0.013267626990144</v>
      </c>
      <c r="AX234" s="309">
        <f t="shared" si="45"/>
        <v>0.553639120545868</v>
      </c>
      <c r="AY234" s="309">
        <f t="shared" si="46"/>
        <v>0.104056103108415</v>
      </c>
      <c r="AZ234" s="309">
        <f t="shared" si="47"/>
        <v>0.182145564821835</v>
      </c>
      <c r="BA234" s="245" t="s">
        <v>339</v>
      </c>
      <c r="BB234" s="336"/>
      <c r="BC234" s="309" t="s">
        <v>414</v>
      </c>
      <c r="BD234" s="245">
        <v>5</v>
      </c>
      <c r="BE234" s="245">
        <v>5</v>
      </c>
      <c r="BF234" s="245">
        <v>5</v>
      </c>
      <c r="BG234" s="245">
        <v>5</v>
      </c>
      <c r="BH234" s="245">
        <v>5</v>
      </c>
      <c r="BI234" s="245">
        <v>5</v>
      </c>
      <c r="BJ234" s="245">
        <v>5</v>
      </c>
      <c r="BK234" s="245" t="s">
        <v>339</v>
      </c>
      <c r="BL234" s="245">
        <v>0</v>
      </c>
    </row>
    <row r="235" ht="13" spans="1:64">
      <c r="B235" s="253" t="s">
        <v>413</v>
      </c>
      <c r="C235" s="253">
        <f t="shared" si="69"/>
        <v>3.56556266273643</v>
      </c>
      <c r="D235" s="267">
        <f t="shared" si="70"/>
        <v>2.70746042741341</v>
      </c>
      <c r="E235" s="267">
        <f t="shared" si="71"/>
        <v>4.4384597641857</v>
      </c>
      <c r="I235" s="209" t="s">
        <v>441</v>
      </c>
      <c r="J235" s="209">
        <v>0.102</v>
      </c>
      <c r="K235" s="209">
        <v>0.672</v>
      </c>
      <c r="L235" s="209">
        <v>0.127</v>
      </c>
      <c r="M235" s="209">
        <v>0</v>
      </c>
      <c r="N235" s="209">
        <v>2.92</v>
      </c>
      <c r="O235" s="209">
        <v>0.564</v>
      </c>
      <c r="P235" s="209">
        <v>0.978</v>
      </c>
      <c r="Q235" s="209"/>
      <c r="R235" s="241">
        <f t="shared" si="73"/>
        <v>5.363</v>
      </c>
      <c r="S235" s="209"/>
      <c r="T235" s="209"/>
      <c r="U235" s="209"/>
      <c r="AA235" s="337" t="str">
        <f t="shared" si="51"/>
        <v>DirRecy-NMC811</v>
      </c>
      <c r="AB235" s="337" t="s">
        <v>382</v>
      </c>
      <c r="AC235" s="330" t="s">
        <v>500</v>
      </c>
      <c r="AD235" s="338">
        <f t="shared" si="52"/>
        <v>4.7484</v>
      </c>
      <c r="AE235" s="269"/>
      <c r="AI235" s="271" t="s">
        <v>345</v>
      </c>
      <c r="AJ235" s="271" t="s">
        <v>347</v>
      </c>
      <c r="AK235" s="271" t="s">
        <v>356</v>
      </c>
      <c r="AL235" s="271" t="s">
        <v>358</v>
      </c>
      <c r="AM235" s="271" t="s">
        <v>361</v>
      </c>
      <c r="AN235" s="271" t="s">
        <v>362</v>
      </c>
      <c r="AO235" s="271" t="s">
        <v>504</v>
      </c>
    </row>
    <row r="236" ht="13" spans="1:64">
      <c r="B236" s="276" t="s">
        <v>414</v>
      </c>
      <c r="C236" s="253">
        <f t="shared" si="69"/>
        <v>3.56496890198968</v>
      </c>
      <c r="D236" s="267">
        <f t="shared" si="70"/>
        <v>2.70700957995578</v>
      </c>
      <c r="E236" s="267">
        <f t="shared" si="71"/>
        <v>4.43772063375092</v>
      </c>
      <c r="I236" s="209" t="s">
        <v>442</v>
      </c>
      <c r="J236" s="209">
        <v>0.141</v>
      </c>
      <c r="K236" s="209">
        <v>0.351</v>
      </c>
      <c r="L236" s="209">
        <v>0.352</v>
      </c>
      <c r="M236" s="209">
        <v>0.328</v>
      </c>
      <c r="N236" s="209">
        <v>3.11</v>
      </c>
      <c r="O236" s="209">
        <v>0.677</v>
      </c>
      <c r="P236" s="209">
        <v>0.978</v>
      </c>
      <c r="Q236" s="209"/>
      <c r="R236" s="241">
        <f t="shared" si="73"/>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443</v>
      </c>
      <c r="J237" s="209">
        <v>0.136</v>
      </c>
      <c r="K237" s="209">
        <v>0.508</v>
      </c>
      <c r="L237" s="209">
        <v>0.204</v>
      </c>
      <c r="M237" s="209">
        <v>0.285</v>
      </c>
      <c r="N237" s="209">
        <v>3.07</v>
      </c>
      <c r="O237" s="209">
        <v>0.661</v>
      </c>
      <c r="P237" s="209">
        <v>0.981</v>
      </c>
      <c r="Q237" s="209"/>
      <c r="R237" s="241">
        <f t="shared" si="73"/>
        <v>5.845</v>
      </c>
      <c r="S237" s="209"/>
      <c r="T237" s="209"/>
      <c r="U237" s="209"/>
      <c r="AA237" s="213"/>
      <c r="AB237" s="213"/>
      <c r="AE237" s="269"/>
      <c r="AI237" s="277">
        <f t="shared" ref="AI237:AO237" si="74">AI236</f>
        <v>0.9</v>
      </c>
      <c r="AJ237" s="271">
        <f t="shared" si="74"/>
        <v>0.9</v>
      </c>
      <c r="AK237" s="271">
        <f t="shared" si="74"/>
        <v>0.9</v>
      </c>
      <c r="AL237" s="271">
        <f t="shared" si="74"/>
        <v>0.9</v>
      </c>
      <c r="AM237" s="271">
        <f t="shared" si="74"/>
        <v>0.9</v>
      </c>
      <c r="AN237" s="271">
        <f t="shared" si="74"/>
        <v>0.9</v>
      </c>
      <c r="AO237" s="271">
        <f t="shared" si="74"/>
        <v>0.9</v>
      </c>
      <c r="BD237" s="192"/>
      <c r="BE237" s="192"/>
    </row>
    <row r="238" ht="14.5" spans="1:64">
      <c r="B238" s="278"/>
      <c r="C238"/>
      <c r="D238"/>
      <c r="I238" s="209" t="s">
        <v>444</v>
      </c>
      <c r="J238" s="209">
        <v>0.118</v>
      </c>
      <c r="K238" s="209">
        <v>0.531</v>
      </c>
      <c r="L238" s="209">
        <v>0.178</v>
      </c>
      <c r="M238" s="209">
        <v>0.166</v>
      </c>
      <c r="N238" s="209">
        <v>3.017</v>
      </c>
      <c r="O238" s="209">
        <v>0.605</v>
      </c>
      <c r="P238" s="209">
        <v>0.96</v>
      </c>
      <c r="Q238" s="209"/>
      <c r="R238" s="241">
        <f t="shared" si="73"/>
        <v>5.575</v>
      </c>
      <c r="S238" s="209"/>
      <c r="T238" s="209"/>
      <c r="U238" s="209"/>
      <c r="AA238" s="213"/>
      <c r="AB238" s="213"/>
      <c r="AE238" s="279"/>
      <c r="AI238" s="277">
        <f t="shared" ref="AI238:AO238" si="75">AI237</f>
        <v>0.9</v>
      </c>
      <c r="AJ238" s="271">
        <f t="shared" si="75"/>
        <v>0.9</v>
      </c>
      <c r="AK238" s="271">
        <f t="shared" si="75"/>
        <v>0.9</v>
      </c>
      <c r="AL238" s="271">
        <f t="shared" si="75"/>
        <v>0.9</v>
      </c>
      <c r="AM238" s="271">
        <f t="shared" si="75"/>
        <v>0.9</v>
      </c>
      <c r="AN238" s="271">
        <f t="shared" si="75"/>
        <v>0.9</v>
      </c>
      <c r="AO238" s="271">
        <f t="shared" si="75"/>
        <v>0.9</v>
      </c>
    </row>
    <row r="239" ht="14.5" spans="1:64">
      <c r="B239" s="278"/>
      <c r="C239"/>
      <c r="D239"/>
      <c r="I239" s="209" t="s">
        <v>445</v>
      </c>
      <c r="J239" s="209">
        <v>0.1</v>
      </c>
      <c r="K239" s="209">
        <v>0.6</v>
      </c>
      <c r="L239" s="209">
        <v>0.075</v>
      </c>
      <c r="M239" s="209">
        <v>0.07</v>
      </c>
      <c r="N239" s="209">
        <v>2.921</v>
      </c>
      <c r="O239" s="209">
        <v>0.549</v>
      </c>
      <c r="P239" s="209">
        <v>0.961</v>
      </c>
      <c r="Q239" s="209"/>
      <c r="R239" s="241">
        <f t="shared" si="73"/>
        <v>5.276</v>
      </c>
      <c r="S239" s="209"/>
      <c r="T239" s="209"/>
      <c r="U239" s="209"/>
      <c r="AA239" s="213"/>
      <c r="AB239" s="213"/>
      <c r="AE239" s="279"/>
      <c r="AI239" s="277">
        <f t="shared" ref="AI239:AO239" si="76">AI238</f>
        <v>0.9</v>
      </c>
      <c r="AJ239" s="271">
        <f t="shared" si="76"/>
        <v>0.9</v>
      </c>
      <c r="AK239" s="271">
        <f t="shared" si="76"/>
        <v>0.9</v>
      </c>
      <c r="AL239" s="271">
        <f t="shared" si="76"/>
        <v>0.9</v>
      </c>
      <c r="AM239" s="271">
        <f t="shared" si="76"/>
        <v>0.9</v>
      </c>
      <c r="AN239" s="271">
        <f t="shared" si="76"/>
        <v>0.9</v>
      </c>
      <c r="AO239" s="271">
        <f t="shared" si="76"/>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7">AI239</f>
        <v>0.9</v>
      </c>
      <c r="AJ240" s="271">
        <f t="shared" si="77"/>
        <v>0.9</v>
      </c>
      <c r="AK240" s="271">
        <f t="shared" si="77"/>
        <v>0.9</v>
      </c>
      <c r="AL240" s="271">
        <f t="shared" si="77"/>
        <v>0.9</v>
      </c>
      <c r="AM240" s="271">
        <f t="shared" si="77"/>
        <v>0.9</v>
      </c>
      <c r="AN240" s="271">
        <f t="shared" si="77"/>
        <v>0.9</v>
      </c>
      <c r="AO240" s="271">
        <f t="shared" si="77"/>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8">AI240</f>
        <v>0.9</v>
      </c>
      <c r="AJ241" s="271">
        <f t="shared" si="78"/>
        <v>0.9</v>
      </c>
      <c r="AK241" s="271">
        <f t="shared" si="78"/>
        <v>0.9</v>
      </c>
      <c r="AL241" s="271">
        <f t="shared" si="78"/>
        <v>0.9</v>
      </c>
      <c r="AM241" s="271">
        <f t="shared" si="78"/>
        <v>0.9</v>
      </c>
      <c r="AN241" s="271">
        <f t="shared" si="78"/>
        <v>0.9</v>
      </c>
      <c r="AO241" s="271">
        <f t="shared" si="78"/>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9">AI241</f>
        <v>0.9</v>
      </c>
      <c r="AJ242" s="271">
        <f t="shared" si="79"/>
        <v>0.9</v>
      </c>
      <c r="AK242" s="271">
        <f t="shared" si="79"/>
        <v>0.9</v>
      </c>
      <c r="AL242" s="271">
        <f t="shared" si="79"/>
        <v>0.9</v>
      </c>
      <c r="AM242" s="271">
        <f t="shared" si="79"/>
        <v>0.9</v>
      </c>
      <c r="AN242" s="271">
        <f t="shared" si="79"/>
        <v>0.9</v>
      </c>
      <c r="AO242" s="271">
        <f t="shared" si="79"/>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375</v>
      </c>
      <c r="O258" s="209"/>
      <c r="P258" s="209"/>
      <c r="Q258" s="209"/>
      <c r="R258" s="209"/>
      <c r="S258" s="209"/>
      <c r="T258" s="209"/>
      <c r="U258" s="209"/>
      <c r="V258" s="209"/>
      <c r="W258" s="209"/>
    </row>
    <row r="259" spans="2:23">
      <c r="B259" s="209"/>
      <c r="C259" s="280" t="s">
        <v>509</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195</v>
      </c>
      <c r="N261" s="280" t="s">
        <v>258</v>
      </c>
      <c r="O261" s="280" t="s">
        <v>345</v>
      </c>
      <c r="P261" s="280" t="s">
        <v>347</v>
      </c>
      <c r="Q261" s="280" t="s">
        <v>356</v>
      </c>
      <c r="R261" s="280" t="s">
        <v>358</v>
      </c>
      <c r="S261" s="280" t="s">
        <v>361</v>
      </c>
      <c r="T261" s="280" t="s">
        <v>362</v>
      </c>
      <c r="U261" s="280" t="s">
        <v>504</v>
      </c>
      <c r="V261" s="280" t="s">
        <v>454</v>
      </c>
      <c r="W261" s="280" t="s">
        <v>455</v>
      </c>
    </row>
    <row r="262" spans="2:23">
      <c r="B262" s="280" t="s">
        <v>195</v>
      </c>
      <c r="C262" s="280" t="s">
        <v>258</v>
      </c>
      <c r="D262" s="280" t="s">
        <v>186</v>
      </c>
      <c r="E262" s="280" t="s">
        <v>187</v>
      </c>
      <c r="F262" s="280" t="s">
        <v>188</v>
      </c>
      <c r="G262" s="280" t="s">
        <v>189</v>
      </c>
      <c r="H262" s="280" t="s">
        <v>190</v>
      </c>
      <c r="I262" s="280" t="s">
        <v>191</v>
      </c>
      <c r="J262" s="280" t="s">
        <v>192</v>
      </c>
      <c r="K262" s="209" t="s">
        <v>401</v>
      </c>
      <c r="L262" s="209"/>
      <c r="M262" s="280">
        <f>AB237</f>
        <v>0</v>
      </c>
      <c r="N262" s="281" t="s">
        <v>510</v>
      </c>
      <c r="O262" s="280">
        <v>0.0608</v>
      </c>
      <c r="P262" s="280">
        <v>0</v>
      </c>
      <c r="Q262" s="280">
        <v>0</v>
      </c>
      <c r="R262" s="280">
        <v>0</v>
      </c>
      <c r="S262" s="280">
        <v>2.25792</v>
      </c>
      <c r="T262" s="280">
        <v>0.60544</v>
      </c>
      <c r="U262" s="280">
        <v>0.6944</v>
      </c>
      <c r="V262" s="280" t="s">
        <v>313</v>
      </c>
      <c r="W262" s="280">
        <v>1</v>
      </c>
    </row>
    <row r="263" spans="2:23">
      <c r="B263" s="280" t="s">
        <v>511</v>
      </c>
      <c r="C263" s="280" t="e">
        <f>#REF!</f>
        <v>#REF!</v>
      </c>
      <c r="D263" s="339">
        <f>D7*AI214</f>
        <v>0</v>
      </c>
      <c r="E263" s="280">
        <v>0</v>
      </c>
      <c r="F263" s="280">
        <v>0</v>
      </c>
      <c r="G263" s="280">
        <v>0</v>
      </c>
      <c r="H263" s="280">
        <v>0</v>
      </c>
      <c r="I263" s="280">
        <v>0.8514</v>
      </c>
      <c r="J263" s="280">
        <v>0</v>
      </c>
      <c r="K263" s="209" t="s">
        <v>196</v>
      </c>
      <c r="L263" s="209"/>
      <c r="M263" s="280">
        <f t="shared" ref="M263:M268" si="80">AB238</f>
        <v>0</v>
      </c>
      <c r="N263" s="281" t="s">
        <v>512</v>
      </c>
      <c r="O263" s="280">
        <v>0.06784</v>
      </c>
      <c r="P263" s="280">
        <v>0</v>
      </c>
      <c r="Q263" s="280">
        <v>0</v>
      </c>
      <c r="R263" s="280">
        <v>0.89344</v>
      </c>
      <c r="S263" s="280">
        <v>2.15616</v>
      </c>
      <c r="T263" s="280">
        <v>0.55232</v>
      </c>
      <c r="U263" s="280">
        <v>0.58304</v>
      </c>
      <c r="V263" s="280" t="s">
        <v>317</v>
      </c>
      <c r="W263" s="280">
        <v>1</v>
      </c>
    </row>
    <row r="264" spans="2:23">
      <c r="B264" s="280" t="s">
        <v>513</v>
      </c>
      <c r="C264" s="280" t="e">
        <f>#REF!</f>
        <v>#REF!</v>
      </c>
      <c r="D264" s="280">
        <v>0</v>
      </c>
      <c r="E264" s="280">
        <v>0</v>
      </c>
      <c r="F264" s="280">
        <v>0</v>
      </c>
      <c r="G264" s="280">
        <v>0</v>
      </c>
      <c r="H264" s="280">
        <v>0</v>
      </c>
      <c r="I264" s="280">
        <v>0.7767</v>
      </c>
      <c r="J264" s="280">
        <v>0</v>
      </c>
      <c r="K264" s="209" t="s">
        <v>196</v>
      </c>
      <c r="L264" s="209"/>
      <c r="M264" s="280">
        <f t="shared" si="80"/>
        <v>0</v>
      </c>
      <c r="N264" s="281" t="s">
        <v>514</v>
      </c>
      <c r="O264" s="280">
        <v>0.06528</v>
      </c>
      <c r="P264" s="280">
        <v>0.43008</v>
      </c>
      <c r="Q264" s="280">
        <v>0.08128</v>
      </c>
      <c r="R264" s="280">
        <v>0</v>
      </c>
      <c r="S264" s="280">
        <v>1.8688</v>
      </c>
      <c r="T264" s="280">
        <v>0.36096</v>
      </c>
      <c r="U264" s="280">
        <v>0.62592</v>
      </c>
      <c r="V264" s="280" t="s">
        <v>323</v>
      </c>
      <c r="W264" s="280">
        <v>1</v>
      </c>
    </row>
    <row r="265" spans="2:23">
      <c r="B265" s="280" t="s">
        <v>515</v>
      </c>
      <c r="C265" s="280" t="e">
        <f>#REF!</f>
        <v>#REF!</v>
      </c>
      <c r="D265" s="280">
        <v>0</v>
      </c>
      <c r="E265" s="280">
        <v>0.65856</v>
      </c>
      <c r="F265" s="280">
        <v>0.1143</v>
      </c>
      <c r="G265" s="280">
        <v>0</v>
      </c>
      <c r="H265" s="280">
        <v>0</v>
      </c>
      <c r="I265" s="280">
        <v>0.5076</v>
      </c>
      <c r="J265" s="280">
        <v>0</v>
      </c>
      <c r="K265" s="209" t="s">
        <v>196</v>
      </c>
      <c r="L265" s="209"/>
      <c r="M265" s="280">
        <f t="shared" si="80"/>
        <v>0</v>
      </c>
      <c r="N265" s="281" t="s">
        <v>516</v>
      </c>
      <c r="O265" s="280">
        <v>0.09024</v>
      </c>
      <c r="P265" s="280">
        <v>0.22464</v>
      </c>
      <c r="Q265" s="280">
        <v>0.22528</v>
      </c>
      <c r="R265" s="280">
        <v>0.20992</v>
      </c>
      <c r="S265" s="280">
        <v>1.9904</v>
      </c>
      <c r="T265" s="280">
        <v>0.43328</v>
      </c>
      <c r="U265" s="280">
        <v>0.62592</v>
      </c>
      <c r="V265" s="280" t="s">
        <v>326</v>
      </c>
      <c r="W265" s="280">
        <v>1</v>
      </c>
    </row>
    <row r="266" spans="2:23">
      <c r="B266" s="280" t="s">
        <v>517</v>
      </c>
      <c r="C266" s="280" t="e">
        <f>#REF!</f>
        <v>#REF!</v>
      </c>
      <c r="D266" s="280">
        <v>0</v>
      </c>
      <c r="E266" s="280">
        <v>0.34398</v>
      </c>
      <c r="F266" s="280">
        <v>0.3168</v>
      </c>
      <c r="G266" s="280">
        <v>0</v>
      </c>
      <c r="H266" s="280">
        <v>0</v>
      </c>
      <c r="I266" s="280">
        <v>0.6093</v>
      </c>
      <c r="J266" s="280">
        <v>0</v>
      </c>
      <c r="K266" s="209" t="s">
        <v>196</v>
      </c>
      <c r="L266" s="209"/>
      <c r="M266" s="280">
        <f t="shared" si="80"/>
        <v>0</v>
      </c>
      <c r="N266" s="281" t="s">
        <v>518</v>
      </c>
      <c r="O266" s="280">
        <v>0.08704</v>
      </c>
      <c r="P266" s="280">
        <v>0.32512</v>
      </c>
      <c r="Q266" s="280">
        <v>0.13056</v>
      </c>
      <c r="R266" s="280">
        <v>0.1824</v>
      </c>
      <c r="S266" s="280">
        <v>1.9648</v>
      </c>
      <c r="T266" s="280">
        <v>0.42304</v>
      </c>
      <c r="U266" s="280">
        <v>0.62784</v>
      </c>
      <c r="V266" s="280" t="s">
        <v>329</v>
      </c>
      <c r="W266" s="280">
        <v>1</v>
      </c>
    </row>
    <row r="267" spans="2:23">
      <c r="B267" s="280" t="s">
        <v>519</v>
      </c>
      <c r="C267" s="280" t="e">
        <f>#REF!</f>
        <v>#REF!</v>
      </c>
      <c r="D267" s="280">
        <v>0</v>
      </c>
      <c r="E267" s="280">
        <v>0.49784</v>
      </c>
      <c r="F267" s="280">
        <v>0.1836</v>
      </c>
      <c r="G267" s="280">
        <v>0</v>
      </c>
      <c r="H267" s="280">
        <v>0</v>
      </c>
      <c r="I267" s="280">
        <v>0.5949</v>
      </c>
      <c r="J267" s="280">
        <v>0</v>
      </c>
      <c r="K267" s="209" t="s">
        <v>196</v>
      </c>
      <c r="L267" s="209"/>
      <c r="M267" s="280">
        <f t="shared" si="80"/>
        <v>0</v>
      </c>
      <c r="N267" s="281" t="s">
        <v>520</v>
      </c>
      <c r="O267" s="280">
        <v>0.07552</v>
      </c>
      <c r="P267" s="280">
        <v>0.33984</v>
      </c>
      <c r="Q267" s="280">
        <v>0.11392</v>
      </c>
      <c r="R267" s="280">
        <v>0.10624</v>
      </c>
      <c r="S267" s="280">
        <v>1.93088</v>
      </c>
      <c r="T267" s="280">
        <v>0.3872</v>
      </c>
      <c r="U267" s="280">
        <v>0.6144</v>
      </c>
      <c r="V267" s="280" t="s">
        <v>331</v>
      </c>
      <c r="W267" s="280">
        <v>1</v>
      </c>
    </row>
    <row r="268" spans="2:23">
      <c r="B268" s="280" t="s">
        <v>521</v>
      </c>
      <c r="C268" s="280" t="e">
        <f>#REF!</f>
        <v>#REF!</v>
      </c>
      <c r="D268" s="280">
        <v>0</v>
      </c>
      <c r="E268" s="280">
        <v>0.52038</v>
      </c>
      <c r="F268" s="280">
        <v>0.1602</v>
      </c>
      <c r="G268" s="280">
        <v>0</v>
      </c>
      <c r="H268" s="280">
        <v>0</v>
      </c>
      <c r="I268" s="280">
        <v>0.5445</v>
      </c>
      <c r="J268" s="280">
        <v>0</v>
      </c>
      <c r="K268" s="209" t="s">
        <v>196</v>
      </c>
      <c r="L268" s="209"/>
      <c r="M268" s="280">
        <f t="shared" si="80"/>
        <v>0</v>
      </c>
      <c r="N268" s="281" t="s">
        <v>522</v>
      </c>
      <c r="O268" s="280">
        <v>0.064</v>
      </c>
      <c r="P268" s="280">
        <v>0.384</v>
      </c>
      <c r="Q268" s="280">
        <v>0.048</v>
      </c>
      <c r="R268" s="280">
        <v>0.0448</v>
      </c>
      <c r="S268" s="280">
        <v>1.86944</v>
      </c>
      <c r="T268" s="280">
        <v>0.35136</v>
      </c>
      <c r="U268" s="280">
        <v>0.61504</v>
      </c>
      <c r="V268" s="280" t="s">
        <v>337</v>
      </c>
      <c r="W268" s="280">
        <v>1</v>
      </c>
    </row>
    <row r="269" spans="2:23">
      <c r="B269" s="280" t="s">
        <v>523</v>
      </c>
      <c r="C269" s="280" t="e">
        <f>#REF!</f>
        <v>#REF!</v>
      </c>
      <c r="D269" s="280">
        <v>0</v>
      </c>
      <c r="E269" s="280">
        <v>0.588</v>
      </c>
      <c r="F269" s="280">
        <v>0.0675</v>
      </c>
      <c r="G269" s="280">
        <v>0</v>
      </c>
      <c r="H269" s="280">
        <v>0</v>
      </c>
      <c r="I269" s="280">
        <v>0.4941</v>
      </c>
      <c r="J269" s="280">
        <v>0</v>
      </c>
      <c r="K269" s="209" t="s">
        <v>196</v>
      </c>
      <c r="L269" s="209"/>
      <c r="M269" s="209"/>
      <c r="N269" s="209"/>
      <c r="O269" s="209"/>
      <c r="P269" s="209"/>
      <c r="Q269" s="209"/>
      <c r="R269" s="209"/>
      <c r="S269" s="209"/>
      <c r="T269" s="209"/>
      <c r="U269" s="209"/>
      <c r="V269" s="209"/>
      <c r="W269" s="209"/>
    </row>
    <row r="270" spans="2:23">
      <c r="B270" s="280" t="s">
        <v>524</v>
      </c>
      <c r="C270" s="280" t="e">
        <f>#REF!</f>
        <v>#REF!</v>
      </c>
      <c r="D270" s="280">
        <v>0.0855</v>
      </c>
      <c r="E270" s="280">
        <v>0</v>
      </c>
      <c r="F270" s="280">
        <v>0</v>
      </c>
      <c r="G270" s="280">
        <v>0</v>
      </c>
      <c r="H270" s="280">
        <v>3.1752</v>
      </c>
      <c r="I270" s="280">
        <v>0.8514</v>
      </c>
      <c r="J270" s="280">
        <v>0.9765</v>
      </c>
      <c r="K270" s="209" t="s">
        <v>196</v>
      </c>
      <c r="L270" s="209"/>
      <c r="M270" s="209"/>
      <c r="N270" s="209"/>
      <c r="O270" s="209"/>
      <c r="P270" s="209"/>
      <c r="Q270" s="209"/>
      <c r="R270" s="209"/>
      <c r="S270" s="209"/>
      <c r="T270" s="209"/>
      <c r="U270" s="209"/>
      <c r="V270" s="209"/>
      <c r="W270" s="209"/>
    </row>
    <row r="271" spans="2:23">
      <c r="B271" s="280" t="s">
        <v>525</v>
      </c>
      <c r="C271" s="280" t="e">
        <f>#REF!</f>
        <v>#REF!</v>
      </c>
      <c r="D271" s="280">
        <v>0.0954</v>
      </c>
      <c r="E271" s="280">
        <v>0</v>
      </c>
      <c r="F271" s="280">
        <v>0</v>
      </c>
      <c r="G271" s="280">
        <v>1.36808</v>
      </c>
      <c r="H271" s="280">
        <v>3.0321</v>
      </c>
      <c r="I271" s="280">
        <v>0.7767</v>
      </c>
      <c r="J271" s="280">
        <v>0.8199</v>
      </c>
      <c r="K271" s="209" t="s">
        <v>196</v>
      </c>
      <c r="L271" s="209"/>
      <c r="M271" s="209"/>
      <c r="N271" s="209"/>
      <c r="O271" s="209"/>
      <c r="P271" s="209"/>
      <c r="Q271" s="209"/>
      <c r="R271" s="209"/>
      <c r="S271" s="209"/>
      <c r="T271" s="209"/>
      <c r="U271" s="209"/>
      <c r="V271" s="209"/>
      <c r="W271" s="209"/>
    </row>
    <row r="272" spans="2:23">
      <c r="B272" s="280" t="s">
        <v>526</v>
      </c>
      <c r="C272" s="280" t="e">
        <f>#REF!</f>
        <v>#REF!</v>
      </c>
      <c r="D272" s="280">
        <v>0.0918</v>
      </c>
      <c r="E272" s="280">
        <v>0.65856</v>
      </c>
      <c r="F272" s="280">
        <v>0.12446</v>
      </c>
      <c r="G272" s="280">
        <v>0</v>
      </c>
      <c r="H272" s="280">
        <v>2.628</v>
      </c>
      <c r="I272" s="280">
        <v>0.5076</v>
      </c>
      <c r="J272" s="280">
        <v>0.8802</v>
      </c>
      <c r="K272" s="209" t="s">
        <v>196</v>
      </c>
      <c r="L272" s="209"/>
      <c r="M272" s="209"/>
      <c r="N272" s="209"/>
      <c r="O272" s="209"/>
      <c r="P272" s="209"/>
      <c r="Q272" s="209"/>
      <c r="R272" s="209"/>
      <c r="S272" s="209"/>
      <c r="T272" s="209"/>
      <c r="U272" s="209"/>
      <c r="V272" s="209"/>
      <c r="W272" s="209"/>
    </row>
    <row r="273" spans="2:23">
      <c r="B273" s="280" t="s">
        <v>527</v>
      </c>
      <c r="C273" s="280" t="e">
        <f>#REF!</f>
        <v>#REF!</v>
      </c>
      <c r="D273" s="280">
        <v>0.1269</v>
      </c>
      <c r="E273" s="280">
        <v>0.34398</v>
      </c>
      <c r="F273" s="280">
        <v>0.34496</v>
      </c>
      <c r="G273" s="280">
        <v>0.32144</v>
      </c>
      <c r="H273" s="280">
        <v>2.799</v>
      </c>
      <c r="I273" s="280">
        <v>0.6093</v>
      </c>
      <c r="J273" s="280">
        <v>0.8802</v>
      </c>
      <c r="K273" s="209" t="s">
        <v>196</v>
      </c>
      <c r="L273" s="209"/>
      <c r="M273" s="209"/>
      <c r="N273" s="209"/>
      <c r="O273" s="209"/>
      <c r="P273" s="209"/>
      <c r="Q273" s="209"/>
      <c r="R273" s="209"/>
      <c r="S273" s="209"/>
      <c r="T273" s="209"/>
      <c r="U273" s="209"/>
      <c r="V273" s="209"/>
      <c r="W273" s="209"/>
    </row>
    <row r="274" spans="2:23">
      <c r="B274" s="280" t="s">
        <v>528</v>
      </c>
      <c r="C274" s="280" t="e">
        <f>#REF!</f>
        <v>#REF!</v>
      </c>
      <c r="D274" s="280">
        <v>0.1224</v>
      </c>
      <c r="E274" s="280">
        <v>0.49784</v>
      </c>
      <c r="F274" s="280">
        <v>0.19992</v>
      </c>
      <c r="G274" s="280">
        <v>0.2793</v>
      </c>
      <c r="H274" s="280">
        <v>2.763</v>
      </c>
      <c r="I274" s="280">
        <v>0.5949</v>
      </c>
      <c r="J274" s="280">
        <v>0.8829</v>
      </c>
      <c r="K274" s="209" t="s">
        <v>196</v>
      </c>
      <c r="L274" s="209"/>
      <c r="M274" s="209"/>
      <c r="N274" s="209"/>
      <c r="O274" s="209"/>
      <c r="P274" s="209"/>
      <c r="Q274" s="209"/>
      <c r="R274" s="209"/>
      <c r="S274" s="209"/>
      <c r="T274" s="209"/>
      <c r="U274" s="209"/>
      <c r="V274" s="209"/>
      <c r="W274" s="209"/>
    </row>
    <row r="275" spans="2:23">
      <c r="B275" s="280" t="s">
        <v>529</v>
      </c>
      <c r="C275" s="280" t="e">
        <f>#REF!</f>
        <v>#REF!</v>
      </c>
      <c r="D275" s="280">
        <v>0.1062</v>
      </c>
      <c r="E275" s="280">
        <v>0.52038</v>
      </c>
      <c r="F275" s="280">
        <v>0.17444</v>
      </c>
      <c r="G275" s="280">
        <v>0.16268</v>
      </c>
      <c r="H275" s="280">
        <v>2.7153</v>
      </c>
      <c r="I275" s="280">
        <v>0.5445</v>
      </c>
      <c r="J275" s="280">
        <v>0.864</v>
      </c>
      <c r="K275" s="209" t="s">
        <v>196</v>
      </c>
      <c r="L275" s="209"/>
      <c r="M275" s="209"/>
      <c r="N275" s="209"/>
      <c r="O275" s="209"/>
      <c r="P275" s="209"/>
      <c r="Q275" s="209"/>
      <c r="R275" s="209"/>
      <c r="S275" s="209"/>
      <c r="T275" s="209"/>
      <c r="U275" s="209"/>
      <c r="V275" s="209"/>
      <c r="W275" s="209"/>
    </row>
    <row r="276" spans="2:23">
      <c r="B276" s="280" t="s">
        <v>530</v>
      </c>
      <c r="C276" s="280" t="e">
        <f>#REF!</f>
        <v>#REF!</v>
      </c>
      <c r="D276" s="280">
        <v>0.09</v>
      </c>
      <c r="E276" s="280">
        <v>0.588</v>
      </c>
      <c r="F276" s="280">
        <v>0.0735</v>
      </c>
      <c r="G276" s="280">
        <v>0.0686</v>
      </c>
      <c r="H276" s="280">
        <v>2.6289</v>
      </c>
      <c r="I276" s="280">
        <v>0.4941</v>
      </c>
      <c r="J276" s="280">
        <v>0.8649</v>
      </c>
      <c r="K276" s="209" t="s">
        <v>196</v>
      </c>
      <c r="L276" s="209"/>
      <c r="M276" s="209"/>
      <c r="N276" s="209"/>
      <c r="O276" s="209"/>
      <c r="P276" s="209"/>
      <c r="Q276" s="209"/>
      <c r="R276" s="209"/>
      <c r="S276" s="209"/>
      <c r="T276" s="209"/>
      <c r="U276" s="209"/>
      <c r="V276" s="209"/>
      <c r="W276" s="209"/>
    </row>
    <row r="277" spans="2:23">
      <c r="B277" s="280" t="s">
        <v>531</v>
      </c>
      <c r="C277" s="280" t="e">
        <f>#REF!</f>
        <v>#REF!</v>
      </c>
      <c r="D277" s="280">
        <v>0.0855</v>
      </c>
      <c r="E277" s="280">
        <v>0</v>
      </c>
      <c r="F277" s="280">
        <v>0</v>
      </c>
      <c r="G277" s="280">
        <v>0</v>
      </c>
      <c r="H277" s="280">
        <v>3.1752</v>
      </c>
      <c r="I277" s="280">
        <v>0.8514</v>
      </c>
      <c r="J277" s="280">
        <v>0.9765</v>
      </c>
      <c r="K277" s="209" t="s">
        <v>196</v>
      </c>
      <c r="L277" s="209"/>
      <c r="M277" s="209"/>
      <c r="N277" s="209"/>
      <c r="O277" s="209"/>
      <c r="P277" s="209"/>
      <c r="Q277" s="209"/>
      <c r="R277" s="209"/>
      <c r="S277" s="209"/>
      <c r="T277" s="209"/>
      <c r="U277" s="209"/>
      <c r="V277" s="209"/>
      <c r="W277" s="209"/>
    </row>
    <row r="278" spans="2:23">
      <c r="B278" s="280" t="s">
        <v>532</v>
      </c>
      <c r="C278" s="280" t="e">
        <f>#REF!</f>
        <v>#REF!</v>
      </c>
      <c r="D278" s="280">
        <v>0.0954</v>
      </c>
      <c r="E278" s="280">
        <v>0</v>
      </c>
      <c r="F278" s="280">
        <v>0</v>
      </c>
      <c r="G278" s="280">
        <v>1.2564</v>
      </c>
      <c r="H278" s="280">
        <v>3.0321</v>
      </c>
      <c r="I278" s="280">
        <v>0.7767</v>
      </c>
      <c r="J278" s="280">
        <v>0.8199</v>
      </c>
      <c r="K278" s="209" t="s">
        <v>196</v>
      </c>
      <c r="L278" s="209"/>
      <c r="M278" s="209"/>
      <c r="N278" s="209"/>
      <c r="O278" s="209"/>
      <c r="P278" s="209"/>
      <c r="Q278" s="209"/>
      <c r="R278" s="209"/>
      <c r="S278" s="209"/>
      <c r="T278" s="209"/>
      <c r="U278" s="209"/>
      <c r="V278" s="209"/>
      <c r="W278" s="209"/>
    </row>
    <row r="279" spans="2:23">
      <c r="B279" s="280" t="s">
        <v>533</v>
      </c>
      <c r="C279" s="280" t="e">
        <f>#REF!</f>
        <v>#REF!</v>
      </c>
      <c r="D279" s="280">
        <v>0.0918</v>
      </c>
      <c r="E279" s="280">
        <v>0.6048</v>
      </c>
      <c r="F279" s="280">
        <v>0.1143</v>
      </c>
      <c r="G279" s="280">
        <v>0</v>
      </c>
      <c r="H279" s="280">
        <v>2.628</v>
      </c>
      <c r="I279" s="280">
        <v>0.5076</v>
      </c>
      <c r="J279" s="280">
        <v>0.8802</v>
      </c>
      <c r="K279" s="209" t="s">
        <v>196</v>
      </c>
      <c r="L279" s="209"/>
      <c r="M279" s="209"/>
      <c r="N279" s="209"/>
      <c r="O279" s="209"/>
      <c r="P279" s="209"/>
      <c r="Q279" s="209"/>
      <c r="R279" s="209"/>
      <c r="S279" s="209"/>
      <c r="T279" s="209"/>
      <c r="U279" s="209"/>
      <c r="V279" s="209"/>
      <c r="W279" s="209"/>
    </row>
    <row r="280" spans="2:23">
      <c r="B280" s="280" t="s">
        <v>534</v>
      </c>
      <c r="C280" s="280" t="e">
        <f>#REF!</f>
        <v>#REF!</v>
      </c>
      <c r="D280" s="280">
        <v>0.1269</v>
      </c>
      <c r="E280" s="280">
        <v>0.3159</v>
      </c>
      <c r="F280" s="280">
        <v>0.3168</v>
      </c>
      <c r="G280" s="280">
        <v>0.2952</v>
      </c>
      <c r="H280" s="280">
        <v>2.799</v>
      </c>
      <c r="I280" s="280">
        <v>0.6093</v>
      </c>
      <c r="J280" s="280">
        <v>0.8802</v>
      </c>
      <c r="K280" s="209" t="s">
        <v>196</v>
      </c>
      <c r="L280" s="209"/>
      <c r="M280" s="209"/>
      <c r="N280" s="209"/>
      <c r="O280" s="209"/>
      <c r="P280" s="209"/>
      <c r="Q280" s="209"/>
      <c r="R280" s="209"/>
      <c r="S280" s="209"/>
      <c r="T280" s="209"/>
      <c r="U280" s="209"/>
      <c r="V280" s="209"/>
      <c r="W280" s="209"/>
    </row>
    <row r="281" spans="2:23">
      <c r="B281" s="280" t="s">
        <v>535</v>
      </c>
      <c r="C281" s="280" t="e">
        <f>#REF!</f>
        <v>#REF!</v>
      </c>
      <c r="D281" s="280">
        <v>0.1224</v>
      </c>
      <c r="E281" s="280">
        <v>0.4572</v>
      </c>
      <c r="F281" s="280">
        <v>0.1836</v>
      </c>
      <c r="G281" s="280">
        <v>0.2565</v>
      </c>
      <c r="H281" s="280">
        <v>2.763</v>
      </c>
      <c r="I281" s="280">
        <v>0.5949</v>
      </c>
      <c r="J281" s="280">
        <v>0.8829</v>
      </c>
      <c r="K281" s="209" t="s">
        <v>196</v>
      </c>
      <c r="L281" s="209"/>
      <c r="M281" s="209"/>
      <c r="N281" s="209"/>
      <c r="O281" s="209"/>
      <c r="P281" s="209"/>
      <c r="Q281" s="209"/>
      <c r="R281" s="209"/>
      <c r="S281" s="209"/>
      <c r="T281" s="209"/>
      <c r="U281" s="209"/>
      <c r="V281" s="209"/>
      <c r="W281" s="209"/>
    </row>
    <row r="282" spans="2:23">
      <c r="B282" s="280" t="s">
        <v>536</v>
      </c>
      <c r="C282" s="280" t="e">
        <f>#REF!</f>
        <v>#REF!</v>
      </c>
      <c r="D282" s="280">
        <v>0.1062</v>
      </c>
      <c r="E282" s="280">
        <v>0.4779</v>
      </c>
      <c r="F282" s="280">
        <v>0.1602</v>
      </c>
      <c r="G282" s="280">
        <v>0.1494</v>
      </c>
      <c r="H282" s="280">
        <v>2.7153</v>
      </c>
      <c r="I282" s="280">
        <v>0.5445</v>
      </c>
      <c r="J282" s="280">
        <v>0.864</v>
      </c>
      <c r="K282" s="209" t="s">
        <v>196</v>
      </c>
      <c r="L282" s="209"/>
      <c r="M282" s="209"/>
      <c r="N282" s="209"/>
      <c r="O282" s="209"/>
      <c r="P282" s="209"/>
      <c r="Q282" s="209"/>
      <c r="R282" s="209"/>
      <c r="S282" s="209"/>
      <c r="T282" s="209"/>
      <c r="U282" s="209"/>
      <c r="V282" s="209"/>
      <c r="W282" s="209"/>
    </row>
    <row r="283" spans="2:23">
      <c r="B283" s="280" t="s">
        <v>537</v>
      </c>
      <c r="C283" s="280" t="e">
        <f>#REF!</f>
        <v>#REF!</v>
      </c>
      <c r="D283" s="280">
        <v>0.09</v>
      </c>
      <c r="E283" s="280">
        <v>0.54</v>
      </c>
      <c r="F283" s="280">
        <v>0.0675</v>
      </c>
      <c r="G283" s="280">
        <v>0.063</v>
      </c>
      <c r="H283" s="280">
        <v>2.6289</v>
      </c>
      <c r="I283" s="280">
        <v>0.4941</v>
      </c>
      <c r="J283" s="280">
        <v>0.8649</v>
      </c>
      <c r="K283" s="209" t="s">
        <v>196</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61" zoomScaleNormal="61" topLeftCell="C1" workbookViewId="0">
      <selection activeCell="A28" sqref="A28"/>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220</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79</v>
      </c>
      <c r="V4" s="193" t="s">
        <v>80</v>
      </c>
      <c r="W4" s="193" t="s">
        <v>81</v>
      </c>
      <c r="X4" s="193" t="s">
        <v>82</v>
      </c>
      <c r="Y4" s="193" t="s">
        <v>83</v>
      </c>
      <c r="Z4" s="193" t="s">
        <v>224</v>
      </c>
      <c r="AA4" s="193" t="s">
        <v>225</v>
      </c>
      <c r="AB4" s="193" t="s">
        <v>226</v>
      </c>
      <c r="AC4" s="192"/>
      <c r="AN4" s="194"/>
      <c r="AO4" s="194"/>
      <c r="AP4" s="194"/>
      <c r="AQ4" s="194"/>
    </row>
    <row r="5" ht="14.55" customHeight="1" spans="1:43">
      <c r="P5" s="192"/>
      <c r="Q5" s="192"/>
      <c r="U5" s="193" t="s">
        <v>259</v>
      </c>
      <c r="V5" s="193" t="str">
        <f t="shared" ref="V5:V11" si="0">C22</f>
        <v>Tra_EV_Batt-LFP_fromrecy</v>
      </c>
      <c r="W5" s="193" t="str">
        <f t="shared" ref="W5:W11" si="1">_xlfn.TEXTJOIN("; ",TRUE,AO6:AQ6)</f>
        <v/>
      </c>
      <c r="X5" s="193" t="s">
        <v>250</v>
      </c>
      <c r="Y5" s="193" t="s">
        <v>260</v>
      </c>
      <c r="Z5" s="193" t="s">
        <v>252</v>
      </c>
      <c r="AA5" s="193"/>
      <c r="AB5" s="193"/>
      <c r="AC5" s="192"/>
    </row>
    <row r="6" ht="14.55" customHeight="1" spans="1:43">
      <c r="P6" s="192"/>
      <c r="Q6" s="192"/>
      <c r="U6" s="191"/>
      <c r="V6" s="193" t="str">
        <f t="shared" si="0"/>
        <v>Tra_EV_Batt-LMO_fromrecy</v>
      </c>
      <c r="W6" s="193" t="str">
        <f t="shared" si="1"/>
        <v/>
      </c>
      <c r="X6" s="193" t="s">
        <v>250</v>
      </c>
      <c r="Y6" s="193" t="s">
        <v>260</v>
      </c>
      <c r="Z6" s="193" t="s">
        <v>252</v>
      </c>
      <c r="AA6" s="193"/>
      <c r="AB6" s="193"/>
      <c r="AC6" s="192"/>
      <c r="AN6" s="195"/>
      <c r="AO6" s="195"/>
      <c r="AP6" s="195"/>
      <c r="AQ6" s="195"/>
    </row>
    <row r="7" ht="14.55" customHeight="1" spans="1:43">
      <c r="P7" s="192"/>
      <c r="Q7" s="192"/>
      <c r="U7" s="193"/>
      <c r="V7" s="193" t="str">
        <f t="shared" si="0"/>
        <v>Tra_EV_Batt-NCA_fromrecy</v>
      </c>
      <c r="W7" s="193" t="str">
        <f t="shared" si="1"/>
        <v/>
      </c>
      <c r="X7" s="193" t="s">
        <v>250</v>
      </c>
      <c r="Y7" s="193" t="s">
        <v>260</v>
      </c>
      <c r="Z7" s="193" t="s">
        <v>252</v>
      </c>
      <c r="AA7" s="193"/>
      <c r="AB7" s="193"/>
      <c r="AC7" s="192"/>
      <c r="AN7" s="195"/>
      <c r="AO7" s="195"/>
      <c r="AP7" s="195"/>
      <c r="AQ7" s="195"/>
    </row>
    <row r="8" ht="18" customHeight="1" spans="1:43">
      <c r="P8" s="196"/>
      <c r="Q8" s="196"/>
      <c r="U8" s="197"/>
      <c r="V8" s="193" t="str">
        <f t="shared" si="0"/>
        <v>Tra_EV_Batt-NMC111_fromrecy</v>
      </c>
      <c r="W8" s="193" t="str">
        <f t="shared" si="1"/>
        <v/>
      </c>
      <c r="X8" s="193" t="s">
        <v>250</v>
      </c>
      <c r="Y8" s="193" t="s">
        <v>260</v>
      </c>
      <c r="Z8" s="193" t="s">
        <v>252</v>
      </c>
      <c r="AA8" s="198"/>
      <c r="AB8" s="198"/>
      <c r="AC8" s="199"/>
      <c r="AN8" s="195"/>
      <c r="AO8" s="195"/>
      <c r="AP8" s="195"/>
      <c r="AQ8" s="195"/>
    </row>
    <row r="9" ht="18" spans="1:43">
      <c r="P9" s="196"/>
      <c r="Q9" s="196"/>
      <c r="U9" s="197"/>
      <c r="V9" s="193" t="str">
        <f t="shared" si="0"/>
        <v>Tra_EV_Batt-NMC532_fromrecy</v>
      </c>
      <c r="W9" s="193" t="str">
        <f t="shared" si="1"/>
        <v/>
      </c>
      <c r="X9" s="193" t="s">
        <v>250</v>
      </c>
      <c r="Y9" s="193" t="s">
        <v>260</v>
      </c>
      <c r="Z9" s="193" t="s">
        <v>252</v>
      </c>
      <c r="AA9" s="198"/>
      <c r="AB9" s="198"/>
      <c r="AC9" s="199"/>
      <c r="AN9" s="195"/>
      <c r="AO9" s="195"/>
      <c r="AP9" s="195"/>
      <c r="AQ9" s="195"/>
    </row>
    <row r="10" ht="14.5" spans="1:43">
      <c r="P10" s="200"/>
      <c r="Q10" s="200"/>
      <c r="U10" s="197"/>
      <c r="V10" s="193" t="str">
        <f t="shared" si="0"/>
        <v>Tra_EV_Batt-NMC622_fromrecy</v>
      </c>
      <c r="W10" s="193" t="str">
        <f t="shared" si="1"/>
        <v/>
      </c>
      <c r="X10" s="193" t="s">
        <v>250</v>
      </c>
      <c r="Y10" s="193" t="s">
        <v>260</v>
      </c>
      <c r="Z10" s="193" t="s">
        <v>252</v>
      </c>
      <c r="AA10" s="197"/>
      <c r="AB10" s="197"/>
      <c r="AC10" s="200"/>
      <c r="AN10" s="195"/>
      <c r="AO10" s="195"/>
      <c r="AP10" s="195"/>
      <c r="AQ10" s="195"/>
    </row>
    <row r="11" ht="14.5" spans="1:43">
      <c r="U11" s="191"/>
      <c r="V11" s="193" t="str">
        <f t="shared" si="0"/>
        <v>Tra_EV_Batt-NMC811_fromrecy</v>
      </c>
      <c r="W11" s="193" t="str">
        <f t="shared" si="1"/>
        <v/>
      </c>
      <c r="X11" s="193" t="s">
        <v>250</v>
      </c>
      <c r="Y11" s="193" t="s">
        <v>260</v>
      </c>
      <c r="Z11" s="193" t="s">
        <v>252</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315</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202</v>
      </c>
      <c r="B21" s="204" t="s">
        <v>205</v>
      </c>
      <c r="C21" s="203" t="s">
        <v>258</v>
      </c>
      <c r="D21" s="203" t="s">
        <v>293</v>
      </c>
      <c r="E21" s="203" t="s">
        <v>300</v>
      </c>
      <c r="F21" s="203" t="s">
        <v>302</v>
      </c>
      <c r="G21" s="203" t="s">
        <v>304</v>
      </c>
      <c r="H21" s="203" t="s">
        <v>307</v>
      </c>
      <c r="I21" s="203" t="s">
        <v>309</v>
      </c>
      <c r="J21" s="203" t="s">
        <v>311</v>
      </c>
      <c r="K21" s="203" t="s">
        <v>240</v>
      </c>
      <c r="L21" s="204" t="s">
        <v>195</v>
      </c>
      <c r="M21" s="204" t="s">
        <v>76</v>
      </c>
      <c r="N21" s="203" t="s">
        <v>286</v>
      </c>
      <c r="O21" s="203" t="s">
        <v>318</v>
      </c>
      <c r="P21" s="204" t="s">
        <v>319</v>
      </c>
      <c r="Q21" s="204" t="s">
        <v>320</v>
      </c>
      <c r="R21" s="203" t="s">
        <v>287</v>
      </c>
      <c r="S21" s="203" t="s">
        <v>321</v>
      </c>
      <c r="U21" s="202"/>
      <c r="V21" s="202"/>
      <c r="W21" s="202"/>
      <c r="X21" s="202"/>
      <c r="Y21" s="202"/>
      <c r="Z21" s="202"/>
      <c r="AA21" s="202"/>
    </row>
    <row r="22" ht="14.5" spans="1:34">
      <c r="A22" s="203">
        <v>2020</v>
      </c>
      <c r="B22" s="205" t="s">
        <v>214</v>
      </c>
      <c r="C22" s="203" t="s">
        <v>538</v>
      </c>
      <c r="D22" s="203">
        <v>0.095</v>
      </c>
      <c r="E22" s="203">
        <v>0</v>
      </c>
      <c r="F22" s="203">
        <v>0</v>
      </c>
      <c r="G22" s="203">
        <v>0</v>
      </c>
      <c r="H22" s="203">
        <v>3.528</v>
      </c>
      <c r="I22" s="203">
        <v>0.946</v>
      </c>
      <c r="J22" s="203">
        <v>1.085</v>
      </c>
      <c r="K22" s="203">
        <v>12</v>
      </c>
      <c r="L22" s="203" t="s">
        <v>292</v>
      </c>
      <c r="M22" s="203" t="s">
        <v>257</v>
      </c>
      <c r="N22" s="203">
        <v>0.9</v>
      </c>
      <c r="O22" s="203">
        <v>1.314</v>
      </c>
      <c r="P22" s="203">
        <v>1</v>
      </c>
      <c r="Q22" s="203">
        <v>1</v>
      </c>
      <c r="R22" s="203">
        <v>1</v>
      </c>
      <c r="S22" s="203">
        <v>4000</v>
      </c>
      <c r="U22" s="202"/>
      <c r="V22" s="202"/>
      <c r="W22" s="202"/>
      <c r="X22" s="202"/>
      <c r="Y22" s="202"/>
      <c r="AA22" s="202"/>
    </row>
    <row r="23" ht="14.5" spans="1:34">
      <c r="A23" s="206">
        <v>2020</v>
      </c>
      <c r="B23" s="205" t="s">
        <v>214</v>
      </c>
      <c r="C23" s="203" t="s">
        <v>539</v>
      </c>
      <c r="D23" s="203">
        <v>0.106</v>
      </c>
      <c r="E23" s="203">
        <v>0</v>
      </c>
      <c r="F23" s="203">
        <v>0</v>
      </c>
      <c r="G23" s="203">
        <v>1.396</v>
      </c>
      <c r="H23" s="203">
        <v>3.369</v>
      </c>
      <c r="I23" s="203">
        <v>0.863</v>
      </c>
      <c r="J23" s="203">
        <v>0.911</v>
      </c>
      <c r="K23" s="203">
        <v>6</v>
      </c>
      <c r="L23" s="203" t="s">
        <v>292</v>
      </c>
      <c r="M23" s="203" t="s">
        <v>257</v>
      </c>
      <c r="N23" s="203">
        <v>0.9</v>
      </c>
      <c r="O23" s="203">
        <v>1.314</v>
      </c>
      <c r="P23" s="203">
        <v>1</v>
      </c>
      <c r="Q23" s="203">
        <v>1</v>
      </c>
      <c r="R23" s="203">
        <v>1</v>
      </c>
      <c r="S23" s="203">
        <v>800</v>
      </c>
      <c r="U23" s="202"/>
      <c r="V23" s="202"/>
      <c r="W23" s="202"/>
      <c r="X23" s="202"/>
      <c r="Y23" s="202"/>
      <c r="AB23" s="159"/>
    </row>
    <row r="24" ht="14.5" spans="1:34">
      <c r="A24" s="203">
        <v>2020</v>
      </c>
      <c r="B24" s="205" t="s">
        <v>214</v>
      </c>
      <c r="C24" s="203" t="s">
        <v>540</v>
      </c>
      <c r="D24" s="203">
        <v>0.102</v>
      </c>
      <c r="E24" s="203">
        <v>0.672</v>
      </c>
      <c r="F24" s="203">
        <v>0.127</v>
      </c>
      <c r="G24" s="203">
        <v>0</v>
      </c>
      <c r="H24" s="203">
        <v>2.92</v>
      </c>
      <c r="I24" s="203">
        <v>0.564</v>
      </c>
      <c r="J24" s="203">
        <v>0.978</v>
      </c>
      <c r="K24" s="203">
        <v>9</v>
      </c>
      <c r="L24" s="203" t="s">
        <v>292</v>
      </c>
      <c r="M24" s="203" t="s">
        <v>257</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214</v>
      </c>
      <c r="C25" s="203" t="s">
        <v>541</v>
      </c>
      <c r="D25" s="203">
        <v>0.141</v>
      </c>
      <c r="E25" s="203">
        <v>0.351</v>
      </c>
      <c r="F25" s="203">
        <v>0.352</v>
      </c>
      <c r="G25" s="203">
        <v>0.328</v>
      </c>
      <c r="H25" s="203">
        <v>3.11</v>
      </c>
      <c r="I25" s="203">
        <v>0.677</v>
      </c>
      <c r="J25" s="203">
        <v>0.978</v>
      </c>
      <c r="K25" s="203">
        <v>9</v>
      </c>
      <c r="L25" s="203" t="s">
        <v>292</v>
      </c>
      <c r="M25" s="203" t="s">
        <v>257</v>
      </c>
      <c r="N25" s="203">
        <v>0.9</v>
      </c>
      <c r="O25" s="203">
        <v>1.314</v>
      </c>
      <c r="P25" s="203">
        <v>1</v>
      </c>
      <c r="Q25" s="203">
        <v>1</v>
      </c>
      <c r="R25" s="203">
        <v>1</v>
      </c>
      <c r="S25" s="203">
        <v>2000</v>
      </c>
      <c r="U25" s="202"/>
      <c r="V25" s="202"/>
      <c r="W25" s="202"/>
      <c r="X25" s="202"/>
      <c r="Y25" s="202"/>
      <c r="AB25" s="159"/>
    </row>
    <row r="26" ht="14.5" spans="1:34">
      <c r="A26" s="203">
        <f t="shared" si="2"/>
        <v>2020</v>
      </c>
      <c r="B26" s="205" t="s">
        <v>214</v>
      </c>
      <c r="C26" s="203" t="s">
        <v>542</v>
      </c>
      <c r="D26" s="203">
        <v>0.136</v>
      </c>
      <c r="E26" s="203">
        <v>0.508</v>
      </c>
      <c r="F26" s="203">
        <v>0.204</v>
      </c>
      <c r="G26" s="203">
        <v>0.285</v>
      </c>
      <c r="H26" s="203">
        <v>3.07</v>
      </c>
      <c r="I26" s="203">
        <v>0.661</v>
      </c>
      <c r="J26" s="203">
        <v>0.981</v>
      </c>
      <c r="K26" s="203">
        <v>9</v>
      </c>
      <c r="L26" s="203" t="s">
        <v>292</v>
      </c>
      <c r="M26" s="203" t="s">
        <v>257</v>
      </c>
      <c r="N26" s="203">
        <v>0.9</v>
      </c>
      <c r="O26" s="203">
        <v>1.314</v>
      </c>
      <c r="P26" s="203">
        <v>1</v>
      </c>
      <c r="Q26" s="203">
        <v>1</v>
      </c>
      <c r="R26" s="203">
        <v>1</v>
      </c>
      <c r="S26" s="203">
        <v>2000</v>
      </c>
      <c r="U26" s="202"/>
      <c r="V26" s="202"/>
      <c r="W26" s="202"/>
      <c r="Y26" s="202"/>
      <c r="AB26" s="207"/>
    </row>
    <row r="27" ht="14.5" spans="1:34">
      <c r="A27" s="203">
        <f t="shared" si="2"/>
        <v>2020</v>
      </c>
      <c r="B27" s="205" t="s">
        <v>214</v>
      </c>
      <c r="C27" s="203" t="s">
        <v>543</v>
      </c>
      <c r="D27" s="203">
        <v>0.118</v>
      </c>
      <c r="E27" s="203">
        <v>0.531</v>
      </c>
      <c r="F27" s="203">
        <v>0.178</v>
      </c>
      <c r="G27" s="203">
        <v>0.166</v>
      </c>
      <c r="H27" s="203">
        <v>3.017</v>
      </c>
      <c r="I27" s="203">
        <v>0.605</v>
      </c>
      <c r="J27" s="203">
        <v>0.96</v>
      </c>
      <c r="K27" s="203">
        <v>9</v>
      </c>
      <c r="L27" s="203" t="s">
        <v>292</v>
      </c>
      <c r="M27" s="203" t="s">
        <v>257</v>
      </c>
      <c r="N27" s="203">
        <v>0.9</v>
      </c>
      <c r="O27" s="203">
        <v>1.314</v>
      </c>
      <c r="P27" s="203">
        <v>1</v>
      </c>
      <c r="Q27" s="203">
        <v>1</v>
      </c>
      <c r="R27" s="203">
        <v>1</v>
      </c>
      <c r="S27" s="203">
        <v>2000</v>
      </c>
      <c r="U27" s="202"/>
      <c r="V27" s="202"/>
      <c r="W27" s="202"/>
      <c r="X27" s="202"/>
      <c r="Y27" s="202"/>
      <c r="AB27" s="207"/>
    </row>
    <row r="28" ht="14.5" spans="1:34">
      <c r="A28" s="203">
        <f t="shared" si="2"/>
        <v>2020</v>
      </c>
      <c r="B28" s="205" t="s">
        <v>214</v>
      </c>
      <c r="C28" s="203" t="s">
        <v>544</v>
      </c>
      <c r="D28" s="203">
        <v>0.1</v>
      </c>
      <c r="E28" s="203">
        <v>0.6</v>
      </c>
      <c r="F28" s="203">
        <v>0.075</v>
      </c>
      <c r="G28" s="203">
        <v>0.07</v>
      </c>
      <c r="H28" s="203">
        <v>2.921</v>
      </c>
      <c r="I28" s="203">
        <v>0.549</v>
      </c>
      <c r="J28" s="203">
        <v>0.961</v>
      </c>
      <c r="K28" s="203">
        <v>9</v>
      </c>
      <c r="L28" s="203" t="s">
        <v>292</v>
      </c>
      <c r="M28" s="203" t="s">
        <v>257</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258</v>
      </c>
      <c r="W33" s="209" t="s">
        <v>195</v>
      </c>
      <c r="X33" s="209" t="s">
        <v>76</v>
      </c>
      <c r="Y33" s="209" t="s">
        <v>73</v>
      </c>
      <c r="AD33" s="192"/>
      <c r="AE33" s="192"/>
      <c r="AF33" s="192"/>
      <c r="AG33" s="192"/>
      <c r="AH33" s="192"/>
    </row>
    <row r="34" spans="2:34">
      <c r="C34" s="171" t="s">
        <v>200</v>
      </c>
      <c r="O34" s="210"/>
      <c r="V34" s="209" t="e">
        <f>"Tra_bat_recy_"&amp;#REF!</f>
        <v>#REF!</v>
      </c>
      <c r="W34" s="209" t="s">
        <v>345</v>
      </c>
      <c r="X34" s="209" t="s">
        <v>186</v>
      </c>
      <c r="Y34" s="209">
        <f t="shared" ref="Y34:Y39" si="3">O34</f>
        <v>0</v>
      </c>
    </row>
    <row r="35" ht="15.25" spans="2:34">
      <c r="B35" s="211" t="s">
        <v>80</v>
      </c>
      <c r="C35" s="211" t="s">
        <v>195</v>
      </c>
      <c r="D35" s="212" t="s">
        <v>204</v>
      </c>
      <c r="E35" s="211" t="s">
        <v>76</v>
      </c>
      <c r="F35" t="s">
        <v>205</v>
      </c>
      <c r="G35" t="s">
        <v>206</v>
      </c>
      <c r="H35" s="171" t="s">
        <v>202</v>
      </c>
      <c r="K35" s="195" t="s">
        <v>274</v>
      </c>
      <c r="L35" s="195" t="s">
        <v>275</v>
      </c>
      <c r="N35" s="210"/>
      <c r="O35" s="210"/>
      <c r="V35" s="209" t="str">
        <f>"Tra_bat_recy_"&amp;N35</f>
        <v>Tra_bat_recy_</v>
      </c>
      <c r="W35" s="209" t="s">
        <v>347</v>
      </c>
      <c r="X35" s="209" t="s">
        <v>187</v>
      </c>
      <c r="Y35" s="209">
        <f t="shared" si="3"/>
        <v>0</v>
      </c>
    </row>
    <row r="36" ht="14.5" spans="2:34">
      <c r="B36" s="203" t="s">
        <v>538</v>
      </c>
      <c r="C36" t="s">
        <v>292</v>
      </c>
      <c r="D36"/>
      <c r="E36" s="203" t="s">
        <v>257</v>
      </c>
      <c r="K36" s="171">
        <v>1</v>
      </c>
      <c r="L36" s="171">
        <v>1</v>
      </c>
      <c r="N36" s="210"/>
      <c r="O36" s="210"/>
      <c r="V36" s="209" t="str">
        <f>"Tra_bat_recy_"&amp;N36</f>
        <v>Tra_bat_recy_</v>
      </c>
      <c r="W36" s="209" t="s">
        <v>356</v>
      </c>
      <c r="X36" s="209" t="s">
        <v>188</v>
      </c>
      <c r="Y36" s="209">
        <f t="shared" si="3"/>
        <v>0</v>
      </c>
    </row>
    <row r="37" ht="16" spans="2:34">
      <c r="B37" s="203" t="s">
        <v>539</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358</v>
      </c>
      <c r="X37" s="209" t="s">
        <v>189</v>
      </c>
      <c r="Y37" s="209">
        <f t="shared" si="3"/>
        <v>0</v>
      </c>
    </row>
    <row r="38" ht="16" spans="2:34">
      <c r="B38" s="203" t="s">
        <v>540</v>
      </c>
      <c r="C38" s="178" t="str">
        <f t="shared" si="4"/>
        <v>TRAELC</v>
      </c>
      <c r="E38" s="178" t="str">
        <f t="shared" si="5"/>
        <v>TRDELC</v>
      </c>
      <c r="K38" s="178">
        <f t="shared" si="6"/>
        <v>1</v>
      </c>
      <c r="L38" s="178">
        <f t="shared" si="7"/>
        <v>1</v>
      </c>
      <c r="N38" s="210"/>
      <c r="O38" s="210"/>
      <c r="V38" s="209" t="str">
        <f>"Tra_bat_recy_"&amp;N38</f>
        <v>Tra_bat_recy_</v>
      </c>
      <c r="W38" s="209" t="s">
        <v>361</v>
      </c>
      <c r="X38" s="209" t="s">
        <v>190</v>
      </c>
      <c r="Y38" s="209">
        <f t="shared" si="3"/>
        <v>0</v>
      </c>
    </row>
    <row r="39" ht="16" spans="2:34">
      <c r="B39" s="203" t="s">
        <v>541</v>
      </c>
      <c r="C39" s="178" t="str">
        <f t="shared" si="4"/>
        <v>TRAELC</v>
      </c>
      <c r="E39" s="178" t="str">
        <f t="shared" si="5"/>
        <v>TRDELC</v>
      </c>
      <c r="K39" s="178">
        <f t="shared" si="6"/>
        <v>1</v>
      </c>
      <c r="L39" s="178">
        <f t="shared" si="7"/>
        <v>1</v>
      </c>
      <c r="N39" s="210"/>
      <c r="O39" s="210"/>
      <c r="V39" s="209" t="str">
        <f>"Tra_bat_recy_"&amp;N39</f>
        <v>Tra_bat_recy_</v>
      </c>
      <c r="W39" s="209" t="s">
        <v>362</v>
      </c>
      <c r="X39" s="209" t="s">
        <v>191</v>
      </c>
      <c r="Y39" s="209">
        <f t="shared" si="3"/>
        <v>0</v>
      </c>
    </row>
    <row r="40" ht="16" spans="2:34">
      <c r="B40" s="203" t="s">
        <v>542</v>
      </c>
      <c r="C40" s="178" t="str">
        <f t="shared" si="4"/>
        <v>TRAELC</v>
      </c>
      <c r="E40" s="178" t="str">
        <f t="shared" si="5"/>
        <v>TRDELC</v>
      </c>
      <c r="K40" s="178">
        <f t="shared" si="6"/>
        <v>1</v>
      </c>
      <c r="L40" s="178">
        <f t="shared" si="7"/>
        <v>1</v>
      </c>
    </row>
    <row r="41" ht="16" spans="2:34">
      <c r="B41" s="203" t="s">
        <v>543</v>
      </c>
      <c r="C41" s="178" t="str">
        <f t="shared" si="4"/>
        <v>TRAELC</v>
      </c>
      <c r="E41" s="178" t="str">
        <f t="shared" si="5"/>
        <v>TRDELC</v>
      </c>
      <c r="K41" s="178">
        <f t="shared" si="6"/>
        <v>1</v>
      </c>
      <c r="L41" s="178">
        <f t="shared" si="7"/>
        <v>1</v>
      </c>
    </row>
    <row r="42" ht="16" spans="2:34">
      <c r="B42" s="203" t="s">
        <v>544</v>
      </c>
      <c r="C42" s="178" t="str">
        <f t="shared" si="4"/>
        <v>TRAELC</v>
      </c>
      <c r="E42" s="178" t="str">
        <f t="shared" si="5"/>
        <v>TRDELC</v>
      </c>
      <c r="K42" s="178">
        <f t="shared" si="6"/>
        <v>1</v>
      </c>
      <c r="L42" s="178">
        <f t="shared" si="7"/>
        <v>1</v>
      </c>
    </row>
    <row r="43" ht="16" spans="2:34">
      <c r="B43" s="171" t="s">
        <v>324</v>
      </c>
      <c r="C43" s="171" t="str">
        <f>C36</f>
        <v>TRAELC</v>
      </c>
      <c r="E43" s="171" t="str">
        <f>E36</f>
        <v>TRDELC</v>
      </c>
      <c r="G43"/>
      <c r="K43" s="178">
        <f t="shared" ref="K43:K50" si="8">K42</f>
        <v>1</v>
      </c>
      <c r="L43" s="178">
        <f t="shared" ref="L43:L50" si="9">L42</f>
        <v>1</v>
      </c>
    </row>
    <row r="44" ht="16" spans="2:34">
      <c r="B44" s="171" t="s">
        <v>327</v>
      </c>
      <c r="C44" s="171" t="str">
        <f t="shared" ref="C44:C49" si="10">C37</f>
        <v>TRAELC</v>
      </c>
      <c r="E44" s="171" t="str">
        <f>E43</f>
        <v>TRDELC</v>
      </c>
      <c r="K44" s="178">
        <f t="shared" si="8"/>
        <v>1</v>
      </c>
      <c r="L44" s="178">
        <f t="shared" si="9"/>
        <v>1</v>
      </c>
    </row>
    <row r="45" ht="16" spans="2:34">
      <c r="B45" s="171" t="s">
        <v>330</v>
      </c>
      <c r="C45" s="171" t="str">
        <f t="shared" si="10"/>
        <v>TRAELC</v>
      </c>
      <c r="E45" s="171" t="str">
        <f t="shared" ref="E45:E50" si="11">E44</f>
        <v>TRDELC</v>
      </c>
      <c r="K45" s="178">
        <f t="shared" si="8"/>
        <v>1</v>
      </c>
      <c r="L45" s="178">
        <f t="shared" si="9"/>
        <v>1</v>
      </c>
    </row>
    <row r="46" ht="16" spans="2:34">
      <c r="B46" s="171" t="s">
        <v>332</v>
      </c>
      <c r="C46" s="171" t="str">
        <f t="shared" si="10"/>
        <v>TRAELC</v>
      </c>
      <c r="E46" s="171" t="str">
        <f t="shared" si="11"/>
        <v>TRDELC</v>
      </c>
      <c r="K46" s="178">
        <f t="shared" si="8"/>
        <v>1</v>
      </c>
      <c r="L46" s="178">
        <f t="shared" si="9"/>
        <v>1</v>
      </c>
    </row>
    <row r="47" ht="16" spans="2:34">
      <c r="B47" s="171" t="s">
        <v>338</v>
      </c>
      <c r="C47" s="171" t="str">
        <f t="shared" si="10"/>
        <v>TRAELC</v>
      </c>
      <c r="E47" s="171" t="str">
        <f t="shared" si="11"/>
        <v>TRDELC</v>
      </c>
      <c r="K47" s="178">
        <f t="shared" si="8"/>
        <v>1</v>
      </c>
      <c r="L47" s="178">
        <f t="shared" si="9"/>
        <v>1</v>
      </c>
    </row>
    <row r="48" ht="16" spans="2:34">
      <c r="B48" s="171" t="s">
        <v>340</v>
      </c>
      <c r="C48" s="171" t="str">
        <f t="shared" si="10"/>
        <v>TRAELC</v>
      </c>
      <c r="E48" s="171" t="str">
        <f t="shared" si="11"/>
        <v>TRDELC</v>
      </c>
      <c r="K48" s="178">
        <f t="shared" si="8"/>
        <v>1</v>
      </c>
      <c r="L48" s="178">
        <f t="shared" si="9"/>
        <v>1</v>
      </c>
    </row>
    <row r="49" ht="16" spans="2:28">
      <c r="B49" s="171" t="s">
        <v>341</v>
      </c>
      <c r="C49" s="171" t="str">
        <f t="shared" si="10"/>
        <v>TRAELC</v>
      </c>
      <c r="E49" s="171" t="str">
        <f t="shared" si="11"/>
        <v>TRDELC</v>
      </c>
      <c r="K49" s="178">
        <f t="shared" si="8"/>
        <v>1</v>
      </c>
      <c r="L49" s="178">
        <f t="shared" si="9"/>
        <v>1</v>
      </c>
    </row>
    <row r="50" spans="2:28">
      <c r="B50" s="171" t="s">
        <v>342</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418</v>
      </c>
      <c r="AR123" s="215"/>
      <c r="AS123" s="215"/>
      <c r="AT123" s="215"/>
    </row>
    <row r="124" spans="1:46">
      <c r="AA124" s="216" t="s">
        <v>415</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416</v>
      </c>
      <c r="D126" s="219"/>
      <c r="E126" s="219"/>
      <c r="F126" s="219"/>
      <c r="H126" s="209"/>
      <c r="I126" s="220"/>
      <c r="J126" s="221" t="s">
        <v>417</v>
      </c>
      <c r="K126" s="221"/>
      <c r="L126" s="221"/>
      <c r="M126" s="221"/>
      <c r="N126" s="221"/>
      <c r="O126" s="221"/>
      <c r="P126" s="221"/>
      <c r="Q126" s="221"/>
      <c r="R126" s="221"/>
      <c r="S126" s="209"/>
      <c r="T126" s="209"/>
      <c r="U126" s="209"/>
      <c r="AQ126" s="215"/>
      <c r="AR126" s="215"/>
      <c r="AS126" s="215"/>
      <c r="AT126" s="215"/>
    </row>
    <row r="127" ht="14.5" spans="1:46">
      <c r="B127" s="217"/>
      <c r="C127" s="222" t="s">
        <v>418</v>
      </c>
      <c r="D127" s="219"/>
      <c r="E127" s="219"/>
      <c r="F127" s="219"/>
      <c r="H127" s="223" t="s">
        <v>419</v>
      </c>
      <c r="I127" s="224" t="s">
        <v>420</v>
      </c>
      <c r="J127" s="224" t="s">
        <v>421</v>
      </c>
      <c r="K127" s="224" t="s">
        <v>422</v>
      </c>
      <c r="L127" s="224" t="s">
        <v>423</v>
      </c>
      <c r="M127" s="225" t="s">
        <v>421</v>
      </c>
      <c r="N127" s="225" t="s">
        <v>422</v>
      </c>
      <c r="O127" s="225" t="s">
        <v>423</v>
      </c>
      <c r="P127" s="224" t="s">
        <v>421</v>
      </c>
      <c r="Q127" s="224" t="s">
        <v>422</v>
      </c>
      <c r="R127" s="224" t="s">
        <v>423</v>
      </c>
      <c r="S127" s="209"/>
      <c r="T127" s="226" t="s">
        <v>424</v>
      </c>
      <c r="U127" s="209"/>
      <c r="AA127" s="219"/>
      <c r="AB127" s="219"/>
      <c r="AC127" s="219" t="s">
        <v>418</v>
      </c>
      <c r="AD127" s="219"/>
      <c r="AE127" s="219"/>
      <c r="AF127" s="219"/>
      <c r="AI127" s="219"/>
      <c r="AJ127" s="219"/>
      <c r="AK127" s="219" t="s">
        <v>418</v>
      </c>
      <c r="AL127" s="219"/>
      <c r="AM127" s="219"/>
      <c r="AN127" s="219"/>
      <c r="AQ127" s="215"/>
      <c r="AR127" s="215"/>
      <c r="AS127" s="215"/>
      <c r="AT127" s="215"/>
    </row>
    <row r="128" ht="20" spans="1:46">
      <c r="A128" s="227"/>
      <c r="B128" s="219"/>
      <c r="C128" s="219"/>
      <c r="D128" s="222"/>
      <c r="E128" s="222"/>
      <c r="F128" s="222"/>
      <c r="H128" s="209" t="s">
        <v>425</v>
      </c>
      <c r="I128" s="224" t="s">
        <v>426</v>
      </c>
      <c r="J128" s="228" t="s">
        <v>427</v>
      </c>
      <c r="K128" s="229"/>
      <c r="L128" s="230"/>
      <c r="M128" s="231" t="s">
        <v>428</v>
      </c>
      <c r="N128" s="232"/>
      <c r="O128" s="233"/>
      <c r="P128" s="228" t="s">
        <v>429</v>
      </c>
      <c r="Q128" s="229"/>
      <c r="R128" s="230"/>
      <c r="S128" s="209"/>
      <c r="T128" s="209" t="s">
        <v>428</v>
      </c>
      <c r="U128" s="209"/>
      <c r="AA128" s="219"/>
      <c r="AB128" s="219"/>
      <c r="AC128" s="219"/>
      <c r="AD128" s="219"/>
      <c r="AE128" s="219"/>
      <c r="AF128" s="219"/>
      <c r="AI128" s="219"/>
      <c r="AJ128" s="219"/>
      <c r="AK128" s="219"/>
      <c r="AL128" s="219"/>
      <c r="AM128" s="219"/>
      <c r="AN128" s="219"/>
      <c r="AQ128" s="214" t="s">
        <v>258</v>
      </c>
      <c r="AR128" s="214">
        <v>2019</v>
      </c>
      <c r="AS128" s="215">
        <v>2050</v>
      </c>
      <c r="AT128" s="215">
        <v>0</v>
      </c>
    </row>
    <row r="129" ht="13" spans="1:46">
      <c r="B129" s="219" t="s">
        <v>401</v>
      </c>
      <c r="C129" s="222" t="s">
        <v>258</v>
      </c>
      <c r="D129" s="222" t="s">
        <v>430</v>
      </c>
      <c r="E129" s="222" t="s">
        <v>431</v>
      </c>
      <c r="F129" s="222" t="s">
        <v>432</v>
      </c>
      <c r="H129" s="209"/>
      <c r="I129" s="224" t="s">
        <v>433</v>
      </c>
      <c r="J129" s="228" t="s">
        <v>434</v>
      </c>
      <c r="K129" s="229"/>
      <c r="L129" s="230"/>
      <c r="M129" s="231" t="s">
        <v>434</v>
      </c>
      <c r="N129" s="232"/>
      <c r="O129" s="233"/>
      <c r="P129" s="228" t="s">
        <v>434</v>
      </c>
      <c r="Q129" s="229"/>
      <c r="R129" s="230"/>
      <c r="S129" s="209"/>
      <c r="T129" s="209" t="s">
        <v>434</v>
      </c>
      <c r="U129" s="209"/>
      <c r="AA129" s="219" t="s">
        <v>401</v>
      </c>
      <c r="AB129" s="219" t="s">
        <v>435</v>
      </c>
      <c r="AC129" s="219" t="s">
        <v>258</v>
      </c>
      <c r="AD129" s="219" t="s">
        <v>430</v>
      </c>
      <c r="AE129" s="219" t="s">
        <v>431</v>
      </c>
      <c r="AF129" s="219" t="s">
        <v>432</v>
      </c>
      <c r="AI129" s="219" t="s">
        <v>401</v>
      </c>
      <c r="AJ129" s="219" t="s">
        <v>435</v>
      </c>
      <c r="AK129" s="219" t="s">
        <v>258</v>
      </c>
      <c r="AL129" s="219" t="s">
        <v>430</v>
      </c>
      <c r="AM129" s="219" t="s">
        <v>431</v>
      </c>
      <c r="AN129" s="219" t="s">
        <v>432</v>
      </c>
      <c r="AQ129" s="214" t="str">
        <f>C22</f>
        <v>Tra_EV_Batt-LFP_fromrecy</v>
      </c>
      <c r="AR129" s="215">
        <v>0.001</v>
      </c>
      <c r="AS129" s="215">
        <v>0.001</v>
      </c>
      <c r="AT129" s="215">
        <v>5</v>
      </c>
    </row>
    <row r="130" ht="13" spans="1:46">
      <c r="B130" s="219" t="s">
        <v>372</v>
      </c>
      <c r="C130" s="219"/>
      <c r="D130" s="219"/>
      <c r="E130" s="219"/>
      <c r="F130" s="219"/>
      <c r="H130" s="209">
        <v>0.2</v>
      </c>
      <c r="I130" s="224" t="s">
        <v>436</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372</v>
      </c>
      <c r="AB130" s="219"/>
      <c r="AC130" s="219"/>
      <c r="AD130" s="219"/>
      <c r="AE130" s="219"/>
      <c r="AF130" s="219"/>
      <c r="AI130" s="219" t="s">
        <v>372</v>
      </c>
      <c r="AJ130" s="219"/>
      <c r="AK130" s="219"/>
      <c r="AL130" s="219"/>
      <c r="AM130" s="219"/>
      <c r="AN130" s="219"/>
      <c r="AQ130" s="214" t="str">
        <f t="shared" ref="AQ130:AQ135" si="15">C23</f>
        <v>Tra_EV_Batt-LMO_fromrecy</v>
      </c>
      <c r="AR130" s="215">
        <v>0.001</v>
      </c>
      <c r="AS130" s="215">
        <v>0.001</v>
      </c>
      <c r="AT130" s="215">
        <v>5</v>
      </c>
    </row>
    <row r="131" ht="13" spans="1:46">
      <c r="A131" s="237"/>
      <c r="B131" s="219" t="s">
        <v>196</v>
      </c>
      <c r="C131" s="222" t="s">
        <v>437</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438</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196</v>
      </c>
      <c r="AB131" s="219">
        <v>2050</v>
      </c>
      <c r="AC131" s="219" t="s">
        <v>437</v>
      </c>
      <c r="AD131" s="219">
        <f t="shared" ref="AD131:AF131" si="17">D131*0.313</f>
        <v>25.1599342966667</v>
      </c>
      <c r="AE131" s="219">
        <f t="shared" si="17"/>
        <v>17.36734649</v>
      </c>
      <c r="AF131" s="219">
        <f t="shared" si="17"/>
        <v>33.43624065</v>
      </c>
      <c r="AI131" s="219" t="s">
        <v>196</v>
      </c>
      <c r="AJ131" s="219">
        <v>0</v>
      </c>
      <c r="AK131" s="219" t="s">
        <v>437</v>
      </c>
      <c r="AL131" s="219">
        <v>5</v>
      </c>
      <c r="AM131" s="219">
        <v>5</v>
      </c>
      <c r="AN131" s="219">
        <v>5</v>
      </c>
      <c r="AQ131" s="214" t="str">
        <f t="shared" si="15"/>
        <v>Tra_EV_Batt-NCA_fromrecy</v>
      </c>
      <c r="AR131" s="215">
        <v>0.001</v>
      </c>
      <c r="AS131" s="215">
        <v>0.001</v>
      </c>
      <c r="AT131" s="215">
        <v>5</v>
      </c>
    </row>
    <row r="132" ht="13" spans="1:46">
      <c r="B132" s="219" t="s">
        <v>196</v>
      </c>
      <c r="C132" s="222" t="s">
        <v>439</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440</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196</v>
      </c>
      <c r="AB132" s="219">
        <v>2050</v>
      </c>
      <c r="AC132" s="219" t="s">
        <v>439</v>
      </c>
      <c r="AD132" s="219">
        <f t="shared" ref="AD132:AF132" si="18">D132*0.313</f>
        <v>29.8628918</v>
      </c>
      <c r="AE132" s="219">
        <f t="shared" si="18"/>
        <v>20.75992845</v>
      </c>
      <c r="AF132" s="219">
        <f t="shared" si="18"/>
        <v>39.52049115</v>
      </c>
      <c r="AI132" s="219" t="s">
        <v>196</v>
      </c>
      <c r="AJ132" s="219">
        <v>0</v>
      </c>
      <c r="AK132" s="219" t="s">
        <v>439</v>
      </c>
      <c r="AL132" s="219">
        <v>5</v>
      </c>
      <c r="AM132" s="219">
        <v>5</v>
      </c>
      <c r="AN132" s="219">
        <v>5</v>
      </c>
      <c r="AQ132" s="214" t="str">
        <f t="shared" si="15"/>
        <v>Tra_EV_Batt-NMC111_fromrecy</v>
      </c>
      <c r="AR132" s="215">
        <v>0.001</v>
      </c>
      <c r="AS132" s="215">
        <v>0.001</v>
      </c>
      <c r="AT132" s="215">
        <v>5</v>
      </c>
    </row>
    <row r="133" ht="13" spans="1:46">
      <c r="B133" s="219" t="s">
        <v>196</v>
      </c>
      <c r="C133" s="222" t="s">
        <v>441</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270</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196</v>
      </c>
      <c r="AB133" s="219">
        <v>2050</v>
      </c>
      <c r="AC133" s="219" t="s">
        <v>441</v>
      </c>
      <c r="AD133" s="219">
        <f t="shared" ref="AD133:AF133" si="19">D133*0.313</f>
        <v>26.7138290566668</v>
      </c>
      <c r="AE133" s="219">
        <f t="shared" si="19"/>
        <v>17.55976011</v>
      </c>
      <c r="AF133" s="219">
        <f t="shared" si="19"/>
        <v>36.41065148</v>
      </c>
      <c r="AI133" s="219" t="s">
        <v>196</v>
      </c>
      <c r="AJ133" s="219">
        <v>0</v>
      </c>
      <c r="AK133" s="219" t="s">
        <v>441</v>
      </c>
      <c r="AL133" s="219">
        <v>5</v>
      </c>
      <c r="AM133" s="219">
        <v>5</v>
      </c>
      <c r="AN133" s="219">
        <v>5</v>
      </c>
      <c r="AQ133" s="214" t="str">
        <f t="shared" si="15"/>
        <v>Tra_EV_Batt-NMC532_fromrecy</v>
      </c>
      <c r="AR133" s="215">
        <v>0.001</v>
      </c>
      <c r="AS133" s="215">
        <v>0.001</v>
      </c>
      <c r="AT133" s="215">
        <v>5</v>
      </c>
    </row>
    <row r="134" ht="30" spans="1:46">
      <c r="A134" s="238"/>
      <c r="B134" s="219" t="s">
        <v>196</v>
      </c>
      <c r="C134" s="222" t="s">
        <v>442</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276</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196</v>
      </c>
      <c r="AB134" s="219">
        <v>2050</v>
      </c>
      <c r="AC134" s="219" t="s">
        <v>442</v>
      </c>
      <c r="AD134" s="219">
        <f t="shared" ref="AD134:AF134" si="20">D134*0.313</f>
        <v>26.76825141</v>
      </c>
      <c r="AE134" s="219">
        <f t="shared" si="20"/>
        <v>17.39012663</v>
      </c>
      <c r="AF134" s="219">
        <f t="shared" si="20"/>
        <v>36.71624903</v>
      </c>
      <c r="AI134" s="219" t="s">
        <v>196</v>
      </c>
      <c r="AJ134" s="219">
        <v>0</v>
      </c>
      <c r="AK134" s="219" t="s">
        <v>442</v>
      </c>
      <c r="AL134" s="219">
        <v>5</v>
      </c>
      <c r="AM134" s="219">
        <v>5</v>
      </c>
      <c r="AN134" s="219">
        <v>5</v>
      </c>
      <c r="AQ134" s="214" t="str">
        <f t="shared" si="15"/>
        <v>Tra_EV_Batt-NMC622_fromrecy</v>
      </c>
      <c r="AR134" s="215">
        <v>0.001</v>
      </c>
      <c r="AS134" s="215">
        <v>0.001</v>
      </c>
      <c r="AT134" s="215">
        <v>5</v>
      </c>
    </row>
    <row r="135" ht="13" spans="1:46">
      <c r="B135" s="219" t="s">
        <v>196</v>
      </c>
      <c r="C135" s="222" t="s">
        <v>443</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281</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196</v>
      </c>
      <c r="AB135" s="219">
        <v>2050</v>
      </c>
      <c r="AC135" s="219" t="s">
        <v>443</v>
      </c>
      <c r="AD135" s="219">
        <f t="shared" ref="AD135:AF135" si="21">D135*0.313</f>
        <v>28.1990829166668</v>
      </c>
      <c r="AE135" s="219">
        <f t="shared" si="21"/>
        <v>18.5820901</v>
      </c>
      <c r="AF135" s="219">
        <f t="shared" si="21"/>
        <v>38.39541265</v>
      </c>
      <c r="AI135" s="219" t="s">
        <v>196</v>
      </c>
      <c r="AJ135" s="219">
        <v>0</v>
      </c>
      <c r="AK135" s="219" t="s">
        <v>443</v>
      </c>
      <c r="AL135" s="219">
        <v>5</v>
      </c>
      <c r="AM135" s="219">
        <v>5</v>
      </c>
      <c r="AN135" s="219">
        <v>5</v>
      </c>
      <c r="AQ135" s="214" t="str">
        <f t="shared" si="15"/>
        <v>Tra_EV_Batt-NMC811_fromrecy</v>
      </c>
      <c r="AR135" s="215">
        <v>0.001</v>
      </c>
      <c r="AS135" s="215">
        <v>0.001</v>
      </c>
      <c r="AT135" s="215">
        <v>5</v>
      </c>
    </row>
    <row r="136" ht="25" spans="1:46">
      <c r="A136" s="239"/>
      <c r="B136" s="219" t="s">
        <v>196</v>
      </c>
      <c r="C136" s="222" t="s">
        <v>444</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288</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196</v>
      </c>
      <c r="AB136" s="219">
        <v>2050</v>
      </c>
      <c r="AC136" s="219" t="s">
        <v>444</v>
      </c>
      <c r="AD136" s="219">
        <f t="shared" ref="AD136:AF136" si="22">D136*0.313</f>
        <v>27.2066538166668</v>
      </c>
      <c r="AE136" s="219">
        <f t="shared" si="22"/>
        <v>17.94665315</v>
      </c>
      <c r="AF136" s="219">
        <f t="shared" si="22"/>
        <v>37.0192299</v>
      </c>
      <c r="AI136" s="219" t="s">
        <v>196</v>
      </c>
      <c r="AJ136" s="219">
        <v>0</v>
      </c>
      <c r="AK136" s="219" t="s">
        <v>444</v>
      </c>
      <c r="AL136" s="219">
        <v>5</v>
      </c>
      <c r="AM136" s="219">
        <v>5</v>
      </c>
      <c r="AN136" s="219">
        <v>5</v>
      </c>
    </row>
    <row r="137" ht="13" spans="1:46">
      <c r="B137" s="219" t="s">
        <v>196</v>
      </c>
      <c r="C137" s="222" t="s">
        <v>445</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294</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196</v>
      </c>
      <c r="AB137" s="219">
        <v>2050</v>
      </c>
      <c r="AC137" s="219" t="s">
        <v>445</v>
      </c>
      <c r="AD137" s="219">
        <f t="shared" ref="AD137:AF137" si="23">D137*0.313</f>
        <v>28.0299846666668</v>
      </c>
      <c r="AE137" s="219">
        <f t="shared" si="23"/>
        <v>18.77670724</v>
      </c>
      <c r="AF137" s="219">
        <f t="shared" si="23"/>
        <v>37.83372476</v>
      </c>
      <c r="AI137" s="219" t="s">
        <v>196</v>
      </c>
      <c r="AJ137" s="219">
        <v>0</v>
      </c>
      <c r="AK137" s="219" t="s">
        <v>445</v>
      </c>
      <c r="AL137" s="219">
        <v>5</v>
      </c>
      <c r="AM137" s="219">
        <v>5</v>
      </c>
      <c r="AN137" s="219">
        <v>5</v>
      </c>
    </row>
    <row r="138" spans="1:46">
      <c r="B138" s="219" t="s">
        <v>196</v>
      </c>
      <c r="C138" s="219" t="s">
        <v>209</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196</v>
      </c>
      <c r="AB138" s="219">
        <v>2050</v>
      </c>
      <c r="AC138" s="219" t="s">
        <v>209</v>
      </c>
      <c r="AD138" s="219">
        <f t="shared" ref="AD138:AF138" si="27">D138*0.313</f>
        <v>5.5801055671825</v>
      </c>
      <c r="AE138" s="219">
        <f t="shared" si="27"/>
        <v>4.237175568902</v>
      </c>
      <c r="AF138" s="219">
        <f t="shared" si="27"/>
        <v>6.94618953095062</v>
      </c>
      <c r="AI138" s="219" t="s">
        <v>196</v>
      </c>
      <c r="AJ138" s="219">
        <v>0</v>
      </c>
      <c r="AK138" s="219" t="s">
        <v>209</v>
      </c>
      <c r="AL138" s="219">
        <v>5</v>
      </c>
      <c r="AM138" s="219">
        <v>5</v>
      </c>
      <c r="AN138" s="219">
        <v>5</v>
      </c>
    </row>
    <row r="139" spans="1:46">
      <c r="B139" s="219" t="s">
        <v>196</v>
      </c>
      <c r="C139" s="219" t="s">
        <v>213</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196</v>
      </c>
      <c r="AB139" s="219">
        <v>2050</v>
      </c>
      <c r="AC139" s="219" t="s">
        <v>213</v>
      </c>
      <c r="AD139" s="219">
        <f t="shared" ref="AD139:AF139" si="28">D139*0.313</f>
        <v>5.635372633014</v>
      </c>
      <c r="AE139" s="219">
        <f t="shared" si="28"/>
        <v>4.27914190309505</v>
      </c>
      <c r="AF139" s="219">
        <f t="shared" si="28"/>
        <v>7.01498667722919</v>
      </c>
      <c r="AI139" s="219" t="s">
        <v>196</v>
      </c>
      <c r="AJ139" s="219">
        <v>0</v>
      </c>
      <c r="AK139" s="219" t="s">
        <v>213</v>
      </c>
      <c r="AL139" s="219">
        <v>5</v>
      </c>
      <c r="AM139" s="219">
        <v>5</v>
      </c>
      <c r="AN139" s="219">
        <v>5</v>
      </c>
    </row>
    <row r="140" ht="21" spans="1:46">
      <c r="B140" s="219" t="s">
        <v>196</v>
      </c>
      <c r="C140" s="219" t="s">
        <v>215</v>
      </c>
      <c r="D140" s="219">
        <f t="shared" si="24"/>
        <v>17.8278133136821</v>
      </c>
      <c r="E140" s="219">
        <f t="shared" si="25"/>
        <v>13.5373021370671</v>
      </c>
      <c r="F140" s="219">
        <f t="shared" si="26"/>
        <v>22.1922988209285</v>
      </c>
      <c r="H140" s="209"/>
      <c r="I140" s="209"/>
      <c r="J140" s="240" t="s">
        <v>446</v>
      </c>
      <c r="K140" s="240"/>
      <c r="L140" s="240"/>
      <c r="M140" s="240"/>
      <c r="N140" s="240"/>
      <c r="O140" s="240"/>
      <c r="P140" s="240"/>
      <c r="Q140" s="240"/>
      <c r="R140" s="240"/>
      <c r="S140" s="209"/>
      <c r="T140" s="209"/>
      <c r="U140" s="209"/>
      <c r="AA140" s="219" t="s">
        <v>196</v>
      </c>
      <c r="AB140" s="219">
        <v>2050</v>
      </c>
      <c r="AC140" s="219" t="s">
        <v>215</v>
      </c>
      <c r="AD140" s="219">
        <f t="shared" ref="AD140:AF140" si="29">D140*0.313</f>
        <v>5.5801055671825</v>
      </c>
      <c r="AE140" s="219">
        <f t="shared" si="29"/>
        <v>4.237175568902</v>
      </c>
      <c r="AF140" s="219">
        <f t="shared" si="29"/>
        <v>6.94618953095062</v>
      </c>
      <c r="AI140" s="219" t="s">
        <v>196</v>
      </c>
      <c r="AJ140" s="219">
        <v>0</v>
      </c>
      <c r="AK140" s="219" t="s">
        <v>215</v>
      </c>
      <c r="AL140" s="219">
        <v>5</v>
      </c>
      <c r="AM140" s="219">
        <v>5</v>
      </c>
      <c r="AN140" s="219">
        <v>5</v>
      </c>
    </row>
    <row r="141" ht="13" spans="1:46">
      <c r="B141" s="219" t="s">
        <v>196</v>
      </c>
      <c r="C141" s="219" t="s">
        <v>216</v>
      </c>
      <c r="D141" s="219">
        <f t="shared" si="24"/>
        <v>17.8322684844019</v>
      </c>
      <c r="E141" s="219">
        <f t="shared" si="25"/>
        <v>13.5406853352985</v>
      </c>
      <c r="F141" s="219">
        <f t="shared" si="26"/>
        <v>22.1978445099484</v>
      </c>
      <c r="H141" s="209"/>
      <c r="I141" s="209" t="s">
        <v>258</v>
      </c>
      <c r="J141" s="209" t="s">
        <v>186</v>
      </c>
      <c r="K141" s="209" t="s">
        <v>187</v>
      </c>
      <c r="L141" s="209" t="s">
        <v>188</v>
      </c>
      <c r="M141" s="209" t="s">
        <v>189</v>
      </c>
      <c r="N141" s="209" t="s">
        <v>190</v>
      </c>
      <c r="O141" s="209" t="s">
        <v>191</v>
      </c>
      <c r="P141" s="209" t="s">
        <v>192</v>
      </c>
      <c r="Q141" s="209"/>
      <c r="R141" s="241" t="s">
        <v>447</v>
      </c>
      <c r="S141" s="209"/>
      <c r="T141" s="209"/>
      <c r="U141" s="209"/>
      <c r="AA141" s="219" t="s">
        <v>196</v>
      </c>
      <c r="AB141" s="219">
        <v>2050</v>
      </c>
      <c r="AC141" s="219" t="s">
        <v>216</v>
      </c>
      <c r="AD141" s="219">
        <f t="shared" ref="AD141:AF141" si="30">D141*0.313</f>
        <v>5.5815000356178</v>
      </c>
      <c r="AE141" s="219">
        <f t="shared" si="30"/>
        <v>4.23823450994843</v>
      </c>
      <c r="AF141" s="219">
        <f t="shared" si="30"/>
        <v>6.94792533161385</v>
      </c>
      <c r="AI141" s="219" t="s">
        <v>196</v>
      </c>
      <c r="AJ141" s="219">
        <v>0</v>
      </c>
      <c r="AK141" s="219" t="s">
        <v>216</v>
      </c>
      <c r="AL141" s="219">
        <v>5</v>
      </c>
      <c r="AM141" s="219">
        <v>5</v>
      </c>
      <c r="AN141" s="219">
        <v>5</v>
      </c>
    </row>
    <row r="142" ht="13" spans="1:46">
      <c r="B142" s="219" t="s">
        <v>196</v>
      </c>
      <c r="C142" s="219" t="s">
        <v>217</v>
      </c>
      <c r="D142" s="219">
        <f t="shared" si="24"/>
        <v>17.8292980840088</v>
      </c>
      <c r="E142" s="219">
        <f t="shared" si="25"/>
        <v>13.5384296241709</v>
      </c>
      <c r="F142" s="219">
        <f t="shared" si="26"/>
        <v>22.1941470154753</v>
      </c>
      <c r="H142" s="209"/>
      <c r="I142" s="209" t="s">
        <v>372</v>
      </c>
      <c r="J142" s="209"/>
      <c r="K142" s="209"/>
      <c r="L142" s="209"/>
      <c r="M142" s="209"/>
      <c r="N142" s="209"/>
      <c r="O142" s="209"/>
      <c r="P142" s="209"/>
      <c r="Q142" s="209"/>
      <c r="R142" s="241"/>
      <c r="S142" s="209"/>
      <c r="T142" s="209"/>
      <c r="U142" s="209"/>
      <c r="AA142" s="219" t="s">
        <v>196</v>
      </c>
      <c r="AB142" s="219">
        <v>2050</v>
      </c>
      <c r="AC142" s="219" t="s">
        <v>217</v>
      </c>
      <c r="AD142" s="219">
        <f t="shared" ref="AD142:AF142" si="31">D142*0.313</f>
        <v>5.58057030029476</v>
      </c>
      <c r="AE142" s="219">
        <f t="shared" si="31"/>
        <v>4.23752847236549</v>
      </c>
      <c r="AF142" s="219">
        <f t="shared" si="31"/>
        <v>6.94676801584377</v>
      </c>
      <c r="AI142" s="219" t="s">
        <v>196</v>
      </c>
      <c r="AJ142" s="219">
        <v>0</v>
      </c>
      <c r="AK142" s="219" t="s">
        <v>217</v>
      </c>
      <c r="AL142" s="219">
        <v>5</v>
      </c>
      <c r="AM142" s="219">
        <v>5</v>
      </c>
      <c r="AN142" s="219">
        <v>5</v>
      </c>
    </row>
    <row r="143" ht="13" spans="1:46">
      <c r="B143" s="219" t="s">
        <v>196</v>
      </c>
      <c r="C143" s="219" t="s">
        <v>218</v>
      </c>
      <c r="D143" s="219">
        <f t="shared" si="24"/>
        <v>17.8278133136821</v>
      </c>
      <c r="E143" s="219">
        <f t="shared" si="25"/>
        <v>13.5373021370671</v>
      </c>
      <c r="F143" s="219">
        <f t="shared" si="26"/>
        <v>22.1922988209285</v>
      </c>
      <c r="H143" s="209"/>
      <c r="I143" s="209" t="s">
        <v>437</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196</v>
      </c>
      <c r="AB143" s="219">
        <v>2050</v>
      </c>
      <c r="AC143" s="219" t="s">
        <v>218</v>
      </c>
      <c r="AD143" s="219">
        <f t="shared" ref="AD143:AF143" si="33">D143*0.313</f>
        <v>5.5801055671825</v>
      </c>
      <c r="AE143" s="219">
        <f t="shared" si="33"/>
        <v>4.237175568902</v>
      </c>
      <c r="AF143" s="219">
        <f t="shared" si="33"/>
        <v>6.94618953095062</v>
      </c>
      <c r="AI143" s="219" t="s">
        <v>196</v>
      </c>
      <c r="AJ143" s="219">
        <v>0</v>
      </c>
      <c r="AK143" s="219" t="s">
        <v>218</v>
      </c>
      <c r="AL143" s="219">
        <v>5</v>
      </c>
      <c r="AM143" s="219">
        <v>5</v>
      </c>
      <c r="AN143" s="219">
        <v>5</v>
      </c>
    </row>
    <row r="144" ht="13" spans="1:46">
      <c r="B144" s="219" t="s">
        <v>196</v>
      </c>
      <c r="C144" s="219" t="s">
        <v>219</v>
      </c>
      <c r="D144" s="219">
        <f t="shared" si="24"/>
        <v>17.8248445099484</v>
      </c>
      <c r="E144" s="219">
        <f t="shared" si="25"/>
        <v>13.5350478997789</v>
      </c>
      <c r="F144" s="219">
        <f t="shared" si="26"/>
        <v>22.1886031687546</v>
      </c>
      <c r="H144" s="209"/>
      <c r="I144" s="209" t="s">
        <v>439</v>
      </c>
      <c r="J144" s="209">
        <v>0.106</v>
      </c>
      <c r="K144" s="209">
        <v>0</v>
      </c>
      <c r="L144" s="209">
        <v>0</v>
      </c>
      <c r="M144" s="209">
        <v>1.396</v>
      </c>
      <c r="N144" s="209">
        <v>3.369</v>
      </c>
      <c r="O144" s="209">
        <v>0.863</v>
      </c>
      <c r="P144" s="209">
        <v>0.911</v>
      </c>
      <c r="Q144" s="209"/>
      <c r="R144" s="241">
        <f t="shared" si="32"/>
        <v>6.645</v>
      </c>
      <c r="S144" s="209"/>
      <c r="T144" s="209"/>
      <c r="U144" s="209"/>
      <c r="AA144" s="219" t="s">
        <v>196</v>
      </c>
      <c r="AB144" s="219">
        <v>2050</v>
      </c>
      <c r="AC144" s="219" t="s">
        <v>219</v>
      </c>
      <c r="AD144" s="219">
        <f t="shared" ref="AD144:AF144" si="34">D144*0.313</f>
        <v>5.57917633161385</v>
      </c>
      <c r="AE144" s="219">
        <f t="shared" si="34"/>
        <v>4.2364699926308</v>
      </c>
      <c r="AF144" s="219">
        <f t="shared" si="34"/>
        <v>6.94503279182019</v>
      </c>
      <c r="AI144" s="219" t="s">
        <v>196</v>
      </c>
      <c r="AJ144" s="219">
        <v>0</v>
      </c>
      <c r="AK144" s="219" t="s">
        <v>219</v>
      </c>
      <c r="AL144" s="219">
        <v>5</v>
      </c>
      <c r="AM144" s="219">
        <v>5</v>
      </c>
      <c r="AN144" s="219">
        <v>5</v>
      </c>
    </row>
    <row r="145" ht="13" spans="2:43">
      <c r="B145" s="219"/>
      <c r="C145" s="219"/>
      <c r="D145" s="219"/>
      <c r="E145" s="219"/>
      <c r="F145" s="219"/>
      <c r="H145" s="209"/>
      <c r="I145" s="209" t="s">
        <v>441</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442</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443</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444</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445</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448</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258</v>
      </c>
      <c r="J153" t="s">
        <v>449</v>
      </c>
    </row>
    <row r="154" customFormat="1" ht="14.5" spans="2:43">
      <c r="I154" t="s">
        <v>333</v>
      </c>
      <c r="J154" t="s">
        <v>186</v>
      </c>
      <c r="K154" t="s">
        <v>187</v>
      </c>
      <c r="L154" t="s">
        <v>188</v>
      </c>
      <c r="M154" t="s">
        <v>189</v>
      </c>
      <c r="N154" t="s">
        <v>190</v>
      </c>
      <c r="O154" t="s">
        <v>191</v>
      </c>
      <c r="P154" t="s">
        <v>192</v>
      </c>
    </row>
    <row r="155" customFormat="1" ht="14.5" spans="2:43">
      <c r="I155" t="s">
        <v>334</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375</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258</v>
      </c>
      <c r="C161" s="245" t="s">
        <v>454</v>
      </c>
      <c r="D161" s="245" t="s">
        <v>455</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456</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457</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458</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459</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461</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462</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463</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484</v>
      </c>
      <c r="C211" s="250"/>
      <c r="D211" s="249"/>
      <c r="E211" s="249"/>
      <c r="I211" s="209"/>
      <c r="J211" s="221" t="s">
        <v>485</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418</v>
      </c>
      <c r="C212" s="249"/>
      <c r="D212" s="249"/>
      <c r="E212" s="249"/>
      <c r="I212" s="236"/>
      <c r="J212" s="254" t="s">
        <v>421</v>
      </c>
      <c r="K212" s="255"/>
      <c r="L212" s="255"/>
      <c r="M212" s="254" t="s">
        <v>422</v>
      </c>
      <c r="N212" s="255"/>
      <c r="O212" s="255"/>
      <c r="P212" s="254" t="s">
        <v>423</v>
      </c>
      <c r="Q212" s="255"/>
      <c r="R212" s="255"/>
      <c r="S212" s="226" t="s">
        <v>424</v>
      </c>
      <c r="T212" s="209"/>
      <c r="U212" s="209"/>
      <c r="W212" s="256"/>
      <c r="X212" s="257"/>
      <c r="Y212" s="257"/>
      <c r="Z212" s="257"/>
      <c r="AA212" s="257"/>
      <c r="AB212" s="257"/>
      <c r="AC212" s="257"/>
      <c r="AD212" s="257"/>
      <c r="AE212" s="257"/>
      <c r="AF212" s="257"/>
      <c r="AH212" s="221" t="s">
        <v>486</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488</v>
      </c>
      <c r="K213" s="261"/>
      <c r="L213" s="255"/>
      <c r="M213" s="260" t="s">
        <v>488</v>
      </c>
      <c r="N213" s="261"/>
      <c r="O213" s="255"/>
      <c r="P213" s="260" t="s">
        <v>488</v>
      </c>
      <c r="Q213" s="261"/>
      <c r="R213" s="255"/>
      <c r="S213" s="260" t="s">
        <v>488</v>
      </c>
      <c r="T213" s="261"/>
      <c r="U213" s="255"/>
      <c r="W213" s="256"/>
      <c r="X213" s="262"/>
      <c r="Y213" s="262"/>
      <c r="Z213" s="262"/>
      <c r="AD213" s="262"/>
      <c r="AE213" s="262"/>
      <c r="AF213" s="262"/>
      <c r="AH213" s="220"/>
      <c r="AI213" s="220" t="s">
        <v>489</v>
      </c>
      <c r="AJ213" s="220" t="s">
        <v>490</v>
      </c>
      <c r="AK213" s="220" t="s">
        <v>491</v>
      </c>
      <c r="AL213" s="220" t="s">
        <v>492</v>
      </c>
      <c r="AM213" s="263" t="s">
        <v>493</v>
      </c>
      <c r="AN213" s="220" t="s">
        <v>494</v>
      </c>
      <c r="AO213" s="220" t="s">
        <v>354</v>
      </c>
      <c r="AP213" s="220" t="s">
        <v>495</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258</v>
      </c>
      <c r="C214" s="253" t="s">
        <v>430</v>
      </c>
      <c r="D214" s="253" t="s">
        <v>431</v>
      </c>
      <c r="E214" s="253" t="s">
        <v>432</v>
      </c>
      <c r="I214" s="236"/>
      <c r="J214" s="260" t="s">
        <v>496</v>
      </c>
      <c r="K214" s="260" t="s">
        <v>497</v>
      </c>
      <c r="L214" s="260" t="s">
        <v>498</v>
      </c>
      <c r="M214" s="254" t="s">
        <v>496</v>
      </c>
      <c r="N214" s="264" t="s">
        <v>497</v>
      </c>
      <c r="O214" s="254" t="s">
        <v>498</v>
      </c>
      <c r="P214" s="254" t="s">
        <v>496</v>
      </c>
      <c r="Q214" s="254" t="s">
        <v>497</v>
      </c>
      <c r="R214" s="254" t="s">
        <v>498</v>
      </c>
      <c r="S214" s="254" t="s">
        <v>496</v>
      </c>
      <c r="T214" s="254" t="s">
        <v>497</v>
      </c>
      <c r="U214" s="254" t="s">
        <v>498</v>
      </c>
      <c r="W214" s="256"/>
      <c r="X214" s="262"/>
      <c r="Y214" s="262"/>
      <c r="Z214" s="262"/>
      <c r="AA214" s="257"/>
      <c r="AB214" s="192"/>
      <c r="AC214" s="192"/>
      <c r="AD214" s="257"/>
      <c r="AE214" s="257"/>
      <c r="AF214" s="257"/>
      <c r="AH214" s="265" t="s">
        <v>499</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372</v>
      </c>
      <c r="C215" s="253"/>
      <c r="D215" s="267"/>
      <c r="E215" s="267"/>
      <c r="I215" s="226" t="s">
        <v>436</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384</v>
      </c>
      <c r="C216" s="253">
        <f t="shared" ref="C216:C222" si="48">S216</f>
        <v>7.11384396954065</v>
      </c>
      <c r="D216" s="267">
        <f t="shared" ref="D216:D222" si="49">P216</f>
        <v>5.40179852616065</v>
      </c>
      <c r="E216" s="267">
        <f t="shared" ref="E216:E222" si="50">J216</f>
        <v>8.85540744288872</v>
      </c>
      <c r="I216" s="226" t="s">
        <v>501</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386</v>
      </c>
      <c r="C217" s="253">
        <f t="shared" si="48"/>
        <v>7.11384396954065</v>
      </c>
      <c r="D217" s="267">
        <f t="shared" si="49"/>
        <v>5.40179852616065</v>
      </c>
      <c r="E217" s="267">
        <f t="shared" si="50"/>
        <v>8.85540744288872</v>
      </c>
      <c r="I217" s="226" t="s">
        <v>502</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387</v>
      </c>
      <c r="C218" s="253">
        <f t="shared" si="48"/>
        <v>7.62975445836404</v>
      </c>
      <c r="D218" s="267">
        <f t="shared" si="49"/>
        <v>5.79354797347089</v>
      </c>
      <c r="E218" s="267">
        <f t="shared" si="50"/>
        <v>9.49761967575534</v>
      </c>
      <c r="I218" s="226" t="s">
        <v>270</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388</v>
      </c>
      <c r="C219" s="253">
        <f t="shared" si="48"/>
        <v>7.47097081798084</v>
      </c>
      <c r="D219" s="267">
        <f t="shared" si="49"/>
        <v>5.67297781871776</v>
      </c>
      <c r="E219" s="267">
        <f t="shared" si="50"/>
        <v>9.29996366985999</v>
      </c>
      <c r="I219" s="226" t="s">
        <v>276</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389</v>
      </c>
      <c r="C220" s="253">
        <f t="shared" si="48"/>
        <v>7.51643520019651</v>
      </c>
      <c r="D220" s="267">
        <f t="shared" si="49"/>
        <v>5.70750058953574</v>
      </c>
      <c r="E220" s="267">
        <f t="shared" si="50"/>
        <v>9.35655836403832</v>
      </c>
      <c r="I220" s="226" t="s">
        <v>281</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391</v>
      </c>
      <c r="C221" s="253">
        <f t="shared" si="48"/>
        <v>7.55036263817244</v>
      </c>
      <c r="D221" s="267">
        <f t="shared" si="49"/>
        <v>5.73326293294031</v>
      </c>
      <c r="E221" s="267">
        <f t="shared" si="50"/>
        <v>9.39879167280766</v>
      </c>
      <c r="I221" s="226" t="s">
        <v>288</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392</v>
      </c>
      <c r="C222" s="253">
        <f t="shared" si="48"/>
        <v>7.62975445836404</v>
      </c>
      <c r="D222" s="267">
        <f t="shared" si="49"/>
        <v>5.79354797347089</v>
      </c>
      <c r="E222" s="267">
        <f t="shared" si="50"/>
        <v>9.49761967575534</v>
      </c>
      <c r="I222" s="226" t="s">
        <v>294</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393</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503</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394</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345</v>
      </c>
      <c r="AJ224" s="271" t="s">
        <v>347</v>
      </c>
      <c r="AK224" s="271" t="s">
        <v>356</v>
      </c>
      <c r="AL224" s="271" t="s">
        <v>358</v>
      </c>
      <c r="AM224" s="271" t="s">
        <v>361</v>
      </c>
      <c r="AN224" s="271" t="s">
        <v>362</v>
      </c>
      <c r="AO224" s="271" t="s">
        <v>504</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395</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396</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397</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398</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407</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408</v>
      </c>
      <c r="C230" s="253">
        <f t="shared" ref="C230:C236" si="70">U216</f>
        <v>3.56556266273643</v>
      </c>
      <c r="D230" s="267">
        <f t="shared" ref="D230:D236" si="71">R216</f>
        <v>2.70746042741341</v>
      </c>
      <c r="E230" s="267">
        <f t="shared" ref="E230:E236" si="72">L216</f>
        <v>4.4384597641857</v>
      </c>
      <c r="I230" s="273" t="s">
        <v>505</v>
      </c>
      <c r="J230" s="240" t="s">
        <v>506</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409</v>
      </c>
      <c r="C231" s="253">
        <f t="shared" si="70"/>
        <v>3.60087708179809</v>
      </c>
      <c r="D231" s="267">
        <f t="shared" si="71"/>
        <v>2.73427597641857</v>
      </c>
      <c r="E231" s="267">
        <f t="shared" si="72"/>
        <v>4.48241960206338</v>
      </c>
      <c r="I231" s="209" t="s">
        <v>507</v>
      </c>
      <c r="J231" s="209"/>
      <c r="K231" s="209"/>
      <c r="L231" s="209"/>
      <c r="M231" s="209"/>
      <c r="N231" s="209"/>
      <c r="O231" s="209"/>
      <c r="P231" s="209"/>
      <c r="Q231" s="209"/>
      <c r="R231" s="241" t="s">
        <v>447</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410</v>
      </c>
      <c r="C232" s="253">
        <f t="shared" si="70"/>
        <v>3.56556266273643</v>
      </c>
      <c r="D232" s="267">
        <f t="shared" si="71"/>
        <v>2.70746042741341</v>
      </c>
      <c r="E232" s="267">
        <f t="shared" si="72"/>
        <v>4.4384597641857</v>
      </c>
      <c r="I232" s="209" t="s">
        <v>258</v>
      </c>
      <c r="J232" s="209" t="s">
        <v>186</v>
      </c>
      <c r="K232" s="209" t="s">
        <v>187</v>
      </c>
      <c r="L232" s="209" t="s">
        <v>188</v>
      </c>
      <c r="M232" s="209" t="s">
        <v>189</v>
      </c>
      <c r="N232" s="209" t="s">
        <v>190</v>
      </c>
      <c r="O232" s="209" t="s">
        <v>191</v>
      </c>
      <c r="P232" s="209" t="s">
        <v>192</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411</v>
      </c>
      <c r="C233" s="253">
        <f t="shared" si="70"/>
        <v>3.56645369688037</v>
      </c>
      <c r="D233" s="267">
        <f t="shared" si="71"/>
        <v>2.70813706705969</v>
      </c>
      <c r="E233" s="267">
        <f t="shared" si="72"/>
        <v>4.43956890198968</v>
      </c>
      <c r="I233" s="209" t="s">
        <v>437</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412</v>
      </c>
      <c r="C234" s="253">
        <f t="shared" si="70"/>
        <v>3.56585961680177</v>
      </c>
      <c r="D234" s="267">
        <f t="shared" si="71"/>
        <v>2.70768592483419</v>
      </c>
      <c r="E234" s="267">
        <f t="shared" si="72"/>
        <v>4.43882940309506</v>
      </c>
      <c r="I234" s="209" t="s">
        <v>439</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508</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413</v>
      </c>
      <c r="C235" s="253">
        <f t="shared" si="70"/>
        <v>3.56556266273643</v>
      </c>
      <c r="D235" s="267">
        <f t="shared" si="71"/>
        <v>2.70746042741341</v>
      </c>
      <c r="E235" s="267">
        <f t="shared" si="72"/>
        <v>4.4384597641857</v>
      </c>
      <c r="I235" s="209" t="s">
        <v>441</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345</v>
      </c>
      <c r="AJ235" s="271" t="s">
        <v>347</v>
      </c>
      <c r="AK235" s="271" t="s">
        <v>356</v>
      </c>
      <c r="AL235" s="271" t="s">
        <v>358</v>
      </c>
      <c r="AM235" s="271" t="s">
        <v>361</v>
      </c>
      <c r="AN235" s="271" t="s">
        <v>362</v>
      </c>
      <c r="AO235" s="271" t="s">
        <v>504</v>
      </c>
    </row>
    <row r="236" ht="13" spans="1:64">
      <c r="B236" s="276" t="s">
        <v>414</v>
      </c>
      <c r="C236" s="253">
        <f t="shared" si="70"/>
        <v>3.56496890198968</v>
      </c>
      <c r="D236" s="267">
        <f t="shared" si="71"/>
        <v>2.70700957995578</v>
      </c>
      <c r="E236" s="267">
        <f t="shared" si="72"/>
        <v>4.43772063375092</v>
      </c>
      <c r="I236" s="209" t="s">
        <v>442</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443</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444</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445</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375</v>
      </c>
      <c r="O258" s="209"/>
      <c r="P258" s="209"/>
      <c r="Q258" s="209"/>
      <c r="R258" s="209"/>
      <c r="S258" s="209"/>
      <c r="T258" s="209"/>
      <c r="U258" s="209"/>
      <c r="V258" s="209"/>
      <c r="W258" s="209"/>
    </row>
    <row r="259" spans="2:23">
      <c r="B259" s="209"/>
      <c r="C259" s="280" t="s">
        <v>509</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195</v>
      </c>
      <c r="N261" s="280" t="s">
        <v>258</v>
      </c>
      <c r="O261" s="280" t="s">
        <v>345</v>
      </c>
      <c r="P261" s="280" t="s">
        <v>347</v>
      </c>
      <c r="Q261" s="280" t="s">
        <v>356</v>
      </c>
      <c r="R261" s="280" t="s">
        <v>358</v>
      </c>
      <c r="S261" s="280" t="s">
        <v>361</v>
      </c>
      <c r="T261" s="280" t="s">
        <v>362</v>
      </c>
      <c r="U261" s="280" t="s">
        <v>504</v>
      </c>
      <c r="V261" s="280" t="s">
        <v>454</v>
      </c>
      <c r="W261" s="280" t="s">
        <v>455</v>
      </c>
    </row>
    <row r="262" spans="2:23">
      <c r="B262" s="280" t="s">
        <v>195</v>
      </c>
      <c r="C262" s="280" t="s">
        <v>258</v>
      </c>
      <c r="D262" s="280" t="s">
        <v>186</v>
      </c>
      <c r="E262" s="280" t="s">
        <v>187</v>
      </c>
      <c r="F262" s="280" t="s">
        <v>188</v>
      </c>
      <c r="G262" s="280" t="s">
        <v>189</v>
      </c>
      <c r="H262" s="280" t="s">
        <v>190</v>
      </c>
      <c r="I262" s="280" t="s">
        <v>191</v>
      </c>
      <c r="J262" s="280" t="s">
        <v>192</v>
      </c>
      <c r="K262" s="209" t="s">
        <v>401</v>
      </c>
      <c r="L262" s="209"/>
      <c r="M262" s="280">
        <f t="shared" ref="M262:M268" si="82">AB237</f>
        <v>0</v>
      </c>
      <c r="N262" s="281" t="s">
        <v>510</v>
      </c>
      <c r="O262" s="280">
        <v>0.0608</v>
      </c>
      <c r="P262" s="280">
        <v>0</v>
      </c>
      <c r="Q262" s="280">
        <v>0</v>
      </c>
      <c r="R262" s="280">
        <v>0</v>
      </c>
      <c r="S262" s="280">
        <v>2.25792</v>
      </c>
      <c r="T262" s="280">
        <v>0.60544</v>
      </c>
      <c r="U262" s="280">
        <v>0.6944</v>
      </c>
      <c r="V262" s="280" t="s">
        <v>313</v>
      </c>
      <c r="W262" s="280">
        <v>1</v>
      </c>
    </row>
    <row r="263" spans="2:23">
      <c r="B263" s="280" t="s">
        <v>511</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196</v>
      </c>
      <c r="L263" s="209"/>
      <c r="M263" s="280">
        <f t="shared" si="82"/>
        <v>0</v>
      </c>
      <c r="N263" s="281" t="s">
        <v>512</v>
      </c>
      <c r="O263" s="280">
        <v>0.06784</v>
      </c>
      <c r="P263" s="280">
        <v>0</v>
      </c>
      <c r="Q263" s="280">
        <v>0</v>
      </c>
      <c r="R263" s="280">
        <v>0.89344</v>
      </c>
      <c r="S263" s="280">
        <v>2.15616</v>
      </c>
      <c r="T263" s="280">
        <v>0.55232</v>
      </c>
      <c r="U263" s="280">
        <v>0.58304</v>
      </c>
      <c r="V263" s="280" t="s">
        <v>317</v>
      </c>
      <c r="W263" s="280">
        <v>1</v>
      </c>
    </row>
    <row r="264" spans="2:23">
      <c r="B264" s="280" t="s">
        <v>513</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196</v>
      </c>
      <c r="L264" s="209"/>
      <c r="M264" s="280">
        <f t="shared" si="82"/>
        <v>0</v>
      </c>
      <c r="N264" s="281" t="s">
        <v>514</v>
      </c>
      <c r="O264" s="280">
        <v>0.06528</v>
      </c>
      <c r="P264" s="280">
        <v>0.43008</v>
      </c>
      <c r="Q264" s="280">
        <v>0.08128</v>
      </c>
      <c r="R264" s="280">
        <v>0</v>
      </c>
      <c r="S264" s="280">
        <v>1.8688</v>
      </c>
      <c r="T264" s="280">
        <v>0.36096</v>
      </c>
      <c r="U264" s="280">
        <v>0.62592</v>
      </c>
      <c r="V264" s="280" t="s">
        <v>323</v>
      </c>
      <c r="W264" s="280">
        <v>1</v>
      </c>
    </row>
    <row r="265" spans="2:23">
      <c r="B265" s="280" t="s">
        <v>515</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196</v>
      </c>
      <c r="L265" s="209"/>
      <c r="M265" s="280">
        <f t="shared" si="82"/>
        <v>0</v>
      </c>
      <c r="N265" s="281" t="s">
        <v>516</v>
      </c>
      <c r="O265" s="280">
        <v>0.09024</v>
      </c>
      <c r="P265" s="280">
        <v>0.22464</v>
      </c>
      <c r="Q265" s="280">
        <v>0.22528</v>
      </c>
      <c r="R265" s="280">
        <v>0.20992</v>
      </c>
      <c r="S265" s="280">
        <v>1.9904</v>
      </c>
      <c r="T265" s="280">
        <v>0.43328</v>
      </c>
      <c r="U265" s="280">
        <v>0.62592</v>
      </c>
      <c r="V265" s="280" t="s">
        <v>326</v>
      </c>
      <c r="W265" s="280">
        <v>1</v>
      </c>
    </row>
    <row r="266" spans="2:23">
      <c r="B266" s="280" t="s">
        <v>517</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196</v>
      </c>
      <c r="L266" s="209"/>
      <c r="M266" s="280">
        <f t="shared" si="82"/>
        <v>0</v>
      </c>
      <c r="N266" s="281" t="s">
        <v>518</v>
      </c>
      <c r="O266" s="280">
        <v>0.08704</v>
      </c>
      <c r="P266" s="280">
        <v>0.32512</v>
      </c>
      <c r="Q266" s="280">
        <v>0.13056</v>
      </c>
      <c r="R266" s="280">
        <v>0.1824</v>
      </c>
      <c r="S266" s="280">
        <v>1.9648</v>
      </c>
      <c r="T266" s="280">
        <v>0.42304</v>
      </c>
      <c r="U266" s="280">
        <v>0.62784</v>
      </c>
      <c r="V266" s="280" t="s">
        <v>329</v>
      </c>
      <c r="W266" s="280">
        <v>1</v>
      </c>
    </row>
    <row r="267" spans="2:23">
      <c r="B267" s="280" t="s">
        <v>519</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196</v>
      </c>
      <c r="L267" s="209"/>
      <c r="M267" s="280">
        <f t="shared" si="82"/>
        <v>0</v>
      </c>
      <c r="N267" s="281" t="s">
        <v>520</v>
      </c>
      <c r="O267" s="280">
        <v>0.07552</v>
      </c>
      <c r="P267" s="280">
        <v>0.33984</v>
      </c>
      <c r="Q267" s="280">
        <v>0.11392</v>
      </c>
      <c r="R267" s="280">
        <v>0.10624</v>
      </c>
      <c r="S267" s="280">
        <v>1.93088</v>
      </c>
      <c r="T267" s="280">
        <v>0.3872</v>
      </c>
      <c r="U267" s="280">
        <v>0.6144</v>
      </c>
      <c r="V267" s="280" t="s">
        <v>331</v>
      </c>
      <c r="W267" s="280">
        <v>1</v>
      </c>
    </row>
    <row r="268" spans="2:23">
      <c r="B268" s="280" t="s">
        <v>521</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196</v>
      </c>
      <c r="L268" s="209"/>
      <c r="M268" s="280">
        <f t="shared" si="82"/>
        <v>0</v>
      </c>
      <c r="N268" s="281" t="s">
        <v>522</v>
      </c>
      <c r="O268" s="280">
        <v>0.064</v>
      </c>
      <c r="P268" s="280">
        <v>0.384</v>
      </c>
      <c r="Q268" s="280">
        <v>0.048</v>
      </c>
      <c r="R268" s="280">
        <v>0.0448</v>
      </c>
      <c r="S268" s="280">
        <v>1.86944</v>
      </c>
      <c r="T268" s="280">
        <v>0.35136</v>
      </c>
      <c r="U268" s="280">
        <v>0.61504</v>
      </c>
      <c r="V268" s="280" t="s">
        <v>337</v>
      </c>
      <c r="W268" s="280">
        <v>1</v>
      </c>
    </row>
    <row r="269" spans="2:23">
      <c r="B269" s="280" t="s">
        <v>523</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196</v>
      </c>
      <c r="L269" s="209"/>
      <c r="M269" s="209"/>
      <c r="N269" s="209"/>
      <c r="O269" s="209"/>
      <c r="P269" s="209"/>
      <c r="Q269" s="209"/>
      <c r="R269" s="209"/>
      <c r="S269" s="209"/>
      <c r="T269" s="209"/>
      <c r="U269" s="209"/>
      <c r="V269" s="209"/>
      <c r="W269" s="209"/>
    </row>
    <row r="270" spans="2:23">
      <c r="B270" s="280" t="s">
        <v>524</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196</v>
      </c>
      <c r="L270" s="209"/>
      <c r="M270" s="209"/>
      <c r="N270" s="209"/>
      <c r="O270" s="209"/>
      <c r="P270" s="209"/>
      <c r="Q270" s="209"/>
      <c r="R270" s="209"/>
      <c r="S270" s="209"/>
      <c r="T270" s="209"/>
      <c r="U270" s="209"/>
      <c r="V270" s="209"/>
      <c r="W270" s="209"/>
    </row>
    <row r="271" spans="2:23">
      <c r="B271" s="280" t="s">
        <v>525</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196</v>
      </c>
      <c r="L271" s="209"/>
      <c r="M271" s="209"/>
      <c r="N271" s="209"/>
      <c r="O271" s="209"/>
      <c r="P271" s="209"/>
      <c r="Q271" s="209"/>
      <c r="R271" s="209"/>
      <c r="S271" s="209"/>
      <c r="T271" s="209"/>
      <c r="U271" s="209"/>
      <c r="V271" s="209"/>
      <c r="W271" s="209"/>
    </row>
    <row r="272" spans="2:23">
      <c r="B272" s="280" t="s">
        <v>526</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196</v>
      </c>
      <c r="L272" s="209"/>
      <c r="M272" s="209"/>
      <c r="N272" s="209"/>
      <c r="O272" s="209"/>
      <c r="P272" s="209"/>
      <c r="Q272" s="209"/>
      <c r="R272" s="209"/>
      <c r="S272" s="209"/>
      <c r="T272" s="209"/>
      <c r="U272" s="209"/>
      <c r="V272" s="209"/>
      <c r="W272" s="209"/>
    </row>
    <row r="273" spans="2:23">
      <c r="B273" s="280" t="s">
        <v>527</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196</v>
      </c>
      <c r="L273" s="209"/>
      <c r="M273" s="209"/>
      <c r="N273" s="209"/>
      <c r="O273" s="209"/>
      <c r="P273" s="209"/>
      <c r="Q273" s="209"/>
      <c r="R273" s="209"/>
      <c r="S273" s="209"/>
      <c r="T273" s="209"/>
      <c r="U273" s="209"/>
      <c r="V273" s="209"/>
      <c r="W273" s="209"/>
    </row>
    <row r="274" spans="2:23">
      <c r="B274" s="280" t="s">
        <v>528</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196</v>
      </c>
      <c r="L274" s="209"/>
      <c r="M274" s="209"/>
      <c r="N274" s="209"/>
      <c r="O274" s="209"/>
      <c r="P274" s="209"/>
      <c r="Q274" s="209"/>
      <c r="R274" s="209"/>
      <c r="S274" s="209"/>
      <c r="T274" s="209"/>
      <c r="U274" s="209"/>
      <c r="V274" s="209"/>
      <c r="W274" s="209"/>
    </row>
    <row r="275" spans="2:23">
      <c r="B275" s="280" t="s">
        <v>529</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196</v>
      </c>
      <c r="L275" s="209"/>
      <c r="M275" s="209"/>
      <c r="N275" s="209"/>
      <c r="O275" s="209"/>
      <c r="P275" s="209"/>
      <c r="Q275" s="209"/>
      <c r="R275" s="209"/>
      <c r="S275" s="209"/>
      <c r="T275" s="209"/>
      <c r="U275" s="209"/>
      <c r="V275" s="209"/>
      <c r="W275" s="209"/>
    </row>
    <row r="276" spans="2:23">
      <c r="B276" s="280" t="s">
        <v>530</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196</v>
      </c>
      <c r="L276" s="209"/>
      <c r="M276" s="209"/>
      <c r="N276" s="209"/>
      <c r="O276" s="209"/>
      <c r="P276" s="209"/>
      <c r="Q276" s="209"/>
      <c r="R276" s="209"/>
      <c r="S276" s="209"/>
      <c r="T276" s="209"/>
      <c r="U276" s="209"/>
      <c r="V276" s="209"/>
      <c r="W276" s="209"/>
    </row>
    <row r="277" spans="2:23">
      <c r="B277" s="280" t="s">
        <v>531</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196</v>
      </c>
      <c r="L277" s="209"/>
      <c r="M277" s="209"/>
      <c r="N277" s="209"/>
      <c r="O277" s="209"/>
      <c r="P277" s="209"/>
      <c r="Q277" s="209"/>
      <c r="R277" s="209"/>
      <c r="S277" s="209"/>
      <c r="T277" s="209"/>
      <c r="U277" s="209"/>
      <c r="V277" s="209"/>
      <c r="W277" s="209"/>
    </row>
    <row r="278" spans="2:23">
      <c r="B278" s="280" t="s">
        <v>532</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196</v>
      </c>
      <c r="L278" s="209"/>
      <c r="M278" s="209"/>
      <c r="N278" s="209"/>
      <c r="O278" s="209"/>
      <c r="P278" s="209"/>
      <c r="Q278" s="209"/>
      <c r="R278" s="209"/>
      <c r="S278" s="209"/>
      <c r="T278" s="209"/>
      <c r="U278" s="209"/>
      <c r="V278" s="209"/>
      <c r="W278" s="209"/>
    </row>
    <row r="279" spans="2:23">
      <c r="B279" s="280" t="s">
        <v>533</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196</v>
      </c>
      <c r="L279" s="209"/>
      <c r="M279" s="209"/>
      <c r="N279" s="209"/>
      <c r="O279" s="209"/>
      <c r="P279" s="209"/>
      <c r="Q279" s="209"/>
      <c r="R279" s="209"/>
      <c r="S279" s="209"/>
      <c r="T279" s="209"/>
      <c r="U279" s="209"/>
      <c r="V279" s="209"/>
      <c r="W279" s="209"/>
    </row>
    <row r="280" spans="2:23">
      <c r="B280" s="280" t="s">
        <v>534</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196</v>
      </c>
      <c r="L280" s="209"/>
      <c r="M280" s="209"/>
      <c r="N280" s="209"/>
      <c r="O280" s="209"/>
      <c r="P280" s="209"/>
      <c r="Q280" s="209"/>
      <c r="R280" s="209"/>
      <c r="S280" s="209"/>
      <c r="T280" s="209"/>
      <c r="U280" s="209"/>
      <c r="V280" s="209"/>
      <c r="W280" s="209"/>
    </row>
    <row r="281" spans="2:23">
      <c r="B281" s="280" t="s">
        <v>535</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196</v>
      </c>
      <c r="L281" s="209"/>
      <c r="M281" s="209"/>
      <c r="N281" s="209"/>
      <c r="O281" s="209"/>
      <c r="P281" s="209"/>
      <c r="Q281" s="209"/>
      <c r="R281" s="209"/>
      <c r="S281" s="209"/>
      <c r="T281" s="209"/>
      <c r="U281" s="209"/>
      <c r="V281" s="209"/>
      <c r="W281" s="209"/>
    </row>
    <row r="282" spans="2:23">
      <c r="B282" s="280" t="s">
        <v>536</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196</v>
      </c>
      <c r="L282" s="209"/>
      <c r="M282" s="209"/>
      <c r="N282" s="209"/>
      <c r="O282" s="209"/>
      <c r="P282" s="209"/>
      <c r="Q282" s="209"/>
      <c r="R282" s="209"/>
      <c r="S282" s="209"/>
      <c r="T282" s="209"/>
      <c r="U282" s="209"/>
      <c r="V282" s="209"/>
      <c r="W282" s="209"/>
    </row>
    <row r="283" spans="2:23">
      <c r="B283" s="280" t="s">
        <v>537</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196</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29" zoomScaleNormal="29" topLeftCell="Q1" workbookViewId="0">
      <selection activeCell="AQ5" sqref="AQ5"/>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545</v>
      </c>
    </row>
    <row r="3" ht="14.55" customHeight="1" spans="1:55">
      <c r="D3" s="149" t="s">
        <v>546</v>
      </c>
      <c r="E3" s="149" t="s">
        <v>305</v>
      </c>
    </row>
    <row r="4" spans="1:55">
      <c r="D4" s="150" t="s">
        <v>261</v>
      </c>
      <c r="E4" s="150">
        <v>5.654</v>
      </c>
      <c r="F4" s="151"/>
      <c r="G4" s="151"/>
      <c r="H4" s="50"/>
      <c r="I4" s="50"/>
      <c r="J4" s="152"/>
      <c r="K4" s="152"/>
      <c r="L4" s="152" t="s">
        <v>193</v>
      </c>
      <c r="M4" s="152"/>
      <c r="N4" s="153"/>
      <c r="O4" s="153"/>
      <c r="P4" s="153"/>
      <c r="Q4" s="153"/>
      <c r="R4" s="152" t="s">
        <v>193</v>
      </c>
      <c r="S4" s="153"/>
      <c r="T4" s="153"/>
      <c r="U4" s="153"/>
      <c r="V4" s="153"/>
      <c r="W4" s="153"/>
      <c r="X4" s="152" t="s">
        <v>193</v>
      </c>
      <c r="Y4" s="153"/>
      <c r="Z4" s="153"/>
      <c r="AA4" s="153"/>
      <c r="AB4" s="153"/>
      <c r="AC4" s="153"/>
      <c r="AD4" s="153" t="s">
        <v>193</v>
      </c>
      <c r="AE4" s="153"/>
      <c r="AF4" s="153"/>
      <c r="AG4" s="153"/>
      <c r="AH4" s="153"/>
      <c r="AI4" s="153"/>
      <c r="AJ4" s="152" t="s">
        <v>193</v>
      </c>
      <c r="AK4" s="153"/>
      <c r="AL4" s="153"/>
      <c r="AM4" s="153"/>
      <c r="AN4" s="153"/>
      <c r="AO4" s="153"/>
      <c r="AP4" s="152" t="s">
        <v>193</v>
      </c>
      <c r="AQ4" s="153"/>
      <c r="AR4" s="154"/>
      <c r="AS4" s="154"/>
      <c r="AT4" s="153"/>
      <c r="AU4" s="153"/>
      <c r="AV4" s="152" t="s">
        <v>193</v>
      </c>
      <c r="AW4" s="153"/>
      <c r="AZ4" s="50"/>
      <c r="BA4" s="50"/>
      <c r="BB4" s="151" t="s">
        <v>193</v>
      </c>
      <c r="BC4" s="50"/>
    </row>
    <row r="5" spans="1:55">
      <c r="D5" s="150" t="s">
        <v>266</v>
      </c>
      <c r="E5" s="150">
        <v>6.645</v>
      </c>
      <c r="F5" s="155"/>
      <c r="G5" s="156"/>
      <c r="H5" s="50"/>
      <c r="I5" s="50"/>
      <c r="J5" s="157" t="s">
        <v>194</v>
      </c>
      <c r="K5" s="152" t="s">
        <v>80</v>
      </c>
      <c r="L5" s="158" t="s">
        <v>195</v>
      </c>
      <c r="M5" s="152">
        <v>2019</v>
      </c>
      <c r="N5" s="153"/>
      <c r="O5" s="153"/>
      <c r="P5" s="157" t="s">
        <v>194</v>
      </c>
      <c r="Q5" s="153" t="s">
        <v>80</v>
      </c>
      <c r="R5" s="153" t="s">
        <v>195</v>
      </c>
      <c r="S5" s="153">
        <v>2019</v>
      </c>
      <c r="T5" s="153"/>
      <c r="U5" s="153"/>
      <c r="V5" s="157" t="s">
        <v>194</v>
      </c>
      <c r="W5" s="153" t="s">
        <v>80</v>
      </c>
      <c r="X5" s="153" t="s">
        <v>195</v>
      </c>
      <c r="Y5" s="153">
        <v>2019</v>
      </c>
      <c r="Z5" s="153"/>
      <c r="AA5" s="153"/>
      <c r="AB5" s="157" t="s">
        <v>194</v>
      </c>
      <c r="AC5" s="153" t="s">
        <v>80</v>
      </c>
      <c r="AD5" s="153" t="s">
        <v>195</v>
      </c>
      <c r="AE5" s="153">
        <v>2019</v>
      </c>
      <c r="AF5" s="153"/>
      <c r="AG5" s="153"/>
      <c r="AH5" s="157" t="s">
        <v>194</v>
      </c>
      <c r="AI5" s="153" t="s">
        <v>80</v>
      </c>
      <c r="AJ5" s="153" t="s">
        <v>195</v>
      </c>
      <c r="AK5" s="153">
        <v>2019</v>
      </c>
      <c r="AL5" s="153"/>
      <c r="AM5" s="153"/>
      <c r="AN5" s="157" t="s">
        <v>194</v>
      </c>
      <c r="AO5" s="153" t="s">
        <v>80</v>
      </c>
      <c r="AP5" s="153" t="s">
        <v>195</v>
      </c>
      <c r="AQ5" s="153">
        <v>2019</v>
      </c>
      <c r="AR5" s="154"/>
      <c r="AS5" s="154"/>
      <c r="AT5" s="157" t="s">
        <v>194</v>
      </c>
      <c r="AU5" s="153" t="s">
        <v>80</v>
      </c>
      <c r="AV5" s="153" t="s">
        <v>195</v>
      </c>
      <c r="AW5" s="153">
        <v>2019</v>
      </c>
      <c r="AZ5" s="159" t="s">
        <v>194</v>
      </c>
      <c r="BA5" s="50" t="s">
        <v>80</v>
      </c>
      <c r="BB5" s="50" t="s">
        <v>195</v>
      </c>
      <c r="BC5" s="50">
        <v>2019</v>
      </c>
    </row>
    <row r="6" ht="16" spans="1:55">
      <c r="D6" s="150" t="s">
        <v>270</v>
      </c>
      <c r="E6" s="150">
        <v>5.363</v>
      </c>
      <c r="F6" s="155"/>
      <c r="G6" s="160"/>
      <c r="H6" s="50"/>
      <c r="I6" s="50"/>
      <c r="J6" s="152" t="s">
        <v>196</v>
      </c>
      <c r="K6" s="161" t="s">
        <v>182</v>
      </c>
      <c r="L6" s="142" t="s">
        <v>547</v>
      </c>
      <c r="M6" s="162">
        <f>T58</f>
        <v>0.0768666666666667</v>
      </c>
      <c r="N6" s="153"/>
      <c r="O6" s="153"/>
      <c r="P6" s="152" t="s">
        <v>196</v>
      </c>
      <c r="Q6" s="161" t="s">
        <v>183</v>
      </c>
      <c r="R6" s="142" t="s">
        <v>547</v>
      </c>
      <c r="S6" s="163">
        <f>U58</f>
        <v>0.0714333333333333</v>
      </c>
      <c r="T6" s="153"/>
      <c r="U6" s="153"/>
      <c r="V6" s="152" t="s">
        <v>196</v>
      </c>
      <c r="W6" s="161" t="s">
        <v>184</v>
      </c>
      <c r="X6" s="142" t="s">
        <v>547</v>
      </c>
      <c r="Y6" s="163">
        <f>V58</f>
        <v>0.0713333333333333</v>
      </c>
      <c r="Z6" s="153"/>
      <c r="AA6" s="153"/>
      <c r="AB6" s="152" t="s">
        <v>196</v>
      </c>
      <c r="AC6" s="161" t="s">
        <v>185</v>
      </c>
      <c r="AD6" s="142" t="s">
        <v>547</v>
      </c>
      <c r="AE6" s="163">
        <f>W58</f>
        <v>0.0725666666666666</v>
      </c>
      <c r="AF6" s="153"/>
      <c r="AG6" s="153"/>
      <c r="AH6" s="152" t="s">
        <v>196</v>
      </c>
      <c r="AI6" s="161" t="s">
        <v>181</v>
      </c>
      <c r="AJ6" s="142" t="s">
        <v>547</v>
      </c>
      <c r="AK6" s="163">
        <f>X58</f>
        <v>0.0771333333333333</v>
      </c>
      <c r="AL6" s="153"/>
      <c r="AM6" s="153"/>
      <c r="AN6" s="152" t="s">
        <v>196</v>
      </c>
      <c r="AO6" s="161" t="s">
        <v>180</v>
      </c>
      <c r="AP6" s="142" t="s">
        <v>547</v>
      </c>
      <c r="AQ6" s="163">
        <f>Y58</f>
        <v>0.0425333333333333</v>
      </c>
      <c r="AR6" s="154"/>
      <c r="AS6" s="154"/>
      <c r="AT6" s="152" t="s">
        <v>196</v>
      </c>
      <c r="AU6" s="161" t="s">
        <v>179</v>
      </c>
      <c r="AV6" s="142" t="s">
        <v>547</v>
      </c>
      <c r="AW6" s="163">
        <f>Z58</f>
        <v>0.0473</v>
      </c>
      <c r="AZ6" s="151" t="s">
        <v>196</v>
      </c>
      <c r="BA6" s="164" t="s">
        <v>198</v>
      </c>
      <c r="BB6" s="137" t="s">
        <v>547</v>
      </c>
      <c r="BC6" s="165">
        <v>0.0473</v>
      </c>
    </row>
    <row r="7" ht="16" spans="1:55">
      <c r="D7" s="150" t="s">
        <v>276</v>
      </c>
      <c r="E7" s="150">
        <v>5.937</v>
      </c>
      <c r="F7" s="155"/>
      <c r="G7" s="160"/>
      <c r="H7" s="50"/>
      <c r="I7" s="50"/>
      <c r="J7" s="152" t="s">
        <v>196</v>
      </c>
      <c r="K7" s="161" t="s">
        <v>182</v>
      </c>
      <c r="L7" s="142" t="s">
        <v>548</v>
      </c>
      <c r="M7" s="162">
        <f>T59</f>
        <v>0.218266666666667</v>
      </c>
      <c r="N7" s="153"/>
      <c r="O7" s="153"/>
      <c r="P7" s="152" t="s">
        <v>196</v>
      </c>
      <c r="Q7" s="161" t="s">
        <v>183</v>
      </c>
      <c r="R7" s="142" t="s">
        <v>548</v>
      </c>
      <c r="S7" s="163">
        <f>U59</f>
        <v>0.2069</v>
      </c>
      <c r="T7" s="153"/>
      <c r="U7" s="153"/>
      <c r="V7" s="152" t="s">
        <v>196</v>
      </c>
      <c r="W7" s="161" t="s">
        <v>184</v>
      </c>
      <c r="X7" s="142" t="s">
        <v>548</v>
      </c>
      <c r="Y7" s="163">
        <f>V59</f>
        <v>0.207166666666667</v>
      </c>
      <c r="Z7" s="153"/>
      <c r="AA7" s="153"/>
      <c r="AB7" s="152" t="s">
        <v>196</v>
      </c>
      <c r="AC7" s="161" t="s">
        <v>185</v>
      </c>
      <c r="AD7" s="142" t="s">
        <v>548</v>
      </c>
      <c r="AE7" s="163">
        <f>W59</f>
        <v>0.2015</v>
      </c>
      <c r="AF7" s="153"/>
      <c r="AG7" s="153"/>
      <c r="AH7" s="152" t="s">
        <v>196</v>
      </c>
      <c r="AI7" s="161" t="s">
        <v>181</v>
      </c>
      <c r="AJ7" s="142" t="s">
        <v>548</v>
      </c>
      <c r="AK7" s="163">
        <f>X59</f>
        <v>0.213833333333333</v>
      </c>
      <c r="AL7" s="153"/>
      <c r="AM7" s="153"/>
      <c r="AN7" s="152" t="s">
        <v>196</v>
      </c>
      <c r="AO7" s="161" t="s">
        <v>180</v>
      </c>
      <c r="AP7" s="142" t="s">
        <v>548</v>
      </c>
      <c r="AQ7" s="163">
        <f>Y59</f>
        <v>0.0924666666666667</v>
      </c>
      <c r="AR7" s="154"/>
      <c r="AS7" s="154"/>
      <c r="AT7" s="152" t="s">
        <v>196</v>
      </c>
      <c r="AU7" s="161" t="s">
        <v>179</v>
      </c>
      <c r="AV7" s="142" t="s">
        <v>548</v>
      </c>
      <c r="AW7" s="163">
        <f>Z59</f>
        <v>0.171166666666667</v>
      </c>
      <c r="AZ7" s="151" t="s">
        <v>196</v>
      </c>
      <c r="BA7" s="164" t="str">
        <f>BA6</f>
        <v>Tra_EV_Batt-Sodium_virgin</v>
      </c>
      <c r="BB7" s="137" t="s">
        <v>548</v>
      </c>
      <c r="BC7" s="165">
        <v>0.171166666666667</v>
      </c>
    </row>
    <row r="8" ht="14.55" customHeight="1" spans="1:55">
      <c r="D8" s="150" t="s">
        <v>281</v>
      </c>
      <c r="E8" s="150">
        <v>5.845</v>
      </c>
      <c r="F8" s="155"/>
      <c r="G8" s="160"/>
      <c r="H8" s="50"/>
      <c r="I8" s="50"/>
      <c r="J8" s="152" t="s">
        <v>196</v>
      </c>
      <c r="K8" s="161" t="s">
        <v>182</v>
      </c>
      <c r="L8" s="142" t="s">
        <v>549</v>
      </c>
      <c r="M8" s="162">
        <f>T60</f>
        <v>0.573166666666667</v>
      </c>
      <c r="N8" s="153"/>
      <c r="O8" s="153"/>
      <c r="P8" s="152" t="s">
        <v>196</v>
      </c>
      <c r="Q8" s="161" t="s">
        <v>183</v>
      </c>
      <c r="R8" s="142" t="s">
        <v>549</v>
      </c>
      <c r="S8" s="163">
        <f>U60</f>
        <v>0.545466666666667</v>
      </c>
      <c r="T8" s="153"/>
      <c r="U8" s="153"/>
      <c r="V8" s="152" t="s">
        <v>196</v>
      </c>
      <c r="W8" s="161" t="s">
        <v>184</v>
      </c>
      <c r="X8" s="142" t="s">
        <v>549</v>
      </c>
      <c r="Y8" s="163">
        <f>V60</f>
        <v>0.547266666666667</v>
      </c>
      <c r="Z8" s="153"/>
      <c r="AA8" s="153"/>
      <c r="AB8" s="152" t="s">
        <v>196</v>
      </c>
      <c r="AC8" s="161" t="s">
        <v>185</v>
      </c>
      <c r="AD8" s="142" t="s">
        <v>549</v>
      </c>
      <c r="AE8" s="163">
        <f>W60</f>
        <v>0.539833333333333</v>
      </c>
      <c r="AF8" s="153"/>
      <c r="AG8" s="153"/>
      <c r="AH8" s="152" t="s">
        <v>196</v>
      </c>
      <c r="AI8" s="161" t="s">
        <v>181</v>
      </c>
      <c r="AJ8" s="142" t="s">
        <v>549</v>
      </c>
      <c r="AK8" s="163">
        <f>X60</f>
        <v>0.583566666666667</v>
      </c>
      <c r="AL8" s="153"/>
      <c r="AM8" s="153"/>
      <c r="AN8" s="152" t="s">
        <v>196</v>
      </c>
      <c r="AO8" s="161" t="s">
        <v>180</v>
      </c>
      <c r="AP8" s="142" t="s">
        <v>549</v>
      </c>
      <c r="AQ8" s="163">
        <f>Y60</f>
        <v>0.399233333333333</v>
      </c>
      <c r="AR8" s="154"/>
      <c r="AS8" s="154"/>
      <c r="AT8" s="152" t="s">
        <v>196</v>
      </c>
      <c r="AU8" s="161" t="s">
        <v>179</v>
      </c>
      <c r="AV8" s="142" t="s">
        <v>549</v>
      </c>
      <c r="AW8" s="163">
        <f>Z60</f>
        <v>0.466366666666667</v>
      </c>
      <c r="AZ8" s="151" t="s">
        <v>196</v>
      </c>
      <c r="BA8" s="164" t="str">
        <f>BA7</f>
        <v>Tra_EV_Batt-Sodium_virgin</v>
      </c>
      <c r="BB8" s="137" t="s">
        <v>549</v>
      </c>
      <c r="BC8" s="165">
        <v>0.466366666666667</v>
      </c>
    </row>
    <row r="9" ht="16" spans="1:55">
      <c r="D9" s="150" t="s">
        <v>288</v>
      </c>
      <c r="E9" s="150">
        <v>5.575</v>
      </c>
      <c r="F9" s="155"/>
      <c r="G9" s="160"/>
      <c r="H9" s="50"/>
      <c r="I9" s="50"/>
      <c r="J9" s="152" t="s">
        <v>196</v>
      </c>
      <c r="K9" s="161" t="s">
        <v>182</v>
      </c>
      <c r="L9" s="142" t="s">
        <v>550</v>
      </c>
      <c r="M9" s="162">
        <f>T61</f>
        <v>0.1279</v>
      </c>
      <c r="N9" s="153"/>
      <c r="O9" s="153"/>
      <c r="P9" s="152" t="s">
        <v>196</v>
      </c>
      <c r="Q9" s="161" t="s">
        <v>183</v>
      </c>
      <c r="R9" s="142" t="s">
        <v>550</v>
      </c>
      <c r="S9" s="163">
        <f>U61</f>
        <v>0.134133333333333</v>
      </c>
      <c r="T9" s="153"/>
      <c r="U9" s="153"/>
      <c r="V9" s="152" t="s">
        <v>196</v>
      </c>
      <c r="W9" s="161" t="s">
        <v>184</v>
      </c>
      <c r="X9" s="142" t="s">
        <v>550</v>
      </c>
      <c r="Y9" s="163">
        <f>V61</f>
        <v>0.140733333333333</v>
      </c>
      <c r="Z9" s="153"/>
      <c r="AA9" s="153"/>
      <c r="AB9" s="152" t="s">
        <v>196</v>
      </c>
      <c r="AC9" s="161" t="s">
        <v>185</v>
      </c>
      <c r="AD9" s="142" t="s">
        <v>550</v>
      </c>
      <c r="AE9" s="163">
        <f>W61</f>
        <v>0.150333333333333</v>
      </c>
      <c r="AF9" s="153"/>
      <c r="AG9" s="153"/>
      <c r="AH9" s="152" t="s">
        <v>196</v>
      </c>
      <c r="AI9" s="161" t="s">
        <v>181</v>
      </c>
      <c r="AJ9" s="142" t="s">
        <v>550</v>
      </c>
      <c r="AK9" s="163">
        <f>X61</f>
        <v>0.161266666666667</v>
      </c>
      <c r="AL9" s="153"/>
      <c r="AM9" s="153"/>
      <c r="AN9" s="152" t="s">
        <v>196</v>
      </c>
      <c r="AO9" s="161" t="s">
        <v>180</v>
      </c>
      <c r="AP9" s="142" t="s">
        <v>550</v>
      </c>
      <c r="AQ9" s="163">
        <f>Y61</f>
        <v>0.0574</v>
      </c>
      <c r="AR9" s="154"/>
      <c r="AS9" s="154"/>
      <c r="AT9" s="152" t="s">
        <v>196</v>
      </c>
      <c r="AU9" s="161" t="s">
        <v>179</v>
      </c>
      <c r="AV9" s="142" t="s">
        <v>550</v>
      </c>
      <c r="AW9" s="163">
        <f>Z61</f>
        <v>0.0956666666666667</v>
      </c>
      <c r="AZ9" s="151" t="s">
        <v>196</v>
      </c>
      <c r="BA9" s="164" t="str">
        <f>BA8</f>
        <v>Tra_EV_Batt-Sodium_virgin</v>
      </c>
      <c r="BB9" s="137" t="s">
        <v>550</v>
      </c>
      <c r="BC9" s="165">
        <v>0.0956666666666667</v>
      </c>
    </row>
    <row r="10" spans="1:55">
      <c r="D10" s="150" t="s">
        <v>294</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551</v>
      </c>
      <c r="AD21" t="s">
        <v>551</v>
      </c>
    </row>
    <row r="22" ht="15.5" spans="4:39">
      <c r="D22" s="122" t="s">
        <v>552</v>
      </c>
      <c r="E22" s="122" t="s">
        <v>553</v>
      </c>
      <c r="F22" s="122"/>
      <c r="G22" s="122"/>
      <c r="H22" s="122" t="s">
        <v>554</v>
      </c>
      <c r="I22" s="122"/>
      <c r="Q22" s="173" t="s">
        <v>555</v>
      </c>
      <c r="R22" s="173" t="s">
        <v>556</v>
      </c>
      <c r="S22" s="174" t="s">
        <v>557</v>
      </c>
      <c r="T22" s="174"/>
      <c r="U22" s="174"/>
      <c r="V22" s="174"/>
      <c r="W22" s="174"/>
      <c r="X22" s="174"/>
      <c r="Y22" s="174"/>
      <c r="Z22" s="174"/>
      <c r="AD22" s="173" t="s">
        <v>555</v>
      </c>
      <c r="AE22" s="173" t="s">
        <v>558</v>
      </c>
      <c r="AF22" s="174" t="s">
        <v>557</v>
      </c>
      <c r="AG22" s="174"/>
      <c r="AH22" s="174"/>
      <c r="AI22" s="174"/>
      <c r="AJ22" s="174"/>
      <c r="AK22" s="174"/>
      <c r="AL22" s="174"/>
      <c r="AM22" s="174"/>
    </row>
    <row r="23" ht="15.5" spans="4:39">
      <c r="D23" s="122"/>
      <c r="E23" s="122"/>
      <c r="F23" s="122"/>
      <c r="G23" s="122"/>
      <c r="H23" s="122"/>
      <c r="I23" s="122"/>
      <c r="L23" t="s">
        <v>301</v>
      </c>
      <c r="Q23" s="173"/>
      <c r="R23" s="173"/>
      <c r="S23" s="174" t="s">
        <v>559</v>
      </c>
      <c r="T23" s="174" t="s">
        <v>276</v>
      </c>
      <c r="U23" s="174" t="s">
        <v>281</v>
      </c>
      <c r="V23" s="174" t="s">
        <v>288</v>
      </c>
      <c r="W23" s="174" t="s">
        <v>294</v>
      </c>
      <c r="X23" s="174" t="s">
        <v>270</v>
      </c>
      <c r="Y23" s="174" t="s">
        <v>560</v>
      </c>
      <c r="Z23" s="174" t="s">
        <v>561</v>
      </c>
      <c r="AD23" s="173"/>
      <c r="AE23" s="173"/>
      <c r="AF23" s="174" t="s">
        <v>559</v>
      </c>
      <c r="AG23" s="174" t="s">
        <v>276</v>
      </c>
      <c r="AH23" s="174" t="s">
        <v>281</v>
      </c>
      <c r="AI23" s="174" t="s">
        <v>288</v>
      </c>
      <c r="AJ23" s="174" t="s">
        <v>294</v>
      </c>
      <c r="AK23" s="174" t="s">
        <v>270</v>
      </c>
      <c r="AL23" s="174" t="s">
        <v>560</v>
      </c>
      <c r="AM23" s="174" t="s">
        <v>561</v>
      </c>
    </row>
    <row r="24" ht="15.5" spans="4:39">
      <c r="D24" s="122"/>
      <c r="E24" s="122"/>
      <c r="F24" s="122"/>
      <c r="G24" s="122"/>
      <c r="H24" s="122"/>
      <c r="I24" s="122"/>
      <c r="L24" t="s">
        <v>303</v>
      </c>
      <c r="Q24" s="173" t="s">
        <v>562</v>
      </c>
      <c r="R24" s="175" t="s">
        <v>563</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562</v>
      </c>
      <c r="AE24" s="175" t="s">
        <v>563</v>
      </c>
      <c r="AF24" s="176">
        <v>1211.3</v>
      </c>
      <c r="AG24" s="176">
        <v>990.7</v>
      </c>
      <c r="AH24" s="176">
        <v>952.4</v>
      </c>
      <c r="AI24" s="176">
        <v>961</v>
      </c>
      <c r="AJ24" s="176">
        <v>958.7</v>
      </c>
      <c r="AK24" s="176">
        <v>1030.2</v>
      </c>
      <c r="AL24" s="176">
        <v>586.1</v>
      </c>
      <c r="AM24" s="176">
        <v>775</v>
      </c>
    </row>
    <row r="25" ht="15.5" spans="4:39">
      <c r="D25" s="122" t="s">
        <v>564</v>
      </c>
      <c r="E25" s="177">
        <v>0.849885259424328</v>
      </c>
      <c r="F25" s="122"/>
      <c r="G25" s="122"/>
      <c r="H25" s="122"/>
      <c r="I25" s="177"/>
      <c r="L25" t="s">
        <v>306</v>
      </c>
      <c r="Q25" s="173"/>
      <c r="R25" s="175" t="s">
        <v>565</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565</v>
      </c>
      <c r="AF25" s="176">
        <v>1103.7</v>
      </c>
      <c r="AG25" s="176">
        <v>913.9</v>
      </c>
      <c r="AH25" s="176">
        <v>881.1</v>
      </c>
      <c r="AI25" s="176">
        <v>889.8</v>
      </c>
      <c r="AJ25" s="176">
        <v>886.2</v>
      </c>
      <c r="AK25" s="176">
        <v>953.2</v>
      </c>
      <c r="AL25" s="176">
        <v>543.7</v>
      </c>
      <c r="AM25" s="176">
        <v>727.8</v>
      </c>
    </row>
    <row r="26" ht="16" spans="4:39">
      <c r="D26" s="178" t="s">
        <v>566</v>
      </c>
      <c r="E26" s="177">
        <v>0.3112562174477</v>
      </c>
      <c r="F26" s="122"/>
      <c r="G26" s="122"/>
      <c r="H26" s="178" t="s">
        <v>564</v>
      </c>
      <c r="I26" s="177">
        <v>0.0771418690026146</v>
      </c>
      <c r="L26" t="s">
        <v>308</v>
      </c>
      <c r="Q26" s="173"/>
      <c r="R26" s="175" t="s">
        <v>567</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567</v>
      </c>
      <c r="AF26" s="176">
        <v>267.3</v>
      </c>
      <c r="AG26" s="176">
        <v>202.6</v>
      </c>
      <c r="AH26" s="176">
        <v>191.3</v>
      </c>
      <c r="AI26" s="176">
        <v>191.5</v>
      </c>
      <c r="AJ26" s="176">
        <v>185.9</v>
      </c>
      <c r="AK26" s="176">
        <v>198.2</v>
      </c>
      <c r="AL26" s="176">
        <v>76.8</v>
      </c>
      <c r="AM26" s="176">
        <v>155.5</v>
      </c>
    </row>
    <row r="27" ht="15.5" spans="4:39">
      <c r="D27" s="122" t="s">
        <v>568</v>
      </c>
      <c r="E27" s="177">
        <v>0.350548191468732</v>
      </c>
      <c r="F27" s="122"/>
      <c r="G27" s="122"/>
      <c r="H27" s="122" t="s">
        <v>566</v>
      </c>
      <c r="I27" s="177">
        <v>0.173447629484096</v>
      </c>
      <c r="Q27" s="173"/>
      <c r="R27" s="175" t="s">
        <v>569</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569</v>
      </c>
      <c r="AF27" s="176">
        <v>692.5</v>
      </c>
      <c r="AG27" s="176">
        <v>583.8</v>
      </c>
      <c r="AH27" s="176">
        <v>556.1</v>
      </c>
      <c r="AI27" s="176">
        <v>557.9</v>
      </c>
      <c r="AJ27" s="176">
        <v>550.5</v>
      </c>
      <c r="AK27" s="176">
        <v>594.2</v>
      </c>
      <c r="AL27" s="176">
        <v>409.9</v>
      </c>
      <c r="AM27" s="176">
        <v>477</v>
      </c>
    </row>
    <row r="28" ht="15.5" spans="4:39">
      <c r="D28" s="122" t="s">
        <v>210</v>
      </c>
      <c r="E28" s="177">
        <v>0.0931782486350968</v>
      </c>
      <c r="F28" s="122"/>
      <c r="G28" s="122"/>
      <c r="H28" s="122" t="s">
        <v>568</v>
      </c>
      <c r="I28" s="177">
        <v>0.164771576734476</v>
      </c>
      <c r="Q28" s="173"/>
      <c r="R28" s="175" t="s">
        <v>570</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570</v>
      </c>
      <c r="AF28" s="176">
        <v>144</v>
      </c>
      <c r="AG28" s="176">
        <v>127.5</v>
      </c>
      <c r="AH28" s="176">
        <v>133.7</v>
      </c>
      <c r="AI28" s="176">
        <v>140.3</v>
      </c>
      <c r="AJ28" s="176">
        <v>149.9</v>
      </c>
      <c r="AK28" s="176">
        <v>160.8</v>
      </c>
      <c r="AL28" s="176">
        <v>57</v>
      </c>
      <c r="AM28" s="176">
        <v>95.2</v>
      </c>
    </row>
    <row r="29" ht="15.5" spans="4:39">
      <c r="D29" s="122"/>
      <c r="E29" s="122"/>
      <c r="F29" s="122"/>
      <c r="G29" s="122"/>
      <c r="H29" t="s">
        <v>210</v>
      </c>
      <c r="I29">
        <v>0.0271220715202237</v>
      </c>
      <c r="Q29" s="173" t="s">
        <v>422</v>
      </c>
      <c r="R29" s="175" t="s">
        <v>563</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422</v>
      </c>
      <c r="AE29" s="175" t="s">
        <v>563</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565</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565</v>
      </c>
      <c r="AF30" s="176">
        <v>1109.8</v>
      </c>
      <c r="AG30" s="176">
        <v>920</v>
      </c>
      <c r="AH30" s="176">
        <v>887.2</v>
      </c>
      <c r="AI30" s="176">
        <v>895.9</v>
      </c>
      <c r="AJ30" s="176">
        <v>892.3</v>
      </c>
      <c r="AK30" s="176">
        <v>959.3</v>
      </c>
      <c r="AL30" s="176">
        <v>549.8</v>
      </c>
      <c r="AM30" s="176">
        <v>733.9</v>
      </c>
    </row>
    <row r="31" ht="15.5" spans="4:39">
      <c r="D31" s="122" t="s">
        <v>571</v>
      </c>
      <c r="E31" s="122"/>
      <c r="F31" s="122"/>
      <c r="G31" s="122"/>
      <c r="H31" s="122" t="s">
        <v>572</v>
      </c>
      <c r="I31" s="122"/>
      <c r="Q31" s="173"/>
      <c r="R31" s="175" t="s">
        <v>567</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567</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569</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569</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570</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570</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431</v>
      </c>
      <c r="R34" s="175" t="s">
        <v>563</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431</v>
      </c>
      <c r="AE34" s="175" t="s">
        <v>563</v>
      </c>
      <c r="AF34" s="176">
        <v>1222.2</v>
      </c>
      <c r="AG34" s="176">
        <v>1001.5</v>
      </c>
      <c r="AH34" s="176">
        <v>963.3</v>
      </c>
      <c r="AI34" s="176">
        <v>971.9</v>
      </c>
      <c r="AJ34" s="176">
        <v>969.5</v>
      </c>
      <c r="AK34" s="176">
        <v>1041.1</v>
      </c>
      <c r="AL34" s="176">
        <v>597</v>
      </c>
      <c r="AM34" s="176">
        <v>785.8</v>
      </c>
    </row>
    <row r="35" ht="15.5" spans="4:39">
      <c r="D35" s="122" t="s">
        <v>564</v>
      </c>
      <c r="E35" s="177">
        <v>0.0855073856427328</v>
      </c>
      <c r="F35" s="122"/>
      <c r="G35" s="122"/>
      <c r="H35" s="122" t="s">
        <v>564</v>
      </c>
      <c r="I35" s="177">
        <v>0.00754366993411565</v>
      </c>
      <c r="Q35" s="173"/>
      <c r="R35" s="175" t="s">
        <v>565</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565</v>
      </c>
      <c r="AF35" s="176">
        <v>1113.9</v>
      </c>
      <c r="AG35" s="176">
        <v>924.1</v>
      </c>
      <c r="AH35" s="176">
        <v>891.3</v>
      </c>
      <c r="AI35" s="176">
        <v>900</v>
      </c>
      <c r="AJ35" s="176">
        <v>896.4</v>
      </c>
      <c r="AK35" s="176">
        <v>963.4</v>
      </c>
      <c r="AL35" s="176">
        <v>553.9</v>
      </c>
      <c r="AM35" s="176">
        <v>738</v>
      </c>
    </row>
    <row r="36" ht="16" spans="4:39">
      <c r="D36" s="178" t="s">
        <v>566</v>
      </c>
      <c r="E36" s="177">
        <v>0.243549068348169</v>
      </c>
      <c r="F36" s="122"/>
      <c r="G36" s="122"/>
      <c r="H36" s="178" t="s">
        <v>566</v>
      </c>
      <c r="I36" s="177">
        <v>0.00964402202282824</v>
      </c>
      <c r="Q36" s="173"/>
      <c r="R36" s="175" t="s">
        <v>567</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567</v>
      </c>
      <c r="AF36" s="176">
        <v>301.2</v>
      </c>
      <c r="AG36" s="176">
        <v>236.6</v>
      </c>
      <c r="AH36" s="176">
        <v>225.2</v>
      </c>
      <c r="AI36" s="176">
        <v>225.5</v>
      </c>
      <c r="AJ36" s="176">
        <v>219.8</v>
      </c>
      <c r="AK36" s="176">
        <v>232.2</v>
      </c>
      <c r="AL36" s="176">
        <v>110.8</v>
      </c>
      <c r="AM36" s="176">
        <v>189.5</v>
      </c>
    </row>
    <row r="37" ht="15.5" spans="4:39">
      <c r="D37" s="122" t="s">
        <v>568</v>
      </c>
      <c r="E37" s="177">
        <v>0.0737387019806453</v>
      </c>
      <c r="F37" s="122"/>
      <c r="G37" s="122"/>
      <c r="H37" s="122" t="s">
        <v>568</v>
      </c>
      <c r="I37" s="177">
        <v>0.0033822506091063</v>
      </c>
      <c r="Q37" s="173"/>
      <c r="R37" s="175" t="s">
        <v>569</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569</v>
      </c>
      <c r="AF37" s="176">
        <v>668.4</v>
      </c>
      <c r="AG37" s="176">
        <v>559.8</v>
      </c>
      <c r="AH37" s="176">
        <v>532.1</v>
      </c>
      <c r="AI37" s="176">
        <v>533.9</v>
      </c>
      <c r="AJ37" s="176">
        <v>526.4</v>
      </c>
      <c r="AK37" s="176">
        <v>570.2</v>
      </c>
      <c r="AL37" s="176">
        <v>385.8</v>
      </c>
      <c r="AM37" s="176">
        <v>453</v>
      </c>
    </row>
    <row r="38" ht="15.5" spans="4:39">
      <c r="D38" s="122" t="s">
        <v>210</v>
      </c>
      <c r="E38" s="177">
        <v>0.0493834170867725</v>
      </c>
      <c r="F38" s="122"/>
      <c r="G38" s="122"/>
      <c r="H38" s="122" t="s">
        <v>210</v>
      </c>
      <c r="I38" s="177">
        <v>0.00443422496396983</v>
      </c>
      <c r="Q38" s="173"/>
      <c r="R38" s="175" t="s">
        <v>570</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570</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573</v>
      </c>
      <c r="R40" s="174"/>
      <c r="S40" s="174"/>
      <c r="T40" s="174"/>
      <c r="U40" s="174"/>
      <c r="V40" s="174"/>
      <c r="W40" s="174"/>
      <c r="X40" s="174"/>
      <c r="Y40" s="174"/>
      <c r="Z40" s="174"/>
      <c r="AD40" s="174" t="s">
        <v>573</v>
      </c>
      <c r="AE40" s="174"/>
      <c r="AF40" s="174"/>
      <c r="AG40" s="174"/>
      <c r="AH40" s="174"/>
      <c r="AI40" s="174"/>
      <c r="AJ40" s="174"/>
      <c r="AK40" s="174"/>
      <c r="AL40" s="174"/>
      <c r="AM40" s="174"/>
    </row>
    <row r="41" ht="15.5" spans="4:39">
      <c r="D41" s="122" t="s">
        <v>574</v>
      </c>
      <c r="E41" s="122"/>
      <c r="F41" s="122"/>
      <c r="G41" s="122"/>
      <c r="H41" s="122" t="s">
        <v>575</v>
      </c>
      <c r="I41" s="122"/>
    </row>
    <row r="42" ht="15.5" spans="4:39">
      <c r="D42" s="122"/>
      <c r="E42" s="122"/>
      <c r="F42" s="122"/>
      <c r="G42" s="122"/>
      <c r="H42" s="122"/>
      <c r="I42" s="122"/>
    </row>
    <row r="43" ht="15.5" spans="4:39">
      <c r="D43" s="122"/>
      <c r="E43" s="122"/>
      <c r="F43" s="122"/>
      <c r="G43" s="122"/>
      <c r="H43" s="122"/>
      <c r="I43" s="122"/>
      <c r="S43" s="174" t="s">
        <v>559</v>
      </c>
      <c r="T43" s="174" t="s">
        <v>276</v>
      </c>
      <c r="U43" s="174" t="s">
        <v>281</v>
      </c>
      <c r="V43" s="174" t="s">
        <v>288</v>
      </c>
      <c r="W43" s="174" t="s">
        <v>294</v>
      </c>
      <c r="X43" s="174" t="s">
        <v>270</v>
      </c>
      <c r="Y43" s="174" t="s">
        <v>560</v>
      </c>
      <c r="Z43" s="174" t="s">
        <v>561</v>
      </c>
      <c r="AD43" s="179" t="s">
        <v>576</v>
      </c>
      <c r="AE43" s="179" t="s">
        <v>558</v>
      </c>
      <c r="AF43" s="179" t="s">
        <v>577</v>
      </c>
      <c r="AG43" s="179"/>
      <c r="AH43" s="179"/>
      <c r="AI43" s="179"/>
      <c r="AJ43" s="179"/>
      <c r="AK43" s="179"/>
      <c r="AL43" s="179"/>
      <c r="AM43" s="179"/>
    </row>
    <row r="44" ht="15.5" spans="4:39">
      <c r="D44" s="122"/>
      <c r="E44" s="122"/>
      <c r="F44" s="122"/>
      <c r="G44" s="122"/>
      <c r="H44" s="122"/>
      <c r="I44" s="122"/>
      <c r="Q44" s="97" t="s">
        <v>562</v>
      </c>
      <c r="R44" s="97" t="s">
        <v>210</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578</v>
      </c>
      <c r="AG44" s="181" t="s">
        <v>276</v>
      </c>
      <c r="AH44" s="181" t="s">
        <v>281</v>
      </c>
      <c r="AI44" s="181" t="s">
        <v>288</v>
      </c>
      <c r="AJ44" s="181" t="s">
        <v>294</v>
      </c>
      <c r="AK44" s="181" t="s">
        <v>270</v>
      </c>
      <c r="AL44" s="181" t="s">
        <v>440</v>
      </c>
      <c r="AM44" s="181" t="s">
        <v>438</v>
      </c>
    </row>
    <row r="45" ht="15.5" spans="4:39">
      <c r="D45" s="122" t="s">
        <v>564</v>
      </c>
      <c r="E45" s="177">
        <v>0.000928132911392405</v>
      </c>
      <c r="F45" s="122"/>
      <c r="G45" s="122"/>
      <c r="H45" s="122" t="s">
        <v>564</v>
      </c>
      <c r="I45" s="177">
        <v>0.0163858049041521</v>
      </c>
      <c r="Q45" s="97"/>
      <c r="R45" s="182" t="s">
        <v>567</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562</v>
      </c>
      <c r="AE45" s="183" t="s">
        <v>579</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566</v>
      </c>
      <c r="E46" s="177">
        <v>0.00161588607594937</v>
      </c>
      <c r="F46" s="122"/>
      <c r="G46" s="122"/>
      <c r="H46" s="178" t="s">
        <v>566</v>
      </c>
      <c r="I46" s="177">
        <v>0.0223155838561589</v>
      </c>
      <c r="Q46" s="97"/>
      <c r="R46" s="182" t="s">
        <v>569</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580</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568</v>
      </c>
      <c r="E47" s="177">
        <v>0.00227025316455696</v>
      </c>
      <c r="F47" s="122"/>
      <c r="G47" s="122"/>
      <c r="H47" s="122" t="s">
        <v>568</v>
      </c>
      <c r="I47" s="177">
        <v>0.00895182580411215</v>
      </c>
      <c r="Q47" s="97"/>
      <c r="R47" s="182" t="s">
        <v>570</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581</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210</v>
      </c>
      <c r="E48" s="177">
        <v>0.000520822784810127</v>
      </c>
      <c r="F48" s="122"/>
      <c r="G48" s="122"/>
      <c r="H48" s="122" t="s">
        <v>210</v>
      </c>
      <c r="I48" s="177">
        <v>0.011493567371473</v>
      </c>
      <c r="Q48" s="97" t="s">
        <v>422</v>
      </c>
      <c r="R48" s="97" t="s">
        <v>210</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582</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567</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422</v>
      </c>
      <c r="AE49" s="183" t="s">
        <v>579</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569</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580</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583</v>
      </c>
      <c r="E51" s="122"/>
      <c r="F51" s="122"/>
      <c r="G51" s="122"/>
      <c r="H51" s="122"/>
      <c r="I51" s="122"/>
      <c r="Q51" s="97"/>
      <c r="R51" s="182" t="s">
        <v>570</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581</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431</v>
      </c>
      <c r="R52" s="97" t="s">
        <v>210</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582</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567</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431</v>
      </c>
      <c r="AE53" s="183" t="s">
        <v>579</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569</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580</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564</v>
      </c>
      <c r="E55" s="177">
        <v>0.012897375</v>
      </c>
      <c r="F55" s="122"/>
      <c r="G55" s="122"/>
      <c r="H55" s="122"/>
      <c r="I55" s="122"/>
      <c r="Q55" s="97"/>
      <c r="R55" s="182" t="s">
        <v>570</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581</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566</v>
      </c>
      <c r="E56" s="177">
        <v>0.040563695</v>
      </c>
      <c r="F56" s="122"/>
      <c r="G56" s="122"/>
      <c r="H56" s="122"/>
      <c r="I56" s="122"/>
      <c r="AD56" s="179"/>
      <c r="AE56" s="183" t="s">
        <v>582</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568</v>
      </c>
      <c r="E57" s="177">
        <v>0.03346882</v>
      </c>
      <c r="F57" s="122"/>
      <c r="G57" s="122"/>
      <c r="H57" s="122"/>
      <c r="I57" s="122"/>
      <c r="AD57" s="185" t="s">
        <v>584</v>
      </c>
      <c r="AE57" s="183" t="s">
        <v>579</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210</v>
      </c>
      <c r="E58" s="177">
        <v>0.004364535</v>
      </c>
      <c r="F58" s="122"/>
      <c r="G58" s="122"/>
      <c r="H58" s="122"/>
      <c r="I58" s="122"/>
      <c r="Q58" s="97" t="s">
        <v>585</v>
      </c>
      <c r="R58" s="97" t="s">
        <v>210</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580</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567</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581</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569</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582</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570</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586</v>
      </c>
      <c r="D68" s="188" t="s">
        <v>80</v>
      </c>
      <c r="E68" s="188" t="s">
        <v>195</v>
      </c>
      <c r="F68" s="188">
        <v>2019</v>
      </c>
      <c r="G68" s="189"/>
      <c r="H68" s="188" t="s">
        <v>80</v>
      </c>
      <c r="I68" s="188" t="s">
        <v>195</v>
      </c>
      <c r="J68" s="188">
        <v>2019</v>
      </c>
      <c r="K68" s="189"/>
      <c r="L68" s="188" t="s">
        <v>80</v>
      </c>
      <c r="M68" s="188" t="s">
        <v>195</v>
      </c>
      <c r="N68" s="188">
        <v>2019</v>
      </c>
      <c r="O68" s="189"/>
      <c r="P68" s="188" t="s">
        <v>80</v>
      </c>
      <c r="Q68" s="188" t="s">
        <v>195</v>
      </c>
      <c r="R68" s="188">
        <v>2019</v>
      </c>
      <c r="S68" s="189"/>
      <c r="T68" s="188" t="s">
        <v>80</v>
      </c>
      <c r="U68" s="188" t="s">
        <v>195</v>
      </c>
      <c r="V68" s="188">
        <v>2019</v>
      </c>
      <c r="W68" s="189"/>
      <c r="X68" s="188" t="s">
        <v>80</v>
      </c>
      <c r="Y68" s="188" t="s">
        <v>195</v>
      </c>
      <c r="Z68" s="188">
        <v>2019</v>
      </c>
      <c r="AA68" s="189"/>
      <c r="AB68" s="188" t="s">
        <v>80</v>
      </c>
      <c r="AC68" s="188" t="s">
        <v>195</v>
      </c>
      <c r="AD68" s="188">
        <v>2019</v>
      </c>
    </row>
    <row r="69" s="148" customFormat="1" ht="15.5" spans="1:30">
      <c r="D69" s="189" t="s">
        <v>388</v>
      </c>
      <c r="E69" s="190" t="s">
        <v>566</v>
      </c>
      <c r="F69" s="189">
        <v>0.00359735099337748</v>
      </c>
      <c r="G69" s="189"/>
      <c r="H69" s="189" t="s">
        <v>389</v>
      </c>
      <c r="I69" s="190" t="s">
        <v>566</v>
      </c>
      <c r="J69" s="189">
        <v>0.00370884353741497</v>
      </c>
      <c r="K69" s="189"/>
      <c r="L69" s="189" t="s">
        <v>391</v>
      </c>
      <c r="M69" s="190" t="s">
        <v>566</v>
      </c>
      <c r="N69" s="189">
        <v>0.00392167832167832</v>
      </c>
      <c r="O69" s="189"/>
      <c r="P69" s="189" t="s">
        <v>392</v>
      </c>
      <c r="Q69" s="190" t="s">
        <v>566</v>
      </c>
      <c r="R69" s="189">
        <v>0.00403971631205674</v>
      </c>
      <c r="S69" s="189"/>
      <c r="T69" s="189" t="s">
        <v>387</v>
      </c>
      <c r="U69" s="190" t="s">
        <v>566</v>
      </c>
      <c r="V69" s="189">
        <v>0.00413900709219858</v>
      </c>
      <c r="W69" s="189"/>
      <c r="X69" s="189" t="s">
        <v>386</v>
      </c>
      <c r="Y69" s="190" t="s">
        <v>566</v>
      </c>
      <c r="Z69" s="189">
        <v>0.00373591549295775</v>
      </c>
      <c r="AA69" s="189"/>
      <c r="AB69" s="189" t="s">
        <v>384</v>
      </c>
      <c r="AC69" s="190" t="s">
        <v>566</v>
      </c>
      <c r="AD69" s="189">
        <v>0.00525925925925926</v>
      </c>
    </row>
    <row r="70" s="148" customFormat="1" ht="15.5" spans="1:30">
      <c r="D70" s="189"/>
      <c r="E70" s="190" t="s">
        <v>568</v>
      </c>
      <c r="F70" s="189">
        <v>0.00158940397350993</v>
      </c>
      <c r="G70" s="189"/>
      <c r="H70" s="189"/>
      <c r="I70" s="190" t="s">
        <v>568</v>
      </c>
      <c r="J70" s="189">
        <v>0.00163265306122449</v>
      </c>
      <c r="K70" s="189"/>
      <c r="L70" s="189"/>
      <c r="M70" s="190" t="s">
        <v>568</v>
      </c>
      <c r="N70" s="189">
        <v>0.00167832167832168</v>
      </c>
      <c r="O70" s="189"/>
      <c r="P70" s="189"/>
      <c r="Q70" s="190" t="s">
        <v>568</v>
      </c>
      <c r="R70" s="189">
        <v>0.00170212765957447</v>
      </c>
      <c r="S70" s="189"/>
      <c r="T70" s="189"/>
      <c r="U70" s="190" t="s">
        <v>568</v>
      </c>
      <c r="V70" s="189">
        <v>0.00170212765957447</v>
      </c>
      <c r="W70" s="189"/>
      <c r="X70" s="189"/>
      <c r="Y70" s="190" t="s">
        <v>568</v>
      </c>
      <c r="Z70" s="189">
        <v>0.00211267605633803</v>
      </c>
      <c r="AA70" s="189"/>
      <c r="AB70" s="189"/>
      <c r="AC70" s="190" t="s">
        <v>568</v>
      </c>
      <c r="AD70" s="189">
        <v>0.00296296296296296</v>
      </c>
    </row>
    <row r="71" s="148" customFormat="1" ht="15.5" spans="1:30">
      <c r="D71" s="189"/>
      <c r="E71" s="190" t="s">
        <v>210</v>
      </c>
      <c r="F71" s="189">
        <v>0.00115761589403974</v>
      </c>
      <c r="G71" s="189"/>
      <c r="H71" s="189"/>
      <c r="I71" s="190" t="s">
        <v>210</v>
      </c>
      <c r="J71" s="189">
        <v>0.0011891156462585</v>
      </c>
      <c r="K71" s="189"/>
      <c r="L71" s="189"/>
      <c r="M71" s="190" t="s">
        <v>210</v>
      </c>
      <c r="N71" s="189">
        <v>0.00123916083916084</v>
      </c>
      <c r="O71" s="189"/>
      <c r="P71" s="189"/>
      <c r="Q71" s="190" t="s">
        <v>210</v>
      </c>
      <c r="R71" s="189">
        <v>0.00126524822695035</v>
      </c>
      <c r="S71" s="189"/>
      <c r="T71" s="189"/>
      <c r="U71" s="190" t="s">
        <v>210</v>
      </c>
      <c r="V71" s="189">
        <v>0.00127943262411348</v>
      </c>
      <c r="W71" s="189"/>
      <c r="X71" s="189"/>
      <c r="Y71" s="190" t="s">
        <v>210</v>
      </c>
      <c r="Z71" s="189">
        <v>0.00138732394366197</v>
      </c>
      <c r="AA71" s="189"/>
      <c r="AB71" s="189"/>
      <c r="AC71" s="190" t="s">
        <v>210</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80</v>
      </c>
      <c r="E74" s="188" t="s">
        <v>195</v>
      </c>
      <c r="F74" s="188">
        <v>2019</v>
      </c>
      <c r="G74" s="189"/>
      <c r="H74" s="188" t="s">
        <v>80</v>
      </c>
      <c r="I74" s="188" t="s">
        <v>195</v>
      </c>
      <c r="J74" s="188">
        <v>2019</v>
      </c>
      <c r="K74" s="189"/>
      <c r="L74" s="188" t="s">
        <v>80</v>
      </c>
      <c r="M74" s="188" t="s">
        <v>195</v>
      </c>
      <c r="N74" s="188">
        <v>2019</v>
      </c>
      <c r="O74" s="189"/>
      <c r="P74" s="188" t="s">
        <v>80</v>
      </c>
      <c r="Q74" s="188" t="s">
        <v>195</v>
      </c>
      <c r="R74" s="188">
        <v>2019</v>
      </c>
      <c r="S74" s="189"/>
      <c r="T74" s="188" t="s">
        <v>80</v>
      </c>
      <c r="U74" s="188" t="s">
        <v>195</v>
      </c>
      <c r="V74" s="188">
        <v>2019</v>
      </c>
      <c r="W74" s="189"/>
      <c r="X74" s="188" t="s">
        <v>80</v>
      </c>
      <c r="Y74" s="188" t="s">
        <v>195</v>
      </c>
      <c r="Z74" s="188">
        <v>2019</v>
      </c>
      <c r="AA74" s="189"/>
      <c r="AB74" s="188" t="s">
        <v>80</v>
      </c>
      <c r="AC74" s="188" t="s">
        <v>195</v>
      </c>
      <c r="AD74" s="188">
        <v>2019</v>
      </c>
    </row>
    <row r="75" s="148" customFormat="1" ht="15.5" spans="1:30">
      <c r="D75" s="189" t="s">
        <v>396</v>
      </c>
      <c r="E75" s="190" t="s">
        <v>566</v>
      </c>
      <c r="F75" s="189">
        <v>0.0208158940397351</v>
      </c>
      <c r="G75" s="189"/>
      <c r="H75" s="189" t="s">
        <v>397</v>
      </c>
      <c r="I75" s="190" t="s">
        <v>566</v>
      </c>
      <c r="J75" s="189">
        <v>0.0208068027210884</v>
      </c>
      <c r="K75" s="189"/>
      <c r="L75" s="189" t="s">
        <v>398</v>
      </c>
      <c r="M75" s="190" t="s">
        <v>566</v>
      </c>
      <c r="N75" s="189">
        <v>0.021165034965035</v>
      </c>
      <c r="O75" s="189"/>
      <c r="P75" s="189" t="s">
        <v>407</v>
      </c>
      <c r="Q75" s="190" t="s">
        <v>566</v>
      </c>
      <c r="R75" s="189">
        <v>0.0206425531914894</v>
      </c>
      <c r="S75" s="189"/>
      <c r="T75" s="189" t="s">
        <v>395</v>
      </c>
      <c r="U75" s="190" t="s">
        <v>566</v>
      </c>
      <c r="V75" s="189">
        <v>0.0205148936170213</v>
      </c>
      <c r="W75" s="189"/>
      <c r="X75" s="189" t="s">
        <v>394</v>
      </c>
      <c r="Y75" s="190" t="s">
        <v>566</v>
      </c>
      <c r="Z75" s="189">
        <v>0.0303802816901408</v>
      </c>
      <c r="AA75" s="189"/>
      <c r="AB75" s="189" t="s">
        <v>393</v>
      </c>
      <c r="AC75" s="190" t="s">
        <v>566</v>
      </c>
      <c r="AD75" s="189">
        <v>0.0100148148148148</v>
      </c>
    </row>
    <row r="76" s="148" customFormat="1" ht="15.5" spans="1:30">
      <c r="D76" s="189"/>
      <c r="E76" s="190" t="s">
        <v>568</v>
      </c>
      <c r="F76" s="189">
        <v>0.00158940397350993</v>
      </c>
      <c r="G76" s="189"/>
      <c r="H76" s="189"/>
      <c r="I76" s="190" t="s">
        <v>568</v>
      </c>
      <c r="J76" s="189">
        <v>0.00163265306122449</v>
      </c>
      <c r="K76" s="189"/>
      <c r="L76" s="189"/>
      <c r="M76" s="190" t="s">
        <v>568</v>
      </c>
      <c r="N76" s="189">
        <v>0.00167832167832168</v>
      </c>
      <c r="O76" s="189"/>
      <c r="P76" s="189"/>
      <c r="Q76" s="190" t="s">
        <v>568</v>
      </c>
      <c r="R76" s="189">
        <v>0.00170212765957447</v>
      </c>
      <c r="S76" s="189"/>
      <c r="T76" s="189"/>
      <c r="U76" s="190" t="s">
        <v>568</v>
      </c>
      <c r="V76" s="189">
        <v>0.00170212765957447</v>
      </c>
      <c r="W76" s="189"/>
      <c r="X76" s="189"/>
      <c r="Y76" s="190" t="s">
        <v>568</v>
      </c>
      <c r="Z76" s="189">
        <v>0.00211267605633803</v>
      </c>
      <c r="AA76" s="189"/>
      <c r="AB76" s="189"/>
      <c r="AC76" s="190" t="s">
        <v>568</v>
      </c>
      <c r="AD76" s="189">
        <v>0.00296296296296296</v>
      </c>
    </row>
    <row r="77" s="148" customFormat="1" ht="15.5" spans="1:30">
      <c r="D77" s="189"/>
      <c r="E77" s="190" t="s">
        <v>210</v>
      </c>
      <c r="F77" s="189">
        <v>0.0378198675496689</v>
      </c>
      <c r="G77" s="189"/>
      <c r="H77" s="189"/>
      <c r="I77" s="190" t="s">
        <v>210</v>
      </c>
      <c r="J77" s="189">
        <v>0.0376013605442177</v>
      </c>
      <c r="K77" s="189"/>
      <c r="L77" s="189"/>
      <c r="M77" s="190" t="s">
        <v>210</v>
      </c>
      <c r="N77" s="189">
        <v>0.0381636363636364</v>
      </c>
      <c r="O77" s="189"/>
      <c r="P77" s="189"/>
      <c r="Q77" s="190" t="s">
        <v>210</v>
      </c>
      <c r="R77" s="189">
        <v>0.0369177304964539</v>
      </c>
      <c r="S77" s="189"/>
      <c r="T77" s="189"/>
      <c r="U77" s="190" t="s">
        <v>210</v>
      </c>
      <c r="V77" s="189">
        <v>0.0365205673758865</v>
      </c>
      <c r="W77" s="189"/>
      <c r="X77" s="189"/>
      <c r="Y77" s="190" t="s">
        <v>210</v>
      </c>
      <c r="Z77" s="189">
        <v>0.0581584507042253</v>
      </c>
      <c r="AA77" s="189"/>
      <c r="AB77" s="189"/>
      <c r="AC77" s="190" t="s">
        <v>210</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80</v>
      </c>
      <c r="E80" s="188" t="s">
        <v>195</v>
      </c>
      <c r="F80" s="188">
        <v>2019</v>
      </c>
      <c r="G80" s="189"/>
      <c r="H80" s="188" t="s">
        <v>80</v>
      </c>
      <c r="I80" s="188" t="s">
        <v>195</v>
      </c>
      <c r="J80" s="188">
        <v>2019</v>
      </c>
      <c r="K80" s="189"/>
      <c r="L80" s="188" t="s">
        <v>80</v>
      </c>
      <c r="M80" s="188" t="s">
        <v>195</v>
      </c>
      <c r="N80" s="188">
        <v>2019</v>
      </c>
      <c r="O80" s="189"/>
      <c r="P80" s="188" t="s">
        <v>80</v>
      </c>
      <c r="Q80" s="188" t="s">
        <v>195</v>
      </c>
      <c r="R80" s="188">
        <v>2019</v>
      </c>
      <c r="S80" s="189"/>
      <c r="T80" s="188" t="s">
        <v>80</v>
      </c>
      <c r="U80" s="188" t="s">
        <v>195</v>
      </c>
      <c r="V80" s="188">
        <v>2019</v>
      </c>
      <c r="W80" s="189"/>
      <c r="X80" s="188" t="s">
        <v>80</v>
      </c>
      <c r="Y80" s="188" t="s">
        <v>195</v>
      </c>
      <c r="Z80" s="188">
        <v>2019</v>
      </c>
      <c r="AA80" s="189"/>
      <c r="AB80" s="188" t="s">
        <v>80</v>
      </c>
      <c r="AC80" s="188" t="s">
        <v>195</v>
      </c>
      <c r="AD80" s="188">
        <v>2019</v>
      </c>
    </row>
    <row r="81" s="148" customFormat="1" ht="15.5" spans="4:55">
      <c r="D81" s="189" t="s">
        <v>411</v>
      </c>
      <c r="E81" s="190" t="s">
        <v>566</v>
      </c>
      <c r="F81" s="189">
        <v>0.00482119205298013</v>
      </c>
      <c r="G81" s="189"/>
      <c r="H81" s="189" t="s">
        <v>412</v>
      </c>
      <c r="I81" s="190" t="s">
        <v>566</v>
      </c>
      <c r="J81" s="189">
        <v>0.00489795918367347</v>
      </c>
      <c r="K81" s="189"/>
      <c r="L81" s="189" t="s">
        <v>413</v>
      </c>
      <c r="M81" s="190" t="s">
        <v>566</v>
      </c>
      <c r="N81" s="189">
        <v>0.00502097902097902</v>
      </c>
      <c r="O81" s="189"/>
      <c r="P81" s="189" t="s">
        <v>414</v>
      </c>
      <c r="Q81" s="190" t="s">
        <v>566</v>
      </c>
      <c r="R81" s="189">
        <v>0.00502127659574468</v>
      </c>
      <c r="S81" s="189"/>
      <c r="T81" s="189" t="s">
        <v>410</v>
      </c>
      <c r="U81" s="190" t="s">
        <v>566</v>
      </c>
      <c r="V81" s="189">
        <v>0.00504964539007092</v>
      </c>
      <c r="W81" s="189"/>
      <c r="X81" s="189" t="s">
        <v>409</v>
      </c>
      <c r="Y81" s="190" t="s">
        <v>566</v>
      </c>
      <c r="Z81" s="189">
        <v>0.00667253521126761</v>
      </c>
      <c r="AA81" s="189"/>
      <c r="AB81" s="189" t="s">
        <v>408</v>
      </c>
      <c r="AC81" s="190" t="s">
        <v>566</v>
      </c>
      <c r="AD81" s="189">
        <v>0.00906172839506173</v>
      </c>
    </row>
    <row r="82" s="148" customFormat="1" ht="15.5" spans="4:55">
      <c r="D82" s="189"/>
      <c r="E82" s="190" t="s">
        <v>568</v>
      </c>
      <c r="F82" s="189">
        <v>0.00158940397350993</v>
      </c>
      <c r="G82" s="189"/>
      <c r="H82" s="189"/>
      <c r="I82" s="190" t="s">
        <v>568</v>
      </c>
      <c r="J82" s="189">
        <v>0.00163265306122449</v>
      </c>
      <c r="K82" s="189"/>
      <c r="L82" s="189"/>
      <c r="M82" s="190" t="s">
        <v>568</v>
      </c>
      <c r="N82" s="189">
        <v>0.00167832167832168</v>
      </c>
      <c r="O82" s="189"/>
      <c r="P82" s="189"/>
      <c r="Q82" s="190" t="s">
        <v>568</v>
      </c>
      <c r="R82" s="189">
        <v>0.00170212765957447</v>
      </c>
      <c r="S82" s="189"/>
      <c r="T82" s="189"/>
      <c r="U82" s="190" t="s">
        <v>568</v>
      </c>
      <c r="V82" s="189">
        <v>0.00170212765957447</v>
      </c>
      <c r="W82" s="189"/>
      <c r="X82" s="189"/>
      <c r="Y82" s="190" t="s">
        <v>568</v>
      </c>
      <c r="Z82" s="189">
        <v>0.00211267605633803</v>
      </c>
      <c r="AA82" s="189"/>
      <c r="AB82" s="189"/>
      <c r="AC82" s="190" t="s">
        <v>568</v>
      </c>
      <c r="AD82" s="189">
        <v>0.00296296296296296</v>
      </c>
    </row>
    <row r="83" ht="15.5" spans="4:55">
      <c r="D83" s="187"/>
      <c r="E83" s="136" t="s">
        <v>210</v>
      </c>
      <c r="F83" s="187">
        <v>0.030887417218543</v>
      </c>
      <c r="G83" s="187"/>
      <c r="H83" s="187"/>
      <c r="I83" s="136" t="s">
        <v>210</v>
      </c>
      <c r="J83" s="187">
        <v>0.0306530612244898</v>
      </c>
      <c r="K83" s="187"/>
      <c r="L83" s="187"/>
      <c r="M83" s="136" t="s">
        <v>210</v>
      </c>
      <c r="N83" s="187">
        <v>0.0312727272727273</v>
      </c>
      <c r="O83" s="187"/>
      <c r="P83" s="187"/>
      <c r="Q83" s="136" t="s">
        <v>210</v>
      </c>
      <c r="R83" s="187">
        <v>0.0303404255319149</v>
      </c>
      <c r="S83" s="187"/>
      <c r="T83" s="187"/>
      <c r="U83" s="136" t="s">
        <v>210</v>
      </c>
      <c r="V83" s="187">
        <v>0.031177304964539</v>
      </c>
      <c r="W83" s="187"/>
      <c r="X83" s="187"/>
      <c r="Y83" s="136" t="s">
        <v>210</v>
      </c>
      <c r="Z83" s="187">
        <v>0.0334154929577465</v>
      </c>
      <c r="AA83" s="187"/>
      <c r="AB83" s="187"/>
      <c r="AC83" s="136" t="s">
        <v>210</v>
      </c>
      <c r="AD83" s="187">
        <v>0.0459506172839506</v>
      </c>
    </row>
    <row r="90" spans="4:55">
      <c r="J90" s="147"/>
      <c r="K90" s="147"/>
      <c r="L90" s="147" t="s">
        <v>193</v>
      </c>
      <c r="M90" s="147"/>
      <c r="N90" s="147"/>
      <c r="O90" s="147"/>
      <c r="P90" s="147"/>
      <c r="Q90" s="147"/>
      <c r="R90" s="147" t="s">
        <v>193</v>
      </c>
      <c r="S90" s="147"/>
      <c r="T90" s="147"/>
      <c r="U90" s="147"/>
      <c r="V90" s="147"/>
      <c r="W90" s="147"/>
      <c r="X90" s="147" t="s">
        <v>193</v>
      </c>
      <c r="Y90" s="147"/>
      <c r="Z90" s="147"/>
      <c r="AA90" s="147"/>
      <c r="AB90" s="147"/>
      <c r="AC90" s="147"/>
      <c r="AD90" s="147" t="s">
        <v>193</v>
      </c>
      <c r="AE90" s="147"/>
      <c r="AF90" s="147"/>
      <c r="AG90" s="147"/>
      <c r="AH90" s="147"/>
      <c r="AI90" s="147"/>
      <c r="AJ90" s="147" t="s">
        <v>193</v>
      </c>
      <c r="AK90" s="147"/>
      <c r="AL90" s="147"/>
      <c r="AM90" s="147"/>
      <c r="AN90" s="147"/>
      <c r="AO90" s="147"/>
      <c r="AP90" s="147" t="s">
        <v>193</v>
      </c>
      <c r="AQ90" s="147"/>
      <c r="AR90" s="147"/>
      <c r="AS90" s="147"/>
      <c r="AT90" s="147"/>
      <c r="AU90" s="147"/>
      <c r="AV90" s="147" t="s">
        <v>193</v>
      </c>
      <c r="AW90" s="147"/>
      <c r="AX90" s="147"/>
      <c r="AY90" s="147"/>
      <c r="AZ90" s="147"/>
      <c r="BA90" s="147"/>
      <c r="BB90" s="147" t="s">
        <v>193</v>
      </c>
      <c r="BC90" s="147"/>
    </row>
    <row r="92" spans="4:55">
      <c r="D92" t="s">
        <v>546</v>
      </c>
      <c r="E92" t="s">
        <v>305</v>
      </c>
    </row>
    <row r="93" spans="4:55">
      <c r="D93" t="s">
        <v>261</v>
      </c>
      <c r="E93">
        <v>5.654</v>
      </c>
    </row>
    <row r="94" spans="4:55">
      <c r="D94" t="s">
        <v>266</v>
      </c>
      <c r="E94">
        <v>6.645</v>
      </c>
      <c r="J94" t="s">
        <v>194</v>
      </c>
      <c r="K94" t="s">
        <v>80</v>
      </c>
      <c r="L94" t="s">
        <v>195</v>
      </c>
      <c r="M94">
        <v>2050</v>
      </c>
      <c r="P94" t="s">
        <v>194</v>
      </c>
      <c r="Q94" t="s">
        <v>80</v>
      </c>
      <c r="R94" t="s">
        <v>195</v>
      </c>
      <c r="S94">
        <v>2050</v>
      </c>
      <c r="V94" t="s">
        <v>194</v>
      </c>
      <c r="W94" t="s">
        <v>80</v>
      </c>
      <c r="X94" t="s">
        <v>195</v>
      </c>
      <c r="Y94">
        <v>2050</v>
      </c>
      <c r="AB94" t="s">
        <v>194</v>
      </c>
      <c r="AC94" t="s">
        <v>80</v>
      </c>
      <c r="AD94" t="s">
        <v>195</v>
      </c>
      <c r="AE94">
        <v>2050</v>
      </c>
      <c r="AH94" t="s">
        <v>194</v>
      </c>
      <c r="AI94" t="s">
        <v>80</v>
      </c>
      <c r="AJ94" t="s">
        <v>195</v>
      </c>
      <c r="AK94">
        <v>2050</v>
      </c>
      <c r="AN94" t="s">
        <v>194</v>
      </c>
      <c r="AO94" t="s">
        <v>80</v>
      </c>
      <c r="AP94" t="s">
        <v>195</v>
      </c>
      <c r="AQ94">
        <v>2050</v>
      </c>
      <c r="AT94" t="s">
        <v>194</v>
      </c>
      <c r="AU94" t="s">
        <v>80</v>
      </c>
      <c r="AV94" t="s">
        <v>195</v>
      </c>
      <c r="AW94">
        <v>2050</v>
      </c>
      <c r="AZ94" t="s">
        <v>194</v>
      </c>
      <c r="BA94" t="s">
        <v>80</v>
      </c>
      <c r="BB94" t="s">
        <v>195</v>
      </c>
      <c r="BC94">
        <v>2050</v>
      </c>
    </row>
    <row r="95" spans="4:55">
      <c r="D95" t="s">
        <v>270</v>
      </c>
      <c r="E95">
        <v>5.363</v>
      </c>
      <c r="J95" t="s">
        <v>196</v>
      </c>
      <c r="K95" t="s">
        <v>182</v>
      </c>
      <c r="L95" t="s">
        <v>547</v>
      </c>
      <c r="M95">
        <f>SUM(M6:M9)</f>
        <v>0.996200000000001</v>
      </c>
      <c r="P95" t="s">
        <v>196</v>
      </c>
      <c r="Q95" t="s">
        <v>183</v>
      </c>
      <c r="R95" t="s">
        <v>547</v>
      </c>
      <c r="S95">
        <f>SUM(S6:S9)</f>
        <v>0.957933333333333</v>
      </c>
      <c r="V95" t="s">
        <v>196</v>
      </c>
      <c r="W95" t="s">
        <v>184</v>
      </c>
      <c r="X95" t="s">
        <v>547</v>
      </c>
      <c r="Y95">
        <f>SUM(Y6:Y9)</f>
        <v>0.9665</v>
      </c>
      <c r="AB95" t="s">
        <v>196</v>
      </c>
      <c r="AC95" t="s">
        <v>185</v>
      </c>
      <c r="AD95" t="s">
        <v>547</v>
      </c>
      <c r="AE95">
        <f>SUM(AE6:AE9)</f>
        <v>0.964233333333333</v>
      </c>
      <c r="AH95" t="s">
        <v>196</v>
      </c>
      <c r="AI95" t="s">
        <v>181</v>
      </c>
      <c r="AJ95" t="s">
        <v>547</v>
      </c>
      <c r="AK95">
        <f>SUM(AK6:AK9)</f>
        <v>1.0358</v>
      </c>
      <c r="AN95" t="s">
        <v>196</v>
      </c>
      <c r="AO95" t="s">
        <v>180</v>
      </c>
      <c r="AP95" t="s">
        <v>547</v>
      </c>
      <c r="AQ95">
        <f>SUM(AQ6:AQ9)</f>
        <v>0.591633333333333</v>
      </c>
      <c r="AT95" t="s">
        <v>196</v>
      </c>
      <c r="AU95" t="s">
        <v>179</v>
      </c>
      <c r="AV95" t="s">
        <v>547</v>
      </c>
      <c r="AW95">
        <f>SUM(AW6:AW9)</f>
        <v>0.780500000000001</v>
      </c>
      <c r="AZ95" t="s">
        <v>196</v>
      </c>
      <c r="BA95" t="s">
        <v>198</v>
      </c>
      <c r="BB95" t="s">
        <v>547</v>
      </c>
      <c r="BC95">
        <f>SUM(BC6:BC9)</f>
        <v>0.780500000000001</v>
      </c>
    </row>
    <row r="96" spans="4:55">
      <c r="D96" t="s">
        <v>276</v>
      </c>
      <c r="E96">
        <v>5.937</v>
      </c>
      <c r="J96" t="s">
        <v>196</v>
      </c>
      <c r="K96" t="s">
        <v>182</v>
      </c>
      <c r="L96" t="s">
        <v>548</v>
      </c>
      <c r="M96">
        <v>0</v>
      </c>
      <c r="P96" t="s">
        <v>196</v>
      </c>
      <c r="Q96" t="s">
        <v>183</v>
      </c>
      <c r="R96" t="s">
        <v>548</v>
      </c>
      <c r="S96">
        <v>0</v>
      </c>
      <c r="V96" t="s">
        <v>196</v>
      </c>
      <c r="W96" t="s">
        <v>184</v>
      </c>
      <c r="X96" t="s">
        <v>548</v>
      </c>
      <c r="Y96">
        <v>0</v>
      </c>
      <c r="AB96" t="s">
        <v>196</v>
      </c>
      <c r="AC96" t="s">
        <v>185</v>
      </c>
      <c r="AD96" t="s">
        <v>548</v>
      </c>
      <c r="AE96">
        <v>0</v>
      </c>
      <c r="AH96" t="s">
        <v>196</v>
      </c>
      <c r="AI96" t="s">
        <v>181</v>
      </c>
      <c r="AJ96" t="s">
        <v>548</v>
      </c>
      <c r="AK96">
        <v>0</v>
      </c>
      <c r="AN96" t="s">
        <v>196</v>
      </c>
      <c r="AO96" t="s">
        <v>180</v>
      </c>
      <c r="AP96" t="s">
        <v>548</v>
      </c>
      <c r="AQ96">
        <v>0</v>
      </c>
      <c r="AT96" t="s">
        <v>196</v>
      </c>
      <c r="AU96" t="s">
        <v>179</v>
      </c>
      <c r="AV96" t="s">
        <v>548</v>
      </c>
      <c r="AW96">
        <v>0</v>
      </c>
      <c r="AZ96" t="s">
        <v>196</v>
      </c>
      <c r="BA96" t="s">
        <v>198</v>
      </c>
      <c r="BB96" t="s">
        <v>548</v>
      </c>
      <c r="BC96">
        <v>0</v>
      </c>
    </row>
    <row r="97" spans="4:56">
      <c r="D97" t="s">
        <v>281</v>
      </c>
      <c r="E97">
        <v>5.845</v>
      </c>
      <c r="J97" t="s">
        <v>196</v>
      </c>
      <c r="K97" t="s">
        <v>182</v>
      </c>
      <c r="L97" t="s">
        <v>549</v>
      </c>
      <c r="M97">
        <v>0</v>
      </c>
      <c r="P97" t="s">
        <v>196</v>
      </c>
      <c r="Q97" t="s">
        <v>183</v>
      </c>
      <c r="R97" t="s">
        <v>549</v>
      </c>
      <c r="S97">
        <v>0</v>
      </c>
      <c r="V97" t="s">
        <v>196</v>
      </c>
      <c r="W97" t="s">
        <v>184</v>
      </c>
      <c r="X97" t="s">
        <v>549</v>
      </c>
      <c r="Y97">
        <v>0</v>
      </c>
      <c r="AB97" t="s">
        <v>196</v>
      </c>
      <c r="AC97" t="s">
        <v>185</v>
      </c>
      <c r="AD97" t="s">
        <v>549</v>
      </c>
      <c r="AE97">
        <v>0</v>
      </c>
      <c r="AH97" t="s">
        <v>196</v>
      </c>
      <c r="AI97" t="s">
        <v>181</v>
      </c>
      <c r="AJ97" t="s">
        <v>549</v>
      </c>
      <c r="AK97">
        <v>0</v>
      </c>
      <c r="AN97" t="s">
        <v>196</v>
      </c>
      <c r="AO97" t="s">
        <v>180</v>
      </c>
      <c r="AP97" t="s">
        <v>549</v>
      </c>
      <c r="AQ97">
        <v>0</v>
      </c>
      <c r="AT97" t="s">
        <v>196</v>
      </c>
      <c r="AU97" t="s">
        <v>179</v>
      </c>
      <c r="AV97" t="s">
        <v>549</v>
      </c>
      <c r="AW97">
        <v>0</v>
      </c>
      <c r="AZ97" t="s">
        <v>196</v>
      </c>
      <c r="BA97" t="s">
        <v>198</v>
      </c>
      <c r="BB97" t="s">
        <v>549</v>
      </c>
      <c r="BC97">
        <v>0</v>
      </c>
    </row>
    <row r="98" spans="4:56">
      <c r="D98" t="s">
        <v>288</v>
      </c>
      <c r="E98">
        <v>5.575</v>
      </c>
      <c r="J98" t="s">
        <v>196</v>
      </c>
      <c r="K98" t="s">
        <v>182</v>
      </c>
      <c r="L98" t="s">
        <v>550</v>
      </c>
      <c r="M98">
        <v>0</v>
      </c>
      <c r="P98" t="s">
        <v>196</v>
      </c>
      <c r="Q98" t="s">
        <v>183</v>
      </c>
      <c r="R98" t="s">
        <v>550</v>
      </c>
      <c r="S98">
        <v>0</v>
      </c>
      <c r="V98" t="s">
        <v>196</v>
      </c>
      <c r="W98" t="s">
        <v>184</v>
      </c>
      <c r="X98" t="s">
        <v>550</v>
      </c>
      <c r="Y98">
        <v>0</v>
      </c>
      <c r="AB98" t="s">
        <v>196</v>
      </c>
      <c r="AC98" t="s">
        <v>185</v>
      </c>
      <c r="AD98" t="s">
        <v>550</v>
      </c>
      <c r="AE98">
        <v>0</v>
      </c>
      <c r="AH98" t="s">
        <v>196</v>
      </c>
      <c r="AI98" t="s">
        <v>181</v>
      </c>
      <c r="AJ98" t="s">
        <v>550</v>
      </c>
      <c r="AK98">
        <v>0</v>
      </c>
      <c r="AN98" t="s">
        <v>196</v>
      </c>
      <c r="AO98" t="s">
        <v>180</v>
      </c>
      <c r="AP98" t="s">
        <v>550</v>
      </c>
      <c r="AQ98">
        <v>0</v>
      </c>
      <c r="AT98" t="s">
        <v>196</v>
      </c>
      <c r="AU98" t="s">
        <v>179</v>
      </c>
      <c r="AV98" t="s">
        <v>550</v>
      </c>
      <c r="AW98">
        <v>0</v>
      </c>
      <c r="AZ98" t="s">
        <v>196</v>
      </c>
      <c r="BA98" t="s">
        <v>198</v>
      </c>
      <c r="BB98" t="s">
        <v>550</v>
      </c>
      <c r="BC98">
        <v>0</v>
      </c>
    </row>
    <row r="99" spans="4:56">
      <c r="D99" t="s">
        <v>294</v>
      </c>
      <c r="E99">
        <v>5.276</v>
      </c>
    </row>
    <row r="107" spans="4:56">
      <c r="J107" s="147"/>
      <c r="K107" s="147"/>
      <c r="L107" s="147" t="s">
        <v>193</v>
      </c>
      <c r="M107" s="147"/>
      <c r="N107" s="147"/>
      <c r="O107" s="147"/>
      <c r="P107" s="147"/>
      <c r="Q107" s="147"/>
      <c r="R107" s="147" t="s">
        <v>193</v>
      </c>
      <c r="S107" s="147"/>
      <c r="T107" s="147"/>
      <c r="U107" s="147"/>
      <c r="V107" s="147"/>
      <c r="W107" s="147"/>
      <c r="X107" s="147" t="s">
        <v>193</v>
      </c>
      <c r="Y107" s="147"/>
      <c r="Z107" s="147"/>
      <c r="AA107" s="147"/>
      <c r="AB107" s="147"/>
      <c r="AC107" s="147"/>
      <c r="AD107" s="147" t="s">
        <v>193</v>
      </c>
      <c r="AE107" s="147"/>
      <c r="AF107" s="147"/>
      <c r="AG107" s="147"/>
      <c r="AH107" s="147"/>
      <c r="AI107" s="147"/>
      <c r="AJ107" s="147" t="s">
        <v>193</v>
      </c>
      <c r="AK107" s="147"/>
      <c r="AL107" s="147"/>
      <c r="AM107" s="147"/>
      <c r="AN107" s="147"/>
      <c r="AO107" s="147"/>
      <c r="AP107" s="147" t="s">
        <v>193</v>
      </c>
      <c r="AQ107" s="147"/>
      <c r="AR107" s="147"/>
      <c r="AS107" s="147"/>
      <c r="AT107" s="147"/>
      <c r="AU107" s="147"/>
      <c r="AV107" s="147" t="s">
        <v>193</v>
      </c>
      <c r="AW107" s="147"/>
      <c r="AX107" s="147"/>
      <c r="AY107" s="147"/>
      <c r="AZ107" s="147"/>
      <c r="BA107" s="147"/>
      <c r="BB107" s="147" t="s">
        <v>193</v>
      </c>
      <c r="BC107" s="147"/>
      <c r="BD107" s="147"/>
    </row>
    <row r="111" spans="4:56">
      <c r="J111" t="s">
        <v>194</v>
      </c>
      <c r="K111" t="s">
        <v>80</v>
      </c>
      <c r="L111" t="s">
        <v>195</v>
      </c>
      <c r="M111">
        <v>2100</v>
      </c>
      <c r="P111" t="s">
        <v>194</v>
      </c>
      <c r="Q111" t="s">
        <v>80</v>
      </c>
      <c r="R111" t="s">
        <v>195</v>
      </c>
      <c r="S111">
        <v>2100</v>
      </c>
      <c r="V111" t="s">
        <v>194</v>
      </c>
      <c r="W111" t="s">
        <v>80</v>
      </c>
      <c r="X111" t="s">
        <v>195</v>
      </c>
      <c r="Y111">
        <v>2100</v>
      </c>
      <c r="AB111" t="s">
        <v>194</v>
      </c>
      <c r="AC111" t="s">
        <v>80</v>
      </c>
      <c r="AD111" t="s">
        <v>195</v>
      </c>
      <c r="AE111">
        <v>2100</v>
      </c>
      <c r="AH111" t="s">
        <v>194</v>
      </c>
      <c r="AI111" t="s">
        <v>80</v>
      </c>
      <c r="AJ111" t="s">
        <v>195</v>
      </c>
      <c r="AK111">
        <v>2100</v>
      </c>
      <c r="AN111" t="s">
        <v>194</v>
      </c>
      <c r="AO111" t="s">
        <v>80</v>
      </c>
      <c r="AP111" t="s">
        <v>195</v>
      </c>
      <c r="AQ111">
        <v>2100</v>
      </c>
      <c r="AT111" t="s">
        <v>194</v>
      </c>
      <c r="AU111" t="s">
        <v>80</v>
      </c>
      <c r="AV111" t="s">
        <v>195</v>
      </c>
      <c r="AW111">
        <v>2100</v>
      </c>
      <c r="AZ111" t="s">
        <v>194</v>
      </c>
      <c r="BA111" t="s">
        <v>80</v>
      </c>
      <c r="BB111" t="s">
        <v>195</v>
      </c>
      <c r="BC111">
        <v>2100</v>
      </c>
    </row>
    <row r="112" spans="4:56">
      <c r="J112" t="s">
        <v>196</v>
      </c>
      <c r="K112" t="s">
        <v>182</v>
      </c>
      <c r="L112" t="s">
        <v>547</v>
      </c>
      <c r="M112">
        <v>0.996200000000001</v>
      </c>
      <c r="P112" t="s">
        <v>196</v>
      </c>
      <c r="Q112" t="s">
        <v>183</v>
      </c>
      <c r="R112" t="s">
        <v>547</v>
      </c>
      <c r="S112">
        <v>0.957933333333333</v>
      </c>
      <c r="V112" t="s">
        <v>196</v>
      </c>
      <c r="W112" t="s">
        <v>184</v>
      </c>
      <c r="X112" t="s">
        <v>547</v>
      </c>
      <c r="Y112">
        <v>0.9665</v>
      </c>
      <c r="AB112" t="s">
        <v>196</v>
      </c>
      <c r="AC112" t="s">
        <v>185</v>
      </c>
      <c r="AD112" t="s">
        <v>547</v>
      </c>
      <c r="AE112">
        <v>0.964233333333333</v>
      </c>
      <c r="AH112" t="s">
        <v>196</v>
      </c>
      <c r="AI112" t="s">
        <v>181</v>
      </c>
      <c r="AJ112" t="s">
        <v>547</v>
      </c>
      <c r="AK112">
        <v>1.0358</v>
      </c>
      <c r="AN112" t="s">
        <v>196</v>
      </c>
      <c r="AO112" t="s">
        <v>180</v>
      </c>
      <c r="AP112" t="s">
        <v>547</v>
      </c>
      <c r="AQ112">
        <v>0.591633333333333</v>
      </c>
      <c r="AT112" t="s">
        <v>196</v>
      </c>
      <c r="AU112" t="s">
        <v>179</v>
      </c>
      <c r="AV112" t="s">
        <v>547</v>
      </c>
      <c r="AW112">
        <v>0.780500000000001</v>
      </c>
      <c r="AZ112" t="s">
        <v>196</v>
      </c>
      <c r="BA112" t="s">
        <v>198</v>
      </c>
      <c r="BB112" t="s">
        <v>547</v>
      </c>
      <c r="BC112">
        <v>0.780500000000001</v>
      </c>
    </row>
    <row r="113" spans="10:55">
      <c r="J113" t="s">
        <v>196</v>
      </c>
      <c r="K113" t="s">
        <v>182</v>
      </c>
      <c r="L113" t="s">
        <v>548</v>
      </c>
      <c r="M113">
        <v>0</v>
      </c>
      <c r="P113" t="s">
        <v>196</v>
      </c>
      <c r="Q113" t="s">
        <v>183</v>
      </c>
      <c r="R113" t="s">
        <v>548</v>
      </c>
      <c r="S113">
        <v>0</v>
      </c>
      <c r="V113" t="s">
        <v>196</v>
      </c>
      <c r="W113" t="s">
        <v>184</v>
      </c>
      <c r="X113" t="s">
        <v>548</v>
      </c>
      <c r="Y113">
        <v>0</v>
      </c>
      <c r="AB113" t="s">
        <v>196</v>
      </c>
      <c r="AC113" t="s">
        <v>185</v>
      </c>
      <c r="AD113" t="s">
        <v>548</v>
      </c>
      <c r="AE113">
        <v>0</v>
      </c>
      <c r="AH113" t="s">
        <v>196</v>
      </c>
      <c r="AI113" t="s">
        <v>181</v>
      </c>
      <c r="AJ113" t="s">
        <v>548</v>
      </c>
      <c r="AK113">
        <v>0</v>
      </c>
      <c r="AN113" t="s">
        <v>196</v>
      </c>
      <c r="AO113" t="s">
        <v>180</v>
      </c>
      <c r="AP113" t="s">
        <v>548</v>
      </c>
      <c r="AQ113">
        <v>0</v>
      </c>
      <c r="AT113" t="s">
        <v>196</v>
      </c>
      <c r="AU113" t="s">
        <v>179</v>
      </c>
      <c r="AV113" t="s">
        <v>548</v>
      </c>
      <c r="AW113">
        <v>0</v>
      </c>
      <c r="AZ113" t="s">
        <v>196</v>
      </c>
      <c r="BA113" t="s">
        <v>198</v>
      </c>
      <c r="BB113" t="s">
        <v>548</v>
      </c>
      <c r="BC113">
        <v>0</v>
      </c>
    </row>
    <row r="114" spans="10:55">
      <c r="J114" t="s">
        <v>196</v>
      </c>
      <c r="K114" t="s">
        <v>182</v>
      </c>
      <c r="L114" t="s">
        <v>549</v>
      </c>
      <c r="M114">
        <v>0</v>
      </c>
      <c r="P114" t="s">
        <v>196</v>
      </c>
      <c r="Q114" t="s">
        <v>183</v>
      </c>
      <c r="R114" t="s">
        <v>549</v>
      </c>
      <c r="S114">
        <v>0</v>
      </c>
      <c r="V114" t="s">
        <v>196</v>
      </c>
      <c r="W114" t="s">
        <v>184</v>
      </c>
      <c r="X114" t="s">
        <v>549</v>
      </c>
      <c r="Y114">
        <v>0</v>
      </c>
      <c r="AB114" t="s">
        <v>196</v>
      </c>
      <c r="AC114" t="s">
        <v>185</v>
      </c>
      <c r="AD114" t="s">
        <v>549</v>
      </c>
      <c r="AE114">
        <v>0</v>
      </c>
      <c r="AH114" t="s">
        <v>196</v>
      </c>
      <c r="AI114" t="s">
        <v>181</v>
      </c>
      <c r="AJ114" t="s">
        <v>549</v>
      </c>
      <c r="AK114">
        <v>0</v>
      </c>
      <c r="AN114" t="s">
        <v>196</v>
      </c>
      <c r="AO114" t="s">
        <v>180</v>
      </c>
      <c r="AP114" t="s">
        <v>549</v>
      </c>
      <c r="AQ114">
        <v>0</v>
      </c>
      <c r="AT114" t="s">
        <v>196</v>
      </c>
      <c r="AU114" t="s">
        <v>179</v>
      </c>
      <c r="AV114" t="s">
        <v>549</v>
      </c>
      <c r="AW114">
        <v>0</v>
      </c>
      <c r="AZ114" t="s">
        <v>196</v>
      </c>
      <c r="BA114" t="s">
        <v>198</v>
      </c>
      <c r="BB114" t="s">
        <v>549</v>
      </c>
      <c r="BC114">
        <v>0</v>
      </c>
    </row>
    <row r="115" spans="10:55">
      <c r="J115" t="s">
        <v>196</v>
      </c>
      <c r="K115" t="s">
        <v>182</v>
      </c>
      <c r="L115" t="s">
        <v>550</v>
      </c>
      <c r="M115">
        <v>0</v>
      </c>
      <c r="P115" t="s">
        <v>196</v>
      </c>
      <c r="Q115" t="s">
        <v>183</v>
      </c>
      <c r="R115" t="s">
        <v>550</v>
      </c>
      <c r="S115">
        <v>0</v>
      </c>
      <c r="V115" t="s">
        <v>196</v>
      </c>
      <c r="W115" t="s">
        <v>184</v>
      </c>
      <c r="X115" t="s">
        <v>550</v>
      </c>
      <c r="Y115">
        <v>0</v>
      </c>
      <c r="AB115" t="s">
        <v>196</v>
      </c>
      <c r="AC115" t="s">
        <v>185</v>
      </c>
      <c r="AD115" t="s">
        <v>550</v>
      </c>
      <c r="AE115">
        <v>0</v>
      </c>
      <c r="AH115" t="s">
        <v>196</v>
      </c>
      <c r="AI115" t="s">
        <v>181</v>
      </c>
      <c r="AJ115" t="s">
        <v>550</v>
      </c>
      <c r="AK115">
        <v>0</v>
      </c>
      <c r="AN115" t="s">
        <v>196</v>
      </c>
      <c r="AO115" t="s">
        <v>180</v>
      </c>
      <c r="AP115" t="s">
        <v>550</v>
      </c>
      <c r="AQ115">
        <v>0</v>
      </c>
      <c r="AT115" t="s">
        <v>196</v>
      </c>
      <c r="AU115" t="s">
        <v>179</v>
      </c>
      <c r="AV115" t="s">
        <v>550</v>
      </c>
      <c r="AW115">
        <v>0</v>
      </c>
      <c r="AZ115" t="s">
        <v>196</v>
      </c>
      <c r="BA115" t="s">
        <v>198</v>
      </c>
      <c r="BB115" t="s">
        <v>550</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V114" workbookViewId="0">
      <selection activeCell="AQ114" sqref="AQ114"/>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587</v>
      </c>
      <c r="B1" s="121"/>
      <c r="C1" s="121"/>
      <c r="D1" s="121"/>
      <c r="E1" s="121"/>
      <c r="F1" s="121"/>
      <c r="G1" s="121"/>
      <c r="H1" s="121"/>
      <c r="I1" s="121"/>
      <c r="J1" s="121"/>
      <c r="K1" s="122"/>
      <c r="L1" s="122" t="s">
        <v>305</v>
      </c>
      <c r="M1" s="122"/>
      <c r="N1" s="122"/>
      <c r="O1" s="122"/>
      <c r="P1" s="122"/>
      <c r="Q1" s="122"/>
      <c r="R1" s="122"/>
      <c r="S1" s="122"/>
      <c r="T1" s="122"/>
      <c r="U1" s="122"/>
      <c r="V1" s="122"/>
      <c r="W1" s="122" t="s">
        <v>588</v>
      </c>
      <c r="X1" s="122"/>
      <c r="Y1" s="122"/>
      <c r="Z1" s="122"/>
      <c r="AA1" s="122"/>
      <c r="AB1" s="123" t="s">
        <v>589</v>
      </c>
      <c r="AC1" s="123"/>
      <c r="AD1" s="122"/>
      <c r="AE1" s="122"/>
      <c r="AF1" s="122" t="s">
        <v>590</v>
      </c>
      <c r="AG1" s="122"/>
      <c r="AH1" s="122"/>
      <c r="AI1" s="122"/>
      <c r="AJ1" s="122"/>
      <c r="AK1" s="122"/>
      <c r="AL1" s="122"/>
      <c r="AM1" s="122"/>
      <c r="AN1" s="122"/>
      <c r="AO1" s="122" t="s">
        <v>591</v>
      </c>
      <c r="AP1" s="122"/>
      <c r="AQ1" s="122"/>
      <c r="AR1" s="122"/>
      <c r="AS1" s="122"/>
      <c r="AT1" s="122"/>
      <c r="AU1" s="122"/>
      <c r="AZ1" s="121" t="s">
        <v>587</v>
      </c>
      <c r="BA1" s="121"/>
      <c r="BB1" s="121"/>
      <c r="BC1" s="121"/>
      <c r="BD1" s="121"/>
      <c r="BE1" s="121"/>
      <c r="BF1" s="121"/>
      <c r="BG1" s="121"/>
      <c r="BH1" s="121"/>
      <c r="BI1" s="121"/>
      <c r="BJ1" s="122"/>
      <c r="BK1" s="122"/>
      <c r="BL1" s="122"/>
      <c r="BM1" s="122"/>
      <c r="BN1" s="122"/>
      <c r="BO1" s="122"/>
      <c r="BP1" s="122"/>
      <c r="BQ1" s="122"/>
      <c r="BR1" s="122"/>
    </row>
    <row r="2" ht="30" customHeight="1" spans="1:70">
      <c r="A2" s="121" t="s">
        <v>555</v>
      </c>
      <c r="B2" s="121" t="s">
        <v>558</v>
      </c>
      <c r="C2" s="121" t="s">
        <v>557</v>
      </c>
      <c r="D2" s="121"/>
      <c r="E2" s="121"/>
      <c r="F2" s="121"/>
      <c r="G2" s="121"/>
      <c r="H2" s="121"/>
      <c r="I2" s="121"/>
      <c r="J2" s="121"/>
      <c r="K2" s="122"/>
      <c r="L2" s="122"/>
      <c r="M2" s="122"/>
      <c r="N2" s="122"/>
      <c r="O2" s="122"/>
      <c r="P2" s="122"/>
      <c r="Q2" s="122"/>
      <c r="R2" s="122"/>
      <c r="S2" s="122"/>
      <c r="T2" s="122"/>
      <c r="U2" s="122"/>
      <c r="V2" s="124" t="s">
        <v>592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555</v>
      </c>
      <c r="BA2" s="121" t="s">
        <v>593</v>
      </c>
      <c r="BB2" s="121" t="s">
        <v>557</v>
      </c>
      <c r="BC2" s="121"/>
      <c r="BD2" s="121"/>
      <c r="BE2" s="121"/>
      <c r="BF2" s="121"/>
      <c r="BG2" s="121"/>
      <c r="BH2" s="121"/>
      <c r="BI2" s="121"/>
      <c r="BJ2" s="122"/>
      <c r="BK2" s="122"/>
      <c r="BL2" s="122"/>
      <c r="BM2" s="122"/>
      <c r="BN2" s="122"/>
      <c r="BO2" s="122"/>
      <c r="BP2" s="122"/>
      <c r="BQ2" s="122"/>
      <c r="BR2" s="122"/>
    </row>
    <row r="3" ht="30" spans="1:70">
      <c r="A3" s="121"/>
      <c r="B3" s="121"/>
      <c r="C3" s="125" t="s">
        <v>559</v>
      </c>
      <c r="D3" s="122" t="s">
        <v>276</v>
      </c>
      <c r="E3" s="122" t="s">
        <v>281</v>
      </c>
      <c r="F3" s="126" t="s">
        <v>288</v>
      </c>
      <c r="G3" s="122" t="s">
        <v>294</v>
      </c>
      <c r="H3" s="122" t="s">
        <v>270</v>
      </c>
      <c r="I3" s="122" t="s">
        <v>560</v>
      </c>
      <c r="J3" s="122" t="s">
        <v>561</v>
      </c>
      <c r="K3" s="122"/>
      <c r="L3" s="127" t="s">
        <v>559</v>
      </c>
      <c r="M3" s="122" t="s">
        <v>276</v>
      </c>
      <c r="N3" s="122" t="s">
        <v>281</v>
      </c>
      <c r="O3" s="122" t="s">
        <v>288</v>
      </c>
      <c r="P3" s="122" t="s">
        <v>294</v>
      </c>
      <c r="Q3" s="122" t="s">
        <v>270</v>
      </c>
      <c r="R3" s="122" t="s">
        <v>560</v>
      </c>
      <c r="S3" s="122" t="s">
        <v>561</v>
      </c>
      <c r="T3" s="122"/>
      <c r="U3" s="122"/>
      <c r="V3" s="124" t="s">
        <v>594</v>
      </c>
      <c r="W3" s="122" t="s">
        <v>276</v>
      </c>
      <c r="X3" s="122" t="s">
        <v>281</v>
      </c>
      <c r="Y3" s="126" t="s">
        <v>288</v>
      </c>
      <c r="Z3" s="122" t="s">
        <v>294</v>
      </c>
      <c r="AA3" s="122" t="s">
        <v>270</v>
      </c>
      <c r="AB3" s="128" t="s">
        <v>560</v>
      </c>
      <c r="AC3" s="128" t="s">
        <v>561</v>
      </c>
      <c r="AD3" s="122"/>
      <c r="AE3" s="122"/>
      <c r="AF3" s="122" t="s">
        <v>276</v>
      </c>
      <c r="AG3" s="122" t="s">
        <v>281</v>
      </c>
      <c r="AH3" s="126" t="s">
        <v>288</v>
      </c>
      <c r="AI3" s="122" t="s">
        <v>294</v>
      </c>
      <c r="AJ3" s="122" t="s">
        <v>270</v>
      </c>
      <c r="AK3" s="128" t="s">
        <v>560</v>
      </c>
      <c r="AL3" s="128" t="s">
        <v>561</v>
      </c>
      <c r="AM3" s="122"/>
      <c r="AN3" s="122"/>
      <c r="AO3" s="122" t="s">
        <v>276</v>
      </c>
      <c r="AP3" s="122" t="s">
        <v>281</v>
      </c>
      <c r="AQ3" s="126" t="s">
        <v>288</v>
      </c>
      <c r="AR3" s="122" t="s">
        <v>294</v>
      </c>
      <c r="AS3" s="122" t="s">
        <v>270</v>
      </c>
      <c r="AT3" s="128" t="s">
        <v>560</v>
      </c>
      <c r="AU3" s="128" t="s">
        <v>561</v>
      </c>
      <c r="AZ3" s="121"/>
      <c r="BA3" s="121"/>
      <c r="BB3" s="125" t="s">
        <v>559</v>
      </c>
      <c r="BC3" s="122" t="s">
        <v>276</v>
      </c>
      <c r="BD3" s="122" t="s">
        <v>281</v>
      </c>
      <c r="BE3" s="126" t="s">
        <v>288</v>
      </c>
      <c r="BF3" s="122" t="s">
        <v>294</v>
      </c>
      <c r="BG3" s="122" t="s">
        <v>270</v>
      </c>
      <c r="BH3" s="122" t="s">
        <v>560</v>
      </c>
      <c r="BI3" s="122" t="s">
        <v>561</v>
      </c>
      <c r="BJ3" s="122"/>
      <c r="BK3" s="127"/>
      <c r="BL3" s="122"/>
      <c r="BM3" s="122"/>
      <c r="BN3" s="122"/>
      <c r="BO3" s="122"/>
      <c r="BP3" s="122"/>
      <c r="BQ3" s="122"/>
      <c r="BR3" s="122"/>
    </row>
    <row r="4" ht="15.5" customHeight="1" spans="1:70">
      <c r="A4" s="121" t="s">
        <v>562</v>
      </c>
      <c r="B4" s="129" t="s">
        <v>563</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562</v>
      </c>
      <c r="V4" s="129" t="s">
        <v>563</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562</v>
      </c>
      <c r="BA4" s="129" t="s">
        <v>563</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565</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565</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565</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567</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567</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567</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569</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569</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569</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570</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570</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570</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422</v>
      </c>
      <c r="B9" s="129" t="s">
        <v>563</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422</v>
      </c>
      <c r="V9" s="129" t="s">
        <v>563</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422</v>
      </c>
      <c r="BA9" s="129" t="s">
        <v>563</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565</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565</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565</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567</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567</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567</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569</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569</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569</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570</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570</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570</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431</v>
      </c>
      <c r="B14" s="129" t="s">
        <v>563</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431</v>
      </c>
      <c r="V14" s="129" t="s">
        <v>563</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431</v>
      </c>
      <c r="BA14" s="129" t="s">
        <v>563</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565</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565</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565</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567</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567</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567</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569</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569</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569</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570</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570</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570</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595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595</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555</v>
      </c>
      <c r="B22" s="121" t="s">
        <v>596</v>
      </c>
      <c r="C22" s="121" t="s">
        <v>557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555</v>
      </c>
      <c r="BA22" s="121" t="s">
        <v>596</v>
      </c>
      <c r="BB22" s="121" t="s">
        <v>557</v>
      </c>
      <c r="BC22" s="121"/>
      <c r="BD22" s="121"/>
      <c r="BE22" s="121"/>
      <c r="BF22" s="121"/>
      <c r="BG22" s="121"/>
      <c r="BH22" s="121"/>
      <c r="BI22" s="121"/>
      <c r="BJ22" s="122"/>
      <c r="BK22" s="122"/>
      <c r="BL22" s="122"/>
      <c r="BM22" s="122"/>
      <c r="BN22" s="122"/>
      <c r="BO22" s="122"/>
      <c r="BP22" s="122"/>
      <c r="BQ22" s="122"/>
      <c r="BR22" s="122"/>
    </row>
    <row r="23" ht="30" spans="1:70">
      <c r="A23" s="121"/>
      <c r="B23" s="121"/>
      <c r="C23" s="125" t="s">
        <v>559</v>
      </c>
      <c r="D23" s="122" t="s">
        <v>276</v>
      </c>
      <c r="E23" s="122" t="s">
        <v>281</v>
      </c>
      <c r="F23" s="126" t="s">
        <v>288</v>
      </c>
      <c r="G23" s="122" t="s">
        <v>294</v>
      </c>
      <c r="H23" s="122" t="s">
        <v>270</v>
      </c>
      <c r="I23" s="122" t="s">
        <v>560</v>
      </c>
      <c r="J23" s="122" t="s">
        <v>561</v>
      </c>
      <c r="K23" s="122"/>
      <c r="L23" s="122"/>
      <c r="M23" s="122" t="s">
        <v>276</v>
      </c>
      <c r="N23" s="122" t="s">
        <v>281</v>
      </c>
      <c r="O23" s="122" t="s">
        <v>288</v>
      </c>
      <c r="P23" s="122" t="s">
        <v>294</v>
      </c>
      <c r="Q23" s="122" t="s">
        <v>270</v>
      </c>
      <c r="R23" s="122" t="s">
        <v>560</v>
      </c>
      <c r="S23" s="122" t="s">
        <v>561</v>
      </c>
      <c r="T23" s="122"/>
      <c r="U23" s="122"/>
      <c r="V23" s="124" t="s">
        <v>594</v>
      </c>
      <c r="W23" s="122" t="s">
        <v>276</v>
      </c>
      <c r="X23" s="122" t="s">
        <v>281</v>
      </c>
      <c r="Y23" s="126" t="s">
        <v>288</v>
      </c>
      <c r="Z23" s="122" t="s">
        <v>294</v>
      </c>
      <c r="AA23" s="122" t="s">
        <v>270</v>
      </c>
      <c r="AB23" s="128" t="s">
        <v>560</v>
      </c>
      <c r="AC23" s="128" t="s">
        <v>561</v>
      </c>
      <c r="AD23" s="122"/>
      <c r="AE23" s="122"/>
      <c r="AF23" s="122" t="s">
        <v>276</v>
      </c>
      <c r="AG23" s="122" t="s">
        <v>281</v>
      </c>
      <c r="AH23" s="126" t="s">
        <v>288</v>
      </c>
      <c r="AI23" s="122" t="s">
        <v>294</v>
      </c>
      <c r="AJ23" s="122" t="s">
        <v>270</v>
      </c>
      <c r="AK23" s="128" t="s">
        <v>560</v>
      </c>
      <c r="AL23" s="128" t="s">
        <v>561</v>
      </c>
      <c r="AM23" s="122"/>
      <c r="AN23" s="122"/>
      <c r="AO23" s="122" t="s">
        <v>276</v>
      </c>
      <c r="AP23" s="122" t="s">
        <v>281</v>
      </c>
      <c r="AQ23" s="126" t="s">
        <v>288</v>
      </c>
      <c r="AR23" s="122" t="s">
        <v>294</v>
      </c>
      <c r="AS23" s="122" t="s">
        <v>270</v>
      </c>
      <c r="AT23" s="128" t="s">
        <v>560</v>
      </c>
      <c r="AU23" s="128" t="s">
        <v>561</v>
      </c>
      <c r="AZ23" s="121"/>
      <c r="BA23" s="121"/>
      <c r="BB23" s="125" t="s">
        <v>559</v>
      </c>
      <c r="BC23" s="122" t="s">
        <v>276</v>
      </c>
      <c r="BD23" s="122" t="s">
        <v>281</v>
      </c>
      <c r="BE23" s="126" t="s">
        <v>288</v>
      </c>
      <c r="BF23" s="122" t="s">
        <v>294</v>
      </c>
      <c r="BG23" s="122" t="s">
        <v>270</v>
      </c>
      <c r="BH23" s="122" t="s">
        <v>560</v>
      </c>
      <c r="BI23" s="122" t="s">
        <v>561</v>
      </c>
      <c r="BJ23" s="122"/>
      <c r="BK23" s="122"/>
      <c r="BL23" s="122"/>
      <c r="BM23" s="122"/>
      <c r="BN23" s="122"/>
      <c r="BO23" s="122"/>
      <c r="BP23" s="122"/>
      <c r="BQ23" s="122"/>
      <c r="BR23" s="122"/>
    </row>
    <row r="24" ht="15.5" customHeight="1" spans="1:70">
      <c r="A24" s="121" t="s">
        <v>562</v>
      </c>
      <c r="B24" s="129" t="s">
        <v>563</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562</v>
      </c>
      <c r="V24" s="129" t="s">
        <v>563</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562</v>
      </c>
      <c r="BA24" s="129" t="s">
        <v>563</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565</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565</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565</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567</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567</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567</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569</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569</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569</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570</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570</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570</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422</v>
      </c>
      <c r="B29" s="129" t="s">
        <v>563</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422</v>
      </c>
      <c r="V29" s="129" t="s">
        <v>563</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422</v>
      </c>
      <c r="BA29" s="129" t="s">
        <v>563</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565</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565</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565</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567</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567</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567</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569</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569</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569</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570</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570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570</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431</v>
      </c>
      <c r="B34" s="129" t="s">
        <v>563</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431</v>
      </c>
      <c r="V34" s="129" t="s">
        <v>563</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431</v>
      </c>
      <c r="BA34" s="129" t="s">
        <v>563</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565</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565</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565</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567</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567</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567</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569</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569</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569</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570</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570</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570</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597</v>
      </c>
      <c r="B41" s="121"/>
      <c r="C41" s="121"/>
      <c r="D41" s="121"/>
      <c r="E41" s="121"/>
      <c r="F41" s="121"/>
      <c r="G41" s="121"/>
      <c r="H41" s="121"/>
      <c r="I41" s="121"/>
      <c r="J41" s="121"/>
      <c r="K41" s="122"/>
      <c r="L41" s="122"/>
      <c r="M41" s="122"/>
      <c r="N41" s="122"/>
      <c r="O41" s="122"/>
      <c r="P41" s="122"/>
      <c r="Q41" s="122"/>
      <c r="R41" s="122"/>
      <c r="S41" s="122"/>
      <c r="T41" s="122"/>
      <c r="AZ41" s="121" t="s">
        <v>597</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555</v>
      </c>
      <c r="B42" s="121" t="s">
        <v>596</v>
      </c>
      <c r="C42" s="121" t="s">
        <v>557</v>
      </c>
      <c r="D42" s="121"/>
      <c r="E42" s="121"/>
      <c r="F42" s="121"/>
      <c r="G42" s="121"/>
      <c r="H42" s="121"/>
      <c r="I42" s="121"/>
      <c r="J42" s="121"/>
      <c r="K42" s="122"/>
      <c r="L42" s="122"/>
      <c r="M42" s="122"/>
      <c r="N42" s="122"/>
      <c r="O42" s="122"/>
      <c r="P42" s="122"/>
      <c r="Q42" s="122"/>
      <c r="R42" s="122"/>
      <c r="S42" s="122"/>
      <c r="T42" s="122"/>
      <c r="AZ42" s="121" t="s">
        <v>555</v>
      </c>
      <c r="BA42" s="121" t="s">
        <v>596</v>
      </c>
      <c r="BB42" s="121" t="s">
        <v>557</v>
      </c>
      <c r="BC42" s="121"/>
      <c r="BD42" s="121"/>
      <c r="BE42" s="121"/>
      <c r="BF42" s="121"/>
      <c r="BG42" s="121"/>
      <c r="BH42" s="121"/>
      <c r="BI42" s="121"/>
      <c r="BJ42" s="122"/>
      <c r="BK42" s="122"/>
      <c r="BL42" s="122"/>
      <c r="BM42" s="122"/>
      <c r="BN42" s="122"/>
      <c r="BO42" s="122"/>
      <c r="BP42" s="122"/>
      <c r="BQ42" s="122"/>
      <c r="BR42" s="122"/>
    </row>
    <row r="43" ht="30" spans="1:70">
      <c r="A43" s="121"/>
      <c r="B43" s="121"/>
      <c r="C43" s="125" t="s">
        <v>559</v>
      </c>
      <c r="D43" s="122" t="s">
        <v>276</v>
      </c>
      <c r="E43" s="122" t="s">
        <v>281</v>
      </c>
      <c r="F43" s="126" t="s">
        <v>288</v>
      </c>
      <c r="G43" s="122" t="s">
        <v>294</v>
      </c>
      <c r="H43" s="122" t="s">
        <v>270</v>
      </c>
      <c r="I43" s="122" t="s">
        <v>560</v>
      </c>
      <c r="J43" s="122" t="s">
        <v>561</v>
      </c>
      <c r="K43" s="122"/>
      <c r="L43" s="122"/>
      <c r="M43" s="122" t="s">
        <v>276</v>
      </c>
      <c r="N43" s="122" t="s">
        <v>281</v>
      </c>
      <c r="O43" s="122" t="s">
        <v>288</v>
      </c>
      <c r="P43" s="122" t="s">
        <v>294</v>
      </c>
      <c r="Q43" s="122" t="s">
        <v>270</v>
      </c>
      <c r="R43" s="122" t="s">
        <v>560</v>
      </c>
      <c r="S43" s="122" t="s">
        <v>561</v>
      </c>
      <c r="T43" s="122"/>
      <c r="U43" s="122"/>
      <c r="V43" s="124" t="s">
        <v>594</v>
      </c>
      <c r="W43" s="122" t="s">
        <v>276</v>
      </c>
      <c r="X43" s="122" t="s">
        <v>281</v>
      </c>
      <c r="Y43" s="126" t="s">
        <v>288</v>
      </c>
      <c r="Z43" s="122" t="s">
        <v>294</v>
      </c>
      <c r="AA43" s="122" t="s">
        <v>270</v>
      </c>
      <c r="AB43" s="128" t="s">
        <v>560</v>
      </c>
      <c r="AC43" s="128" t="s">
        <v>561</v>
      </c>
      <c r="AD43" s="122"/>
      <c r="AE43" s="122"/>
      <c r="AF43" s="122" t="s">
        <v>276</v>
      </c>
      <c r="AG43" s="122" t="s">
        <v>281</v>
      </c>
      <c r="AH43" s="126" t="s">
        <v>288</v>
      </c>
      <c r="AI43" s="122" t="s">
        <v>294</v>
      </c>
      <c r="AJ43" s="122" t="s">
        <v>270</v>
      </c>
      <c r="AK43" s="128" t="s">
        <v>560</v>
      </c>
      <c r="AL43" s="128" t="s">
        <v>561</v>
      </c>
      <c r="AO43" s="122" t="s">
        <v>276</v>
      </c>
      <c r="AP43" s="122" t="s">
        <v>281</v>
      </c>
      <c r="AQ43" s="126" t="s">
        <v>288</v>
      </c>
      <c r="AR43" s="122" t="s">
        <v>294</v>
      </c>
      <c r="AS43" s="122" t="s">
        <v>270</v>
      </c>
      <c r="AT43" s="128" t="s">
        <v>560</v>
      </c>
      <c r="AU43" s="128" t="s">
        <v>561</v>
      </c>
      <c r="AZ43" s="121"/>
      <c r="BA43" s="121"/>
      <c r="BB43" s="125" t="s">
        <v>559</v>
      </c>
      <c r="BC43" s="122" t="s">
        <v>276</v>
      </c>
      <c r="BD43" s="122" t="s">
        <v>281</v>
      </c>
      <c r="BE43" s="126" t="s">
        <v>288</v>
      </c>
      <c r="BF43" s="122" t="s">
        <v>294</v>
      </c>
      <c r="BG43" s="122" t="s">
        <v>270</v>
      </c>
      <c r="BH43" s="122" t="s">
        <v>560</v>
      </c>
      <c r="BI43" s="122" t="s">
        <v>561</v>
      </c>
      <c r="BJ43" s="122"/>
      <c r="BK43" s="122"/>
      <c r="BL43" s="122"/>
      <c r="BM43" s="122"/>
      <c r="BN43" s="122"/>
      <c r="BO43" s="122"/>
      <c r="BP43" s="122"/>
      <c r="BQ43" s="122"/>
      <c r="BR43" s="122"/>
    </row>
    <row r="44" ht="15.5" customHeight="1" spans="1:70">
      <c r="A44" s="121" t="s">
        <v>562</v>
      </c>
      <c r="B44" s="129" t="s">
        <v>563</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562</v>
      </c>
      <c r="V44" s="129" t="s">
        <v>563</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562</v>
      </c>
      <c r="BA44" s="129" t="s">
        <v>563</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565</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565</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565</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567</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567</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567</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569</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569</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569</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570</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570</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570</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422</v>
      </c>
      <c r="B49" s="129" t="s">
        <v>563</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422</v>
      </c>
      <c r="V49" s="129" t="s">
        <v>563</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422</v>
      </c>
      <c r="BA49" s="129" t="s">
        <v>563</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565</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565</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565</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567</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567</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567</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569</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569</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569</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570</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570</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570</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431</v>
      </c>
      <c r="B54" s="129" t="s">
        <v>563</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431</v>
      </c>
      <c r="V54" s="129" t="s">
        <v>563</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431</v>
      </c>
      <c r="BA54" s="129" t="s">
        <v>563</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565</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565</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565</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567</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567</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567</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569</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569</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569</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570</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570</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570</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573</v>
      </c>
      <c r="B60" s="122"/>
      <c r="C60" s="125"/>
      <c r="D60" s="122"/>
      <c r="E60" s="122"/>
      <c r="F60" s="122"/>
      <c r="G60" s="122"/>
      <c r="H60" s="122"/>
      <c r="I60" s="122"/>
      <c r="J60" s="122"/>
      <c r="K60" s="122"/>
      <c r="L60" s="122"/>
      <c r="M60" s="122"/>
      <c r="N60" s="122"/>
      <c r="O60" s="122"/>
      <c r="P60" s="122"/>
      <c r="Q60" s="122"/>
      <c r="R60" s="122"/>
      <c r="S60" s="122"/>
      <c r="T60" s="122"/>
      <c r="AZ60" s="122" t="s">
        <v>573</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598</v>
      </c>
      <c r="B61" s="122"/>
      <c r="C61" s="125"/>
      <c r="D61" s="122"/>
      <c r="E61" s="122"/>
      <c r="F61" s="122"/>
      <c r="G61" s="122"/>
      <c r="H61" s="122"/>
      <c r="I61" s="122"/>
      <c r="J61" s="122"/>
      <c r="K61" s="122"/>
      <c r="L61" s="122"/>
      <c r="M61" s="122"/>
      <c r="N61" s="122"/>
      <c r="O61" s="122"/>
      <c r="P61" s="122"/>
      <c r="Q61" s="122"/>
      <c r="R61" s="122"/>
      <c r="S61" s="122"/>
      <c r="T61" s="122"/>
      <c r="AZ61" s="122" t="s">
        <v>598</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599</v>
      </c>
      <c r="B62" s="122"/>
      <c r="C62" s="125"/>
      <c r="D62" s="122"/>
      <c r="E62" s="122"/>
      <c r="F62" s="122"/>
      <c r="G62" s="122"/>
      <c r="H62" s="122"/>
      <c r="I62" s="122"/>
      <c r="J62" s="122"/>
      <c r="K62" s="122"/>
      <c r="L62" s="122"/>
      <c r="M62" s="122"/>
      <c r="N62" s="122"/>
      <c r="O62" s="122"/>
      <c r="P62" s="122"/>
      <c r="Q62" s="122"/>
      <c r="R62" s="122"/>
      <c r="S62" s="122"/>
      <c r="T62" s="122"/>
      <c r="AZ62" s="122" t="s">
        <v>599</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276</v>
      </c>
      <c r="X72" s="122" t="s">
        <v>281</v>
      </c>
      <c r="Y72" s="126" t="s">
        <v>288</v>
      </c>
      <c r="Z72" s="122" t="s">
        <v>294</v>
      </c>
      <c r="AA72" s="122" t="s">
        <v>270</v>
      </c>
      <c r="AB72" s="128" t="s">
        <v>560</v>
      </c>
      <c r="AC72" s="128" t="s">
        <v>561</v>
      </c>
      <c r="AD72" s="122"/>
      <c r="AE72" s="122"/>
      <c r="AF72" s="122" t="s">
        <v>276</v>
      </c>
      <c r="AG72" s="122" t="s">
        <v>281</v>
      </c>
      <c r="AH72" s="126" t="s">
        <v>288</v>
      </c>
      <c r="AI72" s="122" t="s">
        <v>294</v>
      </c>
      <c r="AJ72" s="122" t="s">
        <v>270</v>
      </c>
      <c r="AK72" s="128" t="s">
        <v>560</v>
      </c>
      <c r="AL72" s="128" t="s">
        <v>561</v>
      </c>
      <c r="AM72" s="122"/>
      <c r="AN72" s="122"/>
      <c r="AO72" s="122" t="s">
        <v>276</v>
      </c>
      <c r="AP72" s="122" t="s">
        <v>281</v>
      </c>
      <c r="AQ72" s="126" t="s">
        <v>288</v>
      </c>
      <c r="AR72" s="122" t="s">
        <v>294</v>
      </c>
      <c r="AS72" s="122" t="s">
        <v>270</v>
      </c>
      <c r="AT72" s="128" t="s">
        <v>560</v>
      </c>
      <c r="AU72" s="128" t="s">
        <v>561</v>
      </c>
    </row>
    <row r="73" spans="21:47">
      <c r="U73" s="121" t="s">
        <v>562</v>
      </c>
      <c r="V73" s="136" t="s">
        <v>210</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564</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566</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568</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422</v>
      </c>
      <c r="V77" s="136" t="s">
        <v>210</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564</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566</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568</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600</v>
      </c>
      <c r="V81" s="136" t="s">
        <v>210</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564</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566</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568</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601</v>
      </c>
      <c r="V85" s="136" t="s">
        <v>210</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564</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566</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568</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276</v>
      </c>
      <c r="X92" s="122" t="s">
        <v>281</v>
      </c>
      <c r="Y92" s="126" t="s">
        <v>288</v>
      </c>
      <c r="Z92" s="122" t="s">
        <v>294</v>
      </c>
      <c r="AA92" s="122" t="s">
        <v>270</v>
      </c>
      <c r="AB92" s="128" t="s">
        <v>560</v>
      </c>
      <c r="AC92" s="128" t="s">
        <v>561</v>
      </c>
      <c r="AD92" s="122"/>
      <c r="AE92" s="122"/>
      <c r="AF92" s="122" t="s">
        <v>276</v>
      </c>
      <c r="AG92" s="122" t="s">
        <v>281</v>
      </c>
      <c r="AH92" s="126" t="s">
        <v>288</v>
      </c>
      <c r="AI92" s="122" t="s">
        <v>294</v>
      </c>
      <c r="AJ92" s="122" t="s">
        <v>270</v>
      </c>
      <c r="AK92" s="128" t="s">
        <v>560</v>
      </c>
      <c r="AL92" s="128" t="s">
        <v>561</v>
      </c>
      <c r="AM92" s="122"/>
      <c r="AN92" s="122"/>
      <c r="AO92" s="122" t="s">
        <v>276</v>
      </c>
      <c r="AP92" s="122" t="s">
        <v>281</v>
      </c>
      <c r="AQ92" s="126" t="s">
        <v>288</v>
      </c>
      <c r="AR92" s="122" t="s">
        <v>294</v>
      </c>
      <c r="AS92" s="122" t="s">
        <v>270</v>
      </c>
      <c r="AT92" s="128" t="s">
        <v>560</v>
      </c>
      <c r="AU92" s="128" t="s">
        <v>561</v>
      </c>
    </row>
    <row r="93" spans="21:47">
      <c r="U93" s="121" t="s">
        <v>562</v>
      </c>
      <c r="V93" s="136" t="s">
        <v>210</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564</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566</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568</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422</v>
      </c>
      <c r="V97" s="136" t="s">
        <v>210</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564</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566</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568</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600</v>
      </c>
      <c r="V101" s="136" t="s">
        <v>210</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564</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566</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568</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601</v>
      </c>
      <c r="V105" s="136" t="s">
        <v>210</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564</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566</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568</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276</v>
      </c>
      <c r="X112" s="122" t="s">
        <v>281</v>
      </c>
      <c r="Y112" s="126" t="s">
        <v>288</v>
      </c>
      <c r="Z112" s="122" t="s">
        <v>294</v>
      </c>
      <c r="AA112" s="122" t="s">
        <v>270</v>
      </c>
      <c r="AB112" s="128" t="s">
        <v>560</v>
      </c>
      <c r="AC112" s="128" t="s">
        <v>561</v>
      </c>
      <c r="AD112" s="122"/>
      <c r="AE112" s="122"/>
      <c r="AF112" s="122" t="s">
        <v>276</v>
      </c>
      <c r="AG112" s="122" t="s">
        <v>281</v>
      </c>
      <c r="AH112" s="126" t="s">
        <v>288</v>
      </c>
      <c r="AI112" s="122" t="s">
        <v>294</v>
      </c>
      <c r="AJ112" s="122" t="s">
        <v>270</v>
      </c>
      <c r="AK112" s="128" t="s">
        <v>560</v>
      </c>
      <c r="AL112" s="128" t="s">
        <v>561</v>
      </c>
      <c r="AM112" s="122"/>
      <c r="AN112" s="122"/>
      <c r="AO112" s="122" t="s">
        <v>276</v>
      </c>
      <c r="AP112" s="122" t="s">
        <v>281</v>
      </c>
      <c r="AQ112" s="126" t="s">
        <v>288</v>
      </c>
      <c r="AR112" s="122" t="s">
        <v>294</v>
      </c>
      <c r="AS112" s="122" t="s">
        <v>270</v>
      </c>
      <c r="AT112" s="128" t="s">
        <v>560</v>
      </c>
      <c r="AU112" s="128" t="s">
        <v>561</v>
      </c>
    </row>
    <row r="113" spans="21:47">
      <c r="U113" s="121" t="s">
        <v>562</v>
      </c>
      <c r="V113" s="136" t="s">
        <v>210</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564</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566</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568</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422</v>
      </c>
      <c r="V117" s="136" t="s">
        <v>210</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564</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566</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568</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600</v>
      </c>
      <c r="V121" s="136" t="s">
        <v>210</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564</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566</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568</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601</v>
      </c>
      <c r="V125" s="136" t="s">
        <v>210</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564</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566</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568</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193</v>
      </c>
      <c r="W160" s="138"/>
      <c r="X160" s="139"/>
      <c r="Y160" s="138"/>
      <c r="Z160" s="138" t="s">
        <v>193</v>
      </c>
      <c r="AA160" s="138"/>
      <c r="AB160" s="139"/>
      <c r="AC160" s="138"/>
      <c r="AD160" s="138" t="s">
        <v>193</v>
      </c>
      <c r="AE160" s="138"/>
      <c r="AF160" s="139"/>
      <c r="AG160" s="138"/>
      <c r="AH160" s="138" t="s">
        <v>193</v>
      </c>
      <c r="AI160" s="138"/>
      <c r="AJ160" s="139"/>
      <c r="AK160" s="138"/>
      <c r="AL160" s="138" t="s">
        <v>193</v>
      </c>
      <c r="AM160" s="138"/>
      <c r="AN160" s="139"/>
      <c r="AO160" s="138"/>
      <c r="AP160" s="138" t="s">
        <v>193</v>
      </c>
      <c r="AQ160" s="138"/>
      <c r="AR160" s="139"/>
      <c r="AS160" s="138"/>
      <c r="AT160" s="138" t="s">
        <v>193</v>
      </c>
      <c r="AU160" s="138"/>
    </row>
    <row r="161" ht="15.5" spans="21:47">
      <c r="U161" s="138" t="s">
        <v>80</v>
      </c>
      <c r="V161" s="138" t="s">
        <v>195</v>
      </c>
      <c r="W161" s="138">
        <v>2019</v>
      </c>
      <c r="X161" s="139"/>
      <c r="Y161" s="138" t="s">
        <v>80</v>
      </c>
      <c r="Z161" s="138" t="s">
        <v>195</v>
      </c>
      <c r="AA161" s="138">
        <v>2019</v>
      </c>
      <c r="AB161" s="139"/>
      <c r="AC161" s="138" t="s">
        <v>80</v>
      </c>
      <c r="AD161" s="138" t="s">
        <v>195</v>
      </c>
      <c r="AE161" s="138">
        <v>2019</v>
      </c>
      <c r="AF161" s="139"/>
      <c r="AG161" s="138" t="s">
        <v>80</v>
      </c>
      <c r="AH161" s="138" t="s">
        <v>195</v>
      </c>
      <c r="AI161" s="138">
        <v>2019</v>
      </c>
      <c r="AJ161" s="139"/>
      <c r="AK161" s="138" t="s">
        <v>80</v>
      </c>
      <c r="AL161" s="138" t="s">
        <v>195</v>
      </c>
      <c r="AM161" s="138">
        <v>2019</v>
      </c>
      <c r="AN161" s="139"/>
      <c r="AO161" s="138" t="s">
        <v>80</v>
      </c>
      <c r="AP161" s="138" t="s">
        <v>195</v>
      </c>
      <c r="AQ161" s="138">
        <v>2019</v>
      </c>
      <c r="AR161" s="139"/>
      <c r="AS161" s="138" t="s">
        <v>80</v>
      </c>
      <c r="AT161" s="138" t="s">
        <v>195</v>
      </c>
      <c r="AU161" s="138">
        <v>2019</v>
      </c>
    </row>
    <row r="162" ht="15.5" spans="21:47">
      <c r="U162" s="139" t="s">
        <v>388</v>
      </c>
      <c r="V162" s="142" t="s">
        <v>547</v>
      </c>
      <c r="W162" s="139">
        <f>W85</f>
        <v>0.0105665038459379</v>
      </c>
      <c r="X162" s="139"/>
      <c r="Y162" s="139" t="s">
        <v>389</v>
      </c>
      <c r="Z162" s="142" t="s">
        <v>547</v>
      </c>
      <c r="AA162" s="139">
        <f>X85</f>
        <v>0.010151126318791</v>
      </c>
      <c r="AB162" s="139"/>
      <c r="AC162" s="139" t="s">
        <v>391</v>
      </c>
      <c r="AD162" s="142" t="s">
        <v>547</v>
      </c>
      <c r="AE162" s="139">
        <f>Y85</f>
        <v>0.0104454409566517</v>
      </c>
      <c r="AF162" s="139"/>
      <c r="AG162" s="139" t="s">
        <v>392</v>
      </c>
      <c r="AH162" s="142" t="s">
        <v>547</v>
      </c>
      <c r="AI162" s="139">
        <f>Z85</f>
        <v>0.0114922921405105</v>
      </c>
      <c r="AJ162" s="139"/>
      <c r="AK162" s="139" t="s">
        <v>387</v>
      </c>
      <c r="AL162" s="142" t="s">
        <v>547</v>
      </c>
      <c r="AM162" s="139">
        <f>AA85</f>
        <v>0.0116539250419541</v>
      </c>
      <c r="AN162" s="139"/>
      <c r="AO162" s="139" t="s">
        <v>386</v>
      </c>
      <c r="AP162" s="142" t="s">
        <v>547</v>
      </c>
      <c r="AQ162" s="139">
        <f>AB85</f>
        <v>0.00876348131427138</v>
      </c>
      <c r="AR162" s="139"/>
      <c r="AS162" s="139" t="s">
        <v>384</v>
      </c>
      <c r="AT162" s="142" t="s">
        <v>547</v>
      </c>
      <c r="AU162" s="139">
        <f>AC85</f>
        <v>0.0102994929843179</v>
      </c>
    </row>
    <row r="163" ht="15.5" spans="21:47">
      <c r="U163" s="139"/>
      <c r="V163" s="142" t="s">
        <v>548</v>
      </c>
      <c r="W163" s="139">
        <f>W86</f>
        <v>0.0361911178485206</v>
      </c>
      <c r="X163" s="139"/>
      <c r="Y163" s="139"/>
      <c r="Z163" s="142" t="s">
        <v>548</v>
      </c>
      <c r="AA163" s="139">
        <f>X86</f>
        <v>0.0345822640433419</v>
      </c>
      <c r="AB163" s="139"/>
      <c r="AC163" s="139"/>
      <c r="AD163" s="142" t="s">
        <v>548</v>
      </c>
      <c r="AE163" s="139">
        <f>Y86</f>
        <v>0.0356053811659193</v>
      </c>
      <c r="AF163" s="139"/>
      <c r="AG163" s="139"/>
      <c r="AH163" s="142" t="s">
        <v>548</v>
      </c>
      <c r="AI163" s="139">
        <f>Z86</f>
        <v>0.0365744250694971</v>
      </c>
      <c r="AJ163" s="139"/>
      <c r="AK163" s="139"/>
      <c r="AL163" s="142" t="s">
        <v>548</v>
      </c>
      <c r="AM163" s="139">
        <f>AA86</f>
        <v>0.0374914537883026</v>
      </c>
      <c r="AN163" s="139"/>
      <c r="AO163" s="139"/>
      <c r="AP163" s="142" t="s">
        <v>548</v>
      </c>
      <c r="AQ163" s="139">
        <f>AB86</f>
        <v>0.0298720842738901</v>
      </c>
      <c r="AR163" s="139"/>
      <c r="AS163" s="139"/>
      <c r="AT163" s="142" t="s">
        <v>548</v>
      </c>
      <c r="AU163" s="139">
        <f>AC86</f>
        <v>0.0351078882207287</v>
      </c>
    </row>
    <row r="164" ht="15.5" spans="21:47">
      <c r="U164" s="139"/>
      <c r="V164" s="142" t="s">
        <v>549</v>
      </c>
      <c r="W164" s="139">
        <f>W87</f>
        <v>0.0787154005951378</v>
      </c>
      <c r="X164" s="139"/>
      <c r="Y164" s="139"/>
      <c r="Z164" s="142" t="s">
        <v>549</v>
      </c>
      <c r="AA164" s="139">
        <f>X87</f>
        <v>0.0766238950670089</v>
      </c>
      <c r="AB164" s="139"/>
      <c r="AC164" s="139"/>
      <c r="AD164" s="142" t="s">
        <v>549</v>
      </c>
      <c r="AE164" s="139">
        <f>Y87</f>
        <v>0.0794379671150972</v>
      </c>
      <c r="AF164" s="139"/>
      <c r="AG164" s="139"/>
      <c r="AH164" s="142" t="s">
        <v>549</v>
      </c>
      <c r="AI164" s="139">
        <f>Z87</f>
        <v>0.0831501137225171</v>
      </c>
      <c r="AJ164" s="139"/>
      <c r="AK164" s="139"/>
      <c r="AL164" s="142" t="s">
        <v>549</v>
      </c>
      <c r="AM164" s="139">
        <f>AA87</f>
        <v>0.0871278513269936</v>
      </c>
      <c r="AN164" s="139"/>
      <c r="AO164" s="139"/>
      <c r="AP164" s="142" t="s">
        <v>549</v>
      </c>
      <c r="AQ164" s="139">
        <f>AB87</f>
        <v>0.0666466014547279</v>
      </c>
      <c r="AR164" s="139"/>
      <c r="AS164" s="139"/>
      <c r="AT164" s="142" t="s">
        <v>549</v>
      </c>
      <c r="AU164" s="139">
        <f>AC87</f>
        <v>0.0783280273552647</v>
      </c>
    </row>
    <row r="165" ht="15.5" spans="21:47">
      <c r="U165" s="143"/>
      <c r="V165" s="142" t="s">
        <v>550</v>
      </c>
      <c r="W165" s="139">
        <f>W88</f>
        <v>0.0132277805850317</v>
      </c>
      <c r="X165" s="143"/>
      <c r="Y165" s="143"/>
      <c r="Z165" s="142" t="s">
        <v>550</v>
      </c>
      <c r="AA165" s="139">
        <f>X88</f>
        <v>0.0129398346164813</v>
      </c>
      <c r="AB165" s="143"/>
      <c r="AC165" s="143"/>
      <c r="AD165" s="142" t="s">
        <v>550</v>
      </c>
      <c r="AE165" s="139">
        <f>Y88</f>
        <v>0.0134050822122571</v>
      </c>
      <c r="AF165" s="143"/>
      <c r="AG165" s="143"/>
      <c r="AH165" s="142" t="s">
        <v>550</v>
      </c>
      <c r="AI165" s="139">
        <f>Z88</f>
        <v>0.0146449330300733</v>
      </c>
      <c r="AJ165" s="143"/>
      <c r="AK165" s="143"/>
      <c r="AL165" s="142" t="s">
        <v>550</v>
      </c>
      <c r="AM165" s="139">
        <f>AA88</f>
        <v>0.0149356703337684</v>
      </c>
      <c r="AN165" s="143"/>
      <c r="AO165" s="143"/>
      <c r="AP165" s="142" t="s">
        <v>550</v>
      </c>
      <c r="AQ165" s="139">
        <f>AB88</f>
        <v>0.011246551291698</v>
      </c>
      <c r="AR165" s="143"/>
      <c r="AS165" s="143"/>
      <c r="AT165" s="142" t="s">
        <v>550</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193</v>
      </c>
      <c r="W172" s="138"/>
      <c r="X172" s="139"/>
      <c r="Y172" s="138"/>
      <c r="Z172" s="138" t="s">
        <v>193</v>
      </c>
      <c r="AA172" s="138"/>
      <c r="AB172" s="139"/>
      <c r="AC172" s="138"/>
      <c r="AD172" s="138" t="s">
        <v>193</v>
      </c>
      <c r="AE172" s="138"/>
      <c r="AF172" s="139"/>
      <c r="AG172" s="138"/>
      <c r="AH172" s="138" t="s">
        <v>193</v>
      </c>
      <c r="AI172" s="138"/>
      <c r="AJ172" s="139"/>
      <c r="AK172" s="138"/>
      <c r="AL172" s="138" t="s">
        <v>193</v>
      </c>
      <c r="AM172" s="138"/>
      <c r="AN172" s="139"/>
      <c r="AO172" s="138"/>
      <c r="AP172" s="138" t="s">
        <v>193</v>
      </c>
      <c r="AQ172" s="138"/>
      <c r="AR172" s="139"/>
      <c r="AS172" s="138"/>
      <c r="AT172" s="138" t="s">
        <v>193</v>
      </c>
      <c r="AU172" s="138"/>
    </row>
    <row r="173" ht="15.5" spans="21:47">
      <c r="U173" s="138" t="s">
        <v>80</v>
      </c>
      <c r="V173" s="138" t="s">
        <v>195</v>
      </c>
      <c r="W173" s="138">
        <v>2019</v>
      </c>
      <c r="X173" s="139"/>
      <c r="Y173" s="138" t="s">
        <v>80</v>
      </c>
      <c r="Z173" s="138" t="s">
        <v>195</v>
      </c>
      <c r="AA173" s="138">
        <v>2019</v>
      </c>
      <c r="AB173" s="139"/>
      <c r="AC173" s="138" t="s">
        <v>80</v>
      </c>
      <c r="AD173" s="138" t="s">
        <v>195</v>
      </c>
      <c r="AE173" s="138">
        <v>2019</v>
      </c>
      <c r="AF173" s="139"/>
      <c r="AG173" s="138" t="s">
        <v>80</v>
      </c>
      <c r="AH173" s="138" t="s">
        <v>195</v>
      </c>
      <c r="AI173" s="138">
        <v>2019</v>
      </c>
      <c r="AJ173" s="139"/>
      <c r="AK173" s="138" t="s">
        <v>80</v>
      </c>
      <c r="AL173" s="138" t="s">
        <v>195</v>
      </c>
      <c r="AM173" s="138">
        <v>2019</v>
      </c>
      <c r="AN173" s="139"/>
      <c r="AO173" s="138" t="s">
        <v>80</v>
      </c>
      <c r="AP173" s="138" t="s">
        <v>195</v>
      </c>
      <c r="AQ173" s="138">
        <v>2019</v>
      </c>
      <c r="AR173" s="139"/>
      <c r="AS173" s="138" t="s">
        <v>80</v>
      </c>
      <c r="AT173" s="138" t="s">
        <v>195</v>
      </c>
      <c r="AU173" s="138">
        <v>2019</v>
      </c>
    </row>
    <row r="174" ht="15.5" spans="21:47">
      <c r="U174" s="139" t="s">
        <v>396</v>
      </c>
      <c r="V174" s="142" t="s">
        <v>547</v>
      </c>
      <c r="W174" s="139">
        <f>W105</f>
        <v>0.0115995732974005</v>
      </c>
      <c r="X174" s="139"/>
      <c r="Y174" s="139" t="s">
        <v>397</v>
      </c>
      <c r="Z174" s="142" t="s">
        <v>547</v>
      </c>
      <c r="AA174" s="139">
        <f>X105</f>
        <v>0.0111320216709438</v>
      </c>
      <c r="AB174" s="139"/>
      <c r="AC174" s="139" t="s">
        <v>398</v>
      </c>
      <c r="AD174" s="142" t="s">
        <v>547</v>
      </c>
      <c r="AE174" s="139">
        <f>Y105</f>
        <v>0.0115156950672646</v>
      </c>
      <c r="AF174" s="139"/>
      <c r="AG174" s="139" t="s">
        <v>407</v>
      </c>
      <c r="AH174" s="142" t="s">
        <v>547</v>
      </c>
      <c r="AI174" s="139">
        <f>Z105</f>
        <v>0.0118145059388425</v>
      </c>
      <c r="AJ174" s="139"/>
      <c r="AK174" s="139" t="s">
        <v>395</v>
      </c>
      <c r="AL174" s="142" t="s">
        <v>547</v>
      </c>
      <c r="AM174" s="139">
        <f>AA105</f>
        <v>0.0120206352166076</v>
      </c>
      <c r="AN174" s="139"/>
      <c r="AO174" s="139" t="s">
        <v>394</v>
      </c>
      <c r="AP174" s="142" t="s">
        <v>547</v>
      </c>
      <c r="AQ174" s="139">
        <f>AB105</f>
        <v>0.00966139954853273</v>
      </c>
      <c r="AR174" s="139"/>
      <c r="AS174" s="139" t="s">
        <v>393</v>
      </c>
      <c r="AT174" s="142" t="s">
        <v>547</v>
      </c>
      <c r="AU174" s="139">
        <f>AC105</f>
        <v>0.0113547930668553</v>
      </c>
    </row>
    <row r="175" ht="15.5" spans="21:47">
      <c r="U175" s="139"/>
      <c r="V175" s="142" t="s">
        <v>548</v>
      </c>
      <c r="W175" s="139">
        <f>W106</f>
        <v>0.0322272752793218</v>
      </c>
      <c r="X175" s="139"/>
      <c r="Y175" s="139"/>
      <c r="Z175" s="142" t="s">
        <v>548</v>
      </c>
      <c r="AA175" s="139">
        <f>X106</f>
        <v>0.0310350727117194</v>
      </c>
      <c r="AB175" s="139"/>
      <c r="AC175" s="139"/>
      <c r="AD175" s="142" t="s">
        <v>548</v>
      </c>
      <c r="AE175" s="139">
        <f>Y106</f>
        <v>0.0321195814648729</v>
      </c>
      <c r="AF175" s="139"/>
      <c r="AG175" s="139"/>
      <c r="AH175" s="142" t="s">
        <v>548</v>
      </c>
      <c r="AI175" s="139">
        <f>Z106</f>
        <v>0.0332512004043467</v>
      </c>
      <c r="AJ175" s="139"/>
      <c r="AK175" s="139"/>
      <c r="AL175" s="142" t="s">
        <v>548</v>
      </c>
      <c r="AM175" s="139">
        <f>AA106</f>
        <v>0.033880290881969</v>
      </c>
      <c r="AN175" s="139"/>
      <c r="AO175" s="139"/>
      <c r="AP175" s="142" t="s">
        <v>548</v>
      </c>
      <c r="AQ175" s="139">
        <f>AB106</f>
        <v>0.0269475796338099</v>
      </c>
      <c r="AR175" s="139"/>
      <c r="AS175" s="139"/>
      <c r="AT175" s="142" t="s">
        <v>548</v>
      </c>
      <c r="AU175" s="139">
        <f>AC106</f>
        <v>0.0316707935384978</v>
      </c>
    </row>
    <row r="176" ht="15.5" spans="21:47">
      <c r="U176" s="139"/>
      <c r="V176" s="142" t="s">
        <v>549</v>
      </c>
      <c r="W176" s="139">
        <f>W107</f>
        <v>0.0930380102184044</v>
      </c>
      <c r="X176" s="139"/>
      <c r="Y176" s="139"/>
      <c r="Z176" s="142" t="s">
        <v>549</v>
      </c>
      <c r="AA176" s="139">
        <f>X107</f>
        <v>0.0901682349586541</v>
      </c>
      <c r="AB176" s="139"/>
      <c r="AC176" s="139"/>
      <c r="AD176" s="142" t="s">
        <v>549</v>
      </c>
      <c r="AE176" s="139">
        <f>Y107</f>
        <v>0.0934708520179372</v>
      </c>
      <c r="AF176" s="139"/>
      <c r="AG176" s="139"/>
      <c r="AH176" s="142" t="s">
        <v>549</v>
      </c>
      <c r="AI176" s="139">
        <f>Z107</f>
        <v>0.0946044983573414</v>
      </c>
      <c r="AJ176" s="139"/>
      <c r="AK176" s="139"/>
      <c r="AL176" s="142" t="s">
        <v>549</v>
      </c>
      <c r="AM176" s="139">
        <f>AA107</f>
        <v>0.0987631300888806</v>
      </c>
      <c r="AN176" s="139"/>
      <c r="AO176" s="139"/>
      <c r="AP176" s="142" t="s">
        <v>549</v>
      </c>
      <c r="AQ176" s="139">
        <f>AB107</f>
        <v>0.0784198645598194</v>
      </c>
      <c r="AR176" s="139"/>
      <c r="AS176" s="139"/>
      <c r="AT176" s="142" t="s">
        <v>549</v>
      </c>
      <c r="AU176" s="139">
        <f>AC107</f>
        <v>0.0921648390519986</v>
      </c>
    </row>
    <row r="177" ht="15.5" spans="21:47">
      <c r="U177" s="143"/>
      <c r="V177" s="142" t="s">
        <v>550</v>
      </c>
      <c r="W177" s="139">
        <f>W108</f>
        <v>0.0134355173769019</v>
      </c>
      <c r="X177" s="143"/>
      <c r="Y177" s="143"/>
      <c r="Z177" s="142" t="s">
        <v>550</v>
      </c>
      <c r="AA177" s="139">
        <f>X108</f>
        <v>0.0132534930139721</v>
      </c>
      <c r="AB177" s="143"/>
      <c r="AC177" s="143"/>
      <c r="AD177" s="142" t="s">
        <v>550</v>
      </c>
      <c r="AE177" s="139">
        <f>Y108</f>
        <v>0.0138116591928251</v>
      </c>
      <c r="AF177" s="143"/>
      <c r="AG177" s="143"/>
      <c r="AH177" s="142" t="s">
        <v>550</v>
      </c>
      <c r="AI177" s="139">
        <f>Z108</f>
        <v>0.0141837250442254</v>
      </c>
      <c r="AJ177" s="143"/>
      <c r="AK177" s="143"/>
      <c r="AL177" s="142" t="s">
        <v>550</v>
      </c>
      <c r="AM177" s="139">
        <f>AA108</f>
        <v>0.0143824973584437</v>
      </c>
      <c r="AN177" s="143"/>
      <c r="AO177" s="143"/>
      <c r="AP177" s="142" t="s">
        <v>550</v>
      </c>
      <c r="AQ177" s="139">
        <f>AB108</f>
        <v>0.0115876598946576</v>
      </c>
      <c r="AR177" s="143"/>
      <c r="AS177" s="143"/>
      <c r="AT177" s="142" t="s">
        <v>550</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193</v>
      </c>
      <c r="W183" s="138"/>
      <c r="X183" s="139"/>
      <c r="Y183" s="138"/>
      <c r="Z183" s="138" t="s">
        <v>193</v>
      </c>
      <c r="AA183" s="138"/>
      <c r="AB183" s="139"/>
      <c r="AC183" s="138"/>
      <c r="AD183" s="138" t="s">
        <v>193</v>
      </c>
      <c r="AE183" s="138"/>
      <c r="AF183" s="139"/>
      <c r="AG183" s="138"/>
      <c r="AH183" s="138" t="s">
        <v>193</v>
      </c>
      <c r="AI183" s="138"/>
      <c r="AJ183" s="139"/>
      <c r="AK183" s="138"/>
      <c r="AL183" s="138" t="s">
        <v>193</v>
      </c>
      <c r="AM183" s="138"/>
      <c r="AN183" s="139"/>
      <c r="AO183" s="138"/>
      <c r="AP183" s="138" t="s">
        <v>193</v>
      </c>
      <c r="AQ183" s="138"/>
      <c r="AR183" s="139"/>
      <c r="AS183" s="138"/>
      <c r="AT183" s="138" t="s">
        <v>193</v>
      </c>
      <c r="AU183" s="138"/>
    </row>
    <row r="184" ht="15.5" spans="21:47">
      <c r="U184" s="138" t="s">
        <v>80</v>
      </c>
      <c r="V184" s="138" t="s">
        <v>195</v>
      </c>
      <c r="W184" s="138">
        <v>2019</v>
      </c>
      <c r="X184" s="139"/>
      <c r="Y184" s="138" t="s">
        <v>80</v>
      </c>
      <c r="Z184" s="138" t="s">
        <v>195</v>
      </c>
      <c r="AA184" s="138">
        <v>2019</v>
      </c>
      <c r="AB184" s="139"/>
      <c r="AC184" s="138" t="s">
        <v>80</v>
      </c>
      <c r="AD184" s="138" t="s">
        <v>195</v>
      </c>
      <c r="AE184" s="138">
        <v>2019</v>
      </c>
      <c r="AF184" s="139"/>
      <c r="AG184" s="138" t="s">
        <v>80</v>
      </c>
      <c r="AH184" s="138" t="s">
        <v>195</v>
      </c>
      <c r="AI184" s="138">
        <v>2019</v>
      </c>
      <c r="AJ184" s="139"/>
      <c r="AK184" s="138" t="s">
        <v>80</v>
      </c>
      <c r="AL184" s="138" t="s">
        <v>195</v>
      </c>
      <c r="AM184" s="138">
        <v>2019</v>
      </c>
      <c r="AN184" s="139"/>
      <c r="AO184" s="138" t="s">
        <v>80</v>
      </c>
      <c r="AP184" s="138" t="s">
        <v>195</v>
      </c>
      <c r="AQ184" s="138">
        <v>2019</v>
      </c>
      <c r="AR184" s="139"/>
      <c r="AS184" s="138" t="s">
        <v>80</v>
      </c>
      <c r="AT184" s="138" t="s">
        <v>195</v>
      </c>
      <c r="AU184" s="138">
        <v>2019</v>
      </c>
    </row>
    <row r="185" ht="15.5" spans="21:47">
      <c r="U185" s="139" t="s">
        <v>411</v>
      </c>
      <c r="V185" s="142" t="s">
        <v>547</v>
      </c>
      <c r="W185" s="139">
        <f>W125</f>
        <v>0.00791645612262086</v>
      </c>
      <c r="X185" s="139"/>
      <c r="Y185" s="139" t="s">
        <v>412</v>
      </c>
      <c r="Z185" s="142" t="s">
        <v>547</v>
      </c>
      <c r="AA185" s="139">
        <f>X125</f>
        <v>0.00768748217850014</v>
      </c>
      <c r="AB185" s="139"/>
      <c r="AC185" s="139" t="s">
        <v>413</v>
      </c>
      <c r="AD185" s="142" t="s">
        <v>547</v>
      </c>
      <c r="AE185" s="139">
        <f>Y125</f>
        <v>0.00798206278026906</v>
      </c>
      <c r="AF185" s="139"/>
      <c r="AG185" s="139" t="s">
        <v>414</v>
      </c>
      <c r="AH185" s="142" t="s">
        <v>547</v>
      </c>
      <c r="AI185" s="139">
        <f>Z125</f>
        <v>0.00797321202931515</v>
      </c>
      <c r="AJ185" s="139"/>
      <c r="AK185" s="139" t="s">
        <v>410</v>
      </c>
      <c r="AL185" s="142" t="s">
        <v>547</v>
      </c>
      <c r="AM185" s="139">
        <f>AA125</f>
        <v>0.00805519298899869</v>
      </c>
      <c r="AN185" s="139"/>
      <c r="AO185" s="139" t="s">
        <v>409</v>
      </c>
      <c r="AP185" s="142" t="s">
        <v>547</v>
      </c>
      <c r="AQ185" s="139">
        <f>AB125</f>
        <v>0.00669676448457487</v>
      </c>
      <c r="AR185" s="139"/>
      <c r="AS185" s="139" t="s">
        <v>408</v>
      </c>
      <c r="AT185" s="142" t="s">
        <v>547</v>
      </c>
      <c r="AU185" s="139">
        <f>AC125</f>
        <v>0.00787053413512557</v>
      </c>
    </row>
    <row r="186" ht="15.5" spans="21:47">
      <c r="U186" s="139"/>
      <c r="V186" s="142" t="s">
        <v>548</v>
      </c>
      <c r="W186" s="139">
        <f>W126</f>
        <v>0.0255740834315872</v>
      </c>
      <c r="X186" s="139"/>
      <c r="Y186" s="139"/>
      <c r="Z186" s="142" t="s">
        <v>548</v>
      </c>
      <c r="AA186" s="139">
        <f>X126</f>
        <v>0.0248303393213573</v>
      </c>
      <c r="AB186" s="139"/>
      <c r="AC186" s="139"/>
      <c r="AD186" s="142" t="s">
        <v>548</v>
      </c>
      <c r="AE186" s="139">
        <f>Y126</f>
        <v>0.0257518684603886</v>
      </c>
      <c r="AF186" s="139"/>
      <c r="AG186" s="139"/>
      <c r="AH186" s="142" t="s">
        <v>548</v>
      </c>
      <c r="AI186" s="139">
        <f>Z126</f>
        <v>0.0256633813495072</v>
      </c>
      <c r="AJ186" s="139"/>
      <c r="AK186" s="139"/>
      <c r="AL186" s="142" t="s">
        <v>548</v>
      </c>
      <c r="AM186" s="139">
        <f>AA126</f>
        <v>0.0260053452669526</v>
      </c>
      <c r="AN186" s="139"/>
      <c r="AO186" s="139"/>
      <c r="AP186" s="142" t="s">
        <v>548</v>
      </c>
      <c r="AQ186" s="139">
        <f>AB126</f>
        <v>0.0216052169551041</v>
      </c>
      <c r="AR186" s="139"/>
      <c r="AS186" s="139"/>
      <c r="AT186" s="142" t="s">
        <v>548</v>
      </c>
      <c r="AU186" s="139">
        <f>AC126</f>
        <v>0.0253920528239594</v>
      </c>
    </row>
    <row r="187" ht="15.5" spans="21:47">
      <c r="U187" s="139"/>
      <c r="V187" s="142" t="s">
        <v>549</v>
      </c>
      <c r="W187" s="139">
        <f>W127</f>
        <v>0.0604008758632306</v>
      </c>
      <c r="X187" s="139"/>
      <c r="Y187" s="139"/>
      <c r="Z187" s="142" t="s">
        <v>549</v>
      </c>
      <c r="AA187" s="139">
        <f>X127</f>
        <v>0.0597262617621899</v>
      </c>
      <c r="AB187" s="139"/>
      <c r="AC187" s="139"/>
      <c r="AD187" s="142" t="s">
        <v>549</v>
      </c>
      <c r="AE187" s="139">
        <f>Y127</f>
        <v>0.0622242152466368</v>
      </c>
      <c r="AF187" s="139"/>
      <c r="AG187" s="139"/>
      <c r="AH187" s="142" t="s">
        <v>549</v>
      </c>
      <c r="AI187" s="139">
        <f>Z127</f>
        <v>0.0635392974475613</v>
      </c>
      <c r="AJ187" s="139"/>
      <c r="AK187" s="139"/>
      <c r="AL187" s="142" t="s">
        <v>549</v>
      </c>
      <c r="AM187" s="139">
        <f>AA127</f>
        <v>0.0635589533221456</v>
      </c>
      <c r="AN187" s="139"/>
      <c r="AO187" s="139"/>
      <c r="AP187" s="142" t="s">
        <v>549</v>
      </c>
      <c r="AQ187" s="139">
        <f>AB127</f>
        <v>0.0522046651617758</v>
      </c>
      <c r="AR187" s="139"/>
      <c r="AS187" s="139"/>
      <c r="AT187" s="142" t="s">
        <v>549</v>
      </c>
      <c r="AU187" s="139">
        <f>AC127</f>
        <v>0.0613547930668553</v>
      </c>
    </row>
    <row r="188" ht="15.5" spans="21:47">
      <c r="U188" s="143"/>
      <c r="V188" s="142" t="s">
        <v>550</v>
      </c>
      <c r="W188" s="139">
        <f>W128</f>
        <v>0.013115490427264</v>
      </c>
      <c r="X188" s="143"/>
      <c r="Y188" s="143"/>
      <c r="Z188" s="142" t="s">
        <v>550</v>
      </c>
      <c r="AA188" s="139">
        <f>X128</f>
        <v>0.0129683490162532</v>
      </c>
      <c r="AB188" s="143"/>
      <c r="AC188" s="143"/>
      <c r="AD188" s="142" t="s">
        <v>550</v>
      </c>
      <c r="AE188" s="139">
        <f>Y128</f>
        <v>0.0135067264573991</v>
      </c>
      <c r="AF188" s="143"/>
      <c r="AG188" s="143"/>
      <c r="AH188" s="142" t="s">
        <v>550</v>
      </c>
      <c r="AI188" s="139">
        <f>Z128</f>
        <v>0.013747788728835</v>
      </c>
      <c r="AJ188" s="143"/>
      <c r="AK188" s="143"/>
      <c r="AL188" s="142" t="s">
        <v>550</v>
      </c>
      <c r="AM188" s="139">
        <f>AA128</f>
        <v>0.0137858163962956</v>
      </c>
      <c r="AN188" s="143"/>
      <c r="AO188" s="143"/>
      <c r="AP188" s="142" t="s">
        <v>550</v>
      </c>
      <c r="AQ188" s="139">
        <f>AB128</f>
        <v>0.0113318284424379</v>
      </c>
      <c r="AR188" s="143"/>
      <c r="AS188" s="143"/>
      <c r="AT188" s="142" t="s">
        <v>550</v>
      </c>
      <c r="AU188" s="139">
        <f>AC128</f>
        <v>0.0133180049522462</v>
      </c>
    </row>
    <row r="198" spans="21:47">
      <c r="U198" s="147"/>
      <c r="V198" s="147" t="s">
        <v>193</v>
      </c>
      <c r="W198" s="147"/>
      <c r="X198" s="147"/>
      <c r="Y198" s="147"/>
      <c r="Z198" s="147" t="s">
        <v>193</v>
      </c>
      <c r="AA198" s="147"/>
      <c r="AB198" s="147"/>
      <c r="AC198" s="147"/>
      <c r="AD198" s="147" t="s">
        <v>193</v>
      </c>
      <c r="AE198" s="147"/>
      <c r="AF198" s="147"/>
      <c r="AG198" s="147"/>
      <c r="AH198" s="147" t="s">
        <v>193</v>
      </c>
      <c r="AI198" s="147"/>
      <c r="AJ198" s="147"/>
      <c r="AK198" s="147"/>
      <c r="AL198" s="147" t="s">
        <v>193</v>
      </c>
      <c r="AM198" s="147"/>
      <c r="AN198" s="147"/>
      <c r="AO198" s="147"/>
      <c r="AP198" s="147" t="s">
        <v>193</v>
      </c>
      <c r="AQ198" s="147"/>
      <c r="AR198" s="147"/>
      <c r="AS198" s="147"/>
      <c r="AT198" s="147" t="s">
        <v>193</v>
      </c>
      <c r="AU198" s="147"/>
    </row>
    <row r="200" spans="21:47">
      <c r="U200" t="s">
        <v>80</v>
      </c>
      <c r="V200" t="s">
        <v>195</v>
      </c>
      <c r="W200">
        <v>2050</v>
      </c>
      <c r="Y200" t="s">
        <v>80</v>
      </c>
      <c r="Z200" t="s">
        <v>195</v>
      </c>
      <c r="AA200">
        <v>2050</v>
      </c>
      <c r="AC200" t="s">
        <v>80</v>
      </c>
      <c r="AD200" t="s">
        <v>195</v>
      </c>
      <c r="AE200">
        <v>2050</v>
      </c>
      <c r="AG200" t="s">
        <v>80</v>
      </c>
      <c r="AH200" t="s">
        <v>195</v>
      </c>
      <c r="AI200">
        <v>2050</v>
      </c>
      <c r="AK200" t="s">
        <v>80</v>
      </c>
      <c r="AL200" t="s">
        <v>195</v>
      </c>
      <c r="AM200">
        <v>2050</v>
      </c>
      <c r="AO200" t="s">
        <v>80</v>
      </c>
      <c r="AP200" t="s">
        <v>195</v>
      </c>
      <c r="AQ200">
        <v>2050</v>
      </c>
      <c r="AS200" t="s">
        <v>80</v>
      </c>
      <c r="AT200" t="s">
        <v>195</v>
      </c>
      <c r="AU200">
        <v>2050</v>
      </c>
    </row>
    <row r="201" spans="21:47">
      <c r="U201" t="s">
        <v>388</v>
      </c>
      <c r="V201" t="s">
        <v>547</v>
      </c>
      <c r="W201">
        <f>SUM(W162:W165)</f>
        <v>0.138700802874628</v>
      </c>
      <c r="Y201" t="s">
        <v>389</v>
      </c>
      <c r="Z201" t="s">
        <v>547</v>
      </c>
      <c r="AA201">
        <f>SUM(AA162:AA165)</f>
        <v>0.134297120045623</v>
      </c>
      <c r="AC201" t="s">
        <v>391</v>
      </c>
      <c r="AD201" t="s">
        <v>547</v>
      </c>
      <c r="AE201">
        <f>SUM(AE162:AE165)</f>
        <v>0.138893871449925</v>
      </c>
      <c r="AG201" t="s">
        <v>392</v>
      </c>
      <c r="AH201" t="s">
        <v>547</v>
      </c>
      <c r="AI201">
        <f>SUM(AI162:AI165)</f>
        <v>0.145861763962598</v>
      </c>
      <c r="AK201" t="s">
        <v>387</v>
      </c>
      <c r="AL201" t="s">
        <v>547</v>
      </c>
      <c r="AM201">
        <f>SUM(AM162:AM165)</f>
        <v>0.151208900491019</v>
      </c>
      <c r="AO201" t="s">
        <v>386</v>
      </c>
      <c r="AP201" t="s">
        <v>547</v>
      </c>
      <c r="AQ201">
        <f>SUM(AQ162:AQ165)</f>
        <v>0.116528718334587</v>
      </c>
      <c r="AS201" t="s">
        <v>384</v>
      </c>
      <c r="AT201" t="s">
        <v>547</v>
      </c>
      <c r="AU201">
        <f>SUM(AU162:AU165)</f>
        <v>0.136953189482372</v>
      </c>
    </row>
    <row r="202" spans="21:47">
      <c r="V202" t="s">
        <v>548</v>
      </c>
      <c r="W202">
        <v>0</v>
      </c>
      <c r="Z202" t="s">
        <v>548</v>
      </c>
      <c r="AA202">
        <v>0</v>
      </c>
      <c r="AD202" t="s">
        <v>548</v>
      </c>
      <c r="AE202">
        <v>0</v>
      </c>
      <c r="AH202" t="s">
        <v>548</v>
      </c>
      <c r="AI202">
        <v>0</v>
      </c>
      <c r="AL202" t="s">
        <v>548</v>
      </c>
      <c r="AM202">
        <v>0</v>
      </c>
      <c r="AP202" t="s">
        <v>548</v>
      </c>
      <c r="AQ202">
        <v>0</v>
      </c>
      <c r="AT202" t="s">
        <v>548</v>
      </c>
      <c r="AU202">
        <v>0</v>
      </c>
    </row>
    <row r="203" spans="21:47">
      <c r="V203" t="s">
        <v>549</v>
      </c>
      <c r="W203">
        <v>0</v>
      </c>
      <c r="Z203" t="s">
        <v>549</v>
      </c>
      <c r="AA203">
        <v>0</v>
      </c>
      <c r="AD203" t="s">
        <v>549</v>
      </c>
      <c r="AE203">
        <v>0</v>
      </c>
      <c r="AH203" t="s">
        <v>549</v>
      </c>
      <c r="AI203">
        <v>0</v>
      </c>
      <c r="AL203" t="s">
        <v>549</v>
      </c>
      <c r="AM203">
        <v>0</v>
      </c>
      <c r="AP203" t="s">
        <v>549</v>
      </c>
      <c r="AQ203">
        <v>0</v>
      </c>
      <c r="AT203" t="s">
        <v>549</v>
      </c>
      <c r="AU203">
        <v>0</v>
      </c>
    </row>
    <row r="204" spans="21:47">
      <c r="V204" t="s">
        <v>550</v>
      </c>
      <c r="W204">
        <v>0</v>
      </c>
      <c r="Z204" t="s">
        <v>550</v>
      </c>
      <c r="AA204">
        <v>0</v>
      </c>
      <c r="AD204" t="s">
        <v>550</v>
      </c>
      <c r="AE204">
        <v>0</v>
      </c>
      <c r="AH204" t="s">
        <v>550</v>
      </c>
      <c r="AI204">
        <v>0</v>
      </c>
      <c r="AL204" t="s">
        <v>550</v>
      </c>
      <c r="AM204">
        <v>0</v>
      </c>
      <c r="AP204" t="s">
        <v>550</v>
      </c>
      <c r="AQ204">
        <v>0</v>
      </c>
      <c r="AT204" t="s">
        <v>550</v>
      </c>
      <c r="AU204">
        <v>0</v>
      </c>
    </row>
    <row r="210" spans="21:47">
      <c r="U210" s="147"/>
      <c r="V210" s="147" t="s">
        <v>193</v>
      </c>
      <c r="W210" s="147"/>
      <c r="X210" s="147"/>
      <c r="Y210" s="147"/>
      <c r="Z210" s="147" t="s">
        <v>193</v>
      </c>
      <c r="AA210" s="147"/>
      <c r="AB210" s="147"/>
      <c r="AC210" s="147"/>
      <c r="AD210" s="147" t="s">
        <v>193</v>
      </c>
      <c r="AE210" s="147"/>
      <c r="AF210" s="147"/>
      <c r="AG210" s="147"/>
      <c r="AH210" s="147" t="s">
        <v>193</v>
      </c>
      <c r="AI210" s="147"/>
      <c r="AJ210" s="147"/>
      <c r="AK210" s="147"/>
      <c r="AL210" s="147" t="s">
        <v>193</v>
      </c>
      <c r="AM210" s="147"/>
      <c r="AN210" s="147"/>
      <c r="AO210" s="147"/>
      <c r="AP210" s="147" t="s">
        <v>193</v>
      </c>
      <c r="AQ210" s="147"/>
      <c r="AR210" s="147"/>
      <c r="AS210" s="147"/>
      <c r="AT210" s="147" t="s">
        <v>193</v>
      </c>
      <c r="AU210" s="147"/>
    </row>
    <row r="212" spans="21:47">
      <c r="U212" t="s">
        <v>80</v>
      </c>
      <c r="V212" t="s">
        <v>195</v>
      </c>
      <c r="W212">
        <v>2050</v>
      </c>
      <c r="Y212" t="s">
        <v>80</v>
      </c>
      <c r="Z212" t="s">
        <v>195</v>
      </c>
      <c r="AA212">
        <v>2050</v>
      </c>
      <c r="AC212" t="s">
        <v>80</v>
      </c>
      <c r="AD212" t="s">
        <v>195</v>
      </c>
      <c r="AE212">
        <v>2050</v>
      </c>
      <c r="AG212" t="s">
        <v>80</v>
      </c>
      <c r="AH212" t="s">
        <v>195</v>
      </c>
      <c r="AI212">
        <v>2050</v>
      </c>
      <c r="AK212" t="s">
        <v>80</v>
      </c>
      <c r="AL212" t="s">
        <v>195</v>
      </c>
      <c r="AM212">
        <v>2050</v>
      </c>
      <c r="AO212" t="s">
        <v>80</v>
      </c>
      <c r="AP212" t="s">
        <v>195</v>
      </c>
      <c r="AQ212">
        <v>2050</v>
      </c>
      <c r="AS212" t="s">
        <v>80</v>
      </c>
      <c r="AT212" t="s">
        <v>195</v>
      </c>
      <c r="AU212">
        <v>2050</v>
      </c>
    </row>
    <row r="213" spans="21:47">
      <c r="U213" t="s">
        <v>396</v>
      </c>
      <c r="V213" t="s">
        <v>547</v>
      </c>
      <c r="W213">
        <f>SUM(W174:W177)</f>
        <v>0.150300376172029</v>
      </c>
      <c r="Y213" t="s">
        <v>397</v>
      </c>
      <c r="Z213" t="s">
        <v>547</v>
      </c>
      <c r="AA213">
        <f>SUM(AA174:AA177)</f>
        <v>0.145588822355289</v>
      </c>
      <c r="AC213" t="s">
        <v>398</v>
      </c>
      <c r="AD213" t="s">
        <v>547</v>
      </c>
      <c r="AE213">
        <f>SUM(AE174:AE177)</f>
        <v>0.1509177877429</v>
      </c>
      <c r="AG213" t="s">
        <v>407</v>
      </c>
      <c r="AH213" t="s">
        <v>547</v>
      </c>
      <c r="AI213">
        <f>SUM(AI174:AI177)</f>
        <v>0.153853929744756</v>
      </c>
      <c r="AK213" t="s">
        <v>395</v>
      </c>
      <c r="AL213" t="s">
        <v>547</v>
      </c>
      <c r="AM213">
        <f>SUM(AM174:AM177)</f>
        <v>0.159046553545901</v>
      </c>
      <c r="AO213" t="s">
        <v>394</v>
      </c>
      <c r="AP213" t="s">
        <v>547</v>
      </c>
      <c r="AQ213">
        <f>SUM(AQ174:AQ177)</f>
        <v>0.12661650363682</v>
      </c>
      <c r="AS213" t="s">
        <v>393</v>
      </c>
      <c r="AT213" t="s">
        <v>547</v>
      </c>
      <c r="AU213">
        <f>SUM(AU174:AU177)</f>
        <v>0.148809102700153</v>
      </c>
    </row>
    <row r="214" spans="21:47">
      <c r="V214" t="s">
        <v>548</v>
      </c>
      <c r="W214">
        <v>0</v>
      </c>
      <c r="Z214" t="s">
        <v>548</v>
      </c>
      <c r="AA214">
        <v>0</v>
      </c>
      <c r="AD214" t="s">
        <v>548</v>
      </c>
      <c r="AE214">
        <v>0</v>
      </c>
      <c r="AH214" t="s">
        <v>548</v>
      </c>
      <c r="AI214">
        <v>0</v>
      </c>
      <c r="AL214" t="s">
        <v>548</v>
      </c>
      <c r="AM214">
        <v>0</v>
      </c>
      <c r="AP214" t="s">
        <v>548</v>
      </c>
      <c r="AQ214">
        <v>0</v>
      </c>
      <c r="AT214" t="s">
        <v>548</v>
      </c>
      <c r="AU214">
        <v>0</v>
      </c>
    </row>
    <row r="215" spans="21:47">
      <c r="V215" t="s">
        <v>549</v>
      </c>
      <c r="W215">
        <v>0</v>
      </c>
      <c r="Z215" t="s">
        <v>549</v>
      </c>
      <c r="AA215">
        <v>0</v>
      </c>
      <c r="AD215" t="s">
        <v>549</v>
      </c>
      <c r="AE215">
        <v>0</v>
      </c>
      <c r="AH215" t="s">
        <v>549</v>
      </c>
      <c r="AI215">
        <v>0</v>
      </c>
      <c r="AL215" t="s">
        <v>549</v>
      </c>
      <c r="AM215">
        <v>0</v>
      </c>
      <c r="AP215" t="s">
        <v>549</v>
      </c>
      <c r="AQ215">
        <v>0</v>
      </c>
      <c r="AT215" t="s">
        <v>549</v>
      </c>
      <c r="AU215">
        <v>0</v>
      </c>
    </row>
    <row r="216" spans="21:47">
      <c r="V216" t="s">
        <v>550</v>
      </c>
      <c r="W216">
        <v>0</v>
      </c>
      <c r="Z216" t="s">
        <v>550</v>
      </c>
      <c r="AA216">
        <v>0</v>
      </c>
      <c r="AD216" t="s">
        <v>550</v>
      </c>
      <c r="AE216">
        <v>0</v>
      </c>
      <c r="AH216" t="s">
        <v>550</v>
      </c>
      <c r="AI216">
        <v>0</v>
      </c>
      <c r="AL216" t="s">
        <v>550</v>
      </c>
      <c r="AM216">
        <v>0</v>
      </c>
      <c r="AP216" t="s">
        <v>550</v>
      </c>
      <c r="AQ216">
        <v>0</v>
      </c>
      <c r="AT216" t="s">
        <v>550</v>
      </c>
      <c r="AU216">
        <v>0</v>
      </c>
    </row>
    <row r="221" spans="21:47">
      <c r="U221" s="147"/>
      <c r="V221" s="147" t="s">
        <v>193</v>
      </c>
      <c r="W221" s="147"/>
      <c r="X221" s="147"/>
      <c r="Y221" s="147"/>
      <c r="Z221" s="147" t="s">
        <v>193</v>
      </c>
      <c r="AA221" s="147"/>
      <c r="AB221" s="147"/>
      <c r="AC221" s="147"/>
      <c r="AD221" s="147" t="s">
        <v>193</v>
      </c>
      <c r="AE221" s="147"/>
      <c r="AF221" s="147"/>
      <c r="AG221" s="147"/>
      <c r="AH221" s="147" t="s">
        <v>193</v>
      </c>
      <c r="AI221" s="147"/>
      <c r="AJ221" s="147"/>
      <c r="AK221" s="147"/>
      <c r="AL221" s="147" t="s">
        <v>193</v>
      </c>
      <c r="AM221" s="147"/>
      <c r="AN221" s="147"/>
      <c r="AO221" s="147"/>
      <c r="AP221" s="147" t="s">
        <v>193</v>
      </c>
      <c r="AQ221" s="147"/>
      <c r="AR221" s="147"/>
      <c r="AS221" s="147"/>
      <c r="AT221" s="147" t="s">
        <v>193</v>
      </c>
      <c r="AU221" s="147"/>
    </row>
    <row r="223" spans="21:47">
      <c r="U223" t="s">
        <v>80</v>
      </c>
      <c r="V223" t="s">
        <v>195</v>
      </c>
      <c r="W223">
        <v>2050</v>
      </c>
      <c r="Y223" t="s">
        <v>80</v>
      </c>
      <c r="Z223" t="s">
        <v>195</v>
      </c>
      <c r="AA223">
        <v>2050</v>
      </c>
      <c r="AC223" t="s">
        <v>80</v>
      </c>
      <c r="AD223" t="s">
        <v>195</v>
      </c>
      <c r="AE223">
        <v>2050</v>
      </c>
      <c r="AG223" t="s">
        <v>80</v>
      </c>
      <c r="AH223" t="s">
        <v>195</v>
      </c>
      <c r="AI223">
        <v>2050</v>
      </c>
      <c r="AK223" t="s">
        <v>80</v>
      </c>
      <c r="AL223" t="s">
        <v>195</v>
      </c>
      <c r="AM223">
        <v>2050</v>
      </c>
      <c r="AO223" t="s">
        <v>80</v>
      </c>
      <c r="AP223" t="s">
        <v>195</v>
      </c>
      <c r="AQ223">
        <v>2050</v>
      </c>
      <c r="AS223" t="s">
        <v>80</v>
      </c>
      <c r="AT223" t="s">
        <v>195</v>
      </c>
      <c r="AU223">
        <v>2050</v>
      </c>
    </row>
    <row r="224" spans="21:47">
      <c r="U224" t="s">
        <v>411</v>
      </c>
      <c r="V224" t="s">
        <v>547</v>
      </c>
      <c r="W224">
        <f>SUM(W185:W188)</f>
        <v>0.107006905844703</v>
      </c>
      <c r="Y224" t="s">
        <v>412</v>
      </c>
      <c r="Z224" t="s">
        <v>547</v>
      </c>
      <c r="AA224">
        <f>SUM(AA185:AA188)</f>
        <v>0.105212432278301</v>
      </c>
      <c r="AC224" t="s">
        <v>413</v>
      </c>
      <c r="AD224" t="s">
        <v>547</v>
      </c>
      <c r="AE224">
        <f>SUM(AE185:AE188)</f>
        <v>0.109464872944694</v>
      </c>
      <c r="AG224" t="s">
        <v>414</v>
      </c>
      <c r="AH224" t="s">
        <v>547</v>
      </c>
      <c r="AI224">
        <f>SUM(AI185:AI188)</f>
        <v>0.110923679555219</v>
      </c>
      <c r="AK224" t="s">
        <v>410</v>
      </c>
      <c r="AL224" t="s">
        <v>547</v>
      </c>
      <c r="AM224">
        <f>SUM(AM185:AM188)</f>
        <v>0.111405307974392</v>
      </c>
      <c r="AO224" t="s">
        <v>409</v>
      </c>
      <c r="AP224" t="s">
        <v>547</v>
      </c>
      <c r="AQ224">
        <f>SUM(AQ185:AQ188)</f>
        <v>0.0918384750438927</v>
      </c>
      <c r="AS224" t="s">
        <v>408</v>
      </c>
      <c r="AT224" t="s">
        <v>547</v>
      </c>
      <c r="AU224">
        <f>SUM(AU185:AU188)</f>
        <v>0.107935384978186</v>
      </c>
    </row>
    <row r="225" spans="22:47">
      <c r="V225" t="s">
        <v>548</v>
      </c>
      <c r="W225">
        <v>0</v>
      </c>
      <c r="Z225" t="s">
        <v>548</v>
      </c>
      <c r="AA225">
        <v>0</v>
      </c>
      <c r="AD225" t="s">
        <v>548</v>
      </c>
      <c r="AE225">
        <v>0</v>
      </c>
      <c r="AH225" t="s">
        <v>548</v>
      </c>
      <c r="AI225">
        <v>0</v>
      </c>
      <c r="AL225" t="s">
        <v>548</v>
      </c>
      <c r="AM225">
        <v>0</v>
      </c>
      <c r="AP225" t="s">
        <v>548</v>
      </c>
      <c r="AQ225">
        <v>0</v>
      </c>
      <c r="AT225" t="s">
        <v>548</v>
      </c>
      <c r="AU225">
        <v>0</v>
      </c>
    </row>
    <row r="226" spans="22:47">
      <c r="V226" t="s">
        <v>549</v>
      </c>
      <c r="W226">
        <v>0</v>
      </c>
      <c r="Z226" t="s">
        <v>549</v>
      </c>
      <c r="AA226">
        <v>0</v>
      </c>
      <c r="AD226" t="s">
        <v>549</v>
      </c>
      <c r="AE226">
        <v>0</v>
      </c>
      <c r="AH226" t="s">
        <v>549</v>
      </c>
      <c r="AI226">
        <v>0</v>
      </c>
      <c r="AL226" t="s">
        <v>549</v>
      </c>
      <c r="AM226">
        <v>0</v>
      </c>
      <c r="AP226" t="s">
        <v>549</v>
      </c>
      <c r="AQ226">
        <v>0</v>
      </c>
      <c r="AT226" t="s">
        <v>549</v>
      </c>
      <c r="AU226">
        <v>0</v>
      </c>
    </row>
    <row r="227" spans="22:47">
      <c r="V227" t="s">
        <v>550</v>
      </c>
      <c r="W227">
        <v>0</v>
      </c>
      <c r="Z227" t="s">
        <v>550</v>
      </c>
      <c r="AA227">
        <v>0</v>
      </c>
      <c r="AD227" t="s">
        <v>550</v>
      </c>
      <c r="AE227">
        <v>0</v>
      </c>
      <c r="AH227" t="s">
        <v>550</v>
      </c>
      <c r="AI227">
        <v>0</v>
      </c>
      <c r="AL227" t="s">
        <v>550</v>
      </c>
      <c r="AM227">
        <v>0</v>
      </c>
      <c r="AP227" t="s">
        <v>550</v>
      </c>
      <c r="AQ227">
        <v>0</v>
      </c>
      <c r="AT227" t="s">
        <v>550</v>
      </c>
      <c r="AU227">
        <v>0</v>
      </c>
    </row>
    <row r="241" s="147" customFormat="1" spans="21:47">
      <c r="V241" s="147" t="s">
        <v>193</v>
      </c>
      <c r="Z241" s="147" t="s">
        <v>193</v>
      </c>
      <c r="AD241" s="147" t="s">
        <v>193</v>
      </c>
      <c r="AH241" s="147" t="s">
        <v>193</v>
      </c>
      <c r="AL241" s="147" t="s">
        <v>193</v>
      </c>
      <c r="AP241" s="147" t="s">
        <v>193</v>
      </c>
      <c r="AT241" s="147" t="s">
        <v>193</v>
      </c>
    </row>
    <row r="244" spans="21:47">
      <c r="U244" t="s">
        <v>80</v>
      </c>
      <c r="V244" t="s">
        <v>195</v>
      </c>
      <c r="W244">
        <v>2100</v>
      </c>
      <c r="Y244" t="s">
        <v>80</v>
      </c>
      <c r="Z244" t="s">
        <v>195</v>
      </c>
      <c r="AA244">
        <v>2100</v>
      </c>
      <c r="AC244" t="s">
        <v>80</v>
      </c>
      <c r="AD244" t="s">
        <v>195</v>
      </c>
      <c r="AE244">
        <v>2100</v>
      </c>
      <c r="AG244" t="s">
        <v>80</v>
      </c>
      <c r="AH244" t="s">
        <v>195</v>
      </c>
      <c r="AI244">
        <v>2100</v>
      </c>
      <c r="AK244" t="s">
        <v>80</v>
      </c>
      <c r="AL244" t="s">
        <v>195</v>
      </c>
      <c r="AM244">
        <v>2100</v>
      </c>
      <c r="AO244" t="s">
        <v>80</v>
      </c>
      <c r="AP244" t="s">
        <v>195</v>
      </c>
      <c r="AQ244">
        <v>2100</v>
      </c>
      <c r="AS244" t="s">
        <v>80</v>
      </c>
      <c r="AT244" t="s">
        <v>195</v>
      </c>
      <c r="AU244">
        <v>2100</v>
      </c>
    </row>
    <row r="245" spans="21:47">
      <c r="U245" t="s">
        <v>388</v>
      </c>
      <c r="V245" t="s">
        <v>547</v>
      </c>
      <c r="W245">
        <v>0.138700802874628</v>
      </c>
      <c r="Y245" t="s">
        <v>389</v>
      </c>
      <c r="Z245" t="s">
        <v>547</v>
      </c>
      <c r="AA245">
        <v>0.134297120045623</v>
      </c>
      <c r="AC245" t="s">
        <v>391</v>
      </c>
      <c r="AD245" t="s">
        <v>547</v>
      </c>
      <c r="AE245">
        <v>0.138893871449925</v>
      </c>
      <c r="AG245" t="s">
        <v>392</v>
      </c>
      <c r="AH245" t="s">
        <v>547</v>
      </c>
      <c r="AI245">
        <v>0.145861763962598</v>
      </c>
      <c r="AK245" t="s">
        <v>387</v>
      </c>
      <c r="AL245" t="s">
        <v>547</v>
      </c>
      <c r="AM245">
        <v>0.151208900491019</v>
      </c>
      <c r="AO245" t="s">
        <v>386</v>
      </c>
      <c r="AP245" t="s">
        <v>547</v>
      </c>
      <c r="AQ245">
        <v>0.116528718334587</v>
      </c>
      <c r="AS245" t="s">
        <v>384</v>
      </c>
      <c r="AT245" t="s">
        <v>547</v>
      </c>
      <c r="AU245">
        <v>0.136953189482372</v>
      </c>
    </row>
    <row r="246" spans="21:47">
      <c r="V246" t="s">
        <v>548</v>
      </c>
      <c r="W246">
        <v>0</v>
      </c>
      <c r="Z246" t="s">
        <v>548</v>
      </c>
      <c r="AA246">
        <v>0</v>
      </c>
      <c r="AD246" t="s">
        <v>548</v>
      </c>
      <c r="AE246">
        <v>0</v>
      </c>
      <c r="AH246" t="s">
        <v>548</v>
      </c>
      <c r="AI246">
        <v>0</v>
      </c>
      <c r="AL246" t="s">
        <v>548</v>
      </c>
      <c r="AM246">
        <v>0</v>
      </c>
      <c r="AP246" t="s">
        <v>548</v>
      </c>
      <c r="AQ246">
        <v>0</v>
      </c>
      <c r="AT246" t="s">
        <v>548</v>
      </c>
      <c r="AU246">
        <v>0</v>
      </c>
    </row>
    <row r="247" spans="21:47">
      <c r="V247" t="s">
        <v>549</v>
      </c>
      <c r="W247">
        <v>0</v>
      </c>
      <c r="Z247" t="s">
        <v>549</v>
      </c>
      <c r="AA247">
        <v>0</v>
      </c>
      <c r="AD247" t="s">
        <v>549</v>
      </c>
      <c r="AE247">
        <v>0</v>
      </c>
      <c r="AH247" t="s">
        <v>549</v>
      </c>
      <c r="AI247">
        <v>0</v>
      </c>
      <c r="AL247" t="s">
        <v>549</v>
      </c>
      <c r="AM247">
        <v>0</v>
      </c>
      <c r="AP247" t="s">
        <v>549</v>
      </c>
      <c r="AQ247">
        <v>0</v>
      </c>
      <c r="AT247" t="s">
        <v>549</v>
      </c>
      <c r="AU247">
        <v>0</v>
      </c>
    </row>
    <row r="248" spans="21:47">
      <c r="V248" t="s">
        <v>550</v>
      </c>
      <c r="W248">
        <v>0</v>
      </c>
      <c r="Z248" t="s">
        <v>550</v>
      </c>
      <c r="AA248">
        <v>0</v>
      </c>
      <c r="AD248" t="s">
        <v>550</v>
      </c>
      <c r="AE248">
        <v>0</v>
      </c>
      <c r="AH248" t="s">
        <v>550</v>
      </c>
      <c r="AI248">
        <v>0</v>
      </c>
      <c r="AL248" t="s">
        <v>550</v>
      </c>
      <c r="AM248">
        <v>0</v>
      </c>
      <c r="AP248" t="s">
        <v>550</v>
      </c>
      <c r="AQ248">
        <v>0</v>
      </c>
      <c r="AT248" t="s">
        <v>550</v>
      </c>
      <c r="AU248">
        <v>0</v>
      </c>
    </row>
    <row r="253" s="147" customFormat="1" spans="21:47">
      <c r="V253" s="147" t="s">
        <v>193</v>
      </c>
      <c r="Z253" s="147" t="s">
        <v>193</v>
      </c>
      <c r="AD253" s="147" t="s">
        <v>193</v>
      </c>
      <c r="AH253" s="147" t="s">
        <v>193</v>
      </c>
      <c r="AL253" s="147" t="s">
        <v>193</v>
      </c>
      <c r="AP253" s="147" t="s">
        <v>193</v>
      </c>
      <c r="AT253" s="147" t="s">
        <v>193</v>
      </c>
    </row>
    <row r="256" spans="21:47">
      <c r="U256" t="s">
        <v>80</v>
      </c>
      <c r="V256" t="s">
        <v>195</v>
      </c>
      <c r="W256">
        <v>2100</v>
      </c>
      <c r="Y256" t="s">
        <v>80</v>
      </c>
      <c r="Z256" t="s">
        <v>195</v>
      </c>
      <c r="AA256">
        <v>2100</v>
      </c>
      <c r="AC256" t="s">
        <v>80</v>
      </c>
      <c r="AD256" t="s">
        <v>195</v>
      </c>
      <c r="AE256">
        <v>2100</v>
      </c>
      <c r="AG256" t="s">
        <v>80</v>
      </c>
      <c r="AH256" t="s">
        <v>195</v>
      </c>
      <c r="AI256">
        <v>2100</v>
      </c>
      <c r="AK256" t="s">
        <v>80</v>
      </c>
      <c r="AL256" t="s">
        <v>195</v>
      </c>
      <c r="AM256">
        <v>2100</v>
      </c>
      <c r="AO256" t="s">
        <v>80</v>
      </c>
      <c r="AP256" t="s">
        <v>195</v>
      </c>
      <c r="AQ256">
        <v>2100</v>
      </c>
      <c r="AS256" t="s">
        <v>80</v>
      </c>
      <c r="AT256" t="s">
        <v>195</v>
      </c>
      <c r="AU256">
        <v>2100</v>
      </c>
    </row>
    <row r="257" spans="21:47">
      <c r="U257" t="s">
        <v>396</v>
      </c>
      <c r="V257" t="s">
        <v>547</v>
      </c>
      <c r="W257">
        <v>0.150300376172029</v>
      </c>
      <c r="Y257" t="s">
        <v>397</v>
      </c>
      <c r="Z257" t="s">
        <v>547</v>
      </c>
      <c r="AA257">
        <v>0.145588822355289</v>
      </c>
      <c r="AC257" t="s">
        <v>398</v>
      </c>
      <c r="AD257" t="s">
        <v>547</v>
      </c>
      <c r="AE257">
        <v>0.1509177877429</v>
      </c>
      <c r="AG257" t="s">
        <v>407</v>
      </c>
      <c r="AH257" t="s">
        <v>547</v>
      </c>
      <c r="AI257">
        <v>0.153853929744756</v>
      </c>
      <c r="AK257" t="s">
        <v>395</v>
      </c>
      <c r="AL257" t="s">
        <v>547</v>
      </c>
      <c r="AM257">
        <v>0.159046553545901</v>
      </c>
      <c r="AO257" t="s">
        <v>394</v>
      </c>
      <c r="AP257" t="s">
        <v>547</v>
      </c>
      <c r="AQ257">
        <v>0.12661650363682</v>
      </c>
      <c r="AS257" t="s">
        <v>393</v>
      </c>
      <c r="AT257" t="s">
        <v>547</v>
      </c>
      <c r="AU257">
        <v>0.148809102700153</v>
      </c>
    </row>
    <row r="258" spans="21:47">
      <c r="V258" t="s">
        <v>548</v>
      </c>
      <c r="W258">
        <v>0</v>
      </c>
      <c r="Z258" t="s">
        <v>548</v>
      </c>
      <c r="AA258">
        <v>0</v>
      </c>
      <c r="AD258" t="s">
        <v>548</v>
      </c>
      <c r="AE258">
        <v>0</v>
      </c>
      <c r="AH258" t="s">
        <v>548</v>
      </c>
      <c r="AI258">
        <v>0</v>
      </c>
      <c r="AL258" t="s">
        <v>548</v>
      </c>
      <c r="AM258">
        <v>0</v>
      </c>
      <c r="AP258" t="s">
        <v>548</v>
      </c>
      <c r="AQ258">
        <v>0</v>
      </c>
      <c r="AT258" t="s">
        <v>548</v>
      </c>
      <c r="AU258">
        <v>0</v>
      </c>
    </row>
    <row r="259" spans="21:47">
      <c r="V259" t="s">
        <v>549</v>
      </c>
      <c r="W259">
        <v>0</v>
      </c>
      <c r="Z259" t="s">
        <v>549</v>
      </c>
      <c r="AA259">
        <v>0</v>
      </c>
      <c r="AD259" t="s">
        <v>549</v>
      </c>
      <c r="AE259">
        <v>0</v>
      </c>
      <c r="AH259" t="s">
        <v>549</v>
      </c>
      <c r="AI259">
        <v>0</v>
      </c>
      <c r="AL259" t="s">
        <v>549</v>
      </c>
      <c r="AM259">
        <v>0</v>
      </c>
      <c r="AP259" t="s">
        <v>549</v>
      </c>
      <c r="AQ259">
        <v>0</v>
      </c>
      <c r="AT259" t="s">
        <v>549</v>
      </c>
      <c r="AU259">
        <v>0</v>
      </c>
    </row>
    <row r="260" spans="21:47">
      <c r="V260" t="s">
        <v>550</v>
      </c>
      <c r="W260">
        <v>0</v>
      </c>
      <c r="Z260" t="s">
        <v>550</v>
      </c>
      <c r="AA260">
        <v>0</v>
      </c>
      <c r="AD260" t="s">
        <v>550</v>
      </c>
      <c r="AE260">
        <v>0</v>
      </c>
      <c r="AH260" t="s">
        <v>550</v>
      </c>
      <c r="AI260">
        <v>0</v>
      </c>
      <c r="AL260" t="s">
        <v>550</v>
      </c>
      <c r="AM260">
        <v>0</v>
      </c>
      <c r="AP260" t="s">
        <v>550</v>
      </c>
      <c r="AQ260">
        <v>0</v>
      </c>
      <c r="AT260" t="s">
        <v>550</v>
      </c>
      <c r="AU260">
        <v>0</v>
      </c>
    </row>
    <row r="264" s="147" customFormat="1" spans="21:47">
      <c r="V264" s="147" t="s">
        <v>193</v>
      </c>
      <c r="Z264" s="147" t="s">
        <v>193</v>
      </c>
      <c r="AD264" s="147" t="s">
        <v>193</v>
      </c>
      <c r="AH264" s="147" t="s">
        <v>193</v>
      </c>
      <c r="AL264" s="147" t="s">
        <v>193</v>
      </c>
      <c r="AP264" s="147" t="s">
        <v>193</v>
      </c>
      <c r="AT264" s="147" t="s">
        <v>193</v>
      </c>
    </row>
    <row r="267" spans="21:47">
      <c r="U267" t="s">
        <v>80</v>
      </c>
      <c r="V267" t="s">
        <v>195</v>
      </c>
      <c r="W267">
        <v>2100</v>
      </c>
      <c r="Y267" t="s">
        <v>80</v>
      </c>
      <c r="Z267" t="s">
        <v>195</v>
      </c>
      <c r="AA267">
        <v>2100</v>
      </c>
      <c r="AC267" t="s">
        <v>80</v>
      </c>
      <c r="AD267" t="s">
        <v>195</v>
      </c>
      <c r="AE267">
        <v>2100</v>
      </c>
      <c r="AG267" t="s">
        <v>80</v>
      </c>
      <c r="AH267" t="s">
        <v>195</v>
      </c>
      <c r="AI267">
        <v>2100</v>
      </c>
      <c r="AK267" t="s">
        <v>80</v>
      </c>
      <c r="AL267" t="s">
        <v>195</v>
      </c>
      <c r="AM267">
        <v>2100</v>
      </c>
      <c r="AO267" t="s">
        <v>80</v>
      </c>
      <c r="AP267" t="s">
        <v>195</v>
      </c>
      <c r="AQ267">
        <v>2100</v>
      </c>
      <c r="AS267" t="s">
        <v>80</v>
      </c>
      <c r="AT267" t="s">
        <v>195</v>
      </c>
      <c r="AU267">
        <v>2100</v>
      </c>
    </row>
    <row r="268" spans="21:47">
      <c r="U268" t="s">
        <v>411</v>
      </c>
      <c r="V268" t="s">
        <v>547</v>
      </c>
      <c r="W268">
        <v>0.107006905844703</v>
      </c>
      <c r="Y268" t="s">
        <v>412</v>
      </c>
      <c r="Z268" t="s">
        <v>547</v>
      </c>
      <c r="AA268">
        <v>0.105212432278301</v>
      </c>
      <c r="AC268" t="s">
        <v>413</v>
      </c>
      <c r="AD268" t="s">
        <v>547</v>
      </c>
      <c r="AE268">
        <v>0.109464872944694</v>
      </c>
      <c r="AG268" t="s">
        <v>414</v>
      </c>
      <c r="AH268" t="s">
        <v>547</v>
      </c>
      <c r="AI268">
        <v>0.110923679555219</v>
      </c>
      <c r="AK268" t="s">
        <v>410</v>
      </c>
      <c r="AL268" t="s">
        <v>547</v>
      </c>
      <c r="AM268">
        <v>0.111405307974392</v>
      </c>
      <c r="AO268" t="s">
        <v>409</v>
      </c>
      <c r="AP268" t="s">
        <v>547</v>
      </c>
      <c r="AQ268">
        <v>0.0918384750438927</v>
      </c>
      <c r="AS268" t="s">
        <v>408</v>
      </c>
      <c r="AT268" t="s">
        <v>547</v>
      </c>
      <c r="AU268">
        <v>0.107935384978186</v>
      </c>
    </row>
    <row r="269" spans="21:47">
      <c r="V269" t="s">
        <v>548</v>
      </c>
      <c r="W269">
        <v>0</v>
      </c>
      <c r="Z269" t="s">
        <v>548</v>
      </c>
      <c r="AA269">
        <v>0</v>
      </c>
      <c r="AD269" t="s">
        <v>548</v>
      </c>
      <c r="AE269">
        <v>0</v>
      </c>
      <c r="AH269" t="s">
        <v>548</v>
      </c>
      <c r="AI269">
        <v>0</v>
      </c>
      <c r="AL269" t="s">
        <v>548</v>
      </c>
      <c r="AM269">
        <v>0</v>
      </c>
      <c r="AP269" t="s">
        <v>548</v>
      </c>
      <c r="AQ269">
        <v>0</v>
      </c>
      <c r="AT269" t="s">
        <v>548</v>
      </c>
      <c r="AU269">
        <v>0</v>
      </c>
    </row>
    <row r="270" spans="21:47">
      <c r="V270" t="s">
        <v>549</v>
      </c>
      <c r="W270">
        <v>0</v>
      </c>
      <c r="Z270" t="s">
        <v>549</v>
      </c>
      <c r="AA270">
        <v>0</v>
      </c>
      <c r="AD270" t="s">
        <v>549</v>
      </c>
      <c r="AE270">
        <v>0</v>
      </c>
      <c r="AH270" t="s">
        <v>549</v>
      </c>
      <c r="AI270">
        <v>0</v>
      </c>
      <c r="AL270" t="s">
        <v>549</v>
      </c>
      <c r="AM270">
        <v>0</v>
      </c>
      <c r="AP270" t="s">
        <v>549</v>
      </c>
      <c r="AQ270">
        <v>0</v>
      </c>
      <c r="AT270" t="s">
        <v>549</v>
      </c>
      <c r="AU270">
        <v>0</v>
      </c>
    </row>
    <row r="271" spans="21:47">
      <c r="V271" t="s">
        <v>550</v>
      </c>
      <c r="W271">
        <v>0</v>
      </c>
      <c r="Z271" t="s">
        <v>550</v>
      </c>
      <c r="AA271">
        <v>0</v>
      </c>
      <c r="AD271" t="s">
        <v>550</v>
      </c>
      <c r="AE271">
        <v>0</v>
      </c>
      <c r="AH271" t="s">
        <v>550</v>
      </c>
      <c r="AI271">
        <v>0</v>
      </c>
      <c r="AL271" t="s">
        <v>550</v>
      </c>
      <c r="AM271">
        <v>0</v>
      </c>
      <c r="AP271" t="s">
        <v>550</v>
      </c>
      <c r="AQ271">
        <v>0</v>
      </c>
      <c r="AT271" t="s">
        <v>550</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X218" sqref="X218"/>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587</v>
      </c>
      <c r="B1" s="121"/>
      <c r="C1" s="121"/>
      <c r="D1" s="121"/>
      <c r="E1" s="121"/>
      <c r="F1" s="121"/>
      <c r="G1" s="121"/>
      <c r="H1" s="121"/>
      <c r="I1" s="121"/>
      <c r="J1" s="121"/>
      <c r="K1" s="122"/>
      <c r="L1" s="122" t="s">
        <v>305</v>
      </c>
      <c r="M1" s="122"/>
      <c r="N1" s="122"/>
      <c r="O1" s="122"/>
      <c r="P1" s="122"/>
      <c r="Q1" s="122"/>
      <c r="R1" s="122"/>
      <c r="S1" s="122"/>
      <c r="T1" s="122"/>
      <c r="U1" s="122"/>
      <c r="V1" s="122"/>
      <c r="W1" s="122" t="s">
        <v>588</v>
      </c>
      <c r="X1" s="122"/>
      <c r="Y1" s="122"/>
      <c r="Z1" s="122"/>
      <c r="AA1" s="122"/>
      <c r="AB1" s="123" t="s">
        <v>589</v>
      </c>
      <c r="AC1" s="123"/>
      <c r="AD1" s="122"/>
      <c r="AE1" s="122"/>
      <c r="AF1" s="122" t="s">
        <v>590</v>
      </c>
      <c r="AG1" s="122"/>
      <c r="AH1" s="122"/>
      <c r="AI1" s="122"/>
      <c r="AJ1" s="122"/>
      <c r="AK1" s="122"/>
      <c r="AL1" s="122"/>
      <c r="AM1" s="122"/>
      <c r="AN1" s="122"/>
      <c r="AO1" s="122" t="s">
        <v>591</v>
      </c>
      <c r="AP1" s="122"/>
      <c r="AQ1" s="122"/>
      <c r="AR1" s="122"/>
      <c r="AS1" s="122"/>
      <c r="AT1" s="122"/>
      <c r="AU1" s="122"/>
    </row>
    <row r="2" ht="30" customHeight="1" spans="1:47">
      <c r="A2" s="121" t="s">
        <v>555</v>
      </c>
      <c r="B2" s="121" t="s">
        <v>558</v>
      </c>
      <c r="C2" s="121" t="s">
        <v>557</v>
      </c>
      <c r="D2" s="121"/>
      <c r="E2" s="121"/>
      <c r="F2" s="121"/>
      <c r="G2" s="121"/>
      <c r="H2" s="121"/>
      <c r="I2" s="121"/>
      <c r="J2" s="121"/>
      <c r="K2" s="122"/>
      <c r="L2" s="122"/>
      <c r="M2" s="122"/>
      <c r="N2" s="122"/>
      <c r="O2" s="122"/>
      <c r="P2" s="122"/>
      <c r="Q2" s="122"/>
      <c r="R2" s="122"/>
      <c r="S2" s="122"/>
      <c r="T2" s="122"/>
      <c r="U2" s="122"/>
      <c r="V2" s="124" t="s">
        <v>592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559</v>
      </c>
      <c r="D3" s="122" t="s">
        <v>276</v>
      </c>
      <c r="E3" s="122" t="s">
        <v>281</v>
      </c>
      <c r="F3" s="126" t="s">
        <v>288</v>
      </c>
      <c r="G3" s="122" t="s">
        <v>294</v>
      </c>
      <c r="H3" s="122" t="s">
        <v>270</v>
      </c>
      <c r="I3" s="122" t="s">
        <v>560</v>
      </c>
      <c r="J3" s="122" t="s">
        <v>561</v>
      </c>
      <c r="K3" s="122"/>
      <c r="L3" s="127" t="s">
        <v>559</v>
      </c>
      <c r="M3" s="122" t="s">
        <v>276</v>
      </c>
      <c r="N3" s="122" t="s">
        <v>281</v>
      </c>
      <c r="O3" s="122" t="s">
        <v>288</v>
      </c>
      <c r="P3" s="122" t="s">
        <v>294</v>
      </c>
      <c r="Q3" s="122" t="s">
        <v>270</v>
      </c>
      <c r="R3" s="122" t="s">
        <v>560</v>
      </c>
      <c r="S3" s="122" t="s">
        <v>561</v>
      </c>
      <c r="T3" s="122"/>
      <c r="U3" s="122"/>
      <c r="V3" s="124" t="s">
        <v>594</v>
      </c>
      <c r="W3" s="122" t="s">
        <v>276</v>
      </c>
      <c r="X3" s="122" t="s">
        <v>281</v>
      </c>
      <c r="Y3" s="126" t="s">
        <v>288</v>
      </c>
      <c r="Z3" s="122" t="s">
        <v>294</v>
      </c>
      <c r="AA3" s="122" t="s">
        <v>270</v>
      </c>
      <c r="AB3" s="128" t="s">
        <v>560</v>
      </c>
      <c r="AC3" s="128" t="s">
        <v>561</v>
      </c>
      <c r="AD3" s="122"/>
      <c r="AE3" s="122"/>
      <c r="AF3" s="122" t="s">
        <v>276</v>
      </c>
      <c r="AG3" s="122" t="s">
        <v>281</v>
      </c>
      <c r="AH3" s="126" t="s">
        <v>288</v>
      </c>
      <c r="AI3" s="122" t="s">
        <v>294</v>
      </c>
      <c r="AJ3" s="122" t="s">
        <v>270</v>
      </c>
      <c r="AK3" s="128" t="s">
        <v>560</v>
      </c>
      <c r="AL3" s="128" t="s">
        <v>561</v>
      </c>
      <c r="AM3" s="122"/>
      <c r="AN3" s="122"/>
      <c r="AO3" s="122" t="s">
        <v>276</v>
      </c>
      <c r="AP3" s="122" t="s">
        <v>281</v>
      </c>
      <c r="AQ3" s="126" t="s">
        <v>288</v>
      </c>
      <c r="AR3" s="122" t="s">
        <v>294</v>
      </c>
      <c r="AS3" s="122" t="s">
        <v>270</v>
      </c>
      <c r="AT3" s="128" t="s">
        <v>560</v>
      </c>
      <c r="AU3" s="128" t="s">
        <v>561</v>
      </c>
    </row>
    <row r="4" ht="15.5" customHeight="1" spans="1:47">
      <c r="A4" s="121" t="s">
        <v>562</v>
      </c>
      <c r="B4" s="129" t="s">
        <v>563</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562</v>
      </c>
      <c r="V4" s="129" t="s">
        <v>563</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565</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565</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567</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567</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569</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569</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570</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570</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422</v>
      </c>
      <c r="B9" s="129" t="s">
        <v>563</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422</v>
      </c>
      <c r="V9" s="129" t="s">
        <v>563</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565</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565</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567</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567</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569</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569</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570</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570</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431</v>
      </c>
      <c r="B14" s="129" t="s">
        <v>563</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431</v>
      </c>
      <c r="V14" s="129" t="s">
        <v>563</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565</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565</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567</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567</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569</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569</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570</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570</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595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555</v>
      </c>
      <c r="B22" s="121" t="s">
        <v>558</v>
      </c>
      <c r="C22" s="121" t="s">
        <v>557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559</v>
      </c>
      <c r="D23" s="122" t="s">
        <v>276</v>
      </c>
      <c r="E23" s="122" t="s">
        <v>281</v>
      </c>
      <c r="F23" s="126" t="s">
        <v>288</v>
      </c>
      <c r="G23" s="122" t="s">
        <v>294</v>
      </c>
      <c r="H23" s="122" t="s">
        <v>270</v>
      </c>
      <c r="I23" s="122" t="s">
        <v>560</v>
      </c>
      <c r="J23" s="122" t="s">
        <v>561</v>
      </c>
      <c r="K23" s="122"/>
      <c r="L23" s="122"/>
      <c r="M23" s="122" t="s">
        <v>276</v>
      </c>
      <c r="N23" s="122" t="s">
        <v>281</v>
      </c>
      <c r="O23" s="122" t="s">
        <v>288</v>
      </c>
      <c r="P23" s="122" t="s">
        <v>294</v>
      </c>
      <c r="Q23" s="122" t="s">
        <v>270</v>
      </c>
      <c r="R23" s="122" t="s">
        <v>560</v>
      </c>
      <c r="S23" s="122" t="s">
        <v>561</v>
      </c>
      <c r="T23" s="122"/>
      <c r="U23" s="122"/>
      <c r="V23" s="124" t="s">
        <v>594</v>
      </c>
      <c r="W23" s="122" t="s">
        <v>276</v>
      </c>
      <c r="X23" s="122" t="s">
        <v>281</v>
      </c>
      <c r="Y23" s="126" t="s">
        <v>288</v>
      </c>
      <c r="Z23" s="122" t="s">
        <v>294</v>
      </c>
      <c r="AA23" s="122" t="s">
        <v>270</v>
      </c>
      <c r="AB23" s="128" t="s">
        <v>560</v>
      </c>
      <c r="AC23" s="128" t="s">
        <v>561</v>
      </c>
      <c r="AD23" s="122"/>
      <c r="AE23" s="122"/>
      <c r="AF23" s="122" t="s">
        <v>276</v>
      </c>
      <c r="AG23" s="122" t="s">
        <v>281</v>
      </c>
      <c r="AH23" s="126" t="s">
        <v>288</v>
      </c>
      <c r="AI23" s="122" t="s">
        <v>294</v>
      </c>
      <c r="AJ23" s="122" t="s">
        <v>270</v>
      </c>
      <c r="AK23" s="128" t="s">
        <v>560</v>
      </c>
      <c r="AL23" s="128" t="s">
        <v>561</v>
      </c>
      <c r="AM23" s="122"/>
      <c r="AN23" s="122"/>
      <c r="AO23" s="122" t="s">
        <v>276</v>
      </c>
      <c r="AP23" s="122" t="s">
        <v>281</v>
      </c>
      <c r="AQ23" s="126" t="s">
        <v>288</v>
      </c>
      <c r="AR23" s="122" t="s">
        <v>294</v>
      </c>
      <c r="AS23" s="122" t="s">
        <v>270</v>
      </c>
      <c r="AT23" s="128" t="s">
        <v>560</v>
      </c>
      <c r="AU23" s="128" t="s">
        <v>561</v>
      </c>
    </row>
    <row r="24" ht="15.5" customHeight="1" spans="1:47">
      <c r="A24" s="121" t="s">
        <v>562</v>
      </c>
      <c r="B24" s="129" t="s">
        <v>563</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562</v>
      </c>
      <c r="V24" s="129" t="s">
        <v>563</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565</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565</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567</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567</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569</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569</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570</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570</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422</v>
      </c>
      <c r="B29" s="129" t="s">
        <v>563</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422</v>
      </c>
      <c r="V29" s="129" t="s">
        <v>563</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565</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565</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567</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567</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569</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569</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570</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570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431</v>
      </c>
      <c r="B34" s="129" t="s">
        <v>563</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431</v>
      </c>
      <c r="V34" s="129" t="s">
        <v>563</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565</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565</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567</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567</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569</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569</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570</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570</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597</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555</v>
      </c>
      <c r="B42" s="121" t="s">
        <v>596</v>
      </c>
      <c r="C42" s="121" t="s">
        <v>557</v>
      </c>
      <c r="D42" s="121"/>
      <c r="E42" s="121"/>
      <c r="F42" s="121"/>
      <c r="G42" s="121"/>
      <c r="H42" s="121"/>
      <c r="I42" s="121"/>
      <c r="J42" s="121"/>
      <c r="K42" s="122"/>
      <c r="L42" s="122"/>
      <c r="M42" s="122"/>
      <c r="N42" s="122"/>
      <c r="O42" s="122"/>
      <c r="P42" s="122"/>
      <c r="Q42" s="122"/>
      <c r="R42" s="122"/>
      <c r="S42" s="122"/>
      <c r="T42" s="122"/>
    </row>
    <row r="43" ht="30" spans="1:47">
      <c r="A43" s="121"/>
      <c r="B43" s="121"/>
      <c r="C43" s="125" t="s">
        <v>559</v>
      </c>
      <c r="D43" s="122" t="s">
        <v>276</v>
      </c>
      <c r="E43" s="122" t="s">
        <v>281</v>
      </c>
      <c r="F43" s="126" t="s">
        <v>288</v>
      </c>
      <c r="G43" s="122" t="s">
        <v>294</v>
      </c>
      <c r="H43" s="122" t="s">
        <v>270</v>
      </c>
      <c r="I43" s="122" t="s">
        <v>560</v>
      </c>
      <c r="J43" s="122" t="s">
        <v>561</v>
      </c>
      <c r="K43" s="122"/>
      <c r="L43" s="122"/>
      <c r="M43" s="122" t="s">
        <v>276</v>
      </c>
      <c r="N43" s="122" t="s">
        <v>281</v>
      </c>
      <c r="O43" s="122" t="s">
        <v>288</v>
      </c>
      <c r="P43" s="122" t="s">
        <v>294</v>
      </c>
      <c r="Q43" s="122" t="s">
        <v>270</v>
      </c>
      <c r="R43" s="122" t="s">
        <v>560</v>
      </c>
      <c r="S43" s="122" t="s">
        <v>561</v>
      </c>
      <c r="T43" s="122"/>
      <c r="U43" s="122"/>
      <c r="V43" s="124" t="s">
        <v>594</v>
      </c>
      <c r="W43" s="122" t="s">
        <v>276</v>
      </c>
      <c r="X43" s="122" t="s">
        <v>281</v>
      </c>
      <c r="Y43" s="126" t="s">
        <v>288</v>
      </c>
      <c r="Z43" s="122" t="s">
        <v>294</v>
      </c>
      <c r="AA43" s="122" t="s">
        <v>270</v>
      </c>
      <c r="AB43" s="128" t="s">
        <v>560</v>
      </c>
      <c r="AC43" s="128" t="s">
        <v>561</v>
      </c>
      <c r="AD43" s="122"/>
      <c r="AE43" s="122"/>
      <c r="AF43" s="122" t="s">
        <v>276</v>
      </c>
      <c r="AG43" s="122" t="s">
        <v>281</v>
      </c>
      <c r="AH43" s="126" t="s">
        <v>288</v>
      </c>
      <c r="AI43" s="122" t="s">
        <v>294</v>
      </c>
      <c r="AJ43" s="122" t="s">
        <v>270</v>
      </c>
      <c r="AK43" s="128" t="s">
        <v>560</v>
      </c>
      <c r="AL43" s="128" t="s">
        <v>561</v>
      </c>
      <c r="AO43" s="122" t="s">
        <v>276</v>
      </c>
      <c r="AP43" s="122" t="s">
        <v>281</v>
      </c>
      <c r="AQ43" s="126" t="s">
        <v>288</v>
      </c>
      <c r="AR43" s="122" t="s">
        <v>294</v>
      </c>
      <c r="AS43" s="122" t="s">
        <v>270</v>
      </c>
      <c r="AT43" s="128" t="s">
        <v>560</v>
      </c>
      <c r="AU43" s="128" t="s">
        <v>561</v>
      </c>
    </row>
    <row r="44" ht="15.5" customHeight="1" spans="1:47">
      <c r="A44" s="121" t="s">
        <v>562</v>
      </c>
      <c r="B44" s="129" t="s">
        <v>563</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562</v>
      </c>
      <c r="V44" s="129" t="s">
        <v>563</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565</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565</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567</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567</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569</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569</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570</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570</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422</v>
      </c>
      <c r="B49" s="129" t="s">
        <v>563</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422</v>
      </c>
      <c r="V49" s="129" t="s">
        <v>563</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565</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565</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567</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567</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569</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569</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570</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570</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431</v>
      </c>
      <c r="B54" s="129" t="s">
        <v>563</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431</v>
      </c>
      <c r="V54" s="129" t="s">
        <v>563</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565</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565</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567</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567</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569</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569</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570</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570</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573</v>
      </c>
      <c r="B60" s="122"/>
      <c r="C60" s="125"/>
      <c r="D60" s="122"/>
      <c r="E60" s="122"/>
      <c r="F60" s="122"/>
      <c r="G60" s="122"/>
      <c r="H60" s="122"/>
      <c r="I60" s="122"/>
      <c r="J60" s="122"/>
      <c r="K60" s="122"/>
      <c r="L60" s="122"/>
      <c r="M60" s="122"/>
      <c r="N60" s="122"/>
      <c r="O60" s="122"/>
      <c r="P60" s="122"/>
      <c r="Q60" s="122"/>
      <c r="R60" s="122"/>
      <c r="S60" s="122"/>
      <c r="T60" s="122"/>
    </row>
    <row r="61" ht="15.5" spans="1:47">
      <c r="A61" s="122" t="s">
        <v>598</v>
      </c>
      <c r="B61" s="122"/>
      <c r="C61" s="125"/>
      <c r="D61" s="122"/>
      <c r="E61" s="122"/>
      <c r="F61" s="122"/>
      <c r="G61" s="122"/>
      <c r="H61" s="122"/>
      <c r="I61" s="122"/>
      <c r="J61" s="122"/>
      <c r="K61" s="122"/>
      <c r="L61" s="122"/>
      <c r="M61" s="122"/>
      <c r="N61" s="122"/>
      <c r="O61" s="122"/>
      <c r="P61" s="122"/>
      <c r="Q61" s="122"/>
      <c r="R61" s="122"/>
      <c r="S61" s="122"/>
      <c r="T61" s="122"/>
    </row>
    <row r="62" ht="15.5" spans="1:47">
      <c r="A62" s="122" t="s">
        <v>599</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276</v>
      </c>
      <c r="X72" s="122" t="s">
        <v>281</v>
      </c>
      <c r="Y72" s="126" t="s">
        <v>288</v>
      </c>
      <c r="Z72" s="122" t="s">
        <v>294</v>
      </c>
      <c r="AA72" s="122" t="s">
        <v>270</v>
      </c>
      <c r="AB72" s="128" t="s">
        <v>560</v>
      </c>
      <c r="AC72" s="128" t="s">
        <v>561</v>
      </c>
      <c r="AD72" s="122"/>
      <c r="AE72" s="122"/>
      <c r="AF72" s="122" t="s">
        <v>276</v>
      </c>
      <c r="AG72" s="122" t="s">
        <v>281</v>
      </c>
      <c r="AH72" s="126" t="s">
        <v>288</v>
      </c>
      <c r="AI72" s="122" t="s">
        <v>294</v>
      </c>
      <c r="AJ72" s="122" t="s">
        <v>270</v>
      </c>
      <c r="AK72" s="128" t="s">
        <v>560</v>
      </c>
      <c r="AL72" s="128" t="s">
        <v>561</v>
      </c>
      <c r="AM72" s="122"/>
      <c r="AN72" s="122"/>
      <c r="AO72" s="122" t="s">
        <v>276</v>
      </c>
      <c r="AP72" s="122" t="s">
        <v>281</v>
      </c>
      <c r="AQ72" s="126" t="s">
        <v>288</v>
      </c>
      <c r="AR72" s="122" t="s">
        <v>294</v>
      </c>
      <c r="AS72" s="122" t="s">
        <v>270</v>
      </c>
      <c r="AT72" s="128" t="s">
        <v>560</v>
      </c>
      <c r="AU72" s="128" t="s">
        <v>561</v>
      </c>
    </row>
    <row r="73" spans="21:47">
      <c r="U73" s="121" t="s">
        <v>562</v>
      </c>
      <c r="V73" s="136" t="s">
        <v>210</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564</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566</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568</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422</v>
      </c>
      <c r="V77" s="136" t="s">
        <v>210</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564</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566</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568</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600</v>
      </c>
      <c r="V81" s="136" t="s">
        <v>210</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564</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566</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568</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601</v>
      </c>
      <c r="V85" s="136" t="s">
        <v>210</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564</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566</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568</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276</v>
      </c>
      <c r="X92" s="122" t="s">
        <v>281</v>
      </c>
      <c r="Y92" s="126" t="s">
        <v>288</v>
      </c>
      <c r="Z92" s="122" t="s">
        <v>294</v>
      </c>
      <c r="AA92" s="122" t="s">
        <v>270</v>
      </c>
      <c r="AB92" s="128" t="s">
        <v>560</v>
      </c>
      <c r="AC92" s="128" t="s">
        <v>561</v>
      </c>
      <c r="AD92" s="122"/>
      <c r="AE92" s="122"/>
      <c r="AF92" s="122" t="s">
        <v>276</v>
      </c>
      <c r="AG92" s="122" t="s">
        <v>281</v>
      </c>
      <c r="AH92" s="126" t="s">
        <v>288</v>
      </c>
      <c r="AI92" s="122" t="s">
        <v>294</v>
      </c>
      <c r="AJ92" s="122" t="s">
        <v>270</v>
      </c>
      <c r="AK92" s="128" t="s">
        <v>560</v>
      </c>
      <c r="AL92" s="128" t="s">
        <v>561</v>
      </c>
      <c r="AM92" s="122"/>
      <c r="AN92" s="122"/>
      <c r="AO92" s="122" t="s">
        <v>276</v>
      </c>
      <c r="AP92" s="122" t="s">
        <v>281</v>
      </c>
      <c r="AQ92" s="126" t="s">
        <v>288</v>
      </c>
      <c r="AR92" s="122" t="s">
        <v>294</v>
      </c>
      <c r="AS92" s="122" t="s">
        <v>270</v>
      </c>
      <c r="AT92" s="128" t="s">
        <v>560</v>
      </c>
      <c r="AU92" s="128" t="s">
        <v>561</v>
      </c>
    </row>
    <row r="93" spans="21:47">
      <c r="U93" s="121" t="s">
        <v>562</v>
      </c>
      <c r="V93" s="136" t="s">
        <v>210</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564</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566</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568</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422</v>
      </c>
      <c r="V97" s="136" t="s">
        <v>210</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564</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566</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568</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600</v>
      </c>
      <c r="V101" s="136" t="s">
        <v>210</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564</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566</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568</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601</v>
      </c>
      <c r="V105" s="136" t="s">
        <v>210</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564</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566</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568</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276</v>
      </c>
      <c r="X112" s="122" t="s">
        <v>281</v>
      </c>
      <c r="Y112" s="126" t="s">
        <v>288</v>
      </c>
      <c r="Z112" s="122" t="s">
        <v>294</v>
      </c>
      <c r="AA112" s="122" t="s">
        <v>270</v>
      </c>
      <c r="AB112" s="128" t="s">
        <v>560</v>
      </c>
      <c r="AC112" s="128" t="s">
        <v>561</v>
      </c>
      <c r="AD112" s="122"/>
      <c r="AE112" s="122"/>
      <c r="AF112" s="122" t="s">
        <v>276</v>
      </c>
      <c r="AG112" s="122" t="s">
        <v>281</v>
      </c>
      <c r="AH112" s="126" t="s">
        <v>288</v>
      </c>
      <c r="AI112" s="122" t="s">
        <v>294</v>
      </c>
      <c r="AJ112" s="122" t="s">
        <v>270</v>
      </c>
      <c r="AK112" s="128" t="s">
        <v>560</v>
      </c>
      <c r="AL112" s="128" t="s">
        <v>561</v>
      </c>
      <c r="AM112" s="122"/>
      <c r="AN112" s="122"/>
      <c r="AO112" s="122" t="s">
        <v>276</v>
      </c>
      <c r="AP112" s="122" t="s">
        <v>281</v>
      </c>
      <c r="AQ112" s="126" t="s">
        <v>288</v>
      </c>
      <c r="AR112" s="122" t="s">
        <v>294</v>
      </c>
      <c r="AS112" s="122" t="s">
        <v>270</v>
      </c>
      <c r="AT112" s="128" t="s">
        <v>560</v>
      </c>
      <c r="AU112" s="128" t="s">
        <v>561</v>
      </c>
    </row>
    <row r="113" spans="21:47">
      <c r="U113" s="121" t="s">
        <v>562</v>
      </c>
      <c r="V113" s="136" t="s">
        <v>210</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564</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566</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568</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422</v>
      </c>
      <c r="V117" s="136" t="s">
        <v>210</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564</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566</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568</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600</v>
      </c>
      <c r="V121" s="136" t="s">
        <v>210</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564</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566</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568</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601</v>
      </c>
      <c r="V125" s="136" t="s">
        <v>210</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564</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566</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568</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80</v>
      </c>
      <c r="V161" s="138" t="s">
        <v>195</v>
      </c>
      <c r="W161" s="138">
        <v>2019</v>
      </c>
      <c r="X161" s="139"/>
      <c r="Y161" s="138" t="s">
        <v>80</v>
      </c>
      <c r="Z161" s="138" t="s">
        <v>195</v>
      </c>
      <c r="AA161" s="138">
        <v>2019</v>
      </c>
      <c r="AB161" s="139"/>
      <c r="AC161" s="138" t="s">
        <v>80</v>
      </c>
      <c r="AD161" s="138" t="s">
        <v>195</v>
      </c>
      <c r="AE161" s="138">
        <v>2019</v>
      </c>
      <c r="AF161" s="139"/>
      <c r="AG161" s="138" t="s">
        <v>80</v>
      </c>
      <c r="AH161" s="138" t="s">
        <v>195</v>
      </c>
      <c r="AI161" s="138">
        <v>2019</v>
      </c>
      <c r="AJ161" s="139"/>
      <c r="AK161" s="138" t="s">
        <v>80</v>
      </c>
      <c r="AL161" s="138" t="s">
        <v>195</v>
      </c>
      <c r="AM161" s="138">
        <v>2019</v>
      </c>
      <c r="AN161" s="139"/>
      <c r="AO161" s="140" t="s">
        <v>80</v>
      </c>
      <c r="AP161" s="140" t="s">
        <v>195</v>
      </c>
      <c r="AQ161" s="140">
        <v>2019</v>
      </c>
      <c r="AR161" s="141"/>
      <c r="AS161" s="140" t="s">
        <v>80</v>
      </c>
      <c r="AT161" s="140" t="s">
        <v>195</v>
      </c>
      <c r="AU161" s="140">
        <v>2019</v>
      </c>
    </row>
    <row r="162" ht="15.5" spans="21:47">
      <c r="U162" s="139" t="s">
        <v>388</v>
      </c>
      <c r="V162" s="142" t="s">
        <v>547</v>
      </c>
      <c r="W162" s="139">
        <f>AF85</f>
        <v>0.0105665038459379</v>
      </c>
      <c r="X162" s="139"/>
      <c r="Y162" s="139" t="s">
        <v>389</v>
      </c>
      <c r="Z162" s="142" t="s">
        <v>547</v>
      </c>
      <c r="AA162" s="139">
        <f>AG85</f>
        <v>0.010151126318791</v>
      </c>
      <c r="AB162" s="139"/>
      <c r="AC162" s="139" t="s">
        <v>391</v>
      </c>
      <c r="AD162" s="142" t="s">
        <v>547</v>
      </c>
      <c r="AE162" s="139">
        <f>AH85</f>
        <v>0.0104454409566517</v>
      </c>
      <c r="AF162" s="139"/>
      <c r="AG162" s="139" t="s">
        <v>392</v>
      </c>
      <c r="AH162" s="142" t="s">
        <v>547</v>
      </c>
      <c r="AI162" s="139">
        <f>AI85</f>
        <v>0.0114922921405105</v>
      </c>
      <c r="AJ162" s="139"/>
      <c r="AK162" s="139" t="s">
        <v>387</v>
      </c>
      <c r="AL162" s="142" t="s">
        <v>547</v>
      </c>
      <c r="AM162" s="139">
        <f>AJ85</f>
        <v>0.0116539250419541</v>
      </c>
      <c r="AN162" s="139"/>
      <c r="AO162" s="141" t="s">
        <v>386</v>
      </c>
      <c r="AP162" s="142" t="s">
        <v>547</v>
      </c>
      <c r="AQ162" s="141">
        <f>AK85</f>
        <v>0.0100780035114121</v>
      </c>
      <c r="AR162" s="141"/>
      <c r="AS162" s="141" t="s">
        <v>384</v>
      </c>
      <c r="AT162" s="142" t="s">
        <v>547</v>
      </c>
      <c r="AU162" s="141">
        <f>AL85</f>
        <v>0.0118444169319656</v>
      </c>
    </row>
    <row r="163" ht="15.5" spans="21:47">
      <c r="U163" s="139"/>
      <c r="V163" s="142" t="s">
        <v>548</v>
      </c>
      <c r="W163" s="139">
        <f>AF86</f>
        <v>0.0361911178485206</v>
      </c>
      <c r="X163" s="139"/>
      <c r="Y163" s="139"/>
      <c r="Z163" s="142" t="s">
        <v>548</v>
      </c>
      <c r="AA163" s="139">
        <f>AG86</f>
        <v>0.0345822640433419</v>
      </c>
      <c r="AB163" s="139"/>
      <c r="AC163" s="139"/>
      <c r="AD163" s="142" t="s">
        <v>548</v>
      </c>
      <c r="AE163" s="139">
        <f>AH86</f>
        <v>0.0356053811659193</v>
      </c>
      <c r="AF163" s="139"/>
      <c r="AG163" s="139"/>
      <c r="AH163" s="142" t="s">
        <v>548</v>
      </c>
      <c r="AI163" s="139">
        <f>AI86</f>
        <v>0.0365744250694971</v>
      </c>
      <c r="AJ163" s="139"/>
      <c r="AK163" s="139"/>
      <c r="AL163" s="142" t="s">
        <v>548</v>
      </c>
      <c r="AM163" s="139">
        <f t="shared" ref="AM163:AM165" si="291">AA86</f>
        <v>0.0374914537883026</v>
      </c>
      <c r="AN163" s="139"/>
      <c r="AO163" s="141"/>
      <c r="AP163" s="142" t="s">
        <v>548</v>
      </c>
      <c r="AQ163" s="141">
        <f>AK86</f>
        <v>0.0343528969149737</v>
      </c>
      <c r="AR163" s="141"/>
      <c r="AS163" s="141"/>
      <c r="AT163" s="142" t="s">
        <v>548</v>
      </c>
      <c r="AU163" s="141">
        <f>AL86</f>
        <v>0.040374071453838</v>
      </c>
    </row>
    <row r="164" ht="15.5" spans="21:47">
      <c r="U164" s="139"/>
      <c r="V164" s="142" t="s">
        <v>549</v>
      </c>
      <c r="W164" s="139">
        <f>AF87</f>
        <v>0.0787154005951378</v>
      </c>
      <c r="X164" s="139"/>
      <c r="Y164" s="139"/>
      <c r="Z164" s="142" t="s">
        <v>549</v>
      </c>
      <c r="AA164" s="139">
        <f>AG87</f>
        <v>0.0766238950670089</v>
      </c>
      <c r="AB164" s="139"/>
      <c r="AC164" s="139"/>
      <c r="AD164" s="142" t="s">
        <v>549</v>
      </c>
      <c r="AE164" s="139">
        <f>AH87</f>
        <v>0.0794379671150972</v>
      </c>
      <c r="AF164" s="139"/>
      <c r="AG164" s="139"/>
      <c r="AH164" s="142" t="s">
        <v>549</v>
      </c>
      <c r="AI164" s="139">
        <f>AI87</f>
        <v>0.0831501137225171</v>
      </c>
      <c r="AJ164" s="139"/>
      <c r="AK164" s="139"/>
      <c r="AL164" s="142" t="s">
        <v>549</v>
      </c>
      <c r="AM164" s="139">
        <f t="shared" si="291"/>
        <v>0.0871278513269936</v>
      </c>
      <c r="AN164" s="139"/>
      <c r="AO164" s="141"/>
      <c r="AP164" s="142" t="s">
        <v>549</v>
      </c>
      <c r="AQ164" s="141">
        <f>AK87</f>
        <v>0.0766435916729371</v>
      </c>
      <c r="AR164" s="141"/>
      <c r="AS164" s="141"/>
      <c r="AT164" s="142" t="s">
        <v>549</v>
      </c>
      <c r="AU164" s="141">
        <f>AL87</f>
        <v>0.0900772314585544</v>
      </c>
    </row>
    <row r="165" ht="15.5" spans="21:47">
      <c r="U165" s="143"/>
      <c r="V165" s="142" t="s">
        <v>550</v>
      </c>
      <c r="W165" s="139">
        <f>AF88</f>
        <v>0.0132277805850317</v>
      </c>
      <c r="X165" s="143"/>
      <c r="Y165" s="143"/>
      <c r="Z165" s="142" t="s">
        <v>550</v>
      </c>
      <c r="AA165" s="139">
        <f>AG88</f>
        <v>0.0129398346164813</v>
      </c>
      <c r="AB165" s="143"/>
      <c r="AC165" s="143"/>
      <c r="AD165" s="142" t="s">
        <v>550</v>
      </c>
      <c r="AE165" s="139">
        <f>AH88</f>
        <v>0.0134050822122571</v>
      </c>
      <c r="AF165" s="143"/>
      <c r="AG165" s="143"/>
      <c r="AH165" s="142" t="s">
        <v>550</v>
      </c>
      <c r="AI165" s="139">
        <f>AI88</f>
        <v>0.0146449330300733</v>
      </c>
      <c r="AJ165" s="143"/>
      <c r="AK165" s="143"/>
      <c r="AL165" s="142" t="s">
        <v>550</v>
      </c>
      <c r="AM165" s="139">
        <f t="shared" si="291"/>
        <v>0.0149356703337684</v>
      </c>
      <c r="AN165" s="143"/>
      <c r="AO165" s="144"/>
      <c r="AP165" s="142" t="s">
        <v>550</v>
      </c>
      <c r="AQ165" s="141">
        <f>AK88</f>
        <v>0.0129335339854527</v>
      </c>
      <c r="AR165" s="144"/>
      <c r="AS165" s="144"/>
      <c r="AT165" s="142" t="s">
        <v>550</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80</v>
      </c>
      <c r="V173" s="138" t="s">
        <v>195</v>
      </c>
      <c r="W173" s="138">
        <v>2019</v>
      </c>
      <c r="X173" s="139"/>
      <c r="Y173" s="138" t="s">
        <v>80</v>
      </c>
      <c r="Z173" s="138" t="s">
        <v>195</v>
      </c>
      <c r="AA173" s="138">
        <v>2019</v>
      </c>
      <c r="AB173" s="139"/>
      <c r="AC173" s="138" t="s">
        <v>80</v>
      </c>
      <c r="AD173" s="138" t="s">
        <v>195</v>
      </c>
      <c r="AE173" s="138">
        <v>2019</v>
      </c>
      <c r="AF173" s="139"/>
      <c r="AG173" s="138" t="s">
        <v>80</v>
      </c>
      <c r="AH173" s="138" t="s">
        <v>195</v>
      </c>
      <c r="AI173" s="138">
        <v>2019</v>
      </c>
      <c r="AJ173" s="139"/>
      <c r="AK173" s="138" t="s">
        <v>80</v>
      </c>
      <c r="AL173" s="138" t="s">
        <v>195</v>
      </c>
      <c r="AM173" s="138">
        <v>2019</v>
      </c>
      <c r="AN173" s="139"/>
      <c r="AO173" s="140" t="s">
        <v>80</v>
      </c>
      <c r="AP173" s="140" t="s">
        <v>195</v>
      </c>
      <c r="AQ173" s="140">
        <v>2019</v>
      </c>
      <c r="AR173" s="141"/>
      <c r="AS173" s="140" t="s">
        <v>80</v>
      </c>
      <c r="AT173" s="140" t="s">
        <v>195</v>
      </c>
      <c r="AU173" s="140">
        <v>2019</v>
      </c>
    </row>
    <row r="174" ht="15.5" spans="21:47">
      <c r="U174" s="139" t="s">
        <v>396</v>
      </c>
      <c r="V174" s="142" t="s">
        <v>547</v>
      </c>
      <c r="W174" s="139">
        <f t="shared" ref="W174:W177" si="292">W105</f>
        <v>0.0115995732974005</v>
      </c>
      <c r="X174" s="139"/>
      <c r="Y174" s="139" t="s">
        <v>397</v>
      </c>
      <c r="Z174" s="142" t="s">
        <v>547</v>
      </c>
      <c r="AA174" s="139">
        <f t="shared" ref="AA174:AA177" si="293">X105</f>
        <v>0.0111320216709438</v>
      </c>
      <c r="AB174" s="139"/>
      <c r="AC174" s="139" t="s">
        <v>398</v>
      </c>
      <c r="AD174" s="142" t="s">
        <v>547</v>
      </c>
      <c r="AE174" s="139">
        <f t="shared" ref="AE174:AE177" si="294">Y105</f>
        <v>0.0115156950672646</v>
      </c>
      <c r="AF174" s="139"/>
      <c r="AG174" s="139" t="s">
        <v>407</v>
      </c>
      <c r="AH174" s="142" t="s">
        <v>547</v>
      </c>
      <c r="AI174" s="139">
        <f t="shared" ref="AI174:AI177" si="295">Z105</f>
        <v>0.0118145059388425</v>
      </c>
      <c r="AJ174" s="139"/>
      <c r="AK174" s="139" t="s">
        <v>395</v>
      </c>
      <c r="AL174" s="142" t="s">
        <v>547</v>
      </c>
      <c r="AM174" s="139">
        <f t="shared" ref="AM174:AM177" si="296">AA105</f>
        <v>0.0120206352166076</v>
      </c>
      <c r="AN174" s="139"/>
      <c r="AO174" s="141" t="s">
        <v>394</v>
      </c>
      <c r="AP174" s="142" t="s">
        <v>547</v>
      </c>
      <c r="AQ174" s="141">
        <f>AK105</f>
        <v>0.0111106094808126</v>
      </c>
      <c r="AR174" s="141"/>
      <c r="AS174" s="141" t="s">
        <v>393</v>
      </c>
      <c r="AT174" s="142" t="s">
        <v>547</v>
      </c>
      <c r="AU174" s="141">
        <f>AL105</f>
        <v>0.0130580120268836</v>
      </c>
    </row>
    <row r="175" ht="15.5" spans="21:47">
      <c r="U175" s="139"/>
      <c r="V175" s="142" t="s">
        <v>548</v>
      </c>
      <c r="W175" s="139">
        <f t="shared" si="292"/>
        <v>0.0322272752793218</v>
      </c>
      <c r="X175" s="139"/>
      <c r="Y175" s="139"/>
      <c r="Z175" s="142" t="s">
        <v>548</v>
      </c>
      <c r="AA175" s="139">
        <f t="shared" si="293"/>
        <v>0.0310350727117194</v>
      </c>
      <c r="AB175" s="139"/>
      <c r="AC175" s="139"/>
      <c r="AD175" s="142" t="s">
        <v>548</v>
      </c>
      <c r="AE175" s="139">
        <f t="shared" si="294"/>
        <v>0.0321195814648729</v>
      </c>
      <c r="AF175" s="139"/>
      <c r="AG175" s="139"/>
      <c r="AH175" s="142" t="s">
        <v>548</v>
      </c>
      <c r="AI175" s="139">
        <f t="shared" si="295"/>
        <v>0.0332512004043467</v>
      </c>
      <c r="AJ175" s="139"/>
      <c r="AK175" s="139"/>
      <c r="AL175" s="142" t="s">
        <v>548</v>
      </c>
      <c r="AM175" s="139">
        <f t="shared" si="296"/>
        <v>0.033880290881969</v>
      </c>
      <c r="AN175" s="139"/>
      <c r="AO175" s="141"/>
      <c r="AP175" s="142" t="s">
        <v>548</v>
      </c>
      <c r="AQ175" s="141">
        <f>AK106</f>
        <v>0.0309897165788814</v>
      </c>
      <c r="AR175" s="141"/>
      <c r="AS175" s="141"/>
      <c r="AT175" s="142" t="s">
        <v>548</v>
      </c>
      <c r="AU175" s="141">
        <f>AL106</f>
        <v>0.0364214125692725</v>
      </c>
    </row>
    <row r="176" ht="15.5" spans="21:47">
      <c r="U176" s="139"/>
      <c r="V176" s="142" t="s">
        <v>549</v>
      </c>
      <c r="W176" s="139">
        <f t="shared" si="292"/>
        <v>0.0930380102184044</v>
      </c>
      <c r="X176" s="139"/>
      <c r="Y176" s="139"/>
      <c r="Z176" s="142" t="s">
        <v>549</v>
      </c>
      <c r="AA176" s="139">
        <f t="shared" si="293"/>
        <v>0.0901682349586541</v>
      </c>
      <c r="AB176" s="139"/>
      <c r="AC176" s="139"/>
      <c r="AD176" s="142" t="s">
        <v>549</v>
      </c>
      <c r="AE176" s="139">
        <f t="shared" si="294"/>
        <v>0.0934708520179372</v>
      </c>
      <c r="AF176" s="139"/>
      <c r="AG176" s="139"/>
      <c r="AH176" s="142" t="s">
        <v>549</v>
      </c>
      <c r="AI176" s="139">
        <f t="shared" si="295"/>
        <v>0.0946044983573414</v>
      </c>
      <c r="AJ176" s="139"/>
      <c r="AK176" s="139"/>
      <c r="AL176" s="142" t="s">
        <v>549</v>
      </c>
      <c r="AM176" s="139">
        <f t="shared" si="296"/>
        <v>0.0987631300888806</v>
      </c>
      <c r="AN176" s="139"/>
      <c r="AO176" s="141"/>
      <c r="AP176" s="142" t="s">
        <v>549</v>
      </c>
      <c r="AQ176" s="141">
        <f>AK107</f>
        <v>0.0901828442437923</v>
      </c>
      <c r="AR176" s="141"/>
      <c r="AS176" s="141"/>
      <c r="AT176" s="142" t="s">
        <v>549</v>
      </c>
      <c r="AU176" s="141">
        <f>AL107</f>
        <v>0.105989564909798</v>
      </c>
    </row>
    <row r="177" ht="15.5" spans="21:47">
      <c r="U177" s="143"/>
      <c r="V177" s="142" t="s">
        <v>550</v>
      </c>
      <c r="W177" s="139">
        <f t="shared" si="292"/>
        <v>0.0134355173769019</v>
      </c>
      <c r="X177" s="143"/>
      <c r="Y177" s="143"/>
      <c r="Z177" s="142" t="s">
        <v>550</v>
      </c>
      <c r="AA177" s="139">
        <f t="shared" si="293"/>
        <v>0.0132534930139721</v>
      </c>
      <c r="AB177" s="143"/>
      <c r="AC177" s="143"/>
      <c r="AD177" s="142" t="s">
        <v>550</v>
      </c>
      <c r="AE177" s="139">
        <f t="shared" si="294"/>
        <v>0.0138116591928251</v>
      </c>
      <c r="AF177" s="143"/>
      <c r="AG177" s="143"/>
      <c r="AH177" s="142" t="s">
        <v>550</v>
      </c>
      <c r="AI177" s="139">
        <f t="shared" si="295"/>
        <v>0.0141837250442254</v>
      </c>
      <c r="AJ177" s="143"/>
      <c r="AK177" s="143"/>
      <c r="AL177" s="142" t="s">
        <v>550</v>
      </c>
      <c r="AM177" s="139">
        <f t="shared" si="296"/>
        <v>0.0143824973584437</v>
      </c>
      <c r="AN177" s="143"/>
      <c r="AO177" s="144"/>
      <c r="AP177" s="142" t="s">
        <v>550</v>
      </c>
      <c r="AQ177" s="141">
        <f>AK108</f>
        <v>0.0133258088788563</v>
      </c>
      <c r="AR177" s="144"/>
      <c r="AS177" s="144"/>
      <c r="AT177" s="142" t="s">
        <v>550</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80</v>
      </c>
      <c r="V184" s="138" t="s">
        <v>195</v>
      </c>
      <c r="W184" s="138">
        <v>2019</v>
      </c>
      <c r="X184" s="139"/>
      <c r="Y184" s="138" t="s">
        <v>80</v>
      </c>
      <c r="Z184" s="138" t="s">
        <v>195</v>
      </c>
      <c r="AA184" s="138">
        <v>2019</v>
      </c>
      <c r="AB184" s="139"/>
      <c r="AC184" s="138" t="s">
        <v>80</v>
      </c>
      <c r="AD184" s="138" t="s">
        <v>195</v>
      </c>
      <c r="AE184" s="138">
        <v>2019</v>
      </c>
      <c r="AF184" s="139"/>
      <c r="AG184" s="138" t="s">
        <v>80</v>
      </c>
      <c r="AH184" s="138" t="s">
        <v>195</v>
      </c>
      <c r="AI184" s="138">
        <v>2019</v>
      </c>
      <c r="AJ184" s="139"/>
      <c r="AK184" s="138" t="s">
        <v>80</v>
      </c>
      <c r="AL184" s="138" t="s">
        <v>195</v>
      </c>
      <c r="AM184" s="138">
        <v>2019</v>
      </c>
      <c r="AN184" s="139"/>
      <c r="AO184" s="140" t="s">
        <v>80</v>
      </c>
      <c r="AP184" s="140" t="s">
        <v>195</v>
      </c>
      <c r="AQ184" s="140">
        <v>2019</v>
      </c>
      <c r="AR184" s="141"/>
      <c r="AS184" s="140" t="s">
        <v>80</v>
      </c>
      <c r="AT184" s="140" t="s">
        <v>195</v>
      </c>
      <c r="AU184" s="140">
        <v>2019</v>
      </c>
    </row>
    <row r="185" ht="15.5" spans="21:47">
      <c r="U185" s="139" t="s">
        <v>411</v>
      </c>
      <c r="V185" s="142" t="s">
        <v>547</v>
      </c>
      <c r="W185" s="139">
        <f t="shared" ref="W185:W188" si="297">W125</f>
        <v>0.00791645612262086</v>
      </c>
      <c r="X185" s="139"/>
      <c r="Y185" s="139" t="s">
        <v>412</v>
      </c>
      <c r="Z185" s="142" t="s">
        <v>547</v>
      </c>
      <c r="AA185" s="139">
        <f t="shared" ref="AA185:AA188" si="298">X125</f>
        <v>0.00768748217850014</v>
      </c>
      <c r="AB185" s="139"/>
      <c r="AC185" s="139" t="s">
        <v>413</v>
      </c>
      <c r="AD185" s="142" t="s">
        <v>547</v>
      </c>
      <c r="AE185" s="139">
        <f t="shared" ref="AE185:AE188" si="299">Y125</f>
        <v>0.00798206278026906</v>
      </c>
      <c r="AF185" s="139"/>
      <c r="AG185" s="139" t="s">
        <v>414</v>
      </c>
      <c r="AH185" s="142" t="s">
        <v>547</v>
      </c>
      <c r="AI185" s="139">
        <f t="shared" ref="AI185:AI188" si="300">Z125</f>
        <v>0.00797321202931515</v>
      </c>
      <c r="AJ185" s="139"/>
      <c r="AK185" s="139" t="s">
        <v>410</v>
      </c>
      <c r="AL185" s="142" t="s">
        <v>547</v>
      </c>
      <c r="AM185" s="139">
        <f t="shared" ref="AM185:AM188" si="301">AA125</f>
        <v>0.00805519298899869</v>
      </c>
      <c r="AN185" s="139"/>
      <c r="AO185" s="141" t="s">
        <v>409</v>
      </c>
      <c r="AP185" s="142" t="s">
        <v>547</v>
      </c>
      <c r="AQ185" s="141">
        <f>AK125</f>
        <v>0.0077012791572611</v>
      </c>
      <c r="AR185" s="141"/>
      <c r="AS185" s="141" t="s">
        <v>408</v>
      </c>
      <c r="AT185" s="142" t="s">
        <v>547</v>
      </c>
      <c r="AU185" s="141">
        <f>AL125</f>
        <v>0.00905111425539441</v>
      </c>
    </row>
    <row r="186" ht="15.5" spans="21:47">
      <c r="U186" s="139"/>
      <c r="V186" s="142" t="s">
        <v>548</v>
      </c>
      <c r="W186" s="139">
        <f t="shared" si="297"/>
        <v>0.0255740834315872</v>
      </c>
      <c r="X186" s="139"/>
      <c r="Y186" s="139"/>
      <c r="Z186" s="142" t="s">
        <v>548</v>
      </c>
      <c r="AA186" s="139">
        <f t="shared" si="298"/>
        <v>0.0248303393213573</v>
      </c>
      <c r="AB186" s="139"/>
      <c r="AC186" s="139"/>
      <c r="AD186" s="142" t="s">
        <v>548</v>
      </c>
      <c r="AE186" s="139">
        <f t="shared" si="299"/>
        <v>0.0257518684603886</v>
      </c>
      <c r="AF186" s="139"/>
      <c r="AG186" s="139"/>
      <c r="AH186" s="142" t="s">
        <v>548</v>
      </c>
      <c r="AI186" s="139">
        <f t="shared" si="300"/>
        <v>0.0256633813495072</v>
      </c>
      <c r="AJ186" s="139"/>
      <c r="AK186" s="139"/>
      <c r="AL186" s="142" t="s">
        <v>548</v>
      </c>
      <c r="AM186" s="139">
        <f t="shared" si="301"/>
        <v>0.0260053452669526</v>
      </c>
      <c r="AN186" s="139"/>
      <c r="AO186" s="141"/>
      <c r="AP186" s="142" t="s">
        <v>548</v>
      </c>
      <c r="AQ186" s="141">
        <f>AK126</f>
        <v>0.0248459994983697</v>
      </c>
      <c r="AR186" s="141"/>
      <c r="AS186" s="141"/>
      <c r="AT186" s="142" t="s">
        <v>548</v>
      </c>
      <c r="AU186" s="141">
        <f>AL126</f>
        <v>0.0292008607475534</v>
      </c>
    </row>
    <row r="187" ht="15.5" spans="21:47">
      <c r="U187" s="139"/>
      <c r="V187" s="142" t="s">
        <v>549</v>
      </c>
      <c r="W187" s="139">
        <f t="shared" si="297"/>
        <v>0.0604008758632306</v>
      </c>
      <c r="X187" s="139"/>
      <c r="Y187" s="139"/>
      <c r="Z187" s="142" t="s">
        <v>549</v>
      </c>
      <c r="AA187" s="139">
        <f t="shared" si="298"/>
        <v>0.0597262617621899</v>
      </c>
      <c r="AB187" s="139"/>
      <c r="AC187" s="139"/>
      <c r="AD187" s="142" t="s">
        <v>549</v>
      </c>
      <c r="AE187" s="139">
        <f t="shared" si="299"/>
        <v>0.0622242152466368</v>
      </c>
      <c r="AF187" s="139"/>
      <c r="AG187" s="139"/>
      <c r="AH187" s="142" t="s">
        <v>549</v>
      </c>
      <c r="AI187" s="139">
        <f t="shared" si="300"/>
        <v>0.0635392974475613</v>
      </c>
      <c r="AJ187" s="139"/>
      <c r="AK187" s="139"/>
      <c r="AL187" s="142" t="s">
        <v>549</v>
      </c>
      <c r="AM187" s="139">
        <f t="shared" si="301"/>
        <v>0.0635589533221456</v>
      </c>
      <c r="AN187" s="139"/>
      <c r="AO187" s="141"/>
      <c r="AP187" s="142" t="s">
        <v>549</v>
      </c>
      <c r="AQ187" s="141">
        <f>AK127</f>
        <v>0.0600353649360421</v>
      </c>
      <c r="AR187" s="141"/>
      <c r="AS187" s="141"/>
      <c r="AT187" s="142" t="s">
        <v>549</v>
      </c>
      <c r="AU187" s="141">
        <f>AL127</f>
        <v>0.0705580120268836</v>
      </c>
    </row>
    <row r="188" ht="15.5" spans="21:47">
      <c r="U188" s="143"/>
      <c r="V188" s="142" t="s">
        <v>550</v>
      </c>
      <c r="W188" s="139">
        <f t="shared" si="297"/>
        <v>0.013115490427264</v>
      </c>
      <c r="X188" s="143"/>
      <c r="Y188" s="143"/>
      <c r="Z188" s="142" t="s">
        <v>550</v>
      </c>
      <c r="AA188" s="139">
        <f t="shared" si="298"/>
        <v>0.0129683490162532</v>
      </c>
      <c r="AB188" s="143"/>
      <c r="AC188" s="143"/>
      <c r="AD188" s="142" t="s">
        <v>550</v>
      </c>
      <c r="AE188" s="139">
        <f t="shared" si="299"/>
        <v>0.0135067264573991</v>
      </c>
      <c r="AF188" s="143"/>
      <c r="AG188" s="143"/>
      <c r="AH188" s="142" t="s">
        <v>550</v>
      </c>
      <c r="AI188" s="139">
        <f t="shared" si="300"/>
        <v>0.013747788728835</v>
      </c>
      <c r="AJ188" s="143"/>
      <c r="AK188" s="143"/>
      <c r="AL188" s="142" t="s">
        <v>550</v>
      </c>
      <c r="AM188" s="139">
        <f t="shared" si="301"/>
        <v>0.0137858163962956</v>
      </c>
      <c r="AN188" s="143"/>
      <c r="AO188" s="144"/>
      <c r="AP188" s="142" t="s">
        <v>550</v>
      </c>
      <c r="AQ188" s="141">
        <f>AK128</f>
        <v>0.0130316027088036</v>
      </c>
      <c r="AR188" s="144"/>
      <c r="AS188" s="144"/>
      <c r="AT188" s="142" t="s">
        <v>550</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workbookViewId="0">
      <selection activeCell="X207" sqref="X207"/>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587</v>
      </c>
      <c r="B1" s="121"/>
      <c r="C1" s="121"/>
      <c r="D1" s="121"/>
      <c r="E1" s="121"/>
      <c r="F1" s="121"/>
      <c r="G1" s="121"/>
      <c r="H1" s="121"/>
      <c r="I1" s="121"/>
      <c r="J1" s="121"/>
      <c r="K1" s="122"/>
      <c r="L1" s="122" t="s">
        <v>305</v>
      </c>
      <c r="M1" s="122"/>
      <c r="N1" s="122"/>
      <c r="O1" s="122"/>
      <c r="P1" s="122"/>
      <c r="Q1" s="122"/>
      <c r="R1" s="122"/>
      <c r="S1" s="122"/>
      <c r="T1" s="122"/>
      <c r="U1" s="122"/>
      <c r="V1" s="122"/>
      <c r="W1" s="122" t="s">
        <v>588</v>
      </c>
      <c r="X1" s="122"/>
      <c r="Y1" s="122"/>
      <c r="Z1" s="122"/>
      <c r="AA1" s="122"/>
      <c r="AB1" s="123" t="s">
        <v>589</v>
      </c>
      <c r="AC1" s="123"/>
      <c r="AD1" s="122"/>
      <c r="AE1" s="122"/>
      <c r="AF1" s="122" t="s">
        <v>590</v>
      </c>
      <c r="AG1" s="122"/>
      <c r="AH1" s="122"/>
      <c r="AI1" s="122"/>
      <c r="AJ1" s="122"/>
      <c r="AK1" s="122"/>
      <c r="AL1" s="122"/>
      <c r="AM1" s="122"/>
      <c r="AN1" s="122"/>
      <c r="AO1" s="122" t="s">
        <v>591</v>
      </c>
      <c r="AP1" s="122"/>
      <c r="AQ1" s="122"/>
      <c r="AR1" s="122"/>
      <c r="AS1" s="122"/>
      <c r="AT1" s="122"/>
      <c r="AU1" s="122"/>
    </row>
    <row r="2" ht="30" customHeight="1" spans="1:47">
      <c r="A2" s="121" t="s">
        <v>555</v>
      </c>
      <c r="B2" s="121" t="s">
        <v>558</v>
      </c>
      <c r="C2" s="121" t="s">
        <v>557</v>
      </c>
      <c r="D2" s="121"/>
      <c r="E2" s="121"/>
      <c r="F2" s="121"/>
      <c r="G2" s="121"/>
      <c r="H2" s="121"/>
      <c r="I2" s="121"/>
      <c r="J2" s="121"/>
      <c r="K2" s="122"/>
      <c r="L2" s="122"/>
      <c r="M2" s="122"/>
      <c r="N2" s="122"/>
      <c r="O2" s="122"/>
      <c r="P2" s="122"/>
      <c r="Q2" s="122"/>
      <c r="R2" s="122"/>
      <c r="S2" s="122"/>
      <c r="T2" s="122"/>
      <c r="U2" s="122"/>
      <c r="V2" s="124" t="s">
        <v>592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559</v>
      </c>
      <c r="D3" s="122" t="s">
        <v>276</v>
      </c>
      <c r="E3" s="122" t="s">
        <v>281</v>
      </c>
      <c r="F3" s="126" t="s">
        <v>288</v>
      </c>
      <c r="G3" s="122" t="s">
        <v>294</v>
      </c>
      <c r="H3" s="122" t="s">
        <v>270</v>
      </c>
      <c r="I3" s="122" t="s">
        <v>560</v>
      </c>
      <c r="J3" s="122" t="s">
        <v>561</v>
      </c>
      <c r="K3" s="122"/>
      <c r="L3" s="127" t="s">
        <v>559</v>
      </c>
      <c r="M3" s="122" t="s">
        <v>276</v>
      </c>
      <c r="N3" s="122" t="s">
        <v>281</v>
      </c>
      <c r="O3" s="122" t="s">
        <v>288</v>
      </c>
      <c r="P3" s="122" t="s">
        <v>294</v>
      </c>
      <c r="Q3" s="122" t="s">
        <v>270</v>
      </c>
      <c r="R3" s="122" t="s">
        <v>560</v>
      </c>
      <c r="S3" s="122" t="s">
        <v>561</v>
      </c>
      <c r="T3" s="122"/>
      <c r="U3" s="122"/>
      <c r="V3" s="124" t="s">
        <v>594</v>
      </c>
      <c r="W3" s="122" t="s">
        <v>276</v>
      </c>
      <c r="X3" s="122" t="s">
        <v>281</v>
      </c>
      <c r="Y3" s="126" t="s">
        <v>288</v>
      </c>
      <c r="Z3" s="122" t="s">
        <v>294</v>
      </c>
      <c r="AA3" s="122" t="s">
        <v>270</v>
      </c>
      <c r="AB3" s="128" t="s">
        <v>560</v>
      </c>
      <c r="AC3" s="128" t="s">
        <v>561</v>
      </c>
      <c r="AD3" s="122"/>
      <c r="AE3" s="122"/>
      <c r="AF3" s="122" t="s">
        <v>276</v>
      </c>
      <c r="AG3" s="122" t="s">
        <v>281</v>
      </c>
      <c r="AH3" s="126" t="s">
        <v>288</v>
      </c>
      <c r="AI3" s="122" t="s">
        <v>294</v>
      </c>
      <c r="AJ3" s="122" t="s">
        <v>270</v>
      </c>
      <c r="AK3" s="128" t="s">
        <v>560</v>
      </c>
      <c r="AL3" s="128" t="s">
        <v>561</v>
      </c>
      <c r="AM3" s="122"/>
      <c r="AN3" s="122"/>
      <c r="AO3" s="122" t="s">
        <v>276</v>
      </c>
      <c r="AP3" s="122" t="s">
        <v>281</v>
      </c>
      <c r="AQ3" s="126" t="s">
        <v>288</v>
      </c>
      <c r="AR3" s="122" t="s">
        <v>294</v>
      </c>
      <c r="AS3" s="122" t="s">
        <v>270</v>
      </c>
      <c r="AT3" s="128" t="s">
        <v>560</v>
      </c>
      <c r="AU3" s="128" t="s">
        <v>561</v>
      </c>
    </row>
    <row r="4" ht="15.5" customHeight="1" spans="1:47">
      <c r="A4" s="121" t="s">
        <v>562</v>
      </c>
      <c r="B4" s="129" t="s">
        <v>563</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562</v>
      </c>
      <c r="V4" s="129" t="s">
        <v>563</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565</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565</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567</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567</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569</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569</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570</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570</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422</v>
      </c>
      <c r="B9" s="129" t="s">
        <v>563</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422</v>
      </c>
      <c r="V9" s="129" t="s">
        <v>563</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565</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565</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567</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567</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569</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569</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570</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570</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431</v>
      </c>
      <c r="B14" s="129" t="s">
        <v>563</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431</v>
      </c>
      <c r="V14" s="129" t="s">
        <v>563</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565</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565</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567</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567</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569</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569</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570</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570</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595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555</v>
      </c>
      <c r="B22" s="121" t="s">
        <v>596</v>
      </c>
      <c r="C22" s="121" t="s">
        <v>557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559</v>
      </c>
      <c r="D23" s="122" t="s">
        <v>276</v>
      </c>
      <c r="E23" s="122" t="s">
        <v>281</v>
      </c>
      <c r="F23" s="126" t="s">
        <v>288</v>
      </c>
      <c r="G23" s="122" t="s">
        <v>294</v>
      </c>
      <c r="H23" s="122" t="s">
        <v>270</v>
      </c>
      <c r="I23" s="122" t="s">
        <v>560</v>
      </c>
      <c r="J23" s="122" t="s">
        <v>561</v>
      </c>
      <c r="K23" s="122"/>
      <c r="L23" s="122"/>
      <c r="M23" s="122" t="s">
        <v>276</v>
      </c>
      <c r="N23" s="122" t="s">
        <v>281</v>
      </c>
      <c r="O23" s="122" t="s">
        <v>288</v>
      </c>
      <c r="P23" s="122" t="s">
        <v>294</v>
      </c>
      <c r="Q23" s="122" t="s">
        <v>270</v>
      </c>
      <c r="R23" s="122" t="s">
        <v>560</v>
      </c>
      <c r="S23" s="122" t="s">
        <v>561</v>
      </c>
      <c r="T23" s="122"/>
      <c r="U23" s="122"/>
      <c r="V23" s="124" t="s">
        <v>594</v>
      </c>
      <c r="W23" s="122" t="s">
        <v>276</v>
      </c>
      <c r="X23" s="122" t="s">
        <v>281</v>
      </c>
      <c r="Y23" s="126" t="s">
        <v>288</v>
      </c>
      <c r="Z23" s="122" t="s">
        <v>294</v>
      </c>
      <c r="AA23" s="122" t="s">
        <v>270</v>
      </c>
      <c r="AB23" s="128" t="s">
        <v>560</v>
      </c>
      <c r="AC23" s="128" t="s">
        <v>561</v>
      </c>
      <c r="AD23" s="122"/>
      <c r="AE23" s="122"/>
      <c r="AF23" s="122" t="s">
        <v>276</v>
      </c>
      <c r="AG23" s="122" t="s">
        <v>281</v>
      </c>
      <c r="AH23" s="126" t="s">
        <v>288</v>
      </c>
      <c r="AI23" s="122" t="s">
        <v>294</v>
      </c>
      <c r="AJ23" s="122" t="s">
        <v>270</v>
      </c>
      <c r="AK23" s="128" t="s">
        <v>560</v>
      </c>
      <c r="AL23" s="128" t="s">
        <v>561</v>
      </c>
      <c r="AM23" s="122"/>
      <c r="AN23" s="122"/>
      <c r="AO23" s="122" t="s">
        <v>276</v>
      </c>
      <c r="AP23" s="122" t="s">
        <v>281</v>
      </c>
      <c r="AQ23" s="126" t="s">
        <v>288</v>
      </c>
      <c r="AR23" s="122" t="s">
        <v>294</v>
      </c>
      <c r="AS23" s="122" t="s">
        <v>270</v>
      </c>
      <c r="AT23" s="128" t="s">
        <v>560</v>
      </c>
      <c r="AU23" s="128" t="s">
        <v>561</v>
      </c>
    </row>
    <row r="24" ht="15.5" customHeight="1" spans="1:47">
      <c r="A24" s="121" t="s">
        <v>562</v>
      </c>
      <c r="B24" s="129" t="s">
        <v>563</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562</v>
      </c>
      <c r="V24" s="129" t="s">
        <v>563</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565</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565</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567</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567</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569</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569</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570</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570</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422</v>
      </c>
      <c r="B29" s="129" t="s">
        <v>563</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422</v>
      </c>
      <c r="V29" s="129" t="s">
        <v>563</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565</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565</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567</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567</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569</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569</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570</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570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431</v>
      </c>
      <c r="B34" s="129" t="s">
        <v>563</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431</v>
      </c>
      <c r="V34" s="129" t="s">
        <v>563</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565</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565</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567</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567</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569</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569</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570</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570</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597</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555</v>
      </c>
      <c r="B42" s="121" t="s">
        <v>596</v>
      </c>
      <c r="C42" s="121" t="s">
        <v>557</v>
      </c>
      <c r="D42" s="121"/>
      <c r="E42" s="121"/>
      <c r="F42" s="121"/>
      <c r="G42" s="121"/>
      <c r="H42" s="121"/>
      <c r="I42" s="121"/>
      <c r="J42" s="121"/>
      <c r="K42" s="122"/>
      <c r="L42" s="122"/>
      <c r="M42" s="122"/>
      <c r="N42" s="122"/>
      <c r="O42" s="122"/>
      <c r="P42" s="122"/>
      <c r="Q42" s="122"/>
      <c r="R42" s="122"/>
      <c r="S42" s="122"/>
      <c r="T42" s="122"/>
    </row>
    <row r="43" ht="30" spans="1:47">
      <c r="A43" s="121"/>
      <c r="B43" s="121"/>
      <c r="C43" s="125" t="s">
        <v>559</v>
      </c>
      <c r="D43" s="122" t="s">
        <v>276</v>
      </c>
      <c r="E43" s="122" t="s">
        <v>281</v>
      </c>
      <c r="F43" s="126" t="s">
        <v>288</v>
      </c>
      <c r="G43" s="122" t="s">
        <v>294</v>
      </c>
      <c r="H43" s="122" t="s">
        <v>270</v>
      </c>
      <c r="I43" s="122" t="s">
        <v>560</v>
      </c>
      <c r="J43" s="122" t="s">
        <v>561</v>
      </c>
      <c r="K43" s="122"/>
      <c r="L43" s="122"/>
      <c r="M43" s="122" t="s">
        <v>276</v>
      </c>
      <c r="N43" s="122" t="s">
        <v>281</v>
      </c>
      <c r="O43" s="122" t="s">
        <v>288</v>
      </c>
      <c r="P43" s="122" t="s">
        <v>294</v>
      </c>
      <c r="Q43" s="122" t="s">
        <v>270</v>
      </c>
      <c r="R43" s="122" t="s">
        <v>560</v>
      </c>
      <c r="S43" s="122" t="s">
        <v>561</v>
      </c>
      <c r="T43" s="122"/>
      <c r="U43" s="122"/>
      <c r="V43" s="124" t="s">
        <v>594</v>
      </c>
      <c r="W43" s="122" t="s">
        <v>276</v>
      </c>
      <c r="X43" s="122" t="s">
        <v>281</v>
      </c>
      <c r="Y43" s="126" t="s">
        <v>288</v>
      </c>
      <c r="Z43" s="122" t="s">
        <v>294</v>
      </c>
      <c r="AA43" s="122" t="s">
        <v>270</v>
      </c>
      <c r="AB43" s="128" t="s">
        <v>560</v>
      </c>
      <c r="AC43" s="128" t="s">
        <v>561</v>
      </c>
      <c r="AD43" s="122"/>
      <c r="AE43" s="122"/>
      <c r="AF43" s="122" t="s">
        <v>276</v>
      </c>
      <c r="AG43" s="122" t="s">
        <v>281</v>
      </c>
      <c r="AH43" s="126" t="s">
        <v>288</v>
      </c>
      <c r="AI43" s="122" t="s">
        <v>294</v>
      </c>
      <c r="AJ43" s="122" t="s">
        <v>270</v>
      </c>
      <c r="AK43" s="128" t="s">
        <v>560</v>
      </c>
      <c r="AL43" s="128" t="s">
        <v>561</v>
      </c>
      <c r="AO43" s="122" t="s">
        <v>276</v>
      </c>
      <c r="AP43" s="122" t="s">
        <v>281</v>
      </c>
      <c r="AQ43" s="126" t="s">
        <v>288</v>
      </c>
      <c r="AR43" s="122" t="s">
        <v>294</v>
      </c>
      <c r="AS43" s="122" t="s">
        <v>270</v>
      </c>
      <c r="AT43" s="128" t="s">
        <v>560</v>
      </c>
      <c r="AU43" s="128" t="s">
        <v>561</v>
      </c>
    </row>
    <row r="44" ht="15.5" customHeight="1" spans="1:47">
      <c r="A44" s="121" t="s">
        <v>562</v>
      </c>
      <c r="B44" s="129" t="s">
        <v>563</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562</v>
      </c>
      <c r="V44" s="129" t="s">
        <v>563</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565</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565</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567</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567</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569</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569</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570</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570</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422</v>
      </c>
      <c r="B49" s="129" t="s">
        <v>563</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422</v>
      </c>
      <c r="V49" s="129" t="s">
        <v>563</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565</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565</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567</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567</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569</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569</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570</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570</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431</v>
      </c>
      <c r="B54" s="129" t="s">
        <v>563</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431</v>
      </c>
      <c r="V54" s="129" t="s">
        <v>563</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565</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565</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567</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567</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569</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569</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570</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570</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573</v>
      </c>
      <c r="B60" s="122"/>
      <c r="C60" s="125"/>
      <c r="D60" s="122"/>
      <c r="E60" s="122"/>
      <c r="F60" s="122"/>
      <c r="G60" s="122"/>
      <c r="H60" s="122"/>
      <c r="I60" s="122"/>
      <c r="J60" s="122"/>
      <c r="K60" s="122"/>
      <c r="L60" s="122"/>
      <c r="M60" s="122"/>
      <c r="N60" s="122"/>
      <c r="O60" s="122"/>
      <c r="P60" s="122"/>
      <c r="Q60" s="122"/>
      <c r="R60" s="122"/>
      <c r="S60" s="122"/>
      <c r="T60" s="122"/>
    </row>
    <row r="61" ht="15.5" spans="1:47">
      <c r="A61" s="122" t="s">
        <v>598</v>
      </c>
      <c r="B61" s="122"/>
      <c r="C61" s="125"/>
      <c r="D61" s="122"/>
      <c r="E61" s="122"/>
      <c r="F61" s="122"/>
      <c r="G61" s="122"/>
      <c r="H61" s="122"/>
      <c r="I61" s="122"/>
      <c r="J61" s="122"/>
      <c r="K61" s="122"/>
      <c r="L61" s="122"/>
      <c r="M61" s="122"/>
      <c r="N61" s="122"/>
      <c r="O61" s="122"/>
      <c r="P61" s="122"/>
      <c r="Q61" s="122"/>
      <c r="R61" s="122"/>
      <c r="S61" s="122"/>
      <c r="T61" s="122"/>
    </row>
    <row r="62" ht="15.5" spans="1:47">
      <c r="A62" s="122" t="s">
        <v>599</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276</v>
      </c>
      <c r="X72" s="122" t="s">
        <v>281</v>
      </c>
      <c r="Y72" s="126" t="s">
        <v>288</v>
      </c>
      <c r="Z72" s="122" t="s">
        <v>294</v>
      </c>
      <c r="AA72" s="122" t="s">
        <v>270</v>
      </c>
      <c r="AB72" s="128" t="s">
        <v>560</v>
      </c>
      <c r="AC72" s="128" t="s">
        <v>561</v>
      </c>
      <c r="AD72" s="122"/>
      <c r="AE72" s="122"/>
      <c r="AF72" s="122" t="s">
        <v>276</v>
      </c>
      <c r="AG72" s="122" t="s">
        <v>281</v>
      </c>
      <c r="AH72" s="126" t="s">
        <v>288</v>
      </c>
      <c r="AI72" s="122" t="s">
        <v>294</v>
      </c>
      <c r="AJ72" s="122" t="s">
        <v>270</v>
      </c>
      <c r="AK72" s="128" t="s">
        <v>560</v>
      </c>
      <c r="AL72" s="128" t="s">
        <v>561</v>
      </c>
      <c r="AM72" s="122"/>
      <c r="AN72" s="122"/>
      <c r="AO72" s="122" t="s">
        <v>276</v>
      </c>
      <c r="AP72" s="122" t="s">
        <v>281</v>
      </c>
      <c r="AQ72" s="126" t="s">
        <v>288</v>
      </c>
      <c r="AR72" s="122" t="s">
        <v>294</v>
      </c>
      <c r="AS72" s="122" t="s">
        <v>270</v>
      </c>
      <c r="AT72" s="128" t="s">
        <v>560</v>
      </c>
      <c r="AU72" s="128" t="s">
        <v>561</v>
      </c>
    </row>
    <row r="73" spans="21:47">
      <c r="U73" s="121" t="s">
        <v>562</v>
      </c>
      <c r="V73" s="136" t="s">
        <v>210</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564</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566</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568</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422</v>
      </c>
      <c r="V77" s="136" t="s">
        <v>210</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564</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566</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568</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600</v>
      </c>
      <c r="V81" s="136" t="s">
        <v>210</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564</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566</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568</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601</v>
      </c>
      <c r="V85" s="136" t="s">
        <v>210</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564</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566</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568</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276</v>
      </c>
      <c r="X92" s="122" t="s">
        <v>281</v>
      </c>
      <c r="Y92" s="126" t="s">
        <v>288</v>
      </c>
      <c r="Z92" s="122" t="s">
        <v>294</v>
      </c>
      <c r="AA92" s="122" t="s">
        <v>270</v>
      </c>
      <c r="AB92" s="128" t="s">
        <v>560</v>
      </c>
      <c r="AC92" s="128" t="s">
        <v>561</v>
      </c>
      <c r="AD92" s="122"/>
      <c r="AE92" s="122"/>
      <c r="AF92" s="122" t="s">
        <v>276</v>
      </c>
      <c r="AG92" s="122" t="s">
        <v>281</v>
      </c>
      <c r="AH92" s="126" t="s">
        <v>288</v>
      </c>
      <c r="AI92" s="122" t="s">
        <v>294</v>
      </c>
      <c r="AJ92" s="122" t="s">
        <v>270</v>
      </c>
      <c r="AK92" s="128" t="s">
        <v>560</v>
      </c>
      <c r="AL92" s="128" t="s">
        <v>561</v>
      </c>
      <c r="AM92" s="122"/>
      <c r="AN92" s="122"/>
      <c r="AO92" s="122" t="s">
        <v>276</v>
      </c>
      <c r="AP92" s="122" t="s">
        <v>281</v>
      </c>
      <c r="AQ92" s="126" t="s">
        <v>288</v>
      </c>
      <c r="AR92" s="122" t="s">
        <v>294</v>
      </c>
      <c r="AS92" s="122" t="s">
        <v>270</v>
      </c>
      <c r="AT92" s="128" t="s">
        <v>560</v>
      </c>
      <c r="AU92" s="128" t="s">
        <v>561</v>
      </c>
    </row>
    <row r="93" spans="21:47">
      <c r="U93" s="121" t="s">
        <v>562</v>
      </c>
      <c r="V93" s="136" t="s">
        <v>210</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564</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566</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568</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422</v>
      </c>
      <c r="V97" s="136" t="s">
        <v>210</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564</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566</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568</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600</v>
      </c>
      <c r="V101" s="136" t="s">
        <v>210</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564</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566</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568</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601</v>
      </c>
      <c r="V105" s="136" t="s">
        <v>210</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564</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566</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568</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276</v>
      </c>
      <c r="X112" s="122" t="s">
        <v>281</v>
      </c>
      <c r="Y112" s="126" t="s">
        <v>288</v>
      </c>
      <c r="Z112" s="122" t="s">
        <v>294</v>
      </c>
      <c r="AA112" s="122" t="s">
        <v>270</v>
      </c>
      <c r="AB112" s="128" t="s">
        <v>560</v>
      </c>
      <c r="AC112" s="128" t="s">
        <v>561</v>
      </c>
      <c r="AD112" s="122"/>
      <c r="AE112" s="122"/>
      <c r="AF112" s="122" t="s">
        <v>276</v>
      </c>
      <c r="AG112" s="122" t="s">
        <v>281</v>
      </c>
      <c r="AH112" s="126" t="s">
        <v>288</v>
      </c>
      <c r="AI112" s="122" t="s">
        <v>294</v>
      </c>
      <c r="AJ112" s="122" t="s">
        <v>270</v>
      </c>
      <c r="AK112" s="128" t="s">
        <v>560</v>
      </c>
      <c r="AL112" s="128" t="s">
        <v>561</v>
      </c>
      <c r="AM112" s="122"/>
      <c r="AN112" s="122"/>
      <c r="AO112" s="122" t="s">
        <v>276</v>
      </c>
      <c r="AP112" s="122" t="s">
        <v>281</v>
      </c>
      <c r="AQ112" s="126" t="s">
        <v>288</v>
      </c>
      <c r="AR112" s="122" t="s">
        <v>294</v>
      </c>
      <c r="AS112" s="122" t="s">
        <v>270</v>
      </c>
      <c r="AT112" s="128" t="s">
        <v>560</v>
      </c>
      <c r="AU112" s="128" t="s">
        <v>561</v>
      </c>
    </row>
    <row r="113" spans="21:47">
      <c r="U113" s="121" t="s">
        <v>562</v>
      </c>
      <c r="V113" s="136" t="s">
        <v>210</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564</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566</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568</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422</v>
      </c>
      <c r="V117" s="136" t="s">
        <v>210</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564</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566</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568</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600</v>
      </c>
      <c r="V121" s="136" t="s">
        <v>210</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564</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566</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568</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601</v>
      </c>
      <c r="V125" s="136" t="s">
        <v>210</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564</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566</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568</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80</v>
      </c>
      <c r="V161" s="138" t="s">
        <v>195</v>
      </c>
      <c r="W161" s="138">
        <v>2019</v>
      </c>
      <c r="X161" s="139"/>
      <c r="Y161" s="138" t="s">
        <v>80</v>
      </c>
      <c r="Z161" s="138" t="s">
        <v>195</v>
      </c>
      <c r="AA161" s="138">
        <v>2019</v>
      </c>
      <c r="AB161" s="139"/>
      <c r="AC161" s="138" t="s">
        <v>80</v>
      </c>
      <c r="AD161" s="138" t="s">
        <v>195</v>
      </c>
      <c r="AE161" s="138">
        <v>2019</v>
      </c>
      <c r="AF161" s="139"/>
      <c r="AG161" s="138" t="s">
        <v>80</v>
      </c>
      <c r="AH161" s="138" t="s">
        <v>195</v>
      </c>
      <c r="AI161" s="138">
        <v>2019</v>
      </c>
      <c r="AJ161" s="139"/>
      <c r="AK161" s="138" t="s">
        <v>80</v>
      </c>
      <c r="AL161" s="138" t="s">
        <v>195</v>
      </c>
      <c r="AM161" s="138">
        <v>2019</v>
      </c>
      <c r="AN161" s="139"/>
      <c r="AO161" s="140" t="s">
        <v>80</v>
      </c>
      <c r="AP161" s="140" t="s">
        <v>195</v>
      </c>
      <c r="AQ161" s="140">
        <v>2019</v>
      </c>
      <c r="AR161" s="141"/>
      <c r="AS161" s="140" t="s">
        <v>80</v>
      </c>
      <c r="AT161" s="140" t="s">
        <v>195</v>
      </c>
      <c r="AU161" s="140">
        <v>2019</v>
      </c>
    </row>
    <row r="162" ht="15.5" spans="21:47">
      <c r="U162" s="139" t="s">
        <v>388</v>
      </c>
      <c r="V162" s="142" t="s">
        <v>547</v>
      </c>
      <c r="W162" s="139">
        <f t="shared" ref="W162:W165" si="291">AF85</f>
        <v>0.0105665038459379</v>
      </c>
      <c r="X162" s="139"/>
      <c r="Y162" s="139" t="s">
        <v>389</v>
      </c>
      <c r="Z162" s="142" t="s">
        <v>547</v>
      </c>
      <c r="AA162" s="139">
        <f t="shared" ref="AA162:AA165" si="292">AG85</f>
        <v>0.010151126318791</v>
      </c>
      <c r="AB162" s="139"/>
      <c r="AC162" s="139" t="s">
        <v>391</v>
      </c>
      <c r="AD162" s="142" t="s">
        <v>547</v>
      </c>
      <c r="AE162" s="139">
        <f t="shared" ref="AE162:AE165" si="293">AH85</f>
        <v>0.0104454409566517</v>
      </c>
      <c r="AF162" s="139"/>
      <c r="AG162" s="139" t="s">
        <v>392</v>
      </c>
      <c r="AH162" s="142" t="s">
        <v>547</v>
      </c>
      <c r="AI162" s="139">
        <f t="shared" ref="AI162:AI165" si="294">AI85</f>
        <v>0.0114922921405105</v>
      </c>
      <c r="AJ162" s="139"/>
      <c r="AK162" s="139" t="s">
        <v>387</v>
      </c>
      <c r="AL162" s="142" t="s">
        <v>547</v>
      </c>
      <c r="AM162" s="139">
        <f>AJ85</f>
        <v>0.0116539250419541</v>
      </c>
      <c r="AN162" s="139"/>
      <c r="AO162" s="141" t="s">
        <v>386</v>
      </c>
      <c r="AP162" s="142" t="s">
        <v>547</v>
      </c>
      <c r="AQ162" s="141">
        <f>AT85</f>
        <v>0.00744895911713068</v>
      </c>
      <c r="AR162" s="141"/>
      <c r="AS162" s="141" t="s">
        <v>384</v>
      </c>
      <c r="AT162" s="142" t="s">
        <v>547</v>
      </c>
      <c r="AU162" s="141">
        <f>AU85</f>
        <v>0.00875456903667019</v>
      </c>
    </row>
    <row r="163" ht="15.5" spans="21:47">
      <c r="U163" s="139"/>
      <c r="V163" s="142" t="s">
        <v>548</v>
      </c>
      <c r="W163" s="139">
        <f t="shared" si="291"/>
        <v>0.0361911178485206</v>
      </c>
      <c r="X163" s="139"/>
      <c r="Y163" s="139"/>
      <c r="Z163" s="142" t="s">
        <v>548</v>
      </c>
      <c r="AA163" s="139">
        <f t="shared" si="292"/>
        <v>0.0345822640433419</v>
      </c>
      <c r="AB163" s="139"/>
      <c r="AC163" s="139"/>
      <c r="AD163" s="142" t="s">
        <v>548</v>
      </c>
      <c r="AE163" s="139">
        <f t="shared" si="293"/>
        <v>0.0356053811659193</v>
      </c>
      <c r="AF163" s="139"/>
      <c r="AG163" s="139"/>
      <c r="AH163" s="142" t="s">
        <v>548</v>
      </c>
      <c r="AI163" s="139">
        <f t="shared" si="294"/>
        <v>0.0365744250694971</v>
      </c>
      <c r="AJ163" s="139"/>
      <c r="AK163" s="139"/>
      <c r="AL163" s="142" t="s">
        <v>548</v>
      </c>
      <c r="AM163" s="139">
        <f t="shared" ref="AM163:AM165" si="295">AA86</f>
        <v>0.0374914537883026</v>
      </c>
      <c r="AN163" s="139"/>
      <c r="AO163" s="141"/>
      <c r="AP163" s="142" t="s">
        <v>548</v>
      </c>
      <c r="AQ163" s="141">
        <f>AT86</f>
        <v>0.0253912716328066</v>
      </c>
      <c r="AR163" s="141"/>
      <c r="AS163" s="141"/>
      <c r="AT163" s="142" t="s">
        <v>548</v>
      </c>
      <c r="AU163" s="141">
        <f>AU86</f>
        <v>0.0298417049876194</v>
      </c>
    </row>
    <row r="164" ht="15.5" spans="21:47">
      <c r="U164" s="139"/>
      <c r="V164" s="142" t="s">
        <v>549</v>
      </c>
      <c r="W164" s="139">
        <f t="shared" si="291"/>
        <v>0.0787154005951378</v>
      </c>
      <c r="X164" s="139"/>
      <c r="Y164" s="139"/>
      <c r="Z164" s="142" t="s">
        <v>549</v>
      </c>
      <c r="AA164" s="139">
        <f t="shared" si="292"/>
        <v>0.0766238950670089</v>
      </c>
      <c r="AB164" s="139"/>
      <c r="AC164" s="139"/>
      <c r="AD164" s="142" t="s">
        <v>549</v>
      </c>
      <c r="AE164" s="139">
        <f t="shared" si="293"/>
        <v>0.0794379671150972</v>
      </c>
      <c r="AF164" s="139"/>
      <c r="AG164" s="139"/>
      <c r="AH164" s="142" t="s">
        <v>549</v>
      </c>
      <c r="AI164" s="139">
        <f t="shared" si="294"/>
        <v>0.0831501137225171</v>
      </c>
      <c r="AJ164" s="139"/>
      <c r="AK164" s="139"/>
      <c r="AL164" s="142" t="s">
        <v>549</v>
      </c>
      <c r="AM164" s="139">
        <f t="shared" si="295"/>
        <v>0.0871278513269936</v>
      </c>
      <c r="AN164" s="139"/>
      <c r="AO164" s="141"/>
      <c r="AP164" s="142" t="s">
        <v>549</v>
      </c>
      <c r="AQ164" s="141">
        <f>AT87</f>
        <v>0.0566496112365187</v>
      </c>
      <c r="AR164" s="141"/>
      <c r="AS164" s="141"/>
      <c r="AT164" s="142" t="s">
        <v>549</v>
      </c>
      <c r="AU164" s="141">
        <f>AU87</f>
        <v>0.066578823251975</v>
      </c>
    </row>
    <row r="165" ht="15.5" spans="21:47">
      <c r="U165" s="143"/>
      <c r="V165" s="142" t="s">
        <v>550</v>
      </c>
      <c r="W165" s="139">
        <f t="shared" si="291"/>
        <v>0.0132277805850317</v>
      </c>
      <c r="X165" s="143"/>
      <c r="Y165" s="143"/>
      <c r="Z165" s="142" t="s">
        <v>550</v>
      </c>
      <c r="AA165" s="139">
        <f t="shared" si="292"/>
        <v>0.0129398346164813</v>
      </c>
      <c r="AB165" s="143"/>
      <c r="AC165" s="143"/>
      <c r="AD165" s="142" t="s">
        <v>550</v>
      </c>
      <c r="AE165" s="139">
        <f t="shared" si="293"/>
        <v>0.0134050822122571</v>
      </c>
      <c r="AF165" s="143"/>
      <c r="AG165" s="143"/>
      <c r="AH165" s="142" t="s">
        <v>550</v>
      </c>
      <c r="AI165" s="139">
        <f t="shared" si="294"/>
        <v>0.0146449330300733</v>
      </c>
      <c r="AJ165" s="143"/>
      <c r="AK165" s="143"/>
      <c r="AL165" s="142" t="s">
        <v>550</v>
      </c>
      <c r="AM165" s="139">
        <f t="shared" si="295"/>
        <v>0.0149356703337684</v>
      </c>
      <c r="AN165" s="143"/>
      <c r="AO165" s="144"/>
      <c r="AP165" s="142" t="s">
        <v>550</v>
      </c>
      <c r="AQ165" s="141">
        <f>AT88</f>
        <v>0.00955956859794332</v>
      </c>
      <c r="AR165" s="144"/>
      <c r="AS165" s="144"/>
      <c r="AT165" s="142" t="s">
        <v>550</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80</v>
      </c>
      <c r="V173" s="138" t="s">
        <v>195</v>
      </c>
      <c r="W173" s="138">
        <v>2019</v>
      </c>
      <c r="X173" s="139"/>
      <c r="Y173" s="138" t="s">
        <v>80</v>
      </c>
      <c r="Z173" s="138" t="s">
        <v>195</v>
      </c>
      <c r="AA173" s="138">
        <v>2019</v>
      </c>
      <c r="AB173" s="139"/>
      <c r="AC173" s="138" t="s">
        <v>80</v>
      </c>
      <c r="AD173" s="138" t="s">
        <v>195</v>
      </c>
      <c r="AE173" s="138">
        <v>2019</v>
      </c>
      <c r="AF173" s="139"/>
      <c r="AG173" s="138" t="s">
        <v>80</v>
      </c>
      <c r="AH173" s="138" t="s">
        <v>195</v>
      </c>
      <c r="AI173" s="138">
        <v>2019</v>
      </c>
      <c r="AJ173" s="139"/>
      <c r="AK173" s="138" t="s">
        <v>80</v>
      </c>
      <c r="AL173" s="138" t="s">
        <v>195</v>
      </c>
      <c r="AM173" s="138">
        <v>2019</v>
      </c>
      <c r="AN173" s="139"/>
      <c r="AO173" s="140" t="s">
        <v>80</v>
      </c>
      <c r="AP173" s="140" t="s">
        <v>195</v>
      </c>
      <c r="AQ173" s="140">
        <v>2019</v>
      </c>
      <c r="AR173" s="141"/>
      <c r="AS173" s="140" t="s">
        <v>80</v>
      </c>
      <c r="AT173" s="140" t="s">
        <v>195</v>
      </c>
      <c r="AU173" s="140">
        <v>2019</v>
      </c>
    </row>
    <row r="174" ht="15.5" spans="21:47">
      <c r="U174" s="139" t="s">
        <v>396</v>
      </c>
      <c r="V174" s="142" t="s">
        <v>547</v>
      </c>
      <c r="W174" s="139">
        <f t="shared" ref="W174:W177" si="296">W105</f>
        <v>0.0115995732974005</v>
      </c>
      <c r="X174" s="139"/>
      <c r="Y174" s="139" t="s">
        <v>397</v>
      </c>
      <c r="Z174" s="142" t="s">
        <v>547</v>
      </c>
      <c r="AA174" s="139">
        <f t="shared" ref="AA174:AA177" si="297">X105</f>
        <v>0.0111320216709438</v>
      </c>
      <c r="AB174" s="139"/>
      <c r="AC174" s="139" t="s">
        <v>398</v>
      </c>
      <c r="AD174" s="142" t="s">
        <v>547</v>
      </c>
      <c r="AE174" s="139">
        <f t="shared" ref="AE174:AE177" si="298">Y105</f>
        <v>0.0115156950672646</v>
      </c>
      <c r="AF174" s="139"/>
      <c r="AG174" s="139" t="s">
        <v>407</v>
      </c>
      <c r="AH174" s="142" t="s">
        <v>547</v>
      </c>
      <c r="AI174" s="139">
        <f t="shared" ref="AI174:AI177" si="299">Z105</f>
        <v>0.0118145059388425</v>
      </c>
      <c r="AJ174" s="139"/>
      <c r="AK174" s="139" t="s">
        <v>395</v>
      </c>
      <c r="AL174" s="142" t="s">
        <v>547</v>
      </c>
      <c r="AM174" s="139">
        <f t="shared" ref="AM174:AM177" si="300">AA105</f>
        <v>0.0120206352166076</v>
      </c>
      <c r="AN174" s="139"/>
      <c r="AO174" s="141" t="s">
        <v>394</v>
      </c>
      <c r="AP174" s="142" t="s">
        <v>547</v>
      </c>
      <c r="AQ174" s="141">
        <f>AT105</f>
        <v>0.00821218961625282</v>
      </c>
      <c r="AR174" s="141"/>
      <c r="AS174" s="141" t="s">
        <v>393</v>
      </c>
      <c r="AT174" s="142" t="s">
        <v>547</v>
      </c>
      <c r="AU174" s="141">
        <f>AU105</f>
        <v>0.00965157410682702</v>
      </c>
    </row>
    <row r="175" ht="15.5" spans="21:47">
      <c r="U175" s="139"/>
      <c r="V175" s="142" t="s">
        <v>548</v>
      </c>
      <c r="W175" s="139">
        <f t="shared" si="296"/>
        <v>0.0322272752793218</v>
      </c>
      <c r="X175" s="139"/>
      <c r="Y175" s="139"/>
      <c r="Z175" s="142" t="s">
        <v>548</v>
      </c>
      <c r="AA175" s="139">
        <f t="shared" si="297"/>
        <v>0.0310350727117194</v>
      </c>
      <c r="AB175" s="139"/>
      <c r="AC175" s="139"/>
      <c r="AD175" s="142" t="s">
        <v>548</v>
      </c>
      <c r="AE175" s="139">
        <f t="shared" si="298"/>
        <v>0.0321195814648729</v>
      </c>
      <c r="AF175" s="139"/>
      <c r="AG175" s="139"/>
      <c r="AH175" s="142" t="s">
        <v>548</v>
      </c>
      <c r="AI175" s="139">
        <f t="shared" si="299"/>
        <v>0.0332512004043467</v>
      </c>
      <c r="AJ175" s="139"/>
      <c r="AK175" s="139"/>
      <c r="AL175" s="142" t="s">
        <v>548</v>
      </c>
      <c r="AM175" s="139">
        <f t="shared" si="300"/>
        <v>0.033880290881969</v>
      </c>
      <c r="AN175" s="139"/>
      <c r="AO175" s="141"/>
      <c r="AP175" s="142" t="s">
        <v>548</v>
      </c>
      <c r="AQ175" s="141">
        <f>AT106</f>
        <v>0.0229054426887384</v>
      </c>
      <c r="AR175" s="141"/>
      <c r="AS175" s="141"/>
      <c r="AT175" s="142" t="s">
        <v>548</v>
      </c>
      <c r="AU175" s="141">
        <f>AU106</f>
        <v>0.0269201745077231</v>
      </c>
    </row>
    <row r="176" ht="15.5" spans="21:47">
      <c r="U176" s="139"/>
      <c r="V176" s="142" t="s">
        <v>549</v>
      </c>
      <c r="W176" s="139">
        <f t="shared" si="296"/>
        <v>0.0930380102184044</v>
      </c>
      <c r="X176" s="139"/>
      <c r="Y176" s="139"/>
      <c r="Z176" s="142" t="s">
        <v>549</v>
      </c>
      <c r="AA176" s="139">
        <f t="shared" si="297"/>
        <v>0.0901682349586541</v>
      </c>
      <c r="AB176" s="139"/>
      <c r="AC176" s="139"/>
      <c r="AD176" s="142" t="s">
        <v>549</v>
      </c>
      <c r="AE176" s="139">
        <f t="shared" si="298"/>
        <v>0.0934708520179372</v>
      </c>
      <c r="AF176" s="139"/>
      <c r="AG176" s="139"/>
      <c r="AH176" s="142" t="s">
        <v>549</v>
      </c>
      <c r="AI176" s="139">
        <f t="shared" si="299"/>
        <v>0.0946044983573414</v>
      </c>
      <c r="AJ176" s="139"/>
      <c r="AK176" s="139"/>
      <c r="AL176" s="142" t="s">
        <v>549</v>
      </c>
      <c r="AM176" s="139">
        <f t="shared" si="300"/>
        <v>0.0987631300888806</v>
      </c>
      <c r="AN176" s="139"/>
      <c r="AO176" s="141"/>
      <c r="AP176" s="142" t="s">
        <v>549</v>
      </c>
      <c r="AQ176" s="141">
        <f>AT107</f>
        <v>0.0666568848758465</v>
      </c>
      <c r="AR176" s="141"/>
      <c r="AS176" s="141"/>
      <c r="AT176" s="142" t="s">
        <v>549</v>
      </c>
      <c r="AU176" s="141">
        <f>AU107</f>
        <v>0.0783401131941988</v>
      </c>
    </row>
    <row r="177" ht="15.5" spans="21:47">
      <c r="U177" s="143"/>
      <c r="V177" s="142" t="s">
        <v>550</v>
      </c>
      <c r="W177" s="139">
        <f t="shared" si="296"/>
        <v>0.0134355173769019</v>
      </c>
      <c r="X177" s="143"/>
      <c r="Y177" s="143"/>
      <c r="Z177" s="142" t="s">
        <v>550</v>
      </c>
      <c r="AA177" s="139">
        <f t="shared" si="297"/>
        <v>0.0132534930139721</v>
      </c>
      <c r="AB177" s="143"/>
      <c r="AC177" s="143"/>
      <c r="AD177" s="142" t="s">
        <v>550</v>
      </c>
      <c r="AE177" s="139">
        <f t="shared" si="298"/>
        <v>0.0138116591928251</v>
      </c>
      <c r="AF177" s="143"/>
      <c r="AG177" s="143"/>
      <c r="AH177" s="142" t="s">
        <v>550</v>
      </c>
      <c r="AI177" s="139">
        <f t="shared" si="299"/>
        <v>0.0141837250442254</v>
      </c>
      <c r="AJ177" s="143"/>
      <c r="AK177" s="143"/>
      <c r="AL177" s="142" t="s">
        <v>550</v>
      </c>
      <c r="AM177" s="139">
        <f t="shared" si="300"/>
        <v>0.0143824973584437</v>
      </c>
      <c r="AN177" s="143"/>
      <c r="AO177" s="144"/>
      <c r="AP177" s="142" t="s">
        <v>550</v>
      </c>
      <c r="AQ177" s="141">
        <f>AT108</f>
        <v>0.00984951091045899</v>
      </c>
      <c r="AR177" s="144"/>
      <c r="AS177" s="144"/>
      <c r="AT177" s="142" t="s">
        <v>550</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80</v>
      </c>
      <c r="V184" s="138" t="s">
        <v>195</v>
      </c>
      <c r="W184" s="138">
        <v>2019</v>
      </c>
      <c r="X184" s="139"/>
      <c r="Y184" s="138" t="s">
        <v>80</v>
      </c>
      <c r="Z184" s="138" t="s">
        <v>195</v>
      </c>
      <c r="AA184" s="138">
        <v>2019</v>
      </c>
      <c r="AB184" s="139"/>
      <c r="AC184" s="138" t="s">
        <v>80</v>
      </c>
      <c r="AD184" s="138" t="s">
        <v>195</v>
      </c>
      <c r="AE184" s="138">
        <v>2019</v>
      </c>
      <c r="AF184" s="139"/>
      <c r="AG184" s="138" t="s">
        <v>80</v>
      </c>
      <c r="AH184" s="138" t="s">
        <v>195</v>
      </c>
      <c r="AI184" s="138">
        <v>2019</v>
      </c>
      <c r="AJ184" s="139"/>
      <c r="AK184" s="138" t="s">
        <v>80</v>
      </c>
      <c r="AL184" s="138" t="s">
        <v>195</v>
      </c>
      <c r="AM184" s="138">
        <v>2019</v>
      </c>
      <c r="AN184" s="139"/>
      <c r="AO184" s="140" t="s">
        <v>80</v>
      </c>
      <c r="AP184" s="140" t="s">
        <v>195</v>
      </c>
      <c r="AQ184" s="140">
        <v>2019</v>
      </c>
      <c r="AR184" s="141"/>
      <c r="AS184" s="140" t="s">
        <v>80</v>
      </c>
      <c r="AT184" s="140" t="s">
        <v>195</v>
      </c>
      <c r="AU184" s="140">
        <v>2019</v>
      </c>
    </row>
    <row r="185" ht="15.5" spans="21:47">
      <c r="U185" s="139" t="s">
        <v>411</v>
      </c>
      <c r="V185" s="142" t="s">
        <v>547</v>
      </c>
      <c r="W185" s="139">
        <f t="shared" ref="W185:W188" si="301">W125</f>
        <v>0.00791645612262086</v>
      </c>
      <c r="X185" s="139"/>
      <c r="Y185" s="139" t="s">
        <v>412</v>
      </c>
      <c r="Z185" s="142" t="s">
        <v>547</v>
      </c>
      <c r="AA185" s="139">
        <f t="shared" ref="AA185:AA188" si="302">X125</f>
        <v>0.00768748217850014</v>
      </c>
      <c r="AB185" s="139"/>
      <c r="AC185" s="139" t="s">
        <v>413</v>
      </c>
      <c r="AD185" s="142" t="s">
        <v>547</v>
      </c>
      <c r="AE185" s="139">
        <f t="shared" ref="AE185:AE188" si="303">Y125</f>
        <v>0.00798206278026906</v>
      </c>
      <c r="AF185" s="139"/>
      <c r="AG185" s="139" t="s">
        <v>414</v>
      </c>
      <c r="AH185" s="142" t="s">
        <v>547</v>
      </c>
      <c r="AI185" s="139">
        <f t="shared" ref="AI185:AI188" si="304">Z125</f>
        <v>0.00797321202931515</v>
      </c>
      <c r="AJ185" s="139"/>
      <c r="AK185" s="139" t="s">
        <v>410</v>
      </c>
      <c r="AL185" s="142" t="s">
        <v>547</v>
      </c>
      <c r="AM185" s="139">
        <f t="shared" ref="AM185:AM188" si="305">AA125</f>
        <v>0.00805519298899869</v>
      </c>
      <c r="AN185" s="139"/>
      <c r="AO185" s="141" t="s">
        <v>409</v>
      </c>
      <c r="AP185" s="142" t="s">
        <v>547</v>
      </c>
      <c r="AQ185" s="141">
        <f>AT125</f>
        <v>0.00569224981188864</v>
      </c>
      <c r="AR185" s="141"/>
      <c r="AS185" s="141" t="s">
        <v>408</v>
      </c>
      <c r="AT185" s="142" t="s">
        <v>547</v>
      </c>
      <c r="AU185" s="141">
        <f>AU125</f>
        <v>0.00668995401485673</v>
      </c>
    </row>
    <row r="186" ht="15.5" spans="21:47">
      <c r="U186" s="139"/>
      <c r="V186" s="142" t="s">
        <v>548</v>
      </c>
      <c r="W186" s="139">
        <f t="shared" si="301"/>
        <v>0.0255740834315872</v>
      </c>
      <c r="X186" s="139"/>
      <c r="Y186" s="139"/>
      <c r="Z186" s="142" t="s">
        <v>548</v>
      </c>
      <c r="AA186" s="139">
        <f t="shared" si="302"/>
        <v>0.0248303393213573</v>
      </c>
      <c r="AB186" s="139"/>
      <c r="AC186" s="139"/>
      <c r="AD186" s="142" t="s">
        <v>548</v>
      </c>
      <c r="AE186" s="139">
        <f t="shared" si="303"/>
        <v>0.0257518684603886</v>
      </c>
      <c r="AF186" s="139"/>
      <c r="AG186" s="139"/>
      <c r="AH186" s="142" t="s">
        <v>548</v>
      </c>
      <c r="AI186" s="139">
        <f t="shared" si="304"/>
        <v>0.0256633813495072</v>
      </c>
      <c r="AJ186" s="139"/>
      <c r="AK186" s="139"/>
      <c r="AL186" s="142" t="s">
        <v>548</v>
      </c>
      <c r="AM186" s="139">
        <f t="shared" si="305"/>
        <v>0.0260053452669526</v>
      </c>
      <c r="AN186" s="139"/>
      <c r="AO186" s="141"/>
      <c r="AP186" s="142" t="s">
        <v>548</v>
      </c>
      <c r="AQ186" s="141">
        <f>AT126</f>
        <v>0.0183644344118385</v>
      </c>
      <c r="AR186" s="141"/>
      <c r="AS186" s="141"/>
      <c r="AT186" s="142" t="s">
        <v>548</v>
      </c>
      <c r="AU186" s="141">
        <f>AU126</f>
        <v>0.0215832449003655</v>
      </c>
    </row>
    <row r="187" ht="15.5" spans="21:47">
      <c r="U187" s="139"/>
      <c r="V187" s="142" t="s">
        <v>549</v>
      </c>
      <c r="W187" s="139">
        <f t="shared" si="301"/>
        <v>0.0604008758632306</v>
      </c>
      <c r="X187" s="139"/>
      <c r="Y187" s="139"/>
      <c r="Z187" s="142" t="s">
        <v>549</v>
      </c>
      <c r="AA187" s="139">
        <f t="shared" si="302"/>
        <v>0.0597262617621899</v>
      </c>
      <c r="AB187" s="139"/>
      <c r="AC187" s="139"/>
      <c r="AD187" s="142" t="s">
        <v>549</v>
      </c>
      <c r="AE187" s="139">
        <f t="shared" si="303"/>
        <v>0.0622242152466368</v>
      </c>
      <c r="AF187" s="139"/>
      <c r="AG187" s="139"/>
      <c r="AH187" s="142" t="s">
        <v>549</v>
      </c>
      <c r="AI187" s="139">
        <f t="shared" si="304"/>
        <v>0.0635392974475613</v>
      </c>
      <c r="AJ187" s="139"/>
      <c r="AK187" s="139"/>
      <c r="AL187" s="142" t="s">
        <v>549</v>
      </c>
      <c r="AM187" s="139">
        <f t="shared" si="305"/>
        <v>0.0635589533221456</v>
      </c>
      <c r="AN187" s="139"/>
      <c r="AO187" s="141"/>
      <c r="AP187" s="142" t="s">
        <v>549</v>
      </c>
      <c r="AQ187" s="141">
        <f>AT127</f>
        <v>0.0443739653875094</v>
      </c>
      <c r="AR187" s="141"/>
      <c r="AS187" s="141"/>
      <c r="AT187" s="142" t="s">
        <v>549</v>
      </c>
      <c r="AU187" s="141">
        <f>AU127</f>
        <v>0.052151574106827</v>
      </c>
    </row>
    <row r="188" ht="15.5" spans="21:47">
      <c r="U188" s="143"/>
      <c r="V188" s="142" t="s">
        <v>550</v>
      </c>
      <c r="W188" s="139">
        <f t="shared" si="301"/>
        <v>0.013115490427264</v>
      </c>
      <c r="X188" s="143"/>
      <c r="Y188" s="143"/>
      <c r="Z188" s="142" t="s">
        <v>550</v>
      </c>
      <c r="AA188" s="139">
        <f t="shared" si="302"/>
        <v>0.0129683490162532</v>
      </c>
      <c r="AB188" s="143"/>
      <c r="AC188" s="143"/>
      <c r="AD188" s="142" t="s">
        <v>550</v>
      </c>
      <c r="AE188" s="139">
        <f t="shared" si="303"/>
        <v>0.0135067264573991</v>
      </c>
      <c r="AF188" s="143"/>
      <c r="AG188" s="143"/>
      <c r="AH188" s="142" t="s">
        <v>550</v>
      </c>
      <c r="AI188" s="139">
        <f t="shared" si="304"/>
        <v>0.013747788728835</v>
      </c>
      <c r="AJ188" s="143"/>
      <c r="AK188" s="143"/>
      <c r="AL188" s="142" t="s">
        <v>550</v>
      </c>
      <c r="AM188" s="139">
        <f t="shared" si="305"/>
        <v>0.0137858163962956</v>
      </c>
      <c r="AN188" s="143"/>
      <c r="AO188" s="144"/>
      <c r="AP188" s="142" t="s">
        <v>550</v>
      </c>
      <c r="AQ188" s="141">
        <f>AT128</f>
        <v>0.00963205417607224</v>
      </c>
      <c r="AR188" s="144"/>
      <c r="AS188" s="144"/>
      <c r="AT188" s="142" t="s">
        <v>550</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602</v>
      </c>
      <c r="K3" s="100" t="s">
        <v>603</v>
      </c>
    </row>
    <row r="4" ht="21" customHeight="1" spans="2:11">
      <c r="B4" s="101"/>
      <c r="C4" s="102" t="s">
        <v>261</v>
      </c>
      <c r="D4" s="102" t="s">
        <v>266</v>
      </c>
      <c r="E4" s="102" t="s">
        <v>270</v>
      </c>
      <c r="F4" s="102" t="s">
        <v>604</v>
      </c>
      <c r="G4" s="102" t="s">
        <v>281</v>
      </c>
      <c r="H4" s="102" t="s">
        <v>605</v>
      </c>
      <c r="I4" s="102" t="s">
        <v>606</v>
      </c>
      <c r="K4" s="103" t="s">
        <v>607</v>
      </c>
    </row>
    <row r="5" ht="15.5" spans="2:11">
      <c r="B5" s="104" t="s">
        <v>343</v>
      </c>
      <c r="C5" s="104">
        <v>0.095</v>
      </c>
      <c r="D5" s="104">
        <v>0.106</v>
      </c>
      <c r="E5" s="104">
        <v>0.102</v>
      </c>
      <c r="F5" s="104">
        <v>0.141</v>
      </c>
      <c r="G5" s="104">
        <v>0.136</v>
      </c>
      <c r="H5" s="104">
        <v>0.118</v>
      </c>
      <c r="I5" s="104">
        <v>0.1</v>
      </c>
      <c r="K5" s="100"/>
    </row>
    <row r="6" ht="15.5" spans="2:11">
      <c r="B6" s="104" t="s">
        <v>344</v>
      </c>
      <c r="C6" s="104">
        <v>0</v>
      </c>
      <c r="D6" s="104">
        <v>0</v>
      </c>
      <c r="E6" s="104">
        <v>0.672</v>
      </c>
      <c r="F6" s="104">
        <v>0.351</v>
      </c>
      <c r="G6" s="104">
        <v>0.508</v>
      </c>
      <c r="H6" s="104">
        <v>0.531</v>
      </c>
      <c r="I6" s="104">
        <v>0.6</v>
      </c>
      <c r="K6" s="100"/>
    </row>
    <row r="7" ht="15.5" spans="2:11">
      <c r="B7" s="104" t="s">
        <v>346</v>
      </c>
      <c r="C7" s="104">
        <v>0</v>
      </c>
      <c r="D7" s="104">
        <v>0</v>
      </c>
      <c r="E7" s="104">
        <v>0.127</v>
      </c>
      <c r="F7" s="104">
        <v>0.352</v>
      </c>
      <c r="G7" s="104">
        <v>0.204</v>
      </c>
      <c r="H7" s="104">
        <v>0.178</v>
      </c>
      <c r="I7" s="104">
        <v>0.075</v>
      </c>
      <c r="K7" s="100"/>
    </row>
    <row r="8" ht="15.5" spans="2:11">
      <c r="B8" s="104" t="s">
        <v>355</v>
      </c>
      <c r="C8" s="104">
        <v>0</v>
      </c>
      <c r="D8" s="104">
        <v>1.396</v>
      </c>
      <c r="E8" s="104">
        <v>0</v>
      </c>
      <c r="F8" s="104">
        <v>0.328</v>
      </c>
      <c r="G8" s="104">
        <v>0.285</v>
      </c>
      <c r="H8" s="104">
        <v>0.166</v>
      </c>
      <c r="I8" s="104">
        <v>0.07</v>
      </c>
      <c r="K8" s="100"/>
    </row>
    <row r="9" ht="15.5" spans="2:11">
      <c r="B9" s="104" t="s">
        <v>357</v>
      </c>
      <c r="C9" s="104">
        <v>3.528</v>
      </c>
      <c r="D9" s="104">
        <v>3.369</v>
      </c>
      <c r="E9" s="104">
        <v>2.92</v>
      </c>
      <c r="F9" s="104">
        <v>3.11</v>
      </c>
      <c r="G9" s="104">
        <v>3.07</v>
      </c>
      <c r="H9" s="104">
        <v>3.017</v>
      </c>
      <c r="I9" s="104">
        <v>2.921</v>
      </c>
      <c r="K9" s="100"/>
    </row>
    <row r="10" ht="15.5" spans="2:11">
      <c r="B10" s="104" t="s">
        <v>360</v>
      </c>
      <c r="C10" s="104">
        <v>0.946</v>
      </c>
      <c r="D10" s="104">
        <v>0.863</v>
      </c>
      <c r="E10" s="104">
        <v>0.564</v>
      </c>
      <c r="F10" s="104">
        <v>0.677</v>
      </c>
      <c r="G10" s="104">
        <v>0.661</v>
      </c>
      <c r="H10" s="104">
        <v>0.605</v>
      </c>
      <c r="I10" s="104">
        <v>0.549</v>
      </c>
      <c r="K10" s="100"/>
    </row>
    <row r="11" ht="15.5" spans="2:11">
      <c r="B11" s="104" t="s">
        <v>608</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609</v>
      </c>
      <c r="K15" s="100" t="s">
        <v>603</v>
      </c>
    </row>
    <row r="16" ht="15.5" spans="2:11">
      <c r="B16" s="101"/>
      <c r="C16" s="102" t="s">
        <v>261</v>
      </c>
      <c r="D16" s="102" t="s">
        <v>266</v>
      </c>
      <c r="E16" s="102" t="s">
        <v>270</v>
      </c>
      <c r="F16" s="102" t="s">
        <v>604</v>
      </c>
      <c r="G16" s="102" t="s">
        <v>281</v>
      </c>
      <c r="H16" s="102" t="s">
        <v>605</v>
      </c>
      <c r="I16" s="102" t="s">
        <v>606</v>
      </c>
      <c r="K16" s="100" t="s">
        <v>610</v>
      </c>
    </row>
    <row r="17" spans="2:11">
      <c r="B17" s="105" t="s">
        <v>611</v>
      </c>
      <c r="C17" s="105" t="s">
        <v>612</v>
      </c>
      <c r="D17" s="105" t="s">
        <v>613</v>
      </c>
      <c r="E17" s="105" t="s">
        <v>614</v>
      </c>
      <c r="F17" s="101" t="s">
        <v>614</v>
      </c>
      <c r="G17" s="101"/>
      <c r="H17" s="101"/>
      <c r="I17" s="101"/>
    </row>
    <row r="18" spans="2:11">
      <c r="B18" s="105" t="s">
        <v>615</v>
      </c>
      <c r="C18" s="105" t="s">
        <v>616</v>
      </c>
      <c r="D18" s="105" t="s">
        <v>617</v>
      </c>
      <c r="E18" s="105" t="s">
        <v>618</v>
      </c>
      <c r="F18" s="106" t="s">
        <v>618</v>
      </c>
      <c r="G18" s="107"/>
      <c r="H18" s="107"/>
      <c r="I18" s="108"/>
    </row>
    <row r="24" ht="15.5" spans="2:11">
      <c r="B24" s="99" t="s">
        <v>619</v>
      </c>
    </row>
    <row r="25" ht="15.5" spans="2:11">
      <c r="B25" s="101"/>
      <c r="C25" s="102" t="s">
        <v>261</v>
      </c>
      <c r="D25" s="102" t="s">
        <v>266</v>
      </c>
      <c r="E25" s="102" t="s">
        <v>270</v>
      </c>
      <c r="F25" s="102" t="s">
        <v>604</v>
      </c>
      <c r="G25" s="102" t="s">
        <v>281</v>
      </c>
      <c r="H25" s="102" t="s">
        <v>605</v>
      </c>
      <c r="I25" s="102" t="s">
        <v>606</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620</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621</v>
      </c>
    </row>
    <row r="35" ht="72" customHeight="1" spans="2:13">
      <c r="B35" s="113" t="s">
        <v>622</v>
      </c>
      <c r="C35" s="113"/>
      <c r="D35" s="113"/>
      <c r="E35" s="113"/>
      <c r="F35" s="113"/>
      <c r="G35" s="113"/>
      <c r="H35" s="113"/>
      <c r="I35" s="113"/>
      <c r="J35" s="113"/>
      <c r="K35" s="113"/>
      <c r="M35" s="114"/>
    </row>
    <row r="40" ht="15.5" spans="2:13">
      <c r="B40" s="99" t="s">
        <v>623</v>
      </c>
      <c r="K40" s="100" t="s">
        <v>603</v>
      </c>
    </row>
    <row r="41" ht="84" spans="2:13">
      <c r="B41" s="115"/>
      <c r="C41" s="116"/>
      <c r="D41" s="116"/>
      <c r="E41" s="116"/>
      <c r="F41" s="116"/>
      <c r="G41" s="116"/>
      <c r="H41" s="116"/>
      <c r="I41" s="116"/>
      <c r="K41" s="103" t="s">
        <v>607</v>
      </c>
    </row>
    <row r="42" ht="15.5" spans="2:13">
      <c r="B42" s="117" t="s">
        <v>343</v>
      </c>
      <c r="C42" s="118">
        <v>0.6</v>
      </c>
      <c r="D42" s="119"/>
      <c r="E42" s="119"/>
      <c r="F42" s="119"/>
      <c r="G42" s="119"/>
      <c r="H42" s="119"/>
      <c r="I42" s="119"/>
    </row>
    <row r="43" ht="15.5" spans="2:13">
      <c r="B43" s="117" t="s">
        <v>344</v>
      </c>
      <c r="C43" s="120">
        <v>0.56</v>
      </c>
    </row>
    <row r="44" ht="15.5" spans="2:13">
      <c r="B44" s="117" t="s">
        <v>346</v>
      </c>
      <c r="C44" s="120">
        <v>0.65</v>
      </c>
    </row>
    <row r="45" ht="15.5" spans="2:13">
      <c r="B45" s="117" t="s">
        <v>355</v>
      </c>
      <c r="C45" s="120">
        <v>0.61</v>
      </c>
    </row>
    <row r="46" ht="15.5" spans="2:13">
      <c r="B46" s="117" t="s">
        <v>357</v>
      </c>
      <c r="C46" s="120">
        <v>0.52</v>
      </c>
    </row>
    <row r="47" ht="15.5" spans="2:13">
      <c r="B47" s="117" t="s">
        <v>360</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624</v>
      </c>
      <c r="C3" s="38"/>
      <c r="D3" s="38"/>
      <c r="E3" s="38"/>
      <c r="F3" s="39"/>
    </row>
    <row r="5" ht="15" customHeight="1" spans="2:6">
      <c r="B5" s="44" t="s">
        <v>625</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626</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627</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628</v>
      </c>
    </row>
    <row r="41" spans="2:6">
      <c r="B41" s="82">
        <v>2015</v>
      </c>
      <c r="C41" s="83"/>
      <c r="D41" s="84"/>
    </row>
    <row r="42" spans="2:6">
      <c r="B42" s="46" t="s">
        <v>12</v>
      </c>
      <c r="C42" s="47" t="s">
        <v>89</v>
      </c>
      <c r="D42" s="48">
        <v>10.8549032364654</v>
      </c>
    </row>
    <row r="43" spans="2:6">
      <c r="B43" s="46" t="s">
        <v>14</v>
      </c>
      <c r="C43" s="47" t="s">
        <v>15</v>
      </c>
      <c r="D43" s="68">
        <v>79811.8928746926</v>
      </c>
    </row>
    <row r="44" ht="15" customHeight="1"/>
    <row r="45" spans="2:6">
      <c r="B45" s="49" t="s">
        <v>629</v>
      </c>
      <c r="C45" s="49" t="s">
        <v>630</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631</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92</v>
      </c>
      <c r="C65" s="49" t="s">
        <v>632</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633</v>
      </c>
      <c r="C80" s="47" t="s">
        <v>26</v>
      </c>
      <c r="D80" s="74">
        <v>0.56</v>
      </c>
    </row>
    <row r="82" ht="15" customHeight="1" spans="2:6">
      <c r="B82" s="49" t="s">
        <v>27</v>
      </c>
      <c r="C82" s="49" t="s">
        <v>634</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635</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113</v>
      </c>
      <c r="C112" s="38"/>
      <c r="D112" s="38"/>
      <c r="E112" s="38"/>
      <c r="F112" s="39"/>
    </row>
    <row r="114" spans="2:6">
      <c r="B114" s="44" t="s">
        <v>117</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120</v>
      </c>
      <c r="C119" s="49" t="s">
        <v>111</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120</v>
      </c>
      <c r="C133" s="49" t="s">
        <v>112</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121</v>
      </c>
    </row>
    <row r="150" spans="2:6">
      <c r="B150" s="45">
        <v>2015</v>
      </c>
      <c r="C150" s="45"/>
      <c r="D150" s="45"/>
    </row>
    <row r="151" spans="2:6">
      <c r="B151" s="46" t="s">
        <v>12</v>
      </c>
      <c r="C151" s="47" t="s">
        <v>89</v>
      </c>
      <c r="D151" s="48">
        <v>15.6724885159612</v>
      </c>
    </row>
    <row r="152" spans="2:6">
      <c r="B152" s="46" t="s">
        <v>14</v>
      </c>
      <c r="C152" s="47" t="s">
        <v>15</v>
      </c>
      <c r="D152" s="68">
        <v>97834.8667075987</v>
      </c>
    </row>
    <row r="153" ht="15" customHeight="1"/>
    <row r="154" spans="2:6">
      <c r="B154" s="49" t="s">
        <v>122</v>
      </c>
      <c r="C154" s="49" t="s">
        <v>115</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123</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124</v>
      </c>
      <c r="C174" s="49" t="s">
        <v>116</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125</v>
      </c>
      <c r="C189" s="47" t="s">
        <v>26</v>
      </c>
      <c r="D189" s="74">
        <v>0.74</v>
      </c>
    </row>
    <row r="192" ht="15" customHeight="1" spans="2:6">
      <c r="B192" s="49" t="s">
        <v>27</v>
      </c>
      <c r="C192" s="49" t="s">
        <v>118</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119</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163"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636</v>
      </c>
      <c r="C3" s="38"/>
      <c r="D3" s="38"/>
      <c r="E3" s="38"/>
      <c r="F3" s="39"/>
    </row>
    <row r="4" spans="2:20">
      <c r="K4" s="43" t="s">
        <v>637</v>
      </c>
      <c r="L4" s="43"/>
      <c r="M4" s="43"/>
      <c r="N4" s="43"/>
      <c r="O4" s="43"/>
      <c r="P4" s="43"/>
      <c r="Q4" s="43"/>
      <c r="R4" s="43"/>
      <c r="S4" s="43"/>
      <c r="T4" s="43"/>
    </row>
    <row r="5" spans="2:20">
      <c r="B5" s="44" t="s">
        <v>638</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120</v>
      </c>
      <c r="C10" s="49" t="s">
        <v>639</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640</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641</v>
      </c>
    </row>
    <row r="41" spans="2:8">
      <c r="B41" s="82">
        <v>2020</v>
      </c>
      <c r="C41" s="83"/>
      <c r="D41" s="84"/>
    </row>
    <row r="42" spans="2:8">
      <c r="B42" s="46" t="s">
        <v>12</v>
      </c>
      <c r="C42" s="47" t="s">
        <v>89</v>
      </c>
      <c r="D42" s="48">
        <v>23.5955365197922</v>
      </c>
    </row>
    <row r="43" spans="2:8">
      <c r="B43" s="46" t="s">
        <v>14</v>
      </c>
      <c r="C43" s="47" t="s">
        <v>15</v>
      </c>
      <c r="D43" s="68">
        <v>135102.073358062</v>
      </c>
    </row>
    <row r="44" ht="15" customHeight="1"/>
    <row r="45" spans="2:8">
      <c r="B45" s="49" t="s">
        <v>122</v>
      </c>
      <c r="C45" s="49" t="s">
        <v>642</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643</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644</v>
      </c>
      <c r="C65" s="49" t="s">
        <v>645</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646</v>
      </c>
      <c r="C80" s="47" t="s">
        <v>26</v>
      </c>
      <c r="D80" s="74">
        <v>1.3</v>
      </c>
    </row>
    <row r="82" spans="2:6">
      <c r="B82" s="49" t="s">
        <v>27</v>
      </c>
      <c r="C82" s="49" t="s">
        <v>647</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648</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649</v>
      </c>
      <c r="C112" s="38"/>
      <c r="D112" s="38"/>
      <c r="E112" s="38"/>
      <c r="F112" s="39"/>
    </row>
    <row r="114" spans="2:6">
      <c r="B114" s="44" t="s">
        <v>650</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651</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652</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653</v>
      </c>
    </row>
    <row r="149" spans="2:6">
      <c r="B149" s="45">
        <v>2020</v>
      </c>
      <c r="C149" s="45"/>
      <c r="D149" s="45"/>
    </row>
    <row r="150" spans="2:6">
      <c r="B150" s="46" t="s">
        <v>12</v>
      </c>
      <c r="C150" s="47" t="s">
        <v>89</v>
      </c>
      <c r="D150" s="48">
        <v>32.5906910301368</v>
      </c>
    </row>
    <row r="151" spans="2:6">
      <c r="B151" s="46" t="s">
        <v>14</v>
      </c>
      <c r="C151" s="47" t="s">
        <v>15</v>
      </c>
      <c r="D151" s="68">
        <v>184053.947327963</v>
      </c>
    </row>
    <row r="153" spans="2:6">
      <c r="B153" s="49" t="s">
        <v>122</v>
      </c>
      <c r="C153" s="49" t="s">
        <v>654</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655</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92</v>
      </c>
      <c r="C172" s="49" t="s">
        <v>656</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657</v>
      </c>
      <c r="C186" s="47" t="s">
        <v>26</v>
      </c>
      <c r="D186" s="74">
        <v>1.65</v>
      </c>
    </row>
    <row r="188" spans="2:6">
      <c r="B188" s="49" t="s">
        <v>27</v>
      </c>
      <c r="C188" s="49" t="s">
        <v>658</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659</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660</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661</v>
      </c>
    </row>
    <row r="227" spans="2:5">
      <c r="B227" t="s">
        <v>662</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3"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663</v>
      </c>
      <c r="K5" s="43" t="s">
        <v>664</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665</v>
      </c>
      <c r="D7" s="68">
        <v>3736.18882346745</v>
      </c>
      <c r="K7" s="43"/>
      <c r="L7" s="43"/>
      <c r="M7" s="43"/>
      <c r="N7" s="43"/>
      <c r="O7" s="43"/>
      <c r="P7" s="43"/>
      <c r="Q7" s="43"/>
      <c r="R7" s="43"/>
      <c r="S7" s="43"/>
      <c r="T7" s="43"/>
    </row>
    <row r="8" spans="2:20">
      <c r="B8" s="46" t="s">
        <v>14</v>
      </c>
      <c r="C8" s="47" t="s">
        <v>666</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141</v>
      </c>
      <c r="C10" s="49" t="s">
        <v>667</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141</v>
      </c>
      <c r="C24" s="56" t="s">
        <v>668</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665</v>
      </c>
      <c r="D40" s="68">
        <v>2146.17368873603</v>
      </c>
    </row>
    <row r="41" ht="15" customHeight="1"/>
    <row r="42" spans="2:5">
      <c r="B42" s="49" t="s">
        <v>669</v>
      </c>
      <c r="C42" s="56" t="s">
        <v>670</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671</v>
      </c>
      <c r="C53" s="56" t="s">
        <v>672</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3"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673</v>
      </c>
    </row>
    <row r="6" ht="15" customHeight="1" spans="2:12">
      <c r="B6" s="45">
        <v>2015</v>
      </c>
      <c r="C6" s="45"/>
      <c r="D6" s="45"/>
    </row>
    <row r="7" spans="2:12">
      <c r="B7" s="46" t="s">
        <v>12</v>
      </c>
      <c r="C7" s="47" t="s">
        <v>674</v>
      </c>
      <c r="D7" s="68">
        <v>11.1115917749527</v>
      </c>
      <c r="J7" s="75"/>
    </row>
    <row r="8" spans="2:12">
      <c r="B8" s="46" t="s">
        <v>14</v>
      </c>
      <c r="C8" s="47" t="s">
        <v>666</v>
      </c>
      <c r="D8" s="68">
        <v>8.51985777210084</v>
      </c>
      <c r="J8" s="75"/>
    </row>
    <row r="10" spans="2:12">
      <c r="B10" s="49" t="s">
        <v>141</v>
      </c>
      <c r="C10" s="49" t="s">
        <v>675</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676</v>
      </c>
    </row>
    <row r="26" spans="2:12">
      <c r="B26" s="45">
        <v>2015</v>
      </c>
      <c r="C26" s="45"/>
      <c r="D26" s="45"/>
    </row>
    <row r="27" spans="2:12">
      <c r="B27" s="46" t="s">
        <v>12</v>
      </c>
      <c r="C27" s="47" t="s">
        <v>674</v>
      </c>
      <c r="D27" s="68">
        <v>6.93017681650736</v>
      </c>
      <c r="J27" s="75"/>
    </row>
    <row r="28" spans="2:12">
      <c r="B28" s="46" t="s">
        <v>14</v>
      </c>
      <c r="C28" s="47" t="s">
        <v>666</v>
      </c>
      <c r="D28" s="68">
        <v>11.6296058589177</v>
      </c>
      <c r="J28" s="75"/>
    </row>
    <row r="29" ht="15" customHeight="1"/>
    <row r="30" spans="2:12">
      <c r="B30" s="49" t="s">
        <v>141</v>
      </c>
      <c r="C30" s="49" t="s">
        <v>677</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678</v>
      </c>
    </row>
    <row r="46" spans="2:12">
      <c r="B46" s="45">
        <v>2015</v>
      </c>
      <c r="C46" s="45"/>
      <c r="D46" s="45"/>
    </row>
    <row r="47" spans="2:12">
      <c r="B47" s="46" t="s">
        <v>12</v>
      </c>
      <c r="C47" s="47" t="s">
        <v>674</v>
      </c>
      <c r="D47" s="68">
        <v>2.00511882895014</v>
      </c>
      <c r="J47" s="75"/>
    </row>
    <row r="48" spans="2:12">
      <c r="B48" s="46" t="s">
        <v>14</v>
      </c>
      <c r="C48" s="47" t="s">
        <v>666</v>
      </c>
      <c r="D48" s="68">
        <v>27.1827732017803</v>
      </c>
      <c r="J48" s="75"/>
    </row>
    <row r="49" ht="15" customHeight="1"/>
    <row r="50" spans="2:12">
      <c r="B50" s="49" t="s">
        <v>141</v>
      </c>
      <c r="C50" s="49" t="s">
        <v>679</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680</v>
      </c>
    </row>
    <row r="66" spans="2:12">
      <c r="B66" s="45">
        <v>2015</v>
      </c>
      <c r="C66" s="45"/>
      <c r="D66" s="45"/>
    </row>
    <row r="67" spans="2:12">
      <c r="B67" s="46" t="s">
        <v>12</v>
      </c>
      <c r="C67" s="47" t="s">
        <v>681</v>
      </c>
      <c r="D67" s="68">
        <v>21.7610759732877</v>
      </c>
      <c r="J67" s="75"/>
    </row>
    <row r="68" ht="15" customHeight="1" spans="2:12">
      <c r="B68" s="46" t="s">
        <v>14</v>
      </c>
      <c r="C68" s="47" t="s">
        <v>666</v>
      </c>
      <c r="D68" s="68">
        <v>8.8007828121539</v>
      </c>
      <c r="J68" s="75"/>
    </row>
    <row r="70" spans="2:12">
      <c r="B70" s="49" t="s">
        <v>141</v>
      </c>
      <c r="C70" s="49" t="s">
        <v>682</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683</v>
      </c>
    </row>
    <row r="86" spans="2:12">
      <c r="B86" s="45">
        <v>2015</v>
      </c>
      <c r="C86" s="45"/>
      <c r="D86" s="45"/>
    </row>
    <row r="87" spans="2:12">
      <c r="B87" s="46" t="s">
        <v>12</v>
      </c>
      <c r="C87" s="47" t="s">
        <v>681</v>
      </c>
      <c r="D87" s="68">
        <v>6.89988772048606</v>
      </c>
      <c r="J87" s="75"/>
    </row>
    <row r="88" spans="2:12">
      <c r="B88" s="46" t="s">
        <v>14</v>
      </c>
      <c r="C88" s="47" t="s">
        <v>666</v>
      </c>
      <c r="D88" s="68">
        <v>11.5840303764976</v>
      </c>
      <c r="J88" s="75"/>
    </row>
    <row r="90" spans="2:12">
      <c r="B90" s="49" t="s">
        <v>141</v>
      </c>
      <c r="C90" s="49" t="s">
        <v>684</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685</v>
      </c>
    </row>
    <row r="105" spans="2:12">
      <c r="B105" s="49" t="s">
        <v>686</v>
      </c>
      <c r="C105" s="49" t="s">
        <v>687</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688</v>
      </c>
    </row>
    <row r="120" spans="2:6">
      <c r="B120" s="49" t="s">
        <v>689</v>
      </c>
      <c r="C120" s="49" t="s">
        <v>690</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3"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691</v>
      </c>
      <c r="C3" s="38"/>
      <c r="D3" s="38"/>
      <c r="E3" s="38"/>
      <c r="F3" s="39"/>
    </row>
    <row r="4" ht="15" customHeight="1"/>
    <row r="5" ht="15" customHeight="1" spans="2:6">
      <c r="B5" s="44" t="s">
        <v>692</v>
      </c>
    </row>
    <row r="6" spans="2:6">
      <c r="B6" s="45">
        <v>2015</v>
      </c>
      <c r="C6" s="45"/>
      <c r="D6" s="45"/>
    </row>
    <row r="7" spans="2:6">
      <c r="B7" s="46" t="s">
        <v>12</v>
      </c>
      <c r="C7" s="47" t="s">
        <v>674</v>
      </c>
      <c r="D7" s="68">
        <v>29.6118330510177</v>
      </c>
    </row>
    <row r="8" spans="2:6">
      <c r="B8" s="46" t="s">
        <v>14</v>
      </c>
      <c r="C8" s="47" t="s">
        <v>693</v>
      </c>
      <c r="D8" s="48">
        <v>6.45525065406382</v>
      </c>
    </row>
    <row r="10" spans="2:6">
      <c r="B10" s="49" t="s">
        <v>141</v>
      </c>
      <c r="C10" s="49" t="s">
        <v>694</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695</v>
      </c>
    </row>
    <row r="25" spans="2:6">
      <c r="B25" s="45">
        <v>2015</v>
      </c>
      <c r="C25" s="45"/>
      <c r="D25" s="45"/>
    </row>
    <row r="26" spans="2:6">
      <c r="B26" s="46" t="s">
        <v>12</v>
      </c>
      <c r="C26" s="47" t="s">
        <v>674</v>
      </c>
      <c r="D26" s="68">
        <v>31.0823526515104</v>
      </c>
    </row>
    <row r="27" spans="2:6">
      <c r="B27" s="46" t="s">
        <v>14</v>
      </c>
      <c r="C27" s="47" t="s">
        <v>693</v>
      </c>
      <c r="D27" s="48">
        <v>7.51561465406382</v>
      </c>
    </row>
    <row r="29" spans="2:6">
      <c r="B29" s="49" t="s">
        <v>141</v>
      </c>
      <c r="C29" s="49" t="s">
        <v>696</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697</v>
      </c>
      <c r="C44" s="47" t="s">
        <v>674</v>
      </c>
      <c r="D44" s="48">
        <v>11.0548632360586</v>
      </c>
    </row>
    <row r="46" spans="2:6">
      <c r="B46" s="49" t="s">
        <v>27</v>
      </c>
      <c r="C46" s="56" t="s">
        <v>698</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689</v>
      </c>
      <c r="C56" s="56" t="s">
        <v>699</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700</v>
      </c>
      <c r="C69" s="38"/>
      <c r="D69" s="38"/>
      <c r="E69" s="38"/>
      <c r="F69" s="39"/>
    </row>
    <row r="71" spans="2:6">
      <c r="B71" s="44" t="s">
        <v>701</v>
      </c>
    </row>
    <row r="72" spans="2:6">
      <c r="B72" s="45">
        <v>2015</v>
      </c>
      <c r="C72" s="45"/>
      <c r="D72" s="45"/>
    </row>
    <row r="73" spans="2:6">
      <c r="B73" s="46" t="s">
        <v>12</v>
      </c>
      <c r="C73" s="47" t="s">
        <v>681</v>
      </c>
      <c r="D73" s="48">
        <v>10.6749229595463</v>
      </c>
    </row>
    <row r="74" spans="2:6">
      <c r="B74" s="46" t="s">
        <v>14</v>
      </c>
      <c r="C74" s="47" t="s">
        <v>693</v>
      </c>
      <c r="D74" s="68">
        <v>7.015484</v>
      </c>
    </row>
    <row r="76" ht="15" customHeight="1" spans="2:6">
      <c r="B76" s="71" t="s">
        <v>141</v>
      </c>
      <c r="C76" s="56" t="s">
        <v>702</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703</v>
      </c>
    </row>
    <row r="91" spans="2:6">
      <c r="B91" s="45">
        <v>2015</v>
      </c>
      <c r="C91" s="45"/>
      <c r="D91" s="45"/>
    </row>
    <row r="92" spans="2:6">
      <c r="B92" s="46" t="s">
        <v>12</v>
      </c>
      <c r="C92" s="47" t="s">
        <v>681</v>
      </c>
      <c r="D92" s="48">
        <v>11.2050381813469</v>
      </c>
    </row>
    <row r="93" spans="2:6">
      <c r="B93" s="46" t="s">
        <v>14</v>
      </c>
      <c r="C93" s="47" t="s">
        <v>693</v>
      </c>
      <c r="D93" s="68">
        <v>10.553001</v>
      </c>
    </row>
    <row r="94" ht="15" customHeight="1"/>
    <row r="95" spans="2:6">
      <c r="B95" s="71" t="s">
        <v>141</v>
      </c>
      <c r="C95" s="56" t="s">
        <v>704</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705</v>
      </c>
      <c r="C110" s="47" t="s">
        <v>681</v>
      </c>
      <c r="D110" s="74">
        <v>3.63868357239443</v>
      </c>
    </row>
    <row r="112" spans="2:6">
      <c r="B112" s="49" t="s">
        <v>27</v>
      </c>
      <c r="C112" s="56" t="s">
        <v>706</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686</v>
      </c>
      <c r="C122" s="56" t="s">
        <v>707</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3"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708</v>
      </c>
      <c r="C3" s="38"/>
      <c r="D3" s="38"/>
      <c r="E3" s="38"/>
      <c r="F3" s="39"/>
    </row>
    <row r="4" spans="2:20">
      <c r="B4" s="40" t="s">
        <v>709</v>
      </c>
      <c r="C4" s="41"/>
      <c r="D4" s="41"/>
      <c r="E4" s="41"/>
      <c r="F4" s="42"/>
      <c r="K4" s="43" t="s">
        <v>710</v>
      </c>
      <c r="L4" s="43"/>
      <c r="M4" s="43"/>
      <c r="N4" s="43"/>
      <c r="O4" s="43"/>
      <c r="P4" s="43"/>
      <c r="Q4" s="43"/>
      <c r="R4" s="43"/>
      <c r="S4" s="43"/>
      <c r="T4" s="43"/>
    </row>
    <row r="5" spans="2:20">
      <c r="B5" s="44" t="s">
        <v>711</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681</v>
      </c>
      <c r="D7" s="48">
        <v>8.98575339925204</v>
      </c>
      <c r="K7" s="43"/>
      <c r="L7" s="43"/>
      <c r="M7" s="43"/>
      <c r="N7" s="43"/>
      <c r="O7" s="43"/>
      <c r="P7" s="43"/>
      <c r="Q7" s="43"/>
      <c r="R7" s="43"/>
      <c r="S7" s="43"/>
      <c r="T7" s="43"/>
    </row>
    <row r="8" spans="2:20">
      <c r="B8" s="46" t="s">
        <v>14</v>
      </c>
      <c r="C8" s="47" t="s">
        <v>693</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141</v>
      </c>
      <c r="C10" s="49" t="s">
        <v>712</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713</v>
      </c>
    </row>
    <row r="25" spans="2:6">
      <c r="B25" s="45">
        <v>2015</v>
      </c>
      <c r="C25" s="45"/>
      <c r="D25" s="45"/>
    </row>
    <row r="26" spans="2:6">
      <c r="B26" s="46" t="s">
        <v>12</v>
      </c>
      <c r="C26" s="47" t="s">
        <v>681</v>
      </c>
      <c r="D26" s="48">
        <v>9.4319846905074</v>
      </c>
    </row>
    <row r="27" spans="2:6">
      <c r="B27" s="46" t="s">
        <v>14</v>
      </c>
      <c r="C27" s="47" t="s">
        <v>693</v>
      </c>
      <c r="D27" s="48">
        <v>24.00125</v>
      </c>
    </row>
    <row r="29" ht="15" customHeight="1" spans="2:6">
      <c r="B29" s="49" t="s">
        <v>714</v>
      </c>
      <c r="C29" s="49" t="s">
        <v>715</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716</v>
      </c>
      <c r="E43" s="55"/>
      <c r="F43" s="55"/>
    </row>
    <row r="44" spans="2:6">
      <c r="B44" s="45">
        <v>2030</v>
      </c>
      <c r="C44" s="45"/>
      <c r="D44" s="45"/>
    </row>
    <row r="45" spans="2:6">
      <c r="B45" s="46" t="s">
        <v>12</v>
      </c>
      <c r="C45" s="47" t="s">
        <v>681</v>
      </c>
      <c r="D45" s="48">
        <v>5.4752275318979</v>
      </c>
    </row>
    <row r="47" ht="15" customHeight="1" spans="2:6">
      <c r="B47" s="49" t="s">
        <v>717</v>
      </c>
      <c r="C47" s="56" t="s">
        <v>718</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719</v>
      </c>
    </row>
    <row r="62" spans="2:10">
      <c r="B62" s="45">
        <v>2030</v>
      </c>
      <c r="C62" s="45"/>
      <c r="D62" s="45"/>
    </row>
    <row r="63" spans="2:10">
      <c r="B63" s="46" t="s">
        <v>12</v>
      </c>
      <c r="C63" s="47" t="s">
        <v>681</v>
      </c>
      <c r="D63" s="48">
        <v>3.06290859459612</v>
      </c>
    </row>
    <row r="65" spans="2:6">
      <c r="B65" s="49" t="s">
        <v>27</v>
      </c>
      <c r="C65" s="56" t="s">
        <v>720</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721</v>
      </c>
      <c r="C75" s="41"/>
      <c r="D75" s="41"/>
      <c r="E75" s="41"/>
      <c r="F75" s="42"/>
    </row>
    <row r="76" spans="2:6">
      <c r="B76" s="44" t="s">
        <v>722</v>
      </c>
    </row>
    <row r="77" spans="2:6">
      <c r="B77" s="45">
        <v>2015</v>
      </c>
      <c r="C77" s="45"/>
      <c r="D77" s="45"/>
    </row>
    <row r="78" spans="2:6">
      <c r="B78" s="46" t="s">
        <v>12</v>
      </c>
      <c r="C78" s="47" t="s">
        <v>681</v>
      </c>
      <c r="D78" s="48">
        <v>4.05687418177868</v>
      </c>
    </row>
    <row r="79" spans="2:6">
      <c r="B79" s="46" t="s">
        <v>14</v>
      </c>
      <c r="C79" s="47" t="s">
        <v>693</v>
      </c>
      <c r="D79" s="48">
        <v>25.175</v>
      </c>
    </row>
    <row r="81" spans="2:6">
      <c r="B81" s="49" t="s">
        <v>141</v>
      </c>
      <c r="C81" s="49" t="s">
        <v>723</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724</v>
      </c>
    </row>
    <row r="96" spans="2:6">
      <c r="B96" s="45">
        <v>2015</v>
      </c>
      <c r="C96" s="45"/>
      <c r="D96" s="45"/>
    </row>
    <row r="97" spans="2:6">
      <c r="B97" s="46" t="s">
        <v>12</v>
      </c>
      <c r="C97" s="47" t="s">
        <v>681</v>
      </c>
      <c r="D97" s="48">
        <v>4.25833800169013</v>
      </c>
    </row>
    <row r="98" spans="2:6">
      <c r="B98" s="46" t="s">
        <v>14</v>
      </c>
      <c r="C98" s="47" t="s">
        <v>693</v>
      </c>
      <c r="D98" s="48">
        <v>32.05</v>
      </c>
    </row>
    <row r="100" spans="2:6">
      <c r="B100" s="49" t="s">
        <v>714</v>
      </c>
      <c r="C100" s="49" t="s">
        <v>725</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726</v>
      </c>
      <c r="E114" s="55"/>
      <c r="F114" s="55"/>
    </row>
    <row r="115" spans="2:6">
      <c r="B115" s="45">
        <v>2030</v>
      </c>
      <c r="C115" s="45"/>
      <c r="D115" s="45"/>
    </row>
    <row r="116" spans="2:6">
      <c r="B116" s="46" t="s">
        <v>12</v>
      </c>
      <c r="C116" s="47" t="s">
        <v>681</v>
      </c>
      <c r="D116" s="48">
        <v>2.51994631751468</v>
      </c>
    </row>
    <row r="117" ht="15" customHeight="1"/>
    <row r="118" spans="2:6">
      <c r="B118" s="49" t="s">
        <v>717</v>
      </c>
      <c r="C118" s="56" t="s">
        <v>727</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728</v>
      </c>
    </row>
    <row r="133" spans="2:5">
      <c r="B133" s="45">
        <v>2030</v>
      </c>
      <c r="C133" s="45"/>
      <c r="D133" s="45"/>
    </row>
    <row r="134" spans="2:5">
      <c r="B134" s="46" t="s">
        <v>12</v>
      </c>
      <c r="C134" s="47" t="s">
        <v>681</v>
      </c>
      <c r="D134" s="48">
        <v>1.38283728102302</v>
      </c>
    </row>
    <row r="136" spans="2:5">
      <c r="B136" s="49" t="s">
        <v>27</v>
      </c>
      <c r="C136" s="56" t="s">
        <v>729</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730</v>
      </c>
      <c r="C146" s="41"/>
      <c r="D146" s="41"/>
      <c r="E146" s="41"/>
      <c r="F146" s="42"/>
    </row>
    <row r="147" spans="2:6">
      <c r="B147" s="44" t="s">
        <v>731</v>
      </c>
    </row>
    <row r="148" spans="2:6">
      <c r="B148" s="45">
        <v>2015</v>
      </c>
      <c r="C148" s="45"/>
      <c r="D148" s="45"/>
    </row>
    <row r="149" spans="2:6">
      <c r="B149" s="46" t="s">
        <v>12</v>
      </c>
      <c r="C149" s="47" t="s">
        <v>681</v>
      </c>
      <c r="D149" s="48">
        <v>3.86183190615419</v>
      </c>
    </row>
    <row r="150" spans="2:6">
      <c r="B150" s="46" t="s">
        <v>14</v>
      </c>
      <c r="C150" s="47" t="s">
        <v>693</v>
      </c>
      <c r="D150" s="48">
        <v>17.0208333333333</v>
      </c>
    </row>
    <row r="152" spans="2:6">
      <c r="B152" s="49" t="s">
        <v>141</v>
      </c>
      <c r="C152" s="49" t="s">
        <v>732</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733</v>
      </c>
    </row>
    <row r="167" spans="2:6">
      <c r="B167" s="45">
        <v>2015</v>
      </c>
      <c r="C167" s="45"/>
      <c r="D167" s="45"/>
    </row>
    <row r="168" spans="2:6">
      <c r="B168" s="46" t="s">
        <v>12</v>
      </c>
      <c r="C168" s="47" t="s">
        <v>681</v>
      </c>
      <c r="D168" s="48">
        <v>4.05360995319449</v>
      </c>
    </row>
    <row r="169" spans="2:6">
      <c r="B169" s="46" t="s">
        <v>14</v>
      </c>
      <c r="C169" s="47" t="s">
        <v>693</v>
      </c>
      <c r="D169" s="48">
        <v>20.9958333333333</v>
      </c>
    </row>
    <row r="171" spans="2:6">
      <c r="B171" s="49" t="s">
        <v>714</v>
      </c>
      <c r="C171" s="49" t="s">
        <v>734</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735</v>
      </c>
    </row>
    <row r="186" spans="2:6">
      <c r="B186" s="45">
        <v>2030</v>
      </c>
      <c r="C186" s="45"/>
      <c r="D186" s="45"/>
    </row>
    <row r="187" spans="2:6">
      <c r="B187" s="46" t="s">
        <v>12</v>
      </c>
      <c r="C187" s="47" t="s">
        <v>681</v>
      </c>
      <c r="D187" s="48">
        <v>2.2845665699218</v>
      </c>
    </row>
    <row r="189" spans="2:6">
      <c r="B189" s="49" t="s">
        <v>717</v>
      </c>
      <c r="C189" s="56" t="s">
        <v>736</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737</v>
      </c>
    </row>
    <row r="204" spans="2:5">
      <c r="B204" s="45">
        <v>2030</v>
      </c>
      <c r="C204" s="45"/>
      <c r="D204" s="45"/>
    </row>
    <row r="205" spans="2:5">
      <c r="B205" s="46" t="s">
        <v>12</v>
      </c>
      <c r="C205" s="47" t="s">
        <v>681</v>
      </c>
      <c r="D205" s="48">
        <v>1.31635463501922</v>
      </c>
    </row>
    <row r="207" spans="2:5">
      <c r="B207" s="49" t="s">
        <v>27</v>
      </c>
      <c r="C207" s="56" t="s">
        <v>738</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739</v>
      </c>
      <c r="C217" s="41"/>
      <c r="D217" s="41"/>
      <c r="E217" s="41"/>
      <c r="F217" s="42"/>
    </row>
    <row r="218" spans="2:6">
      <c r="B218" s="44" t="s">
        <v>740</v>
      </c>
    </row>
    <row r="219" spans="2:6">
      <c r="B219" s="45">
        <v>2015</v>
      </c>
      <c r="C219" s="45"/>
      <c r="D219" s="45"/>
    </row>
    <row r="220" spans="2:6">
      <c r="B220" s="46" t="s">
        <v>12</v>
      </c>
      <c r="C220" s="47" t="s">
        <v>681</v>
      </c>
      <c r="D220" s="48">
        <v>6.49602034731251</v>
      </c>
    </row>
    <row r="221" spans="2:6">
      <c r="B221" s="46" t="s">
        <v>14</v>
      </c>
      <c r="C221" s="47" t="s">
        <v>693</v>
      </c>
      <c r="D221" s="48">
        <v>29.9166666666667</v>
      </c>
    </row>
    <row r="223" spans="2:6">
      <c r="B223" s="49" t="s">
        <v>141</v>
      </c>
      <c r="C223" s="49" t="s">
        <v>741</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742</v>
      </c>
    </row>
    <row r="238" spans="2:6">
      <c r="B238" s="45">
        <v>2015</v>
      </c>
      <c r="C238" s="45"/>
      <c r="D238" s="45"/>
    </row>
    <row r="239" spans="2:6">
      <c r="B239" s="46" t="s">
        <v>12</v>
      </c>
      <c r="C239" s="47" t="s">
        <v>681</v>
      </c>
      <c r="D239" s="48">
        <v>6.81861183394774</v>
      </c>
    </row>
    <row r="240" spans="2:6">
      <c r="B240" s="46" t="s">
        <v>14</v>
      </c>
      <c r="C240" s="47" t="s">
        <v>693</v>
      </c>
      <c r="D240" s="48">
        <v>36.1041666666667</v>
      </c>
    </row>
    <row r="242" spans="2:6">
      <c r="B242" s="49" t="s">
        <v>714</v>
      </c>
      <c r="C242" s="49" t="s">
        <v>743</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744</v>
      </c>
    </row>
    <row r="257" spans="2:5">
      <c r="B257" s="45">
        <v>2030</v>
      </c>
      <c r="C257" s="45"/>
      <c r="D257" s="45"/>
    </row>
    <row r="258" spans="2:5">
      <c r="B258" s="46" t="s">
        <v>12</v>
      </c>
      <c r="C258" s="47" t="s">
        <v>681</v>
      </c>
      <c r="D258" s="48">
        <v>3.84288888891101</v>
      </c>
    </row>
    <row r="260" spans="2:5">
      <c r="B260" s="49" t="s">
        <v>717</v>
      </c>
      <c r="C260" s="56" t="s">
        <v>745</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746</v>
      </c>
    </row>
    <row r="275" spans="2:5">
      <c r="B275" s="45">
        <v>2030</v>
      </c>
      <c r="C275" s="45"/>
      <c r="D275" s="45"/>
    </row>
    <row r="276" spans="2:5">
      <c r="B276" s="46" t="s">
        <v>12</v>
      </c>
      <c r="C276" s="47" t="s">
        <v>681</v>
      </c>
      <c r="D276" s="48">
        <v>2.21425134525847</v>
      </c>
    </row>
    <row r="278" spans="2:5">
      <c r="B278" s="49" t="s">
        <v>27</v>
      </c>
      <c r="C278" s="56" t="s">
        <v>747</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748</v>
      </c>
      <c r="C3" s="8" t="s">
        <v>749</v>
      </c>
      <c r="D3" s="8">
        <v>0</v>
      </c>
      <c r="E3" s="8">
        <v>0</v>
      </c>
      <c r="F3" s="8" t="s">
        <v>750</v>
      </c>
      <c r="G3" s="8">
        <v>0</v>
      </c>
      <c r="H3" s="8">
        <v>0</v>
      </c>
    </row>
    <row r="4" spans="2:23">
      <c r="B4" s="9"/>
      <c r="C4" s="10">
        <v>2015</v>
      </c>
      <c r="D4" s="10">
        <v>2030</v>
      </c>
      <c r="E4" s="10" t="s">
        <v>751</v>
      </c>
      <c r="F4" s="10">
        <v>2015</v>
      </c>
      <c r="G4" s="10">
        <v>2030</v>
      </c>
      <c r="H4" s="10" t="s">
        <v>751</v>
      </c>
    </row>
    <row r="5" ht="15.75" customHeight="1" spans="2:23">
      <c r="B5" s="11" t="s">
        <v>752</v>
      </c>
      <c r="C5" s="12">
        <v>114</v>
      </c>
      <c r="D5" s="12">
        <v>102</v>
      </c>
      <c r="E5" s="12">
        <v>91</v>
      </c>
      <c r="F5" s="12">
        <v>0.4</v>
      </c>
      <c r="G5" s="12">
        <v>0.4</v>
      </c>
      <c r="H5" s="12">
        <v>0.4</v>
      </c>
    </row>
    <row r="6" ht="15.75" customHeight="1" spans="2:23">
      <c r="B6" s="13" t="s">
        <v>753</v>
      </c>
      <c r="C6" s="14">
        <v>761</v>
      </c>
      <c r="D6" s="14">
        <v>635</v>
      </c>
      <c r="E6" s="14">
        <v>457</v>
      </c>
      <c r="F6" s="14">
        <v>23</v>
      </c>
      <c r="G6" s="14">
        <v>23</v>
      </c>
      <c r="H6" s="14">
        <v>23</v>
      </c>
    </row>
    <row r="7" ht="15.75" customHeight="1" spans="2:23">
      <c r="B7" s="11" t="s">
        <v>754</v>
      </c>
      <c r="C7" s="12">
        <v>855</v>
      </c>
      <c r="D7" s="12">
        <v>759</v>
      </c>
      <c r="E7" s="12">
        <v>568</v>
      </c>
      <c r="F7" s="12">
        <v>1.6</v>
      </c>
      <c r="G7" s="12">
        <v>1.4</v>
      </c>
      <c r="H7" s="12">
        <v>1.1</v>
      </c>
    </row>
    <row r="8" ht="15.75" customHeight="1" spans="2:23">
      <c r="B8" s="13" t="s">
        <v>755</v>
      </c>
      <c r="C8" s="15">
        <v>2652.5198938992</v>
      </c>
      <c r="D8" s="15">
        <v>2279.22175224045</v>
      </c>
      <c r="E8" s="15">
        <v>2111.76336052451</v>
      </c>
      <c r="F8" s="15">
        <v>106.100795755968</v>
      </c>
      <c r="G8" s="15">
        <v>91.1688700896178</v>
      </c>
      <c r="H8" s="15">
        <v>84.4705344209804</v>
      </c>
    </row>
    <row r="9" ht="15.75" customHeight="1" spans="2:23">
      <c r="B9" s="16" t="s">
        <v>756</v>
      </c>
      <c r="C9" s="17">
        <v>1666.66666666667</v>
      </c>
      <c r="D9" s="17">
        <v>1266.91266912669</v>
      </c>
      <c r="E9" s="17">
        <v>1190.49815498155</v>
      </c>
      <c r="F9" s="17">
        <v>66.6666666666667</v>
      </c>
      <c r="G9" s="17">
        <v>50.6765067650676</v>
      </c>
      <c r="H9" s="17">
        <v>47.619926199262</v>
      </c>
    </row>
    <row r="10" ht="15.75" customHeight="1" spans="2:23">
      <c r="B10" s="18" t="s">
        <v>757</v>
      </c>
      <c r="C10" s="19">
        <v>1055.55555555556</v>
      </c>
      <c r="D10" s="19">
        <v>802.222222222222</v>
      </c>
      <c r="E10" s="19">
        <v>688.222222222222</v>
      </c>
      <c r="F10" s="19">
        <v>42.2222222222222</v>
      </c>
      <c r="G10" s="19">
        <v>32.0888888888889</v>
      </c>
      <c r="H10" s="19">
        <v>27.5288888888889</v>
      </c>
    </row>
    <row r="11" spans="2:23">
      <c r="B11" s="20" t="s">
        <v>758</v>
      </c>
      <c r="C11" s="21">
        <v>285.454545454545</v>
      </c>
      <c r="D11" s="21">
        <v>226.069396266082</v>
      </c>
      <c r="E11" s="21">
        <v>200.125375263235</v>
      </c>
      <c r="F11" s="22">
        <v>4.56727272727273</v>
      </c>
      <c r="G11" s="22">
        <v>3.61711034025732</v>
      </c>
      <c r="H11" s="22">
        <v>3.20200600421175</v>
      </c>
    </row>
    <row r="12" spans="2:23">
      <c r="B12" s="23" t="s">
        <v>759</v>
      </c>
      <c r="C12" s="24">
        <v>900</v>
      </c>
      <c r="D12" s="24">
        <v>680.375387446444</v>
      </c>
      <c r="E12" s="24">
        <v>588.444975252103</v>
      </c>
      <c r="F12" s="25">
        <v>10.8</v>
      </c>
      <c r="G12" s="25">
        <v>8.16450464935733</v>
      </c>
      <c r="H12" s="25">
        <v>7.06133970302523</v>
      </c>
    </row>
    <row r="13" spans="2:23">
      <c r="B13" s="23" t="s">
        <v>760</v>
      </c>
      <c r="C13" s="24">
        <v>600</v>
      </c>
      <c r="D13" s="24">
        <v>425.044594838561</v>
      </c>
      <c r="E13" s="24">
        <v>354.091974213288</v>
      </c>
      <c r="F13" s="25">
        <v>7.2</v>
      </c>
      <c r="G13" s="25">
        <v>5.10053513806273</v>
      </c>
      <c r="H13" s="25">
        <v>4.24910369055946</v>
      </c>
    </row>
    <row r="14" spans="2:23">
      <c r="B14" s="26" t="s">
        <v>761</v>
      </c>
      <c r="C14" s="27">
        <v>657.142857142857</v>
      </c>
      <c r="D14" s="27">
        <v>470.961031831262</v>
      </c>
      <c r="E14" s="27">
        <v>395.092100510703</v>
      </c>
      <c r="F14" s="28">
        <v>7.88571428571429</v>
      </c>
      <c r="G14" s="28">
        <v>5.65153238197515</v>
      </c>
      <c r="H14" s="28">
        <v>4.74110520612843</v>
      </c>
    </row>
    <row r="15" spans="2:23">
      <c r="B15" s="29" t="s">
        <v>762</v>
      </c>
      <c r="C15" s="30">
        <v>89</v>
      </c>
      <c r="D15" s="30">
        <v>89</v>
      </c>
      <c r="E15" s="30">
        <v>89</v>
      </c>
      <c r="F15" s="31">
        <v>3.56</v>
      </c>
      <c r="G15" s="31">
        <v>3.56</v>
      </c>
      <c r="H15" s="31">
        <v>3.56</v>
      </c>
    </row>
    <row r="16" spans="2:23">
      <c r="B16" s="32" t="s">
        <v>763</v>
      </c>
      <c r="C16" s="33">
        <v>197</v>
      </c>
      <c r="D16" s="33">
        <v>197</v>
      </c>
      <c r="E16" s="33">
        <v>197</v>
      </c>
      <c r="F16" s="34">
        <v>7.88</v>
      </c>
      <c r="G16" s="34">
        <v>7.88</v>
      </c>
      <c r="H16" s="34">
        <v>7.88</v>
      </c>
    </row>
    <row r="17" spans="2:8">
      <c r="B17" s="29" t="s">
        <v>764</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AE49"/>
  <sheetViews>
    <sheetView zoomScale="62" zoomScaleNormal="62" topLeftCell="B14" workbookViewId="0">
      <selection activeCell="O48" sqref="O48"/>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31" width="12.8181818181818"/>
  </cols>
  <sheetData>
    <row r="28" spans="8:18">
      <c r="H28" t="s">
        <v>765</v>
      </c>
    </row>
    <row r="29" spans="8:18">
      <c r="H29" t="s">
        <v>258</v>
      </c>
      <c r="I29">
        <v>2015</v>
      </c>
      <c r="J29">
        <v>2016</v>
      </c>
      <c r="K29">
        <v>2017</v>
      </c>
      <c r="L29">
        <v>2018</v>
      </c>
      <c r="M29">
        <v>2019</v>
      </c>
      <c r="N29">
        <v>2020</v>
      </c>
      <c r="O29">
        <v>2021</v>
      </c>
      <c r="P29">
        <v>2022</v>
      </c>
      <c r="Q29">
        <v>2023</v>
      </c>
      <c r="R29">
        <v>2024</v>
      </c>
    </row>
    <row r="30" spans="8:18">
      <c r="H30" t="s">
        <v>298</v>
      </c>
      <c r="I30">
        <v>0</v>
      </c>
      <c r="J30">
        <f t="shared" ref="J30:J35" si="0">I30</f>
        <v>0</v>
      </c>
      <c r="K30">
        <f t="shared" ref="K30:R30" si="1">J30</f>
        <v>0</v>
      </c>
      <c r="L30">
        <f t="shared" si="1"/>
        <v>0</v>
      </c>
      <c r="M30">
        <f t="shared" si="1"/>
        <v>0</v>
      </c>
      <c r="N30">
        <f t="shared" si="1"/>
        <v>0</v>
      </c>
      <c r="O30">
        <f t="shared" si="1"/>
        <v>0</v>
      </c>
      <c r="P30">
        <f t="shared" si="1"/>
        <v>0</v>
      </c>
      <c r="Q30">
        <f t="shared" si="1"/>
        <v>0</v>
      </c>
      <c r="R30">
        <f t="shared" si="1"/>
        <v>0</v>
      </c>
    </row>
    <row r="31" spans="8:18">
      <c r="H31" t="s">
        <v>301</v>
      </c>
      <c r="I31">
        <v>0</v>
      </c>
      <c r="J31">
        <f t="shared" si="0"/>
        <v>0</v>
      </c>
      <c r="K31">
        <f t="shared" ref="K31:R31" si="2">J31</f>
        <v>0</v>
      </c>
      <c r="L31">
        <f t="shared" si="2"/>
        <v>0</v>
      </c>
      <c r="M31">
        <f t="shared" si="2"/>
        <v>0</v>
      </c>
      <c r="N31">
        <f t="shared" si="2"/>
        <v>0</v>
      </c>
      <c r="O31">
        <f t="shared" si="2"/>
        <v>0</v>
      </c>
      <c r="P31">
        <f t="shared" si="2"/>
        <v>0</v>
      </c>
      <c r="Q31">
        <f t="shared" si="2"/>
        <v>0</v>
      </c>
      <c r="R31">
        <f t="shared" si="2"/>
        <v>0</v>
      </c>
    </row>
    <row r="32" spans="8:18">
      <c r="H32" t="s">
        <v>306</v>
      </c>
      <c r="I32">
        <v>0</v>
      </c>
      <c r="J32">
        <f t="shared" si="0"/>
        <v>0</v>
      </c>
      <c r="K32">
        <f t="shared" ref="K32:R32" si="3">J32</f>
        <v>0</v>
      </c>
      <c r="L32">
        <f t="shared" si="3"/>
        <v>0</v>
      </c>
      <c r="M32">
        <f t="shared" si="3"/>
        <v>0</v>
      </c>
      <c r="N32">
        <f t="shared" si="3"/>
        <v>0</v>
      </c>
      <c r="O32">
        <f t="shared" si="3"/>
        <v>0</v>
      </c>
      <c r="P32">
        <f t="shared" si="3"/>
        <v>0</v>
      </c>
      <c r="Q32">
        <f t="shared" si="3"/>
        <v>0</v>
      </c>
      <c r="R32">
        <f t="shared" si="3"/>
        <v>0</v>
      </c>
    </row>
    <row r="33" spans="8:31">
      <c r="H33" t="s">
        <v>308</v>
      </c>
      <c r="I33">
        <v>0</v>
      </c>
      <c r="J33">
        <f t="shared" si="0"/>
        <v>0</v>
      </c>
      <c r="K33">
        <f t="shared" ref="K33:R33" si="4">J33</f>
        <v>0</v>
      </c>
      <c r="L33">
        <f t="shared" si="4"/>
        <v>0</v>
      </c>
      <c r="M33">
        <f t="shared" si="4"/>
        <v>0</v>
      </c>
      <c r="N33">
        <f t="shared" si="4"/>
        <v>0</v>
      </c>
      <c r="O33">
        <f t="shared" si="4"/>
        <v>0</v>
      </c>
      <c r="P33">
        <f t="shared" si="4"/>
        <v>0</v>
      </c>
      <c r="Q33">
        <f t="shared" si="4"/>
        <v>0</v>
      </c>
      <c r="R33">
        <f t="shared" si="4"/>
        <v>0</v>
      </c>
    </row>
    <row r="34" spans="8:31">
      <c r="H34" t="s">
        <v>310</v>
      </c>
      <c r="I34">
        <v>0</v>
      </c>
      <c r="J34">
        <f t="shared" si="0"/>
        <v>0</v>
      </c>
      <c r="K34">
        <f t="shared" ref="K34:R34" si="5">J34</f>
        <v>0</v>
      </c>
      <c r="L34">
        <f t="shared" si="5"/>
        <v>0</v>
      </c>
      <c r="M34">
        <f t="shared" si="5"/>
        <v>0</v>
      </c>
      <c r="N34">
        <f t="shared" si="5"/>
        <v>0</v>
      </c>
      <c r="O34">
        <f t="shared" si="5"/>
        <v>0</v>
      </c>
      <c r="P34">
        <f t="shared" si="5"/>
        <v>0</v>
      </c>
      <c r="Q34">
        <f t="shared" si="5"/>
        <v>0</v>
      </c>
      <c r="R34">
        <f t="shared" si="5"/>
        <v>0</v>
      </c>
      <c r="U34" t="s">
        <v>765</v>
      </c>
    </row>
    <row r="35" spans="8:31">
      <c r="H35" t="s">
        <v>312</v>
      </c>
      <c r="I35">
        <v>0</v>
      </c>
      <c r="J35">
        <f t="shared" si="0"/>
        <v>0</v>
      </c>
      <c r="K35">
        <f t="shared" ref="K35:R35" si="6">J35</f>
        <v>0</v>
      </c>
      <c r="L35">
        <f t="shared" si="6"/>
        <v>0</v>
      </c>
      <c r="M35">
        <f t="shared" si="6"/>
        <v>0</v>
      </c>
      <c r="N35">
        <f t="shared" si="6"/>
        <v>0</v>
      </c>
      <c r="O35">
        <f t="shared" si="6"/>
        <v>0</v>
      </c>
      <c r="P35">
        <f t="shared" si="6"/>
        <v>0</v>
      </c>
      <c r="Q35">
        <f t="shared" si="6"/>
        <v>0</v>
      </c>
      <c r="R35">
        <f t="shared" si="6"/>
        <v>0</v>
      </c>
      <c r="U35" t="s">
        <v>258</v>
      </c>
      <c r="V35">
        <v>2010</v>
      </c>
      <c r="W35">
        <v>2011</v>
      </c>
      <c r="X35">
        <v>2012</v>
      </c>
      <c r="Y35">
        <v>2013</v>
      </c>
      <c r="Z35">
        <v>2014</v>
      </c>
      <c r="AA35">
        <v>2015</v>
      </c>
      <c r="AB35">
        <v>2016</v>
      </c>
      <c r="AC35">
        <v>2017</v>
      </c>
      <c r="AD35">
        <v>2018</v>
      </c>
      <c r="AE35">
        <v>2019</v>
      </c>
    </row>
    <row r="36" spans="8:31">
      <c r="H36" t="s">
        <v>316</v>
      </c>
      <c r="I36">
        <v>0</v>
      </c>
      <c r="J36">
        <v>0</v>
      </c>
      <c r="K36">
        <v>0</v>
      </c>
      <c r="L36">
        <v>0</v>
      </c>
      <c r="M36">
        <v>0</v>
      </c>
      <c r="N36">
        <v>0</v>
      </c>
      <c r="O36">
        <v>0</v>
      </c>
      <c r="P36">
        <v>0</v>
      </c>
      <c r="Q36">
        <v>0</v>
      </c>
      <c r="R36">
        <v>0</v>
      </c>
      <c r="U36" t="s">
        <v>179</v>
      </c>
      <c r="V36">
        <v>2.70047156845812</v>
      </c>
      <c r="W36">
        <f t="shared" ref="W36:W49" si="7">V36</f>
        <v>2.70047156845812</v>
      </c>
      <c r="X36">
        <f t="shared" ref="X36:AE36" si="8">W36</f>
        <v>2.70047156845812</v>
      </c>
      <c r="Y36">
        <f t="shared" si="8"/>
        <v>2.70047156845812</v>
      </c>
      <c r="Z36">
        <f t="shared" si="8"/>
        <v>2.70047156845812</v>
      </c>
      <c r="AA36">
        <f t="shared" si="8"/>
        <v>2.70047156845812</v>
      </c>
      <c r="AB36">
        <f t="shared" si="8"/>
        <v>2.70047156845812</v>
      </c>
      <c r="AC36">
        <f t="shared" si="8"/>
        <v>2.70047156845812</v>
      </c>
      <c r="AD36">
        <f t="shared" si="8"/>
        <v>2.70047156845812</v>
      </c>
      <c r="AE36">
        <f t="shared" si="8"/>
        <v>2.70047156845812</v>
      </c>
    </row>
    <row r="37" spans="8:31">
      <c r="H37" t="s">
        <v>322</v>
      </c>
      <c r="I37">
        <v>0</v>
      </c>
      <c r="J37">
        <v>0</v>
      </c>
      <c r="K37">
        <v>0</v>
      </c>
      <c r="L37">
        <v>0</v>
      </c>
      <c r="M37">
        <v>0</v>
      </c>
      <c r="N37">
        <v>0</v>
      </c>
      <c r="O37">
        <v>0</v>
      </c>
      <c r="P37">
        <v>0</v>
      </c>
      <c r="Q37">
        <v>0</v>
      </c>
      <c r="R37">
        <v>0</v>
      </c>
      <c r="U37" t="s">
        <v>184</v>
      </c>
      <c r="V37">
        <v>1.62028294107487</v>
      </c>
      <c r="W37">
        <f t="shared" si="7"/>
        <v>1.62028294107487</v>
      </c>
      <c r="X37">
        <f t="shared" ref="X37:AE37" si="9">W37</f>
        <v>1.62028294107487</v>
      </c>
      <c r="Y37">
        <f t="shared" si="9"/>
        <v>1.62028294107487</v>
      </c>
      <c r="Z37">
        <f t="shared" si="9"/>
        <v>1.62028294107487</v>
      </c>
      <c r="AA37">
        <f t="shared" si="9"/>
        <v>1.62028294107487</v>
      </c>
      <c r="AB37">
        <f t="shared" si="9"/>
        <v>1.62028294107487</v>
      </c>
      <c r="AC37">
        <f t="shared" si="9"/>
        <v>1.62028294107487</v>
      </c>
      <c r="AD37">
        <f t="shared" si="9"/>
        <v>1.62028294107487</v>
      </c>
      <c r="AE37">
        <f t="shared" si="9"/>
        <v>1.62028294107487</v>
      </c>
    </row>
    <row r="38" spans="8:31">
      <c r="H38" t="s">
        <v>328</v>
      </c>
      <c r="I38">
        <v>0</v>
      </c>
      <c r="J38">
        <v>0</v>
      </c>
      <c r="K38">
        <v>0</v>
      </c>
      <c r="L38">
        <v>0</v>
      </c>
      <c r="M38">
        <v>0</v>
      </c>
      <c r="N38">
        <v>0</v>
      </c>
      <c r="O38">
        <v>0</v>
      </c>
      <c r="P38">
        <v>0</v>
      </c>
      <c r="Q38">
        <v>0</v>
      </c>
      <c r="R38">
        <v>0</v>
      </c>
      <c r="U38" t="s">
        <v>185</v>
      </c>
      <c r="V38">
        <v>1.62028294107487</v>
      </c>
      <c r="W38">
        <f t="shared" si="7"/>
        <v>1.62028294107487</v>
      </c>
      <c r="X38">
        <f t="shared" ref="X38:AE38" si="10">W38</f>
        <v>1.62028294107487</v>
      </c>
      <c r="Y38">
        <f t="shared" si="10"/>
        <v>1.62028294107487</v>
      </c>
      <c r="Z38">
        <f t="shared" si="10"/>
        <v>1.62028294107487</v>
      </c>
      <c r="AA38">
        <f t="shared" si="10"/>
        <v>1.62028294107487</v>
      </c>
      <c r="AB38">
        <f t="shared" si="10"/>
        <v>1.62028294107487</v>
      </c>
      <c r="AC38">
        <f t="shared" si="10"/>
        <v>1.62028294107487</v>
      </c>
      <c r="AD38">
        <f t="shared" si="10"/>
        <v>1.62028294107487</v>
      </c>
      <c r="AE38">
        <f t="shared" si="10"/>
        <v>1.62028294107487</v>
      </c>
    </row>
    <row r="39" spans="8:31">
      <c r="H39" t="s">
        <v>325</v>
      </c>
      <c r="I39">
        <v>0</v>
      </c>
      <c r="J39">
        <v>0</v>
      </c>
      <c r="K39">
        <v>0</v>
      </c>
      <c r="L39">
        <v>0</v>
      </c>
      <c r="M39">
        <v>0</v>
      </c>
      <c r="N39">
        <v>0</v>
      </c>
      <c r="O39">
        <v>0</v>
      </c>
      <c r="P39">
        <v>0</v>
      </c>
      <c r="Q39">
        <v>0</v>
      </c>
      <c r="R39">
        <v>0</v>
      </c>
      <c r="U39" t="s">
        <v>183</v>
      </c>
      <c r="V39">
        <v>1.62028294107487</v>
      </c>
      <c r="W39">
        <f t="shared" si="7"/>
        <v>1.62028294107487</v>
      </c>
      <c r="X39">
        <f t="shared" ref="X39:AE39" si="11">W39</f>
        <v>1.62028294107487</v>
      </c>
      <c r="Y39">
        <f t="shared" si="11"/>
        <v>1.62028294107487</v>
      </c>
      <c r="Z39">
        <f t="shared" si="11"/>
        <v>1.62028294107487</v>
      </c>
      <c r="AA39">
        <f t="shared" si="11"/>
        <v>1.62028294107487</v>
      </c>
      <c r="AB39">
        <f t="shared" si="11"/>
        <v>1.62028294107487</v>
      </c>
      <c r="AC39">
        <f t="shared" si="11"/>
        <v>1.62028294107487</v>
      </c>
      <c r="AD39">
        <f t="shared" si="11"/>
        <v>1.62028294107487</v>
      </c>
      <c r="AE39">
        <f t="shared" si="11"/>
        <v>1.62028294107487</v>
      </c>
    </row>
    <row r="40" spans="8:31">
      <c r="U40" t="s">
        <v>181</v>
      </c>
      <c r="V40">
        <v>1.62028294107487</v>
      </c>
      <c r="W40">
        <f t="shared" si="7"/>
        <v>1.62028294107487</v>
      </c>
      <c r="X40">
        <f t="shared" ref="X40:AE40" si="12">W40</f>
        <v>1.62028294107487</v>
      </c>
      <c r="Y40">
        <f t="shared" si="12"/>
        <v>1.62028294107487</v>
      </c>
      <c r="Z40">
        <f t="shared" si="12"/>
        <v>1.62028294107487</v>
      </c>
      <c r="AA40">
        <f t="shared" si="12"/>
        <v>1.62028294107487</v>
      </c>
      <c r="AB40">
        <f t="shared" si="12"/>
        <v>1.62028294107487</v>
      </c>
      <c r="AC40">
        <f t="shared" si="12"/>
        <v>1.62028294107487</v>
      </c>
      <c r="AD40">
        <f t="shared" si="12"/>
        <v>1.62028294107487</v>
      </c>
      <c r="AE40">
        <f t="shared" si="12"/>
        <v>1.62028294107487</v>
      </c>
    </row>
    <row r="41" spans="8:31">
      <c r="U41" t="s">
        <v>180</v>
      </c>
      <c r="V41">
        <v>0</v>
      </c>
      <c r="W41">
        <f t="shared" si="7"/>
        <v>0</v>
      </c>
      <c r="X41">
        <f t="shared" ref="X41:AE41" si="13">W41</f>
        <v>0</v>
      </c>
      <c r="Y41">
        <f t="shared" si="13"/>
        <v>0</v>
      </c>
      <c r="Z41">
        <f t="shared" si="13"/>
        <v>0</v>
      </c>
      <c r="AA41">
        <f t="shared" si="13"/>
        <v>0</v>
      </c>
      <c r="AB41">
        <f t="shared" si="13"/>
        <v>0</v>
      </c>
      <c r="AC41">
        <f t="shared" si="13"/>
        <v>0</v>
      </c>
      <c r="AD41">
        <f t="shared" si="13"/>
        <v>0</v>
      </c>
      <c r="AE41">
        <f t="shared" si="13"/>
        <v>0</v>
      </c>
    </row>
    <row r="42" spans="8:31">
      <c r="U42" t="s">
        <v>182</v>
      </c>
      <c r="V42">
        <v>1.62028294107487</v>
      </c>
      <c r="W42">
        <f t="shared" si="7"/>
        <v>1.62028294107487</v>
      </c>
      <c r="X42">
        <f t="shared" ref="X42:AE42" si="14">W42</f>
        <v>1.62028294107487</v>
      </c>
      <c r="Y42">
        <f t="shared" si="14"/>
        <v>1.62028294107487</v>
      </c>
      <c r="Z42">
        <f t="shared" si="14"/>
        <v>1.62028294107487</v>
      </c>
      <c r="AA42">
        <f t="shared" si="14"/>
        <v>1.62028294107487</v>
      </c>
      <c r="AB42">
        <f t="shared" si="14"/>
        <v>1.62028294107487</v>
      </c>
      <c r="AC42">
        <f t="shared" si="14"/>
        <v>1.62028294107487</v>
      </c>
      <c r="AD42">
        <f t="shared" si="14"/>
        <v>1.62028294107487</v>
      </c>
      <c r="AE42">
        <f t="shared" si="14"/>
        <v>1.62028294107487</v>
      </c>
    </row>
    <row r="43" spans="8:31">
      <c r="U43" t="s">
        <v>324</v>
      </c>
      <c r="V43">
        <v>2.70047156845812</v>
      </c>
      <c r="W43">
        <f t="shared" si="7"/>
        <v>2.70047156845812</v>
      </c>
      <c r="X43">
        <f t="shared" ref="X43:AE43" si="15">W43</f>
        <v>2.70047156845812</v>
      </c>
      <c r="Y43">
        <f t="shared" si="15"/>
        <v>2.70047156845812</v>
      </c>
      <c r="Z43">
        <f t="shared" si="15"/>
        <v>2.70047156845812</v>
      </c>
      <c r="AA43">
        <f t="shared" si="15"/>
        <v>2.70047156845812</v>
      </c>
      <c r="AB43">
        <f t="shared" si="15"/>
        <v>2.70047156845812</v>
      </c>
      <c r="AC43">
        <f t="shared" si="15"/>
        <v>2.70047156845812</v>
      </c>
      <c r="AD43">
        <f t="shared" si="15"/>
        <v>2.70047156845812</v>
      </c>
      <c r="AE43">
        <f t="shared" si="15"/>
        <v>2.70047156845812</v>
      </c>
    </row>
    <row r="44" spans="8:31">
      <c r="U44" t="s">
        <v>340</v>
      </c>
      <c r="V44">
        <v>1.62028294107487</v>
      </c>
      <c r="W44">
        <f t="shared" si="7"/>
        <v>1.62028294107487</v>
      </c>
      <c r="X44">
        <f t="shared" ref="X44:AE44" si="16">W44</f>
        <v>1.62028294107487</v>
      </c>
      <c r="Y44">
        <f t="shared" si="16"/>
        <v>1.62028294107487</v>
      </c>
      <c r="Z44">
        <f t="shared" si="16"/>
        <v>1.62028294107487</v>
      </c>
      <c r="AA44">
        <f t="shared" si="16"/>
        <v>1.62028294107487</v>
      </c>
      <c r="AB44">
        <f t="shared" si="16"/>
        <v>1.62028294107487</v>
      </c>
      <c r="AC44">
        <f t="shared" si="16"/>
        <v>1.62028294107487</v>
      </c>
      <c r="AD44">
        <f t="shared" si="16"/>
        <v>1.62028294107487</v>
      </c>
      <c r="AE44">
        <f t="shared" si="16"/>
        <v>1.62028294107487</v>
      </c>
    </row>
    <row r="45" spans="8:31">
      <c r="U45" t="s">
        <v>341</v>
      </c>
      <c r="V45">
        <v>1.62028294107487</v>
      </c>
      <c r="W45">
        <f t="shared" si="7"/>
        <v>1.62028294107487</v>
      </c>
      <c r="X45">
        <f t="shared" ref="X45:AE45" si="17">W45</f>
        <v>1.62028294107487</v>
      </c>
      <c r="Y45">
        <f t="shared" si="17"/>
        <v>1.62028294107487</v>
      </c>
      <c r="Z45">
        <f t="shared" si="17"/>
        <v>1.62028294107487</v>
      </c>
      <c r="AA45">
        <f t="shared" si="17"/>
        <v>1.62028294107487</v>
      </c>
      <c r="AB45">
        <f t="shared" si="17"/>
        <v>1.62028294107487</v>
      </c>
      <c r="AC45">
        <f t="shared" si="17"/>
        <v>1.62028294107487</v>
      </c>
      <c r="AD45">
        <f t="shared" si="17"/>
        <v>1.62028294107487</v>
      </c>
      <c r="AE45">
        <f t="shared" si="17"/>
        <v>1.62028294107487</v>
      </c>
    </row>
    <row r="46" spans="8:31">
      <c r="U46" t="s">
        <v>766</v>
      </c>
      <c r="V46">
        <v>1.62028294107487</v>
      </c>
      <c r="W46">
        <f t="shared" si="7"/>
        <v>1.62028294107487</v>
      </c>
      <c r="X46">
        <f t="shared" ref="X46:AE46" si="18">W46</f>
        <v>1.62028294107487</v>
      </c>
      <c r="Y46">
        <f t="shared" si="18"/>
        <v>1.62028294107487</v>
      </c>
      <c r="Z46">
        <f t="shared" si="18"/>
        <v>1.62028294107487</v>
      </c>
      <c r="AA46">
        <f t="shared" si="18"/>
        <v>1.62028294107487</v>
      </c>
      <c r="AB46">
        <f t="shared" si="18"/>
        <v>1.62028294107487</v>
      </c>
      <c r="AC46">
        <f t="shared" si="18"/>
        <v>1.62028294107487</v>
      </c>
      <c r="AD46">
        <f t="shared" si="18"/>
        <v>1.62028294107487</v>
      </c>
      <c r="AE46">
        <f t="shared" si="18"/>
        <v>1.62028294107487</v>
      </c>
    </row>
    <row r="47" spans="8:31">
      <c r="U47" t="s">
        <v>330</v>
      </c>
      <c r="V47">
        <v>1.62028294107487</v>
      </c>
      <c r="W47">
        <f t="shared" si="7"/>
        <v>1.62028294107487</v>
      </c>
      <c r="X47">
        <f t="shared" ref="X47:AE47" si="19">W47</f>
        <v>1.62028294107487</v>
      </c>
      <c r="Y47">
        <f t="shared" si="19"/>
        <v>1.62028294107487</v>
      </c>
      <c r="Z47">
        <f t="shared" si="19"/>
        <v>1.62028294107487</v>
      </c>
      <c r="AA47">
        <f t="shared" si="19"/>
        <v>1.62028294107487</v>
      </c>
      <c r="AB47">
        <f t="shared" si="19"/>
        <v>1.62028294107487</v>
      </c>
      <c r="AC47">
        <f t="shared" si="19"/>
        <v>1.62028294107487</v>
      </c>
      <c r="AD47">
        <f t="shared" si="19"/>
        <v>1.62028294107487</v>
      </c>
      <c r="AE47">
        <f t="shared" si="19"/>
        <v>1.62028294107487</v>
      </c>
    </row>
    <row r="48" spans="8:31">
      <c r="U48" t="s">
        <v>767</v>
      </c>
      <c r="V48">
        <v>0</v>
      </c>
      <c r="W48">
        <f t="shared" si="7"/>
        <v>0</v>
      </c>
      <c r="X48">
        <f t="shared" ref="X48:AE48" si="20">W48</f>
        <v>0</v>
      </c>
      <c r="Y48">
        <f t="shared" si="20"/>
        <v>0</v>
      </c>
      <c r="Z48">
        <f t="shared" si="20"/>
        <v>0</v>
      </c>
      <c r="AA48">
        <f t="shared" si="20"/>
        <v>0</v>
      </c>
      <c r="AB48">
        <f t="shared" si="20"/>
        <v>0</v>
      </c>
      <c r="AC48">
        <f t="shared" si="20"/>
        <v>0</v>
      </c>
      <c r="AD48">
        <f t="shared" si="20"/>
        <v>0</v>
      </c>
      <c r="AE48">
        <f t="shared" si="20"/>
        <v>0</v>
      </c>
    </row>
    <row r="49" spans="21:31">
      <c r="U49" t="s">
        <v>332</v>
      </c>
      <c r="V49">
        <v>1.62028294107487</v>
      </c>
      <c r="W49">
        <f t="shared" si="7"/>
        <v>1.62028294107487</v>
      </c>
      <c r="X49">
        <f t="shared" ref="X49:AE49" si="21">W49</f>
        <v>1.62028294107487</v>
      </c>
      <c r="Y49">
        <f t="shared" si="21"/>
        <v>1.62028294107487</v>
      </c>
      <c r="Z49">
        <f t="shared" si="21"/>
        <v>1.62028294107487</v>
      </c>
      <c r="AA49">
        <f t="shared" si="21"/>
        <v>1.62028294107487</v>
      </c>
      <c r="AB49">
        <f t="shared" si="21"/>
        <v>1.62028294107487</v>
      </c>
      <c r="AC49">
        <f t="shared" si="21"/>
        <v>1.62028294107487</v>
      </c>
      <c r="AD49">
        <f t="shared" si="21"/>
        <v>1.62028294107487</v>
      </c>
      <c r="AE49">
        <f t="shared" si="21"/>
        <v>1.62028294107487</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26</vt:i4>
      </vt:variant>
    </vt:vector>
  </HeadingPairs>
  <TitlesOfParts>
    <vt:vector size="26"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stock-PREDEFIN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2026-08-15T03:15:00Z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