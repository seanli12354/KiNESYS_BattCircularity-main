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IEMM\MIG_KiNESYS\IEMM_V70_KiNESYS_CEA-11-2\SubRes_Tmpl\"/>
    </mc:Choice>
  </mc:AlternateContent>
  <xr:revisionPtr revIDLastSave="0" documentId="13_ncr:1_{A7BABDF7-A842-4272-92C5-5B9053FC8051}" xr6:coauthVersionLast="47" xr6:coauthVersionMax="47" xr10:uidLastSave="{00000000-0000-0000-0000-000000000000}"/>
  <bookViews>
    <workbookView xWindow="4410" yWindow="4410" windowWidth="28800" windowHeight="15380" xr2:uid="{00000000-000D-0000-FFFF-FFFF00000000}"/>
  </bookViews>
  <sheets>
    <sheet name="AVA" sheetId="3" r:id="rId1"/>
    <sheet name="Hydro costs" sheetId="4" r:id="rId2"/>
    <sheet name="sub-national_cap_bnd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6" i="4" l="1"/>
  <c r="O16" i="4"/>
  <c r="U49" i="4"/>
  <c r="T49" i="4"/>
  <c r="S49" i="4"/>
  <c r="U48" i="4"/>
  <c r="T48" i="4"/>
  <c r="S48" i="4"/>
  <c r="U47" i="4"/>
  <c r="T47" i="4"/>
  <c r="S47" i="4"/>
  <c r="U46" i="4"/>
  <c r="T46" i="4"/>
  <c r="S46" i="4"/>
  <c r="U45" i="4"/>
  <c r="T45" i="4"/>
  <c r="S45" i="4"/>
  <c r="U44" i="4"/>
  <c r="T44" i="4"/>
  <c r="S44" i="4"/>
  <c r="U43" i="4"/>
  <c r="T43" i="4"/>
  <c r="S43" i="4"/>
  <c r="U42" i="4"/>
  <c r="T42" i="4"/>
  <c r="S42" i="4"/>
  <c r="U41" i="4"/>
  <c r="T41" i="4"/>
  <c r="S41" i="4"/>
  <c r="U40" i="4"/>
  <c r="T40" i="4"/>
  <c r="S40" i="4"/>
  <c r="U39" i="4"/>
  <c r="T39" i="4"/>
  <c r="S39" i="4"/>
  <c r="U38" i="4"/>
  <c r="T38" i="4"/>
  <c r="S38" i="4"/>
  <c r="U37" i="4"/>
  <c r="T37" i="4"/>
  <c r="S37" i="4"/>
  <c r="U36" i="4"/>
  <c r="T36" i="4"/>
  <c r="S36" i="4"/>
  <c r="U35" i="4"/>
  <c r="T35" i="4"/>
  <c r="S35" i="4"/>
  <c r="U34" i="4"/>
  <c r="T34" i="4"/>
  <c r="S34" i="4"/>
  <c r="U33" i="4"/>
  <c r="T33" i="4"/>
  <c r="S33" i="4"/>
  <c r="U32" i="4"/>
  <c r="T32" i="4"/>
  <c r="S32" i="4"/>
  <c r="U31" i="4"/>
  <c r="T31" i="4"/>
  <c r="S31" i="4"/>
  <c r="U30" i="4"/>
  <c r="T30" i="4"/>
  <c r="S30" i="4"/>
  <c r="U29" i="4"/>
  <c r="T29" i="4"/>
  <c r="S29" i="4"/>
  <c r="U28" i="4"/>
  <c r="T28" i="4"/>
  <c r="S28" i="4"/>
  <c r="U27" i="4"/>
  <c r="T27" i="4"/>
  <c r="S27" i="4"/>
  <c r="U26" i="4"/>
  <c r="T26" i="4"/>
  <c r="S26" i="4"/>
  <c r="U25" i="4"/>
  <c r="T25" i="4"/>
  <c r="S25" i="4"/>
  <c r="U24" i="4"/>
  <c r="T24" i="4"/>
  <c r="S24" i="4"/>
  <c r="U23" i="4"/>
  <c r="T23" i="4"/>
  <c r="S23" i="4"/>
  <c r="U22" i="4"/>
  <c r="T22" i="4"/>
  <c r="S22" i="4"/>
  <c r="U21" i="4"/>
  <c r="T21" i="4"/>
  <c r="S21" i="4"/>
  <c r="U20" i="4"/>
  <c r="T20" i="4"/>
  <c r="S20" i="4"/>
  <c r="U19" i="4"/>
  <c r="T19" i="4"/>
  <c r="S19" i="4"/>
  <c r="U18" i="4"/>
  <c r="T18" i="4"/>
  <c r="S18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18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18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18" i="4"/>
  <c r="G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K16" authorId="0" shapeId="0" xr:uid="{FB1770B1-8F77-4BD7-8A22-DFD902F9F5BD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27-02-2024
WEO pg assumptions
will apply
</t>
        </r>
      </text>
    </comment>
  </commentList>
</comments>
</file>

<file path=xl/sharedStrings.xml><?xml version="1.0" encoding="utf-8"?>
<sst xmlns="http://schemas.openxmlformats.org/spreadsheetml/2006/main" count="594" uniqueCount="305">
  <si>
    <t>PSET_PN</t>
  </si>
  <si>
    <t>Attribute</t>
  </si>
  <si>
    <t>Year</t>
  </si>
  <si>
    <t>~TFM_AVA</t>
  </si>
  <si>
    <t>~TFM_INS</t>
  </si>
  <si>
    <t>AllRegions</t>
  </si>
  <si>
    <t>Cap2ACT</t>
  </si>
  <si>
    <t>LIFE</t>
  </si>
  <si>
    <t>EFF</t>
  </si>
  <si>
    <t>PEAK</t>
  </si>
  <si>
    <t>NCAP_DRATE</t>
  </si>
  <si>
    <t>EN[_]Hydro*</t>
  </si>
  <si>
    <t>VT_SubRES_AVA</t>
  </si>
  <si>
    <t>EN[_]Hydro*1</t>
  </si>
  <si>
    <t>EN[_]Hydro*2</t>
  </si>
  <si>
    <t>EN[_]Hydro*3</t>
  </si>
  <si>
    <t>CAP_BND</t>
  </si>
  <si>
    <t>Region</t>
  </si>
  <si>
    <t>OAS</t>
  </si>
  <si>
    <t>URA</t>
  </si>
  <si>
    <t>AFR</t>
  </si>
  <si>
    <t>EUR</t>
  </si>
  <si>
    <t>CSA</t>
  </si>
  <si>
    <t>ANZ</t>
  </si>
  <si>
    <t>MID</t>
  </si>
  <si>
    <t>BRZ</t>
  </si>
  <si>
    <t>CAN</t>
  </si>
  <si>
    <t>CHI</t>
  </si>
  <si>
    <t>IND</t>
  </si>
  <si>
    <t>JPN</t>
  </si>
  <si>
    <t>SKO</t>
  </si>
  <si>
    <t>MXC</t>
  </si>
  <si>
    <t>RUS</t>
  </si>
  <si>
    <t>USA</t>
  </si>
  <si>
    <t>Capacity bound override of Step 3 deleted</t>
  </si>
  <si>
    <t>ELIFE</t>
  </si>
  <si>
    <t>PSET_SET</t>
  </si>
  <si>
    <t>ELE</t>
  </si>
  <si>
    <t>VT_DINS_subnatNewHydroCAP</t>
  </si>
  <si>
    <t>~TFM_DINS-TS: limtype=UP</t>
  </si>
  <si>
    <t>\I:</t>
  </si>
  <si>
    <t>AfricaNorth</t>
  </si>
  <si>
    <t>AfricaOther</t>
  </si>
  <si>
    <t>AfricaSouth</t>
  </si>
  <si>
    <t>AfricaWest</t>
  </si>
  <si>
    <t>Argentina</t>
  </si>
  <si>
    <t>AsiaCen</t>
  </si>
  <si>
    <t>AsiaDev</t>
  </si>
  <si>
    <t>AsiaEm</t>
  </si>
  <si>
    <t>Australia</t>
  </si>
  <si>
    <t>Brazil</t>
  </si>
  <si>
    <t>Canada</t>
  </si>
  <si>
    <t>China</t>
  </si>
  <si>
    <t>EU28</t>
  </si>
  <si>
    <t>EurDev</t>
  </si>
  <si>
    <t>EurEm</t>
  </si>
  <si>
    <t>GCCother</t>
  </si>
  <si>
    <t>India</t>
  </si>
  <si>
    <t>Indonesia</t>
  </si>
  <si>
    <t>Japan</t>
  </si>
  <si>
    <t>LatAm</t>
  </si>
  <si>
    <t>Mexico</t>
  </si>
  <si>
    <t>MidEast</t>
  </si>
  <si>
    <t>Russia</t>
  </si>
  <si>
    <t>SaudiArabia</t>
  </si>
  <si>
    <t>process</t>
  </si>
  <si>
    <t>region</t>
  </si>
  <si>
    <t>DeACT TFM_INS-TS: curr=USD10; attribute=INVCOST;attrib_cond=-INVCOST</t>
  </si>
  <si>
    <t>*[_]ABW*</t>
  </si>
  <si>
    <t>*[_]AFG*</t>
  </si>
  <si>
    <t>ROW</t>
  </si>
  <si>
    <t>*[_]AFR*</t>
  </si>
  <si>
    <t>Africa_North</t>
  </si>
  <si>
    <t>Africa_Other</t>
  </si>
  <si>
    <t>SouthAfrica</t>
  </si>
  <si>
    <t>*[_]AGO*</t>
  </si>
  <si>
    <t>*[_]ALB*</t>
  </si>
  <si>
    <t>WestBalkans</t>
  </si>
  <si>
    <t>*[_]ANZ*</t>
  </si>
  <si>
    <t>*[_]ARE*</t>
  </si>
  <si>
    <t>*[_]ARG*</t>
  </si>
  <si>
    <t>*[_]ARM*</t>
  </si>
  <si>
    <t>*[_]ASM*</t>
  </si>
  <si>
    <t>*[_]ATG*</t>
  </si>
  <si>
    <t>*[_]AUS*</t>
  </si>
  <si>
    <t>*[_]AUT*</t>
  </si>
  <si>
    <t>Austria</t>
  </si>
  <si>
    <t>*[_]AZE*</t>
  </si>
  <si>
    <t>*[_]BDI*</t>
  </si>
  <si>
    <t>*[_]BEL*</t>
  </si>
  <si>
    <t>BeNeLux</t>
  </si>
  <si>
    <t>*[_]BEN*</t>
  </si>
  <si>
    <t>*[_]BFA*</t>
  </si>
  <si>
    <t>*[_]BGD*</t>
  </si>
  <si>
    <t>*[_]BGR*</t>
  </si>
  <si>
    <t>HunRomBul</t>
  </si>
  <si>
    <t>*[_]BHR*</t>
  </si>
  <si>
    <t>*[_]BHS*</t>
  </si>
  <si>
    <t>*[_]BIH*</t>
  </si>
  <si>
    <t>*[_]BLR*</t>
  </si>
  <si>
    <t>*[_]BLZ*</t>
  </si>
  <si>
    <t>*[_]BMU*</t>
  </si>
  <si>
    <t>*[_]BOL*</t>
  </si>
  <si>
    <t>*[_]BRA*</t>
  </si>
  <si>
    <t>*[_]BRB*</t>
  </si>
  <si>
    <t>*[_]BRN*</t>
  </si>
  <si>
    <t>*[_]BRZ*</t>
  </si>
  <si>
    <t>*[_]BTN*</t>
  </si>
  <si>
    <t>*[_]BWA*</t>
  </si>
  <si>
    <t>*[_]CAF*</t>
  </si>
  <si>
    <t>*[_]CAN*</t>
  </si>
  <si>
    <t>NorthAm</t>
  </si>
  <si>
    <t>*[_]CHE*</t>
  </si>
  <si>
    <t>Switzerland</t>
  </si>
  <si>
    <t>*[_]CHI*</t>
  </si>
  <si>
    <t>*[_]CHL*</t>
  </si>
  <si>
    <t>*[_]CHN*</t>
  </si>
  <si>
    <t>*[_]CIV*</t>
  </si>
  <si>
    <t>*[_]CMR*</t>
  </si>
  <si>
    <t>*[_]COG*</t>
  </si>
  <si>
    <t>*[_]COK*</t>
  </si>
  <si>
    <t>*[_]COL*</t>
  </si>
  <si>
    <t>*[_]COM*</t>
  </si>
  <si>
    <t>*[_]CPV*</t>
  </si>
  <si>
    <t>*[_]CRI*</t>
  </si>
  <si>
    <t>*[_]CSA*</t>
  </si>
  <si>
    <t>*[_]CUB*</t>
  </si>
  <si>
    <t>*[_]CYM*</t>
  </si>
  <si>
    <t>*[_]CYP*</t>
  </si>
  <si>
    <t>GreeceCyp</t>
  </si>
  <si>
    <t>*[_]CZE*</t>
  </si>
  <si>
    <t>CzechSlovak</t>
  </si>
  <si>
    <t>*[_]DEU*</t>
  </si>
  <si>
    <t>Germany</t>
  </si>
  <si>
    <t>*[_]DJI*</t>
  </si>
  <si>
    <t>*[_]DMA*</t>
  </si>
  <si>
    <t>*[_]DNK*</t>
  </si>
  <si>
    <t>SweFinDen</t>
  </si>
  <si>
    <t>*[_]DOM*</t>
  </si>
  <si>
    <t>*[_]DZA*</t>
  </si>
  <si>
    <t>*[_]ECU*</t>
  </si>
  <si>
    <t>*[_]EGY*</t>
  </si>
  <si>
    <t>*[_]ERI*</t>
  </si>
  <si>
    <t>*[_]ESP*</t>
  </si>
  <si>
    <t>SpainPor</t>
  </si>
  <si>
    <t>*[_]EST*</t>
  </si>
  <si>
    <t>Baltics</t>
  </si>
  <si>
    <t>*[_]ETH*</t>
  </si>
  <si>
    <t>*[_]EUR*</t>
  </si>
  <si>
    <t>CroSloven</t>
  </si>
  <si>
    <t>France</t>
  </si>
  <si>
    <t>Iceland</t>
  </si>
  <si>
    <t>Ireland</t>
  </si>
  <si>
    <t>ItalyMal</t>
  </si>
  <si>
    <t>Norway</t>
  </si>
  <si>
    <t>Poland</t>
  </si>
  <si>
    <t>Turkey</t>
  </si>
  <si>
    <t>UK</t>
  </si>
  <si>
    <t>*[_]FIN*</t>
  </si>
  <si>
    <t>*[_]FJI*</t>
  </si>
  <si>
    <t>*[_]FRA*</t>
  </si>
  <si>
    <t>*[_]GAB*</t>
  </si>
  <si>
    <t>*[_]GBR*</t>
  </si>
  <si>
    <t>*[_]GEO*</t>
  </si>
  <si>
    <t>*[_]GHA*</t>
  </si>
  <si>
    <t>*[_]GIN*</t>
  </si>
  <si>
    <t>*[_]GMB*</t>
  </si>
  <si>
    <t>*[_]GNB*</t>
  </si>
  <si>
    <t>*[_]GNQ*</t>
  </si>
  <si>
    <t>*[_]GRC*</t>
  </si>
  <si>
    <t>*[_]GRD*</t>
  </si>
  <si>
    <t>*[_]GTM*</t>
  </si>
  <si>
    <t>*[_]GUF*</t>
  </si>
  <si>
    <t>*[_]GUY*</t>
  </si>
  <si>
    <t>*[_]HKG*</t>
  </si>
  <si>
    <t>*[_]HND*</t>
  </si>
  <si>
    <t>*[_]HRV*</t>
  </si>
  <si>
    <t>*[_]HTI*</t>
  </si>
  <si>
    <t>*[_]HUN*</t>
  </si>
  <si>
    <t>*[_]IDN*</t>
  </si>
  <si>
    <t>*[_]IND*</t>
  </si>
  <si>
    <t>*[_]IRL*</t>
  </si>
  <si>
    <t>*[_]IRN*</t>
  </si>
  <si>
    <t>*[_]IRQ*</t>
  </si>
  <si>
    <t>*[_]ISL*</t>
  </si>
  <si>
    <t>*[_]ISR*</t>
  </si>
  <si>
    <t>*[_]ITA*</t>
  </si>
  <si>
    <t>*[_]JAM*</t>
  </si>
  <si>
    <t>*[_]JOR*</t>
  </si>
  <si>
    <t>*[_]JPN*</t>
  </si>
  <si>
    <t>*[_]KAZ*</t>
  </si>
  <si>
    <t>*[_]KEN*</t>
  </si>
  <si>
    <t>*[_]KGZ*</t>
  </si>
  <si>
    <t>*[_]KHM*</t>
  </si>
  <si>
    <t>*[_]KIR*</t>
  </si>
  <si>
    <t>*[_]KNA*</t>
  </si>
  <si>
    <t>*[_]KOR*</t>
  </si>
  <si>
    <t>*[_]KSV*</t>
  </si>
  <si>
    <t>*[_]KWT*</t>
  </si>
  <si>
    <t>*[_]LAO*</t>
  </si>
  <si>
    <t>*[_]LBN*</t>
  </si>
  <si>
    <t>*[_]LBR*</t>
  </si>
  <si>
    <t>*[_]LBY*</t>
  </si>
  <si>
    <t>*[_]LCA*</t>
  </si>
  <si>
    <t>*[_]LKA*</t>
  </si>
  <si>
    <t>*[_]LSO*</t>
  </si>
  <si>
    <t>*[_]LTU*</t>
  </si>
  <si>
    <t>*[_]LUX*</t>
  </si>
  <si>
    <t>*[_]LVA*</t>
  </si>
  <si>
    <t>*[_]MAC*</t>
  </si>
  <si>
    <t>*[_]MAR*</t>
  </si>
  <si>
    <t>*[_]MDA*</t>
  </si>
  <si>
    <t>Ukraine</t>
  </si>
  <si>
    <t>*[_]MDG*</t>
  </si>
  <si>
    <t>*[_]MDV*</t>
  </si>
  <si>
    <t>*[_]MEX*</t>
  </si>
  <si>
    <t>*[_]MID*</t>
  </si>
  <si>
    <t>*[_]MKD*</t>
  </si>
  <si>
    <t>*[_]MLI*</t>
  </si>
  <si>
    <t>*[_]MLT*</t>
  </si>
  <si>
    <t>*[_]MMR*</t>
  </si>
  <si>
    <t>*[_]MNE*</t>
  </si>
  <si>
    <t>*[_]MNG*</t>
  </si>
  <si>
    <t>*[_]MOZ*</t>
  </si>
  <si>
    <t>*[_]MRT*</t>
  </si>
  <si>
    <t>*[_]MSR*</t>
  </si>
  <si>
    <t>*[_]MUS*</t>
  </si>
  <si>
    <t>*[_]MWI*</t>
  </si>
  <si>
    <t>*[_]MXC*</t>
  </si>
  <si>
    <t>*[_]MYS*</t>
  </si>
  <si>
    <t>*[_]MYT*</t>
  </si>
  <si>
    <t>*[_]NCL*</t>
  </si>
  <si>
    <t>*[_]NER*</t>
  </si>
  <si>
    <t>*[_]NGA*</t>
  </si>
  <si>
    <t>*[_]NIC*</t>
  </si>
  <si>
    <t>*[_]NLD*</t>
  </si>
  <si>
    <t>*[_]NOR*</t>
  </si>
  <si>
    <t>*[_]NPL*</t>
  </si>
  <si>
    <t>*[_]NZL*</t>
  </si>
  <si>
    <t>*[_]OAS*</t>
  </si>
  <si>
    <t>*[_]OMN*</t>
  </si>
  <si>
    <t>*[_]PAK*</t>
  </si>
  <si>
    <t>*[_]PAN*</t>
  </si>
  <si>
    <t>*[_]PER*</t>
  </si>
  <si>
    <t>*[_]PHL*</t>
  </si>
  <si>
    <t>*[_]PLW*</t>
  </si>
  <si>
    <t>*[_]PNG*</t>
  </si>
  <si>
    <t>*[_]POL*</t>
  </si>
  <si>
    <t>*[_]PRI*</t>
  </si>
  <si>
    <t>*[_]PRK*</t>
  </si>
  <si>
    <t>*[_]PRT*</t>
  </si>
  <si>
    <t>*[_]PRY*</t>
  </si>
  <si>
    <t>*[_]PSE*</t>
  </si>
  <si>
    <t>*[_]PYF*</t>
  </si>
  <si>
    <t>*[_]QAT*</t>
  </si>
  <si>
    <t>*[_]ROM*</t>
  </si>
  <si>
    <t>*[_]RUS*</t>
  </si>
  <si>
    <t>*[_]RWA*</t>
  </si>
  <si>
    <t>*[_]SAU*</t>
  </si>
  <si>
    <t>*[_]SDN*</t>
  </si>
  <si>
    <t>*[_]SEN*</t>
  </si>
  <si>
    <t>*[_]SGP*</t>
  </si>
  <si>
    <t>*[_]SKO*</t>
  </si>
  <si>
    <t>*[_]SLB*</t>
  </si>
  <si>
    <t>*[_]SLE*</t>
  </si>
  <si>
    <t>*[_]SLV*</t>
  </si>
  <si>
    <t>*[_]SOM*</t>
  </si>
  <si>
    <t>*[_]SRB*</t>
  </si>
  <si>
    <t>*[_]SSD*</t>
  </si>
  <si>
    <t>*[_]STP*</t>
  </si>
  <si>
    <t>*[_]SUR*</t>
  </si>
  <si>
    <t>*[_]SVK*</t>
  </si>
  <si>
    <t>*[_]SVN*</t>
  </si>
  <si>
    <t>*[_]SWE*</t>
  </si>
  <si>
    <t>*[_]SWZ*</t>
  </si>
  <si>
    <t>*[_]SYC*</t>
  </si>
  <si>
    <t>*[_]SYR*</t>
  </si>
  <si>
    <t>*[_]TCA*</t>
  </si>
  <si>
    <t>*[_]TCD*</t>
  </si>
  <si>
    <t>*[_]TGO*</t>
  </si>
  <si>
    <t>*[_]THA*</t>
  </si>
  <si>
    <t>*[_]TJK*</t>
  </si>
  <si>
    <t>*[_]TKM*</t>
  </si>
  <si>
    <t>*[_]TON*</t>
  </si>
  <si>
    <t>*[_]TTO*</t>
  </si>
  <si>
    <t>*[_]TUN*</t>
  </si>
  <si>
    <t>*[_]TUR*</t>
  </si>
  <si>
    <t>*[_]TWN*</t>
  </si>
  <si>
    <t>*[_]TZA*</t>
  </si>
  <si>
    <t>*[_]UGA*</t>
  </si>
  <si>
    <t>*[_]UKR*</t>
  </si>
  <si>
    <t>*[_]URA*</t>
  </si>
  <si>
    <t>*[_]URY*</t>
  </si>
  <si>
    <t>*[_]USA*</t>
  </si>
  <si>
    <t>*[_]UZB*</t>
  </si>
  <si>
    <t>*[_]VCT*</t>
  </si>
  <si>
    <t>*[_]VEN*</t>
  </si>
  <si>
    <t>*[_]VIR*</t>
  </si>
  <si>
    <t>*[_]VNM*</t>
  </si>
  <si>
    <t>*[_]VUT*</t>
  </si>
  <si>
    <t>*[_]YEM*</t>
  </si>
  <si>
    <t>*[_]ZAF*</t>
  </si>
  <si>
    <t>*[_]ZAR*</t>
  </si>
  <si>
    <t>*[_]ZMB*</t>
  </si>
  <si>
    <t>*[_]ZWE*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</si>
</sst>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247"/>
  <sheetViews>
    <sheetView tabSelected="1" workbookViewId="0">
      <selection activeCell="C4" sqref="C4"/>
    </sheetView>
  </sheetViews>
  <sheetFormatPr defaultColWidth="8.86328125" defaultRowHeight="14.25" x14ac:dyDescent="0.45"/>
  <cols>
    <col min="2" max="2" width="5.3984375" bestFit="1" customWidth="1"/>
    <col min="3" max="3" width="17.86328125" bestFit="1" customWidth="1"/>
    <col min="4" max="4" width="7.1328125" bestFit="1" customWidth="1"/>
    <col min="5" max="5" width="5" bestFit="1" customWidth="1"/>
    <col min="6" max="8" width="6" bestFit="1" customWidth="1"/>
    <col min="9" max="15" width="5" bestFit="1" customWidth="1"/>
    <col min="16" max="16" width="6" bestFit="1" customWidth="1"/>
    <col min="17" max="17" width="5" bestFit="1" customWidth="1"/>
  </cols>
  <sheetData>
    <row r="1" spans="3:4" x14ac:dyDescent="0.45">
      <c r="C1" t="s">
        <v>12</v>
      </c>
    </row>
    <row r="3" spans="3:4" x14ac:dyDescent="0.45">
      <c r="C3" t="s">
        <v>3</v>
      </c>
    </row>
    <row r="4" spans="3:4" x14ac:dyDescent="0.45">
      <c r="C4" t="s">
        <v>0</v>
      </c>
      <c r="D4" t="s">
        <v>17</v>
      </c>
    </row>
    <row r="5" spans="3:4" x14ac:dyDescent="0.45">
      <c r="C5" t="s">
        <v>68</v>
      </c>
      <c r="D5" t="s">
        <v>60</v>
      </c>
    </row>
    <row r="6" spans="3:4" x14ac:dyDescent="0.45">
      <c r="C6" t="s">
        <v>69</v>
      </c>
      <c r="D6" t="s">
        <v>70</v>
      </c>
    </row>
    <row r="7" spans="3:4" x14ac:dyDescent="0.45">
      <c r="C7" t="s">
        <v>71</v>
      </c>
      <c r="D7" t="s">
        <v>72</v>
      </c>
    </row>
    <row r="8" spans="3:4" x14ac:dyDescent="0.45">
      <c r="C8" t="s">
        <v>71</v>
      </c>
      <c r="D8" t="s">
        <v>73</v>
      </c>
    </row>
    <row r="9" spans="3:4" x14ac:dyDescent="0.45">
      <c r="C9" t="s">
        <v>71</v>
      </c>
      <c r="D9" t="s">
        <v>74</v>
      </c>
    </row>
    <row r="10" spans="3:4" x14ac:dyDescent="0.45">
      <c r="C10" t="s">
        <v>75</v>
      </c>
      <c r="D10" t="s">
        <v>73</v>
      </c>
    </row>
    <row r="11" spans="3:4" x14ac:dyDescent="0.45">
      <c r="C11" t="s">
        <v>76</v>
      </c>
      <c r="D11" t="s">
        <v>77</v>
      </c>
    </row>
    <row r="12" spans="3:4" x14ac:dyDescent="0.45">
      <c r="C12" t="s">
        <v>78</v>
      </c>
      <c r="D12" t="s">
        <v>49</v>
      </c>
    </row>
    <row r="13" spans="3:4" x14ac:dyDescent="0.45">
      <c r="C13" t="s">
        <v>78</v>
      </c>
      <c r="D13" t="s">
        <v>70</v>
      </c>
    </row>
    <row r="14" spans="3:4" x14ac:dyDescent="0.45">
      <c r="C14" t="s">
        <v>79</v>
      </c>
      <c r="D14" t="s">
        <v>62</v>
      </c>
    </row>
    <row r="15" spans="3:4" x14ac:dyDescent="0.45">
      <c r="C15" t="s">
        <v>80</v>
      </c>
      <c r="D15" t="s">
        <v>60</v>
      </c>
    </row>
    <row r="16" spans="3:4" x14ac:dyDescent="0.45">
      <c r="C16" t="s">
        <v>81</v>
      </c>
      <c r="D16" t="s">
        <v>70</v>
      </c>
    </row>
    <row r="17" spans="3:4" x14ac:dyDescent="0.45">
      <c r="C17" t="s">
        <v>82</v>
      </c>
      <c r="D17" t="s">
        <v>70</v>
      </c>
    </row>
    <row r="18" spans="3:4" x14ac:dyDescent="0.45">
      <c r="C18" t="s">
        <v>83</v>
      </c>
      <c r="D18" t="s">
        <v>60</v>
      </c>
    </row>
    <row r="19" spans="3:4" x14ac:dyDescent="0.45">
      <c r="C19" t="s">
        <v>84</v>
      </c>
      <c r="D19" t="s">
        <v>49</v>
      </c>
    </row>
    <row r="20" spans="3:4" x14ac:dyDescent="0.45">
      <c r="C20" t="s">
        <v>85</v>
      </c>
      <c r="D20" t="s">
        <v>86</v>
      </c>
    </row>
    <row r="21" spans="3:4" x14ac:dyDescent="0.45">
      <c r="C21" t="s">
        <v>87</v>
      </c>
      <c r="D21" t="s">
        <v>70</v>
      </c>
    </row>
    <row r="22" spans="3:4" x14ac:dyDescent="0.45">
      <c r="C22" t="s">
        <v>88</v>
      </c>
      <c r="D22" t="s">
        <v>73</v>
      </c>
    </row>
    <row r="23" spans="3:4" x14ac:dyDescent="0.45">
      <c r="C23" t="s">
        <v>89</v>
      </c>
      <c r="D23" t="s">
        <v>90</v>
      </c>
    </row>
    <row r="24" spans="3:4" x14ac:dyDescent="0.45">
      <c r="C24" t="s">
        <v>91</v>
      </c>
      <c r="D24" t="s">
        <v>73</v>
      </c>
    </row>
    <row r="25" spans="3:4" x14ac:dyDescent="0.45">
      <c r="C25" t="s">
        <v>92</v>
      </c>
      <c r="D25" t="s">
        <v>73</v>
      </c>
    </row>
    <row r="26" spans="3:4" x14ac:dyDescent="0.45">
      <c r="C26" t="s">
        <v>93</v>
      </c>
      <c r="D26" t="s">
        <v>70</v>
      </c>
    </row>
    <row r="27" spans="3:4" x14ac:dyDescent="0.45">
      <c r="C27" t="s">
        <v>94</v>
      </c>
      <c r="D27" t="s">
        <v>95</v>
      </c>
    </row>
    <row r="28" spans="3:4" x14ac:dyDescent="0.45">
      <c r="C28" t="s">
        <v>96</v>
      </c>
      <c r="D28" t="s">
        <v>62</v>
      </c>
    </row>
    <row r="29" spans="3:4" x14ac:dyDescent="0.45">
      <c r="C29" t="s">
        <v>97</v>
      </c>
      <c r="D29" t="s">
        <v>60</v>
      </c>
    </row>
    <row r="30" spans="3:4" x14ac:dyDescent="0.45">
      <c r="C30" t="s">
        <v>98</v>
      </c>
      <c r="D30" t="s">
        <v>77</v>
      </c>
    </row>
    <row r="31" spans="3:4" x14ac:dyDescent="0.45">
      <c r="C31" t="s">
        <v>99</v>
      </c>
      <c r="D31" t="s">
        <v>63</v>
      </c>
    </row>
    <row r="32" spans="3:4" x14ac:dyDescent="0.45">
      <c r="C32" t="s">
        <v>100</v>
      </c>
      <c r="D32" t="s">
        <v>60</v>
      </c>
    </row>
    <row r="33" spans="3:4" x14ac:dyDescent="0.45">
      <c r="C33" t="s">
        <v>101</v>
      </c>
      <c r="D33" t="s">
        <v>60</v>
      </c>
    </row>
    <row r="34" spans="3:4" x14ac:dyDescent="0.45">
      <c r="C34" t="s">
        <v>102</v>
      </c>
      <c r="D34" t="s">
        <v>60</v>
      </c>
    </row>
    <row r="35" spans="3:4" x14ac:dyDescent="0.45">
      <c r="C35" t="s">
        <v>103</v>
      </c>
      <c r="D35" t="s">
        <v>50</v>
      </c>
    </row>
    <row r="36" spans="3:4" x14ac:dyDescent="0.45">
      <c r="C36" t="s">
        <v>104</v>
      </c>
      <c r="D36" t="s">
        <v>60</v>
      </c>
    </row>
    <row r="37" spans="3:4" x14ac:dyDescent="0.45">
      <c r="C37" t="s">
        <v>105</v>
      </c>
      <c r="D37" t="s">
        <v>70</v>
      </c>
    </row>
    <row r="38" spans="3:4" x14ac:dyDescent="0.45">
      <c r="C38" t="s">
        <v>106</v>
      </c>
      <c r="D38" t="s">
        <v>50</v>
      </c>
    </row>
    <row r="39" spans="3:4" x14ac:dyDescent="0.45">
      <c r="C39" t="s">
        <v>107</v>
      </c>
      <c r="D39" t="s">
        <v>70</v>
      </c>
    </row>
    <row r="40" spans="3:4" x14ac:dyDescent="0.45">
      <c r="C40" t="s">
        <v>108</v>
      </c>
      <c r="D40" t="s">
        <v>73</v>
      </c>
    </row>
    <row r="41" spans="3:4" x14ac:dyDescent="0.45">
      <c r="C41" t="s">
        <v>109</v>
      </c>
      <c r="D41" t="s">
        <v>73</v>
      </c>
    </row>
    <row r="42" spans="3:4" x14ac:dyDescent="0.45">
      <c r="C42" t="s">
        <v>110</v>
      </c>
      <c r="D42" t="s">
        <v>111</v>
      </c>
    </row>
    <row r="43" spans="3:4" x14ac:dyDescent="0.45">
      <c r="C43" t="s">
        <v>112</v>
      </c>
      <c r="D43" t="s">
        <v>113</v>
      </c>
    </row>
    <row r="44" spans="3:4" x14ac:dyDescent="0.45">
      <c r="C44" t="s">
        <v>114</v>
      </c>
      <c r="D44" t="s">
        <v>52</v>
      </c>
    </row>
    <row r="45" spans="3:4" x14ac:dyDescent="0.45">
      <c r="C45" t="s">
        <v>115</v>
      </c>
      <c r="D45" t="s">
        <v>60</v>
      </c>
    </row>
    <row r="46" spans="3:4" x14ac:dyDescent="0.45">
      <c r="C46" t="s">
        <v>116</v>
      </c>
      <c r="D46" t="s">
        <v>52</v>
      </c>
    </row>
    <row r="47" spans="3:4" x14ac:dyDescent="0.45">
      <c r="C47" t="s">
        <v>117</v>
      </c>
      <c r="D47" t="s">
        <v>73</v>
      </c>
    </row>
    <row r="48" spans="3:4" x14ac:dyDescent="0.45">
      <c r="C48" t="s">
        <v>118</v>
      </c>
      <c r="D48" t="s">
        <v>73</v>
      </c>
    </row>
    <row r="49" spans="3:4" x14ac:dyDescent="0.45">
      <c r="C49" t="s">
        <v>119</v>
      </c>
      <c r="D49" t="s">
        <v>73</v>
      </c>
    </row>
    <row r="50" spans="3:4" x14ac:dyDescent="0.45">
      <c r="C50" t="s">
        <v>120</v>
      </c>
      <c r="D50" t="s">
        <v>70</v>
      </c>
    </row>
    <row r="51" spans="3:4" x14ac:dyDescent="0.45">
      <c r="C51" t="s">
        <v>121</v>
      </c>
      <c r="D51" t="s">
        <v>60</v>
      </c>
    </row>
    <row r="52" spans="3:4" x14ac:dyDescent="0.45">
      <c r="C52" t="s">
        <v>122</v>
      </c>
      <c r="D52" t="s">
        <v>73</v>
      </c>
    </row>
    <row r="53" spans="3:4" x14ac:dyDescent="0.45">
      <c r="C53" t="s">
        <v>123</v>
      </c>
      <c r="D53" t="s">
        <v>73</v>
      </c>
    </row>
    <row r="54" spans="3:4" x14ac:dyDescent="0.45">
      <c r="C54" t="s">
        <v>124</v>
      </c>
      <c r="D54" t="s">
        <v>60</v>
      </c>
    </row>
    <row r="55" spans="3:4" x14ac:dyDescent="0.45">
      <c r="C55" t="s">
        <v>125</v>
      </c>
      <c r="D55" t="s">
        <v>60</v>
      </c>
    </row>
    <row r="56" spans="3:4" x14ac:dyDescent="0.45">
      <c r="C56" t="s">
        <v>126</v>
      </c>
      <c r="D56" t="s">
        <v>60</v>
      </c>
    </row>
    <row r="57" spans="3:4" x14ac:dyDescent="0.45">
      <c r="C57" t="s">
        <v>127</v>
      </c>
      <c r="D57" t="s">
        <v>60</v>
      </c>
    </row>
    <row r="58" spans="3:4" x14ac:dyDescent="0.45">
      <c r="C58" t="s">
        <v>128</v>
      </c>
      <c r="D58" t="s">
        <v>129</v>
      </c>
    </row>
    <row r="59" spans="3:4" x14ac:dyDescent="0.45">
      <c r="C59" t="s">
        <v>130</v>
      </c>
      <c r="D59" t="s">
        <v>131</v>
      </c>
    </row>
    <row r="60" spans="3:4" x14ac:dyDescent="0.45">
      <c r="C60" t="s">
        <v>132</v>
      </c>
      <c r="D60" t="s">
        <v>133</v>
      </c>
    </row>
    <row r="61" spans="3:4" x14ac:dyDescent="0.45">
      <c r="C61" t="s">
        <v>134</v>
      </c>
      <c r="D61" t="s">
        <v>73</v>
      </c>
    </row>
    <row r="62" spans="3:4" x14ac:dyDescent="0.45">
      <c r="C62" t="s">
        <v>135</v>
      </c>
      <c r="D62" t="s">
        <v>60</v>
      </c>
    </row>
    <row r="63" spans="3:4" x14ac:dyDescent="0.45">
      <c r="C63" t="s">
        <v>136</v>
      </c>
      <c r="D63" t="s">
        <v>137</v>
      </c>
    </row>
    <row r="64" spans="3:4" x14ac:dyDescent="0.45">
      <c r="C64" t="s">
        <v>138</v>
      </c>
      <c r="D64" t="s">
        <v>60</v>
      </c>
    </row>
    <row r="65" spans="3:4" x14ac:dyDescent="0.45">
      <c r="C65" t="s">
        <v>139</v>
      </c>
      <c r="D65" t="s">
        <v>72</v>
      </c>
    </row>
    <row r="66" spans="3:4" x14ac:dyDescent="0.45">
      <c r="C66" t="s">
        <v>140</v>
      </c>
      <c r="D66" t="s">
        <v>60</v>
      </c>
    </row>
    <row r="67" spans="3:4" x14ac:dyDescent="0.45">
      <c r="C67" t="s">
        <v>141</v>
      </c>
      <c r="D67" t="s">
        <v>72</v>
      </c>
    </row>
    <row r="68" spans="3:4" x14ac:dyDescent="0.45">
      <c r="C68" t="s">
        <v>142</v>
      </c>
      <c r="D68" t="s">
        <v>73</v>
      </c>
    </row>
    <row r="69" spans="3:4" x14ac:dyDescent="0.45">
      <c r="C69" t="s">
        <v>143</v>
      </c>
      <c r="D69" t="s">
        <v>144</v>
      </c>
    </row>
    <row r="70" spans="3:4" x14ac:dyDescent="0.45">
      <c r="C70" t="s">
        <v>145</v>
      </c>
      <c r="D70" t="s">
        <v>146</v>
      </c>
    </row>
    <row r="71" spans="3:4" x14ac:dyDescent="0.45">
      <c r="C71" t="s">
        <v>147</v>
      </c>
      <c r="D71" t="s">
        <v>73</v>
      </c>
    </row>
    <row r="72" spans="3:4" x14ac:dyDescent="0.45">
      <c r="C72" t="s">
        <v>148</v>
      </c>
      <c r="D72" t="s">
        <v>86</v>
      </c>
    </row>
    <row r="73" spans="3:4" x14ac:dyDescent="0.45">
      <c r="C73" t="s">
        <v>148</v>
      </c>
      <c r="D73" t="s">
        <v>146</v>
      </c>
    </row>
    <row r="74" spans="3:4" x14ac:dyDescent="0.45">
      <c r="C74" t="s">
        <v>148</v>
      </c>
      <c r="D74" t="s">
        <v>90</v>
      </c>
    </row>
    <row r="75" spans="3:4" x14ac:dyDescent="0.45">
      <c r="C75" t="s">
        <v>148</v>
      </c>
      <c r="D75" t="s">
        <v>149</v>
      </c>
    </row>
    <row r="76" spans="3:4" x14ac:dyDescent="0.45">
      <c r="C76" t="s">
        <v>148</v>
      </c>
      <c r="D76" t="s">
        <v>131</v>
      </c>
    </row>
    <row r="77" spans="3:4" x14ac:dyDescent="0.45">
      <c r="C77" t="s">
        <v>148</v>
      </c>
      <c r="D77" t="s">
        <v>150</v>
      </c>
    </row>
    <row r="78" spans="3:4" x14ac:dyDescent="0.45">
      <c r="C78" t="s">
        <v>148</v>
      </c>
      <c r="D78" t="s">
        <v>133</v>
      </c>
    </row>
    <row r="79" spans="3:4" x14ac:dyDescent="0.45">
      <c r="C79" t="s">
        <v>148</v>
      </c>
      <c r="D79" t="s">
        <v>129</v>
      </c>
    </row>
    <row r="80" spans="3:4" x14ac:dyDescent="0.45">
      <c r="C80" t="s">
        <v>148</v>
      </c>
      <c r="D80" t="s">
        <v>95</v>
      </c>
    </row>
    <row r="81" spans="3:4" x14ac:dyDescent="0.45">
      <c r="C81" t="s">
        <v>148</v>
      </c>
      <c r="D81" t="s">
        <v>151</v>
      </c>
    </row>
    <row r="82" spans="3:4" x14ac:dyDescent="0.45">
      <c r="C82" t="s">
        <v>148</v>
      </c>
      <c r="D82" t="s">
        <v>152</v>
      </c>
    </row>
    <row r="83" spans="3:4" x14ac:dyDescent="0.45">
      <c r="C83" t="s">
        <v>148</v>
      </c>
      <c r="D83" t="s">
        <v>153</v>
      </c>
    </row>
    <row r="84" spans="3:4" x14ac:dyDescent="0.45">
      <c r="C84" t="s">
        <v>148</v>
      </c>
      <c r="D84" t="s">
        <v>62</v>
      </c>
    </row>
    <row r="85" spans="3:4" x14ac:dyDescent="0.45">
      <c r="C85" t="s">
        <v>148</v>
      </c>
      <c r="D85" t="s">
        <v>154</v>
      </c>
    </row>
    <row r="86" spans="3:4" x14ac:dyDescent="0.45">
      <c r="C86" t="s">
        <v>148</v>
      </c>
      <c r="D86" t="s">
        <v>155</v>
      </c>
    </row>
    <row r="87" spans="3:4" x14ac:dyDescent="0.45">
      <c r="C87" t="s">
        <v>148</v>
      </c>
      <c r="D87" t="s">
        <v>144</v>
      </c>
    </row>
    <row r="88" spans="3:4" x14ac:dyDescent="0.45">
      <c r="C88" t="s">
        <v>148</v>
      </c>
      <c r="D88" t="s">
        <v>137</v>
      </c>
    </row>
    <row r="89" spans="3:4" x14ac:dyDescent="0.45">
      <c r="C89" t="s">
        <v>148</v>
      </c>
      <c r="D89" t="s">
        <v>113</v>
      </c>
    </row>
    <row r="90" spans="3:4" x14ac:dyDescent="0.45">
      <c r="C90" t="s">
        <v>148</v>
      </c>
      <c r="D90" t="s">
        <v>156</v>
      </c>
    </row>
    <row r="91" spans="3:4" x14ac:dyDescent="0.45">
      <c r="C91" t="s">
        <v>148</v>
      </c>
      <c r="D91" t="s">
        <v>157</v>
      </c>
    </row>
    <row r="92" spans="3:4" x14ac:dyDescent="0.45">
      <c r="C92" t="s">
        <v>158</v>
      </c>
      <c r="D92" t="s">
        <v>137</v>
      </c>
    </row>
    <row r="93" spans="3:4" x14ac:dyDescent="0.45">
      <c r="C93" t="s">
        <v>159</v>
      </c>
      <c r="D93" t="s">
        <v>70</v>
      </c>
    </row>
    <row r="94" spans="3:4" x14ac:dyDescent="0.45">
      <c r="C94" t="s">
        <v>160</v>
      </c>
      <c r="D94" t="s">
        <v>150</v>
      </c>
    </row>
    <row r="95" spans="3:4" x14ac:dyDescent="0.45">
      <c r="C95" t="s">
        <v>161</v>
      </c>
      <c r="D95" t="s">
        <v>73</v>
      </c>
    </row>
    <row r="96" spans="3:4" x14ac:dyDescent="0.45">
      <c r="C96" t="s">
        <v>162</v>
      </c>
      <c r="D96" t="s">
        <v>157</v>
      </c>
    </row>
    <row r="97" spans="3:4" x14ac:dyDescent="0.45">
      <c r="C97" t="s">
        <v>163</v>
      </c>
      <c r="D97" t="s">
        <v>70</v>
      </c>
    </row>
    <row r="98" spans="3:4" x14ac:dyDescent="0.45">
      <c r="C98" t="s">
        <v>164</v>
      </c>
      <c r="D98" t="s">
        <v>73</v>
      </c>
    </row>
    <row r="99" spans="3:4" x14ac:dyDescent="0.45">
      <c r="C99" t="s">
        <v>165</v>
      </c>
      <c r="D99" t="s">
        <v>73</v>
      </c>
    </row>
    <row r="100" spans="3:4" x14ac:dyDescent="0.45">
      <c r="C100" t="s">
        <v>166</v>
      </c>
      <c r="D100" t="s">
        <v>73</v>
      </c>
    </row>
    <row r="101" spans="3:4" x14ac:dyDescent="0.45">
      <c r="C101" t="s">
        <v>167</v>
      </c>
      <c r="D101" t="s">
        <v>73</v>
      </c>
    </row>
    <row r="102" spans="3:4" x14ac:dyDescent="0.45">
      <c r="C102" t="s">
        <v>168</v>
      </c>
      <c r="D102" t="s">
        <v>73</v>
      </c>
    </row>
    <row r="103" spans="3:4" x14ac:dyDescent="0.45">
      <c r="C103" t="s">
        <v>169</v>
      </c>
      <c r="D103" t="s">
        <v>129</v>
      </c>
    </row>
    <row r="104" spans="3:4" x14ac:dyDescent="0.45">
      <c r="C104" t="s">
        <v>170</v>
      </c>
      <c r="D104" t="s">
        <v>60</v>
      </c>
    </row>
    <row r="105" spans="3:4" x14ac:dyDescent="0.45">
      <c r="C105" t="s">
        <v>171</v>
      </c>
      <c r="D105" t="s">
        <v>60</v>
      </c>
    </row>
    <row r="106" spans="3:4" x14ac:dyDescent="0.45">
      <c r="C106" t="s">
        <v>172</v>
      </c>
      <c r="D106" t="s">
        <v>60</v>
      </c>
    </row>
    <row r="107" spans="3:4" x14ac:dyDescent="0.45">
      <c r="C107" t="s">
        <v>173</v>
      </c>
      <c r="D107" t="s">
        <v>60</v>
      </c>
    </row>
    <row r="108" spans="3:4" x14ac:dyDescent="0.45">
      <c r="C108" t="s">
        <v>174</v>
      </c>
      <c r="D108" t="s">
        <v>70</v>
      </c>
    </row>
    <row r="109" spans="3:4" x14ac:dyDescent="0.45">
      <c r="C109" t="s">
        <v>175</v>
      </c>
      <c r="D109" t="s">
        <v>60</v>
      </c>
    </row>
    <row r="110" spans="3:4" x14ac:dyDescent="0.45">
      <c r="C110" t="s">
        <v>176</v>
      </c>
      <c r="D110" t="s">
        <v>149</v>
      </c>
    </row>
    <row r="111" spans="3:4" x14ac:dyDescent="0.45">
      <c r="C111" t="s">
        <v>177</v>
      </c>
      <c r="D111" t="s">
        <v>60</v>
      </c>
    </row>
    <row r="112" spans="3:4" x14ac:dyDescent="0.45">
      <c r="C112" t="s">
        <v>178</v>
      </c>
      <c r="D112" t="s">
        <v>95</v>
      </c>
    </row>
    <row r="113" spans="3:4" x14ac:dyDescent="0.45">
      <c r="C113" t="s">
        <v>179</v>
      </c>
      <c r="D113" t="s">
        <v>70</v>
      </c>
    </row>
    <row r="114" spans="3:4" x14ac:dyDescent="0.45">
      <c r="C114" t="s">
        <v>180</v>
      </c>
      <c r="D114" t="s">
        <v>57</v>
      </c>
    </row>
    <row r="115" spans="3:4" x14ac:dyDescent="0.45">
      <c r="C115" t="s">
        <v>181</v>
      </c>
      <c r="D115" t="s">
        <v>152</v>
      </c>
    </row>
    <row r="116" spans="3:4" x14ac:dyDescent="0.45">
      <c r="C116" t="s">
        <v>182</v>
      </c>
      <c r="D116" t="s">
        <v>62</v>
      </c>
    </row>
    <row r="117" spans="3:4" x14ac:dyDescent="0.45">
      <c r="C117" t="s">
        <v>183</v>
      </c>
      <c r="D117" t="s">
        <v>62</v>
      </c>
    </row>
    <row r="118" spans="3:4" x14ac:dyDescent="0.45">
      <c r="C118" t="s">
        <v>184</v>
      </c>
      <c r="D118" t="s">
        <v>151</v>
      </c>
    </row>
    <row r="119" spans="3:4" x14ac:dyDescent="0.45">
      <c r="C119" t="s">
        <v>185</v>
      </c>
      <c r="D119" t="s">
        <v>62</v>
      </c>
    </row>
    <row r="120" spans="3:4" x14ac:dyDescent="0.45">
      <c r="C120" t="s">
        <v>186</v>
      </c>
      <c r="D120" t="s">
        <v>153</v>
      </c>
    </row>
    <row r="121" spans="3:4" x14ac:dyDescent="0.45">
      <c r="C121" t="s">
        <v>187</v>
      </c>
      <c r="D121" t="s">
        <v>60</v>
      </c>
    </row>
    <row r="122" spans="3:4" x14ac:dyDescent="0.45">
      <c r="C122" t="s">
        <v>188</v>
      </c>
      <c r="D122" t="s">
        <v>62</v>
      </c>
    </row>
    <row r="123" spans="3:4" x14ac:dyDescent="0.45">
      <c r="C123" t="s">
        <v>189</v>
      </c>
      <c r="D123" t="s">
        <v>59</v>
      </c>
    </row>
    <row r="124" spans="3:4" x14ac:dyDescent="0.45">
      <c r="C124" t="s">
        <v>190</v>
      </c>
      <c r="D124" t="s">
        <v>70</v>
      </c>
    </row>
    <row r="125" spans="3:4" x14ac:dyDescent="0.45">
      <c r="C125" t="s">
        <v>191</v>
      </c>
      <c r="D125" t="s">
        <v>73</v>
      </c>
    </row>
    <row r="126" spans="3:4" x14ac:dyDescent="0.45">
      <c r="C126" t="s">
        <v>192</v>
      </c>
      <c r="D126" t="s">
        <v>70</v>
      </c>
    </row>
    <row r="127" spans="3:4" x14ac:dyDescent="0.45">
      <c r="C127" t="s">
        <v>193</v>
      </c>
      <c r="D127" t="s">
        <v>70</v>
      </c>
    </row>
    <row r="128" spans="3:4" x14ac:dyDescent="0.45">
      <c r="C128" t="s">
        <v>194</v>
      </c>
      <c r="D128" t="s">
        <v>70</v>
      </c>
    </row>
    <row r="129" spans="3:4" x14ac:dyDescent="0.45">
      <c r="C129" t="s">
        <v>195</v>
      </c>
      <c r="D129" t="s">
        <v>60</v>
      </c>
    </row>
    <row r="130" spans="3:4" x14ac:dyDescent="0.45">
      <c r="C130" t="s">
        <v>196</v>
      </c>
      <c r="D130" t="s">
        <v>70</v>
      </c>
    </row>
    <row r="131" spans="3:4" x14ac:dyDescent="0.45">
      <c r="C131" t="s">
        <v>197</v>
      </c>
      <c r="D131" t="s">
        <v>77</v>
      </c>
    </row>
    <row r="132" spans="3:4" x14ac:dyDescent="0.45">
      <c r="C132" t="s">
        <v>198</v>
      </c>
      <c r="D132" t="s">
        <v>62</v>
      </c>
    </row>
    <row r="133" spans="3:4" x14ac:dyDescent="0.45">
      <c r="C133" t="s">
        <v>199</v>
      </c>
      <c r="D133" t="s">
        <v>70</v>
      </c>
    </row>
    <row r="134" spans="3:4" x14ac:dyDescent="0.45">
      <c r="C134" t="s">
        <v>200</v>
      </c>
      <c r="D134" t="s">
        <v>62</v>
      </c>
    </row>
    <row r="135" spans="3:4" x14ac:dyDescent="0.45">
      <c r="C135" t="s">
        <v>201</v>
      </c>
      <c r="D135" t="s">
        <v>73</v>
      </c>
    </row>
    <row r="136" spans="3:4" x14ac:dyDescent="0.45">
      <c r="C136" t="s">
        <v>202</v>
      </c>
      <c r="D136" t="s">
        <v>72</v>
      </c>
    </row>
    <row r="137" spans="3:4" x14ac:dyDescent="0.45">
      <c r="C137" t="s">
        <v>203</v>
      </c>
      <c r="D137" t="s">
        <v>60</v>
      </c>
    </row>
    <row r="138" spans="3:4" x14ac:dyDescent="0.45">
      <c r="C138" t="s">
        <v>204</v>
      </c>
      <c r="D138" t="s">
        <v>70</v>
      </c>
    </row>
    <row r="139" spans="3:4" x14ac:dyDescent="0.45">
      <c r="C139" t="s">
        <v>205</v>
      </c>
      <c r="D139" t="s">
        <v>73</v>
      </c>
    </row>
    <row r="140" spans="3:4" x14ac:dyDescent="0.45">
      <c r="C140" t="s">
        <v>206</v>
      </c>
      <c r="D140" t="s">
        <v>146</v>
      </c>
    </row>
    <row r="141" spans="3:4" x14ac:dyDescent="0.45">
      <c r="C141" t="s">
        <v>207</v>
      </c>
      <c r="D141" t="s">
        <v>90</v>
      </c>
    </row>
    <row r="142" spans="3:4" x14ac:dyDescent="0.45">
      <c r="C142" t="s">
        <v>208</v>
      </c>
      <c r="D142" t="s">
        <v>146</v>
      </c>
    </row>
    <row r="143" spans="3:4" x14ac:dyDescent="0.45">
      <c r="C143" t="s">
        <v>209</v>
      </c>
      <c r="D143" t="s">
        <v>70</v>
      </c>
    </row>
    <row r="144" spans="3:4" x14ac:dyDescent="0.45">
      <c r="C144" t="s">
        <v>210</v>
      </c>
      <c r="D144" t="s">
        <v>72</v>
      </c>
    </row>
    <row r="145" spans="3:4" x14ac:dyDescent="0.45">
      <c r="C145" t="s">
        <v>211</v>
      </c>
      <c r="D145" t="s">
        <v>212</v>
      </c>
    </row>
    <row r="146" spans="3:4" x14ac:dyDescent="0.45">
      <c r="C146" t="s">
        <v>213</v>
      </c>
      <c r="D146" t="s">
        <v>73</v>
      </c>
    </row>
    <row r="147" spans="3:4" x14ac:dyDescent="0.45">
      <c r="C147" t="s">
        <v>214</v>
      </c>
      <c r="D147" t="s">
        <v>70</v>
      </c>
    </row>
    <row r="148" spans="3:4" x14ac:dyDescent="0.45">
      <c r="C148" t="s">
        <v>215</v>
      </c>
      <c r="D148" t="s">
        <v>111</v>
      </c>
    </row>
    <row r="149" spans="3:4" x14ac:dyDescent="0.45">
      <c r="C149" t="s">
        <v>216</v>
      </c>
      <c r="D149" t="s">
        <v>129</v>
      </c>
    </row>
    <row r="150" spans="3:4" x14ac:dyDescent="0.45">
      <c r="C150" t="s">
        <v>216</v>
      </c>
      <c r="D150" t="s">
        <v>62</v>
      </c>
    </row>
    <row r="151" spans="3:4" x14ac:dyDescent="0.45">
      <c r="C151" t="s">
        <v>216</v>
      </c>
      <c r="D151" t="s">
        <v>64</v>
      </c>
    </row>
    <row r="152" spans="3:4" x14ac:dyDescent="0.45">
      <c r="C152" t="s">
        <v>217</v>
      </c>
      <c r="D152" t="s">
        <v>77</v>
      </c>
    </row>
    <row r="153" spans="3:4" x14ac:dyDescent="0.45">
      <c r="C153" t="s">
        <v>218</v>
      </c>
      <c r="D153" t="s">
        <v>73</v>
      </c>
    </row>
    <row r="154" spans="3:4" x14ac:dyDescent="0.45">
      <c r="C154" t="s">
        <v>219</v>
      </c>
      <c r="D154" t="s">
        <v>153</v>
      </c>
    </row>
    <row r="155" spans="3:4" x14ac:dyDescent="0.45">
      <c r="C155" t="s">
        <v>220</v>
      </c>
      <c r="D155" t="s">
        <v>70</v>
      </c>
    </row>
    <row r="156" spans="3:4" x14ac:dyDescent="0.45">
      <c r="C156" t="s">
        <v>221</v>
      </c>
      <c r="D156" t="s">
        <v>77</v>
      </c>
    </row>
    <row r="157" spans="3:4" x14ac:dyDescent="0.45">
      <c r="C157" t="s">
        <v>222</v>
      </c>
      <c r="D157" t="s">
        <v>70</v>
      </c>
    </row>
    <row r="158" spans="3:4" x14ac:dyDescent="0.45">
      <c r="C158" t="s">
        <v>223</v>
      </c>
      <c r="D158" t="s">
        <v>73</v>
      </c>
    </row>
    <row r="159" spans="3:4" x14ac:dyDescent="0.45">
      <c r="C159" t="s">
        <v>224</v>
      </c>
      <c r="D159" t="s">
        <v>73</v>
      </c>
    </row>
    <row r="160" spans="3:4" x14ac:dyDescent="0.45">
      <c r="C160" t="s">
        <v>225</v>
      </c>
      <c r="D160" t="s">
        <v>60</v>
      </c>
    </row>
    <row r="161" spans="3:4" x14ac:dyDescent="0.45">
      <c r="C161" t="s">
        <v>226</v>
      </c>
      <c r="D161" t="s">
        <v>73</v>
      </c>
    </row>
    <row r="162" spans="3:4" x14ac:dyDescent="0.45">
      <c r="C162" t="s">
        <v>227</v>
      </c>
      <c r="D162" t="s">
        <v>73</v>
      </c>
    </row>
    <row r="163" spans="3:4" x14ac:dyDescent="0.45">
      <c r="C163" t="s">
        <v>228</v>
      </c>
      <c r="D163" t="s">
        <v>60</v>
      </c>
    </row>
    <row r="164" spans="3:4" x14ac:dyDescent="0.45">
      <c r="C164" t="s">
        <v>228</v>
      </c>
      <c r="D164" t="s">
        <v>111</v>
      </c>
    </row>
    <row r="165" spans="3:4" x14ac:dyDescent="0.45">
      <c r="C165" t="s">
        <v>229</v>
      </c>
      <c r="D165" t="s">
        <v>70</v>
      </c>
    </row>
    <row r="166" spans="3:4" x14ac:dyDescent="0.45">
      <c r="C166" t="s">
        <v>230</v>
      </c>
      <c r="D166" t="s">
        <v>73</v>
      </c>
    </row>
    <row r="167" spans="3:4" x14ac:dyDescent="0.45">
      <c r="C167" t="s">
        <v>231</v>
      </c>
      <c r="D167" t="s">
        <v>70</v>
      </c>
    </row>
    <row r="168" spans="3:4" x14ac:dyDescent="0.45">
      <c r="C168" t="s">
        <v>232</v>
      </c>
      <c r="D168" t="s">
        <v>73</v>
      </c>
    </row>
    <row r="169" spans="3:4" x14ac:dyDescent="0.45">
      <c r="C169" t="s">
        <v>233</v>
      </c>
      <c r="D169" t="s">
        <v>73</v>
      </c>
    </row>
    <row r="170" spans="3:4" x14ac:dyDescent="0.45">
      <c r="C170" t="s">
        <v>234</v>
      </c>
      <c r="D170" t="s">
        <v>60</v>
      </c>
    </row>
    <row r="171" spans="3:4" x14ac:dyDescent="0.45">
      <c r="C171" t="s">
        <v>235</v>
      </c>
      <c r="D171" t="s">
        <v>90</v>
      </c>
    </row>
    <row r="172" spans="3:4" x14ac:dyDescent="0.45">
      <c r="C172" t="s">
        <v>236</v>
      </c>
      <c r="D172" t="s">
        <v>154</v>
      </c>
    </row>
    <row r="173" spans="3:4" x14ac:dyDescent="0.45">
      <c r="C173" t="s">
        <v>237</v>
      </c>
      <c r="D173" t="s">
        <v>70</v>
      </c>
    </row>
    <row r="174" spans="3:4" x14ac:dyDescent="0.45">
      <c r="C174" t="s">
        <v>238</v>
      </c>
      <c r="D174" t="s">
        <v>70</v>
      </c>
    </row>
    <row r="175" spans="3:4" x14ac:dyDescent="0.45">
      <c r="C175" t="s">
        <v>239</v>
      </c>
      <c r="D175" t="s">
        <v>70</v>
      </c>
    </row>
    <row r="176" spans="3:4" x14ac:dyDescent="0.45">
      <c r="C176" t="s">
        <v>240</v>
      </c>
      <c r="D176" t="s">
        <v>62</v>
      </c>
    </row>
    <row r="177" spans="3:4" x14ac:dyDescent="0.45">
      <c r="C177" t="s">
        <v>241</v>
      </c>
      <c r="D177" t="s">
        <v>70</v>
      </c>
    </row>
    <row r="178" spans="3:4" x14ac:dyDescent="0.45">
      <c r="C178" t="s">
        <v>242</v>
      </c>
      <c r="D178" t="s">
        <v>60</v>
      </c>
    </row>
    <row r="179" spans="3:4" x14ac:dyDescent="0.45">
      <c r="C179" t="s">
        <v>243</v>
      </c>
      <c r="D179" t="s">
        <v>60</v>
      </c>
    </row>
    <row r="180" spans="3:4" x14ac:dyDescent="0.45">
      <c r="C180" t="s">
        <v>244</v>
      </c>
      <c r="D180" t="s">
        <v>70</v>
      </c>
    </row>
    <row r="181" spans="3:4" x14ac:dyDescent="0.45">
      <c r="C181" t="s">
        <v>245</v>
      </c>
      <c r="D181" t="s">
        <v>70</v>
      </c>
    </row>
    <row r="182" spans="3:4" x14ac:dyDescent="0.45">
      <c r="C182" t="s">
        <v>246</v>
      </c>
      <c r="D182" t="s">
        <v>70</v>
      </c>
    </row>
    <row r="183" spans="3:4" x14ac:dyDescent="0.45">
      <c r="C183" t="s">
        <v>247</v>
      </c>
      <c r="D183" t="s">
        <v>155</v>
      </c>
    </row>
    <row r="184" spans="3:4" x14ac:dyDescent="0.45">
      <c r="C184" t="s">
        <v>248</v>
      </c>
      <c r="D184" t="s">
        <v>60</v>
      </c>
    </row>
    <row r="185" spans="3:4" x14ac:dyDescent="0.45">
      <c r="C185" t="s">
        <v>249</v>
      </c>
      <c r="D185" t="s">
        <v>70</v>
      </c>
    </row>
    <row r="186" spans="3:4" x14ac:dyDescent="0.45">
      <c r="C186" t="s">
        <v>250</v>
      </c>
      <c r="D186" t="s">
        <v>144</v>
      </c>
    </row>
    <row r="187" spans="3:4" x14ac:dyDescent="0.45">
      <c r="C187" t="s">
        <v>251</v>
      </c>
      <c r="D187" t="s">
        <v>60</v>
      </c>
    </row>
    <row r="188" spans="3:4" x14ac:dyDescent="0.45">
      <c r="C188" t="s">
        <v>252</v>
      </c>
      <c r="D188" t="s">
        <v>62</v>
      </c>
    </row>
    <row r="189" spans="3:4" x14ac:dyDescent="0.45">
      <c r="C189" t="s">
        <v>253</v>
      </c>
      <c r="D189" t="s">
        <v>70</v>
      </c>
    </row>
    <row r="190" spans="3:4" x14ac:dyDescent="0.45">
      <c r="C190" t="s">
        <v>254</v>
      </c>
      <c r="D190" t="s">
        <v>62</v>
      </c>
    </row>
    <row r="191" spans="3:4" x14ac:dyDescent="0.45">
      <c r="C191" t="s">
        <v>255</v>
      </c>
      <c r="D191" t="s">
        <v>95</v>
      </c>
    </row>
    <row r="192" spans="3:4" x14ac:dyDescent="0.45">
      <c r="C192" t="s">
        <v>256</v>
      </c>
      <c r="D192" t="s">
        <v>63</v>
      </c>
    </row>
    <row r="193" spans="3:4" x14ac:dyDescent="0.45">
      <c r="C193" t="s">
        <v>257</v>
      </c>
      <c r="D193" t="s">
        <v>73</v>
      </c>
    </row>
    <row r="194" spans="3:4" x14ac:dyDescent="0.45">
      <c r="C194" t="s">
        <v>258</v>
      </c>
      <c r="D194" t="s">
        <v>64</v>
      </c>
    </row>
    <row r="195" spans="3:4" x14ac:dyDescent="0.45">
      <c r="C195" t="s">
        <v>259</v>
      </c>
      <c r="D195" t="s">
        <v>73</v>
      </c>
    </row>
    <row r="196" spans="3:4" x14ac:dyDescent="0.45">
      <c r="C196" t="s">
        <v>260</v>
      </c>
      <c r="D196" t="s">
        <v>73</v>
      </c>
    </row>
    <row r="197" spans="3:4" x14ac:dyDescent="0.45">
      <c r="C197" t="s">
        <v>261</v>
      </c>
      <c r="D197" t="s">
        <v>70</v>
      </c>
    </row>
    <row r="198" spans="3:4" x14ac:dyDescent="0.45">
      <c r="C198" t="s">
        <v>262</v>
      </c>
      <c r="D198" t="s">
        <v>70</v>
      </c>
    </row>
    <row r="199" spans="3:4" x14ac:dyDescent="0.45">
      <c r="C199" t="s">
        <v>263</v>
      </c>
      <c r="D199" t="s">
        <v>70</v>
      </c>
    </row>
    <row r="200" spans="3:4" x14ac:dyDescent="0.45">
      <c r="C200" t="s">
        <v>264</v>
      </c>
      <c r="D200" t="s">
        <v>73</v>
      </c>
    </row>
    <row r="201" spans="3:4" x14ac:dyDescent="0.45">
      <c r="C201" t="s">
        <v>265</v>
      </c>
      <c r="D201" t="s">
        <v>60</v>
      </c>
    </row>
    <row r="202" spans="3:4" x14ac:dyDescent="0.45">
      <c r="C202" t="s">
        <v>266</v>
      </c>
      <c r="D202" t="s">
        <v>73</v>
      </c>
    </row>
    <row r="203" spans="3:4" x14ac:dyDescent="0.45">
      <c r="C203" t="s">
        <v>267</v>
      </c>
      <c r="D203" t="s">
        <v>77</v>
      </c>
    </row>
    <row r="204" spans="3:4" x14ac:dyDescent="0.45">
      <c r="C204" t="s">
        <v>268</v>
      </c>
      <c r="D204" t="s">
        <v>73</v>
      </c>
    </row>
    <row r="205" spans="3:4" x14ac:dyDescent="0.45">
      <c r="C205" t="s">
        <v>269</v>
      </c>
      <c r="D205" t="s">
        <v>73</v>
      </c>
    </row>
    <row r="206" spans="3:4" x14ac:dyDescent="0.45">
      <c r="C206" t="s">
        <v>270</v>
      </c>
      <c r="D206" t="s">
        <v>60</v>
      </c>
    </row>
    <row r="207" spans="3:4" x14ac:dyDescent="0.45">
      <c r="C207" t="s">
        <v>271</v>
      </c>
      <c r="D207" t="s">
        <v>131</v>
      </c>
    </row>
    <row r="208" spans="3:4" x14ac:dyDescent="0.45">
      <c r="C208" t="s">
        <v>272</v>
      </c>
      <c r="D208" t="s">
        <v>149</v>
      </c>
    </row>
    <row r="209" spans="3:4" x14ac:dyDescent="0.45">
      <c r="C209" t="s">
        <v>273</v>
      </c>
      <c r="D209" t="s">
        <v>137</v>
      </c>
    </row>
    <row r="210" spans="3:4" x14ac:dyDescent="0.45">
      <c r="C210" t="s">
        <v>274</v>
      </c>
      <c r="D210" t="s">
        <v>73</v>
      </c>
    </row>
    <row r="211" spans="3:4" x14ac:dyDescent="0.45">
      <c r="C211" t="s">
        <v>275</v>
      </c>
      <c r="D211" t="s">
        <v>73</v>
      </c>
    </row>
    <row r="212" spans="3:4" x14ac:dyDescent="0.45">
      <c r="C212" t="s">
        <v>276</v>
      </c>
      <c r="D212" t="s">
        <v>62</v>
      </c>
    </row>
    <row r="213" spans="3:4" x14ac:dyDescent="0.45">
      <c r="C213" t="s">
        <v>277</v>
      </c>
      <c r="D213" t="s">
        <v>60</v>
      </c>
    </row>
    <row r="214" spans="3:4" x14ac:dyDescent="0.45">
      <c r="C214" t="s">
        <v>278</v>
      </c>
      <c r="D214" t="s">
        <v>73</v>
      </c>
    </row>
    <row r="215" spans="3:4" x14ac:dyDescent="0.45">
      <c r="C215" t="s">
        <v>279</v>
      </c>
      <c r="D215" t="s">
        <v>73</v>
      </c>
    </row>
    <row r="216" spans="3:4" x14ac:dyDescent="0.45">
      <c r="C216" t="s">
        <v>280</v>
      </c>
      <c r="D216" t="s">
        <v>70</v>
      </c>
    </row>
    <row r="217" spans="3:4" x14ac:dyDescent="0.45">
      <c r="C217" t="s">
        <v>281</v>
      </c>
      <c r="D217" t="s">
        <v>70</v>
      </c>
    </row>
    <row r="218" spans="3:4" x14ac:dyDescent="0.45">
      <c r="C218" t="s">
        <v>282</v>
      </c>
      <c r="D218" t="s">
        <v>70</v>
      </c>
    </row>
    <row r="219" spans="3:4" x14ac:dyDescent="0.45">
      <c r="C219" t="s">
        <v>283</v>
      </c>
      <c r="D219" t="s">
        <v>70</v>
      </c>
    </row>
    <row r="220" spans="3:4" x14ac:dyDescent="0.45">
      <c r="C220" t="s">
        <v>284</v>
      </c>
      <c r="D220" t="s">
        <v>60</v>
      </c>
    </row>
    <row r="221" spans="3:4" x14ac:dyDescent="0.45">
      <c r="C221" t="s">
        <v>285</v>
      </c>
      <c r="D221" t="s">
        <v>72</v>
      </c>
    </row>
    <row r="222" spans="3:4" x14ac:dyDescent="0.45">
      <c r="C222" t="s">
        <v>286</v>
      </c>
      <c r="D222" t="s">
        <v>156</v>
      </c>
    </row>
    <row r="223" spans="3:4" x14ac:dyDescent="0.45">
      <c r="C223" t="s">
        <v>287</v>
      </c>
      <c r="D223" t="s">
        <v>70</v>
      </c>
    </row>
    <row r="224" spans="3:4" x14ac:dyDescent="0.45">
      <c r="C224" t="s">
        <v>288</v>
      </c>
      <c r="D224" t="s">
        <v>73</v>
      </c>
    </row>
    <row r="225" spans="3:4" x14ac:dyDescent="0.45">
      <c r="C225" t="s">
        <v>289</v>
      </c>
      <c r="D225" t="s">
        <v>73</v>
      </c>
    </row>
    <row r="226" spans="3:4" x14ac:dyDescent="0.45">
      <c r="C226" t="s">
        <v>290</v>
      </c>
      <c r="D226" t="s">
        <v>212</v>
      </c>
    </row>
    <row r="227" spans="3:4" x14ac:dyDescent="0.45">
      <c r="C227" t="s">
        <v>291</v>
      </c>
      <c r="D227" t="s">
        <v>146</v>
      </c>
    </row>
    <row r="228" spans="3:4" x14ac:dyDescent="0.45">
      <c r="C228" t="s">
        <v>291</v>
      </c>
      <c r="D228" t="s">
        <v>149</v>
      </c>
    </row>
    <row r="229" spans="3:4" x14ac:dyDescent="0.45">
      <c r="C229" t="s">
        <v>291</v>
      </c>
      <c r="D229" t="s">
        <v>95</v>
      </c>
    </row>
    <row r="230" spans="3:4" x14ac:dyDescent="0.45">
      <c r="C230" t="s">
        <v>291</v>
      </c>
      <c r="D230" t="s">
        <v>153</v>
      </c>
    </row>
    <row r="231" spans="3:4" x14ac:dyDescent="0.45">
      <c r="C231" t="s">
        <v>291</v>
      </c>
      <c r="D231" t="s">
        <v>70</v>
      </c>
    </row>
    <row r="232" spans="3:4" x14ac:dyDescent="0.45">
      <c r="C232" t="s">
        <v>291</v>
      </c>
      <c r="D232" t="s">
        <v>63</v>
      </c>
    </row>
    <row r="233" spans="3:4" x14ac:dyDescent="0.45">
      <c r="C233" t="s">
        <v>291</v>
      </c>
      <c r="D233" t="s">
        <v>212</v>
      </c>
    </row>
    <row r="234" spans="3:4" x14ac:dyDescent="0.45">
      <c r="C234" t="s">
        <v>291</v>
      </c>
      <c r="D234" t="s">
        <v>77</v>
      </c>
    </row>
    <row r="235" spans="3:4" x14ac:dyDescent="0.45">
      <c r="C235" t="s">
        <v>292</v>
      </c>
      <c r="D235" t="s">
        <v>60</v>
      </c>
    </row>
    <row r="236" spans="3:4" x14ac:dyDescent="0.45">
      <c r="C236" t="s">
        <v>293</v>
      </c>
      <c r="D236" t="s">
        <v>111</v>
      </c>
    </row>
    <row r="237" spans="3:4" x14ac:dyDescent="0.45">
      <c r="C237" t="s">
        <v>294</v>
      </c>
      <c r="D237" t="s">
        <v>70</v>
      </c>
    </row>
    <row r="238" spans="3:4" x14ac:dyDescent="0.45">
      <c r="C238" t="s">
        <v>295</v>
      </c>
      <c r="D238" t="s">
        <v>60</v>
      </c>
    </row>
    <row r="239" spans="3:4" x14ac:dyDescent="0.45">
      <c r="C239" t="s">
        <v>296</v>
      </c>
      <c r="D239" t="s">
        <v>60</v>
      </c>
    </row>
    <row r="240" spans="3:4" x14ac:dyDescent="0.45">
      <c r="C240" t="s">
        <v>297</v>
      </c>
      <c r="D240" t="s">
        <v>60</v>
      </c>
    </row>
    <row r="241" spans="3:4" x14ac:dyDescent="0.45">
      <c r="C241" t="s">
        <v>298</v>
      </c>
      <c r="D241" t="s">
        <v>70</v>
      </c>
    </row>
    <row r="242" spans="3:4" x14ac:dyDescent="0.45">
      <c r="C242" t="s">
        <v>299</v>
      </c>
      <c r="D242" t="s">
        <v>70</v>
      </c>
    </row>
    <row r="243" spans="3:4" x14ac:dyDescent="0.45">
      <c r="C243" t="s">
        <v>300</v>
      </c>
      <c r="D243" t="s">
        <v>62</v>
      </c>
    </row>
    <row r="244" spans="3:4" x14ac:dyDescent="0.45">
      <c r="C244" t="s">
        <v>301</v>
      </c>
      <c r="D244" t="s">
        <v>74</v>
      </c>
    </row>
    <row r="245" spans="3:4" x14ac:dyDescent="0.45">
      <c r="C245" t="s">
        <v>302</v>
      </c>
      <c r="D245" t="s">
        <v>73</v>
      </c>
    </row>
    <row r="246" spans="3:4" x14ac:dyDescent="0.45">
      <c r="C246" t="s">
        <v>303</v>
      </c>
      <c r="D246" t="s">
        <v>73</v>
      </c>
    </row>
    <row r="247" spans="3:4" x14ac:dyDescent="0.45">
      <c r="C247" t="s">
        <v>304</v>
      </c>
      <c r="D24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U49"/>
  <sheetViews>
    <sheetView zoomScaleNormal="100" workbookViewId="0">
      <selection activeCell="K16" sqref="K16"/>
    </sheetView>
  </sheetViews>
  <sheetFormatPr defaultColWidth="8.86328125" defaultRowHeight="14.25" x14ac:dyDescent="0.45"/>
  <cols>
    <col min="3" max="3" width="9.73046875" bestFit="1" customWidth="1"/>
    <col min="4" max="4" width="12.86328125" bestFit="1" customWidth="1"/>
    <col min="5" max="5" width="13.3984375" bestFit="1" customWidth="1"/>
    <col min="6" max="6" width="10.59765625" bestFit="1" customWidth="1"/>
    <col min="7" max="7" width="11.73046875" bestFit="1" customWidth="1"/>
    <col min="8" max="8" width="11.59765625" bestFit="1" customWidth="1"/>
    <col min="9" max="9" width="10.3984375" bestFit="1" customWidth="1"/>
    <col min="10" max="10" width="6" bestFit="1" customWidth="1"/>
    <col min="11" max="11" width="23.86328125" bestFit="1" customWidth="1"/>
    <col min="12" max="12" width="13.265625" bestFit="1" customWidth="1"/>
    <col min="13" max="13" width="5" bestFit="1" customWidth="1"/>
    <col min="14" max="14" width="6" bestFit="1" customWidth="1"/>
    <col min="15" max="15" width="16.73046875" customWidth="1"/>
    <col min="16" max="16" width="13.265625" bestFit="1" customWidth="1"/>
    <col min="17" max="17" width="5" bestFit="1" customWidth="1"/>
    <col min="18" max="18" width="5.3984375" bestFit="1" customWidth="1"/>
    <col min="19" max="19" width="14.59765625" customWidth="1"/>
    <col min="20" max="20" width="13.265625" bestFit="1" customWidth="1"/>
    <col min="21" max="21" width="6" bestFit="1" customWidth="1"/>
    <col min="22" max="25" width="5.3984375" bestFit="1" customWidth="1"/>
  </cols>
  <sheetData>
    <row r="4" spans="3:20" x14ac:dyDescent="0.45">
      <c r="C4" t="s">
        <v>4</v>
      </c>
    </row>
    <row r="5" spans="3:20" x14ac:dyDescent="0.45">
      <c r="C5" t="s">
        <v>36</v>
      </c>
      <c r="D5" t="s">
        <v>1</v>
      </c>
      <c r="E5" t="s">
        <v>0</v>
      </c>
      <c r="F5" t="s">
        <v>2</v>
      </c>
      <c r="G5" t="s">
        <v>5</v>
      </c>
    </row>
    <row r="6" spans="3:20" x14ac:dyDescent="0.45">
      <c r="C6" t="s">
        <v>37</v>
      </c>
      <c r="D6" t="s">
        <v>6</v>
      </c>
      <c r="G6" s="1">
        <f>31.536</f>
        <v>31.536000000000001</v>
      </c>
    </row>
    <row r="7" spans="3:20" x14ac:dyDescent="0.45">
      <c r="C7" t="s">
        <v>37</v>
      </c>
      <c r="D7" t="s">
        <v>8</v>
      </c>
      <c r="G7" s="1">
        <v>1</v>
      </c>
    </row>
    <row r="8" spans="3:20" x14ac:dyDescent="0.45">
      <c r="C8" t="s">
        <v>37</v>
      </c>
      <c r="D8" t="s">
        <v>10</v>
      </c>
      <c r="G8" s="1">
        <v>0.1</v>
      </c>
    </row>
    <row r="9" spans="3:20" x14ac:dyDescent="0.45">
      <c r="D9" t="s">
        <v>7</v>
      </c>
      <c r="E9" t="s">
        <v>11</v>
      </c>
      <c r="G9">
        <v>200</v>
      </c>
    </row>
    <row r="10" spans="3:20" x14ac:dyDescent="0.45">
      <c r="D10" t="s">
        <v>35</v>
      </c>
      <c r="E10" t="s">
        <v>11</v>
      </c>
      <c r="G10">
        <v>30</v>
      </c>
    </row>
    <row r="11" spans="3:20" x14ac:dyDescent="0.45">
      <c r="D11" t="s">
        <v>9</v>
      </c>
      <c r="E11" t="s">
        <v>11</v>
      </c>
      <c r="G11">
        <v>1</v>
      </c>
    </row>
    <row r="12" spans="3:20" x14ac:dyDescent="0.45">
      <c r="C12" t="s">
        <v>37</v>
      </c>
      <c r="D12" t="s">
        <v>16</v>
      </c>
      <c r="F12">
        <v>0</v>
      </c>
      <c r="G12">
        <v>3</v>
      </c>
    </row>
    <row r="14" spans="3:20" x14ac:dyDescent="0.45">
      <c r="C14" t="s">
        <v>34</v>
      </c>
      <c r="L14" s="4">
        <v>2</v>
      </c>
      <c r="P14" s="4">
        <v>3</v>
      </c>
      <c r="T14" s="4">
        <v>4</v>
      </c>
    </row>
    <row r="16" spans="3:20" x14ac:dyDescent="0.45">
      <c r="K16" t="s">
        <v>67</v>
      </c>
      <c r="O16" t="str">
        <f>$K$16</f>
        <v>DeACT TFM_INS-TS: curr=USD10; attribute=INVCOST;attrib_cond=-INVCOST</v>
      </c>
      <c r="S16" t="str">
        <f>$K$16</f>
        <v>DeACT TFM_INS-TS: curr=USD10; attribute=INVCOST;attrib_cond=-INVCOST</v>
      </c>
    </row>
    <row r="17" spans="3:21" x14ac:dyDescent="0.45">
      <c r="D17" t="s">
        <v>13</v>
      </c>
      <c r="E17" t="s">
        <v>14</v>
      </c>
      <c r="F17" t="s">
        <v>15</v>
      </c>
      <c r="H17" s="3" t="s">
        <v>40</v>
      </c>
      <c r="I17" s="3" t="s">
        <v>33</v>
      </c>
      <c r="K17" t="s">
        <v>66</v>
      </c>
      <c r="L17" t="s">
        <v>65</v>
      </c>
      <c r="M17">
        <v>2020</v>
      </c>
      <c r="O17" t="s">
        <v>66</v>
      </c>
      <c r="P17" t="s">
        <v>65</v>
      </c>
      <c r="Q17">
        <v>2020</v>
      </c>
      <c r="S17" t="s">
        <v>66</v>
      </c>
      <c r="T17" t="s">
        <v>65</v>
      </c>
      <c r="U17">
        <v>2020</v>
      </c>
    </row>
    <row r="18" spans="3:21" x14ac:dyDescent="0.45">
      <c r="C18" t="s">
        <v>33</v>
      </c>
      <c r="D18" s="2">
        <v>3162.9635599999997</v>
      </c>
      <c r="E18" s="2">
        <v>6726.2687599999999</v>
      </c>
      <c r="F18" s="2">
        <v>10423.155200000001</v>
      </c>
      <c r="H18" s="3" t="s">
        <v>41</v>
      </c>
      <c r="I18" s="3" t="s">
        <v>20</v>
      </c>
      <c r="K18" t="str">
        <f>IF($H18="","\I:",$H18)</f>
        <v>AfricaNorth</v>
      </c>
      <c r="L18" t="str">
        <f t="shared" ref="L18:L49" ca="1" si="0">OFFSET($B$17,0,L$14)</f>
        <v>EN[_]Hydro*1</v>
      </c>
      <c r="M18" s="2">
        <f>IFERROR(VLOOKUP($I18,$C$18:$F$35,L$14,FALSE),"")</f>
        <v>1827.3467775384613</v>
      </c>
      <c r="O18" t="str">
        <f>IF($H18="","\I:",$H18)</f>
        <v>AfricaNorth</v>
      </c>
      <c r="P18" t="str">
        <f t="shared" ref="P18:P49" ca="1" si="1">OFFSET($B$17,0,P$14)</f>
        <v>EN[_]Hydro*2</v>
      </c>
      <c r="Q18" s="2">
        <f>IFERROR(VLOOKUP($I18,$C$18:$F$35,P$14,FALSE),"")</f>
        <v>3785.3729479999993</v>
      </c>
      <c r="S18" t="str">
        <f>IF($H18="","\I:",$H18)</f>
        <v>AfricaNorth</v>
      </c>
      <c r="T18" t="str">
        <f t="shared" ref="T18:T49" ca="1" si="2">OFFSET($B$17,0,T$14)</f>
        <v>EN[_]Hydro*3</v>
      </c>
      <c r="U18" s="2">
        <f>IFERROR(VLOOKUP($I18,$C$18:$F$35,T$14,FALSE),"")</f>
        <v>5941.0552436923081</v>
      </c>
    </row>
    <row r="19" spans="3:21" x14ac:dyDescent="0.45">
      <c r="C19" t="s">
        <v>26</v>
      </c>
      <c r="D19" s="2">
        <v>6006.2230400000017</v>
      </c>
      <c r="E19" s="2">
        <v>8253.4784</v>
      </c>
      <c r="F19" s="2">
        <v>11624.11616</v>
      </c>
      <c r="H19" s="3" t="s">
        <v>42</v>
      </c>
      <c r="I19" s="3" t="s">
        <v>20</v>
      </c>
      <c r="K19" t="str">
        <f t="shared" ref="K19:K49" si="3">IF($H19="","\I:",$H19)</f>
        <v>AfricaOther</v>
      </c>
      <c r="L19" t="str">
        <f t="shared" ca="1" si="0"/>
        <v>EN[_]Hydro*1</v>
      </c>
      <c r="M19" s="2">
        <f t="shared" ref="M19:M49" si="4">IFERROR(VLOOKUP($I19,$C$18:$F$35,L$14,FALSE),"")</f>
        <v>1827.3467775384613</v>
      </c>
      <c r="O19" t="str">
        <f t="shared" ref="O19:O49" si="5">IF($H19="","\I:",$H19)</f>
        <v>AfricaOther</v>
      </c>
      <c r="P19" t="str">
        <f t="shared" ca="1" si="1"/>
        <v>EN[_]Hydro*2</v>
      </c>
      <c r="Q19" s="2">
        <f t="shared" ref="Q19:Q49" si="6">IFERROR(VLOOKUP($I19,$C$18:$F$35,P$14,FALSE),"")</f>
        <v>3785.3729479999993</v>
      </c>
      <c r="S19" t="str">
        <f t="shared" ref="S19:S49" si="7">IF($H19="","\I:",$H19)</f>
        <v>AfricaOther</v>
      </c>
      <c r="T19" t="str">
        <f t="shared" ca="1" si="2"/>
        <v>EN[_]Hydro*3</v>
      </c>
      <c r="U19" s="2">
        <f t="shared" ref="U19:U49" si="8">IFERROR(VLOOKUP($I19,$C$18:$F$35,T$14,FALSE),"")</f>
        <v>5941.0552436923081</v>
      </c>
    </row>
    <row r="20" spans="3:21" x14ac:dyDescent="0.45">
      <c r="C20" t="s">
        <v>31</v>
      </c>
      <c r="D20" s="2">
        <v>1744.4900479999997</v>
      </c>
      <c r="E20" s="2">
        <v>3235.5121279999994</v>
      </c>
      <c r="F20" s="2">
        <v>4913.0451199999998</v>
      </c>
      <c r="H20" s="3" t="s">
        <v>43</v>
      </c>
      <c r="I20" s="3" t="s">
        <v>20</v>
      </c>
      <c r="K20" t="str">
        <f t="shared" si="3"/>
        <v>AfricaSouth</v>
      </c>
      <c r="L20" t="str">
        <f t="shared" ca="1" si="0"/>
        <v>EN[_]Hydro*1</v>
      </c>
      <c r="M20" s="2">
        <f t="shared" si="4"/>
        <v>1827.3467775384613</v>
      </c>
      <c r="O20" t="str">
        <f t="shared" si="5"/>
        <v>AfricaSouth</v>
      </c>
      <c r="P20" t="str">
        <f t="shared" ca="1" si="1"/>
        <v>EN[_]Hydro*2</v>
      </c>
      <c r="Q20" s="2">
        <f t="shared" si="6"/>
        <v>3785.3729479999993</v>
      </c>
      <c r="S20" t="str">
        <f t="shared" si="7"/>
        <v>AfricaSouth</v>
      </c>
      <c r="T20" t="str">
        <f t="shared" ca="1" si="2"/>
        <v>EN[_]Hydro*3</v>
      </c>
      <c r="U20" s="2">
        <f t="shared" si="8"/>
        <v>5941.0552436923081</v>
      </c>
    </row>
    <row r="21" spans="3:21" x14ac:dyDescent="0.45">
      <c r="C21" t="s">
        <v>21</v>
      </c>
      <c r="D21" s="2">
        <v>2413.9677919999995</v>
      </c>
      <c r="E21" s="2">
        <v>4896.1207999999997</v>
      </c>
      <c r="F21" s="2">
        <v>6919.0325600000006</v>
      </c>
      <c r="H21" s="3" t="s">
        <v>44</v>
      </c>
      <c r="I21" s="3" t="s">
        <v>20</v>
      </c>
      <c r="K21" t="str">
        <f t="shared" si="3"/>
        <v>AfricaWest</v>
      </c>
      <c r="L21" t="str">
        <f t="shared" ca="1" si="0"/>
        <v>EN[_]Hydro*1</v>
      </c>
      <c r="M21" s="2">
        <f t="shared" si="4"/>
        <v>1827.3467775384613</v>
      </c>
      <c r="O21" t="str">
        <f t="shared" si="5"/>
        <v>AfricaWest</v>
      </c>
      <c r="P21" t="str">
        <f t="shared" ca="1" si="1"/>
        <v>EN[_]Hydro*2</v>
      </c>
      <c r="Q21" s="2">
        <f t="shared" si="6"/>
        <v>3785.3729479999993</v>
      </c>
      <c r="S21" t="str">
        <f t="shared" si="7"/>
        <v>AfricaWest</v>
      </c>
      <c r="T21" t="str">
        <f t="shared" ca="1" si="2"/>
        <v>EN[_]Hydro*3</v>
      </c>
      <c r="U21" s="2">
        <f t="shared" si="8"/>
        <v>5941.0552436923081</v>
      </c>
    </row>
    <row r="22" spans="3:21" x14ac:dyDescent="0.45">
      <c r="C22" t="s">
        <v>29</v>
      </c>
      <c r="D22" s="2">
        <v>6018.7323200000001</v>
      </c>
      <c r="E22" s="2">
        <v>9449.9542400000009</v>
      </c>
      <c r="F22" s="2">
        <v>10827.814639999999</v>
      </c>
      <c r="H22" s="3" t="s">
        <v>45</v>
      </c>
      <c r="I22" s="3" t="s">
        <v>22</v>
      </c>
      <c r="K22" t="str">
        <f t="shared" si="3"/>
        <v>Argentina</v>
      </c>
      <c r="L22" t="str">
        <f t="shared" ca="1" si="0"/>
        <v>EN[_]Hydro*1</v>
      </c>
      <c r="M22" s="2">
        <f t="shared" si="4"/>
        <v>1742.3033768</v>
      </c>
      <c r="O22" t="str">
        <f t="shared" si="5"/>
        <v>Argentina</v>
      </c>
      <c r="P22" t="str">
        <f t="shared" ca="1" si="1"/>
        <v>EN[_]Hydro*2</v>
      </c>
      <c r="Q22" s="2">
        <f t="shared" si="6"/>
        <v>3269.3852959999999</v>
      </c>
      <c r="S22" t="str">
        <f t="shared" si="7"/>
        <v>Argentina</v>
      </c>
      <c r="T22" t="str">
        <f t="shared" ca="1" si="2"/>
        <v>EN[_]Hydro*3</v>
      </c>
      <c r="U22" s="2">
        <f t="shared" si="8"/>
        <v>4759.8582992000001</v>
      </c>
    </row>
    <row r="23" spans="3:21" x14ac:dyDescent="0.45">
      <c r="C23" t="s">
        <v>23</v>
      </c>
      <c r="D23" s="2">
        <v>2557.9024759999993</v>
      </c>
      <c r="E23" s="2">
        <v>4009.2855559999998</v>
      </c>
      <c r="F23" s="2">
        <v>4881.3295400000006</v>
      </c>
      <c r="H23" s="3" t="s">
        <v>46</v>
      </c>
      <c r="I23" s="3" t="s">
        <v>19</v>
      </c>
      <c r="K23" t="str">
        <f t="shared" si="3"/>
        <v>AsiaCen</v>
      </c>
      <c r="L23" t="str">
        <f t="shared" ca="1" si="0"/>
        <v>EN[_]Hydro*1</v>
      </c>
      <c r="M23" s="2">
        <f t="shared" si="4"/>
        <v>2570.8006999999989</v>
      </c>
      <c r="O23" t="str">
        <f t="shared" si="5"/>
        <v>AsiaCen</v>
      </c>
      <c r="P23" t="str">
        <f t="shared" ca="1" si="1"/>
        <v>EN[_]Hydro*2</v>
      </c>
      <c r="Q23" s="2">
        <f t="shared" si="6"/>
        <v>4508.6659999999993</v>
      </c>
      <c r="S23" t="str">
        <f t="shared" si="7"/>
        <v>AsiaCen</v>
      </c>
      <c r="T23" t="str">
        <f t="shared" ca="1" si="2"/>
        <v>EN[_]Hydro*3</v>
      </c>
      <c r="U23" s="2">
        <f t="shared" si="8"/>
        <v>9958.4809999999979</v>
      </c>
    </row>
    <row r="24" spans="3:21" x14ac:dyDescent="0.45">
      <c r="C24" t="s">
        <v>30</v>
      </c>
      <c r="D24" s="2">
        <v>6018.7323200000001</v>
      </c>
      <c r="E24" s="2">
        <v>9449.9542400000009</v>
      </c>
      <c r="F24" s="2">
        <v>10827.814639999999</v>
      </c>
      <c r="H24" s="3" t="s">
        <v>47</v>
      </c>
      <c r="I24" s="3" t="s">
        <v>30</v>
      </c>
      <c r="K24" t="str">
        <f t="shared" si="3"/>
        <v>AsiaDev</v>
      </c>
      <c r="L24" t="str">
        <f t="shared" ca="1" si="0"/>
        <v>EN[_]Hydro*1</v>
      </c>
      <c r="M24" s="2">
        <f t="shared" si="4"/>
        <v>6018.7323200000001</v>
      </c>
      <c r="O24" t="str">
        <f t="shared" si="5"/>
        <v>AsiaDev</v>
      </c>
      <c r="P24" t="str">
        <f t="shared" ca="1" si="1"/>
        <v>EN[_]Hydro*2</v>
      </c>
      <c r="Q24" s="2">
        <f t="shared" si="6"/>
        <v>9449.9542400000009</v>
      </c>
      <c r="S24" t="str">
        <f t="shared" si="7"/>
        <v>AsiaDev</v>
      </c>
      <c r="T24" t="str">
        <f t="shared" ca="1" si="2"/>
        <v>EN[_]Hydro*3</v>
      </c>
      <c r="U24" s="2">
        <f t="shared" si="8"/>
        <v>10827.814639999999</v>
      </c>
    </row>
    <row r="25" spans="3:21" x14ac:dyDescent="0.45">
      <c r="C25" t="s">
        <v>32</v>
      </c>
      <c r="D25" s="2">
        <v>3237.2133199999994</v>
      </c>
      <c r="E25" s="2">
        <v>6313.0595599999988</v>
      </c>
      <c r="F25" s="2">
        <v>9425.5401199999997</v>
      </c>
      <c r="H25" s="3" t="s">
        <v>48</v>
      </c>
      <c r="I25" s="3" t="s">
        <v>18</v>
      </c>
      <c r="K25" t="str">
        <f t="shared" si="3"/>
        <v>AsiaEm</v>
      </c>
      <c r="L25" t="str">
        <f t="shared" ca="1" si="0"/>
        <v>EN[_]Hydro*1</v>
      </c>
      <c r="M25" s="2">
        <f t="shared" si="4"/>
        <v>1784.7386188571429</v>
      </c>
      <c r="O25" t="str">
        <f t="shared" si="5"/>
        <v>AsiaEm</v>
      </c>
      <c r="P25" t="str">
        <f t="shared" ca="1" si="1"/>
        <v>EN[_]Hydro*2</v>
      </c>
      <c r="Q25" s="2">
        <f t="shared" si="6"/>
        <v>2737.0781394285709</v>
      </c>
      <c r="S25" t="str">
        <f t="shared" si="7"/>
        <v>AsiaEm</v>
      </c>
      <c r="T25" t="str">
        <f t="shared" ca="1" si="2"/>
        <v>EN[_]Hydro*3</v>
      </c>
      <c r="U25" s="2">
        <f t="shared" si="8"/>
        <v>4905.3295622857131</v>
      </c>
    </row>
    <row r="26" spans="3:21" x14ac:dyDescent="0.45">
      <c r="C26" t="s">
        <v>19</v>
      </c>
      <c r="D26" s="2">
        <v>2570.8006999999989</v>
      </c>
      <c r="E26" s="2">
        <v>4508.6659999999993</v>
      </c>
      <c r="F26" s="2">
        <v>9958.4809999999979</v>
      </c>
      <c r="H26" s="3" t="s">
        <v>49</v>
      </c>
      <c r="I26" s="3" t="s">
        <v>23</v>
      </c>
      <c r="K26" t="str">
        <f t="shared" si="3"/>
        <v>Australia</v>
      </c>
      <c r="L26" t="str">
        <f t="shared" ca="1" si="0"/>
        <v>EN[_]Hydro*1</v>
      </c>
      <c r="M26" s="2">
        <f t="shared" si="4"/>
        <v>2557.9024759999993</v>
      </c>
      <c r="O26" t="str">
        <f t="shared" si="5"/>
        <v>Australia</v>
      </c>
      <c r="P26" t="str">
        <f t="shared" ca="1" si="1"/>
        <v>EN[_]Hydro*2</v>
      </c>
      <c r="Q26" s="2">
        <f t="shared" si="6"/>
        <v>4009.2855559999998</v>
      </c>
      <c r="S26" t="str">
        <f t="shared" si="7"/>
        <v>Australia</v>
      </c>
      <c r="T26" t="str">
        <f t="shared" ca="1" si="2"/>
        <v>EN[_]Hydro*3</v>
      </c>
      <c r="U26" s="2">
        <f t="shared" si="8"/>
        <v>4881.3295400000006</v>
      </c>
    </row>
    <row r="27" spans="3:21" x14ac:dyDescent="0.45">
      <c r="C27" t="s">
        <v>27</v>
      </c>
      <c r="D27" s="2">
        <v>1372.4983999999999</v>
      </c>
      <c r="E27" s="2">
        <v>2155.7825600000001</v>
      </c>
      <c r="F27" s="2">
        <v>5463.5935999999992</v>
      </c>
      <c r="H27" s="3" t="s">
        <v>50</v>
      </c>
      <c r="I27" s="3" t="s">
        <v>25</v>
      </c>
      <c r="K27" t="str">
        <f t="shared" si="3"/>
        <v>Brazil</v>
      </c>
      <c r="L27" t="str">
        <f t="shared" ca="1" si="0"/>
        <v>EN[_]Hydro*1</v>
      </c>
      <c r="M27" s="2">
        <f t="shared" si="4"/>
        <v>1443.3308840000002</v>
      </c>
      <c r="O27" t="str">
        <f t="shared" si="5"/>
        <v>Brazil</v>
      </c>
      <c r="P27" t="str">
        <f t="shared" ca="1" si="1"/>
        <v>EN[_]Hydro*2</v>
      </c>
      <c r="Q27" s="2">
        <f t="shared" si="6"/>
        <v>4310.5848799999994</v>
      </c>
      <c r="S27" t="str">
        <f t="shared" si="7"/>
        <v>Brazil</v>
      </c>
      <c r="T27" t="str">
        <f t="shared" ca="1" si="2"/>
        <v>EN[_]Hydro*3</v>
      </c>
      <c r="U27" s="2">
        <f t="shared" si="8"/>
        <v>6852.5178800000003</v>
      </c>
    </row>
    <row r="28" spans="3:21" x14ac:dyDescent="0.45">
      <c r="C28" t="s">
        <v>28</v>
      </c>
      <c r="D28" s="2">
        <v>1401.633284</v>
      </c>
      <c r="E28" s="2">
        <v>1795.0711640000002</v>
      </c>
      <c r="F28" s="2">
        <v>2848.6810399999995</v>
      </c>
      <c r="H28" s="3" t="s">
        <v>51</v>
      </c>
      <c r="I28" s="3" t="s">
        <v>26</v>
      </c>
      <c r="K28" t="str">
        <f t="shared" si="3"/>
        <v>Canada</v>
      </c>
      <c r="L28" t="str">
        <f t="shared" ca="1" si="0"/>
        <v>EN[_]Hydro*1</v>
      </c>
      <c r="M28" s="2">
        <f t="shared" si="4"/>
        <v>6006.2230400000017</v>
      </c>
      <c r="O28" t="str">
        <f t="shared" si="5"/>
        <v>Canada</v>
      </c>
      <c r="P28" t="str">
        <f t="shared" ca="1" si="1"/>
        <v>EN[_]Hydro*2</v>
      </c>
      <c r="Q28" s="2">
        <f t="shared" si="6"/>
        <v>8253.4784</v>
      </c>
      <c r="S28" t="str">
        <f t="shared" si="7"/>
        <v>Canada</v>
      </c>
      <c r="T28" t="str">
        <f t="shared" ca="1" si="2"/>
        <v>EN[_]Hydro*3</v>
      </c>
      <c r="U28" s="2">
        <f t="shared" si="8"/>
        <v>11624.11616</v>
      </c>
    </row>
    <row r="29" spans="3:21" x14ac:dyDescent="0.45">
      <c r="C29" t="s">
        <v>18</v>
      </c>
      <c r="D29" s="2">
        <v>1784.7386188571429</v>
      </c>
      <c r="E29" s="2">
        <v>2737.0781394285709</v>
      </c>
      <c r="F29" s="2">
        <v>4905.3295622857131</v>
      </c>
      <c r="H29" s="3" t="s">
        <v>52</v>
      </c>
      <c r="I29" s="3" t="s">
        <v>27</v>
      </c>
      <c r="K29" t="str">
        <f t="shared" si="3"/>
        <v>China</v>
      </c>
      <c r="L29" t="str">
        <f t="shared" ca="1" si="0"/>
        <v>EN[_]Hydro*1</v>
      </c>
      <c r="M29" s="2">
        <f t="shared" si="4"/>
        <v>1372.4983999999999</v>
      </c>
      <c r="O29" t="str">
        <f t="shared" si="5"/>
        <v>China</v>
      </c>
      <c r="P29" t="str">
        <f t="shared" ca="1" si="1"/>
        <v>EN[_]Hydro*2</v>
      </c>
      <c r="Q29" s="2">
        <f t="shared" si="6"/>
        <v>2155.7825600000001</v>
      </c>
      <c r="S29" t="str">
        <f t="shared" si="7"/>
        <v>China</v>
      </c>
      <c r="T29" t="str">
        <f t="shared" ca="1" si="2"/>
        <v>EN[_]Hydro*3</v>
      </c>
      <c r="U29" s="2">
        <f t="shared" si="8"/>
        <v>5463.5935999999992</v>
      </c>
    </row>
    <row r="30" spans="3:21" x14ac:dyDescent="0.45">
      <c r="C30" t="s">
        <v>24</v>
      </c>
      <c r="D30" s="2">
        <v>1280.0271509859999</v>
      </c>
      <c r="E30" s="2">
        <v>1705.4665410560001</v>
      </c>
      <c r="F30" s="2">
        <v>2132.6443129029999</v>
      </c>
      <c r="H30" s="3" t="s">
        <v>53</v>
      </c>
      <c r="I30" s="3" t="s">
        <v>21</v>
      </c>
      <c r="K30" t="str">
        <f t="shared" si="3"/>
        <v>EU28</v>
      </c>
      <c r="L30" t="str">
        <f t="shared" ca="1" si="0"/>
        <v>EN[_]Hydro*1</v>
      </c>
      <c r="M30" s="2">
        <f t="shared" si="4"/>
        <v>2413.9677919999995</v>
      </c>
      <c r="O30" t="str">
        <f t="shared" si="5"/>
        <v>EU28</v>
      </c>
      <c r="P30" t="str">
        <f t="shared" ca="1" si="1"/>
        <v>EN[_]Hydro*2</v>
      </c>
      <c r="Q30" s="2">
        <f t="shared" si="6"/>
        <v>4896.1207999999997</v>
      </c>
      <c r="S30" t="str">
        <f t="shared" si="7"/>
        <v>EU28</v>
      </c>
      <c r="T30" t="str">
        <f t="shared" ca="1" si="2"/>
        <v>EN[_]Hydro*3</v>
      </c>
      <c r="U30" s="2">
        <f t="shared" si="8"/>
        <v>6919.0325600000006</v>
      </c>
    </row>
    <row r="31" spans="3:21" x14ac:dyDescent="0.45">
      <c r="C31" t="s">
        <v>20</v>
      </c>
      <c r="D31" s="2">
        <v>1827.3467775384613</v>
      </c>
      <c r="E31" s="2">
        <v>3785.3729479999993</v>
      </c>
      <c r="F31" s="2">
        <v>5941.0552436923081</v>
      </c>
      <c r="H31" s="3" t="s">
        <v>54</v>
      </c>
      <c r="I31" s="3" t="s">
        <v>21</v>
      </c>
      <c r="K31" t="str">
        <f t="shared" si="3"/>
        <v>EurDev</v>
      </c>
      <c r="L31" t="str">
        <f t="shared" ca="1" si="0"/>
        <v>EN[_]Hydro*1</v>
      </c>
      <c r="M31" s="2">
        <f t="shared" si="4"/>
        <v>2413.9677919999995</v>
      </c>
      <c r="O31" t="str">
        <f t="shared" si="5"/>
        <v>EurDev</v>
      </c>
      <c r="P31" t="str">
        <f t="shared" ca="1" si="1"/>
        <v>EN[_]Hydro*2</v>
      </c>
      <c r="Q31" s="2">
        <f t="shared" si="6"/>
        <v>4896.1207999999997</v>
      </c>
      <c r="S31" t="str">
        <f t="shared" si="7"/>
        <v>EurDev</v>
      </c>
      <c r="T31" t="str">
        <f t="shared" ca="1" si="2"/>
        <v>EN[_]Hydro*3</v>
      </c>
      <c r="U31" s="2">
        <f t="shared" si="8"/>
        <v>6919.0325600000006</v>
      </c>
    </row>
    <row r="32" spans="3:21" x14ac:dyDescent="0.45">
      <c r="C32" t="s">
        <v>25</v>
      </c>
      <c r="D32" s="2">
        <v>1443.3308840000002</v>
      </c>
      <c r="E32" s="2">
        <v>4310.5848799999994</v>
      </c>
      <c r="F32" s="2">
        <v>6852.5178800000003</v>
      </c>
      <c r="H32" s="3" t="s">
        <v>55</v>
      </c>
      <c r="I32" s="3" t="s">
        <v>21</v>
      </c>
      <c r="K32" t="str">
        <f t="shared" si="3"/>
        <v>EurEm</v>
      </c>
      <c r="L32" t="str">
        <f t="shared" ca="1" si="0"/>
        <v>EN[_]Hydro*1</v>
      </c>
      <c r="M32" s="2">
        <f t="shared" si="4"/>
        <v>2413.9677919999995</v>
      </c>
      <c r="O32" t="str">
        <f t="shared" si="5"/>
        <v>EurEm</v>
      </c>
      <c r="P32" t="str">
        <f t="shared" ca="1" si="1"/>
        <v>EN[_]Hydro*2</v>
      </c>
      <c r="Q32" s="2">
        <f t="shared" si="6"/>
        <v>4896.1207999999997</v>
      </c>
      <c r="S32" t="str">
        <f t="shared" si="7"/>
        <v>EurEm</v>
      </c>
      <c r="T32" t="str">
        <f t="shared" ca="1" si="2"/>
        <v>EN[_]Hydro*3</v>
      </c>
      <c r="U32" s="2">
        <f t="shared" si="8"/>
        <v>6919.0325600000006</v>
      </c>
    </row>
    <row r="33" spans="3:21" x14ac:dyDescent="0.45">
      <c r="C33" t="s">
        <v>22</v>
      </c>
      <c r="D33" s="2">
        <v>1742.3033768</v>
      </c>
      <c r="E33" s="2">
        <v>3269.3852959999999</v>
      </c>
      <c r="F33" s="2">
        <v>4759.8582992000001</v>
      </c>
      <c r="H33" s="3" t="s">
        <v>56</v>
      </c>
      <c r="I33" s="3" t="s">
        <v>24</v>
      </c>
      <c r="K33" t="str">
        <f t="shared" si="3"/>
        <v>GCCother</v>
      </c>
      <c r="L33" t="str">
        <f t="shared" ca="1" si="0"/>
        <v>EN[_]Hydro*1</v>
      </c>
      <c r="M33" s="2">
        <f t="shared" si="4"/>
        <v>1280.0271509859999</v>
      </c>
      <c r="O33" t="str">
        <f t="shared" si="5"/>
        <v>GCCother</v>
      </c>
      <c r="P33" t="str">
        <f t="shared" ca="1" si="1"/>
        <v>EN[_]Hydro*2</v>
      </c>
      <c r="Q33" s="2">
        <f t="shared" si="6"/>
        <v>1705.4665410560001</v>
      </c>
      <c r="S33" t="str">
        <f t="shared" si="7"/>
        <v>GCCother</v>
      </c>
      <c r="T33" t="str">
        <f t="shared" ca="1" si="2"/>
        <v>EN[_]Hydro*3</v>
      </c>
      <c r="U33" s="2">
        <f t="shared" si="8"/>
        <v>2132.6443129029999</v>
      </c>
    </row>
    <row r="34" spans="3:21" x14ac:dyDescent="0.45">
      <c r="H34" s="3" t="s">
        <v>57</v>
      </c>
      <c r="I34" s="3" t="s">
        <v>28</v>
      </c>
      <c r="K34" t="str">
        <f t="shared" si="3"/>
        <v>India</v>
      </c>
      <c r="L34" t="str">
        <f t="shared" ca="1" si="0"/>
        <v>EN[_]Hydro*1</v>
      </c>
      <c r="M34" s="2">
        <f t="shared" si="4"/>
        <v>1401.633284</v>
      </c>
      <c r="O34" t="str">
        <f t="shared" si="5"/>
        <v>India</v>
      </c>
      <c r="P34" t="str">
        <f t="shared" ca="1" si="1"/>
        <v>EN[_]Hydro*2</v>
      </c>
      <c r="Q34" s="2">
        <f t="shared" si="6"/>
        <v>1795.0711640000002</v>
      </c>
      <c r="S34" t="str">
        <f t="shared" si="7"/>
        <v>India</v>
      </c>
      <c r="T34" t="str">
        <f t="shared" ca="1" si="2"/>
        <v>EN[_]Hydro*3</v>
      </c>
      <c r="U34" s="2">
        <f t="shared" si="8"/>
        <v>2848.6810399999995</v>
      </c>
    </row>
    <row r="35" spans="3:21" x14ac:dyDescent="0.45">
      <c r="H35" s="3" t="s">
        <v>58</v>
      </c>
      <c r="I35" s="3" t="s">
        <v>18</v>
      </c>
      <c r="K35" t="str">
        <f t="shared" si="3"/>
        <v>Indonesia</v>
      </c>
      <c r="L35" t="str">
        <f t="shared" ca="1" si="0"/>
        <v>EN[_]Hydro*1</v>
      </c>
      <c r="M35" s="2">
        <f t="shared" si="4"/>
        <v>1784.7386188571429</v>
      </c>
      <c r="O35" t="str">
        <f t="shared" si="5"/>
        <v>Indonesia</v>
      </c>
      <c r="P35" t="str">
        <f t="shared" ca="1" si="1"/>
        <v>EN[_]Hydro*2</v>
      </c>
      <c r="Q35" s="2">
        <f t="shared" si="6"/>
        <v>2737.0781394285709</v>
      </c>
      <c r="S35" t="str">
        <f t="shared" si="7"/>
        <v>Indonesia</v>
      </c>
      <c r="T35" t="str">
        <f t="shared" ca="1" si="2"/>
        <v>EN[_]Hydro*3</v>
      </c>
      <c r="U35" s="2">
        <f t="shared" si="8"/>
        <v>4905.3295622857131</v>
      </c>
    </row>
    <row r="36" spans="3:21" x14ac:dyDescent="0.45">
      <c r="H36" s="3" t="s">
        <v>59</v>
      </c>
      <c r="I36" s="3" t="s">
        <v>29</v>
      </c>
      <c r="K36" t="str">
        <f t="shared" si="3"/>
        <v>Japan</v>
      </c>
      <c r="L36" t="str">
        <f t="shared" ca="1" si="0"/>
        <v>EN[_]Hydro*1</v>
      </c>
      <c r="M36" s="2">
        <f t="shared" si="4"/>
        <v>6018.7323200000001</v>
      </c>
      <c r="O36" t="str">
        <f t="shared" si="5"/>
        <v>Japan</v>
      </c>
      <c r="P36" t="str">
        <f t="shared" ca="1" si="1"/>
        <v>EN[_]Hydro*2</v>
      </c>
      <c r="Q36" s="2">
        <f t="shared" si="6"/>
        <v>9449.9542400000009</v>
      </c>
      <c r="S36" t="str">
        <f t="shared" si="7"/>
        <v>Japan</v>
      </c>
      <c r="T36" t="str">
        <f t="shared" ca="1" si="2"/>
        <v>EN[_]Hydro*3</v>
      </c>
      <c r="U36" s="2">
        <f t="shared" si="8"/>
        <v>10827.814639999999</v>
      </c>
    </row>
    <row r="37" spans="3:21" x14ac:dyDescent="0.45">
      <c r="H37" s="3" t="s">
        <v>60</v>
      </c>
      <c r="I37" s="3" t="s">
        <v>22</v>
      </c>
      <c r="K37" t="str">
        <f t="shared" si="3"/>
        <v>LatAm</v>
      </c>
      <c r="L37" t="str">
        <f t="shared" ca="1" si="0"/>
        <v>EN[_]Hydro*1</v>
      </c>
      <c r="M37" s="2">
        <f t="shared" si="4"/>
        <v>1742.3033768</v>
      </c>
      <c r="O37" t="str">
        <f t="shared" si="5"/>
        <v>LatAm</v>
      </c>
      <c r="P37" t="str">
        <f t="shared" ca="1" si="1"/>
        <v>EN[_]Hydro*2</v>
      </c>
      <c r="Q37" s="2">
        <f t="shared" si="6"/>
        <v>3269.3852959999999</v>
      </c>
      <c r="S37" t="str">
        <f t="shared" si="7"/>
        <v>LatAm</v>
      </c>
      <c r="T37" t="str">
        <f t="shared" ca="1" si="2"/>
        <v>EN[_]Hydro*3</v>
      </c>
      <c r="U37" s="2">
        <f t="shared" si="8"/>
        <v>4759.8582992000001</v>
      </c>
    </row>
    <row r="38" spans="3:21" x14ac:dyDescent="0.45">
      <c r="H38" s="3" t="s">
        <v>61</v>
      </c>
      <c r="I38" s="3" t="s">
        <v>31</v>
      </c>
      <c r="K38" t="str">
        <f t="shared" si="3"/>
        <v>Mexico</v>
      </c>
      <c r="L38" t="str">
        <f t="shared" ca="1" si="0"/>
        <v>EN[_]Hydro*1</v>
      </c>
      <c r="M38" s="2">
        <f t="shared" si="4"/>
        <v>1744.4900479999997</v>
      </c>
      <c r="O38" t="str">
        <f t="shared" si="5"/>
        <v>Mexico</v>
      </c>
      <c r="P38" t="str">
        <f t="shared" ca="1" si="1"/>
        <v>EN[_]Hydro*2</v>
      </c>
      <c r="Q38" s="2">
        <f t="shared" si="6"/>
        <v>3235.5121279999994</v>
      </c>
      <c r="S38" t="str">
        <f t="shared" si="7"/>
        <v>Mexico</v>
      </c>
      <c r="T38" t="str">
        <f t="shared" ca="1" si="2"/>
        <v>EN[_]Hydro*3</v>
      </c>
      <c r="U38" s="2">
        <f t="shared" si="8"/>
        <v>4913.0451199999998</v>
      </c>
    </row>
    <row r="39" spans="3:21" x14ac:dyDescent="0.45">
      <c r="H39" s="3" t="s">
        <v>62</v>
      </c>
      <c r="I39" s="3" t="s">
        <v>24</v>
      </c>
      <c r="K39" t="str">
        <f t="shared" si="3"/>
        <v>MidEast</v>
      </c>
      <c r="L39" t="str">
        <f t="shared" ca="1" si="0"/>
        <v>EN[_]Hydro*1</v>
      </c>
      <c r="M39" s="2">
        <f t="shared" si="4"/>
        <v>1280.0271509859999</v>
      </c>
      <c r="O39" t="str">
        <f t="shared" si="5"/>
        <v>MidEast</v>
      </c>
      <c r="P39" t="str">
        <f t="shared" ca="1" si="1"/>
        <v>EN[_]Hydro*2</v>
      </c>
      <c r="Q39" s="2">
        <f t="shared" si="6"/>
        <v>1705.4665410560001</v>
      </c>
      <c r="S39" t="str">
        <f t="shared" si="7"/>
        <v>MidEast</v>
      </c>
      <c r="T39" t="str">
        <f t="shared" ca="1" si="2"/>
        <v>EN[_]Hydro*3</v>
      </c>
      <c r="U39" s="2">
        <f t="shared" si="8"/>
        <v>2132.6443129029999</v>
      </c>
    </row>
    <row r="40" spans="3:21" x14ac:dyDescent="0.45">
      <c r="H40" s="3" t="s">
        <v>63</v>
      </c>
      <c r="I40" s="3" t="s">
        <v>32</v>
      </c>
      <c r="K40" t="str">
        <f t="shared" si="3"/>
        <v>Russia</v>
      </c>
      <c r="L40" t="str">
        <f t="shared" ca="1" si="0"/>
        <v>EN[_]Hydro*1</v>
      </c>
      <c r="M40" s="2">
        <f t="shared" si="4"/>
        <v>3237.2133199999994</v>
      </c>
      <c r="O40" t="str">
        <f t="shared" si="5"/>
        <v>Russia</v>
      </c>
      <c r="P40" t="str">
        <f t="shared" ca="1" si="1"/>
        <v>EN[_]Hydro*2</v>
      </c>
      <c r="Q40" s="2">
        <f t="shared" si="6"/>
        <v>6313.0595599999988</v>
      </c>
      <c r="S40" t="str">
        <f t="shared" si="7"/>
        <v>Russia</v>
      </c>
      <c r="T40" t="str">
        <f t="shared" ca="1" si="2"/>
        <v>EN[_]Hydro*3</v>
      </c>
      <c r="U40" s="2">
        <f t="shared" si="8"/>
        <v>9425.5401199999997</v>
      </c>
    </row>
    <row r="41" spans="3:21" x14ac:dyDescent="0.45">
      <c r="H41" s="3" t="s">
        <v>64</v>
      </c>
      <c r="I41" s="3" t="s">
        <v>24</v>
      </c>
      <c r="K41" t="str">
        <f t="shared" si="3"/>
        <v>SaudiArabia</v>
      </c>
      <c r="L41" t="str">
        <f t="shared" ca="1" si="0"/>
        <v>EN[_]Hydro*1</v>
      </c>
      <c r="M41" s="2">
        <f t="shared" si="4"/>
        <v>1280.0271509859999</v>
      </c>
      <c r="O41" t="str">
        <f t="shared" si="5"/>
        <v>SaudiArabia</v>
      </c>
      <c r="P41" t="str">
        <f t="shared" ca="1" si="1"/>
        <v>EN[_]Hydro*2</v>
      </c>
      <c r="Q41" s="2">
        <f t="shared" si="6"/>
        <v>1705.4665410560001</v>
      </c>
      <c r="S41" t="str">
        <f t="shared" si="7"/>
        <v>SaudiArabia</v>
      </c>
      <c r="T41" t="str">
        <f t="shared" ca="1" si="2"/>
        <v>EN[_]Hydro*3</v>
      </c>
      <c r="U41" s="2">
        <f t="shared" si="8"/>
        <v>2132.6443129029999</v>
      </c>
    </row>
    <row r="42" spans="3:21" x14ac:dyDescent="0.45">
      <c r="H42" s="3" t="s">
        <v>33</v>
      </c>
      <c r="I42" s="3" t="s">
        <v>33</v>
      </c>
      <c r="K42" t="str">
        <f t="shared" si="3"/>
        <v>USA</v>
      </c>
      <c r="L42" t="str">
        <f t="shared" ca="1" si="0"/>
        <v>EN[_]Hydro*1</v>
      </c>
      <c r="M42" s="2">
        <f t="shared" si="4"/>
        <v>3162.9635599999997</v>
      </c>
      <c r="O42" t="str">
        <f t="shared" si="5"/>
        <v>USA</v>
      </c>
      <c r="P42" t="str">
        <f t="shared" ca="1" si="1"/>
        <v>EN[_]Hydro*2</v>
      </c>
      <c r="Q42" s="2">
        <f t="shared" si="6"/>
        <v>6726.2687599999999</v>
      </c>
      <c r="S42" t="str">
        <f t="shared" si="7"/>
        <v>USA</v>
      </c>
      <c r="T42" t="str">
        <f t="shared" ca="1" si="2"/>
        <v>EN[_]Hydro*3</v>
      </c>
      <c r="U42" s="2">
        <f t="shared" si="8"/>
        <v>10423.155200000001</v>
      </c>
    </row>
    <row r="43" spans="3:21" x14ac:dyDescent="0.45">
      <c r="K43" t="str">
        <f t="shared" si="3"/>
        <v>\I:</v>
      </c>
      <c r="L43" t="str">
        <f t="shared" ca="1" si="0"/>
        <v>EN[_]Hydro*1</v>
      </c>
      <c r="M43" s="2" t="str">
        <f t="shared" si="4"/>
        <v/>
      </c>
      <c r="O43" t="str">
        <f t="shared" si="5"/>
        <v>\I:</v>
      </c>
      <c r="P43" t="str">
        <f t="shared" ca="1" si="1"/>
        <v>EN[_]Hydro*2</v>
      </c>
      <c r="Q43" s="2" t="str">
        <f t="shared" si="6"/>
        <v/>
      </c>
      <c r="S43" t="str">
        <f t="shared" si="7"/>
        <v>\I:</v>
      </c>
      <c r="T43" t="str">
        <f t="shared" ca="1" si="2"/>
        <v>EN[_]Hydro*3</v>
      </c>
      <c r="U43" s="2" t="str">
        <f t="shared" si="8"/>
        <v/>
      </c>
    </row>
    <row r="44" spans="3:21" x14ac:dyDescent="0.45">
      <c r="K44" t="str">
        <f t="shared" si="3"/>
        <v>\I:</v>
      </c>
      <c r="L44" t="str">
        <f t="shared" ca="1" si="0"/>
        <v>EN[_]Hydro*1</v>
      </c>
      <c r="M44" s="2" t="str">
        <f t="shared" si="4"/>
        <v/>
      </c>
      <c r="O44" t="str">
        <f t="shared" si="5"/>
        <v>\I:</v>
      </c>
      <c r="P44" t="str">
        <f t="shared" ca="1" si="1"/>
        <v>EN[_]Hydro*2</v>
      </c>
      <c r="Q44" s="2" t="str">
        <f t="shared" si="6"/>
        <v/>
      </c>
      <c r="S44" t="str">
        <f t="shared" si="7"/>
        <v>\I:</v>
      </c>
      <c r="T44" t="str">
        <f t="shared" ca="1" si="2"/>
        <v>EN[_]Hydro*3</v>
      </c>
      <c r="U44" s="2" t="str">
        <f t="shared" si="8"/>
        <v/>
      </c>
    </row>
    <row r="45" spans="3:21" x14ac:dyDescent="0.45">
      <c r="K45" t="str">
        <f t="shared" si="3"/>
        <v>\I:</v>
      </c>
      <c r="L45" t="str">
        <f t="shared" ca="1" si="0"/>
        <v>EN[_]Hydro*1</v>
      </c>
      <c r="M45" s="2" t="str">
        <f t="shared" si="4"/>
        <v/>
      </c>
      <c r="O45" t="str">
        <f t="shared" si="5"/>
        <v>\I:</v>
      </c>
      <c r="P45" t="str">
        <f t="shared" ca="1" si="1"/>
        <v>EN[_]Hydro*2</v>
      </c>
      <c r="Q45" s="2" t="str">
        <f t="shared" si="6"/>
        <v/>
      </c>
      <c r="S45" t="str">
        <f t="shared" si="7"/>
        <v>\I:</v>
      </c>
      <c r="T45" t="str">
        <f t="shared" ca="1" si="2"/>
        <v>EN[_]Hydro*3</v>
      </c>
      <c r="U45" s="2" t="str">
        <f t="shared" si="8"/>
        <v/>
      </c>
    </row>
    <row r="46" spans="3:21" x14ac:dyDescent="0.45">
      <c r="K46" t="str">
        <f t="shared" si="3"/>
        <v>\I:</v>
      </c>
      <c r="L46" t="str">
        <f t="shared" ca="1" si="0"/>
        <v>EN[_]Hydro*1</v>
      </c>
      <c r="M46" s="2" t="str">
        <f t="shared" si="4"/>
        <v/>
      </c>
      <c r="O46" t="str">
        <f t="shared" si="5"/>
        <v>\I:</v>
      </c>
      <c r="P46" t="str">
        <f t="shared" ca="1" si="1"/>
        <v>EN[_]Hydro*2</v>
      </c>
      <c r="Q46" s="2" t="str">
        <f t="shared" si="6"/>
        <v/>
      </c>
      <c r="S46" t="str">
        <f t="shared" si="7"/>
        <v>\I:</v>
      </c>
      <c r="T46" t="str">
        <f t="shared" ca="1" si="2"/>
        <v>EN[_]Hydro*3</v>
      </c>
      <c r="U46" s="2" t="str">
        <f t="shared" si="8"/>
        <v/>
      </c>
    </row>
    <row r="47" spans="3:21" x14ac:dyDescent="0.45">
      <c r="K47" t="str">
        <f t="shared" si="3"/>
        <v>\I:</v>
      </c>
      <c r="L47" t="str">
        <f t="shared" ca="1" si="0"/>
        <v>EN[_]Hydro*1</v>
      </c>
      <c r="M47" s="2" t="str">
        <f t="shared" si="4"/>
        <v/>
      </c>
      <c r="O47" t="str">
        <f t="shared" si="5"/>
        <v>\I:</v>
      </c>
      <c r="P47" t="str">
        <f t="shared" ca="1" si="1"/>
        <v>EN[_]Hydro*2</v>
      </c>
      <c r="Q47" s="2" t="str">
        <f t="shared" si="6"/>
        <v/>
      </c>
      <c r="S47" t="str">
        <f t="shared" si="7"/>
        <v>\I:</v>
      </c>
      <c r="T47" t="str">
        <f t="shared" ca="1" si="2"/>
        <v>EN[_]Hydro*3</v>
      </c>
      <c r="U47" s="2" t="str">
        <f t="shared" si="8"/>
        <v/>
      </c>
    </row>
    <row r="48" spans="3:21" x14ac:dyDescent="0.45">
      <c r="K48" t="str">
        <f t="shared" si="3"/>
        <v>\I:</v>
      </c>
      <c r="L48" t="str">
        <f t="shared" ca="1" si="0"/>
        <v>EN[_]Hydro*1</v>
      </c>
      <c r="M48" s="2" t="str">
        <f t="shared" si="4"/>
        <v/>
      </c>
      <c r="O48" t="str">
        <f t="shared" si="5"/>
        <v>\I:</v>
      </c>
      <c r="P48" t="str">
        <f t="shared" ca="1" si="1"/>
        <v>EN[_]Hydro*2</v>
      </c>
      <c r="Q48" s="2" t="str">
        <f t="shared" si="6"/>
        <v/>
      </c>
      <c r="S48" t="str">
        <f t="shared" si="7"/>
        <v>\I:</v>
      </c>
      <c r="T48" t="str">
        <f t="shared" ca="1" si="2"/>
        <v>EN[_]Hydro*3</v>
      </c>
      <c r="U48" s="2" t="str">
        <f t="shared" si="8"/>
        <v/>
      </c>
    </row>
    <row r="49" spans="11:21" x14ac:dyDescent="0.45">
      <c r="K49" t="str">
        <f t="shared" si="3"/>
        <v>\I:</v>
      </c>
      <c r="L49" t="str">
        <f t="shared" ca="1" si="0"/>
        <v>EN[_]Hydro*1</v>
      </c>
      <c r="M49" s="2" t="str">
        <f t="shared" si="4"/>
        <v/>
      </c>
      <c r="O49" t="str">
        <f t="shared" si="5"/>
        <v>\I:</v>
      </c>
      <c r="P49" t="str">
        <f t="shared" ca="1" si="1"/>
        <v>EN[_]Hydro*2</v>
      </c>
      <c r="Q49" s="2" t="str">
        <f t="shared" si="6"/>
        <v/>
      </c>
      <c r="S49" t="str">
        <f t="shared" si="7"/>
        <v>\I:</v>
      </c>
      <c r="T49" t="str">
        <f t="shared" ca="1" si="2"/>
        <v>EN[_]Hydro*3</v>
      </c>
      <c r="U49" s="2" t="str">
        <f t="shared" si="8"/>
        <v/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147A-118B-4FC3-8FA0-0AFD502A28BD}">
  <dimension ref="B1:F4"/>
  <sheetViews>
    <sheetView workbookViewId="0">
      <selection activeCell="B4" sqref="B4"/>
    </sheetView>
  </sheetViews>
  <sheetFormatPr defaultRowHeight="14.25" x14ac:dyDescent="0.45"/>
  <sheetData>
    <row r="1" spans="2:6" x14ac:dyDescent="0.45">
      <c r="B1" t="s">
        <v>38</v>
      </c>
    </row>
    <row r="3" spans="2:6" x14ac:dyDescent="0.45">
      <c r="B3" t="s">
        <v>39</v>
      </c>
    </row>
    <row r="4" spans="2:6" x14ac:dyDescent="0.45">
      <c r="B4" t="s">
        <v>1</v>
      </c>
      <c r="C4" t="s">
        <v>17</v>
      </c>
      <c r="D4" t="s">
        <v>0</v>
      </c>
      <c r="E4">
        <v>2015</v>
      </c>
      <c r="F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Hydro costs</vt:lpstr>
      <vt:lpstr>sub-national_cap_bnd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2016-10-05T11:02:08Z</dcterms:created>
  <dcterms:modified xsi:type="dcterms:W3CDTF">2025-01-31T09:29:37Z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290397286415100</vt:r8>
  </property>
  <property fmtid="{D5CDD505-2E9C-101B-9397-08002B2CF9AE}" pid="3" name="{A44787D4-0540-4523-9961-78E4036D8C6D}">
    <vt:lpwstr>{474BE295-0258-4DDD-B4E5-1F4F64037AAB}</vt:lpwstr>
  </property>
</Properties>
</file>