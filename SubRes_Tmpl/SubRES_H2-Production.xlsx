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Z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<sst xmlns="http://schemas.openxmlformats.org/spreadsheetml/2006/main" count="595" uniqueCount="238">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</sst>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</fonts>
  <fills count="5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2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2" fillId="50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85" zoomScaleNormal="85" topLeftCell="A33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60" zoomScaleNormal="60" topLeftCell="AL6" workbookViewId="0">
      <selection activeCell="AY40" sqref="AY40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4" max="44" width="6.06363636363636" customWidth="1"/>
    <col min="48" max="48" width="13.2" customWidth="1"/>
    <col min="49" max="49" width="5.26363636363636" customWidth="1"/>
    <col min="50" max="50" width="5.92727272727273" customWidth="1"/>
  </cols>
  <sheetData>
    <row r="1" spans="2:52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2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2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2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2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2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2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2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2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2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2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2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2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2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2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  <c r="AW15" t="s">
        <v>208</v>
      </c>
      <c r="AX15" t="s">
        <v>209</v>
      </c>
    </row>
    <row r="16" spans="2:52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20</v>
      </c>
      <c r="Q16">
        <v>2021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20</v>
      </c>
      <c r="AU16">
        <v>2021</v>
      </c>
      <c r="AV16" s="10">
        <v>3000</v>
      </c>
      <c r="AW16">
        <v>1</v>
      </c>
      <c r="AX16">
        <v>1</v>
      </c>
      <c r="AZ16" s="10">
        <v>10</v>
      </c>
    </row>
    <row r="17" s="1" customFormat="1" ht="16" spans="2:68">
      <c r="D17" s="11"/>
      <c r="F17" s="1" t="s">
        <v>210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211</v>
      </c>
      <c r="Z17" s="14"/>
      <c r="AA17"/>
      <c r="AB17"/>
      <c r="AC17"/>
      <c r="AD17"/>
      <c r="AE17"/>
      <c r="AF17"/>
      <c r="AG17"/>
      <c r="AH17" s="5"/>
      <c r="AI17"/>
      <c r="AJ17" t="s">
        <v>210</v>
      </c>
      <c r="AK17" t="s">
        <v>210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212</v>
      </c>
      <c r="AK18" t="s">
        <v>102</v>
      </c>
      <c r="AM18" s="9"/>
      <c r="AS18">
        <v>1</v>
      </c>
    </row>
    <row r="19" spans="2:68">
      <c r="B19" t="s">
        <v>190</v>
      </c>
      <c r="E19" t="s">
        <v>213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0.94</v>
      </c>
      <c r="AM19" s="9">
        <f>AM16</f>
        <v>1.314</v>
      </c>
      <c r="AN19">
        <v>1</v>
      </c>
      <c r="AP19">
        <v>20</v>
      </c>
      <c r="AU19">
        <v>2021</v>
      </c>
      <c r="AV19" s="10">
        <v>3500</v>
      </c>
      <c r="AW19">
        <v>1</v>
      </c>
      <c r="AX19">
        <v>1</v>
      </c>
      <c r="AZ19" s="10">
        <v>12</v>
      </c>
    </row>
    <row r="20" spans="2:68">
      <c r="AH20" s="5"/>
      <c r="AJ20" t="s">
        <v>210</v>
      </c>
      <c r="AK20" t="s">
        <v>210</v>
      </c>
      <c r="AM20" s="9"/>
      <c r="AO20" s="9">
        <v>1.08695652173913</v>
      </c>
    </row>
    <row r="21" spans="2:68">
      <c r="AH21" s="5"/>
      <c r="AJ21" s="5" t="s">
        <v>212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0.94</v>
      </c>
      <c r="AM22" s="9">
        <f>AM19</f>
        <v>1.314</v>
      </c>
      <c r="AN22">
        <v>1</v>
      </c>
      <c r="AP22">
        <v>20</v>
      </c>
      <c r="AU22">
        <v>2021</v>
      </c>
      <c r="AV22" s="10">
        <v>4000</v>
      </c>
      <c r="AW22">
        <v>1</v>
      </c>
      <c r="AX22">
        <v>1</v>
      </c>
      <c r="AZ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210</v>
      </c>
      <c r="AK23" t="s">
        <v>210</v>
      </c>
      <c r="AL23" s="10"/>
      <c r="AM23" s="9"/>
      <c r="AO23" s="9">
        <v>1.08695652173913</v>
      </c>
    </row>
    <row r="24" spans="2:68">
      <c r="B24" s="5" t="s">
        <v>214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212</v>
      </c>
      <c r="AK24" t="s">
        <v>102</v>
      </c>
      <c r="AL24" s="10"/>
      <c r="AM24" s="9"/>
      <c r="AS24">
        <v>1</v>
      </c>
    </row>
    <row r="25" spans="2:68">
      <c r="B25" s="5" t="s">
        <v>215</v>
      </c>
      <c r="C25" s="5" t="s">
        <v>212</v>
      </c>
      <c r="D25" s="5" t="s">
        <v>216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0.94</v>
      </c>
      <c r="AM25" s="9">
        <f>AM22</f>
        <v>1.314</v>
      </c>
      <c r="AN25">
        <v>1</v>
      </c>
      <c r="AP25">
        <v>20</v>
      </c>
      <c r="AU25">
        <v>2021</v>
      </c>
      <c r="AV25" s="10">
        <v>4000</v>
      </c>
      <c r="AW25">
        <v>1</v>
      </c>
      <c r="AX25">
        <v>1</v>
      </c>
      <c r="AZ25" s="10">
        <v>13</v>
      </c>
    </row>
    <row r="26" spans="2:68">
      <c r="C26" s="5" t="s">
        <v>210</v>
      </c>
      <c r="D26" s="5" t="s">
        <v>217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210</v>
      </c>
      <c r="AK26" t="s">
        <v>210</v>
      </c>
      <c r="AL26" s="10"/>
      <c r="AM26" s="9"/>
      <c r="AO26" s="9">
        <v>1.08695652173913</v>
      </c>
    </row>
    <row r="27" spans="2:68">
      <c r="W27" s="4"/>
      <c r="X27" s="4"/>
      <c r="Y27" s="4"/>
      <c r="AH27" s="5"/>
      <c r="AJ27" s="5" t="s">
        <v>212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0.94</v>
      </c>
      <c r="AM28" s="9">
        <f>AM25</f>
        <v>1.314</v>
      </c>
      <c r="AN28">
        <v>1</v>
      </c>
      <c r="AP28">
        <v>20</v>
      </c>
      <c r="AU28">
        <v>2021</v>
      </c>
      <c r="AV28" s="10">
        <v>4000</v>
      </c>
      <c r="AW28">
        <v>1</v>
      </c>
      <c r="AX28">
        <v>1</v>
      </c>
      <c r="AZ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210</v>
      </c>
      <c r="AK29" t="s">
        <v>210</v>
      </c>
      <c r="AL29" s="10"/>
      <c r="AM29" s="9"/>
      <c r="AO29" s="9">
        <v>1.08695652173913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212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0.94</v>
      </c>
      <c r="AM31" s="9">
        <f>AM28</f>
        <v>1.314</v>
      </c>
      <c r="AN31">
        <v>1</v>
      </c>
      <c r="AP31">
        <v>20</v>
      </c>
      <c r="AU31">
        <v>2021</v>
      </c>
      <c r="AV31" s="10">
        <v>4000</v>
      </c>
      <c r="AW31">
        <v>1</v>
      </c>
      <c r="AX31">
        <v>1</v>
      </c>
      <c r="AZ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210</v>
      </c>
      <c r="AK32" t="s">
        <v>210</v>
      </c>
      <c r="AM32" s="9"/>
      <c r="AO32" s="9">
        <v>1.08695652173913</v>
      </c>
    </row>
    <row r="33" spans="2:45">
      <c r="B33" s="6" t="s">
        <v>188</v>
      </c>
      <c r="C33" s="18" t="s">
        <v>185</v>
      </c>
      <c r="D33" s="19" t="s">
        <v>218</v>
      </c>
      <c r="E33" s="20">
        <f>[6]EnergyUseFromEverBatt_Min_!$AW$6</f>
        <v>0.0473</v>
      </c>
      <c r="AH33" s="5"/>
      <c r="AJ33" s="5" t="s">
        <v>212</v>
      </c>
      <c r="AK33" t="s">
        <v>102</v>
      </c>
      <c r="AM33" s="9"/>
      <c r="AS33">
        <v>1</v>
      </c>
    </row>
    <row r="34" ht="16" spans="2:45">
      <c r="B34" s="6" t="s">
        <v>188</v>
      </c>
      <c r="C34" s="21" t="str">
        <f t="shared" ref="C34:C36" si="0">C33</f>
        <v>EN_STG_4hBatt</v>
      </c>
      <c r="D34" s="19" t="s">
        <v>219</v>
      </c>
      <c r="E34" s="20">
        <f>[6]EnergyUseFromEverBatt_Min_!$AW$7</f>
        <v>0.171166666666667</v>
      </c>
    </row>
    <row r="35" ht="16" spans="2:45">
      <c r="B35" s="6" t="s">
        <v>188</v>
      </c>
      <c r="C35" s="21" t="str">
        <f t="shared" si="0"/>
        <v>EN_STG_4hBatt</v>
      </c>
      <c r="D35" s="19" t="s">
        <v>220</v>
      </c>
      <c r="E35" s="20">
        <f>[6]EnergyUseFromEverBatt_Min_!$AW$8</f>
        <v>0.466366666666667</v>
      </c>
    </row>
    <row r="36" ht="16" spans="2:45">
      <c r="B36" s="6" t="s">
        <v>188</v>
      </c>
      <c r="C36" s="21" t="str">
        <f t="shared" si="0"/>
        <v>EN_STG_4hBatt</v>
      </c>
      <c r="D36" s="19" t="s">
        <v>221</v>
      </c>
      <c r="E36" s="20">
        <f>[6]EnergyUseFromEverBatt_Min_!$AW$9</f>
        <v>0.0956666666666667</v>
      </c>
    </row>
    <row r="43" spans="2:45">
      <c r="B43" s="22" t="s">
        <v>222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45">
      <c r="B44" s="22" t="s">
        <v>80</v>
      </c>
      <c r="C44" s="24" t="s">
        <v>223</v>
      </c>
      <c r="D44" s="25" t="s">
        <v>224</v>
      </c>
      <c r="E44" s="25" t="s">
        <v>225</v>
      </c>
      <c r="F44" s="25" t="s">
        <v>226</v>
      </c>
      <c r="G44" s="25" t="s">
        <v>227</v>
      </c>
      <c r="H44" s="25" t="s">
        <v>228</v>
      </c>
      <c r="I44" s="25" t="s">
        <v>229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45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230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231</v>
      </c>
      <c r="D59" s="29" t="s">
        <v>232</v>
      </c>
      <c r="E59" s="29" t="s">
        <v>233</v>
      </c>
      <c r="F59" s="29" t="s">
        <v>234</v>
      </c>
      <c r="G59" s="29" t="s">
        <v>235</v>
      </c>
      <c r="H59" s="29" t="s">
        <v>236</v>
      </c>
      <c r="I59" s="29" t="s">
        <v>237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2023-05-12T11:15:00Z</dcterms:created>
  <dcterms:modified xsi:type="dcterms:W3CDTF">2026-07-19T00:43:59Z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