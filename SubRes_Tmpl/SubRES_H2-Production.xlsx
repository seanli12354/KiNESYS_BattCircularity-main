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bRes_Tmpl\"/>
    </mc:Choice>
  </mc:AlternateContent>
  <xr:revisionPtr revIDLastSave="0" documentId="13_ncr:1_{B6FFC487-9218-4913-9A98-D81F23139964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3" l="1"/>
  <c r="I34" i="7"/>
  <c r="I33" i="7"/>
  <c r="I32" i="7"/>
  <c r="I31" i="7"/>
  <c r="I30" i="7"/>
  <c r="I29" i="7"/>
  <c r="J24" i="7"/>
  <c r="I24" i="7"/>
  <c r="H24" i="7"/>
  <c r="J23" i="7"/>
  <c r="I23" i="7"/>
  <c r="H23" i="7"/>
  <c r="J22" i="7"/>
  <c r="I22" i="7"/>
  <c r="H22" i="7"/>
  <c r="AA21" i="7"/>
  <c r="J21" i="7"/>
  <c r="I21" i="7"/>
  <c r="H21" i="7"/>
  <c r="AA20" i="7"/>
  <c r="J20" i="7"/>
  <c r="I20" i="7"/>
  <c r="H20" i="7"/>
  <c r="J19" i="7"/>
  <c r="I19" i="7"/>
  <c r="H19" i="7"/>
  <c r="AA16" i="7"/>
  <c r="V16" i="7"/>
  <c r="T16" i="7"/>
  <c r="S16" i="7"/>
  <c r="R16" i="7"/>
  <c r="Q16" i="7"/>
  <c r="AA15" i="7"/>
  <c r="V15" i="7"/>
  <c r="T15" i="7"/>
  <c r="S15" i="7"/>
  <c r="R15" i="7"/>
  <c r="Q15" i="7"/>
  <c r="AA14" i="7"/>
  <c r="V14" i="7"/>
  <c r="T14" i="7"/>
  <c r="S14" i="7"/>
  <c r="R14" i="7"/>
  <c r="Q14" i="7"/>
  <c r="W13" i="7"/>
  <c r="V13" i="7"/>
  <c r="T13" i="7"/>
  <c r="S13" i="7"/>
  <c r="R13" i="7"/>
  <c r="Q13" i="7"/>
  <c r="I10" i="7"/>
  <c r="H10" i="7"/>
  <c r="I9" i="7"/>
  <c r="H9" i="7"/>
  <c r="I8" i="7"/>
  <c r="H8" i="7"/>
  <c r="AA5" i="7"/>
  <c r="V5" i="7"/>
  <c r="T5" i="7"/>
  <c r="S5" i="7"/>
  <c r="R5" i="7"/>
  <c r="Q5" i="7"/>
  <c r="AA4" i="7"/>
  <c r="V4" i="7"/>
  <c r="T4" i="7"/>
  <c r="S4" i="7"/>
  <c r="R4" i="7"/>
  <c r="Q4" i="7"/>
  <c r="AA3" i="7"/>
  <c r="V3" i="7"/>
  <c r="T3" i="7"/>
  <c r="S3" i="7"/>
  <c r="R3" i="7"/>
  <c r="Q3" i="7"/>
  <c r="Y2" i="7"/>
  <c r="X2" i="7"/>
  <c r="W2" i="7"/>
  <c r="V2" i="7"/>
  <c r="T2" i="7"/>
  <c r="S2" i="7"/>
  <c r="R2" i="7"/>
  <c r="Q2" i="7"/>
  <c r="N12" i="6"/>
  <c r="N11" i="6"/>
  <c r="N10" i="6"/>
  <c r="I10" i="6"/>
  <c r="E10" i="6"/>
  <c r="O9" i="6"/>
  <c r="N9" i="6"/>
  <c r="K9" i="6"/>
  <c r="J9" i="6"/>
  <c r="I9" i="6"/>
  <c r="H9" i="6"/>
  <c r="G9" i="6"/>
  <c r="F9" i="6"/>
  <c r="E9" i="6"/>
  <c r="O8" i="6"/>
  <c r="N8" i="6"/>
  <c r="O7" i="6"/>
  <c r="N7" i="6"/>
  <c r="O6" i="6"/>
  <c r="N6" i="6"/>
  <c r="O5" i="6"/>
  <c r="N5" i="6"/>
  <c r="T39" i="1"/>
  <c r="S39" i="1"/>
  <c r="H39" i="1"/>
  <c r="G39" i="1"/>
  <c r="F39" i="1"/>
  <c r="E39" i="1"/>
  <c r="D39" i="1"/>
  <c r="C39" i="1"/>
  <c r="A39" i="1"/>
  <c r="U38" i="1"/>
  <c r="T38" i="1"/>
  <c r="S38" i="1"/>
  <c r="N38" i="1"/>
  <c r="M38" i="1"/>
  <c r="L38" i="1"/>
  <c r="K38" i="1"/>
  <c r="J38" i="1"/>
  <c r="I38" i="1"/>
  <c r="H38" i="1"/>
  <c r="G38" i="1"/>
  <c r="F38" i="1"/>
  <c r="E38" i="1"/>
  <c r="D38" i="1"/>
  <c r="C38" i="1"/>
  <c r="U37" i="1"/>
  <c r="T37" i="1"/>
  <c r="S37" i="1"/>
  <c r="N37" i="1"/>
  <c r="M37" i="1"/>
  <c r="L37" i="1"/>
  <c r="K37" i="1"/>
  <c r="J37" i="1"/>
  <c r="I37" i="1"/>
  <c r="H37" i="1"/>
  <c r="G37" i="1"/>
  <c r="F37" i="1"/>
  <c r="E37" i="1"/>
  <c r="D37" i="1"/>
  <c r="C37" i="1"/>
  <c r="U36" i="1"/>
  <c r="T36" i="1"/>
  <c r="S36" i="1"/>
  <c r="N36" i="1"/>
  <c r="M36" i="1"/>
  <c r="L36" i="1"/>
  <c r="K36" i="1"/>
  <c r="J36" i="1"/>
  <c r="I36" i="1"/>
  <c r="H36" i="1"/>
  <c r="G36" i="1"/>
  <c r="F36" i="1"/>
  <c r="E36" i="1"/>
  <c r="D36" i="1"/>
  <c r="C36" i="1"/>
  <c r="U35" i="1"/>
  <c r="T35" i="1"/>
  <c r="S35" i="1"/>
  <c r="N35" i="1"/>
  <c r="M35" i="1"/>
  <c r="L35" i="1"/>
  <c r="K35" i="1"/>
  <c r="J35" i="1"/>
  <c r="I35" i="1"/>
  <c r="H35" i="1"/>
  <c r="G35" i="1"/>
  <c r="F35" i="1"/>
  <c r="E35" i="1"/>
  <c r="D35" i="1"/>
  <c r="C35" i="1"/>
  <c r="U34" i="1"/>
  <c r="T34" i="1"/>
  <c r="S34" i="1"/>
  <c r="N34" i="1"/>
  <c r="L34" i="1"/>
  <c r="J34" i="1"/>
  <c r="H34" i="1"/>
  <c r="G34" i="1"/>
  <c r="F34" i="1"/>
  <c r="E34" i="1"/>
  <c r="D34" i="1"/>
  <c r="C34" i="1"/>
  <c r="U33" i="1"/>
  <c r="T33" i="1"/>
  <c r="S33" i="1"/>
  <c r="N33" i="1"/>
  <c r="L33" i="1"/>
  <c r="J33" i="1"/>
  <c r="H33" i="1"/>
  <c r="G33" i="1"/>
  <c r="F33" i="1"/>
  <c r="E33" i="1"/>
  <c r="D33" i="1"/>
  <c r="C33" i="1"/>
  <c r="U32" i="1"/>
  <c r="T32" i="1"/>
  <c r="S32" i="1"/>
  <c r="N32" i="1"/>
  <c r="L32" i="1"/>
  <c r="J32" i="1"/>
  <c r="H32" i="1"/>
  <c r="G32" i="1"/>
  <c r="F32" i="1"/>
  <c r="E32" i="1"/>
  <c r="D32" i="1"/>
  <c r="C32" i="1"/>
  <c r="U31" i="1"/>
  <c r="T31" i="1"/>
  <c r="S31" i="1"/>
  <c r="N31" i="1"/>
  <c r="L31" i="1"/>
  <c r="J31" i="1"/>
  <c r="H31" i="1"/>
  <c r="G31" i="1"/>
  <c r="F31" i="1"/>
  <c r="E31" i="1"/>
  <c r="D31" i="1"/>
  <c r="C31" i="1"/>
  <c r="U30" i="1"/>
  <c r="T30" i="1"/>
  <c r="S30" i="1"/>
  <c r="N30" i="1"/>
  <c r="M30" i="1"/>
  <c r="L30" i="1"/>
  <c r="K30" i="1"/>
  <c r="J30" i="1"/>
  <c r="I30" i="1"/>
  <c r="H30" i="1"/>
  <c r="G30" i="1"/>
  <c r="F30" i="1"/>
  <c r="E30" i="1"/>
  <c r="D30" i="1"/>
  <c r="C30" i="1"/>
  <c r="U29" i="1"/>
  <c r="T29" i="1"/>
  <c r="S29" i="1"/>
  <c r="N29" i="1"/>
  <c r="M29" i="1"/>
  <c r="L29" i="1"/>
  <c r="K29" i="1"/>
  <c r="J29" i="1"/>
  <c r="I29" i="1"/>
  <c r="H29" i="1"/>
  <c r="G29" i="1"/>
  <c r="F29" i="1"/>
  <c r="E29" i="1"/>
  <c r="D29" i="1"/>
  <c r="C29" i="1"/>
  <c r="U28" i="1"/>
  <c r="T28" i="1"/>
  <c r="S28" i="1"/>
  <c r="N28" i="1"/>
  <c r="M28" i="1"/>
  <c r="L28" i="1"/>
  <c r="K28" i="1"/>
  <c r="J28" i="1"/>
  <c r="I28" i="1"/>
  <c r="H28" i="1"/>
  <c r="G28" i="1"/>
  <c r="F28" i="1"/>
  <c r="E28" i="1"/>
  <c r="D28" i="1"/>
  <c r="C28" i="1"/>
  <c r="N27" i="1"/>
  <c r="M27" i="1"/>
  <c r="L27" i="1"/>
  <c r="K27" i="1"/>
  <c r="J27" i="1"/>
  <c r="I27" i="1"/>
  <c r="H27" i="1"/>
  <c r="G27" i="1"/>
  <c r="F27" i="1"/>
  <c r="E27" i="1"/>
  <c r="D27" i="1"/>
  <c r="C27" i="1"/>
  <c r="H3" i="1"/>
  <c r="G3" i="1"/>
  <c r="F3" i="1"/>
  <c r="N2" i="1"/>
  <c r="M2" i="1"/>
  <c r="L2" i="1"/>
  <c r="K2" i="1"/>
  <c r="J7" i="2"/>
  <c r="D7" i="2"/>
  <c r="J6" i="2"/>
  <c r="D6" i="2"/>
  <c r="J5" i="2"/>
  <c r="D5" i="2"/>
  <c r="B51" i="8"/>
  <c r="B50" i="8"/>
  <c r="B49" i="8"/>
  <c r="B48" i="8"/>
  <c r="B47" i="8"/>
  <c r="B46" i="8"/>
  <c r="E36" i="8"/>
  <c r="E35" i="8"/>
  <c r="E34" i="8"/>
  <c r="C34" i="8"/>
  <c r="C35" i="8" s="1"/>
  <c r="C36" i="8" s="1"/>
  <c r="E33" i="8"/>
  <c r="AM19" i="8"/>
  <c r="AM22" i="8" s="1"/>
  <c r="AM25" i="8" s="1"/>
  <c r="AM28" i="8" s="1"/>
  <c r="AM31" i="8" s="1"/>
  <c r="F18" i="8"/>
  <c r="K17" i="8"/>
  <c r="G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Rocco De Miglio</author>
  </authors>
  <commentList>
    <comment ref="O39" authorId="0" shapeId="0" xr:uid="{00000000-0006-0000-0100-000001000000}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L16" authorId="0" shapeId="0" xr:uid="{00000000-0006-0000-0500-000001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16" authorId="0" shapeId="0" xr:uid="{00000000-0006-0000-0500-000002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 shapeId="0" xr:uid="{00000000-0006-0000-0500-000003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 shapeId="0" xr:uid="{00000000-0006-0000-0500-000004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Z19" authorId="0" shapeId="0" xr:uid="{00000000-0006-0000-0500-000005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2" authorId="0" shapeId="0" xr:uid="{00000000-0006-0000-0500-000006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5" authorId="0" shapeId="0" xr:uid="{00000000-0006-0000-0500-000007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8" authorId="0" shapeId="0" xr:uid="{00000000-0006-0000-0500-000008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31" authorId="0" shapeId="0" xr:uid="{00000000-0006-0000-0500-000009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 shapeId="0" xr:uid="{00000000-0006-0000-0500-00000A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<sst xmlns="http://schemas.openxmlformats.org/spreadsheetml/2006/main" count="595" uniqueCount="238">
  <si>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</si>
  <si>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</si>
  <si>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</si>
  <si>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</si>
  <si>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</si>
  <si>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</si>
  <si>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</si>
  <si>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</si>
  <si>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</si>
  <si>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</si>
  <si>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</si>
  <si>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</si>
  <si>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</si>
  <si>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</si>
  <si>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</si>
  <si>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</si>
  <si>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</si>
  <si>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</si>
  <si>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</si>
  <si>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</si>
  <si>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</si>
  <si>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</si>
  <si>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</si>
  <si>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</si>
  <si>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</si>
  <si>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</si>
  <si>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</si>
  <si>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</si>
  <si>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</si>
  <si>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</si>
  <si>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</si>
  <si>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</si>
  <si>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</si>
  <si>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</si>
  <si>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</si>
  <si>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</si>
  <si>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</si>
  <si>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</si>
  <si>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</si>
  <si>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</si>
  <si>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</si>
  <si>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</si>
  <si>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</si>
  <si>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</si>
  <si>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</si>
  <si>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</si>
  <si>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</si>
  <si>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</si>
  <si>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</si>
  <si>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</si>
  <si>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</si>
  <si>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</si>
  <si>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</si>
  <si>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</si>
  <si>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</si>
  <si>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</si>
  <si>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</si>
  <si>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</si>
  <si>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</si>
  <si>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</si>
  <si>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</si>
  <si>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</si>
  <si>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</si>
  <si>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</si>
  <si>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</si>
  <si>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</si>
  <si>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</si>
  <si>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</si>
  <si>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</si>
  <si>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</si>
  <si>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</si>
  <si>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</si>
  <si>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</si>
  <si>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</si>
  <si>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</si>
  <si>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</si>
  <si>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</si>
  <si>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</si>
  <si>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</si>
  <si>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</si>
  <si>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</si>
  <si>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</si>
  <si>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</si>
  <si>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</si>
  <si>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</si>
  <si>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</si>
  <si>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</si>
  <si>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</si>
  <si>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</si>
  <si>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</si>
  <si>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</si>
  <si>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</si>
  <si>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</si>
  <si>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</si>
  <si>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</si>
  <si>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</si>
  <si>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</si>
  <si>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</si>
  <si>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</si>
  <si>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</si>
  <si>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</si>
  <si>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</si>
  <si>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</si>
  <si>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</si>
  <si>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</si>
  <si>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</si>
  <si>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</si>
  <si>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</si>
  <si>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</si>
  <si>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</si>
  <si>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</si>
  <si>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</si>
  <si>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</si>
  <si>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</si>
  <si>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</si>
  <si>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</si>
  <si>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</si>
  <si>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</si>
  <si>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</si>
  <si>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</si>
  <si>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</si>
  <si>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</si>
  <si>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</si>
  <si>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</si>
  <si>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</si>
  <si>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</si>
  <si>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</si>
  <si>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</si>
  <si>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</si>
  <si>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</si>
  <si>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</si>
  <si>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</si>
  <si>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</si>
  <si>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</si>
  <si>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</si>
  <si>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</si>
  <si>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</si>
  <si>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</si>
  <si>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</si>
  <si>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</si>
  <si>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</si>
  <si>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</si>
  <si>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</si>
  <si>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</si>
  <si>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</si>
  <si>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</si>
  <si>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</si>
  <si>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</si>
  <si>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</si>
  <si>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</si>
  <si>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</si>
  <si>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</si>
  <si>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</si>
  <si>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</si>
  <si>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</si>
  <si>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</si>
  <si>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</si>
  <si>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</si>
  <si>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</si>
  <si>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</si>
  <si>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</si>
  <si>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</si>
  <si>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</si>
  <si>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</si>
  <si>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</si>
  <si>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</si>
  <si>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</si>
  <si>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</si>
  <si>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</si>
  <si>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</si>
  <si>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</si>
  <si>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</si>
  <si>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</si>
  <si>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</si>
  <si>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</si>
  <si>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</si>
  <si>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</si>
  <si>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</si>
  <si>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</si>
  <si>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</si>
  <si>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</si>
  <si>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</si>
  <si>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</si>
  <si>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</si>
  <si>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</si>
  <si>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</si>
  <si>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</si>
  <si>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</si>
  <si>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</si>
  <si>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</si>
  <si>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</si>
  <si>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</si>
  <si>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</si>
  <si>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</si>
  <si>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</si>
  <si>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</si>
  <si>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</si>
  <si>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</si>
  <si>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</si>
  <si>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</si>
  <si>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</si>
  <si>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</si>
  <si>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</si>
  <si>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</si>
  <si>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</si>
  <si>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</si>
  <si>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</si>
  <si>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</si>
  <si>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</si>
  <si>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</si>
  <si>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</si>
  <si>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</si>
  <si>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</si>
  <si>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</si>
  <si>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</si>
  <si>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</si>
  <si>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</si>
  <si>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</si>
  <si>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</si>
  <si>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</si>
  <si>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</si>
  <si>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</si>
  <si>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</si>
  <si>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</si>
  <si>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</si>
  <si>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</si>
  <si>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</si>
  <si>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</si>
  <si>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</si>
  <si>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</si>
  <si>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</si>
  <si>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</si>
  <si>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</si>
  <si>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</si>
  <si>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</si>
  <si>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</si>
  <si>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</si>
  <si>
    <t>PKCNT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</si>
</sst>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8" formatCode="\Te\x\t"/>
    <numFmt numFmtId="169" formatCode="#,##0.000"/>
    <numFmt numFmtId="170" formatCode="#,##0.0_ "/>
    <numFmt numFmtId="171" formatCode="0.0"/>
    <numFmt numFmtId="172" formatCode="0.000"/>
  </numFmts>
  <fonts count="2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199999999999999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sz val="11"/>
      <color theme="1"/>
      <name val="Calibri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1454817346722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01"/>
      </left>
      <right/>
      <top style="thin">
        <color auto="1"/>
      </top>
      <bottom/>
      <diagonal/>
    </border>
    <border>
      <left/>
      <right style="thin">
        <color theme="0" tint="-0.2499465926084170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01"/>
      </left>
      <right/>
      <top/>
      <bottom style="thin">
        <color auto="1"/>
      </bottom>
      <diagonal/>
    </border>
    <border>
      <left/>
      <right style="thin">
        <color theme="0" tint="-0.24994659260841701"/>
      </right>
      <top/>
      <bottom style="thin">
        <color auto="1"/>
      </bottom>
      <diagonal/>
    </border>
  </borders>
  <cellStyleXfs count="8">
    <xf numFmtId="0" fontId="0" fillId="0" borderId="0"/>
    <xf numFmtId="9" fontId="22" fillId="0" borderId="0" applyFont="0" applyFill="0" applyBorder="0" applyAlignment="0" applyProtection="0"/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12" fillId="10" borderId="0" applyNumberFormat="0" applyBorder="0" applyAlignment="0" applyProtection="0"/>
    <xf numFmtId="0" fontId="1" fillId="0" borderId="0"/>
    <xf numFmtId="0" fontId="1" fillId="0" borderId="0"/>
  </cellStyleXfs>
  <cellXfs count="186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6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6" applyAlignment="1">
      <alignment horizontal="center"/>
    </xf>
    <xf numFmtId="2" fontId="0" fillId="0" borderId="0" xfId="0" applyNumberFormat="1"/>
    <xf numFmtId="0" fontId="0" fillId="4" borderId="0" xfId="0" applyFill="1"/>
    <xf numFmtId="16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6"/>
    <xf numFmtId="0" fontId="5" fillId="0" borderId="1" xfId="6" applyFont="1" applyBorder="1"/>
    <xf numFmtId="0" fontId="0" fillId="3" borderId="1" xfId="0" applyFill="1" applyBorder="1"/>
    <xf numFmtId="168" fontId="0" fillId="3" borderId="0" xfId="0" applyNumberFormat="1" applyFill="1"/>
    <xf numFmtId="2" fontId="2" fillId="3" borderId="1" xfId="0" applyNumberFormat="1" applyFont="1" applyFill="1" applyBorder="1"/>
    <xf numFmtId="169" fontId="0" fillId="3" borderId="1" xfId="0" applyNumberFormat="1" applyFill="1" applyBorder="1"/>
    <xf numFmtId="0" fontId="4" fillId="3" borderId="0" xfId="0" applyFont="1" applyFill="1"/>
    <xf numFmtId="0" fontId="1" fillId="0" borderId="1" xfId="6" applyBorder="1" applyAlignment="1">
      <alignment horizontal="center" vertical="center"/>
    </xf>
    <xf numFmtId="0" fontId="1" fillId="0" borderId="1" xfId="6" applyBorder="1" applyAlignment="1">
      <alignment horizontal="center"/>
    </xf>
    <xf numFmtId="0" fontId="0" fillId="0" borderId="1" xfId="6" applyFont="1" applyBorder="1" applyAlignment="1">
      <alignment horizontal="center" vertical="center"/>
    </xf>
    <xf numFmtId="0" fontId="4" fillId="0" borderId="1" xfId="0" applyFont="1" applyBorder="1"/>
    <xf numFmtId="0" fontId="0" fillId="0" borderId="0" xfId="6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6" applyAlignment="1">
      <alignment horizontal="right"/>
    </xf>
    <xf numFmtId="0" fontId="0" fillId="5" borderId="0" xfId="0" applyFill="1"/>
    <xf numFmtId="0" fontId="1" fillId="5" borderId="0" xfId="6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70" fontId="0" fillId="0" borderId="1" xfId="0" applyNumberFormat="1" applyBorder="1" applyAlignment="1">
      <alignment vertical="center" shrinkToFit="1"/>
    </xf>
    <xf numFmtId="1" fontId="0" fillId="0" borderId="0" xfId="0" applyNumberFormat="1"/>
    <xf numFmtId="171" fontId="0" fillId="0" borderId="0" xfId="0" applyNumberFormat="1"/>
    <xf numFmtId="9" fontId="0" fillId="0" borderId="0" xfId="1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1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70" fontId="0" fillId="0" borderId="9" xfId="0" applyNumberFormat="1" applyBorder="1" applyAlignment="1">
      <alignment vertical="center" shrinkToFit="1"/>
    </xf>
    <xf numFmtId="17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1" applyFont="1" applyBorder="1" applyAlignment="1">
      <alignment vertical="center" shrinkToFit="1"/>
    </xf>
    <xf numFmtId="168" fontId="0" fillId="8" borderId="0" xfId="0" applyNumberFormat="1" applyFill="1"/>
    <xf numFmtId="0" fontId="1" fillId="0" borderId="0" xfId="7"/>
    <xf numFmtId="0" fontId="8" fillId="0" borderId="11" xfId="2"/>
    <xf numFmtId="0" fontId="9" fillId="0" borderId="0" xfId="4"/>
    <xf numFmtId="0" fontId="9" fillId="0" borderId="12" xfId="3"/>
    <xf numFmtId="171" fontId="1" fillId="0" borderId="0" xfId="7" applyNumberFormat="1"/>
    <xf numFmtId="2" fontId="1" fillId="0" borderId="0" xfId="7" applyNumberFormat="1"/>
    <xf numFmtId="0" fontId="10" fillId="0" borderId="0" xfId="7" applyFont="1"/>
    <xf numFmtId="0" fontId="11" fillId="9" borderId="0" xfId="0" applyFont="1" applyFill="1" applyAlignment="1">
      <alignment horizontal="center" vertical="center"/>
    </xf>
    <xf numFmtId="0" fontId="12" fillId="10" borderId="0" xfId="5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3" fillId="11" borderId="0" xfId="0" applyFont="1" applyFill="1" applyAlignment="1">
      <alignment vertical="center"/>
    </xf>
    <xf numFmtId="171" fontId="13" fillId="11" borderId="15" xfId="0" applyNumberFormat="1" applyFont="1" applyFill="1" applyBorder="1" applyAlignment="1">
      <alignment vertical="center"/>
    </xf>
    <xf numFmtId="171" fontId="13" fillId="11" borderId="0" xfId="0" applyNumberFormat="1" applyFont="1" applyFill="1" applyAlignment="1">
      <alignment vertical="center"/>
    </xf>
    <xf numFmtId="17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71" fontId="13" fillId="12" borderId="15" xfId="0" applyNumberFormat="1" applyFont="1" applyFill="1" applyBorder="1" applyAlignment="1">
      <alignment vertical="center"/>
    </xf>
    <xf numFmtId="171" fontId="13" fillId="12" borderId="0" xfId="0" applyNumberFormat="1" applyFont="1" applyFill="1" applyAlignment="1">
      <alignment vertical="center"/>
    </xf>
    <xf numFmtId="17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71" fontId="14" fillId="13" borderId="15" xfId="0" applyNumberFormat="1" applyFont="1" applyFill="1" applyBorder="1" applyAlignment="1">
      <alignment vertical="center"/>
    </xf>
    <xf numFmtId="171" fontId="14" fillId="13" borderId="0" xfId="0" applyNumberFormat="1" applyFont="1" applyFill="1" applyAlignment="1">
      <alignment vertical="center"/>
    </xf>
    <xf numFmtId="171" fontId="14" fillId="13" borderId="16" xfId="0" applyNumberFormat="1" applyFont="1" applyFill="1" applyBorder="1" applyAlignment="1">
      <alignment vertical="center"/>
    </xf>
    <xf numFmtId="172" fontId="14" fillId="13" borderId="15" xfId="0" applyNumberFormat="1" applyFont="1" applyFill="1" applyBorder="1" applyAlignment="1">
      <alignment vertical="center"/>
    </xf>
    <xf numFmtId="172" fontId="14" fillId="13" borderId="0" xfId="0" applyNumberFormat="1" applyFont="1" applyFill="1" applyAlignment="1">
      <alignment vertical="center"/>
    </xf>
    <xf numFmtId="172" fontId="14" fillId="13" borderId="17" xfId="0" applyNumberFormat="1" applyFont="1" applyFill="1" applyBorder="1" applyAlignment="1">
      <alignment vertical="center"/>
    </xf>
    <xf numFmtId="17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71" fontId="13" fillId="14" borderId="15" xfId="0" applyNumberFormat="1" applyFont="1" applyFill="1" applyBorder="1" applyAlignment="1">
      <alignment vertical="center"/>
    </xf>
    <xf numFmtId="171" fontId="13" fillId="14" borderId="0" xfId="0" applyNumberFormat="1" applyFont="1" applyFill="1" applyAlignment="1">
      <alignment vertical="center"/>
    </xf>
    <xf numFmtId="171" fontId="13" fillId="14" borderId="16" xfId="0" applyNumberFormat="1" applyFont="1" applyFill="1" applyBorder="1" applyAlignment="1">
      <alignment vertical="center"/>
    </xf>
    <xf numFmtId="172" fontId="13" fillId="14" borderId="15" xfId="0" applyNumberFormat="1" applyFont="1" applyFill="1" applyBorder="1" applyAlignment="1">
      <alignment vertical="center"/>
    </xf>
    <xf numFmtId="172" fontId="13" fillId="14" borderId="0" xfId="0" applyNumberFormat="1" applyFont="1" applyFill="1" applyAlignment="1">
      <alignment vertical="center"/>
    </xf>
    <xf numFmtId="172" fontId="13" fillId="14" borderId="17" xfId="0" applyNumberFormat="1" applyFont="1" applyFill="1" applyBorder="1" applyAlignment="1">
      <alignment vertical="center"/>
    </xf>
    <xf numFmtId="17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71" fontId="13" fillId="15" borderId="15" xfId="0" applyNumberFormat="1" applyFont="1" applyFill="1" applyBorder="1" applyAlignment="1">
      <alignment vertical="center"/>
    </xf>
    <xf numFmtId="171" fontId="13" fillId="15" borderId="0" xfId="0" applyNumberFormat="1" applyFont="1" applyFill="1" applyAlignment="1">
      <alignment vertical="center"/>
    </xf>
    <xf numFmtId="171" fontId="13" fillId="15" borderId="16" xfId="0" applyNumberFormat="1" applyFont="1" applyFill="1" applyBorder="1" applyAlignment="1">
      <alignment vertical="center"/>
    </xf>
    <xf numFmtId="172" fontId="13" fillId="15" borderId="15" xfId="0" applyNumberFormat="1" applyFont="1" applyFill="1" applyBorder="1" applyAlignment="1">
      <alignment vertical="center"/>
    </xf>
    <xf numFmtId="172" fontId="13" fillId="15" borderId="0" xfId="0" applyNumberFormat="1" applyFont="1" applyFill="1" applyAlignment="1">
      <alignment vertical="center"/>
    </xf>
    <xf numFmtId="172" fontId="13" fillId="15" borderId="17" xfId="0" applyNumberFormat="1" applyFont="1" applyFill="1" applyBorder="1" applyAlignment="1">
      <alignment vertical="center"/>
    </xf>
    <xf numFmtId="17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71" fontId="13" fillId="16" borderId="13" xfId="0" applyNumberFormat="1" applyFont="1" applyFill="1" applyBorder="1" applyAlignment="1">
      <alignment vertical="center"/>
    </xf>
    <xf numFmtId="171" fontId="13" fillId="16" borderId="10" xfId="0" applyNumberFormat="1" applyFont="1" applyFill="1" applyBorder="1" applyAlignment="1">
      <alignment vertical="center"/>
    </xf>
    <xf numFmtId="171" fontId="13" fillId="16" borderId="14" xfId="0" applyNumberFormat="1" applyFont="1" applyFill="1" applyBorder="1" applyAlignment="1">
      <alignment vertical="center"/>
    </xf>
    <xf numFmtId="172" fontId="14" fillId="16" borderId="13" xfId="0" applyNumberFormat="1" applyFont="1" applyFill="1" applyBorder="1" applyAlignment="1">
      <alignment vertical="center"/>
    </xf>
    <xf numFmtId="172" fontId="14" fillId="16" borderId="10" xfId="0" applyNumberFormat="1" applyFont="1" applyFill="1" applyBorder="1" applyAlignment="1">
      <alignment vertical="center"/>
    </xf>
    <xf numFmtId="172" fontId="14" fillId="16" borderId="20" xfId="0" applyNumberFormat="1" applyFont="1" applyFill="1" applyBorder="1" applyAlignment="1">
      <alignment vertical="center"/>
    </xf>
    <xf numFmtId="17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71" fontId="13" fillId="18" borderId="15" xfId="0" applyNumberFormat="1" applyFont="1" applyFill="1" applyBorder="1" applyAlignment="1">
      <alignment vertical="center"/>
    </xf>
    <xf numFmtId="171" fontId="13" fillId="18" borderId="0" xfId="0" applyNumberFormat="1" applyFont="1" applyFill="1" applyAlignment="1">
      <alignment vertical="center"/>
    </xf>
    <xf numFmtId="171" fontId="13" fillId="18" borderId="16" xfId="0" applyNumberFormat="1" applyFont="1" applyFill="1" applyBorder="1" applyAlignment="1">
      <alignment vertical="center"/>
    </xf>
    <xf numFmtId="172" fontId="14" fillId="18" borderId="15" xfId="0" applyNumberFormat="1" applyFont="1" applyFill="1" applyBorder="1" applyAlignment="1">
      <alignment vertical="center"/>
    </xf>
    <xf numFmtId="172" fontId="14" fillId="18" borderId="0" xfId="0" applyNumberFormat="1" applyFont="1" applyFill="1" applyAlignment="1">
      <alignment vertical="center"/>
    </xf>
    <xf numFmtId="172" fontId="14" fillId="18" borderId="17" xfId="0" applyNumberFormat="1" applyFont="1" applyFill="1" applyBorder="1" applyAlignment="1">
      <alignment vertical="center"/>
    </xf>
    <xf numFmtId="17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71" fontId="13" fillId="16" borderId="23" xfId="0" applyNumberFormat="1" applyFont="1" applyFill="1" applyBorder="1" applyAlignment="1">
      <alignment vertical="center"/>
    </xf>
    <xf numFmtId="171" fontId="13" fillId="16" borderId="22" xfId="0" applyNumberFormat="1" applyFont="1" applyFill="1" applyBorder="1" applyAlignment="1">
      <alignment vertical="center"/>
    </xf>
    <xf numFmtId="171" fontId="13" fillId="16" borderId="24" xfId="0" applyNumberFormat="1" applyFont="1" applyFill="1" applyBorder="1" applyAlignment="1">
      <alignment vertical="center"/>
    </xf>
    <xf numFmtId="172" fontId="14" fillId="16" borderId="23" xfId="0" applyNumberFormat="1" applyFont="1" applyFill="1" applyBorder="1" applyAlignment="1">
      <alignment vertical="center"/>
    </xf>
    <xf numFmtId="172" fontId="14" fillId="16" borderId="22" xfId="0" applyNumberFormat="1" applyFont="1" applyFill="1" applyBorder="1" applyAlignment="1">
      <alignment vertical="center"/>
    </xf>
    <xf numFmtId="172" fontId="14" fillId="16" borderId="25" xfId="0" applyNumberFormat="1" applyFont="1" applyFill="1" applyBorder="1" applyAlignment="1">
      <alignment vertical="center"/>
    </xf>
    <xf numFmtId="17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71" fontId="13" fillId="19" borderId="15" xfId="0" applyNumberFormat="1" applyFont="1" applyFill="1" applyBorder="1" applyAlignment="1">
      <alignment vertical="center"/>
    </xf>
    <xf numFmtId="171" fontId="13" fillId="19" borderId="0" xfId="0" applyNumberFormat="1" applyFont="1" applyFill="1" applyAlignment="1">
      <alignment vertical="center"/>
    </xf>
    <xf numFmtId="171" fontId="13" fillId="19" borderId="16" xfId="0" applyNumberFormat="1" applyFont="1" applyFill="1" applyBorder="1" applyAlignment="1">
      <alignment vertical="center"/>
    </xf>
    <xf numFmtId="172" fontId="13" fillId="19" borderId="15" xfId="0" applyNumberFormat="1" applyFont="1" applyFill="1" applyBorder="1" applyAlignment="1">
      <alignment vertical="center"/>
    </xf>
    <xf numFmtId="172" fontId="13" fillId="19" borderId="0" xfId="0" applyNumberFormat="1" applyFont="1" applyFill="1" applyAlignment="1">
      <alignment vertical="center"/>
    </xf>
    <xf numFmtId="172" fontId="13" fillId="19" borderId="17" xfId="0" applyNumberFormat="1" applyFont="1" applyFill="1" applyBorder="1" applyAlignment="1">
      <alignment vertical="center"/>
    </xf>
    <xf numFmtId="17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71" fontId="13" fillId="20" borderId="15" xfId="0" applyNumberFormat="1" applyFont="1" applyFill="1" applyBorder="1" applyAlignment="1">
      <alignment vertical="center"/>
    </xf>
    <xf numFmtId="171" fontId="13" fillId="20" borderId="0" xfId="0" applyNumberFormat="1" applyFont="1" applyFill="1" applyAlignment="1">
      <alignment vertical="center"/>
    </xf>
    <xf numFmtId="171" fontId="13" fillId="20" borderId="16" xfId="0" applyNumberFormat="1" applyFont="1" applyFill="1" applyBorder="1" applyAlignment="1">
      <alignment vertical="center"/>
    </xf>
    <xf numFmtId="172" fontId="13" fillId="20" borderId="15" xfId="0" applyNumberFormat="1" applyFont="1" applyFill="1" applyBorder="1" applyAlignment="1">
      <alignment vertical="center"/>
    </xf>
    <xf numFmtId="172" fontId="13" fillId="20" borderId="0" xfId="0" applyNumberFormat="1" applyFont="1" applyFill="1" applyAlignment="1">
      <alignment vertical="center"/>
    </xf>
    <xf numFmtId="172" fontId="13" fillId="20" borderId="17" xfId="0" applyNumberFormat="1" applyFont="1" applyFill="1" applyBorder="1" applyAlignment="1">
      <alignment vertical="center"/>
    </xf>
    <xf numFmtId="17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71" fontId="13" fillId="19" borderId="23" xfId="0" applyNumberFormat="1" applyFont="1" applyFill="1" applyBorder="1" applyAlignment="1">
      <alignment vertical="center"/>
    </xf>
    <xf numFmtId="171" fontId="13" fillId="19" borderId="22" xfId="0" applyNumberFormat="1" applyFont="1" applyFill="1" applyBorder="1" applyAlignment="1">
      <alignment vertical="center"/>
    </xf>
    <xf numFmtId="171" fontId="13" fillId="19" borderId="24" xfId="0" applyNumberFormat="1" applyFont="1" applyFill="1" applyBorder="1" applyAlignment="1">
      <alignment vertical="center"/>
    </xf>
    <xf numFmtId="172" fontId="13" fillId="19" borderId="23" xfId="0" applyNumberFormat="1" applyFont="1" applyFill="1" applyBorder="1" applyAlignment="1">
      <alignment vertical="center"/>
    </xf>
    <xf numFmtId="172" fontId="13" fillId="19" borderId="22" xfId="0" applyNumberFormat="1" applyFont="1" applyFill="1" applyBorder="1" applyAlignment="1">
      <alignment vertical="center"/>
    </xf>
    <xf numFmtId="172" fontId="13" fillId="19" borderId="25" xfId="0" applyNumberFormat="1" applyFont="1" applyFill="1" applyBorder="1" applyAlignment="1">
      <alignment vertical="center"/>
    </xf>
    <xf numFmtId="17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9" borderId="19" xfId="0" applyFont="1" applyFill="1" applyBorder="1" applyAlignment="1">
      <alignment horizontal="center" vertical="center"/>
    </xf>
  </cellXfs>
  <cellStyles count="8">
    <cellStyle name="Heading 2" xfId="2" builtinId="17"/>
    <cellStyle name="Heading 3" xfId="3" builtinId="18"/>
    <cellStyle name="Heading 4" xfId="4" builtinId="19"/>
    <cellStyle name="Neutral" xfId="5" builtinId="28"/>
    <cellStyle name="Normal" xfId="0" builtinId="0"/>
    <cellStyle name="Normal 10" xfId="6" xr:uid="{00000000-0005-0000-0000-000031000000}"/>
    <cellStyle name="Normal 2" xfId="7" xr:uid="{00000000-0005-0000-0000-000032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AGE/saic_technology/ResCOM/New%20Microsoft%20Excel%20Worksheet.xls" TargetMode="External"/><Relationship Id="rId1" Type="http://schemas.openxmlformats.org/officeDocument/2006/relationships/externalLinkPath" Target="/SAGE/saic_technology/ResCOM/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OCUME~1/MARYSE~1/LOCALS~1/Temp/Temporary%20Directory%202%20for%20EFDA_TMPL_nov5.zip/SubRes_Tmpl/TMPL_RES.xls" TargetMode="External"/><Relationship Id="rId1" Type="http://schemas.openxmlformats.org/officeDocument/2006/relationships/externalLinkPath" Target="/DOCUME~1/MARYSE~1/LOCALS~1/Temp/Temporary%20Directory%202%20for%20EFDA_TMPL_nov5.zip/SubRes_Tmpl/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MPL_RES.xls" TargetMode="External"/><Relationship Id="rId1" Type="http://schemas.openxmlformats.org/officeDocument/2006/relationships/externalLinkPath" Target="/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KiNESYS-S100_DTC/SubRes_Tmpl/SubRES_H2-Production.xlsm" TargetMode="External"/><Relationship Id="rId1" Type="http://schemas.openxmlformats.org/officeDocument/2006/relationships/externalLinkPath" Target="/Veda/Veda/Veda_models/KiNESYS-S100_DTC/SubRes_Tmpl/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xli9/Downloads/SubRES_Transport.xlsx" TargetMode="External"/><Relationship Id="rId1" Type="http://schemas.openxmlformats.org/officeDocument/2006/relationships/externalLinkPath" Target="/Users/xli9/Downloads/SubRES_Trans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4.7300000000000002E-2</v>
          </cell>
        </row>
        <row r="7">
          <cell r="AW7">
            <v>0.17116666666666699</v>
          </cell>
        </row>
        <row r="8">
          <cell r="AW8">
            <v>0.46636666666666698</v>
          </cell>
        </row>
        <row r="9">
          <cell r="AW9">
            <v>9.5666666666666705E-2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7"/>
  <sheetViews>
    <sheetView workbookViewId="0">
      <selection activeCell="I20" sqref="I20"/>
    </sheetView>
  </sheetViews>
  <sheetFormatPr defaultColWidth="9" defaultRowHeight="14.25"/>
  <cols>
    <col min="2" max="2" width="11.86328125" customWidth="1"/>
    <col min="3" max="3" width="9.3984375" customWidth="1"/>
    <col min="4" max="4" width="15.265625" customWidth="1"/>
    <col min="5" max="5" width="4" customWidth="1"/>
    <col min="6" max="6" width="6.3984375" customWidth="1"/>
    <col min="7" max="7" width="8.265625" customWidth="1"/>
    <col min="9" max="9" width="11.265625" customWidth="1"/>
    <col min="10" max="10" width="11.86328125" customWidth="1"/>
    <col min="11" max="11" width="20.59765625" customWidth="1"/>
    <col min="12" max="12" width="8.59765625" customWidth="1"/>
    <col min="13" max="13" width="4.59765625" customWidth="1"/>
    <col min="14" max="14" width="5.265625" customWidth="1"/>
    <col min="15" max="15" width="10.265625" customWidth="1"/>
    <col min="16" max="16" width="7.86328125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"/>
  <sheetViews>
    <sheetView topLeftCell="A33" zoomScale="85" zoomScaleNormal="85" workbookViewId="0">
      <selection activeCell="E43" sqref="E43"/>
    </sheetView>
  </sheetViews>
  <sheetFormatPr defaultColWidth="9" defaultRowHeight="14.25"/>
  <cols>
    <col min="1" max="2" width="11.1328125" customWidth="1"/>
    <col min="3" max="5" width="14" customWidth="1"/>
    <col min="6" max="8" width="11.86328125" customWidth="1"/>
    <col min="9" max="9" width="20.265625" customWidth="1"/>
    <col min="10" max="10" width="15.59765625" customWidth="1"/>
    <col min="11" max="11" width="20.265625" customWidth="1"/>
    <col min="12" max="12" width="15.59765625" customWidth="1"/>
    <col min="13" max="13" width="20.265625" customWidth="1"/>
    <col min="14" max="14" width="15.59765625" customWidth="1"/>
    <col min="15" max="15" width="18.86328125" customWidth="1"/>
    <col min="16" max="16" width="4.3984375" customWidth="1"/>
    <col min="17" max="17" width="8.1328125" customWidth="1"/>
    <col min="20" max="20" width="18.1328125" customWidth="1"/>
    <col min="21" max="21" width="24" customWidth="1"/>
    <col min="22" max="22" width="4.59765625" customWidth="1"/>
    <col min="23" max="23" width="4.1328125" customWidth="1"/>
    <col min="24" max="24" width="7.73046875" customWidth="1"/>
    <col min="25" max="25" width="7.1328125" customWidth="1"/>
  </cols>
  <sheetData>
    <row r="1" spans="1:20" ht="33.75" customHeight="1">
      <c r="A1" t="s">
        <v>29</v>
      </c>
      <c r="C1" s="180" t="s">
        <v>30</v>
      </c>
      <c r="D1" s="180"/>
      <c r="E1" s="180"/>
      <c r="F1" s="181" t="s">
        <v>31</v>
      </c>
      <c r="G1" s="180"/>
      <c r="H1" s="182"/>
      <c r="I1" s="180" t="s">
        <v>32</v>
      </c>
      <c r="J1" s="180"/>
      <c r="K1" s="180"/>
      <c r="L1" s="180"/>
      <c r="M1" s="180"/>
      <c r="N1" s="180"/>
      <c r="O1" s="183" t="s">
        <v>33</v>
      </c>
      <c r="P1" s="59"/>
      <c r="Q1" s="59"/>
      <c r="S1" t="s">
        <v>34</v>
      </c>
      <c r="T1" t="s">
        <v>35</v>
      </c>
    </row>
    <row r="2" spans="1:20">
      <c r="C2" s="60" t="s">
        <v>36</v>
      </c>
      <c r="D2" s="60" t="s">
        <v>36</v>
      </c>
      <c r="E2" s="60" t="s">
        <v>36</v>
      </c>
      <c r="F2" s="60" t="s">
        <v>37</v>
      </c>
      <c r="G2" s="60" t="s">
        <v>37</v>
      </c>
      <c r="H2" s="60" t="s">
        <v>37</v>
      </c>
      <c r="I2" s="60" t="s">
        <v>38</v>
      </c>
      <c r="J2" s="60" t="s">
        <v>39</v>
      </c>
      <c r="K2" s="60" t="str">
        <f>I2</f>
        <v>input~GASNGA</v>
      </c>
      <c r="L2" s="60" t="str">
        <f>J2</f>
        <v>input~ELC_gc</v>
      </c>
      <c r="M2" s="60" t="str">
        <f>K2</f>
        <v>input~GASNGA</v>
      </c>
      <c r="N2" s="60" t="str">
        <f>L2</f>
        <v>input~ELC_gc</v>
      </c>
      <c r="O2" s="184"/>
      <c r="P2" s="59"/>
      <c r="Q2" s="59"/>
    </row>
    <row r="3" spans="1:20">
      <c r="C3" s="60">
        <v>2020</v>
      </c>
      <c r="D3" s="60">
        <v>2030</v>
      </c>
      <c r="E3" s="60">
        <v>2050</v>
      </c>
      <c r="F3" s="60">
        <f>C3</f>
        <v>2020</v>
      </c>
      <c r="G3" s="60">
        <f t="shared" ref="G3:H3" si="0">D3</f>
        <v>2030</v>
      </c>
      <c r="H3" s="60">
        <f t="shared" si="0"/>
        <v>2050</v>
      </c>
      <c r="I3" s="60">
        <v>2015</v>
      </c>
      <c r="J3" s="60">
        <v>2015</v>
      </c>
      <c r="K3" s="60">
        <v>2030</v>
      </c>
      <c r="L3" s="60">
        <v>2030</v>
      </c>
      <c r="M3" s="60">
        <v>2050</v>
      </c>
      <c r="N3" s="60">
        <v>2050</v>
      </c>
      <c r="O3" s="184"/>
      <c r="P3" s="59"/>
      <c r="Q3" s="59"/>
    </row>
    <row r="4" spans="1:20" ht="26.25">
      <c r="C4" s="61">
        <v>2020</v>
      </c>
      <c r="D4" s="61">
        <v>2030</v>
      </c>
      <c r="E4" s="61" t="s">
        <v>40</v>
      </c>
      <c r="F4" s="62">
        <v>2015</v>
      </c>
      <c r="G4" s="61">
        <v>2030</v>
      </c>
      <c r="H4" s="63" t="s">
        <v>40</v>
      </c>
      <c r="I4" s="61" t="s">
        <v>41</v>
      </c>
      <c r="J4" s="61" t="s">
        <v>42</v>
      </c>
      <c r="K4" s="64" t="s">
        <v>43</v>
      </c>
      <c r="L4" s="65" t="s">
        <v>44</v>
      </c>
      <c r="M4" s="61" t="s">
        <v>45</v>
      </c>
      <c r="N4" s="61" t="s">
        <v>46</v>
      </c>
      <c r="O4" s="185"/>
      <c r="P4" s="59"/>
      <c r="Q4" s="59"/>
    </row>
    <row r="5" spans="1:20">
      <c r="C5" s="66">
        <v>550</v>
      </c>
      <c r="D5" s="66">
        <v>500</v>
      </c>
      <c r="E5" s="66">
        <v>450</v>
      </c>
      <c r="F5" s="67">
        <v>22</v>
      </c>
      <c r="G5" s="68">
        <v>20</v>
      </c>
      <c r="H5" s="69">
        <v>18</v>
      </c>
      <c r="I5" s="70">
        <v>1.33</v>
      </c>
      <c r="J5" s="70">
        <v>9.4E-2</v>
      </c>
      <c r="K5" s="71">
        <v>1.3</v>
      </c>
      <c r="L5" s="72">
        <v>9.4E-2</v>
      </c>
      <c r="M5" s="70">
        <v>1.28</v>
      </c>
      <c r="N5" s="70">
        <v>9.4E-2</v>
      </c>
      <c r="O5" s="73" t="s">
        <v>47</v>
      </c>
      <c r="P5" s="74"/>
      <c r="Q5" s="74"/>
    </row>
    <row r="6" spans="1:20">
      <c r="C6" s="75">
        <v>900</v>
      </c>
      <c r="D6" s="75">
        <v>850</v>
      </c>
      <c r="E6" s="75">
        <v>800</v>
      </c>
      <c r="F6" s="76">
        <v>36</v>
      </c>
      <c r="G6" s="77">
        <v>34</v>
      </c>
      <c r="H6" s="78">
        <v>32</v>
      </c>
      <c r="I6" s="79">
        <v>1.33</v>
      </c>
      <c r="J6" s="79">
        <v>1.0940000000000001</v>
      </c>
      <c r="K6" s="80">
        <v>1.3</v>
      </c>
      <c r="L6" s="81">
        <v>1.0940000000000001</v>
      </c>
      <c r="M6" s="79">
        <v>1.28</v>
      </c>
      <c r="N6" s="79">
        <v>1.0940000000000001</v>
      </c>
      <c r="O6" s="82" t="s">
        <v>48</v>
      </c>
      <c r="P6" s="83"/>
      <c r="Q6" s="83"/>
    </row>
    <row r="7" spans="1:20">
      <c r="C7" s="66">
        <v>1978</v>
      </c>
      <c r="D7" s="66">
        <v>1598</v>
      </c>
      <c r="E7" s="66">
        <v>1450</v>
      </c>
      <c r="F7" s="67">
        <v>57</v>
      </c>
      <c r="G7" s="68">
        <v>31</v>
      </c>
      <c r="H7" s="69">
        <v>28</v>
      </c>
      <c r="I7" s="70">
        <v>1.53</v>
      </c>
      <c r="J7" s="70">
        <v>9.4E-2</v>
      </c>
      <c r="K7" s="71">
        <v>1.47</v>
      </c>
      <c r="L7" s="72">
        <v>9.4E-2</v>
      </c>
      <c r="M7" s="70">
        <v>1.43</v>
      </c>
      <c r="N7" s="70">
        <v>9.4E-2</v>
      </c>
      <c r="O7" s="73" t="s">
        <v>49</v>
      </c>
      <c r="P7" s="74"/>
      <c r="Q7" s="74"/>
    </row>
    <row r="8" spans="1:20">
      <c r="C8" s="84">
        <v>1610</v>
      </c>
      <c r="D8" s="84">
        <v>740</v>
      </c>
      <c r="E8" s="84">
        <v>200</v>
      </c>
      <c r="F8" s="76">
        <v>49</v>
      </c>
      <c r="G8" s="77">
        <v>15</v>
      </c>
      <c r="H8" s="78">
        <v>10</v>
      </c>
      <c r="I8" s="79">
        <v>0</v>
      </c>
      <c r="J8" s="79">
        <v>1.39</v>
      </c>
      <c r="K8" s="80">
        <v>0</v>
      </c>
      <c r="L8" s="81">
        <v>1.19</v>
      </c>
      <c r="M8" s="79">
        <v>0</v>
      </c>
      <c r="N8" s="79">
        <v>1.17</v>
      </c>
      <c r="O8" s="82" t="s">
        <v>50</v>
      </c>
      <c r="P8" s="83"/>
      <c r="Q8" s="83"/>
    </row>
    <row r="9" spans="1:20">
      <c r="C9" s="85">
        <v>2530</v>
      </c>
      <c r="D9" s="85">
        <v>1175</v>
      </c>
      <c r="E9" s="85">
        <v>350</v>
      </c>
      <c r="F9" s="67">
        <v>77</v>
      </c>
      <c r="G9" s="68">
        <v>34</v>
      </c>
      <c r="H9" s="69">
        <v>18</v>
      </c>
      <c r="I9" s="70">
        <v>0</v>
      </c>
      <c r="J9" s="70">
        <v>1.5</v>
      </c>
      <c r="K9" s="71">
        <v>0</v>
      </c>
      <c r="L9" s="72">
        <v>1.25</v>
      </c>
      <c r="M9" s="70">
        <v>0</v>
      </c>
      <c r="N9" s="70">
        <v>1.19</v>
      </c>
      <c r="O9" s="73" t="s">
        <v>51</v>
      </c>
      <c r="P9" s="74"/>
      <c r="Q9" s="74"/>
    </row>
    <row r="10" spans="1:20">
      <c r="C10" s="84">
        <v>1265</v>
      </c>
      <c r="D10" s="84">
        <v>600</v>
      </c>
      <c r="E10" s="84">
        <v>180</v>
      </c>
      <c r="F10" s="76">
        <v>28</v>
      </c>
      <c r="G10" s="77">
        <v>14</v>
      </c>
      <c r="H10" s="78">
        <v>9</v>
      </c>
      <c r="I10" s="79">
        <v>0</v>
      </c>
      <c r="J10" s="79">
        <v>1.3952</v>
      </c>
      <c r="K10" s="80">
        <v>0</v>
      </c>
      <c r="L10" s="81">
        <v>1.268</v>
      </c>
      <c r="M10" s="79">
        <v>0</v>
      </c>
      <c r="N10" s="79">
        <v>1.18</v>
      </c>
      <c r="O10" s="82" t="s">
        <v>52</v>
      </c>
      <c r="P10" s="83"/>
      <c r="Q10" s="83"/>
    </row>
    <row r="11" spans="1:20">
      <c r="C11" s="85">
        <v>1897.5</v>
      </c>
      <c r="D11" s="85">
        <v>715</v>
      </c>
      <c r="E11" s="85">
        <v>300</v>
      </c>
      <c r="F11" s="67">
        <v>41</v>
      </c>
      <c r="G11" s="68">
        <v>17</v>
      </c>
      <c r="H11" s="69">
        <v>15</v>
      </c>
      <c r="I11" s="70">
        <v>0</v>
      </c>
      <c r="J11" s="70">
        <v>1.3952</v>
      </c>
      <c r="K11" s="71">
        <v>0</v>
      </c>
      <c r="L11" s="72">
        <v>1.268</v>
      </c>
      <c r="M11" s="70">
        <v>0</v>
      </c>
      <c r="N11" s="70">
        <v>1.2</v>
      </c>
      <c r="O11" s="73" t="s">
        <v>53</v>
      </c>
      <c r="P11" s="74"/>
      <c r="Q11" s="74"/>
    </row>
    <row r="12" spans="1:20">
      <c r="C12" s="84">
        <v>3332.0882352941198</v>
      </c>
      <c r="D12" s="84">
        <v>1421.39215686275</v>
      </c>
      <c r="E12" s="84">
        <v>600</v>
      </c>
      <c r="F12" s="76">
        <v>55.825000000000003</v>
      </c>
      <c r="G12" s="77">
        <v>36.18</v>
      </c>
      <c r="H12" s="78">
        <v>39</v>
      </c>
      <c r="I12" s="79">
        <v>1.9966670387596901</v>
      </c>
      <c r="J12" s="79">
        <v>0.83711999999999998</v>
      </c>
      <c r="K12" s="80">
        <v>1.45562727909392</v>
      </c>
      <c r="L12" s="81">
        <v>0.76080000000000003</v>
      </c>
      <c r="M12" s="79">
        <v>0.33333333333333298</v>
      </c>
      <c r="N12" s="79">
        <v>0.70799999999999996</v>
      </c>
      <c r="O12" s="82" t="s">
        <v>54</v>
      </c>
      <c r="P12" s="83"/>
      <c r="Q12" s="83"/>
    </row>
    <row r="13" spans="1:20">
      <c r="C13" s="85">
        <v>5331.3411764705897</v>
      </c>
      <c r="D13" s="85">
        <v>2920.8941176470598</v>
      </c>
      <c r="E13" s="85">
        <v>1100</v>
      </c>
      <c r="F13" s="67">
        <v>94.902500000000003</v>
      </c>
      <c r="G13" s="68">
        <v>63.314999999999998</v>
      </c>
      <c r="H13" s="69">
        <v>48.75</v>
      </c>
      <c r="I13" s="70">
        <v>1.9966670387596901</v>
      </c>
      <c r="J13" s="70">
        <v>0.83711999999999998</v>
      </c>
      <c r="K13" s="71">
        <v>1.45562727909392</v>
      </c>
      <c r="L13" s="72">
        <v>0.76080000000000003</v>
      </c>
      <c r="M13" s="70">
        <v>0.33333333333333298</v>
      </c>
      <c r="N13" s="70">
        <v>0.72</v>
      </c>
      <c r="O13" s="73" t="s">
        <v>55</v>
      </c>
      <c r="P13" s="74"/>
      <c r="Q13" s="74"/>
    </row>
    <row r="14" spans="1:20">
      <c r="C14" s="86">
        <v>1200</v>
      </c>
      <c r="D14" s="86">
        <v>733</v>
      </c>
      <c r="E14" s="86">
        <v>263</v>
      </c>
      <c r="F14" s="87">
        <v>42</v>
      </c>
      <c r="G14" s="88">
        <v>22</v>
      </c>
      <c r="H14" s="89">
        <v>9</v>
      </c>
      <c r="I14" s="90">
        <v>0</v>
      </c>
      <c r="J14" s="91">
        <v>0.01</v>
      </c>
      <c r="K14" s="92">
        <v>0</v>
      </c>
      <c r="L14" s="93">
        <v>0.01</v>
      </c>
      <c r="M14" s="91">
        <v>0</v>
      </c>
      <c r="N14" s="91">
        <v>0.01</v>
      </c>
      <c r="O14" s="94" t="s">
        <v>56</v>
      </c>
      <c r="P14" s="95"/>
      <c r="Q14" s="95"/>
    </row>
    <row r="15" spans="1:20">
      <c r="C15" s="96">
        <v>450</v>
      </c>
      <c r="D15" s="96">
        <v>450</v>
      </c>
      <c r="E15" s="96">
        <v>450</v>
      </c>
      <c r="F15" s="97">
        <v>18</v>
      </c>
      <c r="G15" s="98">
        <v>18</v>
      </c>
      <c r="H15" s="99">
        <v>18</v>
      </c>
      <c r="I15" s="100">
        <v>0.265822784810126</v>
      </c>
      <c r="J15" s="101">
        <v>0.06</v>
      </c>
      <c r="K15" s="102">
        <v>0.265822784810126</v>
      </c>
      <c r="L15" s="103">
        <v>0.06</v>
      </c>
      <c r="M15" s="101">
        <v>0.265822784810126</v>
      </c>
      <c r="N15" s="101">
        <v>0.06</v>
      </c>
      <c r="O15" s="104" t="s">
        <v>57</v>
      </c>
      <c r="P15" s="105"/>
      <c r="Q15" s="105"/>
    </row>
    <row r="16" spans="1:20">
      <c r="C16" s="106">
        <v>200</v>
      </c>
      <c r="D16" s="106">
        <v>200</v>
      </c>
      <c r="E16" s="106">
        <v>200</v>
      </c>
      <c r="F16" s="107">
        <v>20</v>
      </c>
      <c r="G16" s="108">
        <v>20</v>
      </c>
      <c r="H16" s="109">
        <v>20</v>
      </c>
      <c r="I16" s="110">
        <v>1.2999999999999999E-2</v>
      </c>
      <c r="J16" s="111">
        <v>3.5999999999999997E-2</v>
      </c>
      <c r="K16" s="112">
        <v>1.2999999999999999E-2</v>
      </c>
      <c r="L16" s="113">
        <v>3.5999999999999997E-2</v>
      </c>
      <c r="M16" s="111">
        <v>1.2999999999999999E-2</v>
      </c>
      <c r="N16" s="111">
        <v>3.5999999999999997E-2</v>
      </c>
      <c r="O16" s="114" t="s">
        <v>58</v>
      </c>
      <c r="P16" s="115"/>
      <c r="Q16" s="115"/>
    </row>
    <row r="17" spans="1:25">
      <c r="C17" s="96">
        <v>175</v>
      </c>
      <c r="D17" s="96">
        <v>175</v>
      </c>
      <c r="E17" s="96">
        <v>175</v>
      </c>
      <c r="F17" s="97">
        <v>5</v>
      </c>
      <c r="G17" s="98">
        <v>5</v>
      </c>
      <c r="H17" s="99">
        <v>5</v>
      </c>
      <c r="I17" s="100">
        <v>1.4E-2</v>
      </c>
      <c r="J17" s="101">
        <v>0</v>
      </c>
      <c r="K17" s="102">
        <v>1.4E-2</v>
      </c>
      <c r="L17" s="103">
        <v>0</v>
      </c>
      <c r="M17" s="101">
        <v>1.4E-2</v>
      </c>
      <c r="N17" s="101">
        <v>0</v>
      </c>
      <c r="O17" s="104" t="s">
        <v>59</v>
      </c>
      <c r="P17" s="105"/>
      <c r="Q17" s="105"/>
    </row>
    <row r="18" spans="1:25">
      <c r="C18" s="116">
        <v>1000</v>
      </c>
      <c r="D18" s="116">
        <v>720</v>
      </c>
      <c r="E18" s="116">
        <v>364</v>
      </c>
      <c r="F18" s="117">
        <v>50</v>
      </c>
      <c r="G18" s="118">
        <v>31</v>
      </c>
      <c r="H18" s="119">
        <v>18</v>
      </c>
      <c r="I18" s="120">
        <v>0.2389</v>
      </c>
      <c r="J18" s="121">
        <v>3.056E-2</v>
      </c>
      <c r="K18" s="122">
        <v>0.2389</v>
      </c>
      <c r="L18" s="123">
        <v>3.056E-2</v>
      </c>
      <c r="M18" s="121">
        <v>0.2389</v>
      </c>
      <c r="N18" s="121">
        <v>3.056E-2</v>
      </c>
      <c r="O18" s="124" t="s">
        <v>60</v>
      </c>
      <c r="P18" s="125"/>
      <c r="Q18" s="125"/>
    </row>
    <row r="19" spans="1:25">
      <c r="C19" s="126">
        <v>1556</v>
      </c>
      <c r="D19" s="126">
        <v>1143</v>
      </c>
      <c r="E19" s="127">
        <v>673</v>
      </c>
      <c r="F19" s="128">
        <v>54</v>
      </c>
      <c r="G19" s="129">
        <v>40</v>
      </c>
      <c r="H19" s="130">
        <v>24</v>
      </c>
      <c r="I19" s="131">
        <v>3.5000000000000003E-2</v>
      </c>
      <c r="J19" s="132">
        <v>0.02</v>
      </c>
      <c r="K19" s="133">
        <v>3.5000000000000003E-2</v>
      </c>
      <c r="L19" s="134">
        <v>0.02</v>
      </c>
      <c r="M19" s="132">
        <v>3.5000000000000003E-2</v>
      </c>
      <c r="N19" s="132">
        <v>0.02</v>
      </c>
      <c r="O19" s="135" t="s">
        <v>61</v>
      </c>
      <c r="P19" s="136"/>
      <c r="Q19" s="136"/>
    </row>
    <row r="20" spans="1:25">
      <c r="C20" s="137">
        <v>2332</v>
      </c>
      <c r="D20" s="137">
        <v>1511</v>
      </c>
      <c r="E20" s="137">
        <v>965</v>
      </c>
      <c r="F20" s="138">
        <v>163</v>
      </c>
      <c r="G20" s="139">
        <v>106</v>
      </c>
      <c r="H20" s="140">
        <v>68</v>
      </c>
      <c r="I20" s="141">
        <v>0.46326666666666699</v>
      </c>
      <c r="J20" s="142">
        <v>1.91881040892193</v>
      </c>
      <c r="K20" s="143">
        <v>0.39244195142277999</v>
      </c>
      <c r="L20" s="144">
        <v>1.60098120886331</v>
      </c>
      <c r="M20" s="142">
        <v>0.37890902062421</v>
      </c>
      <c r="N20" s="142">
        <v>1.5694083453910299</v>
      </c>
      <c r="O20" s="145" t="s">
        <v>62</v>
      </c>
      <c r="P20" s="125"/>
      <c r="Q20" s="125"/>
    </row>
    <row r="21" spans="1:25">
      <c r="C21" s="146">
        <v>769.87681970884705</v>
      </c>
      <c r="D21" s="146">
        <v>648.04446103438295</v>
      </c>
      <c r="E21" s="146">
        <v>518.29059243801305</v>
      </c>
      <c r="F21" s="147">
        <v>26.9456886898096</v>
      </c>
      <c r="G21" s="148">
        <v>22.681556136203401</v>
      </c>
      <c r="H21" s="149">
        <v>18.1401707353305</v>
      </c>
      <c r="I21" s="150">
        <v>2.7777777777777799</v>
      </c>
      <c r="J21" s="151">
        <v>2.2222222222222201</v>
      </c>
      <c r="K21" s="152">
        <v>1.6666666666666701</v>
      </c>
      <c r="L21" s="153">
        <v>1.3888888888888899</v>
      </c>
      <c r="M21" s="151">
        <v>1.1388888888888899</v>
      </c>
      <c r="N21" s="151">
        <v>0.3</v>
      </c>
      <c r="O21" s="154" t="s">
        <v>63</v>
      </c>
      <c r="P21" s="155"/>
      <c r="Q21" s="155"/>
    </row>
    <row r="22" spans="1:25">
      <c r="C22" s="156">
        <v>1259.7984322508401</v>
      </c>
      <c r="D22" s="156">
        <v>894.30135622744797</v>
      </c>
      <c r="E22" s="156">
        <v>495</v>
      </c>
      <c r="F22" s="157">
        <v>44.092945128779398</v>
      </c>
      <c r="G22" s="158">
        <v>31.300547467960701</v>
      </c>
      <c r="H22" s="159">
        <v>17.324999999999999</v>
      </c>
      <c r="I22" s="160">
        <v>2</v>
      </c>
      <c r="J22" s="161">
        <v>0.3</v>
      </c>
      <c r="K22" s="162">
        <v>1.80555555555556</v>
      </c>
      <c r="L22" s="163">
        <v>0.3</v>
      </c>
      <c r="M22" s="161">
        <v>1.5</v>
      </c>
      <c r="N22" s="161">
        <v>0.3</v>
      </c>
      <c r="O22" s="164" t="s">
        <v>64</v>
      </c>
      <c r="P22" s="165"/>
      <c r="Q22" s="165"/>
    </row>
    <row r="23" spans="1:25">
      <c r="C23" s="166">
        <v>174</v>
      </c>
      <c r="D23" s="166">
        <v>174</v>
      </c>
      <c r="E23" s="166">
        <v>174</v>
      </c>
      <c r="F23" s="167">
        <v>3</v>
      </c>
      <c r="G23" s="168">
        <v>3</v>
      </c>
      <c r="H23" s="169">
        <v>3</v>
      </c>
      <c r="I23" s="170">
        <v>0</v>
      </c>
      <c r="J23" s="171">
        <v>0.20588235294117599</v>
      </c>
      <c r="K23" s="172">
        <v>0</v>
      </c>
      <c r="L23" s="173">
        <v>0.20588235294117599</v>
      </c>
      <c r="M23" s="171">
        <v>0</v>
      </c>
      <c r="N23" s="171">
        <v>0.20588235294117599</v>
      </c>
      <c r="O23" s="174" t="s">
        <v>65</v>
      </c>
      <c r="P23" s="155"/>
      <c r="Q23" s="155"/>
    </row>
    <row r="26" spans="1:25" ht="16.899999999999999">
      <c r="C26" s="53" t="s">
        <v>66</v>
      </c>
      <c r="S26" s="53" t="s">
        <v>1</v>
      </c>
    </row>
    <row r="27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9.4E-2</v>
      </c>
      <c r="K28" s="9">
        <f t="shared" si="2"/>
        <v>1.3</v>
      </c>
      <c r="L28" s="9">
        <f t="shared" si="2"/>
        <v>9.4E-2</v>
      </c>
      <c r="M28" s="9">
        <f t="shared" si="2"/>
        <v>1.28</v>
      </c>
      <c r="N28" s="9">
        <f t="shared" si="2"/>
        <v>9.4E-2</v>
      </c>
      <c r="O28" s="175" t="s">
        <v>70</v>
      </c>
      <c r="P28">
        <v>25</v>
      </c>
      <c r="Q28">
        <v>31.536000000000001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76">
        <f t="shared" si="4"/>
        <v>1.0940000000000001</v>
      </c>
      <c r="K29" s="9">
        <f t="shared" si="4"/>
        <v>1.3</v>
      </c>
      <c r="L29" s="176">
        <f t="shared" si="4"/>
        <v>1.0940000000000001</v>
      </c>
      <c r="M29" s="9">
        <f t="shared" si="4"/>
        <v>1.28</v>
      </c>
      <c r="N29" s="176">
        <f t="shared" si="4"/>
        <v>1.0940000000000001</v>
      </c>
      <c r="O29" t="s">
        <v>73</v>
      </c>
      <c r="P29">
        <v>25</v>
      </c>
      <c r="Q29">
        <v>31.536000000000001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9.4E-2</v>
      </c>
      <c r="K30" s="9">
        <f t="shared" si="7"/>
        <v>1.47</v>
      </c>
      <c r="L30" s="9">
        <f t="shared" si="7"/>
        <v>9.4E-2</v>
      </c>
      <c r="M30" s="9">
        <f t="shared" si="7"/>
        <v>1.43</v>
      </c>
      <c r="N30" s="9">
        <f t="shared" si="7"/>
        <v>9.4E-2</v>
      </c>
      <c r="O30" s="175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31.536000000000001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75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31.536000000000001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75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3332.0882352941198</v>
      </c>
      <c r="D35" s="38">
        <f t="shared" si="12"/>
        <v>1421.39215686275</v>
      </c>
      <c r="E35" s="38">
        <f t="shared" si="12"/>
        <v>600</v>
      </c>
      <c r="F35" s="38">
        <f t="shared" si="12"/>
        <v>55.825000000000003</v>
      </c>
      <c r="G35" s="38">
        <f t="shared" si="12"/>
        <v>36.18</v>
      </c>
      <c r="H35" s="38">
        <f t="shared" si="12"/>
        <v>39</v>
      </c>
      <c r="I35" s="9">
        <f t="shared" si="12"/>
        <v>1.9966670387596901</v>
      </c>
      <c r="J35" s="9">
        <f t="shared" si="12"/>
        <v>0.83711999999999998</v>
      </c>
      <c r="K35" s="9">
        <f t="shared" si="12"/>
        <v>1.45562727909392</v>
      </c>
      <c r="L35" s="9">
        <f t="shared" si="12"/>
        <v>0.76080000000000003</v>
      </c>
      <c r="M35" s="9">
        <f t="shared" si="12"/>
        <v>0.33333333333333298</v>
      </c>
      <c r="N35" s="9">
        <f t="shared" si="12"/>
        <v>0.70799999999999996</v>
      </c>
      <c r="O35" t="s">
        <v>76</v>
      </c>
      <c r="P35">
        <v>25</v>
      </c>
      <c r="Q35">
        <v>31.536000000000001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5331.3411764705897</v>
      </c>
      <c r="D36" s="38">
        <f t="shared" si="13"/>
        <v>2920.8941176470598</v>
      </c>
      <c r="E36" s="38">
        <f t="shared" si="13"/>
        <v>1100</v>
      </c>
      <c r="F36" s="38">
        <f t="shared" si="13"/>
        <v>94.902500000000003</v>
      </c>
      <c r="G36" s="38">
        <f t="shared" si="13"/>
        <v>63.314999999999998</v>
      </c>
      <c r="H36" s="38">
        <f t="shared" si="13"/>
        <v>48.75</v>
      </c>
      <c r="I36" s="9">
        <f t="shared" si="13"/>
        <v>1.9966670387596901</v>
      </c>
      <c r="J36" s="9">
        <f t="shared" si="13"/>
        <v>0.83711999999999998</v>
      </c>
      <c r="K36" s="9">
        <f t="shared" si="13"/>
        <v>1.45562727909392</v>
      </c>
      <c r="L36" s="9">
        <f t="shared" si="13"/>
        <v>0.76080000000000003</v>
      </c>
      <c r="M36" s="9">
        <f t="shared" si="13"/>
        <v>0.33333333333333298</v>
      </c>
      <c r="N36" s="9">
        <f t="shared" si="13"/>
        <v>0.72</v>
      </c>
      <c r="O36" s="175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769.87681970884705</v>
      </c>
      <c r="D37" s="38">
        <f t="shared" si="14"/>
        <v>648.04446103438295</v>
      </c>
      <c r="E37" s="38">
        <f t="shared" si="14"/>
        <v>518.29059243801305</v>
      </c>
      <c r="F37" s="38">
        <f t="shared" si="14"/>
        <v>26.9456886898096</v>
      </c>
      <c r="G37" s="38">
        <f t="shared" si="14"/>
        <v>22.681556136203401</v>
      </c>
      <c r="H37" s="38">
        <f t="shared" si="14"/>
        <v>18.1401707353305</v>
      </c>
      <c r="I37" s="9">
        <f t="shared" si="14"/>
        <v>2.7777777777777799</v>
      </c>
      <c r="J37" s="9">
        <f t="shared" si="14"/>
        <v>2.2222222222222201</v>
      </c>
      <c r="K37" s="9">
        <f t="shared" si="14"/>
        <v>1.6666666666666701</v>
      </c>
      <c r="L37" s="9">
        <f t="shared" si="14"/>
        <v>1.3888888888888899</v>
      </c>
      <c r="M37" s="9">
        <f t="shared" si="14"/>
        <v>1.1388888888888899</v>
      </c>
      <c r="N37" s="9">
        <f t="shared" si="14"/>
        <v>0.3</v>
      </c>
      <c r="O37" s="175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1259.7984322508401</v>
      </c>
      <c r="D38" s="38">
        <f t="shared" si="15"/>
        <v>894.30135622744797</v>
      </c>
      <c r="E38" s="38">
        <f t="shared" si="15"/>
        <v>495</v>
      </c>
      <c r="F38" s="38">
        <f t="shared" si="15"/>
        <v>44.092945128779398</v>
      </c>
      <c r="G38" s="38">
        <f t="shared" si="15"/>
        <v>31.300547467960701</v>
      </c>
      <c r="H38" s="38">
        <f t="shared" si="15"/>
        <v>17.324999999999999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75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77" t="str">
        <f>A35</f>
        <v>HH2</v>
      </c>
      <c r="B39" s="177" t="s">
        <v>69</v>
      </c>
      <c r="C39" s="178">
        <f>C29</f>
        <v>900</v>
      </c>
      <c r="D39" s="178">
        <f t="shared" ref="D39:H39" si="16">D29</f>
        <v>850</v>
      </c>
      <c r="E39" s="178">
        <f t="shared" si="16"/>
        <v>800</v>
      </c>
      <c r="F39" s="178">
        <f t="shared" si="16"/>
        <v>36</v>
      </c>
      <c r="G39" s="178">
        <f t="shared" si="16"/>
        <v>34</v>
      </c>
      <c r="H39" s="178">
        <f t="shared" si="16"/>
        <v>32</v>
      </c>
      <c r="I39" s="179">
        <v>1.25</v>
      </c>
      <c r="J39" s="179">
        <v>0.12</v>
      </c>
      <c r="K39" s="179">
        <v>1.25</v>
      </c>
      <c r="L39" s="179">
        <v>0.12</v>
      </c>
      <c r="M39" s="179">
        <v>1.25</v>
      </c>
      <c r="N39" s="179">
        <v>0.12</v>
      </c>
      <c r="O39" s="177" t="s">
        <v>77</v>
      </c>
      <c r="P39" s="177">
        <v>25</v>
      </c>
      <c r="Q39" s="177">
        <v>31.536000000000001</v>
      </c>
      <c r="R39" s="177"/>
      <c r="S39" s="177" t="str">
        <f t="shared" si="5"/>
        <v>PRE</v>
      </c>
      <c r="T39" s="177" t="str">
        <f t="shared" si="6"/>
        <v>H2prd_Gas_ATR_CCS</v>
      </c>
      <c r="U39" s="177" t="s">
        <v>78</v>
      </c>
      <c r="V39" s="177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Q12"/>
  <sheetViews>
    <sheetView workbookViewId="0">
      <selection activeCell="H20" sqref="H20"/>
    </sheetView>
  </sheetViews>
  <sheetFormatPr defaultColWidth="9" defaultRowHeight="12.75"/>
  <cols>
    <col min="1" max="1" width="9" style="52"/>
    <col min="2" max="2" width="12.86328125" style="52" customWidth="1"/>
    <col min="3" max="3" width="8.86328125" style="52" customWidth="1"/>
    <col min="4" max="4" width="14.86328125" style="52" customWidth="1"/>
    <col min="5" max="5" width="9" style="52" customWidth="1"/>
    <col min="6" max="6" width="10.265625" style="52" customWidth="1"/>
    <col min="7" max="7" width="4.59765625" style="52" customWidth="1"/>
    <col min="8" max="8" width="11.59765625" style="52" customWidth="1"/>
    <col min="9" max="9" width="11.265625" style="52" customWidth="1"/>
    <col min="10" max="10" width="11.3984375" style="52" customWidth="1"/>
    <col min="11" max="11" width="5.59765625" style="52" customWidth="1"/>
    <col min="12" max="12" width="9" style="52"/>
    <col min="13" max="13" width="11.265625" style="52" customWidth="1"/>
    <col min="14" max="14" width="12.86328125" style="52" customWidth="1"/>
    <col min="15" max="15" width="15.265625" style="52" customWidth="1"/>
    <col min="16" max="16" width="4.59765625" style="52" customWidth="1"/>
    <col min="17" max="17" width="5" style="52" customWidth="1"/>
    <col min="18" max="16384" width="9" style="52"/>
  </cols>
  <sheetData>
    <row r="3" spans="2:17" ht="16.899999999999999">
      <c r="D3" s="53" t="s">
        <v>79</v>
      </c>
      <c r="M3" s="54" t="s">
        <v>1</v>
      </c>
      <c r="N3" s="54"/>
      <c r="O3" s="54"/>
      <c r="P3" s="54"/>
      <c r="Q3" s="54"/>
    </row>
    <row r="4" spans="2:17" ht="14.25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31.536000000000001</v>
      </c>
      <c r="F5" s="56">
        <v>0.6</v>
      </c>
      <c r="G5" s="56">
        <v>0.6</v>
      </c>
      <c r="H5" s="56">
        <v>189.21600000000001</v>
      </c>
      <c r="I5" s="56">
        <v>88.300799999999995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31.536000000000001</v>
      </c>
      <c r="F6" s="56">
        <v>0.6</v>
      </c>
      <c r="G6" s="56">
        <v>0.6</v>
      </c>
      <c r="H6" s="56">
        <v>189.21600000000001</v>
      </c>
      <c r="I6" s="56">
        <v>88.300799999999995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31.536000000000001</v>
      </c>
      <c r="F7" s="56">
        <v>0.1</v>
      </c>
      <c r="G7" s="56">
        <v>0.6</v>
      </c>
      <c r="H7" s="56">
        <v>141.91200000000001</v>
      </c>
      <c r="I7" s="56">
        <v>75.686400000000006</v>
      </c>
      <c r="J7" s="52">
        <v>60</v>
      </c>
      <c r="K7" s="57">
        <v>0.86956521739130399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31.536000000000001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spans="2:17" ht="13.15">
      <c r="B9" s="58" t="s">
        <v>99</v>
      </c>
      <c r="C9" s="52" t="s">
        <v>100</v>
      </c>
      <c r="D9" s="52" t="s">
        <v>91</v>
      </c>
      <c r="E9" s="52">
        <f t="shared" ref="E9:K9" si="1">E7</f>
        <v>31.536000000000001</v>
      </c>
      <c r="F9" s="56">
        <f t="shared" si="1"/>
        <v>0.1</v>
      </c>
      <c r="G9" s="56">
        <f t="shared" si="1"/>
        <v>0.6</v>
      </c>
      <c r="H9" s="56">
        <f t="shared" si="1"/>
        <v>141.91200000000001</v>
      </c>
      <c r="I9" s="56">
        <f t="shared" si="1"/>
        <v>75.686400000000006</v>
      </c>
      <c r="J9" s="52">
        <f t="shared" si="1"/>
        <v>60</v>
      </c>
      <c r="K9" s="57">
        <f t="shared" si="1"/>
        <v>0.86956521739130399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31.536000000000001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K40"/>
  <sheetViews>
    <sheetView workbookViewId="0">
      <selection activeCell="T22" sqref="T22"/>
    </sheetView>
  </sheetViews>
  <sheetFormatPr defaultColWidth="9" defaultRowHeight="14.25"/>
  <cols>
    <col min="8" max="8" width="17.59765625" customWidth="1"/>
    <col min="10" max="10" width="10.86328125" customWidth="1"/>
    <col min="11" max="13" width="5" customWidth="1"/>
    <col min="14" max="14" width="8.3984375" customWidth="1"/>
    <col min="15" max="15" width="2" customWidth="1"/>
    <col min="16" max="16" width="3.59765625" customWidth="1"/>
    <col min="17" max="17" width="17.59765625" customWidth="1"/>
    <col min="21" max="21" width="2" customWidth="1"/>
    <col min="22" max="22" width="17.59765625" customWidth="1"/>
    <col min="23" max="25" width="6" customWidth="1"/>
    <col min="26" max="26" width="2" customWidth="1"/>
    <col min="27" max="27" width="17.59765625" customWidth="1"/>
    <col min="28" max="28" width="11.3984375" customWidth="1"/>
    <col min="29" max="31" width="5" customWidth="1"/>
    <col min="33" max="33" width="19.86328125" customWidth="1"/>
    <col min="34" max="34" width="5.59765625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31.536000000000001</v>
      </c>
      <c r="O3" s="38"/>
      <c r="P3" s="40">
        <v>0.02</v>
      </c>
      <c r="Q3" t="str">
        <f t="shared" ref="Q3:Q5" si="1">$H3</f>
        <v>H2Conv_Ammonia</v>
      </c>
      <c r="R3" s="39">
        <f>$P3*K3</f>
        <v>29.109000000000002</v>
      </c>
      <c r="S3" s="39">
        <f t="shared" ref="S3:T5" si="2">$P3*L3</f>
        <v>13.226000000000001</v>
      </c>
      <c r="T3" s="39">
        <f t="shared" si="2"/>
        <v>8.7810000000000006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138.44999999999999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138.44999999999999</v>
      </c>
      <c r="M4" s="38">
        <v>87.3</v>
      </c>
      <c r="N4" s="39">
        <v>31.536000000000001</v>
      </c>
      <c r="O4" s="39"/>
      <c r="P4" s="40">
        <v>3.5000000000000003E-2</v>
      </c>
      <c r="Q4" t="str">
        <f t="shared" si="1"/>
        <v>H2Conv_LOHC</v>
      </c>
      <c r="R4" s="39">
        <f t="shared" ref="R4:R5" si="4">$P4*K4</f>
        <v>11.856249999999999</v>
      </c>
      <c r="S4" s="39">
        <f t="shared" si="2"/>
        <v>4.8457499999999998</v>
      </c>
      <c r="T4" s="39">
        <f t="shared" si="2"/>
        <v>3.0554999999999999</v>
      </c>
      <c r="V4" t="str">
        <f t="shared" si="3"/>
        <v>H2Conv_LOHC</v>
      </c>
      <c r="W4">
        <v>0.92500000000000004</v>
      </c>
      <c r="X4">
        <v>0.95</v>
      </c>
      <c r="Y4">
        <v>0.97499999999999998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31.536000000000001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0.22500000000000001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3.5000000000000003E-2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0.92500000000000004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0.97499999999999998</v>
      </c>
      <c r="F9" s="44">
        <v>1</v>
      </c>
      <c r="H9">
        <f>D11*3.6/120</f>
        <v>0.114</v>
      </c>
      <c r="I9">
        <f>F11*3.6/120</f>
        <v>0.22500000000000001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649.45000000000005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31.536000000000001</v>
      </c>
      <c r="O14" s="38"/>
      <c r="P14" s="40">
        <v>3.5000000000000003E-2</v>
      </c>
      <c r="Q14" t="str">
        <f t="shared" ref="Q14:Q16" si="6">$H14</f>
        <v>H2ReConv_Ammonia</v>
      </c>
      <c r="R14" s="39">
        <f>$P14*K14</f>
        <v>40.391750000000002</v>
      </c>
      <c r="S14" s="39">
        <f t="shared" ref="S14:T16" si="7">$P14*L14</f>
        <v>16.024750000000001</v>
      </c>
      <c r="T14" s="39">
        <f t="shared" si="7"/>
        <v>9.6792499999999997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4.4999999999999998E-2</v>
      </c>
      <c r="AE14" s="9">
        <v>2.2499999999999999E-2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31.536000000000001</v>
      </c>
      <c r="O15" s="39"/>
      <c r="P15" s="40">
        <v>4.4999999999999998E-2</v>
      </c>
      <c r="Q15" t="str">
        <f t="shared" si="6"/>
        <v>H2ReConv_LOHC</v>
      </c>
      <c r="R15" s="39">
        <f t="shared" ref="R15:R16" si="9">$P15*K15</f>
        <v>33.844499999999996</v>
      </c>
      <c r="S15" s="39">
        <f t="shared" si="7"/>
        <v>14.467499999999999</v>
      </c>
      <c r="T15" s="39">
        <f t="shared" si="7"/>
        <v>7.6387499999999999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649.45000000000005</v>
      </c>
      <c r="L16" s="38">
        <v>267.3</v>
      </c>
      <c r="M16" s="38">
        <v>125.45</v>
      </c>
      <c r="N16" s="39">
        <v>31.536000000000001</v>
      </c>
      <c r="O16" s="39"/>
      <c r="P16" s="40">
        <v>3.5000000000000003E-2</v>
      </c>
      <c r="Q16" t="str">
        <f t="shared" si="6"/>
        <v>H2ReConv_Liquid</v>
      </c>
      <c r="R16" s="39">
        <f t="shared" si="9"/>
        <v>22.73075</v>
      </c>
      <c r="S16" s="39">
        <f t="shared" si="7"/>
        <v>9.3554999999999993</v>
      </c>
      <c r="T16" s="39">
        <f t="shared" si="7"/>
        <v>4.3907499999999997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2.2499999999999999E-2</v>
      </c>
      <c r="AD16" s="9">
        <v>1.575E-2</v>
      </c>
      <c r="AE16" s="9">
        <v>8.9999999999999993E-3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3.5000000000000003E-2</v>
      </c>
      <c r="E17" s="44">
        <v>4.4999999999999998E-2</v>
      </c>
      <c r="F17" s="44">
        <v>3.5000000000000003E-2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2.2499999999999999E-2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0.52500000000000002</v>
      </c>
      <c r="H20" s="39">
        <f t="shared" ref="H20:H24" si="12">D20*3.6/120</f>
        <v>4.4999999999999998E-2</v>
      </c>
      <c r="I20" s="39">
        <f t="shared" si="11"/>
        <v>0.06</v>
      </c>
      <c r="J20" s="39">
        <f t="shared" si="11"/>
        <v>1.575E-2</v>
      </c>
      <c r="AA20" t="str">
        <f>V14</f>
        <v>H2ReConv_Ammonia</v>
      </c>
      <c r="AB20" t="s">
        <v>23</v>
      </c>
      <c r="AC20" s="9">
        <v>0.42</v>
      </c>
      <c r="AD20" s="9">
        <v>0.33150000000000002</v>
      </c>
      <c r="AE20" s="9">
        <v>0.24299999999999999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2.2499999999999999E-2</v>
      </c>
      <c r="I21" s="39">
        <f t="shared" si="11"/>
        <v>0.06</v>
      </c>
      <c r="J21" s="39">
        <f t="shared" si="11"/>
        <v>8.9999999999999993E-3</v>
      </c>
      <c r="AA21" t="str">
        <f>V15</f>
        <v>H2ReConv_LOHC</v>
      </c>
      <c r="AB21" t="s">
        <v>23</v>
      </c>
      <c r="AC21" s="9">
        <v>0.51</v>
      </c>
      <c r="AD21" s="9">
        <v>0.42449999999999999</v>
      </c>
      <c r="AE21" s="9">
        <v>0.33900000000000002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0.33150000000000002</v>
      </c>
      <c r="I23" s="39">
        <f t="shared" si="11"/>
        <v>0.42449999999999999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0.24299999999999999</v>
      </c>
      <c r="I24" s="39">
        <f t="shared" si="11"/>
        <v>0.33900000000000002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Y5"/>
  <sheetViews>
    <sheetView workbookViewId="0">
      <selection activeCell="E12" sqref="E12"/>
    </sheetView>
  </sheetViews>
  <sheetFormatPr defaultColWidth="9" defaultRowHeight="14.25"/>
  <cols>
    <col min="2" max="2" width="11.265625" customWidth="1"/>
    <col min="3" max="3" width="14.59765625" customWidth="1"/>
    <col min="4" max="4" width="26.3984375" customWidth="1"/>
    <col min="5" max="5" width="20.265625" customWidth="1"/>
    <col min="6" max="6" width="5" customWidth="1"/>
    <col min="7" max="7" width="4.59765625" customWidth="1"/>
    <col min="8" max="8" width="5" customWidth="1"/>
    <col min="9" max="9" width="10.265625" customWidth="1"/>
    <col min="10" max="10" width="7.86328125" customWidth="1"/>
    <col min="12" max="12" width="17.86328125" customWidth="1"/>
    <col min="13" max="13" width="9.3984375" customWidth="1"/>
    <col min="14" max="14" width="12" customWidth="1"/>
    <col min="15" max="15" width="8.86328125" customWidth="1"/>
    <col min="16" max="16" width="14" customWidth="1"/>
    <col min="17" max="17" width="6.86328125" customWidth="1"/>
    <col min="18" max="18" width="11.86328125" customWidth="1"/>
    <col min="19" max="19" width="7.86328125" customWidth="1"/>
    <col min="20" max="20" width="12.86328125" customWidth="1"/>
    <col min="21" max="21" width="4.59765625" customWidth="1"/>
    <col min="22" max="22" width="9" customWidth="1"/>
    <col min="23" max="23" width="4.3984375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2.1347031963470302</v>
      </c>
      <c r="T5" s="9">
        <v>1.72231735159817</v>
      </c>
      <c r="U5" s="9">
        <v>0.55249999999999999</v>
      </c>
      <c r="V5" s="9">
        <v>0.55249999999999999</v>
      </c>
      <c r="W5">
        <v>20</v>
      </c>
      <c r="X5">
        <v>0.85</v>
      </c>
      <c r="Y5">
        <v>31.536000000000001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</sheetPr>
  <dimension ref="B1:BP66"/>
  <sheetViews>
    <sheetView tabSelected="1" topLeftCell="AF5" zoomScale="80" zoomScaleNormal="80" workbookViewId="0">
      <selection activeCell="AY35" sqref="AY35"/>
    </sheetView>
  </sheetViews>
  <sheetFormatPr defaultColWidth="8.796875" defaultRowHeight="14.25"/>
  <cols>
    <col min="2" max="2" width="32.53125" customWidth="1"/>
    <col min="3" max="3" width="30.73046875" customWidth="1"/>
    <col min="4" max="4" width="50" customWidth="1"/>
    <col min="5" max="5" width="29.9296875" customWidth="1"/>
    <col min="6" max="9" width="33.73046875" customWidth="1"/>
    <col min="10" max="10" width="19.265625" customWidth="1"/>
    <col min="11" max="11" width="14.59765625" customWidth="1"/>
    <col min="12" max="12" width="14.265625" customWidth="1"/>
    <col min="13" max="13" width="13.06640625" customWidth="1"/>
    <col min="14" max="14" width="12.796875" customWidth="1"/>
    <col min="15" max="15" width="6.796875" customWidth="1"/>
    <col min="16" max="16" width="15.33203125" customWidth="1"/>
    <col min="17" max="17" width="6.19921875" customWidth="1"/>
    <col min="18" max="18" width="14.53125" customWidth="1"/>
    <col min="23" max="23" width="20.19921875" customWidth="1"/>
    <col min="24" max="24" width="18.53125" customWidth="1"/>
    <col min="25" max="25" width="19.19921875" customWidth="1"/>
    <col min="32" max="32" width="21.265625" bestFit="1" customWidth="1"/>
    <col min="36" max="36" width="13.53125" customWidth="1"/>
    <col min="44" max="44" width="6.06640625" bestFit="1" customWidth="1"/>
    <col min="48" max="48" width="13.19921875" bestFit="1" customWidth="1"/>
    <col min="49" max="49" width="5.265625" bestFit="1" customWidth="1"/>
    <col min="50" max="50" width="5.9296875" bestFit="1" customWidth="1"/>
  </cols>
  <sheetData>
    <row r="1" spans="2:52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2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2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2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9.5000000000000001E-2</v>
      </c>
      <c r="AA4" s="3">
        <v>0</v>
      </c>
      <c r="AB4" s="3">
        <v>0</v>
      </c>
      <c r="AC4" s="3">
        <v>0</v>
      </c>
      <c r="AD4" s="3">
        <v>3.528</v>
      </c>
      <c r="AE4" s="3">
        <v>0.94599999999999995</v>
      </c>
      <c r="AF4" s="3">
        <v>1.085</v>
      </c>
    </row>
    <row r="5" spans="2:52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2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2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2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2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2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2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2">
      <c r="B12" s="5"/>
      <c r="E12" s="5"/>
      <c r="F12" s="5"/>
      <c r="G12" s="5"/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2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2">
      <c r="G14" t="s">
        <v>199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199</v>
      </c>
    </row>
    <row r="15" spans="2:52">
      <c r="B15" t="s">
        <v>2</v>
      </c>
      <c r="C15" t="s">
        <v>3</v>
      </c>
      <c r="D15" t="s">
        <v>125</v>
      </c>
      <c r="E15" t="s">
        <v>4</v>
      </c>
      <c r="F15" t="s">
        <v>200</v>
      </c>
      <c r="G15" t="s">
        <v>147</v>
      </c>
      <c r="H15" t="s">
        <v>201</v>
      </c>
      <c r="I15" t="s">
        <v>68</v>
      </c>
      <c r="J15" t="s">
        <v>202</v>
      </c>
      <c r="K15" t="s">
        <v>203</v>
      </c>
      <c r="L15" t="s">
        <v>67</v>
      </c>
      <c r="M15" t="s">
        <v>204</v>
      </c>
      <c r="N15" t="s">
        <v>167</v>
      </c>
      <c r="O15" t="s">
        <v>205</v>
      </c>
      <c r="P15" t="s">
        <v>206</v>
      </c>
      <c r="Q15" t="s">
        <v>6</v>
      </c>
      <c r="R15" s="8" t="s">
        <v>207</v>
      </c>
      <c r="V15" s="1" t="s">
        <v>208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200</v>
      </c>
      <c r="AK15" t="s">
        <v>147</v>
      </c>
      <c r="AL15" t="s">
        <v>201</v>
      </c>
      <c r="AM15" t="s">
        <v>68</v>
      </c>
      <c r="AN15" t="s">
        <v>202</v>
      </c>
      <c r="AO15" t="s">
        <v>203</v>
      </c>
      <c r="AP15" t="s">
        <v>67</v>
      </c>
      <c r="AQ15" t="s">
        <v>204</v>
      </c>
      <c r="AR15" t="s">
        <v>167</v>
      </c>
      <c r="AS15" t="s">
        <v>205</v>
      </c>
      <c r="AT15" t="s">
        <v>206</v>
      </c>
      <c r="AU15" t="s">
        <v>6</v>
      </c>
      <c r="AV15" s="8" t="s">
        <v>207</v>
      </c>
      <c r="AW15" t="s">
        <v>208</v>
      </c>
      <c r="AX15" t="s">
        <v>237</v>
      </c>
    </row>
    <row r="16" spans="2:52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1.3140000000000001</v>
      </c>
      <c r="J16">
        <v>1</v>
      </c>
      <c r="L16" s="10">
        <v>20</v>
      </c>
      <c r="Q16">
        <v>2020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1.3140000000000001</v>
      </c>
      <c r="AN16">
        <v>1</v>
      </c>
      <c r="AP16">
        <v>20</v>
      </c>
      <c r="AU16">
        <v>2020</v>
      </c>
      <c r="AV16" s="10">
        <v>3000</v>
      </c>
      <c r="AW16">
        <v>1</v>
      </c>
      <c r="AX16">
        <v>1</v>
      </c>
      <c r="AZ16" s="10">
        <v>10</v>
      </c>
    </row>
    <row r="17" spans="2:68" s="1" customFormat="1" ht="15.4">
      <c r="D17" s="11"/>
      <c r="F17" s="1" t="s">
        <v>209</v>
      </c>
      <c r="G17" s="1" t="str">
        <f>F17</f>
        <v>AuxStoOUT</v>
      </c>
      <c r="I17" s="12"/>
      <c r="K17" s="12">
        <f>1/H16</f>
        <v>1.0869565217391304</v>
      </c>
      <c r="W17"/>
      <c r="Y17" s="13" t="s">
        <v>210</v>
      </c>
      <c r="Z17" s="14"/>
      <c r="AA17"/>
      <c r="AB17"/>
      <c r="AC17"/>
      <c r="AD17"/>
      <c r="AE17"/>
      <c r="AF17"/>
      <c r="AG17"/>
      <c r="AH17" s="5"/>
      <c r="AI17"/>
      <c r="AJ17" t="s">
        <v>209</v>
      </c>
      <c r="AK17" t="s">
        <v>209</v>
      </c>
      <c r="AL17"/>
      <c r="AM17" s="9"/>
      <c r="AN17"/>
      <c r="AO17" s="9">
        <v>1.0869565217391299</v>
      </c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211</v>
      </c>
      <c r="AK18" t="s">
        <v>102</v>
      </c>
      <c r="AM18" s="9"/>
      <c r="AS18">
        <v>1</v>
      </c>
    </row>
    <row r="19" spans="2:68">
      <c r="B19" t="s">
        <v>190</v>
      </c>
      <c r="E19" t="s">
        <v>212</v>
      </c>
      <c r="I19" s="9">
        <v>29.891943130000001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0.94</v>
      </c>
      <c r="AM19" s="9">
        <f>AM16</f>
        <v>1.3140000000000001</v>
      </c>
      <c r="AN19">
        <v>1</v>
      </c>
      <c r="AP19">
        <v>20</v>
      </c>
      <c r="AU19">
        <v>2020</v>
      </c>
      <c r="AV19" s="10">
        <v>3500</v>
      </c>
      <c r="AW19">
        <v>1</v>
      </c>
      <c r="AX19">
        <v>1</v>
      </c>
      <c r="AZ19" s="10">
        <v>12</v>
      </c>
    </row>
    <row r="20" spans="2:68">
      <c r="AH20" s="5"/>
      <c r="AJ20" t="s">
        <v>209</v>
      </c>
      <c r="AK20" t="s">
        <v>209</v>
      </c>
      <c r="AM20" s="9"/>
      <c r="AO20" s="9">
        <v>1.0869565217391299</v>
      </c>
    </row>
    <row r="21" spans="2:68">
      <c r="AH21" s="5"/>
      <c r="AJ21" s="5" t="s">
        <v>211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0.94</v>
      </c>
      <c r="AM22" s="9">
        <f>AM19</f>
        <v>1.3140000000000001</v>
      </c>
      <c r="AN22">
        <v>1</v>
      </c>
      <c r="AP22">
        <v>20</v>
      </c>
      <c r="AU22">
        <v>2020</v>
      </c>
      <c r="AV22" s="10">
        <v>4000</v>
      </c>
      <c r="AW22">
        <v>1</v>
      </c>
      <c r="AX22">
        <v>1</v>
      </c>
      <c r="AZ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209</v>
      </c>
      <c r="AK23" t="s">
        <v>209</v>
      </c>
      <c r="AL23" s="10"/>
      <c r="AM23" s="9"/>
      <c r="AO23" s="9">
        <v>1.0869565217391299</v>
      </c>
    </row>
    <row r="24" spans="2:68">
      <c r="B24" s="5" t="s">
        <v>213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211</v>
      </c>
      <c r="AK24" t="s">
        <v>102</v>
      </c>
      <c r="AL24" s="10"/>
      <c r="AM24" s="9"/>
      <c r="AS24">
        <v>1</v>
      </c>
    </row>
    <row r="25" spans="2:68">
      <c r="B25" s="5" t="s">
        <v>214</v>
      </c>
      <c r="C25" s="5" t="s">
        <v>211</v>
      </c>
      <c r="D25" s="5" t="s">
        <v>215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0.94</v>
      </c>
      <c r="AM25" s="9">
        <f>AM22</f>
        <v>1.3140000000000001</v>
      </c>
      <c r="AN25">
        <v>1</v>
      </c>
      <c r="AP25">
        <v>20</v>
      </c>
      <c r="AU25">
        <v>2020</v>
      </c>
      <c r="AV25" s="10">
        <v>4000</v>
      </c>
      <c r="AW25">
        <v>1</v>
      </c>
      <c r="AX25">
        <v>1</v>
      </c>
      <c r="AZ25" s="10">
        <v>13</v>
      </c>
    </row>
    <row r="26" spans="2:68">
      <c r="C26" s="5" t="s">
        <v>209</v>
      </c>
      <c r="D26" s="5" t="s">
        <v>216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209</v>
      </c>
      <c r="AK26" t="s">
        <v>209</v>
      </c>
      <c r="AL26" s="10"/>
      <c r="AM26" s="9"/>
      <c r="AO26" s="9">
        <v>1.0869565217391299</v>
      </c>
    </row>
    <row r="27" spans="2:68">
      <c r="W27" s="4"/>
      <c r="X27" s="4"/>
      <c r="Y27" s="4"/>
      <c r="AH27" s="5"/>
      <c r="AJ27" s="5" t="s">
        <v>211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0.94</v>
      </c>
      <c r="AM28" s="9">
        <f>AM25</f>
        <v>1.3140000000000001</v>
      </c>
      <c r="AN28">
        <v>1</v>
      </c>
      <c r="AP28">
        <v>20</v>
      </c>
      <c r="AU28">
        <v>2020</v>
      </c>
      <c r="AV28" s="10">
        <v>4000</v>
      </c>
      <c r="AW28">
        <v>1</v>
      </c>
      <c r="AX28">
        <v>1</v>
      </c>
      <c r="AZ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209</v>
      </c>
      <c r="AK29" t="s">
        <v>209</v>
      </c>
      <c r="AL29" s="10"/>
      <c r="AM29" s="9"/>
      <c r="AO29" s="9">
        <v>1.0869565217391299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211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0.94</v>
      </c>
      <c r="AM31" s="9">
        <f>AM28</f>
        <v>1.3140000000000001</v>
      </c>
      <c r="AN31">
        <v>1</v>
      </c>
      <c r="AP31">
        <v>20</v>
      </c>
      <c r="AU31">
        <v>2020</v>
      </c>
      <c r="AV31" s="10">
        <v>4000</v>
      </c>
      <c r="AW31">
        <v>1</v>
      </c>
      <c r="AX31">
        <v>1</v>
      </c>
      <c r="AZ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209</v>
      </c>
      <c r="AK32" t="s">
        <v>209</v>
      </c>
      <c r="AM32" s="9"/>
      <c r="AO32" s="9">
        <v>1.0869565217391299</v>
      </c>
    </row>
    <row r="33" spans="2:45">
      <c r="B33" s="6" t="s">
        <v>188</v>
      </c>
      <c r="C33" s="18" t="s">
        <v>185</v>
      </c>
      <c r="D33" s="19" t="s">
        <v>217</v>
      </c>
      <c r="E33" s="20">
        <f>[6]EnergyUseFromEverBatt_Min_!$AW$6</f>
        <v>4.7300000000000002E-2</v>
      </c>
      <c r="AH33" s="5"/>
      <c r="AJ33" s="5" t="s">
        <v>211</v>
      </c>
      <c r="AK33" t="s">
        <v>102</v>
      </c>
      <c r="AM33" s="9"/>
      <c r="AS33">
        <v>1</v>
      </c>
    </row>
    <row r="34" spans="2:45" ht="15.4">
      <c r="B34" s="6" t="s">
        <v>188</v>
      </c>
      <c r="C34" s="21" t="str">
        <f t="shared" ref="C34:C36" si="0">C33</f>
        <v>EN_STG_4hBatt</v>
      </c>
      <c r="D34" s="19" t="s">
        <v>218</v>
      </c>
      <c r="E34" s="20">
        <f>[6]EnergyUseFromEverBatt_Min_!$AW$7</f>
        <v>0.17116666666666699</v>
      </c>
    </row>
    <row r="35" spans="2:45" ht="15.4">
      <c r="B35" s="6" t="s">
        <v>188</v>
      </c>
      <c r="C35" s="21" t="str">
        <f t="shared" si="0"/>
        <v>EN_STG_4hBatt</v>
      </c>
      <c r="D35" s="19" t="s">
        <v>219</v>
      </c>
      <c r="E35" s="20">
        <f>[6]EnergyUseFromEverBatt_Min_!$AW$8</f>
        <v>0.46636666666666698</v>
      </c>
    </row>
    <row r="36" spans="2:45" ht="15.4">
      <c r="B36" s="6" t="s">
        <v>188</v>
      </c>
      <c r="C36" s="21" t="str">
        <f t="shared" si="0"/>
        <v>EN_STG_4hBatt</v>
      </c>
      <c r="D36" s="19" t="s">
        <v>220</v>
      </c>
      <c r="E36" s="20">
        <f>[6]EnergyUseFromEverBatt_Min_!$AW$9</f>
        <v>9.5666666666666705E-2</v>
      </c>
    </row>
    <row r="43" spans="2:45">
      <c r="B43" s="22" t="s">
        <v>221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spans="2:45" ht="15.4">
      <c r="B44" s="22" t="s">
        <v>80</v>
      </c>
      <c r="C44" s="24" t="s">
        <v>222</v>
      </c>
      <c r="D44" s="25" t="s">
        <v>223</v>
      </c>
      <c r="E44" s="25" t="s">
        <v>224</v>
      </c>
      <c r="F44" s="25" t="s">
        <v>225</v>
      </c>
      <c r="G44" s="25" t="s">
        <v>226</v>
      </c>
      <c r="H44" s="25" t="s">
        <v>227</v>
      </c>
      <c r="I44" s="25" t="s">
        <v>228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spans="2:45" ht="15.4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45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45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45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229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230</v>
      </c>
      <c r="D59" s="29" t="s">
        <v>231</v>
      </c>
      <c r="E59" s="29" t="s">
        <v>232</v>
      </c>
      <c r="F59" s="29" t="s">
        <v>233</v>
      </c>
      <c r="G59" s="29" t="s">
        <v>234</v>
      </c>
      <c r="H59" s="29" t="s">
        <v>235</v>
      </c>
      <c r="I59" s="29" t="s">
        <v>236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2023-05-12T11:15:00Z</dcterms:created>
  <dcterms:modified xsi:type="dcterms:W3CDTF">2026-07-08T12:01:28Z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