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BA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BA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  <comment ref="AY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1,000-MW, 10-hour facility — so in US-style capacity-expansion modeling, 10 h is effectively the central assumption for new closed-loop PSH.
EXCLUDING  reservoir construction fee, SAME AS CAN-TIMES</t>
        </r>
      </text>
    </comment>
  </commentList>
</comments>
</file>

<file path=xl/sharedStrings.xml><?xml version="1.0" encoding="utf-8"?>
<sst xmlns="http://schemas.openxmlformats.org/spreadsheetml/2006/main" count="609" uniqueCount="240">
  <si>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</si>
  <si>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</si>
  <si>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</si>
  <si>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</si>
  <si>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</si>
  <si>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</si>
  <si>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</si>
  <si>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</si>
  <si>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</si>
  <si>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</si>
  <si>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</si>
  <si>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</si>
  <si>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</si>
  <si>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</si>
  <si>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</si>
  <si>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</si>
  <si>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</si>
  <si>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</si>
  <si>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</si>
  <si>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</si>
  <si>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</si>
  <si>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</si>
  <si>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</si>
  <si>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</si>
  <si>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</si>
  <si>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</si>
  <si>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</si>
  <si>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</si>
  <si>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</si>
  <si>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</si>
  <si>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</si>
  <si>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</si>
  <si>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</si>
  <si>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</si>
  <si>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</si>
  <si>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</si>
  <si>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</si>
  <si>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</si>
  <si>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</si>
  <si>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</si>
  <si>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</si>
  <si>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</si>
  <si>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</si>
  <si>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</si>
  <si>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</si>
  <si>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</si>
  <si>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</si>
  <si>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</si>
  <si>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</si>
  <si>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</si>
  <si>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</si>
  <si>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</si>
  <si>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</si>
  <si>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</si>
  <si>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</si>
  <si>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</si>
  <si>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</si>
  <si>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</si>
  <si>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</si>
  <si>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</si>
  <si>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</si>
  <si>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</si>
  <si>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</si>
  <si>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</si>
  <si>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</si>
  <si>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</si>
  <si>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</si>
  <si>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</si>
  <si>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</si>
  <si>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</si>
  <si>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</si>
  <si>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</si>
  <si>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</si>
  <si>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</si>
  <si>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</si>
  <si>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</si>
  <si>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</si>
  <si>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</si>
  <si>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</si>
  <si>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</si>
  <si>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</si>
  <si>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</si>
  <si>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</si>
  <si>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</si>
  <si>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</si>
  <si>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</si>
  <si>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</si>
  <si>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</si>
  <si>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</si>
  <si>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</si>
  <si>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</si>
  <si>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</si>
  <si>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</si>
  <si>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</si>
  <si>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</si>
  <si>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</si>
  <si>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</si>
  <si>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</si>
  <si>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</si>
  <si>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</si>
  <si>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</si>
  <si>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</si>
  <si>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</si>
  <si>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</si>
  <si>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</si>
  <si>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</si>
  <si>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</si>
  <si>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</si>
  <si>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</si>
  <si>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</si>
  <si>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</si>
  <si>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</si>
  <si>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</si>
  <si>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</si>
  <si>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</si>
  <si>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</si>
  <si>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</si>
  <si>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</si>
  <si>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</si>
  <si>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</si>
  <si>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</si>
  <si>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</si>
  <si>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</si>
  <si>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</si>
  <si>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</si>
  <si>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</si>
  <si>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</si>
  <si>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</si>
  <si>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</si>
  <si>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</si>
  <si>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</si>
  <si>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</si>
  <si>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</si>
  <si>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</si>
  <si>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</si>
  <si>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</si>
  <si>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</si>
  <si>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</si>
  <si>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</si>
  <si>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</si>
  <si>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</si>
  <si>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</si>
  <si>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</si>
  <si>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</si>
  <si>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</si>
  <si>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</si>
  <si>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</si>
  <si>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</si>
  <si>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</si>
  <si>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</si>
  <si>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</si>
  <si>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</si>
  <si>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</si>
  <si>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</si>
  <si>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</si>
  <si>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</si>
  <si>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</si>
  <si>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</si>
  <si>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</si>
  <si>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</si>
  <si>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</si>
  <si>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</si>
  <si>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</si>
  <si>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</si>
  <si>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</si>
  <si>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</si>
  <si>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</si>
  <si>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</si>
  <si>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</si>
  <si>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</si>
  <si>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</si>
  <si>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</si>
  <si>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</si>
  <si>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</si>
  <si>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</si>
  <si>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</si>
  <si>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</si>
  <si>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</si>
  <si>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</si>
  <si>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</si>
  <si>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</si>
  <si>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</si>
  <si>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</si>
  <si>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</si>
  <si>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</si>
  <si>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</si>
  <si>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</si>
  <si>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</si>
  <si>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</si>
  <si>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</si>
  <si>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</si>
  <si>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</si>
  <si>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</si>
  <si>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</si>
  <si>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</si>
  <si>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</si>
  <si>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</si>
  <si>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</si>
  <si>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</si>
  <si>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EN_HPS_Storage</t>
  </si>
  <si>
    <t>pump hydropower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</si>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</sst>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134"/>
    </font>
  </fonts>
  <fills count="5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884029663991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2" fillId="50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A6" workbookViewId="0">
      <selection activeCell="F30" sqref="F30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0" max="40" width="19.6" customWidth="1"/>
    <col min="41" max="41" width="13.1363636363636" customWidth="1"/>
    <col min="43" max="43" width="13.0636363636364" customWidth="1"/>
    <col min="44" max="44" width="7.06363636363636" customWidth="1"/>
    <col min="45" max="45" width="20" customWidth="1"/>
    <col min="46" max="46" width="15.3363636363636" customWidth="1"/>
    <col min="48" max="48" width="13.2" customWidth="1"/>
    <col min="49" max="49" width="6.18181818181818" customWidth="1"/>
    <col min="50" max="50" width="6.90909090909091" customWidth="1"/>
  </cols>
  <sheetData>
    <row r="1" spans="2:53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3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3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3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3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3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3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3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3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3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3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3">
      <c r="B12" s="5"/>
      <c r="C12" t="s">
        <v>199</v>
      </c>
      <c r="D12" t="s">
        <v>200</v>
      </c>
      <c r="E12" s="5" t="s">
        <v>20</v>
      </c>
      <c r="F12" s="5" t="s">
        <v>187</v>
      </c>
      <c r="G12" s="5" t="s">
        <v>19</v>
      </c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3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3">
      <c r="G14" t="s">
        <v>201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201</v>
      </c>
    </row>
    <row r="15" spans="2:53">
      <c r="B15" t="s">
        <v>2</v>
      </c>
      <c r="C15" t="s">
        <v>3</v>
      </c>
      <c r="D15" t="s">
        <v>125</v>
      </c>
      <c r="E15" t="s">
        <v>4</v>
      </c>
      <c r="F15" t="s">
        <v>202</v>
      </c>
      <c r="G15" t="s">
        <v>147</v>
      </c>
      <c r="H15" t="s">
        <v>203</v>
      </c>
      <c r="I15" t="s">
        <v>68</v>
      </c>
      <c r="J15" t="s">
        <v>204</v>
      </c>
      <c r="K15" t="s">
        <v>205</v>
      </c>
      <c r="L15" t="s">
        <v>67</v>
      </c>
      <c r="M15" t="s">
        <v>206</v>
      </c>
      <c r="N15" t="s">
        <v>167</v>
      </c>
      <c r="O15" t="s">
        <v>207</v>
      </c>
      <c r="P15" t="s">
        <v>208</v>
      </c>
      <c r="Q15" t="s">
        <v>6</v>
      </c>
      <c r="R15" s="8" t="s">
        <v>209</v>
      </c>
      <c r="V15" s="1" t="s">
        <v>210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202</v>
      </c>
      <c r="AK15" t="s">
        <v>147</v>
      </c>
      <c r="AL15" t="s">
        <v>203</v>
      </c>
      <c r="AM15" t="s">
        <v>68</v>
      </c>
      <c r="AN15" t="s">
        <v>204</v>
      </c>
      <c r="AO15" t="s">
        <v>205</v>
      </c>
      <c r="AP15" t="s">
        <v>67</v>
      </c>
      <c r="AQ15" t="s">
        <v>206</v>
      </c>
      <c r="AR15" t="s">
        <v>167</v>
      </c>
      <c r="AS15" t="s">
        <v>207</v>
      </c>
      <c r="AT15" t="s">
        <v>208</v>
      </c>
      <c r="AU15" t="s">
        <v>6</v>
      </c>
      <c r="AV15" s="8" t="s">
        <v>209</v>
      </c>
      <c r="AW15" t="s">
        <v>210</v>
      </c>
      <c r="AX15" t="s">
        <v>211</v>
      </c>
      <c r="AY15" t="s">
        <v>86</v>
      </c>
    </row>
    <row r="16" spans="2:53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V16" s="10">
        <v>3000</v>
      </c>
      <c r="AW16"/>
      <c r="AX16"/>
      <c r="BA16" s="10">
        <v>10</v>
      </c>
    </row>
    <row r="17" s="1" customFormat="1" ht="16" spans="2:68">
      <c r="D17" s="11"/>
      <c r="F17" s="1" t="s">
        <v>212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213</v>
      </c>
      <c r="Z17" s="14"/>
      <c r="AA17"/>
      <c r="AB17"/>
      <c r="AC17"/>
      <c r="AD17"/>
      <c r="AE17"/>
      <c r="AF17"/>
      <c r="AG17"/>
      <c r="AH17" s="5"/>
      <c r="AI17"/>
      <c r="AJ17" t="s">
        <v>212</v>
      </c>
      <c r="AK17" t="s">
        <v>212</v>
      </c>
      <c r="AL17"/>
      <c r="AM17" s="9"/>
      <c r="AN17"/>
      <c r="AO17" s="9">
        <v>1</v>
      </c>
      <c r="AQ17"/>
      <c r="AR17"/>
      <c r="AS17"/>
      <c r="AT17"/>
      <c r="AU17"/>
      <c r="AV17"/>
      <c r="AW17"/>
      <c r="AX17"/>
      <c r="AY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214</v>
      </c>
      <c r="AK18" t="s">
        <v>102</v>
      </c>
      <c r="AM18" s="9"/>
      <c r="AS18">
        <v>1</v>
      </c>
    </row>
    <row r="19" spans="2:68">
      <c r="B19" t="s">
        <v>190</v>
      </c>
      <c r="E19" t="s">
        <v>215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0.92</v>
      </c>
      <c r="AM19" s="9">
        <f>AM16</f>
        <v>1.314</v>
      </c>
      <c r="AN19">
        <v>1</v>
      </c>
      <c r="AP19">
        <v>15</v>
      </c>
      <c r="AV19" s="10">
        <v>3500</v>
      </c>
      <c r="AW19"/>
      <c r="AX19"/>
      <c r="BA19" s="10">
        <v>12</v>
      </c>
    </row>
    <row r="20" spans="2:68">
      <c r="AH20" s="5"/>
      <c r="AJ20" t="s">
        <v>212</v>
      </c>
      <c r="AK20" t="s">
        <v>212</v>
      </c>
      <c r="AM20" s="9"/>
      <c r="AO20" s="9">
        <v>1</v>
      </c>
    </row>
    <row r="21" spans="2:68">
      <c r="AH21" s="5"/>
      <c r="AJ21" s="5" t="s">
        <v>214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0.92</v>
      </c>
      <c r="AM22" s="9">
        <f>AM19</f>
        <v>1.314</v>
      </c>
      <c r="AN22">
        <v>1</v>
      </c>
      <c r="AP22">
        <v>13</v>
      </c>
      <c r="AV22" s="10">
        <v>4000</v>
      </c>
      <c r="AW22"/>
      <c r="AX22"/>
      <c r="BA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212</v>
      </c>
      <c r="AK23" t="s">
        <v>212</v>
      </c>
      <c r="AL23" s="10"/>
      <c r="AM23" s="9"/>
      <c r="AO23" s="9">
        <v>1</v>
      </c>
    </row>
    <row r="24" spans="2:68">
      <c r="B24" s="5" t="s">
        <v>216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214</v>
      </c>
      <c r="AK24" t="s">
        <v>102</v>
      </c>
      <c r="AL24" s="10"/>
      <c r="AM24" s="9"/>
      <c r="AS24">
        <v>1</v>
      </c>
    </row>
    <row r="25" spans="2:68">
      <c r="B25" s="5" t="s">
        <v>217</v>
      </c>
      <c r="C25" s="5" t="s">
        <v>214</v>
      </c>
      <c r="D25" s="5" t="s">
        <v>218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0.92</v>
      </c>
      <c r="AM25" s="9">
        <f>AM22</f>
        <v>1.314</v>
      </c>
      <c r="AN25">
        <v>1</v>
      </c>
      <c r="AP25">
        <v>13</v>
      </c>
      <c r="AV25" s="10">
        <v>4000</v>
      </c>
      <c r="AW25"/>
      <c r="AX25"/>
      <c r="BA25" s="10">
        <v>13</v>
      </c>
    </row>
    <row r="26" spans="2:68">
      <c r="C26" s="5" t="s">
        <v>212</v>
      </c>
      <c r="D26" s="5" t="s">
        <v>219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212</v>
      </c>
      <c r="AK26" t="s">
        <v>212</v>
      </c>
      <c r="AL26" s="10"/>
      <c r="AM26" s="9"/>
      <c r="AO26" s="9">
        <v>1</v>
      </c>
    </row>
    <row r="27" spans="2:68">
      <c r="W27" s="4"/>
      <c r="X27" s="4"/>
      <c r="Y27" s="4"/>
      <c r="AH27" s="5"/>
      <c r="AJ27" s="5" t="s">
        <v>214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0.92</v>
      </c>
      <c r="AM28" s="9">
        <f>AM25</f>
        <v>1.314</v>
      </c>
      <c r="AN28">
        <v>1</v>
      </c>
      <c r="AP28">
        <v>13</v>
      </c>
      <c r="AV28" s="10">
        <v>4000</v>
      </c>
      <c r="AW28"/>
      <c r="AX28"/>
      <c r="BA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212</v>
      </c>
      <c r="AK29" t="s">
        <v>212</v>
      </c>
      <c r="AL29" s="10"/>
      <c r="AM29" s="9"/>
      <c r="AO29" s="9">
        <v>1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214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0.92</v>
      </c>
      <c r="AM31" s="9">
        <f>AM28</f>
        <v>1.314</v>
      </c>
      <c r="AN31">
        <v>1</v>
      </c>
      <c r="AP31">
        <v>13</v>
      </c>
      <c r="AV31" s="10">
        <v>4000</v>
      </c>
      <c r="AW31"/>
      <c r="AX31"/>
      <c r="BA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212</v>
      </c>
      <c r="AK32" t="s">
        <v>212</v>
      </c>
      <c r="AM32" s="9"/>
      <c r="AO32" s="9">
        <v>1</v>
      </c>
    </row>
    <row r="33" spans="2:51">
      <c r="B33" s="6" t="s">
        <v>188</v>
      </c>
      <c r="C33" s="18" t="s">
        <v>185</v>
      </c>
      <c r="D33" s="19" t="s">
        <v>220</v>
      </c>
      <c r="E33" s="20">
        <f>[6]EnergyUseFromEverBatt_Min_!$AW$6</f>
        <v>0.0473</v>
      </c>
      <c r="AH33" s="5"/>
      <c r="AJ33" s="5" t="s">
        <v>214</v>
      </c>
      <c r="AK33" t="s">
        <v>102</v>
      </c>
      <c r="AM33" s="9"/>
      <c r="AS33">
        <v>1</v>
      </c>
    </row>
    <row r="34" ht="16" spans="2:51">
      <c r="B34" s="6" t="s">
        <v>188</v>
      </c>
      <c r="C34" s="21" t="str">
        <f t="shared" ref="C34:C36" si="0">C33</f>
        <v>EN_STG_4hBatt</v>
      </c>
      <c r="D34" s="19" t="s">
        <v>221</v>
      </c>
      <c r="E34" s="20">
        <f>[6]EnergyUseFromEverBatt_Min_!$AW$7</f>
        <v>0.171166666666667</v>
      </c>
      <c r="AF34" t="s">
        <v>199</v>
      </c>
      <c r="AG34" t="s">
        <v>102</v>
      </c>
      <c r="AI34" t="s">
        <v>102</v>
      </c>
      <c r="AK34" t="s">
        <v>160</v>
      </c>
      <c r="AL34">
        <v>0.8</v>
      </c>
      <c r="AM34">
        <v>31.53</v>
      </c>
      <c r="AN34">
        <v>0.67</v>
      </c>
      <c r="AP34">
        <v>60</v>
      </c>
      <c r="AR34">
        <f>15.59</f>
        <v>15.59</v>
      </c>
      <c r="AU34">
        <v>2020</v>
      </c>
      <c r="AY34">
        <f>156.67*10</f>
        <v>1566.7</v>
      </c>
    </row>
    <row r="35" ht="16" spans="2:51">
      <c r="B35" s="6" t="s">
        <v>188</v>
      </c>
      <c r="C35" s="21" t="str">
        <f t="shared" si="0"/>
        <v>EN_STG_4hBatt</v>
      </c>
      <c r="D35" s="19" t="s">
        <v>222</v>
      </c>
      <c r="E35" s="20">
        <f>[6]EnergyUseFromEverBatt_Min_!$AW$8</f>
        <v>0.466366666666667</v>
      </c>
      <c r="AJ35" t="s">
        <v>212</v>
      </c>
      <c r="AK35" t="s">
        <v>212</v>
      </c>
      <c r="AO35">
        <v>1</v>
      </c>
    </row>
    <row r="36" ht="16" spans="2:51">
      <c r="B36" s="6" t="s">
        <v>188</v>
      </c>
      <c r="C36" s="21" t="str">
        <f t="shared" si="0"/>
        <v>EN_STG_4hBatt</v>
      </c>
      <c r="D36" s="19" t="s">
        <v>223</v>
      </c>
      <c r="E36" s="20">
        <f>[6]EnergyUseFromEverBatt_Min_!$AW$9</f>
        <v>0.0956666666666667</v>
      </c>
      <c r="AJ36" s="5" t="s">
        <v>214</v>
      </c>
      <c r="AK36" t="s">
        <v>102</v>
      </c>
      <c r="AN36">
        <v>1</v>
      </c>
      <c r="AS36">
        <v>1</v>
      </c>
    </row>
    <row r="43" spans="2:51">
      <c r="B43" s="22" t="s">
        <v>224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51">
      <c r="B44" s="22" t="s">
        <v>80</v>
      </c>
      <c r="C44" s="24" t="s">
        <v>225</v>
      </c>
      <c r="D44" s="25" t="s">
        <v>226</v>
      </c>
      <c r="E44" s="25" t="s">
        <v>227</v>
      </c>
      <c r="F44" s="25" t="s">
        <v>228</v>
      </c>
      <c r="G44" s="25" t="s">
        <v>229</v>
      </c>
      <c r="H44" s="25" t="s">
        <v>230</v>
      </c>
      <c r="I44" s="25" t="s">
        <v>231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51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51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51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51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232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233</v>
      </c>
      <c r="D59" s="29" t="s">
        <v>234</v>
      </c>
      <c r="E59" s="29" t="s">
        <v>235</v>
      </c>
      <c r="F59" s="29" t="s">
        <v>236</v>
      </c>
      <c r="G59" s="29" t="s">
        <v>237</v>
      </c>
      <c r="H59" s="29" t="s">
        <v>238</v>
      </c>
      <c r="I59" s="29" t="s">
        <v>239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2026-09-10T03:43:22Z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