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Y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Y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<sst xmlns="http://schemas.openxmlformats.org/spreadsheetml/2006/main" count="593" uniqueCount="237">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</sst>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134"/>
    </font>
  </fonts>
  <fills count="5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  <xf numFmtId="0" fontId="33" fillId="49" borderId="0" applyNumberFormat="0" applyBorder="0" applyAlignment="0" applyProtection="0">
      <alignment vertical="center"/>
    </xf>
    <xf numFmtId="0" fontId="32" fillId="50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workbookViewId="0">
      <selection activeCell="H25" sqref="H25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tabSelected="1" zoomScale="80" zoomScaleNormal="80" topLeftCell="H1" workbookViewId="0">
      <selection activeCell="M28" sqref="M28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118.727272727273" customWidth="1"/>
    <col min="36" max="36" width="13.5272727272727" customWidth="1"/>
    <col min="48" max="48" width="14.5272727272727" customWidth="1"/>
  </cols>
  <sheetData>
    <row r="1" spans="2:51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1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1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1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1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1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1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1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1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1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1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1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1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1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1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</row>
    <row r="16" spans="2:51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2020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100</v>
      </c>
      <c r="AU16">
        <v>2020</v>
      </c>
      <c r="AV16" s="10">
        <v>3000</v>
      </c>
      <c r="AY16" s="10">
        <v>10</v>
      </c>
    </row>
    <row r="17" s="1" customFormat="1" ht="16" spans="2:67">
      <c r="D17" s="11"/>
      <c r="F17" s="1" t="s">
        <v>209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210</v>
      </c>
      <c r="Z17" s="14"/>
      <c r="AA17"/>
      <c r="AB17"/>
      <c r="AC17"/>
      <c r="AD17"/>
      <c r="AE17"/>
      <c r="AF17"/>
      <c r="AG17"/>
      <c r="AH17" s="5"/>
      <c r="AI17"/>
      <c r="AJ17" t="s">
        <v>209</v>
      </c>
      <c r="AK17" t="s">
        <v>209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2:67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211</v>
      </c>
      <c r="AK18" t="s">
        <v>102</v>
      </c>
      <c r="AM18" s="9"/>
      <c r="AS18">
        <v>1</v>
      </c>
    </row>
    <row r="19" spans="2:67">
      <c r="B19" t="s">
        <v>190</v>
      </c>
      <c r="E19" t="s">
        <v>212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100</v>
      </c>
      <c r="AU19">
        <v>2020</v>
      </c>
      <c r="AV19" s="10">
        <v>3500</v>
      </c>
      <c r="AY19" s="10">
        <v>12</v>
      </c>
    </row>
    <row r="20" spans="2:67">
      <c r="AH20" s="5"/>
      <c r="AJ20" t="s">
        <v>209</v>
      </c>
      <c r="AK20" t="s">
        <v>209</v>
      </c>
      <c r="AM20" s="9"/>
      <c r="AO20" s="9">
        <v>1.08695652173913</v>
      </c>
    </row>
    <row r="21" spans="2:67">
      <c r="AH21" s="5"/>
      <c r="AJ21" s="5" t="s">
        <v>211</v>
      </c>
      <c r="AK21" t="s">
        <v>102</v>
      </c>
      <c r="AM21" s="9"/>
      <c r="AS21">
        <v>1</v>
      </c>
    </row>
    <row r="22" spans="2:67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100</v>
      </c>
      <c r="AU22">
        <v>2020</v>
      </c>
      <c r="AV22" s="10">
        <v>4000</v>
      </c>
      <c r="AY22" s="10">
        <v>13</v>
      </c>
    </row>
    <row r="23" spans="2:67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209</v>
      </c>
      <c r="AK23" t="s">
        <v>209</v>
      </c>
      <c r="AL23" s="10"/>
      <c r="AM23" s="9"/>
      <c r="AO23" s="9">
        <v>1.08695652173913</v>
      </c>
    </row>
    <row r="24" spans="2:67">
      <c r="B24" s="5" t="s">
        <v>213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211</v>
      </c>
      <c r="AK24" t="s">
        <v>102</v>
      </c>
      <c r="AL24" s="10"/>
      <c r="AM24" s="9"/>
      <c r="AS24">
        <v>1</v>
      </c>
    </row>
    <row r="25" spans="2:67">
      <c r="B25" s="5" t="s">
        <v>214</v>
      </c>
      <c r="C25" s="5" t="s">
        <v>211</v>
      </c>
      <c r="D25" s="5" t="s">
        <v>215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100</v>
      </c>
      <c r="AU25">
        <v>2020</v>
      </c>
      <c r="AV25" s="10">
        <v>4000</v>
      </c>
      <c r="AY25" s="10">
        <v>13</v>
      </c>
    </row>
    <row r="26" spans="2:67">
      <c r="C26" s="5" t="s">
        <v>209</v>
      </c>
      <c r="D26" s="5" t="s">
        <v>216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209</v>
      </c>
      <c r="AK26" t="s">
        <v>209</v>
      </c>
      <c r="AL26" s="10"/>
      <c r="AM26" s="9"/>
      <c r="AO26" s="9">
        <v>1.08695652173913</v>
      </c>
    </row>
    <row r="27" spans="2:67">
      <c r="W27" s="4"/>
      <c r="X27" s="4"/>
      <c r="Y27" s="4"/>
      <c r="AH27" s="5"/>
      <c r="AJ27" s="5" t="s">
        <v>211</v>
      </c>
      <c r="AK27" t="s">
        <v>102</v>
      </c>
      <c r="AL27" s="10"/>
      <c r="AM27" s="9"/>
      <c r="AS27">
        <v>1</v>
      </c>
    </row>
    <row r="28" spans="2:67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100</v>
      </c>
      <c r="AU28">
        <v>2020</v>
      </c>
      <c r="AV28" s="10">
        <v>4000</v>
      </c>
      <c r="AY28" s="10">
        <v>13</v>
      </c>
    </row>
    <row r="29" spans="2:67">
      <c r="B29" s="2"/>
      <c r="C29" s="2"/>
      <c r="D29" s="2"/>
      <c r="E29" s="2"/>
      <c r="W29" s="4"/>
      <c r="X29" s="4"/>
      <c r="Y29" s="4"/>
      <c r="AH29" s="5"/>
      <c r="AJ29" t="s">
        <v>209</v>
      </c>
      <c r="AK29" t="s">
        <v>209</v>
      </c>
      <c r="AL29" s="10"/>
      <c r="AM29" s="9"/>
      <c r="AO29" s="9">
        <v>1.08695652173913</v>
      </c>
    </row>
    <row r="30" spans="2:67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211</v>
      </c>
      <c r="AK30" t="s">
        <v>102</v>
      </c>
      <c r="AL30" s="10"/>
      <c r="AM30" s="9"/>
      <c r="AS30">
        <v>1</v>
      </c>
    </row>
    <row r="31" spans="2:67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100</v>
      </c>
      <c r="AU31">
        <v>2020</v>
      </c>
      <c r="AV31" s="10">
        <v>4000</v>
      </c>
      <c r="AY31" s="10">
        <v>13</v>
      </c>
    </row>
    <row r="32" spans="2:67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209</v>
      </c>
      <c r="AK32" t="s">
        <v>209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217</v>
      </c>
      <c r="E33" s="20">
        <f>[6]EnergyUseFromEverBatt_Min_!$AW$6</f>
        <v>0.0473</v>
      </c>
      <c r="AH33" s="5"/>
      <c r="AJ33" s="5" t="s">
        <v>211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218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219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220</v>
      </c>
      <c r="E36" s="20">
        <f>[6]EnergyUseFromEverBatt_Min_!$AW$9</f>
        <v>0.0956666666666667</v>
      </c>
    </row>
    <row r="43" spans="2:45">
      <c r="B43" s="22" t="s">
        <v>221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222</v>
      </c>
      <c r="D44" s="25" t="s">
        <v>223</v>
      </c>
      <c r="E44" s="25" t="s">
        <v>224</v>
      </c>
      <c r="F44" s="25" t="s">
        <v>225</v>
      </c>
      <c r="G44" s="25" t="s">
        <v>226</v>
      </c>
      <c r="H44" s="25" t="s">
        <v>227</v>
      </c>
      <c r="I44" s="25" t="s">
        <v>228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229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230</v>
      </c>
      <c r="D59" s="29" t="s">
        <v>231</v>
      </c>
      <c r="E59" s="29" t="s">
        <v>232</v>
      </c>
      <c r="F59" s="29" t="s">
        <v>233</v>
      </c>
      <c r="G59" s="29" t="s">
        <v>234</v>
      </c>
      <c r="H59" s="29" t="s">
        <v>235</v>
      </c>
      <c r="I59" s="29" t="s">
        <v>236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2026-07-06T22:24:19Z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43FC4B3D1DEB485C974A87FA9EAF9BAF_12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