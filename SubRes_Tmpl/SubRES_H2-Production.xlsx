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260" activeTab="5"/>
  </bookViews>
  <sheets>
    <sheet name="SectFuel" sheetId="2" r:id="rId1"/>
    <sheet name="H2 prod" sheetId="1" r:id="rId2"/>
    <sheet name="HPL" sheetId="6" r:id="rId3"/>
    <sheet name="H2 transport" sheetId="7" r:id="rId4"/>
    <sheet name="Sheet1" sheetId="3" r:id="rId5"/>
    <sheet name="ELC_Storage_for_NoCir" sheetId="8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Cars_12" localSheetId="2">'[1]TechRep-Doc'!#REF!</definedName>
    <definedName name="Cars_12">'[1]TechRep-Doc'!#REF!</definedName>
    <definedName name="ddddd">[2]AGR_Fuels!$A$2</definedName>
    <definedName name="DISCRATE">'[1]TechRep-Doc'!#REF!</definedName>
    <definedName name="FID_1">[3]AGR_Fuels!$A$2</definedName>
    <definedName name="FuelList" localSheetId="3">[4]ELC_Lists!$K$4:$K$113</definedName>
    <definedName name="FuelList">[5]ELC_Lists!$K$4:$K$113</definedName>
    <definedName name="GROWTH" localSheetId="2">'[1]TechRep-Doc'!#REF!</definedName>
    <definedName name="GROWTH">'[1]TechRep-Doc'!#REF!</definedName>
    <definedName name="GROWTH_TID" localSheetId="2">'[1]TechRep-Doc'!#REF!</definedName>
    <definedName name="GROWTH_TID">'[1]TechRep-Doc'!#REF!</definedName>
    <definedName name="HHV_Coal" localSheetId="3">[4]Costs!#REF!</definedName>
    <definedName name="HHV_Coal">[5]Costs!#REF!</definedName>
    <definedName name="HHV_H2" localSheetId="3">[4]Costs!#REF!</definedName>
    <definedName name="HHV_H2">[5]Costs!#REF!</definedName>
    <definedName name="HHV_NG" localSheetId="3">[4]Costs!#REF!</definedName>
    <definedName name="HHV_NG">[5]Costs!#REF!</definedName>
    <definedName name="INVCOST">'[1]TechRep-Doc'!#REF!</definedName>
    <definedName name="LHV_Coal" localSheetId="3">[4]Costs!#REF!</definedName>
    <definedName name="LHV_Coal">[5]Costs!#REF!</definedName>
    <definedName name="LHV_H2" localSheetId="3">[4]Costs!#REF!</definedName>
    <definedName name="LHV_H2">[5]Costs!#REF!</definedName>
    <definedName name="LHV_NG" localSheetId="3">[4]Costs!#REF!</definedName>
    <definedName name="LHV_NG">[5]Costs!#REF!</definedName>
    <definedName name="LIFE">'[1]TechRep-Doc'!#REF!</definedName>
    <definedName name="NAs_CCAR">'[1]TechRep-Doc'!#REF!</definedName>
    <definedName name="SectorList" localSheetId="3">[4]ELC_Lists!$N$4:$N$15</definedName>
    <definedName name="SectorList">[5]ELC_Lists!$N$4:$N$15</definedName>
    <definedName name="SETS" localSheetId="2">'[1]TechRep-Doc'!#REF!</definedName>
    <definedName name="SETS">'[1]TechRep-Doc'!#REF!</definedName>
    <definedName name="TechnologyList" localSheetId="3">[4]ELC_Lists!$H$4:$H$16</definedName>
    <definedName name="TechnologyList">[5]ELC_Lists!$H$4:$H$16</definedName>
    <definedName name="TRTGAB005" localSheetId="2">'[1]TechRep-Doc'!#REF!</definedName>
    <definedName name="TRTGAB005">'[1]TechRep-Doc'!#REF!</definedName>
    <definedName name="TRTGAC005" localSheetId="2">'[1]TechRep-Doc'!#REF!</definedName>
    <definedName name="TRTGAC005">'[1]TechRep-Doc'!#REF!</definedName>
    <definedName name="Trucks_15" localSheetId="2">'[1]TechRep-Doc'!#REF!</definedName>
    <definedName name="Trucks_15">'[1]TechRep-Doc'!#REF!</definedName>
    <definedName name="TSUB_COST" localSheetId="2">'[1]TechRep-Doc'!#REF!</definedName>
    <definedName name="TSUB_COST">'[1]TechRep-Doc'!#REF!</definedName>
    <definedName name="x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Rocco De Miglio</author>
  </authors>
  <commentList>
    <comment ref="O39" authorId="0">
      <text>
        <r>
          <rPr>
            <b/>
            <sz val="9"/>
            <rFont val="Tahoma"/>
            <charset val="1"/>
          </rPr>
          <t>Rocco De Miglio:</t>
        </r>
        <r>
          <rPr>
            <sz val="9"/>
            <rFont val="Tahoma"/>
            <charset val="1"/>
          </rPr>
          <t xml:space="preserve">
Comparative assessment of blue hydrogen from steam methane reforming, autothermal reforming, and natural gas decomposition technologies for natural gas-producing regions  
</t>
        </r>
      </text>
    </comment>
  </commentList>
</comments>
</file>

<file path=xl/comments2.xml><?xml version="1.0" encoding="utf-8"?>
<comments xmlns="http://schemas.openxmlformats.org/spreadsheetml/2006/main">
  <authors>
    <author>xli9</author>
    <author>Amit Kanudia</author>
  </authors>
  <commentList>
    <comment ref="BA16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25 is too </t>
        </r>
      </text>
    </comment>
    <comment ref="Y17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new grid storage generally not goes to repurpose within SOH&lt;60%</t>
        </r>
      </text>
    </comment>
    <comment ref="P19" authorId="1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01-01-2020
This will take care of regions that don't appear in the Restart file for nuclear
</t>
        </r>
      </text>
    </comment>
    <comment ref="BA19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25 is too </t>
        </r>
      </text>
    </comment>
    <comment ref="BA22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25 is too </t>
        </r>
      </text>
    </comment>
    <comment ref="BA25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25 is too </t>
        </r>
      </text>
    </comment>
    <comment ref="BA28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25 is too </t>
        </r>
      </text>
    </comment>
    <comment ref="BA31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25 is too </t>
        </r>
      </text>
    </comment>
    <comment ref="C3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LFP stationary storage, we assume consumes same energy with EV battery for manufacturing (virgin)</t>
        </r>
      </text>
    </comment>
    <comment ref="AY34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1,000-MW, 10-hour facility — so in US-style capacity-expansion modeling, 10 h is effectively the central assumption for new closed-loop PSH.
EXCLUDING  reservoir construction fee, SAME AS CAN-TIMES</t>
        </r>
      </text>
    </comment>
  </commentList>
</comments>
</file>

<file path=xl/sharedStrings.xml><?xml version="1.0" encoding="utf-8"?>
<sst xmlns="http://schemas.openxmlformats.org/spreadsheetml/2006/main" count="609" uniqueCount="240">
  <si>
    <t>~FI_T</t>
  </si>
  <si>
    <t>~FI_Process</t>
  </si>
  <si>
    <t>TechName</t>
  </si>
  <si>
    <t>Comm-IN</t>
  </si>
  <si>
    <t>Comm-OUT</t>
  </si>
  <si>
    <t>EFF</t>
  </si>
  <si>
    <t>START</t>
  </si>
  <si>
    <t>STG_EFF</t>
  </si>
  <si>
    <t>Sets</t>
  </si>
  <si>
    <t>TechDesc</t>
  </si>
  <si>
    <t>Tslvl</t>
  </si>
  <si>
    <t>Tact</t>
  </si>
  <si>
    <t>Tcap</t>
  </si>
  <si>
    <t>PrimaryCG</t>
  </si>
  <si>
    <t>Vintage</t>
  </si>
  <si>
    <t>H2_STG</t>
  </si>
  <si>
    <t>HH2</t>
  </si>
  <si>
    <t>STG,STS</t>
  </si>
  <si>
    <t>generic H2 storage tech</t>
  </si>
  <si>
    <t>DAYNITE</t>
  </si>
  <si>
    <t>PJ</t>
  </si>
  <si>
    <t>PJ-Yr</t>
  </si>
  <si>
    <t>NGA_STG</t>
  </si>
  <si>
    <t>GASNGA</t>
  </si>
  <si>
    <t>generic Gas storage tech</t>
  </si>
  <si>
    <t>SEASON</t>
  </si>
  <si>
    <t>LNG_STG</t>
  </si>
  <si>
    <t>GASLNG</t>
  </si>
  <si>
    <t>generic LNG storage tech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</si>
  <si>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</si>
  <si>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</si>
  <si>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</si>
  <si>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</si>
  <si>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</si>
  <si>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~md-t_s:</t>
  </si>
  <si>
    <t>data source: E3 modeling</t>
  </si>
  <si>
    <t>invcost</t>
  </si>
  <si>
    <t>fixom</t>
  </si>
  <si>
    <t>input~GASNGA</t>
  </si>
  <si>
    <t>input~ELC_gc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</si>
  <si>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</si>
  <si>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</si>
  <si>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</si>
  <si>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</si>
  <si>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</si>
  <si>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</si>
  <si>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</si>
  <si>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</si>
  <si>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</si>
  <si>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</si>
  <si>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</si>
  <si>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</si>
  <si>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</si>
  <si>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</si>
  <si>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</si>
  <si>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</si>
  <si>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</si>
  <si>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</si>
  <si>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</si>
  <si>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</si>
  <si>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</si>
  <si>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</si>
  <si>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</si>
  <si>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</si>
  <si>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</si>
  <si>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</si>
  <si>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</si>
  <si>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LIFE</t>
  </si>
  <si>
    <t>Cap2Act</t>
  </si>
  <si>
    <t>ELC,ELCCurt</t>
  </si>
  <si>
    <t>\I:</t>
  </si>
  <si>
    <t>GW</t>
  </si>
  <si>
    <t>Yes</t>
  </si>
  <si>
    <t>H2prd_Gas_SR_CCS</t>
  </si>
  <si>
    <t>H2prd_Elc_PEM</t>
  </si>
  <si>
    <t>H2prd_Elc_ALK</t>
  </si>
  <si>
    <t>H2prd_Elc_SOEC</t>
  </si>
  <si>
    <t>H2prd_Gas_ATR_CCS</t>
  </si>
  <si>
    <t>Hydrogen from natural gas autothermal reforming centralised - Large scale</t>
  </si>
  <si>
    <t>~FI_T: USD00</t>
  </si>
  <si>
    <t>process</t>
  </si>
  <si>
    <t>comm-in</t>
  </si>
  <si>
    <t>comm-out</t>
  </si>
  <si>
    <t>CAP2ACT</t>
  </si>
  <si>
    <t>FLO_DELIV</t>
  </si>
  <si>
    <t>AFA</t>
  </si>
  <si>
    <t>NCAP_COST</t>
  </si>
  <si>
    <t>NCAP_FOM</t>
  </si>
  <si>
    <t>NCAP_TLIFE</t>
  </si>
  <si>
    <t>HETBIOP105</t>
  </si>
  <si>
    <t>ELCBSL</t>
  </si>
  <si>
    <t>HET</t>
  </si>
  <si>
    <t>HPL</t>
  </si>
  <si>
    <t>HETCOAP105</t>
  </si>
  <si>
    <t>ELCCOA</t>
  </si>
  <si>
    <t>HETGASP105</t>
  </si>
  <si>
    <t>ELCNGA</t>
  </si>
  <si>
    <t>HETOILP105</t>
  </si>
  <si>
    <t>ELCOIL</t>
  </si>
  <si>
    <t>\I: HETHH2P105</t>
  </si>
  <si>
    <t>ELCHH2</t>
  </si>
  <si>
    <t>HETHPU</t>
  </si>
  <si>
    <t>ELC</t>
  </si>
  <si>
    <t>RESHET,COMHET</t>
  </si>
  <si>
    <t>Utility scale heat pump - placeholder values - hoping to avoid seeing H2 going to heat</t>
  </si>
  <si>
    <t>FT_INDNUC</t>
  </si>
  <si>
    <t>NUC</t>
  </si>
  <si>
    <t>INDNUC</t>
  </si>
  <si>
    <t>PRE</t>
  </si>
  <si>
    <t>Parameter</t>
  </si>
  <si>
    <t>UNITS</t>
  </si>
  <si>
    <t>TIME Horizon</t>
  </si>
  <si>
    <t>Ammonia</t>
  </si>
  <si>
    <t>LOHC</t>
  </si>
  <si>
    <t>LIQUID</t>
  </si>
  <si>
    <t>~FI_T: INVCOST~USD21</t>
  </si>
  <si>
    <t>~FI_T: FIXOM~USD21</t>
  </si>
  <si>
    <t>~FI_T: EFF</t>
  </si>
  <si>
    <t>~FI_T: INPUT</t>
  </si>
  <si>
    <t>Conversion</t>
  </si>
  <si>
    <t>Process</t>
  </si>
  <si>
    <t>comm-IN</t>
  </si>
  <si>
    <t>comm-OUT</t>
  </si>
  <si>
    <t>CAP2Act</t>
  </si>
  <si>
    <t>*</t>
  </si>
  <si>
    <t>Comm-IN-A</t>
  </si>
  <si>
    <t>AFA~LO</t>
  </si>
  <si>
    <t>AFA~LO~0</t>
  </si>
  <si>
    <t>CAPEX</t>
  </si>
  <si>
    <t>USD/kW product</t>
  </si>
  <si>
    <t>H2Conv_Ammonia</t>
  </si>
  <si>
    <t>H2Conv_LOHC</t>
  </si>
  <si>
    <t>H2Conv_Liquid</t>
  </si>
  <si>
    <t>LH2</t>
  </si>
  <si>
    <t>OPEX</t>
  </si>
  <si>
    <t>% of CAPEX</t>
  </si>
  <si>
    <t>Efficiency</t>
  </si>
  <si>
    <t>% LHV</t>
  </si>
  <si>
    <t>kwh/kg &gt;&gt; PJ/PJ</t>
  </si>
  <si>
    <t>Electricity consumption</t>
  </si>
  <si>
    <t>kWh/kgH2</t>
  </si>
  <si>
    <t>Reconversion</t>
  </si>
  <si>
    <t>USD/kWH2</t>
  </si>
  <si>
    <t>H2ReConv_Ammonia</t>
  </si>
  <si>
    <t>H2ReConv_LOHC</t>
  </si>
  <si>
    <t>H2ReConv_Liquid</t>
  </si>
  <si>
    <t>％ LHV</t>
  </si>
  <si>
    <t>CommGrp</t>
  </si>
  <si>
    <t>flo_emis~CO2Captured</t>
  </si>
  <si>
    <t>HH2CO2Ng</t>
  </si>
  <si>
    <t>Heat consumption</t>
  </si>
  <si>
    <t>~FI_Comm</t>
  </si>
  <si>
    <t>CSet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</si>
  <si>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</si>
  <si>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</si>
  <si>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</si>
  <si>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</si>
  <si>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</si>
  <si>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</si>
  <si>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</si>
  <si>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</si>
  <si>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Liquid Organic Hydrogen Carrier</t>
  </si>
  <si>
    <t>DeACT FI_Process</t>
  </si>
  <si>
    <t>DeACT FI_T: USD20</t>
  </si>
  <si>
    <t>Feedstocks</t>
  </si>
  <si>
    <t>INVCOST</t>
  </si>
  <si>
    <t>INVCOST~2050</t>
  </si>
  <si>
    <t>FIXOM</t>
  </si>
  <si>
    <t>FIXOM~2050</t>
  </si>
  <si>
    <t>VAROM</t>
  </si>
  <si>
    <t>VAROM~2050</t>
  </si>
  <si>
    <t>EFF~2050</t>
  </si>
  <si>
    <t>H2Prd_Bio_CCS</t>
  </si>
  <si>
    <t>Lignocellulosic substrates (wood residues, wood chips &amp; arboricultural residues)</t>
  </si>
  <si>
    <t>hydrogen component</t>
  </si>
  <si>
    <t>BIOBSL</t>
  </si>
  <si>
    <t>limtype</t>
  </si>
  <si>
    <t>m_lithium</t>
  </si>
  <si>
    <t>m_nickel</t>
  </si>
  <si>
    <t>m_cobalt</t>
  </si>
  <si>
    <t>m_manganese</t>
  </si>
  <si>
    <t>m_aluminum</t>
  </si>
  <si>
    <t>m_copper</t>
  </si>
  <si>
    <t>m_graphite</t>
  </si>
  <si>
    <t>STGTSS</t>
  </si>
  <si>
    <t>EN_STG_4hBatt</t>
  </si>
  <si>
    <t>4h battery storage -  50MW/200MWh--LFP by default</t>
  </si>
  <si>
    <t>GWh</t>
  </si>
  <si>
    <t>FX</t>
  </si>
  <si>
    <t>ELE</t>
  </si>
  <si>
    <t>E_Nuc_Accounting</t>
  </si>
  <si>
    <t>Dummy tech to control exog and endog nuclear</t>
  </si>
  <si>
    <t>EN_STG_4hBatt_LMO</t>
  </si>
  <si>
    <t>4h battery storage -  50MW/200MWh</t>
  </si>
  <si>
    <t>EN_STG_4hBatt_NCA</t>
  </si>
  <si>
    <t>EN_STG_4hBatt_NMC111</t>
  </si>
  <si>
    <t>EN_STG_4hBatt_NMC532</t>
  </si>
  <si>
    <t>EN_STG_4hBatt_NMC622</t>
  </si>
  <si>
    <t>EN_STG_4hBatt_NMC811</t>
  </si>
  <si>
    <t>EN_HPS_Storage</t>
  </si>
  <si>
    <t>pump hydropower</t>
  </si>
  <si>
    <t>~FI_T: USD15</t>
  </si>
  <si>
    <t>Comm-OUT-A</t>
  </si>
  <si>
    <t>S_EFF</t>
  </si>
  <si>
    <t>NCAP_AFC~DAYNITE</t>
  </si>
  <si>
    <t>FLO_FUNC~ELC</t>
  </si>
  <si>
    <t>CAP_BND~UP</t>
  </si>
  <si>
    <t>FLO_FUNC~AuxStoIN</t>
  </si>
  <si>
    <t>CAP_BND~UP~0</t>
  </si>
  <si>
    <t>STG_MAXCYC</t>
  </si>
  <si>
    <t>PKNO</t>
  </si>
  <si>
    <t>PKCNT</t>
  </si>
  <si>
    <t>AuxStoOUT</t>
  </si>
  <si>
    <t>MultiR-LFP</t>
  </si>
  <si>
    <t>AuxStoIN</t>
  </si>
  <si>
    <t>DumGrid</t>
  </si>
  <si>
    <t>Csets</t>
  </si>
  <si>
    <t>ENV</t>
  </si>
  <si>
    <t>Aux commodity for storage charging</t>
  </si>
  <si>
    <t>Aux commodity for storage discharging</t>
  </si>
  <si>
    <t>INDELC</t>
  </si>
  <si>
    <t>INDCOA</t>
  </si>
  <si>
    <t>INDNGA</t>
  </si>
  <si>
    <t>INDOIL</t>
  </si>
  <si>
    <t>~FI_T: NCAP_ICOM</t>
  </si>
  <si>
    <t>Tra_EV_Batt-LFP_virgin_package</t>
  </si>
  <si>
    <t>Tra_EV_Batt-LMO_virgin_package</t>
  </si>
  <si>
    <t>Tra_EV_Batt-NCA_virgin_package</t>
  </si>
  <si>
    <t>Tra_EV_Batt-NMC111_virgin_package</t>
  </si>
  <si>
    <t>Tra_EV_Batt-NMC532_virgin_package</t>
  </si>
  <si>
    <t>Tra_EV_Batt-NMC622_virgin_package</t>
  </si>
  <si>
    <t>Tra_EV_Batt-NMC811_virgin_package</t>
  </si>
  <si>
    <t>~FI_T: NCAP_OCOM</t>
  </si>
  <si>
    <t>recy-LFP</t>
  </si>
  <si>
    <t>recy-LMO</t>
  </si>
  <si>
    <t>recy-NCA</t>
  </si>
  <si>
    <t>recy-NMC111</t>
  </si>
  <si>
    <t>recy-NMC532</t>
  </si>
  <si>
    <t>recy-NMC622</t>
  </si>
  <si>
    <t>recy-NMC811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</si>
</sst>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\Te\x\t"/>
    <numFmt numFmtId="179" formatCode="#,##0.000"/>
    <numFmt numFmtId="180" formatCode="#,##0.0_ "/>
    <numFmt numFmtId="181" formatCode="0.0"/>
    <numFmt numFmtId="182" formatCode="0.000"/>
  </numFmts>
  <fonts count="38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indexed="8"/>
      <name val="Calibri"/>
      <charset val="134"/>
    </font>
    <font>
      <sz val="11"/>
      <color rgb="FF000000"/>
      <name val="Calibri"/>
      <charset val="134"/>
      <scheme val="minor"/>
    </font>
    <font>
      <sz val="10.2"/>
      <color rgb="FF212529"/>
      <name val="Segoe UI"/>
      <charset val="134"/>
    </font>
    <font>
      <sz val="10"/>
      <color theme="1"/>
      <name val="Arial"/>
      <charset val="134"/>
    </font>
    <font>
      <sz val="11"/>
      <color theme="0"/>
      <name val="Calibri"/>
      <charset val="128"/>
      <scheme val="minor"/>
    </font>
    <font>
      <b/>
      <u/>
      <sz val="11"/>
      <color theme="1"/>
      <name val="Calibri"/>
      <charset val="128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0"/>
      <color rgb="FFFF0000"/>
      <name val="Arial"/>
      <charset val="134"/>
    </font>
    <font>
      <b/>
      <sz val="10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"/>
    </font>
    <font>
      <b/>
      <sz val="9"/>
      <name val="Tahoma"/>
      <charset val="1"/>
    </font>
    <font>
      <b/>
      <sz val="9"/>
      <name val="Times New Roman"/>
      <charset val="134"/>
    </font>
    <font>
      <sz val="9"/>
      <name val="Times New Roman"/>
      <charset val="134"/>
    </font>
  </fonts>
  <fills count="4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84029663991"/>
      </bottom>
      <diagonal/>
    </border>
    <border>
      <left style="thin">
        <color theme="1" tint="0.499984740745262"/>
      </left>
      <right/>
      <top style="thin">
        <color auto="1"/>
      </top>
      <bottom/>
      <diagonal/>
    </border>
    <border>
      <left/>
      <right style="thin">
        <color theme="1" tint="0.499984740745262"/>
      </right>
      <top style="thin">
        <color auto="1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0" tint="-0.249946592608417"/>
      </left>
      <right/>
      <top style="thin">
        <color auto="1"/>
      </top>
      <bottom/>
      <diagonal/>
    </border>
    <border>
      <left/>
      <right style="thin">
        <color theme="0" tint="-0.249946592608417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1" tint="0.499984740745262"/>
      </left>
      <right/>
      <top/>
      <bottom style="thin">
        <color auto="1"/>
      </bottom>
      <diagonal/>
    </border>
    <border>
      <left/>
      <right style="thin">
        <color theme="1" tint="0.499984740745262"/>
      </right>
      <top/>
      <bottom style="thin">
        <color auto="1"/>
      </bottom>
      <diagonal/>
    </border>
    <border>
      <left style="thin">
        <color theme="0" tint="-0.249946592608417"/>
      </left>
      <right/>
      <top/>
      <bottom style="thin">
        <color auto="1"/>
      </bottom>
      <diagonal/>
    </border>
    <border>
      <left/>
      <right style="thin">
        <color theme="0" tint="-0.249946592608417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8" fillId="0" borderId="11" applyNumberFormat="0" applyFill="0" applyAlignment="0" applyProtection="0"/>
    <xf numFmtId="0" fontId="9" fillId="0" borderId="12" applyNumberFormat="0" applyFill="0" applyAlignment="0" applyProtection="0"/>
    <xf numFmtId="0" fontId="9" fillId="0" borderId="0" applyNumberFormat="0" applyFill="0" applyBorder="0" applyAlignment="0" applyProtection="0"/>
    <xf numFmtId="0" fontId="24" fillId="22" borderId="29" applyNumberFormat="0" applyAlignment="0" applyProtection="0">
      <alignment vertical="center"/>
    </xf>
    <xf numFmtId="0" fontId="25" fillId="23" borderId="30" applyNumberFormat="0" applyAlignment="0" applyProtection="0">
      <alignment vertical="center"/>
    </xf>
    <xf numFmtId="0" fontId="26" fillId="23" borderId="29" applyNumberFormat="0" applyAlignment="0" applyProtection="0">
      <alignment vertical="center"/>
    </xf>
    <xf numFmtId="0" fontId="27" fillId="24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/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1" fillId="0" borderId="0"/>
    <xf numFmtId="0" fontId="1" fillId="0" borderId="0"/>
  </cellStyleXfs>
  <cellXfs count="18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0" borderId="0" xfId="0" applyFont="1"/>
    <xf numFmtId="178" fontId="0" fillId="0" borderId="0" xfId="0" applyNumberFormat="1"/>
    <xf numFmtId="0" fontId="2" fillId="3" borderId="1" xfId="0" applyFont="1" applyFill="1" applyBorder="1"/>
    <xf numFmtId="0" fontId="3" fillId="0" borderId="0" xfId="0" applyFont="1" applyAlignment="1">
      <alignment vertical="center"/>
    </xf>
    <xf numFmtId="0" fontId="1" fillId="0" borderId="0" xfId="49" applyAlignment="1">
      <alignment horizontal="center"/>
    </xf>
    <xf numFmtId="2" fontId="0" fillId="0" borderId="0" xfId="0" applyNumberFormat="1"/>
    <xf numFmtId="0" fontId="0" fillId="4" borderId="0" xfId="0" applyFill="1"/>
    <xf numFmtId="178" fontId="0" fillId="2" borderId="0" xfId="0" applyNumberFormat="1" applyFill="1"/>
    <xf numFmtId="2" fontId="0" fillId="2" borderId="0" xfId="0" applyNumberFormat="1" applyFill="1"/>
    <xf numFmtId="0" fontId="4" fillId="0" borderId="0" xfId="0" applyFont="1"/>
    <xf numFmtId="0" fontId="3" fillId="0" borderId="0" xfId="0" applyFont="1"/>
    <xf numFmtId="0" fontId="1" fillId="0" borderId="0" xfId="49"/>
    <xf numFmtId="0" fontId="5" fillId="0" borderId="1" xfId="49" applyFont="1" applyBorder="1"/>
    <xf numFmtId="0" fontId="0" fillId="3" borderId="1" xfId="0" applyFill="1" applyBorder="1"/>
    <xf numFmtId="178" fontId="0" fillId="3" borderId="0" xfId="0" applyNumberFormat="1" applyFill="1"/>
    <xf numFmtId="2" fontId="2" fillId="3" borderId="1" xfId="0" applyNumberFormat="1" applyFont="1" applyFill="1" applyBorder="1"/>
    <xf numFmtId="179" fontId="0" fillId="3" borderId="1" xfId="0" applyNumberFormat="1" applyFill="1" applyBorder="1"/>
    <xf numFmtId="0" fontId="4" fillId="3" borderId="0" xfId="0" applyFont="1" applyFill="1"/>
    <xf numFmtId="0" fontId="1" fillId="0" borderId="1" xfId="49" applyBorder="1" applyAlignment="1">
      <alignment horizontal="center" vertical="center"/>
    </xf>
    <xf numFmtId="0" fontId="1" fillId="0" borderId="1" xfId="49" applyBorder="1" applyAlignment="1">
      <alignment horizontal="center"/>
    </xf>
    <xf numFmtId="0" fontId="0" fillId="0" borderId="1" xfId="49" applyFont="1" applyBorder="1" applyAlignment="1">
      <alignment horizontal="center" vertical="center"/>
    </xf>
    <xf numFmtId="0" fontId="4" fillId="0" borderId="1" xfId="0" applyFont="1" applyBorder="1"/>
    <xf numFmtId="0" fontId="0" fillId="0" borderId="0" xfId="49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0" xfId="49" applyAlignment="1">
      <alignment horizontal="right"/>
    </xf>
    <xf numFmtId="0" fontId="0" fillId="5" borderId="0" xfId="0" applyFill="1"/>
    <xf numFmtId="0" fontId="1" fillId="5" borderId="0" xfId="49" applyFill="1"/>
    <xf numFmtId="0" fontId="6" fillId="6" borderId="0" xfId="0" applyFont="1" applyFill="1" applyAlignment="1">
      <alignment horizontal="center" vertical="center" shrinkToFit="1"/>
    </xf>
    <xf numFmtId="0" fontId="7" fillId="7" borderId="2" xfId="0" applyFont="1" applyFill="1" applyBorder="1" applyAlignment="1">
      <alignment vertical="center" shrinkToFit="1"/>
    </xf>
    <xf numFmtId="0" fontId="0" fillId="7" borderId="3" xfId="0" applyFill="1" applyBorder="1" applyAlignment="1">
      <alignment vertical="center" shrinkToFit="1"/>
    </xf>
    <xf numFmtId="0" fontId="0" fillId="7" borderId="4" xfId="0" applyFill="1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180" fontId="0" fillId="0" borderId="1" xfId="0" applyNumberFormat="1" applyBorder="1" applyAlignment="1">
      <alignment vertical="center" shrinkToFit="1"/>
    </xf>
    <xf numFmtId="1" fontId="0" fillId="0" borderId="0" xfId="0" applyNumberFormat="1"/>
    <xf numFmtId="181" fontId="0" fillId="0" borderId="0" xfId="0" applyNumberFormat="1"/>
    <xf numFmtId="9" fontId="0" fillId="0" borderId="0" xfId="3" applyFont="1"/>
    <xf numFmtId="0" fontId="0" fillId="0" borderId="2" xfId="0" applyBorder="1" applyAlignment="1">
      <alignment vertical="center" shrinkToFit="1"/>
    </xf>
    <xf numFmtId="0" fontId="0" fillId="0" borderId="7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9" fontId="0" fillId="0" borderId="1" xfId="3" applyFont="1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180" fontId="0" fillId="0" borderId="9" xfId="0" applyNumberFormat="1" applyBorder="1" applyAlignment="1">
      <alignment vertical="center" shrinkToFit="1"/>
    </xf>
    <xf numFmtId="180" fontId="0" fillId="0" borderId="8" xfId="0" applyNumberFormat="1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9" fontId="0" fillId="0" borderId="9" xfId="3" applyFont="1" applyBorder="1" applyAlignment="1">
      <alignment vertical="center" shrinkToFit="1"/>
    </xf>
    <xf numFmtId="178" fontId="0" fillId="8" borderId="0" xfId="0" applyNumberFormat="1" applyFill="1"/>
    <xf numFmtId="0" fontId="1" fillId="0" borderId="0" xfId="50"/>
    <xf numFmtId="0" fontId="8" fillId="0" borderId="11" xfId="13"/>
    <xf numFmtId="0" fontId="9" fillId="0" borderId="0" xfId="15"/>
    <xf numFmtId="0" fontId="9" fillId="0" borderId="12" xfId="14"/>
    <xf numFmtId="181" fontId="1" fillId="0" borderId="0" xfId="50" applyNumberFormat="1"/>
    <xf numFmtId="2" fontId="1" fillId="0" borderId="0" xfId="50" applyNumberFormat="1"/>
    <xf numFmtId="0" fontId="10" fillId="0" borderId="0" xfId="50" applyFont="1"/>
    <xf numFmtId="0" fontId="11" fillId="9" borderId="10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2" fillId="10" borderId="0" xfId="24" applyBorder="1" applyAlignment="1">
      <alignment horizontal="left" vertical="center"/>
    </xf>
    <xf numFmtId="0" fontId="11" fillId="9" borderId="0" xfId="0" applyFont="1" applyFill="1" applyAlignment="1">
      <alignment horizontal="left" vertical="center" wrapText="1"/>
    </xf>
    <xf numFmtId="0" fontId="11" fillId="9" borderId="15" xfId="0" applyFont="1" applyFill="1" applyBorder="1" applyAlignment="1">
      <alignment horizontal="left" vertical="center" wrapText="1"/>
    </xf>
    <xf numFmtId="0" fontId="11" fillId="9" borderId="16" xfId="0" applyFont="1" applyFill="1" applyBorder="1" applyAlignment="1">
      <alignment horizontal="left" vertical="center" wrapText="1"/>
    </xf>
    <xf numFmtId="0" fontId="11" fillId="9" borderId="17" xfId="0" applyFont="1" applyFill="1" applyBorder="1" applyAlignment="1">
      <alignment horizontal="left" vertical="center" wrapText="1"/>
    </xf>
    <xf numFmtId="0" fontId="11" fillId="9" borderId="18" xfId="0" applyFont="1" applyFill="1" applyBorder="1" applyAlignment="1">
      <alignment horizontal="left" vertical="center" wrapText="1"/>
    </xf>
    <xf numFmtId="0" fontId="11" fillId="9" borderId="19" xfId="0" applyFont="1" applyFill="1" applyBorder="1" applyAlignment="1">
      <alignment horizontal="center" vertical="center"/>
    </xf>
    <xf numFmtId="0" fontId="13" fillId="11" borderId="0" xfId="0" applyFont="1" applyFill="1" applyAlignment="1">
      <alignment vertical="center"/>
    </xf>
    <xf numFmtId="181" fontId="13" fillId="11" borderId="15" xfId="0" applyNumberFormat="1" applyFont="1" applyFill="1" applyBorder="1" applyAlignment="1">
      <alignment vertical="center"/>
    </xf>
    <xf numFmtId="181" fontId="13" fillId="11" borderId="0" xfId="0" applyNumberFormat="1" applyFont="1" applyFill="1" applyAlignment="1">
      <alignment vertical="center"/>
    </xf>
    <xf numFmtId="181" fontId="13" fillId="11" borderId="16" xfId="0" applyNumberFormat="1" applyFont="1" applyFill="1" applyBorder="1" applyAlignment="1">
      <alignment vertical="center"/>
    </xf>
    <xf numFmtId="2" fontId="13" fillId="11" borderId="0" xfId="0" applyNumberFormat="1" applyFont="1" applyFill="1" applyAlignment="1">
      <alignment vertical="center"/>
    </xf>
    <xf numFmtId="2" fontId="13" fillId="11" borderId="17" xfId="0" applyNumberFormat="1" applyFont="1" applyFill="1" applyBorder="1" applyAlignment="1">
      <alignment vertical="center"/>
    </xf>
    <xf numFmtId="2" fontId="13" fillId="11" borderId="18" xfId="0" applyNumberFormat="1" applyFont="1" applyFill="1" applyBorder="1" applyAlignment="1">
      <alignment vertical="center"/>
    </xf>
    <xf numFmtId="0" fontId="13" fillId="11" borderId="19" xfId="0" applyFont="1" applyFill="1" applyBorder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3" fillId="12" borderId="0" xfId="0" applyFont="1" applyFill="1" applyAlignment="1">
      <alignment vertical="center"/>
    </xf>
    <xf numFmtId="181" fontId="13" fillId="12" borderId="15" xfId="0" applyNumberFormat="1" applyFont="1" applyFill="1" applyBorder="1" applyAlignment="1">
      <alignment vertical="center"/>
    </xf>
    <xf numFmtId="181" fontId="13" fillId="12" borderId="0" xfId="0" applyNumberFormat="1" applyFont="1" applyFill="1" applyAlignment="1">
      <alignment vertical="center"/>
    </xf>
    <xf numFmtId="181" fontId="13" fillId="12" borderId="16" xfId="0" applyNumberFormat="1" applyFont="1" applyFill="1" applyBorder="1" applyAlignment="1">
      <alignment vertical="center"/>
    </xf>
    <xf numFmtId="2" fontId="13" fillId="12" borderId="0" xfId="0" applyNumberFormat="1" applyFont="1" applyFill="1" applyAlignment="1">
      <alignment vertical="center"/>
    </xf>
    <xf numFmtId="2" fontId="13" fillId="12" borderId="17" xfId="0" applyNumberFormat="1" applyFont="1" applyFill="1" applyBorder="1" applyAlignment="1">
      <alignment vertical="center"/>
    </xf>
    <xf numFmtId="2" fontId="13" fillId="12" borderId="18" xfId="0" applyNumberFormat="1" applyFont="1" applyFill="1" applyBorder="1" applyAlignment="1">
      <alignment vertical="center"/>
    </xf>
    <xf numFmtId="0" fontId="13" fillId="12" borderId="19" xfId="0" applyFont="1" applyFill="1" applyBorder="1" applyAlignment="1">
      <alignment horizontal="left" vertical="center"/>
    </xf>
    <xf numFmtId="0" fontId="13" fillId="12" borderId="0" xfId="0" applyFont="1" applyFill="1" applyAlignment="1">
      <alignment horizontal="left" vertical="center"/>
    </xf>
    <xf numFmtId="1" fontId="13" fillId="12" borderId="0" xfId="0" applyNumberFormat="1" applyFont="1" applyFill="1" applyAlignment="1">
      <alignment vertical="center"/>
    </xf>
    <xf numFmtId="1" fontId="13" fillId="11" borderId="0" xfId="0" applyNumberFormat="1" applyFont="1" applyFill="1" applyAlignment="1">
      <alignment vertical="center"/>
    </xf>
    <xf numFmtId="0" fontId="14" fillId="13" borderId="0" xfId="0" applyFont="1" applyFill="1" applyAlignment="1">
      <alignment vertical="center"/>
    </xf>
    <xf numFmtId="181" fontId="14" fillId="13" borderId="15" xfId="0" applyNumberFormat="1" applyFont="1" applyFill="1" applyBorder="1" applyAlignment="1">
      <alignment vertical="center"/>
    </xf>
    <xf numFmtId="181" fontId="14" fillId="13" borderId="0" xfId="0" applyNumberFormat="1" applyFont="1" applyFill="1" applyAlignment="1">
      <alignment vertical="center"/>
    </xf>
    <xf numFmtId="181" fontId="14" fillId="13" borderId="16" xfId="0" applyNumberFormat="1" applyFont="1" applyFill="1" applyBorder="1" applyAlignment="1">
      <alignment vertical="center"/>
    </xf>
    <xf numFmtId="182" fontId="14" fillId="13" borderId="15" xfId="0" applyNumberFormat="1" applyFont="1" applyFill="1" applyBorder="1" applyAlignment="1">
      <alignment vertical="center"/>
    </xf>
    <xf numFmtId="182" fontId="14" fillId="13" borderId="0" xfId="0" applyNumberFormat="1" applyFont="1" applyFill="1" applyAlignment="1">
      <alignment vertical="center"/>
    </xf>
    <xf numFmtId="182" fontId="14" fillId="13" borderId="17" xfId="0" applyNumberFormat="1" applyFont="1" applyFill="1" applyBorder="1" applyAlignment="1">
      <alignment vertical="center"/>
    </xf>
    <xf numFmtId="182" fontId="14" fillId="13" borderId="18" xfId="0" applyNumberFormat="1" applyFont="1" applyFill="1" applyBorder="1" applyAlignment="1">
      <alignment vertical="center"/>
    </xf>
    <xf numFmtId="0" fontId="14" fillId="13" borderId="19" xfId="0" applyFont="1" applyFill="1" applyBorder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13" fillId="14" borderId="0" xfId="0" applyFont="1" applyFill="1" applyAlignment="1">
      <alignment vertical="center"/>
    </xf>
    <xf numFmtId="181" fontId="13" fillId="14" borderId="15" xfId="0" applyNumberFormat="1" applyFont="1" applyFill="1" applyBorder="1" applyAlignment="1">
      <alignment vertical="center"/>
    </xf>
    <xf numFmtId="181" fontId="13" fillId="14" borderId="0" xfId="0" applyNumberFormat="1" applyFont="1" applyFill="1" applyAlignment="1">
      <alignment vertical="center"/>
    </xf>
    <xf numFmtId="181" fontId="13" fillId="14" borderId="16" xfId="0" applyNumberFormat="1" applyFont="1" applyFill="1" applyBorder="1" applyAlignment="1">
      <alignment vertical="center"/>
    </xf>
    <xf numFmtId="182" fontId="13" fillId="14" borderId="15" xfId="0" applyNumberFormat="1" applyFont="1" applyFill="1" applyBorder="1" applyAlignment="1">
      <alignment vertical="center"/>
    </xf>
    <xf numFmtId="182" fontId="13" fillId="14" borderId="0" xfId="0" applyNumberFormat="1" applyFont="1" applyFill="1" applyAlignment="1">
      <alignment vertical="center"/>
    </xf>
    <xf numFmtId="182" fontId="13" fillId="14" borderId="17" xfId="0" applyNumberFormat="1" applyFont="1" applyFill="1" applyBorder="1" applyAlignment="1">
      <alignment vertical="center"/>
    </xf>
    <xf numFmtId="182" fontId="13" fillId="14" borderId="18" xfId="0" applyNumberFormat="1" applyFont="1" applyFill="1" applyBorder="1" applyAlignment="1">
      <alignment vertical="center"/>
    </xf>
    <xf numFmtId="0" fontId="13" fillId="14" borderId="19" xfId="0" applyFont="1" applyFill="1" applyBorder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13" fillId="15" borderId="0" xfId="0" applyFont="1" applyFill="1" applyAlignment="1">
      <alignment vertical="center"/>
    </xf>
    <xf numFmtId="181" fontId="13" fillId="15" borderId="15" xfId="0" applyNumberFormat="1" applyFont="1" applyFill="1" applyBorder="1" applyAlignment="1">
      <alignment vertical="center"/>
    </xf>
    <xf numFmtId="181" fontId="13" fillId="15" borderId="0" xfId="0" applyNumberFormat="1" applyFont="1" applyFill="1" applyAlignment="1">
      <alignment vertical="center"/>
    </xf>
    <xf numFmtId="181" fontId="13" fillId="15" borderId="16" xfId="0" applyNumberFormat="1" applyFont="1" applyFill="1" applyBorder="1" applyAlignment="1">
      <alignment vertical="center"/>
    </xf>
    <xf numFmtId="182" fontId="13" fillId="15" borderId="15" xfId="0" applyNumberFormat="1" applyFont="1" applyFill="1" applyBorder="1" applyAlignment="1">
      <alignment vertical="center"/>
    </xf>
    <xf numFmtId="182" fontId="13" fillId="15" borderId="0" xfId="0" applyNumberFormat="1" applyFont="1" applyFill="1" applyAlignment="1">
      <alignment vertical="center"/>
    </xf>
    <xf numFmtId="182" fontId="13" fillId="15" borderId="17" xfId="0" applyNumberFormat="1" applyFont="1" applyFill="1" applyBorder="1" applyAlignment="1">
      <alignment vertical="center"/>
    </xf>
    <xf numFmtId="182" fontId="13" fillId="15" borderId="18" xfId="0" applyNumberFormat="1" applyFont="1" applyFill="1" applyBorder="1" applyAlignment="1">
      <alignment vertical="center"/>
    </xf>
    <xf numFmtId="0" fontId="13" fillId="15" borderId="19" xfId="0" applyFont="1" applyFill="1" applyBorder="1" applyAlignment="1">
      <alignment horizontal="left" vertical="center"/>
    </xf>
    <xf numFmtId="0" fontId="13" fillId="15" borderId="0" xfId="0" applyFont="1" applyFill="1" applyAlignment="1">
      <alignment horizontal="left" vertical="center"/>
    </xf>
    <xf numFmtId="0" fontId="13" fillId="16" borderId="10" xfId="0" applyFont="1" applyFill="1" applyBorder="1" applyAlignment="1">
      <alignment vertical="center"/>
    </xf>
    <xf numFmtId="181" fontId="13" fillId="16" borderId="13" xfId="0" applyNumberFormat="1" applyFont="1" applyFill="1" applyBorder="1" applyAlignment="1">
      <alignment vertical="center"/>
    </xf>
    <xf numFmtId="181" fontId="13" fillId="16" borderId="10" xfId="0" applyNumberFormat="1" applyFont="1" applyFill="1" applyBorder="1" applyAlignment="1">
      <alignment vertical="center"/>
    </xf>
    <xf numFmtId="181" fontId="13" fillId="16" borderId="14" xfId="0" applyNumberFormat="1" applyFont="1" applyFill="1" applyBorder="1" applyAlignment="1">
      <alignment vertical="center"/>
    </xf>
    <xf numFmtId="182" fontId="14" fillId="16" borderId="13" xfId="0" applyNumberFormat="1" applyFont="1" applyFill="1" applyBorder="1" applyAlignment="1">
      <alignment vertical="center"/>
    </xf>
    <xf numFmtId="182" fontId="14" fillId="16" borderId="10" xfId="0" applyNumberFormat="1" applyFont="1" applyFill="1" applyBorder="1" applyAlignment="1">
      <alignment vertical="center"/>
    </xf>
    <xf numFmtId="182" fontId="14" fillId="16" borderId="20" xfId="0" applyNumberFormat="1" applyFont="1" applyFill="1" applyBorder="1" applyAlignment="1">
      <alignment vertical="center"/>
    </xf>
    <xf numFmtId="182" fontId="14" fillId="16" borderId="21" xfId="0" applyNumberFormat="1" applyFont="1" applyFill="1" applyBorder="1" applyAlignment="1">
      <alignment vertical="center"/>
    </xf>
    <xf numFmtId="0" fontId="13" fillId="16" borderId="7" xfId="0" applyFont="1" applyFill="1" applyBorder="1" applyAlignment="1">
      <alignment horizontal="left" vertical="center"/>
    </xf>
    <xf numFmtId="0" fontId="13" fillId="16" borderId="0" xfId="0" applyFont="1" applyFill="1" applyAlignment="1">
      <alignment horizontal="left" vertical="center"/>
    </xf>
    <xf numFmtId="0" fontId="13" fillId="17" borderId="0" xfId="0" applyFont="1" applyFill="1" applyAlignment="1">
      <alignment vertical="center"/>
    </xf>
    <xf numFmtId="0" fontId="13" fillId="18" borderId="0" xfId="0" applyFont="1" applyFill="1" applyAlignment="1">
      <alignment vertical="center"/>
    </xf>
    <xf numFmtId="181" fontId="13" fillId="18" borderId="15" xfId="0" applyNumberFormat="1" applyFont="1" applyFill="1" applyBorder="1" applyAlignment="1">
      <alignment vertical="center"/>
    </xf>
    <xf numFmtId="181" fontId="13" fillId="18" borderId="0" xfId="0" applyNumberFormat="1" applyFont="1" applyFill="1" applyAlignment="1">
      <alignment vertical="center"/>
    </xf>
    <xf numFmtId="181" fontId="13" fillId="18" borderId="16" xfId="0" applyNumberFormat="1" applyFont="1" applyFill="1" applyBorder="1" applyAlignment="1">
      <alignment vertical="center"/>
    </xf>
    <xf numFmtId="182" fontId="14" fillId="18" borderId="15" xfId="0" applyNumberFormat="1" applyFont="1" applyFill="1" applyBorder="1" applyAlignment="1">
      <alignment vertical="center"/>
    </xf>
    <xf numFmtId="182" fontId="14" fillId="18" borderId="0" xfId="0" applyNumberFormat="1" applyFont="1" applyFill="1" applyAlignment="1">
      <alignment vertical="center"/>
    </xf>
    <xf numFmtId="182" fontId="14" fillId="18" borderId="17" xfId="0" applyNumberFormat="1" applyFont="1" applyFill="1" applyBorder="1" applyAlignment="1">
      <alignment vertical="center"/>
    </xf>
    <xf numFmtId="182" fontId="14" fillId="18" borderId="18" xfId="0" applyNumberFormat="1" applyFont="1" applyFill="1" applyBorder="1" applyAlignment="1">
      <alignment vertical="center"/>
    </xf>
    <xf numFmtId="0" fontId="13" fillId="17" borderId="19" xfId="0" applyFont="1" applyFill="1" applyBorder="1" applyAlignment="1">
      <alignment horizontal="left" vertical="center"/>
    </xf>
    <xf numFmtId="0" fontId="13" fillId="17" borderId="0" xfId="0" applyFont="1" applyFill="1" applyAlignment="1">
      <alignment horizontal="left" vertical="center"/>
    </xf>
    <xf numFmtId="0" fontId="13" fillId="16" borderId="22" xfId="0" applyFont="1" applyFill="1" applyBorder="1" applyAlignment="1">
      <alignment vertical="center"/>
    </xf>
    <xf numFmtId="181" fontId="13" fillId="16" borderId="23" xfId="0" applyNumberFormat="1" applyFont="1" applyFill="1" applyBorder="1" applyAlignment="1">
      <alignment vertical="center"/>
    </xf>
    <xf numFmtId="181" fontId="13" fillId="16" borderId="22" xfId="0" applyNumberFormat="1" applyFont="1" applyFill="1" applyBorder="1" applyAlignment="1">
      <alignment vertical="center"/>
    </xf>
    <xf numFmtId="181" fontId="13" fillId="16" borderId="24" xfId="0" applyNumberFormat="1" applyFont="1" applyFill="1" applyBorder="1" applyAlignment="1">
      <alignment vertical="center"/>
    </xf>
    <xf numFmtId="182" fontId="14" fillId="16" borderId="23" xfId="0" applyNumberFormat="1" applyFont="1" applyFill="1" applyBorder="1" applyAlignment="1">
      <alignment vertical="center"/>
    </xf>
    <xf numFmtId="182" fontId="14" fillId="16" borderId="22" xfId="0" applyNumberFormat="1" applyFont="1" applyFill="1" applyBorder="1" applyAlignment="1">
      <alignment vertical="center"/>
    </xf>
    <xf numFmtId="182" fontId="14" fillId="16" borderId="25" xfId="0" applyNumberFormat="1" applyFont="1" applyFill="1" applyBorder="1" applyAlignment="1">
      <alignment vertical="center"/>
    </xf>
    <xf numFmtId="182" fontId="14" fillId="16" borderId="26" xfId="0" applyNumberFormat="1" applyFont="1" applyFill="1" applyBorder="1" applyAlignment="1">
      <alignment vertical="center"/>
    </xf>
    <xf numFmtId="0" fontId="13" fillId="16" borderId="6" xfId="0" applyFont="1" applyFill="1" applyBorder="1" applyAlignment="1">
      <alignment horizontal="left" vertical="center"/>
    </xf>
    <xf numFmtId="1" fontId="13" fillId="19" borderId="0" xfId="0" applyNumberFormat="1" applyFont="1" applyFill="1" applyAlignment="1">
      <alignment vertical="center"/>
    </xf>
    <xf numFmtId="181" fontId="13" fillId="19" borderId="15" xfId="0" applyNumberFormat="1" applyFont="1" applyFill="1" applyBorder="1" applyAlignment="1">
      <alignment vertical="center"/>
    </xf>
    <xf numFmtId="181" fontId="13" fillId="19" borderId="0" xfId="0" applyNumberFormat="1" applyFont="1" applyFill="1" applyAlignment="1">
      <alignment vertical="center"/>
    </xf>
    <xf numFmtId="181" fontId="13" fillId="19" borderId="16" xfId="0" applyNumberFormat="1" applyFont="1" applyFill="1" applyBorder="1" applyAlignment="1">
      <alignment vertical="center"/>
    </xf>
    <xf numFmtId="182" fontId="13" fillId="19" borderId="15" xfId="0" applyNumberFormat="1" applyFont="1" applyFill="1" applyBorder="1" applyAlignment="1">
      <alignment vertical="center"/>
    </xf>
    <xf numFmtId="182" fontId="13" fillId="19" borderId="0" xfId="0" applyNumberFormat="1" applyFont="1" applyFill="1" applyAlignment="1">
      <alignment vertical="center"/>
    </xf>
    <xf numFmtId="182" fontId="13" fillId="19" borderId="17" xfId="0" applyNumberFormat="1" applyFont="1" applyFill="1" applyBorder="1" applyAlignment="1">
      <alignment vertical="center"/>
    </xf>
    <xf numFmtId="182" fontId="13" fillId="19" borderId="18" xfId="0" applyNumberFormat="1" applyFont="1" applyFill="1" applyBorder="1" applyAlignment="1">
      <alignment vertical="center"/>
    </xf>
    <xf numFmtId="0" fontId="13" fillId="19" borderId="19" xfId="0" applyFont="1" applyFill="1" applyBorder="1" applyAlignment="1">
      <alignment horizontal="left" vertical="center"/>
    </xf>
    <xf numFmtId="0" fontId="13" fillId="19" borderId="0" xfId="0" applyFont="1" applyFill="1" applyAlignment="1">
      <alignment horizontal="left" vertical="center"/>
    </xf>
    <xf numFmtId="1" fontId="13" fillId="20" borderId="0" xfId="0" applyNumberFormat="1" applyFont="1" applyFill="1" applyAlignment="1">
      <alignment vertical="center"/>
    </xf>
    <xf numFmtId="181" fontId="13" fillId="20" borderId="15" xfId="0" applyNumberFormat="1" applyFont="1" applyFill="1" applyBorder="1" applyAlignment="1">
      <alignment vertical="center"/>
    </xf>
    <xf numFmtId="181" fontId="13" fillId="20" borderId="0" xfId="0" applyNumberFormat="1" applyFont="1" applyFill="1" applyAlignment="1">
      <alignment vertical="center"/>
    </xf>
    <xf numFmtId="181" fontId="13" fillId="20" borderId="16" xfId="0" applyNumberFormat="1" applyFont="1" applyFill="1" applyBorder="1" applyAlignment="1">
      <alignment vertical="center"/>
    </xf>
    <xf numFmtId="182" fontId="13" fillId="20" borderId="15" xfId="0" applyNumberFormat="1" applyFont="1" applyFill="1" applyBorder="1" applyAlignment="1">
      <alignment vertical="center"/>
    </xf>
    <xf numFmtId="182" fontId="13" fillId="20" borderId="0" xfId="0" applyNumberFormat="1" applyFont="1" applyFill="1" applyAlignment="1">
      <alignment vertical="center"/>
    </xf>
    <xf numFmtId="182" fontId="13" fillId="20" borderId="17" xfId="0" applyNumberFormat="1" applyFont="1" applyFill="1" applyBorder="1" applyAlignment="1">
      <alignment vertical="center"/>
    </xf>
    <xf numFmtId="182" fontId="13" fillId="20" borderId="18" xfId="0" applyNumberFormat="1" applyFont="1" applyFill="1" applyBorder="1" applyAlignment="1">
      <alignment vertical="center"/>
    </xf>
    <xf numFmtId="0" fontId="13" fillId="20" borderId="19" xfId="0" applyFont="1" applyFill="1" applyBorder="1" applyAlignment="1">
      <alignment horizontal="left" vertical="center"/>
    </xf>
    <xf numFmtId="0" fontId="13" fillId="20" borderId="0" xfId="0" applyFont="1" applyFill="1" applyAlignment="1">
      <alignment horizontal="left" vertical="center"/>
    </xf>
    <xf numFmtId="0" fontId="13" fillId="19" borderId="22" xfId="0" applyFont="1" applyFill="1" applyBorder="1" applyAlignment="1">
      <alignment vertical="center"/>
    </xf>
    <xf numFmtId="181" fontId="13" fillId="19" borderId="23" xfId="0" applyNumberFormat="1" applyFont="1" applyFill="1" applyBorder="1" applyAlignment="1">
      <alignment vertical="center"/>
    </xf>
    <xf numFmtId="181" fontId="13" fillId="19" borderId="22" xfId="0" applyNumberFormat="1" applyFont="1" applyFill="1" applyBorder="1" applyAlignment="1">
      <alignment vertical="center"/>
    </xf>
    <xf numFmtId="181" fontId="13" fillId="19" borderId="24" xfId="0" applyNumberFormat="1" applyFont="1" applyFill="1" applyBorder="1" applyAlignment="1">
      <alignment vertical="center"/>
    </xf>
    <xf numFmtId="182" fontId="13" fillId="19" borderId="23" xfId="0" applyNumberFormat="1" applyFont="1" applyFill="1" applyBorder="1" applyAlignment="1">
      <alignment vertical="center"/>
    </xf>
    <xf numFmtId="182" fontId="13" fillId="19" borderId="22" xfId="0" applyNumberFormat="1" applyFont="1" applyFill="1" applyBorder="1" applyAlignment="1">
      <alignment vertical="center"/>
    </xf>
    <xf numFmtId="182" fontId="13" fillId="19" borderId="25" xfId="0" applyNumberFormat="1" applyFont="1" applyFill="1" applyBorder="1" applyAlignment="1">
      <alignment vertical="center"/>
    </xf>
    <xf numFmtId="182" fontId="13" fillId="19" borderId="26" xfId="0" applyNumberFormat="1" applyFont="1" applyFill="1" applyBorder="1" applyAlignment="1">
      <alignment vertical="center"/>
    </xf>
    <xf numFmtId="0" fontId="13" fillId="19" borderId="6" xfId="0" applyFont="1" applyFill="1" applyBorder="1" applyAlignment="1">
      <alignment horizontal="left" vertical="center"/>
    </xf>
    <xf numFmtId="0" fontId="15" fillId="0" borderId="0" xfId="0" applyFont="1"/>
    <xf numFmtId="2" fontId="16" fillId="0" borderId="0" xfId="0" applyNumberFormat="1" applyFont="1"/>
    <xf numFmtId="0" fontId="17" fillId="0" borderId="0" xfId="0" applyFont="1"/>
    <xf numFmtId="1" fontId="17" fillId="0" borderId="0" xfId="0" applyNumberFormat="1" applyFont="1"/>
    <xf numFmtId="2" fontId="17" fillId="0" borderId="0" xfId="0" applyNumberFormat="1" applyFo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AGE\saic_technology\ResCOM\New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MARYSE~1\LOCALS~1\Temp\Temporary%20Directory%202%20for%20EFDA_TMPL_nov5.zip\SubRes_Tmpl\TMPL_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TMPL_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Veda\Veda\Veda_models\KiNESYS-S100_DTC\SubRes_Tmpl\SubRES_H2-Production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VEDA\Veda\Veda_models\Tiam_framework_Kapsarc\SubRes_Tmpl\SubRES_H2-Production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xli9\Downloads\SubRES_Trans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2 transport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iscuss_log"/>
      <sheetName val="Cover"/>
      <sheetName val="Small_cars"/>
      <sheetName val="Large_cars"/>
      <sheetName val="Medium_cars"/>
      <sheetName val="LCVs"/>
      <sheetName val="Hdt"/>
      <sheetName val="2-3wheelers"/>
      <sheetName val="Bus_coach"/>
      <sheetName val="Critical_materials"/>
      <sheetName val="Repurposed_Bat_AuxStout"/>
      <sheetName val="R_strategies_n_GridBattery"/>
      <sheetName val="R_strategies_RecycledEV_batt"/>
      <sheetName val="EnergyUseFromEverBatt_Min_"/>
      <sheetName val="Recyc_energy_use_Anna__SAME"/>
      <sheetName val="Recyc_energy_use_Anna_15per_mor"/>
      <sheetName val="Recyc_energy_use_Anna_15less"/>
      <sheetName val="LIB mass distribution"/>
      <sheetName val="HGVs&lt;16t"/>
      <sheetName val="HGVs&gt;16t"/>
      <sheetName val="Aviation"/>
      <sheetName val="Rail"/>
      <sheetName val="Inland_navigation"/>
      <sheetName val="Maritime"/>
      <sheetName val="Infra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W6">
            <v>0.0473</v>
          </cell>
        </row>
        <row r="7">
          <cell r="AW7">
            <v>0.171166666666667</v>
          </cell>
        </row>
        <row r="8">
          <cell r="AW8">
            <v>0.466366666666667</v>
          </cell>
        </row>
        <row r="9">
          <cell r="AW9">
            <v>0.0956666666666667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P7"/>
  <sheetViews>
    <sheetView topLeftCell="G1" workbookViewId="0">
      <selection activeCell="I20" sqref="I20"/>
    </sheetView>
  </sheetViews>
  <sheetFormatPr defaultColWidth="9" defaultRowHeight="14.5" outlineLevelRow="6"/>
  <cols>
    <col min="2" max="2" width="11.8636363636364" customWidth="1"/>
    <col min="3" max="3" width="9.4" customWidth="1"/>
    <col min="4" max="4" width="15.2636363636364" customWidth="1"/>
    <col min="5" max="5" width="4" customWidth="1"/>
    <col min="6" max="6" width="6.4" customWidth="1"/>
    <col min="7" max="7" width="8.26363636363636" customWidth="1"/>
    <col min="9" max="9" width="11.2636363636364" customWidth="1"/>
    <col min="10" max="10" width="11.8636363636364" customWidth="1"/>
    <col min="11" max="11" width="20.6" customWidth="1"/>
    <col min="12" max="12" width="8.6" customWidth="1"/>
    <col min="13" max="13" width="4.6" customWidth="1"/>
    <col min="14" max="14" width="5.26363636363636" customWidth="1"/>
    <col min="15" max="15" width="10.2636363636364" customWidth="1"/>
    <col min="16" max="16" width="7.86363636363636" customWidth="1"/>
  </cols>
  <sheetData>
    <row r="3" spans="2:16">
      <c r="D3" t="s">
        <v>0</v>
      </c>
      <c r="I3" s="5" t="s">
        <v>1</v>
      </c>
      <c r="J3" s="5"/>
      <c r="K3" s="5"/>
      <c r="L3" s="5"/>
      <c r="M3" s="5"/>
      <c r="N3" s="5"/>
      <c r="O3" s="5"/>
      <c r="P3" s="5"/>
    </row>
    <row r="4" spans="2:16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I4" s="5" t="s">
        <v>8</v>
      </c>
      <c r="J4" s="5" t="s">
        <v>2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  <c r="P4" s="5" t="s">
        <v>14</v>
      </c>
    </row>
    <row r="5" spans="2:16">
      <c r="B5" t="s">
        <v>15</v>
      </c>
      <c r="C5" t="s">
        <v>16</v>
      </c>
      <c r="D5" t="str">
        <f>C5</f>
        <v>HH2</v>
      </c>
      <c r="G5">
        <v>0.9</v>
      </c>
      <c r="I5" t="s">
        <v>17</v>
      </c>
      <c r="J5" s="5" t="str">
        <f t="shared" ref="J5" si="0">B5</f>
        <v>H2_STG</v>
      </c>
      <c r="K5" s="5" t="s">
        <v>18</v>
      </c>
      <c r="L5" s="5" t="s">
        <v>19</v>
      </c>
      <c r="M5" s="5" t="s">
        <v>20</v>
      </c>
      <c r="N5" s="5" t="s">
        <v>21</v>
      </c>
    </row>
    <row r="6" spans="2:16">
      <c r="B6" t="s">
        <v>22</v>
      </c>
      <c r="C6" t="s">
        <v>23</v>
      </c>
      <c r="D6" t="str">
        <f>C6</f>
        <v>GASNGA</v>
      </c>
      <c r="G6">
        <v>0.95</v>
      </c>
      <c r="I6" t="s">
        <v>17</v>
      </c>
      <c r="J6" s="5" t="str">
        <f t="shared" ref="J6:J7" si="1">B6</f>
        <v>NGA_STG</v>
      </c>
      <c r="K6" s="5" t="s">
        <v>24</v>
      </c>
      <c r="L6" s="5" t="s">
        <v>25</v>
      </c>
      <c r="M6" s="5" t="s">
        <v>20</v>
      </c>
      <c r="N6" s="5" t="s">
        <v>21</v>
      </c>
    </row>
    <row r="7" spans="2:16">
      <c r="B7" t="s">
        <v>26</v>
      </c>
      <c r="C7" t="s">
        <v>27</v>
      </c>
      <c r="D7" t="str">
        <f>C7</f>
        <v>GASLNG</v>
      </c>
      <c r="G7">
        <v>0.95</v>
      </c>
      <c r="I7" t="s">
        <v>17</v>
      </c>
      <c r="J7" s="5" t="str">
        <f t="shared" si="1"/>
        <v>LNG_STG</v>
      </c>
      <c r="K7" s="5" t="s">
        <v>28</v>
      </c>
      <c r="L7" s="5" t="s">
        <v>25</v>
      </c>
      <c r="M7" s="5" t="s">
        <v>20</v>
      </c>
      <c r="N7" s="5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"/>
  <sheetViews>
    <sheetView zoomScale="51" zoomScaleNormal="51" topLeftCell="K1" workbookViewId="0">
      <selection activeCell="E43" sqref="E43"/>
    </sheetView>
  </sheetViews>
  <sheetFormatPr defaultColWidth="9" defaultRowHeight="14.5"/>
  <cols>
    <col min="1" max="2" width="11.1363636363636" customWidth="1"/>
    <col min="3" max="5" width="14" customWidth="1"/>
    <col min="6" max="8" width="11.8636363636364" customWidth="1"/>
    <col min="9" max="9" width="20.2636363636364" customWidth="1"/>
    <col min="10" max="10" width="15.6" customWidth="1"/>
    <col min="11" max="11" width="20.2636363636364" customWidth="1"/>
    <col min="12" max="12" width="15.6" customWidth="1"/>
    <col min="13" max="13" width="20.2636363636364" customWidth="1"/>
    <col min="14" max="14" width="15.6" customWidth="1"/>
    <col min="15" max="15" width="18.8636363636364" customWidth="1"/>
    <col min="16" max="16" width="4.4" customWidth="1"/>
    <col min="17" max="17" width="8.13636363636364" customWidth="1"/>
    <col min="20" max="20" width="18.1363636363636" customWidth="1"/>
    <col min="21" max="21" width="24" customWidth="1"/>
    <col min="22" max="22" width="4.6" customWidth="1"/>
    <col min="23" max="23" width="4.13636363636364" customWidth="1"/>
    <col min="24" max="24" width="7.72727272727273" customWidth="1"/>
    <col min="25" max="25" width="7.13636363636364" customWidth="1"/>
  </cols>
  <sheetData>
    <row r="1" ht="33.75" customHeight="1" spans="1:20">
      <c r="A1" t="s">
        <v>29</v>
      </c>
      <c r="C1" s="59" t="s">
        <v>30</v>
      </c>
      <c r="D1" s="59"/>
      <c r="E1" s="59"/>
      <c r="F1" s="60" t="s">
        <v>31</v>
      </c>
      <c r="G1" s="59"/>
      <c r="H1" s="61"/>
      <c r="I1" s="59" t="s">
        <v>32</v>
      </c>
      <c r="J1" s="59"/>
      <c r="K1" s="59"/>
      <c r="L1" s="59"/>
      <c r="M1" s="59"/>
      <c r="N1" s="59"/>
      <c r="O1" s="62" t="s">
        <v>33</v>
      </c>
      <c r="P1" s="63"/>
      <c r="Q1" s="63"/>
      <c r="S1" t="s">
        <v>34</v>
      </c>
      <c r="T1" t="s">
        <v>35</v>
      </c>
    </row>
    <row r="2" spans="1:20">
      <c r="C2" s="64" t="s">
        <v>36</v>
      </c>
      <c r="D2" s="64" t="s">
        <v>36</v>
      </c>
      <c r="E2" s="64" t="s">
        <v>36</v>
      </c>
      <c r="F2" s="64" t="s">
        <v>37</v>
      </c>
      <c r="G2" s="64" t="s">
        <v>37</v>
      </c>
      <c r="H2" s="64" t="s">
        <v>37</v>
      </c>
      <c r="I2" s="64" t="s">
        <v>38</v>
      </c>
      <c r="J2" s="64" t="s">
        <v>39</v>
      </c>
      <c r="K2" s="64" t="str">
        <f>I2</f>
        <v>input~GASNGA</v>
      </c>
      <c r="L2" s="64" t="str">
        <f>J2</f>
        <v>input~ELC_gc</v>
      </c>
      <c r="M2" s="64" t="str">
        <f>K2</f>
        <v>input~GASNGA</v>
      </c>
      <c r="N2" s="64" t="str">
        <f>L2</f>
        <v>input~ELC_gc</v>
      </c>
      <c r="O2" s="63"/>
      <c r="P2" s="63"/>
      <c r="Q2" s="63"/>
    </row>
    <row r="3" spans="1:20">
      <c r="C3" s="64">
        <v>2020</v>
      </c>
      <c r="D3" s="64">
        <v>2030</v>
      </c>
      <c r="E3" s="64">
        <v>2050</v>
      </c>
      <c r="F3" s="64">
        <f>C3</f>
        <v>2020</v>
      </c>
      <c r="G3" s="64">
        <f t="shared" ref="G3:H3" si="0">D3</f>
        <v>2030</v>
      </c>
      <c r="H3" s="64">
        <f t="shared" si="0"/>
        <v>2050</v>
      </c>
      <c r="I3" s="64">
        <v>2015</v>
      </c>
      <c r="J3" s="64">
        <v>2015</v>
      </c>
      <c r="K3" s="64">
        <v>2030</v>
      </c>
      <c r="L3" s="64">
        <v>2030</v>
      </c>
      <c r="M3" s="64">
        <v>2050</v>
      </c>
      <c r="N3" s="64">
        <v>2050</v>
      </c>
      <c r="O3" s="63"/>
      <c r="P3" s="63"/>
      <c r="Q3" s="63"/>
    </row>
    <row r="4" ht="26" spans="1:20">
      <c r="C4" s="65">
        <v>2020</v>
      </c>
      <c r="D4" s="65">
        <v>2030</v>
      </c>
      <c r="E4" s="65" t="s">
        <v>40</v>
      </c>
      <c r="F4" s="66">
        <v>2015</v>
      </c>
      <c r="G4" s="65">
        <v>2030</v>
      </c>
      <c r="H4" s="67" t="s">
        <v>40</v>
      </c>
      <c r="I4" s="65" t="s">
        <v>41</v>
      </c>
      <c r="J4" s="65" t="s">
        <v>42</v>
      </c>
      <c r="K4" s="68" t="s">
        <v>43</v>
      </c>
      <c r="L4" s="69" t="s">
        <v>44</v>
      </c>
      <c r="M4" s="65" t="s">
        <v>45</v>
      </c>
      <c r="N4" s="65" t="s">
        <v>46</v>
      </c>
      <c r="O4" s="70"/>
      <c r="P4" s="63"/>
      <c r="Q4" s="63"/>
    </row>
    <row r="5" spans="1:20">
      <c r="C5" s="71">
        <v>550</v>
      </c>
      <c r="D5" s="71">
        <v>500</v>
      </c>
      <c r="E5" s="71">
        <v>450</v>
      </c>
      <c r="F5" s="72">
        <v>22</v>
      </c>
      <c r="G5" s="73">
        <v>20</v>
      </c>
      <c r="H5" s="74">
        <v>18</v>
      </c>
      <c r="I5" s="75">
        <v>1.33</v>
      </c>
      <c r="J5" s="75">
        <v>0.094</v>
      </c>
      <c r="K5" s="76">
        <v>1.3</v>
      </c>
      <c r="L5" s="77">
        <v>0.094</v>
      </c>
      <c r="M5" s="75">
        <v>1.28</v>
      </c>
      <c r="N5" s="75">
        <v>0.094</v>
      </c>
      <c r="O5" s="78" t="s">
        <v>47</v>
      </c>
      <c r="P5" s="79"/>
      <c r="Q5" s="79"/>
    </row>
    <row r="6" spans="1:20">
      <c r="C6" s="80">
        <v>900</v>
      </c>
      <c r="D6" s="80">
        <v>850</v>
      </c>
      <c r="E6" s="80">
        <v>800</v>
      </c>
      <c r="F6" s="81">
        <v>36</v>
      </c>
      <c r="G6" s="82">
        <v>34</v>
      </c>
      <c r="H6" s="83">
        <v>32</v>
      </c>
      <c r="I6" s="84">
        <v>1.33</v>
      </c>
      <c r="J6" s="84">
        <v>1.094</v>
      </c>
      <c r="K6" s="85">
        <v>1.3</v>
      </c>
      <c r="L6" s="86">
        <v>1.094</v>
      </c>
      <c r="M6" s="84">
        <v>1.28</v>
      </c>
      <c r="N6" s="84">
        <v>1.094</v>
      </c>
      <c r="O6" s="87" t="s">
        <v>48</v>
      </c>
      <c r="P6" s="88"/>
      <c r="Q6" s="88"/>
    </row>
    <row r="7" spans="1:20">
      <c r="C7" s="71">
        <v>1978</v>
      </c>
      <c r="D7" s="71">
        <v>1598</v>
      </c>
      <c r="E7" s="71">
        <v>1450</v>
      </c>
      <c r="F7" s="72">
        <v>57</v>
      </c>
      <c r="G7" s="73">
        <v>31</v>
      </c>
      <c r="H7" s="74">
        <v>28</v>
      </c>
      <c r="I7" s="75">
        <v>1.53</v>
      </c>
      <c r="J7" s="75">
        <v>0.094</v>
      </c>
      <c r="K7" s="76">
        <v>1.47</v>
      </c>
      <c r="L7" s="77">
        <v>0.094</v>
      </c>
      <c r="M7" s="75">
        <v>1.43</v>
      </c>
      <c r="N7" s="75">
        <v>0.094</v>
      </c>
      <c r="O7" s="78" t="s">
        <v>49</v>
      </c>
      <c r="P7" s="79"/>
      <c r="Q7" s="79"/>
    </row>
    <row r="8" spans="1:20">
      <c r="C8" s="89">
        <v>1610</v>
      </c>
      <c r="D8" s="89">
        <v>740</v>
      </c>
      <c r="E8" s="89">
        <v>200</v>
      </c>
      <c r="F8" s="81">
        <v>49</v>
      </c>
      <c r="G8" s="82">
        <v>15</v>
      </c>
      <c r="H8" s="83">
        <v>10</v>
      </c>
      <c r="I8" s="84">
        <v>0</v>
      </c>
      <c r="J8" s="84">
        <v>1.39</v>
      </c>
      <c r="K8" s="85">
        <v>0</v>
      </c>
      <c r="L8" s="86">
        <v>1.19</v>
      </c>
      <c r="M8" s="84">
        <v>0</v>
      </c>
      <c r="N8" s="84">
        <v>1.17</v>
      </c>
      <c r="O8" s="87" t="s">
        <v>50</v>
      </c>
      <c r="P8" s="88"/>
      <c r="Q8" s="88"/>
    </row>
    <row r="9" spans="1:20">
      <c r="C9" s="90">
        <v>2530</v>
      </c>
      <c r="D9" s="90">
        <v>1175</v>
      </c>
      <c r="E9" s="90">
        <v>350</v>
      </c>
      <c r="F9" s="72">
        <v>77</v>
      </c>
      <c r="G9" s="73">
        <v>34</v>
      </c>
      <c r="H9" s="74">
        <v>18</v>
      </c>
      <c r="I9" s="75">
        <v>0</v>
      </c>
      <c r="J9" s="75">
        <v>1.5</v>
      </c>
      <c r="K9" s="76">
        <v>0</v>
      </c>
      <c r="L9" s="77">
        <v>1.25</v>
      </c>
      <c r="M9" s="75">
        <v>0</v>
      </c>
      <c r="N9" s="75">
        <v>1.19</v>
      </c>
      <c r="O9" s="78" t="s">
        <v>51</v>
      </c>
      <c r="P9" s="79"/>
      <c r="Q9" s="79"/>
    </row>
    <row r="10" spans="1:20">
      <c r="C10" s="89">
        <v>1265</v>
      </c>
      <c r="D10" s="89">
        <v>600</v>
      </c>
      <c r="E10" s="89">
        <v>180</v>
      </c>
      <c r="F10" s="81">
        <v>28</v>
      </c>
      <c r="G10" s="82">
        <v>14</v>
      </c>
      <c r="H10" s="83">
        <v>9</v>
      </c>
      <c r="I10" s="84">
        <v>0</v>
      </c>
      <c r="J10" s="84">
        <v>1.3952</v>
      </c>
      <c r="K10" s="85">
        <v>0</v>
      </c>
      <c r="L10" s="86">
        <v>1.268</v>
      </c>
      <c r="M10" s="84">
        <v>0</v>
      </c>
      <c r="N10" s="84">
        <v>1.18</v>
      </c>
      <c r="O10" s="87" t="s">
        <v>52</v>
      </c>
      <c r="P10" s="88"/>
      <c r="Q10" s="88"/>
    </row>
    <row r="11" spans="1:20">
      <c r="C11" s="90">
        <v>1897.5</v>
      </c>
      <c r="D11" s="90">
        <v>715</v>
      </c>
      <c r="E11" s="90">
        <v>300</v>
      </c>
      <c r="F11" s="72">
        <v>41</v>
      </c>
      <c r="G11" s="73">
        <v>17</v>
      </c>
      <c r="H11" s="74">
        <v>15</v>
      </c>
      <c r="I11" s="75">
        <v>0</v>
      </c>
      <c r="J11" s="75">
        <v>1.3952</v>
      </c>
      <c r="K11" s="76">
        <v>0</v>
      </c>
      <c r="L11" s="77">
        <v>1.268</v>
      </c>
      <c r="M11" s="75">
        <v>0</v>
      </c>
      <c r="N11" s="75">
        <v>1.2</v>
      </c>
      <c r="O11" s="78" t="s">
        <v>53</v>
      </c>
      <c r="P11" s="79"/>
      <c r="Q11" s="79"/>
    </row>
    <row r="12" spans="1:20">
      <c r="C12" s="89">
        <v>3332.08823529412</v>
      </c>
      <c r="D12" s="89">
        <v>1421.39215686275</v>
      </c>
      <c r="E12" s="89">
        <v>600</v>
      </c>
      <c r="F12" s="81">
        <v>55.825</v>
      </c>
      <c r="G12" s="82">
        <v>36.18</v>
      </c>
      <c r="H12" s="83">
        <v>39</v>
      </c>
      <c r="I12" s="84">
        <v>1.99666703875969</v>
      </c>
      <c r="J12" s="84">
        <v>0.83712</v>
      </c>
      <c r="K12" s="85">
        <v>1.45562727909392</v>
      </c>
      <c r="L12" s="86">
        <v>0.7608</v>
      </c>
      <c r="M12" s="84">
        <v>0.333333333333333</v>
      </c>
      <c r="N12" s="84">
        <v>0.708</v>
      </c>
      <c r="O12" s="87" t="s">
        <v>54</v>
      </c>
      <c r="P12" s="88"/>
      <c r="Q12" s="88"/>
    </row>
    <row r="13" spans="1:20">
      <c r="C13" s="90">
        <v>5331.34117647059</v>
      </c>
      <c r="D13" s="90">
        <v>2920.89411764706</v>
      </c>
      <c r="E13" s="90">
        <v>1100</v>
      </c>
      <c r="F13" s="72">
        <v>94.9025</v>
      </c>
      <c r="G13" s="73">
        <v>63.315</v>
      </c>
      <c r="H13" s="74">
        <v>48.75</v>
      </c>
      <c r="I13" s="75">
        <v>1.99666703875969</v>
      </c>
      <c r="J13" s="75">
        <v>0.83712</v>
      </c>
      <c r="K13" s="76">
        <v>1.45562727909392</v>
      </c>
      <c r="L13" s="77">
        <v>0.7608</v>
      </c>
      <c r="M13" s="75">
        <v>0.333333333333333</v>
      </c>
      <c r="N13" s="75">
        <v>0.72</v>
      </c>
      <c r="O13" s="78" t="s">
        <v>55</v>
      </c>
      <c r="P13" s="79"/>
      <c r="Q13" s="79"/>
    </row>
    <row r="14" spans="1:20">
      <c r="C14" s="91">
        <v>1200</v>
      </c>
      <c r="D14" s="91">
        <v>733</v>
      </c>
      <c r="E14" s="91">
        <v>263</v>
      </c>
      <c r="F14" s="92">
        <v>42</v>
      </c>
      <c r="G14" s="93">
        <v>22</v>
      </c>
      <c r="H14" s="94">
        <v>9</v>
      </c>
      <c r="I14" s="95">
        <v>0</v>
      </c>
      <c r="J14" s="96">
        <v>0.01</v>
      </c>
      <c r="K14" s="97">
        <v>0</v>
      </c>
      <c r="L14" s="98">
        <v>0.01</v>
      </c>
      <c r="M14" s="96">
        <v>0</v>
      </c>
      <c r="N14" s="96">
        <v>0.01</v>
      </c>
      <c r="O14" s="99" t="s">
        <v>56</v>
      </c>
      <c r="P14" s="100"/>
      <c r="Q14" s="100"/>
    </row>
    <row r="15" spans="1:20">
      <c r="C15" s="101">
        <v>450</v>
      </c>
      <c r="D15" s="101">
        <v>450</v>
      </c>
      <c r="E15" s="101">
        <v>450</v>
      </c>
      <c r="F15" s="102">
        <v>18</v>
      </c>
      <c r="G15" s="103">
        <v>18</v>
      </c>
      <c r="H15" s="104">
        <v>18</v>
      </c>
      <c r="I15" s="105">
        <v>0.265822784810126</v>
      </c>
      <c r="J15" s="106">
        <v>0.06</v>
      </c>
      <c r="K15" s="107">
        <v>0.265822784810126</v>
      </c>
      <c r="L15" s="108">
        <v>0.06</v>
      </c>
      <c r="M15" s="106">
        <v>0.265822784810126</v>
      </c>
      <c r="N15" s="106">
        <v>0.06</v>
      </c>
      <c r="O15" s="109" t="s">
        <v>57</v>
      </c>
      <c r="P15" s="110"/>
      <c r="Q15" s="110"/>
    </row>
    <row r="16" spans="1:20">
      <c r="C16" s="111">
        <v>200</v>
      </c>
      <c r="D16" s="111">
        <v>200</v>
      </c>
      <c r="E16" s="111">
        <v>200</v>
      </c>
      <c r="F16" s="112">
        <v>20</v>
      </c>
      <c r="G16" s="113">
        <v>20</v>
      </c>
      <c r="H16" s="114">
        <v>20</v>
      </c>
      <c r="I16" s="115">
        <v>0.013</v>
      </c>
      <c r="J16" s="116">
        <v>0.036</v>
      </c>
      <c r="K16" s="117">
        <v>0.013</v>
      </c>
      <c r="L16" s="118">
        <v>0.036</v>
      </c>
      <c r="M16" s="116">
        <v>0.013</v>
      </c>
      <c r="N16" s="116">
        <v>0.036</v>
      </c>
      <c r="O16" s="119" t="s">
        <v>58</v>
      </c>
      <c r="P16" s="120"/>
      <c r="Q16" s="120"/>
    </row>
    <row r="17" spans="1:25">
      <c r="C17" s="101">
        <v>175</v>
      </c>
      <c r="D17" s="101">
        <v>175</v>
      </c>
      <c r="E17" s="101">
        <v>175</v>
      </c>
      <c r="F17" s="102">
        <v>5</v>
      </c>
      <c r="G17" s="103">
        <v>5</v>
      </c>
      <c r="H17" s="104">
        <v>5</v>
      </c>
      <c r="I17" s="105">
        <v>0.014</v>
      </c>
      <c r="J17" s="106">
        <v>0</v>
      </c>
      <c r="K17" s="107">
        <v>0.014</v>
      </c>
      <c r="L17" s="108">
        <v>0</v>
      </c>
      <c r="M17" s="106">
        <v>0.014</v>
      </c>
      <c r="N17" s="106">
        <v>0</v>
      </c>
      <c r="O17" s="109" t="s">
        <v>59</v>
      </c>
      <c r="P17" s="110"/>
      <c r="Q17" s="110"/>
    </row>
    <row r="18" spans="1:25">
      <c r="C18" s="121">
        <v>1000</v>
      </c>
      <c r="D18" s="121">
        <v>720</v>
      </c>
      <c r="E18" s="121">
        <v>364</v>
      </c>
      <c r="F18" s="122">
        <v>50</v>
      </c>
      <c r="G18" s="123">
        <v>31</v>
      </c>
      <c r="H18" s="124">
        <v>18</v>
      </c>
      <c r="I18" s="125">
        <v>0.2389</v>
      </c>
      <c r="J18" s="126">
        <v>0.03056</v>
      </c>
      <c r="K18" s="127">
        <v>0.2389</v>
      </c>
      <c r="L18" s="128">
        <v>0.03056</v>
      </c>
      <c r="M18" s="126">
        <v>0.2389</v>
      </c>
      <c r="N18" s="126">
        <v>0.03056</v>
      </c>
      <c r="O18" s="129" t="s">
        <v>60</v>
      </c>
      <c r="P18" s="130"/>
      <c r="Q18" s="130"/>
    </row>
    <row r="19" spans="1:25">
      <c r="C19" s="131">
        <v>1556</v>
      </c>
      <c r="D19" s="131">
        <v>1143</v>
      </c>
      <c r="E19" s="132">
        <v>673</v>
      </c>
      <c r="F19" s="133">
        <v>54</v>
      </c>
      <c r="G19" s="134">
        <v>40</v>
      </c>
      <c r="H19" s="135">
        <v>24</v>
      </c>
      <c r="I19" s="136">
        <v>0.035</v>
      </c>
      <c r="J19" s="137">
        <v>0.02</v>
      </c>
      <c r="K19" s="138">
        <v>0.035</v>
      </c>
      <c r="L19" s="139">
        <v>0.02</v>
      </c>
      <c r="M19" s="137">
        <v>0.035</v>
      </c>
      <c r="N19" s="137">
        <v>0.02</v>
      </c>
      <c r="O19" s="140" t="s">
        <v>61</v>
      </c>
      <c r="P19" s="141"/>
      <c r="Q19" s="141"/>
    </row>
    <row r="20" spans="1:25">
      <c r="C20" s="142">
        <v>2332</v>
      </c>
      <c r="D20" s="142">
        <v>1511</v>
      </c>
      <c r="E20" s="142">
        <v>965</v>
      </c>
      <c r="F20" s="143">
        <v>163</v>
      </c>
      <c r="G20" s="144">
        <v>106</v>
      </c>
      <c r="H20" s="145">
        <v>68</v>
      </c>
      <c r="I20" s="146">
        <v>0.463266666666667</v>
      </c>
      <c r="J20" s="147">
        <v>1.91881040892193</v>
      </c>
      <c r="K20" s="148">
        <v>0.39244195142278</v>
      </c>
      <c r="L20" s="149">
        <v>1.60098120886331</v>
      </c>
      <c r="M20" s="147">
        <v>0.37890902062421</v>
      </c>
      <c r="N20" s="147">
        <v>1.56940834539103</v>
      </c>
      <c r="O20" s="150" t="s">
        <v>62</v>
      </c>
      <c r="P20" s="130"/>
      <c r="Q20" s="130"/>
    </row>
    <row r="21" spans="1:25">
      <c r="C21" s="151">
        <v>769.876819708847</v>
      </c>
      <c r="D21" s="151">
        <v>648.044461034383</v>
      </c>
      <c r="E21" s="151">
        <v>518.290592438013</v>
      </c>
      <c r="F21" s="152">
        <v>26.9456886898096</v>
      </c>
      <c r="G21" s="153">
        <v>22.6815561362034</v>
      </c>
      <c r="H21" s="154">
        <v>18.1401707353305</v>
      </c>
      <c r="I21" s="155">
        <v>2.77777777777778</v>
      </c>
      <c r="J21" s="156">
        <v>2.22222222222222</v>
      </c>
      <c r="K21" s="157">
        <v>1.66666666666667</v>
      </c>
      <c r="L21" s="158">
        <v>1.38888888888889</v>
      </c>
      <c r="M21" s="156">
        <v>1.13888888888889</v>
      </c>
      <c r="N21" s="156">
        <v>0.3</v>
      </c>
      <c r="O21" s="159" t="s">
        <v>63</v>
      </c>
      <c r="P21" s="160"/>
      <c r="Q21" s="160"/>
    </row>
    <row r="22" spans="1:25">
      <c r="C22" s="161">
        <v>1259.79843225084</v>
      </c>
      <c r="D22" s="161">
        <v>894.301356227448</v>
      </c>
      <c r="E22" s="161">
        <v>495</v>
      </c>
      <c r="F22" s="162">
        <v>44.0929451287794</v>
      </c>
      <c r="G22" s="163">
        <v>31.3005474679607</v>
      </c>
      <c r="H22" s="164">
        <v>17.325</v>
      </c>
      <c r="I22" s="165">
        <v>2</v>
      </c>
      <c r="J22" s="166">
        <v>0.3</v>
      </c>
      <c r="K22" s="167">
        <v>1.80555555555556</v>
      </c>
      <c r="L22" s="168">
        <v>0.3</v>
      </c>
      <c r="M22" s="166">
        <v>1.5</v>
      </c>
      <c r="N22" s="166">
        <v>0.3</v>
      </c>
      <c r="O22" s="169" t="s">
        <v>64</v>
      </c>
      <c r="P22" s="170"/>
      <c r="Q22" s="170"/>
    </row>
    <row r="23" spans="1:25">
      <c r="C23" s="171">
        <v>174</v>
      </c>
      <c r="D23" s="171">
        <v>174</v>
      </c>
      <c r="E23" s="171">
        <v>174</v>
      </c>
      <c r="F23" s="172">
        <v>3</v>
      </c>
      <c r="G23" s="173">
        <v>3</v>
      </c>
      <c r="H23" s="174">
        <v>3</v>
      </c>
      <c r="I23" s="175">
        <v>0</v>
      </c>
      <c r="J23" s="176">
        <v>0.205882352941176</v>
      </c>
      <c r="K23" s="177">
        <v>0</v>
      </c>
      <c r="L23" s="178">
        <v>0.205882352941176</v>
      </c>
      <c r="M23" s="176">
        <v>0</v>
      </c>
      <c r="N23" s="176">
        <v>0.205882352941176</v>
      </c>
      <c r="O23" s="179" t="s">
        <v>65</v>
      </c>
      <c r="P23" s="160"/>
      <c r="Q23" s="160"/>
    </row>
    <row r="26" ht="17.75" spans="1:25">
      <c r="C26" s="53" t="s">
        <v>66</v>
      </c>
      <c r="S26" s="53" t="s">
        <v>1</v>
      </c>
    </row>
    <row r="27" ht="15.25" spans="1:25">
      <c r="A27" s="54" t="s">
        <v>4</v>
      </c>
      <c r="B27" s="54" t="s">
        <v>3</v>
      </c>
      <c r="C27" s="54" t="str">
        <f>C2&amp;"~"&amp;C3</f>
        <v>invcost~2020</v>
      </c>
      <c r="D27" s="54" t="str">
        <f t="shared" ref="D27:N27" si="1">D2&amp;"~"&amp;D3</f>
        <v>invcost~2030</v>
      </c>
      <c r="E27" s="54" t="str">
        <f t="shared" si="1"/>
        <v>invcost~2050</v>
      </c>
      <c r="F27" s="54" t="str">
        <f t="shared" si="1"/>
        <v>fixom~2020</v>
      </c>
      <c r="G27" s="54" t="str">
        <f t="shared" si="1"/>
        <v>fixom~2030</v>
      </c>
      <c r="H27" s="54" t="str">
        <f t="shared" si="1"/>
        <v>fixom~2050</v>
      </c>
      <c r="I27" s="54" t="str">
        <f t="shared" si="1"/>
        <v>input~GASNGA~2015</v>
      </c>
      <c r="J27" s="54" t="str">
        <f t="shared" si="1"/>
        <v>input~ELC_gc~2015</v>
      </c>
      <c r="K27" s="54" t="str">
        <f t="shared" si="1"/>
        <v>input~GASNGA~2030</v>
      </c>
      <c r="L27" s="54" t="str">
        <f t="shared" si="1"/>
        <v>input~ELC_gc~2030</v>
      </c>
      <c r="M27" s="54" t="str">
        <f t="shared" si="1"/>
        <v>input~GASNGA~2050</v>
      </c>
      <c r="N27" s="54" t="str">
        <f t="shared" si="1"/>
        <v>input~ELC_gc~2050</v>
      </c>
      <c r="O27" s="54" t="s">
        <v>2</v>
      </c>
      <c r="P27" s="54" t="s">
        <v>67</v>
      </c>
      <c r="Q27" s="54" t="s">
        <v>68</v>
      </c>
      <c r="S27" s="54" t="s">
        <v>8</v>
      </c>
      <c r="T27" s="54" t="s">
        <v>2</v>
      </c>
      <c r="U27" s="54" t="s">
        <v>9</v>
      </c>
      <c r="V27" s="54" t="s">
        <v>12</v>
      </c>
      <c r="W27" s="54" t="s">
        <v>11</v>
      </c>
      <c r="X27" s="54" t="s">
        <v>10</v>
      </c>
      <c r="Y27" s="54" t="s">
        <v>14</v>
      </c>
    </row>
    <row r="28" spans="1:25">
      <c r="A28" t="s">
        <v>16</v>
      </c>
      <c r="B28" t="s">
        <v>69</v>
      </c>
      <c r="C28" s="38">
        <f>C5</f>
        <v>550</v>
      </c>
      <c r="D28" s="38">
        <f t="shared" ref="D28:N28" si="2">D5</f>
        <v>500</v>
      </c>
      <c r="E28" s="38">
        <f t="shared" si="2"/>
        <v>450</v>
      </c>
      <c r="F28" s="38">
        <f t="shared" si="2"/>
        <v>22</v>
      </c>
      <c r="G28" s="38">
        <f t="shared" si="2"/>
        <v>20</v>
      </c>
      <c r="H28" s="38">
        <f t="shared" si="2"/>
        <v>18</v>
      </c>
      <c r="I28" s="9">
        <f t="shared" si="2"/>
        <v>1.33</v>
      </c>
      <c r="J28" s="9">
        <f t="shared" si="2"/>
        <v>0.094</v>
      </c>
      <c r="K28" s="9">
        <f t="shared" si="2"/>
        <v>1.3</v>
      </c>
      <c r="L28" s="9">
        <f t="shared" si="2"/>
        <v>0.094</v>
      </c>
      <c r="M28" s="9">
        <f t="shared" si="2"/>
        <v>1.28</v>
      </c>
      <c r="N28" s="9">
        <f t="shared" si="2"/>
        <v>0.094</v>
      </c>
      <c r="O28" s="180" t="s">
        <v>70</v>
      </c>
      <c r="P28">
        <v>25</v>
      </c>
      <c r="Q28">
        <v>31.536</v>
      </c>
      <c r="S28" t="str">
        <f>IF(O28="","*","PRE")</f>
        <v>PRE</v>
      </c>
      <c r="T28" t="str">
        <f>O28</f>
        <v>\I:</v>
      </c>
      <c r="U28" t="str">
        <f t="shared" ref="U28:U36" si="3">O5</f>
        <v>Hydrogen from natural gas steam reforming centralised - Large scale  (per 1 kW or 1 MWh H2 HHV)</v>
      </c>
      <c r="V28" t="s">
        <v>71</v>
      </c>
      <c r="W28" t="s">
        <v>20</v>
      </c>
      <c r="X28" t="s">
        <v>19</v>
      </c>
      <c r="Y28" t="s">
        <v>72</v>
      </c>
    </row>
    <row r="29" spans="1:25">
      <c r="A29" t="s">
        <v>16</v>
      </c>
      <c r="B29" t="s">
        <v>69</v>
      </c>
      <c r="C29" s="38">
        <f t="shared" ref="C29:N29" si="4">C6</f>
        <v>900</v>
      </c>
      <c r="D29" s="38">
        <f t="shared" si="4"/>
        <v>850</v>
      </c>
      <c r="E29" s="38">
        <f t="shared" si="4"/>
        <v>800</v>
      </c>
      <c r="F29" s="38">
        <f t="shared" si="4"/>
        <v>36</v>
      </c>
      <c r="G29" s="38">
        <f t="shared" si="4"/>
        <v>34</v>
      </c>
      <c r="H29" s="38">
        <f t="shared" si="4"/>
        <v>32</v>
      </c>
      <c r="I29" s="9">
        <f t="shared" si="4"/>
        <v>1.33</v>
      </c>
      <c r="J29" s="181">
        <f t="shared" si="4"/>
        <v>1.094</v>
      </c>
      <c r="K29" s="9">
        <f t="shared" si="4"/>
        <v>1.3</v>
      </c>
      <c r="L29" s="181">
        <f t="shared" si="4"/>
        <v>1.094</v>
      </c>
      <c r="M29" s="9">
        <f t="shared" si="4"/>
        <v>1.28</v>
      </c>
      <c r="N29" s="181">
        <f t="shared" si="4"/>
        <v>1.094</v>
      </c>
      <c r="O29" t="s">
        <v>73</v>
      </c>
      <c r="P29">
        <v>25</v>
      </c>
      <c r="Q29">
        <v>31.536</v>
      </c>
      <c r="S29" t="str">
        <f t="shared" ref="S29:S39" si="5">IF(O29="","*","PRE")</f>
        <v>PRE</v>
      </c>
      <c r="T29" t="str">
        <f t="shared" ref="T29:T39" si="6">O29</f>
        <v>H2prd_Gas_SR_CCS</v>
      </c>
      <c r="U29" t="str">
        <f t="shared" si="3"/>
        <v>Hydrogen from natural gas steam reforming centralised - Large scale with CCU  (per 1 kW or 1 MWh H2 HHV)</v>
      </c>
      <c r="V29" t="s">
        <v>71</v>
      </c>
      <c r="W29" t="s">
        <v>20</v>
      </c>
      <c r="X29" t="s">
        <v>19</v>
      </c>
      <c r="Y29" t="s">
        <v>72</v>
      </c>
    </row>
    <row r="30" spans="1:25">
      <c r="A30" t="s">
        <v>16</v>
      </c>
      <c r="B30" t="s">
        <v>69</v>
      </c>
      <c r="C30" s="38">
        <f t="shared" ref="C30:N30" si="7">C7</f>
        <v>1978</v>
      </c>
      <c r="D30" s="38">
        <f t="shared" si="7"/>
        <v>1598</v>
      </c>
      <c r="E30" s="38">
        <f t="shared" si="7"/>
        <v>1450</v>
      </c>
      <c r="F30" s="38">
        <f t="shared" si="7"/>
        <v>57</v>
      </c>
      <c r="G30" s="38">
        <f t="shared" si="7"/>
        <v>31</v>
      </c>
      <c r="H30" s="38">
        <f t="shared" si="7"/>
        <v>28</v>
      </c>
      <c r="I30" s="9">
        <f t="shared" si="7"/>
        <v>1.53</v>
      </c>
      <c r="J30" s="9">
        <f t="shared" si="7"/>
        <v>0.094</v>
      </c>
      <c r="K30" s="9">
        <f t="shared" si="7"/>
        <v>1.47</v>
      </c>
      <c r="L30" s="9">
        <f t="shared" si="7"/>
        <v>0.094</v>
      </c>
      <c r="M30" s="9">
        <f t="shared" si="7"/>
        <v>1.43</v>
      </c>
      <c r="N30" s="9">
        <f t="shared" si="7"/>
        <v>0.094</v>
      </c>
      <c r="O30" s="180" t="s">
        <v>70</v>
      </c>
      <c r="S30" t="str">
        <f t="shared" si="5"/>
        <v>PRE</v>
      </c>
      <c r="T30" t="str">
        <f t="shared" si="6"/>
        <v>\I:</v>
      </c>
      <c r="U30" t="str">
        <f t="shared" si="3"/>
        <v>Hydrogen from natural gas steam reforming de-centralised - Medium scale  (per 1 kW or 1 MWh H2 HHV)</v>
      </c>
      <c r="V30" t="s">
        <v>71</v>
      </c>
      <c r="W30" t="s">
        <v>20</v>
      </c>
      <c r="X30" t="s">
        <v>19</v>
      </c>
      <c r="Y30" t="s">
        <v>72</v>
      </c>
    </row>
    <row r="31" spans="1:25">
      <c r="A31" t="s">
        <v>16</v>
      </c>
      <c r="B31" t="s">
        <v>69</v>
      </c>
      <c r="C31" s="38">
        <f t="shared" ref="C31:N31" si="8">C8</f>
        <v>1610</v>
      </c>
      <c r="D31" s="38">
        <f t="shared" si="8"/>
        <v>740</v>
      </c>
      <c r="E31" s="38">
        <f t="shared" si="8"/>
        <v>200</v>
      </c>
      <c r="F31" s="38">
        <f t="shared" si="8"/>
        <v>49</v>
      </c>
      <c r="G31" s="38">
        <f t="shared" si="8"/>
        <v>15</v>
      </c>
      <c r="H31" s="38">
        <f t="shared" si="8"/>
        <v>10</v>
      </c>
      <c r="I31" s="9"/>
      <c r="J31" s="9">
        <f t="shared" si="8"/>
        <v>1.39</v>
      </c>
      <c r="K31" s="9"/>
      <c r="L31" s="9">
        <f t="shared" si="8"/>
        <v>1.19</v>
      </c>
      <c r="M31" s="9"/>
      <c r="N31" s="9">
        <f t="shared" si="8"/>
        <v>1.17</v>
      </c>
      <c r="O31" t="s">
        <v>74</v>
      </c>
      <c r="P31">
        <v>25</v>
      </c>
      <c r="Q31">
        <v>31.536</v>
      </c>
      <c r="S31" t="str">
        <f t="shared" si="5"/>
        <v>PRE</v>
      </c>
      <c r="T31" t="str">
        <f t="shared" si="6"/>
        <v>H2prd_Elc_PEM</v>
      </c>
      <c r="U31" t="str">
        <f t="shared" si="3"/>
        <v>Hydrogen from low temperature water electrolysis PEM centralised - Large scale  (per 1 kW or 1 MWh H2 HHV)</v>
      </c>
      <c r="V31" t="s">
        <v>71</v>
      </c>
      <c r="W31" t="s">
        <v>20</v>
      </c>
      <c r="X31" t="s">
        <v>19</v>
      </c>
      <c r="Y31" t="s">
        <v>72</v>
      </c>
    </row>
    <row r="32" spans="1:25">
      <c r="A32" t="s">
        <v>16</v>
      </c>
      <c r="B32" t="s">
        <v>69</v>
      </c>
      <c r="C32" s="38">
        <f t="shared" ref="C32:N32" si="9">C9</f>
        <v>2530</v>
      </c>
      <c r="D32" s="38">
        <f t="shared" si="9"/>
        <v>1175</v>
      </c>
      <c r="E32" s="38">
        <f t="shared" si="9"/>
        <v>350</v>
      </c>
      <c r="F32" s="38">
        <f t="shared" si="9"/>
        <v>77</v>
      </c>
      <c r="G32" s="38">
        <f t="shared" si="9"/>
        <v>34</v>
      </c>
      <c r="H32" s="38">
        <f t="shared" si="9"/>
        <v>18</v>
      </c>
      <c r="I32" s="9"/>
      <c r="J32" s="9">
        <f t="shared" si="9"/>
        <v>1.5</v>
      </c>
      <c r="K32" s="9"/>
      <c r="L32" s="9">
        <f t="shared" si="9"/>
        <v>1.25</v>
      </c>
      <c r="M32" s="9"/>
      <c r="N32" s="9">
        <f t="shared" si="9"/>
        <v>1.19</v>
      </c>
      <c r="O32" s="180" t="s">
        <v>70</v>
      </c>
      <c r="S32" t="str">
        <f t="shared" si="5"/>
        <v>PRE</v>
      </c>
      <c r="T32" t="str">
        <f t="shared" si="6"/>
        <v>\I:</v>
      </c>
      <c r="U32" t="str">
        <f t="shared" si="3"/>
        <v>Hydrogen from low temperature water electrolysis PEM de-centralised at a refuelling station  (per 1 kW or 1 MWh H2 HHV)</v>
      </c>
      <c r="V32" t="s">
        <v>71</v>
      </c>
      <c r="W32" t="s">
        <v>20</v>
      </c>
      <c r="X32" t="s">
        <v>19</v>
      </c>
      <c r="Y32" t="s">
        <v>72</v>
      </c>
    </row>
    <row r="33" spans="1:25">
      <c r="A33" t="s">
        <v>16</v>
      </c>
      <c r="B33" t="s">
        <v>69</v>
      </c>
      <c r="C33" s="38">
        <f t="shared" ref="C33:N33" si="10">C10</f>
        <v>1265</v>
      </c>
      <c r="D33" s="38">
        <f t="shared" si="10"/>
        <v>600</v>
      </c>
      <c r="E33" s="38">
        <f t="shared" si="10"/>
        <v>180</v>
      </c>
      <c r="F33" s="38">
        <f t="shared" si="10"/>
        <v>28</v>
      </c>
      <c r="G33" s="38">
        <f t="shared" si="10"/>
        <v>14</v>
      </c>
      <c r="H33" s="38">
        <f t="shared" si="10"/>
        <v>9</v>
      </c>
      <c r="I33" s="9"/>
      <c r="J33" s="9">
        <f t="shared" si="10"/>
        <v>1.3952</v>
      </c>
      <c r="K33" s="9"/>
      <c r="L33" s="9">
        <f t="shared" si="10"/>
        <v>1.268</v>
      </c>
      <c r="M33" s="9"/>
      <c r="N33" s="9">
        <f t="shared" si="10"/>
        <v>1.18</v>
      </c>
      <c r="O33" t="s">
        <v>75</v>
      </c>
      <c r="P33">
        <v>25</v>
      </c>
      <c r="Q33">
        <v>31.536</v>
      </c>
      <c r="S33" t="str">
        <f t="shared" si="5"/>
        <v>PRE</v>
      </c>
      <c r="T33" t="str">
        <f t="shared" si="6"/>
        <v>H2prd_Elc_ALK</v>
      </c>
      <c r="U33" t="str">
        <f t="shared" si="3"/>
        <v>Hydrogen from low temperature water electrolysis - Alkaline centralised, large scale  (per 1 kW or 1 MWh H2 HHV)</v>
      </c>
      <c r="V33" t="s">
        <v>71</v>
      </c>
      <c r="W33" t="s">
        <v>20</v>
      </c>
      <c r="X33" t="s">
        <v>19</v>
      </c>
      <c r="Y33" t="s">
        <v>72</v>
      </c>
    </row>
    <row r="34" spans="1:25">
      <c r="A34" t="s">
        <v>16</v>
      </c>
      <c r="B34" t="s">
        <v>69</v>
      </c>
      <c r="C34" s="38">
        <f t="shared" ref="C34:N34" si="11">C11</f>
        <v>1897.5</v>
      </c>
      <c r="D34" s="38">
        <f t="shared" si="11"/>
        <v>715</v>
      </c>
      <c r="E34" s="38">
        <f t="shared" si="11"/>
        <v>300</v>
      </c>
      <c r="F34" s="38">
        <f t="shared" si="11"/>
        <v>41</v>
      </c>
      <c r="G34" s="38">
        <f t="shared" si="11"/>
        <v>17</v>
      </c>
      <c r="H34" s="38">
        <f t="shared" si="11"/>
        <v>15</v>
      </c>
      <c r="I34" s="9"/>
      <c r="J34" s="9">
        <f t="shared" si="11"/>
        <v>1.3952</v>
      </c>
      <c r="K34" s="9"/>
      <c r="L34" s="9">
        <f t="shared" si="11"/>
        <v>1.268</v>
      </c>
      <c r="M34" s="9"/>
      <c r="N34" s="9">
        <f t="shared" si="11"/>
        <v>1.2</v>
      </c>
      <c r="O34" s="180" t="s">
        <v>70</v>
      </c>
      <c r="S34" t="str">
        <f t="shared" si="5"/>
        <v>PRE</v>
      </c>
      <c r="T34" t="str">
        <f t="shared" si="6"/>
        <v>\I:</v>
      </c>
      <c r="U34" t="str">
        <f t="shared" si="3"/>
        <v>Hydrogen from low temperature water electrolysis Alkaline de-centralised at a refuelling station  (per 1 kW or 1 MWh H2 HHV)</v>
      </c>
      <c r="V34" t="s">
        <v>71</v>
      </c>
      <c r="W34" t="s">
        <v>20</v>
      </c>
      <c r="X34" t="s">
        <v>19</v>
      </c>
      <c r="Y34" t="s">
        <v>72</v>
      </c>
    </row>
    <row r="35" spans="1:25">
      <c r="A35" t="s">
        <v>16</v>
      </c>
      <c r="B35" t="s">
        <v>69</v>
      </c>
      <c r="C35" s="38">
        <f t="shared" ref="C35:N35" si="12">C12</f>
        <v>3332.08823529412</v>
      </c>
      <c r="D35" s="38">
        <f t="shared" si="12"/>
        <v>1421.39215686275</v>
      </c>
      <c r="E35" s="38">
        <f t="shared" si="12"/>
        <v>600</v>
      </c>
      <c r="F35" s="38">
        <f t="shared" si="12"/>
        <v>55.825</v>
      </c>
      <c r="G35" s="38">
        <f t="shared" si="12"/>
        <v>36.18</v>
      </c>
      <c r="H35" s="38">
        <f t="shared" si="12"/>
        <v>39</v>
      </c>
      <c r="I35" s="9">
        <f t="shared" si="12"/>
        <v>1.99666703875969</v>
      </c>
      <c r="J35" s="9">
        <f t="shared" si="12"/>
        <v>0.83712</v>
      </c>
      <c r="K35" s="9">
        <f t="shared" si="12"/>
        <v>1.45562727909392</v>
      </c>
      <c r="L35" s="9">
        <f t="shared" si="12"/>
        <v>0.7608</v>
      </c>
      <c r="M35" s="9">
        <f t="shared" si="12"/>
        <v>0.333333333333333</v>
      </c>
      <c r="N35" s="9">
        <f t="shared" si="12"/>
        <v>0.708</v>
      </c>
      <c r="O35" t="s">
        <v>76</v>
      </c>
      <c r="P35">
        <v>25</v>
      </c>
      <c r="Q35">
        <v>31.536</v>
      </c>
      <c r="S35" t="str">
        <f t="shared" si="5"/>
        <v>PRE</v>
      </c>
      <c r="T35" t="str">
        <f t="shared" si="6"/>
        <v>H2prd_Elc_SOEC</v>
      </c>
      <c r="U35" t="str">
        <f t="shared" si="3"/>
        <v>Hydrogen from high temperature water electrolysis SOEC centralised  (per 1 kW or 1 MWh H2 HHV)</v>
      </c>
      <c r="V35" t="s">
        <v>71</v>
      </c>
      <c r="W35" t="s">
        <v>20</v>
      </c>
      <c r="X35" t="s">
        <v>19</v>
      </c>
      <c r="Y35" t="s">
        <v>72</v>
      </c>
    </row>
    <row r="36" spans="1:25">
      <c r="C36" s="38">
        <f t="shared" ref="C36:N36" si="13">C13</f>
        <v>5331.34117647059</v>
      </c>
      <c r="D36" s="38">
        <f t="shared" si="13"/>
        <v>2920.89411764706</v>
      </c>
      <c r="E36" s="38">
        <f t="shared" si="13"/>
        <v>1100</v>
      </c>
      <c r="F36" s="38">
        <f t="shared" si="13"/>
        <v>94.9025</v>
      </c>
      <c r="G36" s="38">
        <f t="shared" si="13"/>
        <v>63.315</v>
      </c>
      <c r="H36" s="38">
        <f t="shared" si="13"/>
        <v>48.75</v>
      </c>
      <c r="I36" s="9">
        <f t="shared" si="13"/>
        <v>1.99666703875969</v>
      </c>
      <c r="J36" s="9">
        <f t="shared" si="13"/>
        <v>0.83712</v>
      </c>
      <c r="K36" s="9">
        <f t="shared" si="13"/>
        <v>1.45562727909392</v>
      </c>
      <c r="L36" s="9">
        <f t="shared" si="13"/>
        <v>0.7608</v>
      </c>
      <c r="M36" s="9">
        <f t="shared" si="13"/>
        <v>0.333333333333333</v>
      </c>
      <c r="N36" s="9">
        <f t="shared" si="13"/>
        <v>0.72</v>
      </c>
      <c r="O36" s="180" t="s">
        <v>70</v>
      </c>
      <c r="S36" t="str">
        <f t="shared" si="5"/>
        <v>PRE</v>
      </c>
      <c r="T36" t="str">
        <f t="shared" si="6"/>
        <v>\I:</v>
      </c>
      <c r="U36" t="str">
        <f t="shared" si="3"/>
        <v>Hydrogen from high temperature water electrolysis SOEC de-centralised at a refuelling station  (per 1 kW or 1 MWh H2 HHV)</v>
      </c>
      <c r="V36" t="s">
        <v>71</v>
      </c>
      <c r="W36" t="s">
        <v>20</v>
      </c>
      <c r="X36" t="s">
        <v>19</v>
      </c>
      <c r="Y36" t="s">
        <v>72</v>
      </c>
    </row>
    <row r="37" spans="1:25">
      <c r="C37" s="38">
        <f t="shared" ref="C37:N37" si="14">C21</f>
        <v>769.876819708847</v>
      </c>
      <c r="D37" s="38">
        <f t="shared" si="14"/>
        <v>648.044461034383</v>
      </c>
      <c r="E37" s="38">
        <f t="shared" si="14"/>
        <v>518.290592438013</v>
      </c>
      <c r="F37" s="38">
        <f t="shared" si="14"/>
        <v>26.9456886898096</v>
      </c>
      <c r="G37" s="38">
        <f t="shared" si="14"/>
        <v>22.6815561362034</v>
      </c>
      <c r="H37" s="38">
        <f t="shared" si="14"/>
        <v>18.1401707353305</v>
      </c>
      <c r="I37" s="9">
        <f t="shared" si="14"/>
        <v>2.77777777777778</v>
      </c>
      <c r="J37" s="9">
        <f t="shared" si="14"/>
        <v>2.22222222222222</v>
      </c>
      <c r="K37" s="9">
        <f t="shared" si="14"/>
        <v>1.66666666666667</v>
      </c>
      <c r="L37" s="9">
        <f t="shared" si="14"/>
        <v>1.38888888888889</v>
      </c>
      <c r="M37" s="9">
        <f t="shared" si="14"/>
        <v>1.13888888888889</v>
      </c>
      <c r="N37" s="9">
        <f t="shared" si="14"/>
        <v>0.3</v>
      </c>
      <c r="O37" s="180" t="s">
        <v>70</v>
      </c>
      <c r="S37" t="str">
        <f t="shared" si="5"/>
        <v>PRE</v>
      </c>
      <c r="T37" t="str">
        <f t="shared" si="6"/>
        <v>\I:</v>
      </c>
      <c r="U37" t="str">
        <f>O21</f>
        <v>Capture CO2 from air (Absorption technology)  (per 1 tCO2)</v>
      </c>
      <c r="V37" t="s">
        <v>71</v>
      </c>
      <c r="W37" t="s">
        <v>20</v>
      </c>
      <c r="X37" t="s">
        <v>19</v>
      </c>
      <c r="Y37" t="s">
        <v>72</v>
      </c>
    </row>
    <row r="38" spans="1:25">
      <c r="C38" s="38">
        <f t="shared" ref="C38:N38" si="15">C22</f>
        <v>1259.79843225084</v>
      </c>
      <c r="D38" s="38">
        <f t="shared" si="15"/>
        <v>894.301356227448</v>
      </c>
      <c r="E38" s="38">
        <f t="shared" si="15"/>
        <v>495</v>
      </c>
      <c r="F38" s="38">
        <f t="shared" si="15"/>
        <v>44.0929451287794</v>
      </c>
      <c r="G38" s="38">
        <f t="shared" si="15"/>
        <v>31.3005474679607</v>
      </c>
      <c r="H38" s="38">
        <f t="shared" si="15"/>
        <v>17.325</v>
      </c>
      <c r="I38" s="9">
        <f t="shared" si="15"/>
        <v>2</v>
      </c>
      <c r="J38" s="9">
        <f t="shared" si="15"/>
        <v>0.3</v>
      </c>
      <c r="K38" s="9">
        <f t="shared" si="15"/>
        <v>1.80555555555556</v>
      </c>
      <c r="L38" s="9">
        <f t="shared" si="15"/>
        <v>0.3</v>
      </c>
      <c r="M38" s="9">
        <f t="shared" si="15"/>
        <v>1.5</v>
      </c>
      <c r="N38" s="9">
        <f t="shared" si="15"/>
        <v>0.3</v>
      </c>
      <c r="O38" s="180" t="s">
        <v>70</v>
      </c>
      <c r="S38" t="str">
        <f t="shared" si="5"/>
        <v>PRE</v>
      </c>
      <c r="T38" t="str">
        <f t="shared" si="6"/>
        <v>\I:</v>
      </c>
      <c r="U38" t="str">
        <f>O22</f>
        <v>Capture CO2 from air (Adsorption technology)  (per 1 tCO2)</v>
      </c>
      <c r="V38" t="s">
        <v>71</v>
      </c>
      <c r="W38" t="s">
        <v>20</v>
      </c>
      <c r="X38" t="s">
        <v>19</v>
      </c>
      <c r="Y38" t="s">
        <v>72</v>
      </c>
    </row>
    <row r="39" spans="1:25">
      <c r="A39" s="182" t="str">
        <f>A35</f>
        <v>HH2</v>
      </c>
      <c r="B39" s="182" t="s">
        <v>69</v>
      </c>
      <c r="C39" s="183">
        <f>C29</f>
        <v>900</v>
      </c>
      <c r="D39" s="183">
        <f t="shared" ref="D39:H39" si="16">D29</f>
        <v>850</v>
      </c>
      <c r="E39" s="183">
        <f t="shared" si="16"/>
        <v>800</v>
      </c>
      <c r="F39" s="183">
        <f t="shared" si="16"/>
        <v>36</v>
      </c>
      <c r="G39" s="183">
        <f t="shared" si="16"/>
        <v>34</v>
      </c>
      <c r="H39" s="183">
        <f t="shared" si="16"/>
        <v>32</v>
      </c>
      <c r="I39" s="184">
        <v>1.25</v>
      </c>
      <c r="J39" s="184">
        <v>0.12</v>
      </c>
      <c r="K39" s="184">
        <v>1.25</v>
      </c>
      <c r="L39" s="184">
        <v>0.12</v>
      </c>
      <c r="M39" s="184">
        <v>1.25</v>
      </c>
      <c r="N39" s="184">
        <v>0.12</v>
      </c>
      <c r="O39" s="182" t="s">
        <v>77</v>
      </c>
      <c r="P39" s="182">
        <v>25</v>
      </c>
      <c r="Q39" s="182">
        <v>31.536</v>
      </c>
      <c r="R39" s="182"/>
      <c r="S39" s="182" t="str">
        <f t="shared" si="5"/>
        <v>PRE</v>
      </c>
      <c r="T39" s="182" t="str">
        <f t="shared" si="6"/>
        <v>H2prd_Gas_ATR_CCS</v>
      </c>
      <c r="U39" s="182" t="s">
        <v>78</v>
      </c>
      <c r="V39" s="182" t="s">
        <v>71</v>
      </c>
      <c r="W39" t="s">
        <v>20</v>
      </c>
      <c r="X39" t="s">
        <v>19</v>
      </c>
      <c r="Y39" t="s">
        <v>72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12"/>
  <sheetViews>
    <sheetView topLeftCell="L1" workbookViewId="0">
      <selection activeCell="H20" sqref="H20"/>
    </sheetView>
  </sheetViews>
  <sheetFormatPr defaultColWidth="9" defaultRowHeight="12.5"/>
  <cols>
    <col min="1" max="1" width="9" style="52"/>
    <col min="2" max="2" width="12.8636363636364" style="52" customWidth="1"/>
    <col min="3" max="3" width="8.86363636363636" style="52" customWidth="1"/>
    <col min="4" max="4" width="14.8636363636364" style="52" customWidth="1"/>
    <col min="5" max="5" width="9" style="52" customWidth="1"/>
    <col min="6" max="6" width="10.2636363636364" style="52" customWidth="1"/>
    <col min="7" max="7" width="4.6" style="52" customWidth="1"/>
    <col min="8" max="8" width="11.6" style="52" customWidth="1"/>
    <col min="9" max="9" width="11.2636363636364" style="52" customWidth="1"/>
    <col min="10" max="10" width="11.4" style="52" customWidth="1"/>
    <col min="11" max="11" width="5.6" style="52" customWidth="1"/>
    <col min="12" max="12" width="9" style="52"/>
    <col min="13" max="13" width="11.2636363636364" style="52" customWidth="1"/>
    <col min="14" max="14" width="12.8636363636364" style="52" customWidth="1"/>
    <col min="15" max="15" width="15.2636363636364" style="52" customWidth="1"/>
    <col min="16" max="16" width="4.6" style="52" customWidth="1"/>
    <col min="17" max="17" width="5" style="52" customWidth="1"/>
    <col min="18" max="16384" width="9" style="52"/>
  </cols>
  <sheetData>
    <row r="3" ht="17.75" spans="2:17">
      <c r="D3" s="53" t="s">
        <v>79</v>
      </c>
      <c r="M3" s="54" t="s">
        <v>1</v>
      </c>
      <c r="N3" s="54"/>
      <c r="O3" s="54"/>
      <c r="P3" s="54"/>
      <c r="Q3" s="54"/>
    </row>
    <row r="4" ht="16" spans="2:17">
      <c r="B4" s="55" t="s">
        <v>80</v>
      </c>
      <c r="C4" s="55" t="s">
        <v>81</v>
      </c>
      <c r="D4" s="55" t="s">
        <v>82</v>
      </c>
      <c r="E4" s="55" t="s">
        <v>83</v>
      </c>
      <c r="F4" s="55" t="s">
        <v>84</v>
      </c>
      <c r="G4" s="55" t="s">
        <v>85</v>
      </c>
      <c r="H4" s="55" t="s">
        <v>86</v>
      </c>
      <c r="I4" s="55" t="s">
        <v>87</v>
      </c>
      <c r="J4" s="55" t="s">
        <v>88</v>
      </c>
      <c r="K4" s="55" t="s">
        <v>5</v>
      </c>
      <c r="M4" s="55" t="s">
        <v>8</v>
      </c>
      <c r="N4" s="55" t="s">
        <v>2</v>
      </c>
      <c r="O4" s="55" t="s">
        <v>9</v>
      </c>
      <c r="P4" s="55" t="s">
        <v>11</v>
      </c>
      <c r="Q4" s="55" t="s">
        <v>12</v>
      </c>
    </row>
    <row r="5" spans="2:17">
      <c r="B5" s="52" t="s">
        <v>89</v>
      </c>
      <c r="C5" s="52" t="s">
        <v>90</v>
      </c>
      <c r="D5" s="52" t="s">
        <v>91</v>
      </c>
      <c r="E5" s="52">
        <v>31.536</v>
      </c>
      <c r="F5" s="56">
        <v>0.6</v>
      </c>
      <c r="G5" s="56">
        <v>0.6</v>
      </c>
      <c r="H5" s="56">
        <v>189.216</v>
      </c>
      <c r="I5" s="56">
        <v>88.3008</v>
      </c>
      <c r="J5" s="52">
        <v>60</v>
      </c>
      <c r="K5" s="57">
        <v>0.8</v>
      </c>
      <c r="M5" s="52" t="s">
        <v>92</v>
      </c>
      <c r="N5" s="52" t="str">
        <f t="shared" ref="N5:N12" si="0">B5</f>
        <v>HETBIOP105</v>
      </c>
      <c r="O5" s="52" t="str">
        <f>"Heat plant - "&amp;RIGHT(C5,3)</f>
        <v>Heat plant - BSL</v>
      </c>
      <c r="P5" s="52" t="s">
        <v>20</v>
      </c>
      <c r="Q5" s="52" t="s">
        <v>71</v>
      </c>
    </row>
    <row r="6" spans="2:17">
      <c r="B6" s="52" t="s">
        <v>93</v>
      </c>
      <c r="C6" s="52" t="s">
        <v>94</v>
      </c>
      <c r="D6" s="52" t="s">
        <v>91</v>
      </c>
      <c r="E6" s="52">
        <v>31.536</v>
      </c>
      <c r="F6" s="56">
        <v>0.6</v>
      </c>
      <c r="G6" s="56">
        <v>0.6</v>
      </c>
      <c r="H6" s="56">
        <v>189.216</v>
      </c>
      <c r="I6" s="56">
        <v>88.3008</v>
      </c>
      <c r="J6" s="52">
        <v>60</v>
      </c>
      <c r="K6" s="57">
        <v>0.8</v>
      </c>
      <c r="N6" s="52" t="str">
        <f t="shared" si="0"/>
        <v>HETCOAP105</v>
      </c>
      <c r="O6" s="52" t="str">
        <f>"Heat plant - "&amp;RIGHT(C6,3)</f>
        <v>Heat plant - COA</v>
      </c>
      <c r="P6" s="52" t="s">
        <v>20</v>
      </c>
      <c r="Q6" s="52" t="s">
        <v>71</v>
      </c>
    </row>
    <row r="7" spans="2:17">
      <c r="B7" s="52" t="s">
        <v>95</v>
      </c>
      <c r="C7" s="52" t="s">
        <v>96</v>
      </c>
      <c r="D7" s="52" t="s">
        <v>91</v>
      </c>
      <c r="E7" s="52">
        <v>31.536</v>
      </c>
      <c r="F7" s="56">
        <v>0.1</v>
      </c>
      <c r="G7" s="56">
        <v>0.6</v>
      </c>
      <c r="H7" s="56">
        <v>141.912</v>
      </c>
      <c r="I7" s="56">
        <v>75.6864</v>
      </c>
      <c r="J7" s="52">
        <v>60</v>
      </c>
      <c r="K7" s="57">
        <v>0.869565217391304</v>
      </c>
      <c r="N7" s="52" t="str">
        <f t="shared" si="0"/>
        <v>HETGASP105</v>
      </c>
      <c r="O7" s="52" t="str">
        <f>"Heat plant - "&amp;RIGHT(C7,3)</f>
        <v>Heat plant - NGA</v>
      </c>
      <c r="P7" s="52" t="s">
        <v>20</v>
      </c>
      <c r="Q7" s="52" t="s">
        <v>71</v>
      </c>
    </row>
    <row r="8" spans="2:17">
      <c r="B8" s="52" t="s">
        <v>97</v>
      </c>
      <c r="C8" s="52" t="s">
        <v>98</v>
      </c>
      <c r="D8" s="52" t="s">
        <v>91</v>
      </c>
      <c r="E8" s="52">
        <v>31.536</v>
      </c>
      <c r="F8" s="56">
        <v>0.3</v>
      </c>
      <c r="G8" s="56">
        <v>0.6</v>
      </c>
      <c r="H8" s="56">
        <v>157.68</v>
      </c>
      <c r="I8" s="56">
        <v>78.84</v>
      </c>
      <c r="J8" s="52">
        <v>60</v>
      </c>
      <c r="K8" s="57">
        <v>0.8</v>
      </c>
      <c r="N8" s="52" t="str">
        <f t="shared" si="0"/>
        <v>HETOILP105</v>
      </c>
      <c r="O8" s="52" t="str">
        <f>"Heat plant - "&amp;RIGHT(C8,3)</f>
        <v>Heat plant - OIL</v>
      </c>
      <c r="P8" s="52" t="s">
        <v>20</v>
      </c>
      <c r="Q8" s="52" t="s">
        <v>71</v>
      </c>
    </row>
    <row r="9" ht="13" spans="2:17">
      <c r="B9" s="58" t="s">
        <v>99</v>
      </c>
      <c r="C9" s="52" t="s">
        <v>100</v>
      </c>
      <c r="D9" s="52" t="s">
        <v>91</v>
      </c>
      <c r="E9" s="52">
        <f t="shared" ref="E9:K9" si="1">E7</f>
        <v>31.536</v>
      </c>
      <c r="F9" s="56">
        <f t="shared" si="1"/>
        <v>0.1</v>
      </c>
      <c r="G9" s="56">
        <f t="shared" si="1"/>
        <v>0.6</v>
      </c>
      <c r="H9" s="56">
        <f t="shared" si="1"/>
        <v>141.912</v>
      </c>
      <c r="I9" s="56">
        <f t="shared" si="1"/>
        <v>75.6864</v>
      </c>
      <c r="J9" s="52">
        <f t="shared" si="1"/>
        <v>60</v>
      </c>
      <c r="K9" s="57">
        <f t="shared" si="1"/>
        <v>0.869565217391304</v>
      </c>
      <c r="N9" s="52" t="str">
        <f t="shared" si="0"/>
        <v>\I: HETHH2P105</v>
      </c>
      <c r="O9" s="52" t="str">
        <f>"Heat plant - "&amp;RIGHT(C9,3)</f>
        <v>Heat plant - HH2</v>
      </c>
      <c r="P9" s="52" t="s">
        <v>20</v>
      </c>
      <c r="Q9" s="52" t="s">
        <v>71</v>
      </c>
    </row>
    <row r="10" spans="2:17">
      <c r="B10" s="52" t="s">
        <v>101</v>
      </c>
      <c r="C10" s="52" t="s">
        <v>102</v>
      </c>
      <c r="D10" s="52" t="s">
        <v>103</v>
      </c>
      <c r="E10" s="52">
        <f>E8</f>
        <v>31.536</v>
      </c>
      <c r="F10" s="56"/>
      <c r="G10" s="56"/>
      <c r="H10" s="56">
        <v>800</v>
      </c>
      <c r="I10" s="56">
        <f>H10/10</f>
        <v>80</v>
      </c>
      <c r="J10" s="52">
        <v>20</v>
      </c>
      <c r="K10" s="57">
        <v>2.5</v>
      </c>
      <c r="N10" s="52" t="str">
        <f t="shared" si="0"/>
        <v>HETHPU</v>
      </c>
      <c r="O10" s="52" t="s">
        <v>104</v>
      </c>
      <c r="P10" s="52" t="s">
        <v>20</v>
      </c>
      <c r="Q10" s="52" t="s">
        <v>71</v>
      </c>
    </row>
    <row r="11" spans="2:17">
      <c r="B11" s="52" t="s">
        <v>70</v>
      </c>
      <c r="N11" s="52" t="str">
        <f t="shared" si="0"/>
        <v>\I:</v>
      </c>
    </row>
    <row r="12" spans="2:17">
      <c r="B12" s="52" t="s">
        <v>105</v>
      </c>
      <c r="C12" s="52" t="s">
        <v>106</v>
      </c>
      <c r="D12" s="52" t="s">
        <v>107</v>
      </c>
      <c r="K12" s="57">
        <v>1</v>
      </c>
      <c r="M12" s="52" t="s">
        <v>108</v>
      </c>
      <c r="N12" s="52" t="str">
        <f t="shared" si="0"/>
        <v>FT_INDNUC</v>
      </c>
      <c r="P12" s="52" t="s">
        <v>20</v>
      </c>
      <c r="Q12" s="52" t="s">
        <v>71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K40"/>
  <sheetViews>
    <sheetView topLeftCell="AD1" workbookViewId="0">
      <selection activeCell="T22" sqref="T22"/>
    </sheetView>
  </sheetViews>
  <sheetFormatPr defaultColWidth="9" defaultRowHeight="14.5"/>
  <cols>
    <col min="8" max="8" width="17.6" customWidth="1"/>
    <col min="10" max="10" width="10.8636363636364" customWidth="1"/>
    <col min="11" max="13" width="5" customWidth="1"/>
    <col min="14" max="14" width="8.4" customWidth="1"/>
    <col min="15" max="15" width="2" customWidth="1"/>
    <col min="16" max="16" width="3.6" customWidth="1"/>
    <col min="17" max="17" width="17.6" customWidth="1"/>
    <col min="21" max="21" width="2" customWidth="1"/>
    <col min="22" max="22" width="17.6" customWidth="1"/>
    <col min="23" max="25" width="6" customWidth="1"/>
    <col min="26" max="26" width="2" customWidth="1"/>
    <col min="27" max="27" width="17.6" customWidth="1"/>
    <col min="28" max="28" width="11.4" customWidth="1"/>
    <col min="29" max="31" width="5" customWidth="1"/>
    <col min="33" max="33" width="19.8636363636364" customWidth="1"/>
    <col min="34" max="34" width="5.6" customWidth="1"/>
    <col min="35" max="37" width="5" customWidth="1"/>
  </cols>
  <sheetData>
    <row r="1" spans="1:37">
      <c r="A1" s="31" t="s">
        <v>109</v>
      </c>
      <c r="B1" s="31" t="s">
        <v>110</v>
      </c>
      <c r="C1" s="31" t="s">
        <v>111</v>
      </c>
      <c r="D1" s="31" t="s">
        <v>112</v>
      </c>
      <c r="E1" s="31" t="s">
        <v>113</v>
      </c>
      <c r="F1" s="31" t="s">
        <v>114</v>
      </c>
      <c r="J1" t="s">
        <v>115</v>
      </c>
      <c r="Q1" t="s">
        <v>116</v>
      </c>
      <c r="V1" t="s">
        <v>117</v>
      </c>
      <c r="AA1" t="s">
        <v>118</v>
      </c>
    </row>
    <row r="2" spans="1:37">
      <c r="A2" s="32" t="s">
        <v>119</v>
      </c>
      <c r="B2" s="33"/>
      <c r="C2" s="33"/>
      <c r="D2" s="33"/>
      <c r="E2" s="33"/>
      <c r="F2" s="34"/>
      <c r="H2" t="s">
        <v>120</v>
      </c>
      <c r="I2" t="s">
        <v>121</v>
      </c>
      <c r="J2" t="s">
        <v>122</v>
      </c>
      <c r="K2">
        <v>2030</v>
      </c>
      <c r="L2">
        <v>2040</v>
      </c>
      <c r="M2">
        <v>2050</v>
      </c>
      <c r="N2" t="s">
        <v>123</v>
      </c>
      <c r="P2" t="s">
        <v>124</v>
      </c>
      <c r="Q2" t="str">
        <f>$H2</f>
        <v>Process</v>
      </c>
      <c r="R2">
        <f>K2</f>
        <v>2030</v>
      </c>
      <c r="S2">
        <f>L2</f>
        <v>2040</v>
      </c>
      <c r="T2">
        <f>M2</f>
        <v>2050</v>
      </c>
      <c r="V2" t="str">
        <f>$H2</f>
        <v>Process</v>
      </c>
      <c r="W2">
        <f>R2</f>
        <v>2030</v>
      </c>
      <c r="X2">
        <f t="shared" ref="X2:Y2" si="0">S2</f>
        <v>2040</v>
      </c>
      <c r="Y2">
        <f t="shared" si="0"/>
        <v>2050</v>
      </c>
      <c r="AA2" t="s">
        <v>120</v>
      </c>
      <c r="AB2" t="s">
        <v>125</v>
      </c>
      <c r="AC2">
        <v>2030</v>
      </c>
      <c r="AD2">
        <v>2040</v>
      </c>
      <c r="AE2">
        <v>2050</v>
      </c>
      <c r="AF2" t="s">
        <v>126</v>
      </c>
      <c r="AG2" t="s">
        <v>127</v>
      </c>
      <c r="AH2" t="s">
        <v>67</v>
      </c>
    </row>
    <row r="3" spans="1:37">
      <c r="A3" s="35" t="s">
        <v>128</v>
      </c>
      <c r="B3" s="35" t="s">
        <v>129</v>
      </c>
      <c r="C3" s="36">
        <v>2030</v>
      </c>
      <c r="D3" s="37">
        <v>1455.45</v>
      </c>
      <c r="E3" s="37">
        <v>338.75</v>
      </c>
      <c r="F3" s="37">
        <v>2772.15</v>
      </c>
      <c r="H3" t="s">
        <v>130</v>
      </c>
      <c r="I3" t="s">
        <v>16</v>
      </c>
      <c r="J3" t="s">
        <v>112</v>
      </c>
      <c r="K3" s="38">
        <v>1455.45</v>
      </c>
      <c r="L3" s="38">
        <v>661.3</v>
      </c>
      <c r="M3" s="38">
        <v>439.05</v>
      </c>
      <c r="N3" s="39">
        <v>31.536</v>
      </c>
      <c r="O3" s="38"/>
      <c r="P3" s="40">
        <v>0.02</v>
      </c>
      <c r="Q3" t="str">
        <f t="shared" ref="Q3:Q5" si="1">$H3</f>
        <v>H2Conv_Ammonia</v>
      </c>
      <c r="R3" s="39">
        <f>$P3*K3</f>
        <v>29.109</v>
      </c>
      <c r="S3" s="39">
        <f t="shared" ref="S3:T5" si="2">$P3*L3</f>
        <v>13.226</v>
      </c>
      <c r="T3" s="39">
        <f t="shared" si="2"/>
        <v>8.781</v>
      </c>
      <c r="V3" t="str">
        <f t="shared" ref="V3:V5" si="3">$H3</f>
        <v>H2Conv_Ammonia</v>
      </c>
      <c r="W3">
        <v>0.875</v>
      </c>
      <c r="X3">
        <v>0.875</v>
      </c>
      <c r="Y3">
        <v>0.875</v>
      </c>
      <c r="AA3" t="str">
        <f>H3</f>
        <v>H2Conv_Ammonia</v>
      </c>
      <c r="AB3" t="s">
        <v>102</v>
      </c>
      <c r="AC3" s="9">
        <v>0.129</v>
      </c>
      <c r="AD3" s="9">
        <v>0.114</v>
      </c>
      <c r="AE3" s="9">
        <v>0.114</v>
      </c>
      <c r="AF3" s="9">
        <v>0.4</v>
      </c>
      <c r="AG3" s="9">
        <v>3</v>
      </c>
      <c r="AH3" s="38">
        <v>25</v>
      </c>
    </row>
    <row r="4" spans="1:37">
      <c r="A4" s="35"/>
      <c r="B4" s="35"/>
      <c r="C4" s="41">
        <v>2040</v>
      </c>
      <c r="D4" s="37">
        <v>661.3</v>
      </c>
      <c r="E4" s="37">
        <v>138.45</v>
      </c>
      <c r="F4" s="37">
        <v>1368.75</v>
      </c>
      <c r="H4" t="s">
        <v>131</v>
      </c>
      <c r="I4" t="s">
        <v>16</v>
      </c>
      <c r="J4" t="s">
        <v>113</v>
      </c>
      <c r="K4" s="38">
        <v>338.75</v>
      </c>
      <c r="L4" s="38">
        <v>138.45</v>
      </c>
      <c r="M4" s="38">
        <v>87.3</v>
      </c>
      <c r="N4" s="39">
        <v>31.536</v>
      </c>
      <c r="O4" s="39"/>
      <c r="P4" s="40">
        <v>0.035</v>
      </c>
      <c r="Q4" t="str">
        <f t="shared" si="1"/>
        <v>H2Conv_LOHC</v>
      </c>
      <c r="R4" s="39">
        <f t="shared" ref="R4:R5" si="4">$P4*K4</f>
        <v>11.85625</v>
      </c>
      <c r="S4" s="39">
        <f t="shared" si="2"/>
        <v>4.84575</v>
      </c>
      <c r="T4" s="39">
        <f t="shared" si="2"/>
        <v>3.0555</v>
      </c>
      <c r="V4" t="str">
        <f t="shared" si="3"/>
        <v>H2Conv_LOHC</v>
      </c>
      <c r="W4">
        <v>0.925</v>
      </c>
      <c r="X4">
        <v>0.95</v>
      </c>
      <c r="Y4">
        <v>0.975</v>
      </c>
      <c r="AA4" t="str">
        <f t="shared" ref="AA4:AA5" si="5">H4</f>
        <v>H2Conv_LOHC</v>
      </c>
      <c r="AB4" t="s">
        <v>102</v>
      </c>
      <c r="AC4" s="9">
        <v>0</v>
      </c>
      <c r="AD4" s="9">
        <v>0</v>
      </c>
      <c r="AE4" s="9">
        <v>0</v>
      </c>
      <c r="AF4" s="9">
        <v>0.4</v>
      </c>
      <c r="AG4" s="9">
        <v>3</v>
      </c>
      <c r="AH4" s="38">
        <v>25</v>
      </c>
    </row>
    <row r="5" spans="1:37">
      <c r="A5" s="35"/>
      <c r="B5" s="35"/>
      <c r="C5" s="42">
        <v>2050</v>
      </c>
      <c r="D5" s="37">
        <v>439.05</v>
      </c>
      <c r="E5" s="37">
        <v>87.3</v>
      </c>
      <c r="F5" s="37">
        <v>799.5</v>
      </c>
      <c r="H5" t="s">
        <v>132</v>
      </c>
      <c r="I5" t="s">
        <v>16</v>
      </c>
      <c r="J5" t="s">
        <v>133</v>
      </c>
      <c r="K5" s="38">
        <v>2772.15</v>
      </c>
      <c r="L5" s="38">
        <v>1368.75</v>
      </c>
      <c r="M5" s="38">
        <v>799.5</v>
      </c>
      <c r="N5" s="39">
        <v>31.536</v>
      </c>
      <c r="O5" s="39"/>
      <c r="P5" s="40">
        <v>0.04</v>
      </c>
      <c r="Q5" t="str">
        <f t="shared" si="1"/>
        <v>H2Conv_Liquid</v>
      </c>
      <c r="R5" s="39">
        <f t="shared" si="4"/>
        <v>110.886</v>
      </c>
      <c r="S5" s="39">
        <f t="shared" si="2"/>
        <v>54.75</v>
      </c>
      <c r="T5" s="39">
        <f t="shared" si="2"/>
        <v>31.98</v>
      </c>
      <c r="V5" t="str">
        <f t="shared" si="3"/>
        <v>H2Conv_Liquid</v>
      </c>
      <c r="W5">
        <v>0.95</v>
      </c>
      <c r="X5">
        <v>0.98</v>
      </c>
      <c r="Y5">
        <v>1</v>
      </c>
      <c r="AA5" t="str">
        <f t="shared" si="5"/>
        <v>H2Conv_Liquid</v>
      </c>
      <c r="AB5" t="s">
        <v>102</v>
      </c>
      <c r="AC5" s="9">
        <v>0.255</v>
      </c>
      <c r="AD5" s="9">
        <v>0.225</v>
      </c>
      <c r="AE5" s="9">
        <v>0.1875</v>
      </c>
      <c r="AF5" s="9">
        <v>0.4</v>
      </c>
      <c r="AG5" s="9">
        <v>3</v>
      </c>
      <c r="AH5" s="38">
        <v>25</v>
      </c>
    </row>
    <row r="6" spans="1:37">
      <c r="A6" s="41" t="s">
        <v>134</v>
      </c>
      <c r="B6" s="43" t="s">
        <v>135</v>
      </c>
      <c r="C6" s="43"/>
      <c r="D6" s="44">
        <v>0.02</v>
      </c>
      <c r="E6" s="44">
        <v>0.035</v>
      </c>
      <c r="F6" s="44">
        <v>0.04</v>
      </c>
    </row>
    <row r="7" spans="1:37">
      <c r="A7" s="35" t="s">
        <v>136</v>
      </c>
      <c r="B7" s="35" t="s">
        <v>137</v>
      </c>
      <c r="C7" s="36">
        <v>2030</v>
      </c>
      <c r="D7" s="44">
        <v>0.875</v>
      </c>
      <c r="E7" s="44">
        <v>0.925</v>
      </c>
      <c r="F7" s="44">
        <v>0.95</v>
      </c>
      <c r="H7" t="s">
        <v>138</v>
      </c>
    </row>
    <row r="8" spans="1:37">
      <c r="A8" s="35"/>
      <c r="B8" s="35"/>
      <c r="C8" s="41">
        <v>2040</v>
      </c>
      <c r="D8" s="44">
        <v>0.875</v>
      </c>
      <c r="E8" s="44">
        <v>0.95</v>
      </c>
      <c r="F8" s="44">
        <v>0.98</v>
      </c>
      <c r="H8">
        <f>D10*3.6/120</f>
        <v>0.129</v>
      </c>
      <c r="I8">
        <f>F10*3.6/120</f>
        <v>0.255</v>
      </c>
    </row>
    <row r="9" spans="1:37">
      <c r="A9" s="45"/>
      <c r="B9" s="45"/>
      <c r="C9" s="41">
        <v>2050</v>
      </c>
      <c r="D9" s="44">
        <v>0.875</v>
      </c>
      <c r="E9" s="44">
        <v>0.975</v>
      </c>
      <c r="F9" s="44">
        <v>1</v>
      </c>
      <c r="H9">
        <f>D11*3.6/120</f>
        <v>0.114</v>
      </c>
      <c r="I9">
        <f>F11*3.6/120</f>
        <v>0.225</v>
      </c>
    </row>
    <row r="10" spans="1:37">
      <c r="A10" s="46" t="s">
        <v>139</v>
      </c>
      <c r="B10" s="46" t="s">
        <v>140</v>
      </c>
      <c r="C10" s="41">
        <v>2030</v>
      </c>
      <c r="D10" s="37">
        <v>4.3</v>
      </c>
      <c r="E10" s="37">
        <v>0</v>
      </c>
      <c r="F10" s="37">
        <v>8.5</v>
      </c>
      <c r="H10">
        <f>D12*3.6/120</f>
        <v>0.114</v>
      </c>
      <c r="I10">
        <f>F12*3.6/120</f>
        <v>0.1875</v>
      </c>
    </row>
    <row r="11" spans="1:37">
      <c r="A11" s="35"/>
      <c r="B11" s="35"/>
      <c r="C11" s="41">
        <v>2040</v>
      </c>
      <c r="D11" s="37">
        <v>3.8</v>
      </c>
      <c r="E11" s="37">
        <v>0</v>
      </c>
      <c r="F11" s="37">
        <v>7.5</v>
      </c>
    </row>
    <row r="12" spans="1:37">
      <c r="A12" s="35"/>
      <c r="B12" s="35"/>
      <c r="C12" s="42">
        <v>2050</v>
      </c>
      <c r="D12" s="47">
        <v>3.8</v>
      </c>
      <c r="E12" s="47">
        <v>0</v>
      </c>
      <c r="F12" s="47">
        <v>6.25</v>
      </c>
      <c r="J12" t="s">
        <v>115</v>
      </c>
      <c r="Q12" t="s">
        <v>116</v>
      </c>
      <c r="V12" t="s">
        <v>117</v>
      </c>
      <c r="AA12" t="s">
        <v>118</v>
      </c>
    </row>
    <row r="13" spans="1:37">
      <c r="A13" s="32" t="s">
        <v>141</v>
      </c>
      <c r="B13" s="33"/>
      <c r="C13" s="33"/>
      <c r="D13" s="33"/>
      <c r="E13" s="33"/>
      <c r="F13" s="34"/>
      <c r="H13" t="s">
        <v>120</v>
      </c>
      <c r="I13" t="s">
        <v>121</v>
      </c>
      <c r="J13" t="s">
        <v>122</v>
      </c>
      <c r="K13">
        <v>2030</v>
      </c>
      <c r="L13">
        <v>2040</v>
      </c>
      <c r="M13">
        <v>2050</v>
      </c>
      <c r="N13" t="s">
        <v>123</v>
      </c>
      <c r="P13" t="s">
        <v>124</v>
      </c>
      <c r="Q13" t="str">
        <f>$H13</f>
        <v>Process</v>
      </c>
      <c r="R13">
        <f>K13</f>
        <v>2030</v>
      </c>
      <c r="S13">
        <f>L13</f>
        <v>2040</v>
      </c>
      <c r="T13">
        <f>M13</f>
        <v>2050</v>
      </c>
      <c r="V13" t="str">
        <f>$H13</f>
        <v>Process</v>
      </c>
      <c r="W13">
        <f>R13</f>
        <v>2030</v>
      </c>
      <c r="AA13" t="s">
        <v>120</v>
      </c>
      <c r="AB13" t="s">
        <v>125</v>
      </c>
      <c r="AC13">
        <v>2030</v>
      </c>
      <c r="AD13">
        <v>2040</v>
      </c>
      <c r="AE13">
        <v>2050</v>
      </c>
      <c r="AF13" t="s">
        <v>126</v>
      </c>
      <c r="AG13" t="s">
        <v>127</v>
      </c>
      <c r="AH13" t="s">
        <v>67</v>
      </c>
    </row>
    <row r="14" spans="1:37">
      <c r="A14" s="35" t="s">
        <v>128</v>
      </c>
      <c r="B14" s="35" t="s">
        <v>142</v>
      </c>
      <c r="C14" s="36">
        <v>2030</v>
      </c>
      <c r="D14" s="48">
        <v>1154.05</v>
      </c>
      <c r="E14" s="48">
        <v>752.1</v>
      </c>
      <c r="F14" s="48">
        <v>649.45</v>
      </c>
      <c r="H14" t="s">
        <v>143</v>
      </c>
      <c r="I14" t="s">
        <v>112</v>
      </c>
      <c r="J14" t="s">
        <v>16</v>
      </c>
      <c r="K14" s="38">
        <v>1154.05</v>
      </c>
      <c r="L14" s="38">
        <v>457.85</v>
      </c>
      <c r="M14" s="38">
        <v>276.55</v>
      </c>
      <c r="N14" s="39">
        <v>31.536</v>
      </c>
      <c r="O14" s="38"/>
      <c r="P14" s="40">
        <v>0.035</v>
      </c>
      <c r="Q14" t="str">
        <f t="shared" ref="Q14:Q16" si="6">$H14</f>
        <v>H2ReConv_Ammonia</v>
      </c>
      <c r="R14" s="39">
        <f>$P14*K14</f>
        <v>40.39175</v>
      </c>
      <c r="S14" s="39">
        <f t="shared" ref="S14:T16" si="7">$P14*L14</f>
        <v>16.02475</v>
      </c>
      <c r="T14" s="39">
        <f t="shared" si="7"/>
        <v>9.67925</v>
      </c>
      <c r="V14" t="str">
        <f t="shared" ref="V14:V16" si="8">$H14</f>
        <v>H2ReConv_Ammonia</v>
      </c>
      <c r="W14">
        <v>0.98</v>
      </c>
      <c r="AA14" t="str">
        <f>H14</f>
        <v>H2ReConv_Ammonia</v>
      </c>
      <c r="AB14" t="s">
        <v>102</v>
      </c>
      <c r="AC14" s="9">
        <v>0.06</v>
      </c>
      <c r="AD14" s="9">
        <v>0.045</v>
      </c>
      <c r="AE14" s="9">
        <v>0.0225</v>
      </c>
      <c r="AF14" s="9">
        <v>0.4</v>
      </c>
      <c r="AG14" s="9">
        <v>3</v>
      </c>
      <c r="AH14" s="38">
        <v>25</v>
      </c>
    </row>
    <row r="15" spans="1:37">
      <c r="A15" s="35"/>
      <c r="B15" s="35"/>
      <c r="C15" s="41">
        <v>2040</v>
      </c>
      <c r="D15" s="37">
        <v>457.85</v>
      </c>
      <c r="E15" s="37">
        <v>321.5</v>
      </c>
      <c r="F15" s="37">
        <v>267.3</v>
      </c>
      <c r="H15" t="s">
        <v>144</v>
      </c>
      <c r="I15" t="s">
        <v>113</v>
      </c>
      <c r="J15" t="s">
        <v>16</v>
      </c>
      <c r="K15" s="38">
        <v>752.1</v>
      </c>
      <c r="L15" s="38">
        <v>321.5</v>
      </c>
      <c r="M15" s="38">
        <v>169.75</v>
      </c>
      <c r="N15" s="39">
        <v>31.536</v>
      </c>
      <c r="O15" s="39"/>
      <c r="P15" s="40">
        <v>0.045</v>
      </c>
      <c r="Q15" t="str">
        <f t="shared" si="6"/>
        <v>H2ReConv_LOHC</v>
      </c>
      <c r="R15" s="39">
        <f t="shared" ref="R15:R16" si="9">$P15*K15</f>
        <v>33.8445</v>
      </c>
      <c r="S15" s="39">
        <f t="shared" si="7"/>
        <v>14.4675</v>
      </c>
      <c r="T15" s="39">
        <f t="shared" si="7"/>
        <v>7.63875</v>
      </c>
      <c r="V15" t="str">
        <f t="shared" si="8"/>
        <v>H2ReConv_LOHC</v>
      </c>
      <c r="W15">
        <v>0.98</v>
      </c>
      <c r="AA15" t="str">
        <f t="shared" ref="AA15:AA16" si="10">H15</f>
        <v>H2ReConv_LOHC</v>
      </c>
      <c r="AB15" t="s">
        <v>102</v>
      </c>
      <c r="AC15" s="9">
        <v>0.06</v>
      </c>
      <c r="AD15" s="9">
        <v>0.06</v>
      </c>
      <c r="AE15" s="9">
        <v>0.06</v>
      </c>
      <c r="AF15" s="9">
        <v>0.4</v>
      </c>
      <c r="AG15" s="9">
        <v>3</v>
      </c>
      <c r="AH15" s="38">
        <v>25</v>
      </c>
    </row>
    <row r="16" spans="1:37">
      <c r="A16" s="35"/>
      <c r="B16" s="35"/>
      <c r="C16" s="42">
        <v>2050</v>
      </c>
      <c r="D16" s="37">
        <v>276.55</v>
      </c>
      <c r="E16" s="37">
        <v>169.75</v>
      </c>
      <c r="F16" s="37">
        <v>125.45</v>
      </c>
      <c r="H16" t="s">
        <v>145</v>
      </c>
      <c r="I16" t="s">
        <v>133</v>
      </c>
      <c r="J16" t="s">
        <v>16</v>
      </c>
      <c r="K16" s="38">
        <v>649.45</v>
      </c>
      <c r="L16" s="38">
        <v>267.3</v>
      </c>
      <c r="M16" s="38">
        <v>125.45</v>
      </c>
      <c r="N16" s="39">
        <v>31.536</v>
      </c>
      <c r="O16" s="39"/>
      <c r="P16" s="40">
        <v>0.035</v>
      </c>
      <c r="Q16" t="str">
        <f t="shared" si="6"/>
        <v>H2ReConv_Liquid</v>
      </c>
      <c r="R16" s="39">
        <f t="shared" si="9"/>
        <v>22.73075</v>
      </c>
      <c r="S16" s="39">
        <f t="shared" si="7"/>
        <v>9.3555</v>
      </c>
      <c r="T16" s="39">
        <f t="shared" si="7"/>
        <v>4.39075</v>
      </c>
      <c r="V16" t="str">
        <f t="shared" si="8"/>
        <v>H2ReConv_Liquid</v>
      </c>
      <c r="W16">
        <v>0.98</v>
      </c>
      <c r="AA16" t="str">
        <f t="shared" si="10"/>
        <v>H2ReConv_Liquid</v>
      </c>
      <c r="AB16" t="s">
        <v>102</v>
      </c>
      <c r="AC16" s="9">
        <v>0.0225</v>
      </c>
      <c r="AD16" s="9">
        <v>0.01575</v>
      </c>
      <c r="AE16" s="9">
        <v>0.009</v>
      </c>
      <c r="AF16" s="9">
        <v>0.4</v>
      </c>
      <c r="AG16" s="9">
        <v>3</v>
      </c>
      <c r="AH16" s="38">
        <v>25</v>
      </c>
      <c r="AI16" s="9"/>
      <c r="AJ16" s="9"/>
      <c r="AK16" s="9"/>
    </row>
    <row r="17" spans="1:33">
      <c r="A17" s="42" t="s">
        <v>134</v>
      </c>
      <c r="B17" s="49" t="s">
        <v>135</v>
      </c>
      <c r="C17" s="49"/>
      <c r="D17" s="44">
        <v>0.035</v>
      </c>
      <c r="E17" s="44">
        <v>0.045</v>
      </c>
      <c r="F17" s="44">
        <v>0.035</v>
      </c>
    </row>
    <row r="18" spans="1:33">
      <c r="A18" s="41" t="s">
        <v>136</v>
      </c>
      <c r="B18" s="43" t="s">
        <v>146</v>
      </c>
      <c r="C18" s="43"/>
      <c r="D18" s="50">
        <v>0.98</v>
      </c>
      <c r="E18" s="44">
        <v>0.98</v>
      </c>
      <c r="F18" s="44">
        <v>0.98</v>
      </c>
      <c r="H18" t="s">
        <v>138</v>
      </c>
      <c r="AA18" t="s">
        <v>118</v>
      </c>
    </row>
    <row r="19" spans="1:33">
      <c r="A19" s="35" t="s">
        <v>139</v>
      </c>
      <c r="B19" s="46" t="s">
        <v>140</v>
      </c>
      <c r="C19" s="36">
        <v>2030</v>
      </c>
      <c r="D19" s="37">
        <v>2</v>
      </c>
      <c r="E19" s="37">
        <v>2</v>
      </c>
      <c r="F19" s="37">
        <v>0.75</v>
      </c>
      <c r="H19" s="39">
        <f>D19*3.6/120</f>
        <v>0.06</v>
      </c>
      <c r="I19" s="39">
        <f t="shared" ref="I19:J24" si="11">E19*3.6/120</f>
        <v>0.06</v>
      </c>
      <c r="J19" s="39">
        <f t="shared" si="11"/>
        <v>0.0225</v>
      </c>
      <c r="AA19" t="s">
        <v>120</v>
      </c>
      <c r="AB19" t="s">
        <v>125</v>
      </c>
      <c r="AC19">
        <v>2030</v>
      </c>
      <c r="AD19">
        <v>2040</v>
      </c>
      <c r="AE19">
        <v>2050</v>
      </c>
      <c r="AF19" t="s">
        <v>147</v>
      </c>
      <c r="AG19" t="s">
        <v>148</v>
      </c>
    </row>
    <row r="20" spans="1:33">
      <c r="A20" s="35"/>
      <c r="B20" s="35"/>
      <c r="C20" s="41">
        <v>2040</v>
      </c>
      <c r="D20" s="37">
        <v>1.5</v>
      </c>
      <c r="E20" s="37">
        <v>2</v>
      </c>
      <c r="F20" s="37">
        <v>0.525</v>
      </c>
      <c r="H20" s="39">
        <f t="shared" ref="H20:H24" si="12">D20*3.6/120</f>
        <v>0.045</v>
      </c>
      <c r="I20" s="39">
        <f t="shared" si="11"/>
        <v>0.06</v>
      </c>
      <c r="J20" s="39">
        <f t="shared" si="11"/>
        <v>0.01575</v>
      </c>
      <c r="AA20" t="str">
        <f>V14</f>
        <v>H2ReConv_Ammonia</v>
      </c>
      <c r="AB20" t="s">
        <v>23</v>
      </c>
      <c r="AC20" s="9">
        <v>0.42</v>
      </c>
      <c r="AD20" s="9">
        <v>0.3315</v>
      </c>
      <c r="AE20" s="9">
        <v>0.243</v>
      </c>
      <c r="AF20" t="s">
        <v>149</v>
      </c>
      <c r="AG20">
        <v>0.9</v>
      </c>
    </row>
    <row r="21" spans="1:33">
      <c r="A21" s="45"/>
      <c r="B21" s="45"/>
      <c r="C21" s="42">
        <v>2050</v>
      </c>
      <c r="D21" s="37">
        <v>0.75</v>
      </c>
      <c r="E21" s="37">
        <v>2</v>
      </c>
      <c r="F21" s="37">
        <v>0.3</v>
      </c>
      <c r="H21" s="39">
        <f t="shared" si="12"/>
        <v>0.0225</v>
      </c>
      <c r="I21" s="39">
        <f t="shared" si="11"/>
        <v>0.06</v>
      </c>
      <c r="J21" s="39">
        <f t="shared" si="11"/>
        <v>0.009</v>
      </c>
      <c r="AA21" t="str">
        <f>V15</f>
        <v>H2ReConv_LOHC</v>
      </c>
      <c r="AB21" t="s">
        <v>23</v>
      </c>
      <c r="AC21" s="9">
        <v>0.51</v>
      </c>
      <c r="AD21" s="9">
        <v>0.4245</v>
      </c>
      <c r="AE21" s="9">
        <v>0.339</v>
      </c>
      <c r="AF21" t="s">
        <v>149</v>
      </c>
      <c r="AG21" s="9">
        <v>0.9</v>
      </c>
    </row>
    <row r="22" spans="1:33">
      <c r="A22" s="46" t="s">
        <v>150</v>
      </c>
      <c r="B22" s="35" t="s">
        <v>140</v>
      </c>
      <c r="C22" s="36">
        <v>2030</v>
      </c>
      <c r="D22" s="37">
        <v>14</v>
      </c>
      <c r="E22" s="37">
        <v>17</v>
      </c>
      <c r="F22" s="37">
        <v>0</v>
      </c>
      <c r="H22" s="39">
        <f t="shared" si="12"/>
        <v>0.42</v>
      </c>
      <c r="I22" s="39">
        <f t="shared" si="11"/>
        <v>0.51</v>
      </c>
      <c r="J22" s="39">
        <f t="shared" si="11"/>
        <v>0</v>
      </c>
    </row>
    <row r="23" spans="1:33">
      <c r="A23" s="35"/>
      <c r="B23" s="35"/>
      <c r="C23" s="41">
        <v>2040</v>
      </c>
      <c r="D23" s="37">
        <v>11.05</v>
      </c>
      <c r="E23" s="37">
        <v>14.15</v>
      </c>
      <c r="F23" s="37">
        <v>0</v>
      </c>
      <c r="H23" s="39">
        <f t="shared" si="12"/>
        <v>0.3315</v>
      </c>
      <c r="I23" s="39">
        <f t="shared" si="11"/>
        <v>0.4245</v>
      </c>
      <c r="J23" s="39">
        <f t="shared" si="11"/>
        <v>0</v>
      </c>
    </row>
    <row r="24" spans="1:33">
      <c r="A24" s="45"/>
      <c r="B24" s="45"/>
      <c r="C24" s="41">
        <v>2050</v>
      </c>
      <c r="D24" s="37">
        <v>8.1</v>
      </c>
      <c r="E24" s="37">
        <v>11.3</v>
      </c>
      <c r="F24" s="37">
        <v>0</v>
      </c>
      <c r="H24" s="39">
        <f t="shared" si="12"/>
        <v>0.243</v>
      </c>
      <c r="I24" s="39">
        <f t="shared" si="11"/>
        <v>0.339</v>
      </c>
      <c r="J24" s="39">
        <f t="shared" si="11"/>
        <v>0</v>
      </c>
    </row>
    <row r="27" spans="1:33">
      <c r="H27" s="51" t="s">
        <v>1</v>
      </c>
      <c r="I27" s="51"/>
      <c r="J27" s="51"/>
      <c r="K27" s="51"/>
      <c r="L27" s="51"/>
    </row>
    <row r="28" spans="1:33">
      <c r="H28" s="51" t="s">
        <v>8</v>
      </c>
      <c r="I28" s="51" t="s">
        <v>2</v>
      </c>
      <c r="J28" s="51" t="s">
        <v>9</v>
      </c>
      <c r="K28" s="51" t="s">
        <v>11</v>
      </c>
      <c r="L28" s="51" t="s">
        <v>12</v>
      </c>
    </row>
    <row r="29" spans="1:33">
      <c r="H29" t="s">
        <v>108</v>
      </c>
      <c r="I29" t="str">
        <f>H3</f>
        <v>H2Conv_Ammonia</v>
      </c>
      <c r="K29" t="s">
        <v>20</v>
      </c>
      <c r="L29" t="s">
        <v>71</v>
      </c>
    </row>
    <row r="30" spans="1:33">
      <c r="I30" t="str">
        <f t="shared" ref="I30:I31" si="13">H4</f>
        <v>H2Conv_LOHC</v>
      </c>
      <c r="K30" t="s">
        <v>20</v>
      </c>
      <c r="L30" t="s">
        <v>71</v>
      </c>
    </row>
    <row r="31" spans="1:33">
      <c r="I31" t="str">
        <f t="shared" si="13"/>
        <v>H2Conv_Liquid</v>
      </c>
      <c r="K31" t="s">
        <v>20</v>
      </c>
      <c r="L31" t="s">
        <v>71</v>
      </c>
    </row>
    <row r="32" spans="1:33">
      <c r="I32" t="str">
        <f>H14</f>
        <v>H2ReConv_Ammonia</v>
      </c>
      <c r="K32" t="s">
        <v>20</v>
      </c>
      <c r="L32" t="s">
        <v>71</v>
      </c>
    </row>
    <row r="33" spans="8:15">
      <c r="I33" t="str">
        <f t="shared" ref="I33:I34" si="14">H15</f>
        <v>H2ReConv_LOHC</v>
      </c>
      <c r="K33" t="s">
        <v>20</v>
      </c>
      <c r="L33" t="s">
        <v>71</v>
      </c>
    </row>
    <row r="34" spans="8:15">
      <c r="I34" t="str">
        <f t="shared" si="14"/>
        <v>H2ReConv_Liquid</v>
      </c>
      <c r="K34" t="s">
        <v>20</v>
      </c>
      <c r="L34" t="s">
        <v>71</v>
      </c>
    </row>
    <row r="37" spans="8:15">
      <c r="H37" t="s">
        <v>151</v>
      </c>
    </row>
    <row r="38" spans="8:15">
      <c r="H38" t="s">
        <v>152</v>
      </c>
      <c r="I38" t="s">
        <v>153</v>
      </c>
      <c r="J38" t="s">
        <v>154</v>
      </c>
      <c r="K38" t="s">
        <v>155</v>
      </c>
      <c r="L38" t="s">
        <v>156</v>
      </c>
      <c r="M38" t="s">
        <v>157</v>
      </c>
      <c r="N38" t="s">
        <v>158</v>
      </c>
      <c r="O38" t="s">
        <v>159</v>
      </c>
    </row>
    <row r="39" spans="8:15">
      <c r="H39" t="s">
        <v>160</v>
      </c>
      <c r="I39" t="s">
        <v>112</v>
      </c>
      <c r="J39" t="s">
        <v>112</v>
      </c>
      <c r="K39" t="s">
        <v>20</v>
      </c>
    </row>
    <row r="40" spans="8:15">
      <c r="I40" t="s">
        <v>113</v>
      </c>
      <c r="J40" t="s">
        <v>161</v>
      </c>
      <c r="K40" t="s">
        <v>20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Y5"/>
  <sheetViews>
    <sheetView topLeftCell="L1" workbookViewId="0">
      <selection activeCell="E12" sqref="E12"/>
    </sheetView>
  </sheetViews>
  <sheetFormatPr defaultColWidth="9" defaultRowHeight="14.5" outlineLevelRow="4"/>
  <cols>
    <col min="2" max="2" width="11.2636363636364" customWidth="1"/>
    <col min="3" max="3" width="14.6" customWidth="1"/>
    <col min="4" max="4" width="26.4" customWidth="1"/>
    <col min="5" max="5" width="20.2636363636364" customWidth="1"/>
    <col min="6" max="6" width="5" customWidth="1"/>
    <col min="7" max="7" width="4.6" customWidth="1"/>
    <col min="8" max="8" width="5" customWidth="1"/>
    <col min="9" max="9" width="10.2636363636364" customWidth="1"/>
    <col min="10" max="10" width="7.86363636363636" customWidth="1"/>
    <col min="12" max="12" width="17.8636363636364" customWidth="1"/>
    <col min="13" max="13" width="9.4" customWidth="1"/>
    <col min="14" max="14" width="12" customWidth="1"/>
    <col min="15" max="15" width="8.86363636363636" customWidth="1"/>
    <col min="16" max="16" width="14" customWidth="1"/>
    <col min="17" max="17" width="6.86363636363636" customWidth="1"/>
    <col min="18" max="18" width="11.8636363636364" customWidth="1"/>
    <col min="19" max="19" width="7.86363636363636" customWidth="1"/>
    <col min="20" max="20" width="12.8636363636364" customWidth="1"/>
    <col min="21" max="21" width="4.6" customWidth="1"/>
    <col min="22" max="22" width="9" customWidth="1"/>
    <col min="23" max="23" width="4.4" customWidth="1"/>
    <col min="24" max="24" width="5" customWidth="1"/>
    <col min="25" max="25" width="9" customWidth="1"/>
  </cols>
  <sheetData>
    <row r="3" spans="2:25">
      <c r="B3" t="s">
        <v>162</v>
      </c>
      <c r="N3" t="s">
        <v>163</v>
      </c>
    </row>
    <row r="4" spans="2:25">
      <c r="B4" t="s">
        <v>8</v>
      </c>
      <c r="C4" t="s">
        <v>2</v>
      </c>
      <c r="D4" t="s">
        <v>164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L4" t="s">
        <v>2</v>
      </c>
      <c r="M4" t="s">
        <v>3</v>
      </c>
      <c r="N4" t="s">
        <v>4</v>
      </c>
      <c r="O4" t="s">
        <v>165</v>
      </c>
      <c r="P4" t="s">
        <v>166</v>
      </c>
      <c r="Q4" t="s">
        <v>167</v>
      </c>
      <c r="R4" t="s">
        <v>168</v>
      </c>
      <c r="S4" t="s">
        <v>169</v>
      </c>
      <c r="T4" t="s">
        <v>170</v>
      </c>
      <c r="U4" t="s">
        <v>5</v>
      </c>
      <c r="V4" t="s">
        <v>171</v>
      </c>
      <c r="W4" t="s">
        <v>67</v>
      </c>
      <c r="X4" t="s">
        <v>85</v>
      </c>
      <c r="Y4" t="s">
        <v>83</v>
      </c>
    </row>
    <row r="5" spans="2:25">
      <c r="B5" t="s">
        <v>108</v>
      </c>
      <c r="C5" t="s">
        <v>172</v>
      </c>
      <c r="D5" t="s">
        <v>173</v>
      </c>
      <c r="E5" t="s">
        <v>174</v>
      </c>
      <c r="G5" t="s">
        <v>20</v>
      </c>
      <c r="H5" t="s">
        <v>71</v>
      </c>
      <c r="L5" t="str">
        <f>C5</f>
        <v>H2Prd_Bio_CCS</v>
      </c>
      <c r="M5" t="s">
        <v>175</v>
      </c>
      <c r="N5" t="s">
        <v>16</v>
      </c>
      <c r="O5">
        <v>1000</v>
      </c>
      <c r="P5">
        <v>775</v>
      </c>
      <c r="Q5">
        <v>88</v>
      </c>
      <c r="R5">
        <v>71</v>
      </c>
      <c r="S5" s="9">
        <v>2.13470319634703</v>
      </c>
      <c r="T5" s="9">
        <v>1.72231735159817</v>
      </c>
      <c r="U5" s="9">
        <v>0.5525</v>
      </c>
      <c r="V5" s="9">
        <v>0.5525</v>
      </c>
      <c r="W5">
        <v>20</v>
      </c>
      <c r="X5">
        <v>0.85</v>
      </c>
      <c r="Y5">
        <v>31.536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B1:BP66"/>
  <sheetViews>
    <sheetView tabSelected="1" zoomScale="42" zoomScaleNormal="42" topLeftCell="X1" workbookViewId="0">
      <selection activeCell="AR44" sqref="AR44"/>
    </sheetView>
  </sheetViews>
  <sheetFormatPr defaultColWidth="8.8" defaultRowHeight="14.5"/>
  <cols>
    <col min="2" max="2" width="32.5272727272727" customWidth="1"/>
    <col min="3" max="3" width="30.7272727272727" customWidth="1"/>
    <col min="4" max="4" width="50" customWidth="1"/>
    <col min="5" max="5" width="29.9272727272727" customWidth="1"/>
    <col min="6" max="9" width="33.7272727272727" customWidth="1"/>
    <col min="10" max="10" width="19.2636363636364" customWidth="1"/>
    <col min="11" max="11" width="14.6" customWidth="1"/>
    <col min="12" max="12" width="14.2636363636364" customWidth="1"/>
    <col min="13" max="13" width="13.0636363636364" customWidth="1"/>
    <col min="14" max="14" width="12.8" customWidth="1"/>
    <col min="15" max="15" width="6.8" customWidth="1"/>
    <col min="16" max="16" width="15.3363636363636" customWidth="1"/>
    <col min="17" max="17" width="6.2" customWidth="1"/>
    <col min="18" max="18" width="14.5272727272727" customWidth="1"/>
    <col min="23" max="23" width="20.2" customWidth="1"/>
    <col min="24" max="24" width="18.5272727272727" customWidth="1"/>
    <col min="25" max="25" width="19.2" customWidth="1"/>
    <col min="32" max="32" width="21.2636363636364" customWidth="1"/>
    <col min="36" max="36" width="13.5272727272727" customWidth="1"/>
    <col min="40" max="40" width="19.6" customWidth="1"/>
    <col min="41" max="41" width="13.1363636363636" customWidth="1"/>
    <col min="43" max="43" width="13.0636363636364" customWidth="1"/>
    <col min="44" max="44" width="7.06363636363636" customWidth="1"/>
    <col min="45" max="45" width="20" customWidth="1"/>
    <col min="46" max="46" width="15.3363636363636" customWidth="1"/>
    <col min="48" max="48" width="13.2" customWidth="1"/>
    <col min="49" max="49" width="6.18181818181818" customWidth="1"/>
    <col min="50" max="50" width="6.90909090909091" customWidth="1"/>
  </cols>
  <sheetData>
    <row r="1" spans="2:53">
      <c r="X1" s="2"/>
      <c r="Y1" s="3" t="s">
        <v>118</v>
      </c>
      <c r="Z1" s="2"/>
      <c r="AA1" s="2"/>
      <c r="AB1" s="2"/>
      <c r="AC1" s="2"/>
      <c r="AD1" s="2"/>
      <c r="AE1" s="2"/>
      <c r="AF1" s="2"/>
    </row>
    <row r="2" spans="2:53">
      <c r="B2" t="s">
        <v>1</v>
      </c>
      <c r="W2" s="4"/>
      <c r="X2" s="3"/>
      <c r="Y2" s="2"/>
      <c r="Z2" s="3"/>
      <c r="AA2" s="3"/>
      <c r="AB2" s="3"/>
      <c r="AC2" s="3"/>
      <c r="AD2" s="3"/>
      <c r="AE2" s="3"/>
      <c r="AF2" s="3"/>
    </row>
    <row r="3" spans="2:53">
      <c r="B3" s="5" t="s">
        <v>8</v>
      </c>
      <c r="C3" s="5" t="s">
        <v>2</v>
      </c>
      <c r="D3" s="5" t="s">
        <v>9</v>
      </c>
      <c r="E3" s="5" t="s">
        <v>11</v>
      </c>
      <c r="F3" s="5" t="s">
        <v>12</v>
      </c>
      <c r="G3" s="5" t="s">
        <v>10</v>
      </c>
      <c r="H3" s="5" t="s">
        <v>13</v>
      </c>
      <c r="X3" s="3" t="s">
        <v>176</v>
      </c>
      <c r="Y3" s="3" t="s">
        <v>80</v>
      </c>
      <c r="Z3" s="3" t="s">
        <v>177</v>
      </c>
      <c r="AA3" s="3" t="s">
        <v>178</v>
      </c>
      <c r="AB3" s="3" t="s">
        <v>179</v>
      </c>
      <c r="AC3" s="3" t="s">
        <v>180</v>
      </c>
      <c r="AD3" s="3" t="s">
        <v>181</v>
      </c>
      <c r="AE3" s="3" t="s">
        <v>182</v>
      </c>
      <c r="AF3" s="3" t="s">
        <v>183</v>
      </c>
    </row>
    <row r="4" spans="2:53">
      <c r="B4" s="5" t="s">
        <v>184</v>
      </c>
      <c r="C4" s="5" t="s">
        <v>185</v>
      </c>
      <c r="D4" s="5" t="s">
        <v>186</v>
      </c>
      <c r="E4" s="5" t="s">
        <v>20</v>
      </c>
      <c r="F4" s="5" t="s">
        <v>187</v>
      </c>
      <c r="G4" s="5" t="s">
        <v>19</v>
      </c>
      <c r="H4" s="5"/>
      <c r="X4" s="6" t="s">
        <v>188</v>
      </c>
      <c r="Y4" s="3" t="s">
        <v>185</v>
      </c>
      <c r="Z4" s="3">
        <v>0.095</v>
      </c>
      <c r="AA4" s="3">
        <v>0</v>
      </c>
      <c r="AB4" s="3">
        <v>0</v>
      </c>
      <c r="AC4" s="3">
        <v>0</v>
      </c>
      <c r="AD4" s="3">
        <v>3.528</v>
      </c>
      <c r="AE4" s="3">
        <v>0.946</v>
      </c>
      <c r="AF4" s="3">
        <v>1.085</v>
      </c>
    </row>
    <row r="5" spans="2:53">
      <c r="B5" s="5" t="s">
        <v>189</v>
      </c>
      <c r="C5" s="5" t="s">
        <v>190</v>
      </c>
      <c r="D5" s="5" t="s">
        <v>191</v>
      </c>
      <c r="E5" s="5" t="s">
        <v>20</v>
      </c>
      <c r="F5" s="5" t="s">
        <v>71</v>
      </c>
      <c r="G5" s="5" t="s">
        <v>19</v>
      </c>
      <c r="H5" s="5"/>
      <c r="W5" s="4"/>
      <c r="X5" s="7"/>
      <c r="Y5" s="4"/>
      <c r="Z5" s="4"/>
      <c r="AA5" s="4"/>
      <c r="AB5" s="4"/>
      <c r="AC5" s="4"/>
      <c r="AD5" s="4"/>
      <c r="AE5" s="4"/>
      <c r="AF5" s="4"/>
    </row>
    <row r="6" spans="2:53">
      <c r="B6" s="5" t="s">
        <v>184</v>
      </c>
      <c r="C6" s="5" t="s">
        <v>192</v>
      </c>
      <c r="D6" s="5" t="s">
        <v>193</v>
      </c>
      <c r="E6" s="5" t="s">
        <v>20</v>
      </c>
      <c r="F6" s="5" t="s">
        <v>187</v>
      </c>
      <c r="G6" s="5" t="s">
        <v>19</v>
      </c>
      <c r="W6" s="4"/>
      <c r="X6" s="7"/>
      <c r="Y6" s="4"/>
      <c r="Z6" s="4"/>
      <c r="AA6" s="4"/>
      <c r="AB6" s="4"/>
      <c r="AC6" s="4"/>
      <c r="AD6" s="4"/>
      <c r="AE6" s="4"/>
      <c r="AF6" s="4"/>
    </row>
    <row r="7" spans="2:53">
      <c r="B7" s="5"/>
      <c r="C7" s="5" t="s">
        <v>194</v>
      </c>
      <c r="E7" s="5" t="s">
        <v>20</v>
      </c>
      <c r="F7" s="5" t="s">
        <v>187</v>
      </c>
      <c r="G7" s="5" t="s">
        <v>19</v>
      </c>
      <c r="W7" s="4"/>
      <c r="X7" s="7"/>
      <c r="Y7" s="4"/>
      <c r="Z7" s="4"/>
      <c r="AA7" s="4"/>
      <c r="AB7" s="4"/>
      <c r="AC7" s="4"/>
      <c r="AD7" s="4"/>
      <c r="AE7" s="4"/>
      <c r="AF7" s="4"/>
    </row>
    <row r="8" spans="2:53">
      <c r="B8" s="5"/>
      <c r="C8" s="5" t="s">
        <v>195</v>
      </c>
      <c r="E8" s="5" t="s">
        <v>20</v>
      </c>
      <c r="F8" s="5" t="s">
        <v>187</v>
      </c>
      <c r="G8" s="5" t="s">
        <v>19</v>
      </c>
      <c r="W8" s="4"/>
      <c r="X8" s="7"/>
      <c r="Y8" s="4"/>
      <c r="Z8" s="4"/>
      <c r="AA8" s="4"/>
      <c r="AB8" s="4"/>
      <c r="AC8" s="4"/>
      <c r="AD8" s="4"/>
      <c r="AE8" s="4"/>
      <c r="AF8" s="4"/>
    </row>
    <row r="9" spans="2:53">
      <c r="B9" s="5"/>
      <c r="C9" s="5" t="s">
        <v>196</v>
      </c>
      <c r="E9" s="5" t="s">
        <v>20</v>
      </c>
      <c r="F9" s="5" t="s">
        <v>187</v>
      </c>
      <c r="G9" s="5" t="s">
        <v>19</v>
      </c>
      <c r="W9" s="4"/>
      <c r="X9" s="7"/>
      <c r="Y9" s="4"/>
      <c r="Z9" s="4"/>
      <c r="AA9" s="4"/>
      <c r="AB9" s="4"/>
      <c r="AC9" s="4"/>
      <c r="AD9" s="4"/>
      <c r="AE9" s="4"/>
      <c r="AF9" s="4"/>
    </row>
    <row r="10" spans="2:53">
      <c r="B10" s="5"/>
      <c r="C10" s="5" t="s">
        <v>197</v>
      </c>
      <c r="E10" s="5" t="s">
        <v>20</v>
      </c>
      <c r="F10" s="5" t="s">
        <v>187</v>
      </c>
      <c r="G10" s="5" t="s">
        <v>19</v>
      </c>
      <c r="W10" s="4"/>
      <c r="X10" s="7"/>
      <c r="Y10" s="4"/>
      <c r="Z10" s="4"/>
      <c r="AA10" s="4"/>
      <c r="AB10" s="4"/>
      <c r="AC10" s="4"/>
      <c r="AD10" s="4"/>
      <c r="AE10" s="4"/>
      <c r="AF10" s="4"/>
    </row>
    <row r="11" spans="2:53">
      <c r="B11" s="5"/>
      <c r="C11" s="5" t="s">
        <v>198</v>
      </c>
      <c r="E11" s="5" t="s">
        <v>20</v>
      </c>
      <c r="F11" s="5" t="s">
        <v>187</v>
      </c>
      <c r="G11" s="5" t="s">
        <v>19</v>
      </c>
      <c r="W11" s="4"/>
      <c r="X11" s="7"/>
      <c r="Y11" s="4"/>
      <c r="Z11" s="4"/>
      <c r="AA11" s="4"/>
      <c r="AB11" s="4"/>
      <c r="AC11" s="4"/>
      <c r="AD11" s="4"/>
      <c r="AE11" s="4"/>
      <c r="AF11" s="4"/>
    </row>
    <row r="12" spans="2:53">
      <c r="B12" s="5"/>
      <c r="C12" t="s">
        <v>199</v>
      </c>
      <c r="D12" t="s">
        <v>200</v>
      </c>
      <c r="E12" s="5" t="s">
        <v>20</v>
      </c>
      <c r="F12" s="5" t="s">
        <v>187</v>
      </c>
      <c r="G12" s="5" t="s">
        <v>19</v>
      </c>
      <c r="W12" s="4"/>
      <c r="X12" s="7"/>
      <c r="Y12" s="4"/>
      <c r="Z12" s="4"/>
      <c r="AA12" s="4"/>
      <c r="AB12" s="4"/>
      <c r="AC12" s="4"/>
      <c r="AD12" s="4"/>
      <c r="AE12" s="4"/>
      <c r="AF12" s="4"/>
    </row>
    <row r="13" spans="2:53">
      <c r="W13" s="4"/>
      <c r="X13" s="7"/>
      <c r="Y13" s="4"/>
      <c r="Z13" s="4"/>
      <c r="AA13" s="4"/>
      <c r="AB13" s="4"/>
      <c r="AC13" s="4"/>
      <c r="AD13" s="4"/>
      <c r="AE13" s="4"/>
      <c r="AF13" s="4"/>
    </row>
    <row r="14" spans="2:53">
      <c r="G14" t="s">
        <v>201</v>
      </c>
      <c r="W14" s="4"/>
      <c r="X14" s="7"/>
      <c r="Y14" s="4"/>
      <c r="Z14" s="4"/>
      <c r="AA14" s="4"/>
      <c r="AB14" s="4"/>
      <c r="AC14" s="4"/>
      <c r="AD14" s="4"/>
      <c r="AE14" s="4"/>
      <c r="AK14" t="s">
        <v>201</v>
      </c>
    </row>
    <row r="15" spans="2:53">
      <c r="B15" t="s">
        <v>2</v>
      </c>
      <c r="C15" t="s">
        <v>3</v>
      </c>
      <c r="D15" t="s">
        <v>125</v>
      </c>
      <c r="E15" t="s">
        <v>4</v>
      </c>
      <c r="F15" t="s">
        <v>202</v>
      </c>
      <c r="G15" t="s">
        <v>147</v>
      </c>
      <c r="H15" t="s">
        <v>203</v>
      </c>
      <c r="I15" t="s">
        <v>68</v>
      </c>
      <c r="J15" t="s">
        <v>204</v>
      </c>
      <c r="K15" t="s">
        <v>205</v>
      </c>
      <c r="L15" t="s">
        <v>67</v>
      </c>
      <c r="M15" t="s">
        <v>206</v>
      </c>
      <c r="N15" t="s">
        <v>167</v>
      </c>
      <c r="O15" t="s">
        <v>207</v>
      </c>
      <c r="P15" t="s">
        <v>208</v>
      </c>
      <c r="Q15" t="s">
        <v>6</v>
      </c>
      <c r="R15" s="8" t="s">
        <v>209</v>
      </c>
      <c r="V15" s="1" t="s">
        <v>210</v>
      </c>
      <c r="W15" s="4"/>
      <c r="X15" s="4"/>
      <c r="Y15" s="4"/>
      <c r="Z15" s="4"/>
      <c r="AA15" s="4"/>
      <c r="AB15" s="4"/>
      <c r="AC15" s="4"/>
      <c r="AD15" s="4"/>
      <c r="AE15" s="4"/>
      <c r="AF15" t="s">
        <v>2</v>
      </c>
      <c r="AG15" t="s">
        <v>3</v>
      </c>
      <c r="AH15" t="s">
        <v>125</v>
      </c>
      <c r="AI15" t="s">
        <v>4</v>
      </c>
      <c r="AJ15" t="s">
        <v>202</v>
      </c>
      <c r="AK15" t="s">
        <v>147</v>
      </c>
      <c r="AL15" t="s">
        <v>203</v>
      </c>
      <c r="AM15" t="s">
        <v>68</v>
      </c>
      <c r="AN15" t="s">
        <v>204</v>
      </c>
      <c r="AO15" t="s">
        <v>205</v>
      </c>
      <c r="AP15" t="s">
        <v>67</v>
      </c>
      <c r="AQ15" t="s">
        <v>206</v>
      </c>
      <c r="AR15" t="s">
        <v>167</v>
      </c>
      <c r="AS15" t="s">
        <v>207</v>
      </c>
      <c r="AT15" t="s">
        <v>208</v>
      </c>
      <c r="AU15" t="s">
        <v>6</v>
      </c>
      <c r="AV15" s="8" t="s">
        <v>209</v>
      </c>
      <c r="AW15" t="s">
        <v>210</v>
      </c>
      <c r="AX15" t="s">
        <v>211</v>
      </c>
      <c r="AY15" t="s">
        <v>86</v>
      </c>
    </row>
    <row r="16" spans="2:53">
      <c r="B16" t="s">
        <v>185</v>
      </c>
      <c r="C16" t="s">
        <v>102</v>
      </c>
      <c r="E16" t="s">
        <v>102</v>
      </c>
      <c r="G16" t="s">
        <v>160</v>
      </c>
      <c r="H16">
        <v>0.92</v>
      </c>
      <c r="I16" s="9">
        <v>1.314</v>
      </c>
      <c r="J16">
        <v>1</v>
      </c>
      <c r="L16" s="10">
        <v>16</v>
      </c>
      <c r="R16">
        <v>7000</v>
      </c>
      <c r="V16" s="1">
        <v>1</v>
      </c>
      <c r="W16" s="4"/>
      <c r="X16" s="4"/>
      <c r="Y16" s="4"/>
      <c r="Z16" s="4"/>
      <c r="AA16" s="4"/>
      <c r="AB16" s="4"/>
      <c r="AC16" s="4"/>
      <c r="AD16" s="4"/>
      <c r="AE16" s="4"/>
      <c r="AF16" t="s">
        <v>192</v>
      </c>
      <c r="AG16" t="s">
        <v>102</v>
      </c>
      <c r="AI16" t="s">
        <v>102</v>
      </c>
      <c r="AK16" t="s">
        <v>160</v>
      </c>
      <c r="AL16" s="10">
        <v>0.9</v>
      </c>
      <c r="AM16" s="9">
        <v>1.314</v>
      </c>
      <c r="AN16">
        <v>1</v>
      </c>
      <c r="AP16">
        <v>15</v>
      </c>
      <c r="AV16" s="10">
        <v>3000</v>
      </c>
      <c r="BA16" s="10">
        <v>10</v>
      </c>
    </row>
    <row r="17" s="1" customFormat="1" ht="16" spans="2:68">
      <c r="D17" s="11"/>
      <c r="F17" s="1" t="s">
        <v>212</v>
      </c>
      <c r="G17" s="1" t="str">
        <f>F17</f>
        <v>AuxStoOUT</v>
      </c>
      <c r="I17" s="12"/>
      <c r="K17" s="12">
        <f>1/H16</f>
        <v>1.08695652173913</v>
      </c>
      <c r="W17"/>
      <c r="Y17" s="13" t="s">
        <v>213</v>
      </c>
      <c r="Z17" s="14"/>
      <c r="AA17"/>
      <c r="AB17"/>
      <c r="AC17"/>
      <c r="AD17"/>
      <c r="AE17"/>
      <c r="AF17"/>
      <c r="AG17"/>
      <c r="AH17" s="5"/>
      <c r="AI17"/>
      <c r="AJ17" t="s">
        <v>212</v>
      </c>
      <c r="AK17" t="s">
        <v>212</v>
      </c>
      <c r="AL17"/>
      <c r="AM17" s="9"/>
      <c r="AN17"/>
      <c r="AO17" s="9">
        <f>1/AL16</f>
        <v>1.11111111111111</v>
      </c>
      <c r="AQ17"/>
      <c r="AR17"/>
      <c r="AS17"/>
      <c r="AT17"/>
      <c r="AU17"/>
      <c r="AV17"/>
      <c r="AW17"/>
      <c r="AX17"/>
      <c r="AY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</row>
    <row r="18" spans="2:68">
      <c r="D18" s="5"/>
      <c r="F18" s="5" t="str">
        <f>C25</f>
        <v>AuxStoIN</v>
      </c>
      <c r="G18" t="s">
        <v>102</v>
      </c>
      <c r="I18" s="9"/>
      <c r="O18">
        <v>1</v>
      </c>
      <c r="V18" s="1"/>
      <c r="AH18" s="5"/>
      <c r="AJ18" s="5" t="s">
        <v>214</v>
      </c>
      <c r="AK18" t="s">
        <v>102</v>
      </c>
      <c r="AM18" s="9"/>
      <c r="AS18">
        <v>1</v>
      </c>
    </row>
    <row r="19" spans="2:68">
      <c r="B19" t="s">
        <v>190</v>
      </c>
      <c r="E19" t="s">
        <v>215</v>
      </c>
      <c r="I19" s="9">
        <v>29.89194313</v>
      </c>
      <c r="L19">
        <v>1</v>
      </c>
      <c r="M19">
        <v>0</v>
      </c>
      <c r="P19">
        <v>3</v>
      </c>
      <c r="V19" s="1"/>
      <c r="AF19" t="s">
        <v>194</v>
      </c>
      <c r="AG19" t="s">
        <v>102</v>
      </c>
      <c r="AI19" t="s">
        <v>102</v>
      </c>
      <c r="AK19" t="s">
        <v>160</v>
      </c>
      <c r="AL19" s="10">
        <v>0.92</v>
      </c>
      <c r="AM19" s="9">
        <f>AM16</f>
        <v>1.314</v>
      </c>
      <c r="AN19">
        <v>1</v>
      </c>
      <c r="AP19">
        <v>15</v>
      </c>
      <c r="AV19" s="10">
        <v>3500</v>
      </c>
      <c r="BA19" s="10">
        <v>12</v>
      </c>
    </row>
    <row r="20" spans="2:68">
      <c r="AH20" s="5"/>
      <c r="AJ20" t="s">
        <v>212</v>
      </c>
      <c r="AK20" t="s">
        <v>212</v>
      </c>
      <c r="AM20" s="9"/>
      <c r="AO20" s="9">
        <f>1/AL19</f>
        <v>1.08695652173913</v>
      </c>
    </row>
    <row r="21" spans="2:68">
      <c r="AH21" s="5"/>
      <c r="AJ21" s="5" t="s">
        <v>214</v>
      </c>
      <c r="AK21" t="s">
        <v>102</v>
      </c>
      <c r="AM21" s="9"/>
      <c r="AS21">
        <v>1</v>
      </c>
    </row>
    <row r="22" spans="2:68">
      <c r="X22" s="4"/>
      <c r="Y22" s="4"/>
      <c r="Z22" s="4"/>
      <c r="AF22" t="s">
        <v>195</v>
      </c>
      <c r="AG22" t="s">
        <v>102</v>
      </c>
      <c r="AI22" t="s">
        <v>102</v>
      </c>
      <c r="AK22" t="s">
        <v>160</v>
      </c>
      <c r="AL22" s="10">
        <v>0.92</v>
      </c>
      <c r="AM22" s="9">
        <f>AM19</f>
        <v>1.314</v>
      </c>
      <c r="AN22">
        <v>1</v>
      </c>
      <c r="AP22">
        <v>13</v>
      </c>
      <c r="AV22" s="10">
        <v>4000</v>
      </c>
      <c r="BA22" s="10">
        <v>13</v>
      </c>
    </row>
    <row r="23" spans="2:68">
      <c r="B23" s="5" t="s">
        <v>151</v>
      </c>
      <c r="C23" s="5"/>
      <c r="D23" s="5"/>
      <c r="E23" s="5"/>
      <c r="F23" s="5"/>
      <c r="G23" s="5"/>
      <c r="H23" s="5"/>
      <c r="I23" s="5"/>
      <c r="X23" s="15"/>
      <c r="Y23" s="15"/>
      <c r="Z23" s="4"/>
      <c r="AH23" s="5"/>
      <c r="AJ23" t="s">
        <v>212</v>
      </c>
      <c r="AK23" t="s">
        <v>212</v>
      </c>
      <c r="AL23" s="10"/>
      <c r="AM23" s="9"/>
      <c r="AO23" s="9">
        <f>1/AL22</f>
        <v>1.08695652173913</v>
      </c>
    </row>
    <row r="24" spans="2:68">
      <c r="B24" s="5" t="s">
        <v>216</v>
      </c>
      <c r="C24" s="5" t="s">
        <v>153</v>
      </c>
      <c r="D24" s="5" t="s">
        <v>154</v>
      </c>
      <c r="E24" s="5" t="s">
        <v>155</v>
      </c>
      <c r="F24" s="5" t="s">
        <v>156</v>
      </c>
      <c r="G24" s="5" t="s">
        <v>157</v>
      </c>
      <c r="H24" s="5" t="s">
        <v>158</v>
      </c>
      <c r="I24" s="5" t="s">
        <v>159</v>
      </c>
      <c r="X24" s="15"/>
      <c r="Y24" s="16"/>
      <c r="Z24" s="14"/>
      <c r="AH24" s="5"/>
      <c r="AJ24" s="5" t="s">
        <v>214</v>
      </c>
      <c r="AK24" t="s">
        <v>102</v>
      </c>
      <c r="AL24" s="10"/>
      <c r="AM24" s="9"/>
      <c r="AS24">
        <v>1</v>
      </c>
    </row>
    <row r="25" spans="2:68">
      <c r="B25" s="5" t="s">
        <v>217</v>
      </c>
      <c r="C25" s="5" t="s">
        <v>214</v>
      </c>
      <c r="D25" s="5" t="s">
        <v>218</v>
      </c>
      <c r="E25" s="5" t="s">
        <v>20</v>
      </c>
      <c r="F25" s="5"/>
      <c r="G25" s="5" t="s">
        <v>19</v>
      </c>
      <c r="H25" s="5"/>
      <c r="I25" s="5"/>
      <c r="X25" s="14"/>
      <c r="Y25" s="15"/>
      <c r="AF25" t="s">
        <v>196</v>
      </c>
      <c r="AG25" t="s">
        <v>102</v>
      </c>
      <c r="AI25" t="s">
        <v>102</v>
      </c>
      <c r="AK25" t="s">
        <v>160</v>
      </c>
      <c r="AL25" s="10">
        <v>0.92</v>
      </c>
      <c r="AM25" s="9">
        <f>AM22</f>
        <v>1.314</v>
      </c>
      <c r="AN25">
        <v>1</v>
      </c>
      <c r="AP25">
        <v>13</v>
      </c>
      <c r="AV25" s="10">
        <v>4000</v>
      </c>
      <c r="BA25" s="10">
        <v>13</v>
      </c>
    </row>
    <row r="26" spans="2:68">
      <c r="C26" s="5" t="s">
        <v>212</v>
      </c>
      <c r="D26" s="5" t="s">
        <v>219</v>
      </c>
      <c r="E26" s="5" t="s">
        <v>20</v>
      </c>
      <c r="F26" s="5"/>
      <c r="G26" s="5" t="s">
        <v>19</v>
      </c>
      <c r="W26" s="4"/>
      <c r="X26" s="15"/>
      <c r="Y26" s="15"/>
      <c r="AH26" s="5"/>
      <c r="AJ26" t="s">
        <v>212</v>
      </c>
      <c r="AK26" t="s">
        <v>212</v>
      </c>
      <c r="AL26" s="10"/>
      <c r="AM26" s="9"/>
      <c r="AO26" s="9">
        <f>1/AL25</f>
        <v>1.08695652173913</v>
      </c>
    </row>
    <row r="27" spans="2:68">
      <c r="W27" s="4"/>
      <c r="X27" s="4"/>
      <c r="Y27" s="4"/>
      <c r="AH27" s="5"/>
      <c r="AJ27" s="5" t="s">
        <v>214</v>
      </c>
      <c r="AK27" t="s">
        <v>102</v>
      </c>
      <c r="AL27" s="10"/>
      <c r="AM27" s="9"/>
      <c r="AS27">
        <v>1</v>
      </c>
    </row>
    <row r="28" spans="2:68">
      <c r="W28" s="4"/>
      <c r="X28" s="4"/>
      <c r="Y28" s="4"/>
      <c r="AF28" t="s">
        <v>197</v>
      </c>
      <c r="AG28" t="s">
        <v>102</v>
      </c>
      <c r="AI28" t="s">
        <v>102</v>
      </c>
      <c r="AK28" t="s">
        <v>160</v>
      </c>
      <c r="AL28" s="10">
        <v>0.92</v>
      </c>
      <c r="AM28" s="9">
        <f>AM25</f>
        <v>1.314</v>
      </c>
      <c r="AN28">
        <v>1</v>
      </c>
      <c r="AP28">
        <v>13</v>
      </c>
      <c r="AV28" s="10">
        <v>4000</v>
      </c>
      <c r="BA28" s="10">
        <v>13</v>
      </c>
    </row>
    <row r="29" spans="2:68">
      <c r="B29" s="2"/>
      <c r="C29" s="2"/>
      <c r="D29" s="2"/>
      <c r="E29" s="2"/>
      <c r="W29" s="4"/>
      <c r="X29" s="4"/>
      <c r="Y29" s="4"/>
      <c r="AH29" s="5"/>
      <c r="AJ29" t="s">
        <v>212</v>
      </c>
      <c r="AK29" t="s">
        <v>212</v>
      </c>
      <c r="AL29" s="10"/>
      <c r="AM29" s="9"/>
      <c r="AO29" s="9">
        <f>1/AL28</f>
        <v>1.08695652173913</v>
      </c>
    </row>
    <row r="30" spans="2:68">
      <c r="B30" s="2"/>
      <c r="C30" s="2"/>
      <c r="D30" s="17" t="s">
        <v>118</v>
      </c>
      <c r="E30" s="2"/>
      <c r="W30" s="4"/>
      <c r="X30" s="4"/>
      <c r="Y30" s="4"/>
      <c r="AH30" s="5"/>
      <c r="AJ30" s="5" t="s">
        <v>214</v>
      </c>
      <c r="AK30" t="s">
        <v>102</v>
      </c>
      <c r="AL30" s="10"/>
      <c r="AM30" s="9"/>
      <c r="AS30">
        <v>1</v>
      </c>
    </row>
    <row r="31" spans="2:68">
      <c r="B31" s="17"/>
      <c r="C31" s="17"/>
      <c r="D31" s="2"/>
      <c r="E31" s="17"/>
      <c r="W31" s="4"/>
      <c r="X31" s="4"/>
      <c r="Y31" s="4"/>
      <c r="AF31" t="s">
        <v>198</v>
      </c>
      <c r="AG31" t="s">
        <v>102</v>
      </c>
      <c r="AI31" t="s">
        <v>102</v>
      </c>
      <c r="AK31" t="s">
        <v>160</v>
      </c>
      <c r="AL31" s="10">
        <v>0.92</v>
      </c>
      <c r="AM31" s="9">
        <f>AM28</f>
        <v>1.314</v>
      </c>
      <c r="AN31">
        <v>1</v>
      </c>
      <c r="AP31">
        <v>13</v>
      </c>
      <c r="AV31" s="10">
        <v>4000</v>
      </c>
      <c r="BA31" s="10">
        <v>13</v>
      </c>
    </row>
    <row r="32" spans="2:68">
      <c r="B32" s="3" t="s">
        <v>176</v>
      </c>
      <c r="C32" s="17" t="s">
        <v>2</v>
      </c>
      <c r="D32" s="17" t="s">
        <v>3</v>
      </c>
      <c r="E32" s="17">
        <v>2019</v>
      </c>
      <c r="AH32" s="5"/>
      <c r="AJ32" t="s">
        <v>212</v>
      </c>
      <c r="AK32" t="s">
        <v>212</v>
      </c>
      <c r="AM32" s="9"/>
      <c r="AO32" s="9">
        <f>1/AL31</f>
        <v>1.08695652173913</v>
      </c>
    </row>
    <row r="33" spans="2:51">
      <c r="B33" s="6" t="s">
        <v>188</v>
      </c>
      <c r="C33" s="18" t="s">
        <v>185</v>
      </c>
      <c r="D33" s="19" t="s">
        <v>220</v>
      </c>
      <c r="E33" s="20">
        <f>[6]EnergyUseFromEverBatt_Min_!$AW$6</f>
        <v>0.0473</v>
      </c>
      <c r="AH33" s="5"/>
      <c r="AJ33" s="5" t="s">
        <v>214</v>
      </c>
      <c r="AK33" t="s">
        <v>102</v>
      </c>
      <c r="AM33" s="9"/>
      <c r="AS33">
        <v>1</v>
      </c>
    </row>
    <row r="34" ht="16" spans="2:51">
      <c r="B34" s="6" t="s">
        <v>188</v>
      </c>
      <c r="C34" s="21" t="str">
        <f t="shared" ref="C34:C36" si="0">C33</f>
        <v>EN_STG_4hBatt</v>
      </c>
      <c r="D34" s="19" t="s">
        <v>221</v>
      </c>
      <c r="E34" s="20">
        <f>[6]EnergyUseFromEverBatt_Min_!$AW$7</f>
        <v>0.171166666666667</v>
      </c>
      <c r="AF34" t="s">
        <v>199</v>
      </c>
      <c r="AG34" t="s">
        <v>102</v>
      </c>
      <c r="AI34" t="s">
        <v>102</v>
      </c>
      <c r="AK34" t="s">
        <v>160</v>
      </c>
      <c r="AL34">
        <v>0.8</v>
      </c>
      <c r="AM34">
        <v>31.53</v>
      </c>
      <c r="AN34">
        <v>0.67</v>
      </c>
      <c r="AP34">
        <v>60</v>
      </c>
      <c r="AR34">
        <f>15.59</f>
        <v>15.59</v>
      </c>
      <c r="AU34">
        <v>2020</v>
      </c>
      <c r="AY34">
        <f>156.67*10</f>
        <v>1566.7</v>
      </c>
    </row>
    <row r="35" ht="16" spans="2:51">
      <c r="B35" s="6" t="s">
        <v>188</v>
      </c>
      <c r="C35" s="21" t="str">
        <f t="shared" si="0"/>
        <v>EN_STG_4hBatt</v>
      </c>
      <c r="D35" s="19" t="s">
        <v>222</v>
      </c>
      <c r="E35" s="20">
        <f>[6]EnergyUseFromEverBatt_Min_!$AW$8</f>
        <v>0.466366666666667</v>
      </c>
      <c r="AJ35" t="s">
        <v>212</v>
      </c>
      <c r="AK35" t="s">
        <v>212</v>
      </c>
      <c r="AO35" s="9">
        <f>1/AL34</f>
        <v>1.25</v>
      </c>
    </row>
    <row r="36" ht="16" spans="2:51">
      <c r="B36" s="6" t="s">
        <v>188</v>
      </c>
      <c r="C36" s="21" t="str">
        <f t="shared" si="0"/>
        <v>EN_STG_4hBatt</v>
      </c>
      <c r="D36" s="19" t="s">
        <v>223</v>
      </c>
      <c r="E36" s="20">
        <f>[6]EnergyUseFromEverBatt_Min_!$AW$9</f>
        <v>0.0956666666666667</v>
      </c>
      <c r="AJ36" s="5" t="s">
        <v>214</v>
      </c>
      <c r="AK36" t="s">
        <v>102</v>
      </c>
      <c r="AN36">
        <v>1</v>
      </c>
      <c r="AS36">
        <v>1</v>
      </c>
    </row>
    <row r="43" spans="2:51">
      <c r="B43" s="22" t="s">
        <v>224</v>
      </c>
      <c r="C43" s="22"/>
      <c r="D43" s="23"/>
      <c r="E43" s="23"/>
      <c r="F43" s="23"/>
      <c r="G43" s="23"/>
      <c r="H43" s="23"/>
      <c r="I43" s="23"/>
      <c r="J43" s="8"/>
      <c r="K43" s="8"/>
      <c r="L43" s="8"/>
      <c r="M43" s="8"/>
      <c r="N43" s="8"/>
      <c r="O43" s="8"/>
      <c r="P43" s="8"/>
      <c r="Q43" s="8"/>
      <c r="R43" s="8"/>
      <c r="S43" s="15"/>
    </row>
    <row r="44" ht="16" spans="2:51">
      <c r="B44" s="22" t="s">
        <v>80</v>
      </c>
      <c r="C44" s="24" t="s">
        <v>225</v>
      </c>
      <c r="D44" s="25" t="s">
        <v>226</v>
      </c>
      <c r="E44" s="25" t="s">
        <v>227</v>
      </c>
      <c r="F44" s="25" t="s">
        <v>228</v>
      </c>
      <c r="G44" s="25" t="s">
        <v>229</v>
      </c>
      <c r="H44" s="25" t="s">
        <v>230</v>
      </c>
      <c r="I44" s="25" t="s">
        <v>231</v>
      </c>
      <c r="J44" s="8"/>
      <c r="K44" s="8"/>
      <c r="L44" s="26"/>
      <c r="M44" s="26"/>
      <c r="N44" s="8"/>
      <c r="O44" s="8"/>
      <c r="P44" s="26"/>
      <c r="Q44" s="26"/>
      <c r="R44" s="8"/>
      <c r="S44" s="8"/>
    </row>
    <row r="45" ht="16" spans="2:51">
      <c r="B45" s="27" t="s">
        <v>185</v>
      </c>
      <c r="C45" s="22">
        <v>1</v>
      </c>
      <c r="D45" s="23"/>
      <c r="E45" s="23"/>
      <c r="F45" s="23"/>
      <c r="G45" s="23"/>
      <c r="H45" s="23"/>
      <c r="I45" s="23"/>
      <c r="J45" s="15"/>
      <c r="K45" s="8"/>
      <c r="L45" s="8"/>
      <c r="M45" s="8"/>
      <c r="N45" s="8"/>
      <c r="O45" s="8"/>
      <c r="P45" s="8"/>
      <c r="Q45" s="8"/>
      <c r="R45" s="8"/>
      <c r="S45" s="8"/>
    </row>
    <row r="46" spans="2:51">
      <c r="B46" s="23" t="str">
        <f t="shared" ref="B46:B51" si="1">C6</f>
        <v>EN_STG_4hBatt_LMO</v>
      </c>
      <c r="C46" s="23"/>
      <c r="D46" s="23">
        <v>1</v>
      </c>
      <c r="E46" s="23"/>
      <c r="F46" s="23"/>
      <c r="G46" s="23"/>
      <c r="H46" s="23"/>
      <c r="I46" s="23"/>
      <c r="J46" s="15"/>
      <c r="K46" s="8"/>
      <c r="L46" s="8"/>
      <c r="M46" s="8"/>
      <c r="N46" s="8"/>
      <c r="O46" s="8"/>
      <c r="P46" s="8"/>
      <c r="Q46" s="8"/>
      <c r="R46" s="8"/>
      <c r="S46" s="8"/>
    </row>
    <row r="47" spans="2:51">
      <c r="B47" s="23" t="str">
        <f t="shared" si="1"/>
        <v>EN_STG_4hBatt_NCA</v>
      </c>
      <c r="C47" s="23"/>
      <c r="D47" s="23"/>
      <c r="E47" s="23">
        <v>1</v>
      </c>
      <c r="F47" s="23"/>
      <c r="G47" s="23"/>
      <c r="H47" s="23"/>
      <c r="I47" s="23"/>
      <c r="J47" s="15"/>
      <c r="K47" s="8"/>
      <c r="L47" s="8"/>
      <c r="M47" s="8"/>
      <c r="N47" s="8"/>
      <c r="O47" s="8"/>
      <c r="P47" s="8"/>
      <c r="Q47" s="8"/>
      <c r="R47" s="8"/>
      <c r="S47" s="8"/>
    </row>
    <row r="48" spans="2:51">
      <c r="B48" s="23" t="str">
        <f t="shared" si="1"/>
        <v>EN_STG_4hBatt_NMC111</v>
      </c>
      <c r="C48" s="23"/>
      <c r="D48" s="23"/>
      <c r="E48" s="23"/>
      <c r="F48" s="23">
        <v>1</v>
      </c>
      <c r="G48" s="23"/>
      <c r="H48" s="23"/>
      <c r="I48" s="23"/>
      <c r="J48" s="15"/>
      <c r="K48" s="8"/>
      <c r="L48" s="8"/>
      <c r="M48" s="8"/>
      <c r="N48" s="8"/>
      <c r="O48" s="8"/>
      <c r="P48" s="8"/>
      <c r="Q48" s="8"/>
      <c r="R48" s="8"/>
      <c r="S48" s="8"/>
    </row>
    <row r="49" spans="2:19">
      <c r="B49" s="23" t="str">
        <f t="shared" si="1"/>
        <v>EN_STG_4hBatt_NMC532</v>
      </c>
      <c r="C49" s="23"/>
      <c r="D49" s="23"/>
      <c r="E49" s="23"/>
      <c r="F49" s="23"/>
      <c r="G49" s="23">
        <v>1</v>
      </c>
      <c r="H49" s="23"/>
      <c r="I49" s="23"/>
      <c r="J49" s="15"/>
      <c r="K49" s="8"/>
      <c r="L49" s="8"/>
      <c r="M49" s="8"/>
      <c r="N49" s="8"/>
      <c r="O49" s="8"/>
      <c r="P49" s="8"/>
      <c r="Q49" s="8"/>
      <c r="R49" s="8"/>
      <c r="S49" s="8"/>
    </row>
    <row r="50" spans="2:19">
      <c r="B50" s="23" t="str">
        <f t="shared" si="1"/>
        <v>EN_STG_4hBatt_NMC622</v>
      </c>
      <c r="C50" s="23"/>
      <c r="D50" s="23"/>
      <c r="E50" s="23"/>
      <c r="F50" s="23"/>
      <c r="G50" s="23"/>
      <c r="H50" s="23">
        <v>1</v>
      </c>
      <c r="I50" s="23"/>
      <c r="J50" s="15"/>
      <c r="K50" s="8"/>
      <c r="L50" s="8"/>
      <c r="M50" s="8"/>
      <c r="N50" s="8"/>
      <c r="O50" s="8"/>
      <c r="P50" s="8"/>
      <c r="Q50" s="8"/>
      <c r="R50" s="8"/>
      <c r="S50" s="8"/>
    </row>
    <row r="51" spans="2:19">
      <c r="B51" s="23" t="str">
        <f t="shared" si="1"/>
        <v>EN_STG_4hBatt_NMC811</v>
      </c>
      <c r="C51" s="23"/>
      <c r="D51" s="23"/>
      <c r="E51" s="23"/>
      <c r="F51" s="23"/>
      <c r="G51" s="23"/>
      <c r="H51" s="23"/>
      <c r="I51" s="23">
        <v>1</v>
      </c>
      <c r="J51" s="15"/>
      <c r="K51" s="8"/>
      <c r="L51" s="8"/>
      <c r="M51" s="8"/>
      <c r="N51" s="8"/>
      <c r="O51" s="8"/>
      <c r="P51" s="8"/>
      <c r="Q51" s="8"/>
      <c r="R51" s="8"/>
      <c r="S51" s="8"/>
    </row>
    <row r="52" spans="2:19">
      <c r="B52" s="8"/>
      <c r="C52" s="8"/>
      <c r="D52" s="8"/>
      <c r="E52" s="8"/>
      <c r="F52" s="8"/>
      <c r="G52" s="8"/>
      <c r="H52" s="8"/>
      <c r="I52" s="8"/>
      <c r="J52" s="28"/>
      <c r="K52" s="8"/>
      <c r="L52" s="8"/>
      <c r="M52" s="8"/>
      <c r="N52" s="8"/>
      <c r="O52" s="8"/>
      <c r="P52" s="8"/>
      <c r="Q52" s="8"/>
      <c r="R52" s="8"/>
      <c r="S52" s="8"/>
    </row>
    <row r="53" spans="2:19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spans="2:19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8" spans="2:19">
      <c r="B58" s="29" t="s">
        <v>232</v>
      </c>
      <c r="C58" s="29"/>
      <c r="D58" s="29"/>
      <c r="E58" s="29"/>
      <c r="F58" s="29"/>
      <c r="G58" s="29"/>
      <c r="H58" s="29"/>
      <c r="I58" s="29"/>
    </row>
    <row r="59" spans="2:19">
      <c r="B59" s="29" t="s">
        <v>80</v>
      </c>
      <c r="C59" s="30" t="s">
        <v>233</v>
      </c>
      <c r="D59" s="29" t="s">
        <v>234</v>
      </c>
      <c r="E59" s="29" t="s">
        <v>235</v>
      </c>
      <c r="F59" s="29" t="s">
        <v>236</v>
      </c>
      <c r="G59" s="29" t="s">
        <v>237</v>
      </c>
      <c r="H59" s="29" t="s">
        <v>238</v>
      </c>
      <c r="I59" s="29" t="s">
        <v>239</v>
      </c>
    </row>
    <row r="60" spans="2:19">
      <c r="B60" s="29" t="s">
        <v>185</v>
      </c>
      <c r="C60" s="29">
        <v>1</v>
      </c>
      <c r="D60" s="29"/>
      <c r="E60" s="29"/>
      <c r="F60" s="29"/>
      <c r="G60" s="29"/>
      <c r="H60" s="29"/>
      <c r="I60" s="29"/>
    </row>
    <row r="61" spans="2:19">
      <c r="B61" s="29" t="s">
        <v>192</v>
      </c>
      <c r="C61" s="29"/>
      <c r="D61" s="29">
        <v>1</v>
      </c>
      <c r="E61" s="29"/>
      <c r="F61" s="29"/>
      <c r="G61" s="29"/>
      <c r="H61" s="29"/>
      <c r="I61" s="29"/>
    </row>
    <row r="62" spans="2:19">
      <c r="B62" s="29" t="s">
        <v>194</v>
      </c>
      <c r="C62" s="29"/>
      <c r="D62" s="29"/>
      <c r="E62" s="29">
        <v>1</v>
      </c>
      <c r="F62" s="29"/>
      <c r="G62" s="29"/>
      <c r="H62" s="29"/>
      <c r="I62" s="29"/>
    </row>
    <row r="63" spans="2:19">
      <c r="B63" s="29" t="s">
        <v>195</v>
      </c>
      <c r="C63" s="29"/>
      <c r="D63" s="29"/>
      <c r="E63" s="29"/>
      <c r="F63" s="29">
        <v>1</v>
      </c>
      <c r="G63" s="29"/>
      <c r="H63" s="29"/>
      <c r="I63" s="29"/>
    </row>
    <row r="64" spans="2:19">
      <c r="B64" s="29" t="s">
        <v>196</v>
      </c>
      <c r="C64" s="29"/>
      <c r="D64" s="29"/>
      <c r="E64" s="29"/>
      <c r="F64" s="29"/>
      <c r="G64" s="29">
        <v>1</v>
      </c>
      <c r="H64" s="29"/>
      <c r="I64" s="29"/>
    </row>
    <row r="65" spans="2:9">
      <c r="B65" s="29" t="s">
        <v>197</v>
      </c>
      <c r="C65" s="29"/>
      <c r="D65" s="29"/>
      <c r="E65" s="29"/>
      <c r="F65" s="29"/>
      <c r="G65" s="29"/>
      <c r="H65" s="29">
        <v>1</v>
      </c>
      <c r="I65" s="29"/>
    </row>
    <row r="66" spans="2:9">
      <c r="B66" s="29" t="s">
        <v>198</v>
      </c>
      <c r="C66" s="29"/>
      <c r="D66" s="29"/>
      <c r="E66" s="29"/>
      <c r="F66" s="29"/>
      <c r="G66" s="29"/>
      <c r="H66" s="29"/>
      <c r="I66" s="29">
        <v>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SectFuel</vt:lpstr>
      <vt:lpstr>H2 prod</vt:lpstr>
      <vt:lpstr>HPL</vt:lpstr>
      <vt:lpstr>H2 transport</vt:lpstr>
      <vt:lpstr>Sheet1</vt:lpstr>
      <vt:lpstr>ELC_Storage_for_NoCir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2023-05-12T11:15:00Z</dcterms:created>
  <dcterms:modified xsi:type="dcterms:W3CDTF">2026-09-22T07:29:24Z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{ECDD9085-6A38-44D6-AB58-0BB49328073A}</vt:lpwstr>
  </property>
  <property fmtid="{D5CDD505-2E9C-101B-9397-08002B2CF9AE}" pid="3" name="ICV">
    <vt:lpwstr>A9CE9CF5E92743B487315746FD4232F0_13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