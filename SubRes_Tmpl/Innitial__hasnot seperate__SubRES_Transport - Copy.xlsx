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710" tabRatio="864" firstSheet="6" activeTab="9"/>
  </bookViews>
  <sheets>
    <sheet name="Discuss_log" sheetId="21" r:id="rId1"/>
    <sheet name="Cover" sheetId="14" r:id="rId2"/>
    <sheet name="Small_cars" sheetId="15" r:id="rId3"/>
    <sheet name="Large_cars" sheetId="16" r:id="rId4"/>
    <sheet name="Medium_cars" sheetId="10" r:id="rId5"/>
    <sheet name="LCVs" sheetId="3" r:id="rId6"/>
    <sheet name="Hdt" sheetId="18" r:id="rId7"/>
    <sheet name="2-3wheelers" sheetId="5" r:id="rId8"/>
    <sheet name="Bus_coach" sheetId="4" r:id="rId9"/>
    <sheet name="R_strategies_n_GridBattery" sheetId="19" r:id="rId10"/>
    <sheet name="EnergyUseFromEverBatt_Min_recy" sheetId="22" r:id="rId11"/>
    <sheet name="LIB mass distribution" sheetId="20" r:id="rId12"/>
    <sheet name="HGVs&lt;16t" sheetId="2" r:id="rId13"/>
    <sheet name="HGVs&gt;16t" sheetId="8" r:id="rId14"/>
    <sheet name="Aviation" sheetId="6" r:id="rId15"/>
    <sheet name="Rail" sheetId="12" r:id="rId16"/>
    <sheet name="Inland_navigation" sheetId="7" r:id="rId17"/>
    <sheet name="Maritime" sheetId="17" r:id="rId18"/>
    <sheet name="Infrastructure" sheetId="9" r:id="rId19"/>
  </sheets>
  <externalReferences>
    <externalReference r:id="rId23"/>
    <externalReference r:id="rId24"/>
    <externalReference r:id="rId25"/>
  </externalReferences>
  <definedNames>
    <definedName name="_xlnm._FilterDatabase" localSheetId="9" hidden="1">R_strategies_n_GridBattery!$AS$1:$AS$394</definedName>
    <definedName name="_xlnm._FilterDatabase" localSheetId="7" hidden="1">'2-3wheelers'!$C$9:$F$155</definedName>
    <definedName name="_xlnm._FilterDatabase" localSheetId="8" hidden="1">Bus_coach!$C$9:$C$219</definedName>
    <definedName name="_xlnm._FilterDatabase" localSheetId="6" hidden="1">Hdt!$C$10:$D$175</definedName>
    <definedName name="_xlnm._FilterDatabase" localSheetId="5" hidden="1">LCVs!$C$14:$C$179</definedName>
    <definedName name="_xlnm._FilterDatabase" localSheetId="4" hidden="1">Medium_cars!$C$16:$C$199</definedName>
    <definedName name="Cars_12">'[1]TechRep-Doc'!#REF!</definedName>
    <definedName name="ddddd">[2]AGR_Fuels!$A$2</definedName>
    <definedName name="DISCRATE">'[1]TechRep-Doc'!#REF!</definedName>
    <definedName name="FID_1">[3]AGR_Fuels!$A$2</definedName>
    <definedName name="GROWTH">'[1]TechRep-Doc'!#REF!</definedName>
    <definedName name="GROWTH_TID">'[1]TechRep-Doc'!#REF!</definedName>
    <definedName name="INVCOST">'[1]TechRep-Doc'!#REF!</definedName>
    <definedName name="LIFE">'[1]TechRep-Doc'!#REF!</definedName>
    <definedName name="NAs_CCAR">'[1]TechRep-Doc'!#REF!</definedName>
    <definedName name="SETS">'[1]TechRep-Doc'!#REF!</definedName>
    <definedName name="TRTGAB005">'[1]TechRep-Doc'!#REF!</definedName>
    <definedName name="TRTGAC005">'[1]TechRep-Doc'!#REF!</definedName>
    <definedName name="Trucks_15">'[1]TechRep-Doc'!#REF!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K76" authorId="0">
      <text>
        <r>
          <rPr>
            <b/>
            <sz val="9"/>
            <rFont val="Tahoma"/>
            <charset val="134"/>
          </rPr>
          <t>Author:</t>
        </r>
        <r>
          <rPr>
            <sz val="9"/>
            <rFont val="Tahoma"/>
            <charset val="134"/>
          </rPr>
          <t xml:space="preserve">
18-01-2023
different condition
</t>
        </r>
      </text>
    </comment>
  </commentList>
</comments>
</file>

<file path=xl/comments2.xml><?xml version="1.0" encoding="utf-8"?>
<comments xmlns="http://schemas.openxmlformats.org/spreadsheetml/2006/main">
  <authors>
    <author>xli9</author>
    <author>Xiao Li</author>
  </authors>
  <commentLis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F173" authorId="0">
      <text>
        <r>
          <rPr>
            <b/>
            <sz val="9"/>
            <rFont val="Times New Roman"/>
            <charset val="134"/>
          </rPr>
          <t>xli9:</t>
        </r>
        <r>
          <rPr>
            <sz val="9"/>
            <rFont val="Times New Roman"/>
            <charset val="134"/>
          </rPr>
          <t xml:space="preserve">
Recy is more delay</t>
        </r>
      </text>
    </comment>
    <comment ref="F174" authorId="0">
      <text>
        <r>
          <rPr>
            <b/>
            <sz val="9"/>
            <rFont val="Times New Roman"/>
            <charset val="134"/>
          </rPr>
          <t>xli9:</t>
        </r>
        <r>
          <rPr>
            <sz val="9"/>
            <rFont val="Times New Roman"/>
            <charset val="134"/>
          </rPr>
          <t xml:space="preserve">
this is to make room for repurpose</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List>
</comments>
</file>

<file path=xl/comments3.xml><?xml version="1.0" encoding="utf-8"?>
<comments xmlns="http://schemas.openxmlformats.org/spreadsheetml/2006/main">
  <authors>
    <author>xli9</author>
  </authors>
  <commentList>
    <comment ref="E67" authorId="0">
      <text>
        <r>
          <rPr>
            <b/>
            <sz val="9"/>
            <rFont val="Times New Roman"/>
            <charset val="134"/>
          </rPr>
          <t>xli9:</t>
        </r>
        <r>
          <rPr>
            <sz val="9"/>
            <rFont val="Times New Roman"/>
            <charset val="134"/>
          </rPr>
          <t xml:space="preserve">
See how we break down in LIB recycling energy use..</t>
        </r>
      </text>
    </comment>
  </commentList>
</comments>
</file>

<file path=xl/comments4.xml><?xml version="1.0" encoding="utf-8"?>
<comments xmlns="http://schemas.openxmlformats.org/spreadsheetml/2006/main">
  <authors>
    <author>Author</author>
  </authors>
  <commentList>
    <comment ref="D17" authorId="0">
      <text>
        <r>
          <rPr>
            <b/>
            <sz val="9"/>
            <rFont val="Times New Roman"/>
            <charset val="134"/>
          </rPr>
          <t>Author:</t>
        </r>
        <r>
          <rPr>
            <sz val="9"/>
            <rFont val="Times New Roman"/>
            <charset val="134"/>
          </rPr>
          <t xml:space="preserve">
LiFePO4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<sst xmlns="http://schemas.openxmlformats.org/spreadsheetml/2006/main" count="4278" uniqueCount="650">
  <si>
    <t>Discuss log: 02/17</t>
  </si>
  <si>
    <t>to input EFF for recycling processes; validate the cost (learning rate); lower and upper values [throughout should increase with time]</t>
  </si>
  <si>
    <t>Manufacture costs for different batteries</t>
  </si>
  <si>
    <t>Make sure one approach is correct, then incorporate other two</t>
  </si>
  <si>
    <t xml:space="preserve">Website for categorizing countries; </t>
  </si>
  <si>
    <t xml:space="preserve">We will keep detagling cost because amit is also not sure about decommining </t>
  </si>
  <si>
    <t>Migrate to Trans</t>
  </si>
  <si>
    <t>Flo_bound for different mining; you don't need to seperate them to different processes</t>
  </si>
  <si>
    <t>Techno-economic assumptions of the PRIMES-TREMOVE transport model</t>
  </si>
  <si>
    <t xml:space="preserve">© E3-Modelling </t>
  </si>
  <si>
    <t>Modelled economic possibilities for reducing specific energy consumption by transport mode/equipment and fuel/technology over time</t>
  </si>
  <si>
    <t xml:space="preserve">Reference values for Small size ICE gasoline </t>
  </si>
  <si>
    <t>Energy consumption</t>
  </si>
  <si>
    <t>lt/100 km</t>
  </si>
  <si>
    <t>Capital cost</t>
  </si>
  <si>
    <t>Euro15 /veh</t>
  </si>
  <si>
    <t>Reduction of specific energy consumption relative to 2015 gasoline vehicle (%)</t>
  </si>
  <si>
    <t>ICE Small size gasoline car</t>
  </si>
  <si>
    <t>ICE Small size hybrid gasoline car</t>
  </si>
  <si>
    <t>ICE Small size plug-in hybrid gasoline car</t>
  </si>
  <si>
    <t xml:space="preserve">Reference values for small size ICE diesel </t>
  </si>
  <si>
    <t>Reduction of specific energy consumption relative to 2015 diesel vehicle (%)</t>
  </si>
  <si>
    <t>ICE Small size diesel car</t>
  </si>
  <si>
    <t>ICE Small size hybrid diesel car</t>
  </si>
  <si>
    <t>ICE Small size plug-in hybrid diesel car</t>
  </si>
  <si>
    <t>Energy consumption of Small size battery electric car</t>
  </si>
  <si>
    <t>kWh/km</t>
  </si>
  <si>
    <t>Electric range (km)</t>
  </si>
  <si>
    <t>Small size battery electric car</t>
  </si>
  <si>
    <t>Energy consumption (kg H2/100km)</t>
  </si>
  <si>
    <t>Small size hydrogen fuel cell</t>
  </si>
  <si>
    <t xml:space="preserve">Reference values for Large size ICE gasoline </t>
  </si>
  <si>
    <t>ICE Large size gasoline car</t>
  </si>
  <si>
    <t>ICE Large size hybrid gasoline car</t>
  </si>
  <si>
    <t>ICE Large size plug-in hybrid gasoline car</t>
  </si>
  <si>
    <t xml:space="preserve">Reference values for Large size ICE diesel </t>
  </si>
  <si>
    <t>ICE Large size diesel car</t>
  </si>
  <si>
    <t>ICE Large size hybrid diesel car</t>
  </si>
  <si>
    <t>ICE Large size plug-in hybrid diesel car</t>
  </si>
  <si>
    <t xml:space="preserve">Energy consumption of Large size battery electric car </t>
  </si>
  <si>
    <t>Large size battery electric car</t>
  </si>
  <si>
    <t>Large size hydrogen fuel cell</t>
  </si>
  <si>
    <t>gsl</t>
  </si>
  <si>
    <t>ICE medium size gasoline car</t>
  </si>
  <si>
    <t>GJ/kg LNG</t>
  </si>
  <si>
    <t>gsl-hyb</t>
  </si>
  <si>
    <t>ICE medium size hybrid gasoline car</t>
  </si>
  <si>
    <t>GJ/lt Gasoline</t>
  </si>
  <si>
    <t>gsl-pih</t>
  </si>
  <si>
    <t>ICE medium size plug-in hybrid gasoline car</t>
  </si>
  <si>
    <t>GJ/lt Diesel</t>
  </si>
  <si>
    <t>dsl</t>
  </si>
  <si>
    <t>ICE medium size diesel car</t>
  </si>
  <si>
    <t>GJ/kg CNG</t>
  </si>
  <si>
    <t>dsl-hyb</t>
  </si>
  <si>
    <t>ICE medium size hybrid diesel car</t>
  </si>
  <si>
    <t>GJ/lt LPG</t>
  </si>
  <si>
    <t>dsl-pih</t>
  </si>
  <si>
    <t>ICE medium size plug-in hybrid diesel car</t>
  </si>
  <si>
    <t>cng</t>
  </si>
  <si>
    <t>ICE medium size CNG car</t>
  </si>
  <si>
    <t>lpg</t>
  </si>
  <si>
    <t>ICE medium size LPG car</t>
  </si>
  <si>
    <t>E85</t>
  </si>
  <si>
    <t>ICE medium size E85 flex-fuel car</t>
  </si>
  <si>
    <t xml:space="preserve">Reference values for medium size ICE gasoline </t>
  </si>
  <si>
    <t>elc</t>
  </si>
  <si>
    <t>Medium size battery electric car</t>
  </si>
  <si>
    <t>hh2</t>
  </si>
  <si>
    <t>Medium size hydrogen fuel cell</t>
  </si>
  <si>
    <t>bvkm/PJ</t>
  </si>
  <si>
    <t>~FI_T: UP~EUR15~INVCOST</t>
  </si>
  <si>
    <t>~FI_Process</t>
  </si>
  <si>
    <t>EFF</t>
  </si>
  <si>
    <t>*process</t>
  </si>
  <si>
    <t>Process</t>
  </si>
  <si>
    <t>Comm-OUT</t>
  </si>
  <si>
    <t>FLO_MARK</t>
  </si>
  <si>
    <t>Sets</t>
  </si>
  <si>
    <t>TechName</t>
  </si>
  <si>
    <t>TechDesc</t>
  </si>
  <si>
    <t>Tact</t>
  </si>
  <si>
    <t>Tcap</t>
  </si>
  <si>
    <t>DMD</t>
  </si>
  <si>
    <t>Bvkm</t>
  </si>
  <si>
    <t>million vehicles</t>
  </si>
  <si>
    <t xml:space="preserve">Reference values for medium size ICE diesel </t>
  </si>
  <si>
    <t>Reference values for medium size CNG</t>
  </si>
  <si>
    <t>kg/100 km</t>
  </si>
  <si>
    <t>Reduction of specific energy consumption relative to 2015 CNG vehicle (%)</t>
  </si>
  <si>
    <t>Reference values for medium size LPG</t>
  </si>
  <si>
    <t>Reduction of specific energy consumption relative to 2015 LPG vehicle (%)</t>
  </si>
  <si>
    <t>Reference values for medium size E85 flex fuel</t>
  </si>
  <si>
    <t>Reduction of specific energy consumption relative to 2015 E85 vehicle (%)</t>
  </si>
  <si>
    <t>Energy consumption οf Medium size battery electric car</t>
  </si>
  <si>
    <t>ICE gasoline LCV</t>
  </si>
  <si>
    <t>ICE gasoline hybrid LCV</t>
  </si>
  <si>
    <t>ICE gasoline plug-in hybrid LCV</t>
  </si>
  <si>
    <t>ICE diesel LCV</t>
  </si>
  <si>
    <t>ICE hybrid diesel LCV</t>
  </si>
  <si>
    <t>ICE plug-in hybrid diesel LCV</t>
  </si>
  <si>
    <t>ICE CNG LCV</t>
  </si>
  <si>
    <t>ICE LPG LCV</t>
  </si>
  <si>
    <t>Reference values for gasoline LCV</t>
  </si>
  <si>
    <t>Battery electric LCV</t>
  </si>
  <si>
    <t>Hydrogen fuel cell LCV</t>
  </si>
  <si>
    <t>Reference values for diesel LCV</t>
  </si>
  <si>
    <t>Reference values for CNG LCV</t>
  </si>
  <si>
    <t>Reference values for LPG LCV</t>
  </si>
  <si>
    <t>Energy consumption of Battery electric LCV</t>
  </si>
  <si>
    <t>7.5-16t diesel truck</t>
  </si>
  <si>
    <t>7.5-16t diesel hybrid truck</t>
  </si>
  <si>
    <t>TRUCKS between 7.5-16 tons Gross Vehicle Weight</t>
  </si>
  <si>
    <t>lng</t>
  </si>
  <si>
    <t>7.5-16t LNG truck</t>
  </si>
  <si>
    <t>7.5-16t LPG truck</t>
  </si>
  <si>
    <t>Reference values for diesel truck 7.5-16t</t>
  </si>
  <si>
    <t>7.5-16t battery electric truck</t>
  </si>
  <si>
    <t>7.5-16t Hydrogen fuel cell truck</t>
  </si>
  <si>
    <t>Reduction of specific energy consumption relative to 2015 diesel vehicle(%)</t>
  </si>
  <si>
    <t>Reference values for LNG truck 7.5-16t</t>
  </si>
  <si>
    <t>Reduction of specific energy consumption relative to 2015 LNG vehicle (%)</t>
  </si>
  <si>
    <t>Reference values for LPG truck 7.5-16t</t>
  </si>
  <si>
    <t>Reduction of specific energy consumption relative to 2015  LPG vehicle(%)</t>
  </si>
  <si>
    <t>Energy consumption of 7.5-16t battery electric truck</t>
  </si>
  <si>
    <t>gsl150</t>
  </si>
  <si>
    <t>4-stroke MC 50-250 cc motorcycle</t>
  </si>
  <si>
    <t>gsl500</t>
  </si>
  <si>
    <t>4-stroke MC 250-750 cc motorcycle</t>
  </si>
  <si>
    <t>4-stroke MC &gt;750 cc motorcycle</t>
  </si>
  <si>
    <t>gsl50</t>
  </si>
  <si>
    <t>Moped</t>
  </si>
  <si>
    <t>Reference values for 4-stroke MC 50-250 cc motorcycle</t>
  </si>
  <si>
    <t>elc150</t>
  </si>
  <si>
    <t>Battery electric motorcycle (equivalent to 50-250 cc motorcycle)</t>
  </si>
  <si>
    <t>elc500</t>
  </si>
  <si>
    <t>Battery electric motorcycle (equivalent to 250-750 cc motorcycle)</t>
  </si>
  <si>
    <t>Battery electric motorcycle (equivalent to &gt;750 cc motorcycle)</t>
  </si>
  <si>
    <t>elc50</t>
  </si>
  <si>
    <t>Battery electric moped</t>
  </si>
  <si>
    <t>Reduction of specific energy consumption relative to 2015 (%)</t>
  </si>
  <si>
    <t>Reference values for 4-stroke MC 250-750 cc motorcycle</t>
  </si>
  <si>
    <t>Reference values for 4-stroke MC &gt;750 cc motorcycle</t>
  </si>
  <si>
    <t>Reference values for moped</t>
  </si>
  <si>
    <t>Energy consumption of Battery electric motorcycle (equivalent to 50-250 cc motorcycle)</t>
  </si>
  <si>
    <t xml:space="preserve">Energy consumption of Battery electric motorcycle (equivalent to 250-750 cc motorcycle) </t>
  </si>
  <si>
    <t>Energy consumption of Battery electric motorcycle (equivalent to &gt;750 cc motorcycle)</t>
  </si>
  <si>
    <t xml:space="preserve">Energy consumption of Battery electric moped </t>
  </si>
  <si>
    <t>Diesel bus</t>
  </si>
  <si>
    <t>Hybrid diesel bus</t>
  </si>
  <si>
    <t>BUSES</t>
  </si>
  <si>
    <t>CNG bus</t>
  </si>
  <si>
    <t>LPG bus</t>
  </si>
  <si>
    <t>Reference values for diesel bus</t>
  </si>
  <si>
    <t>Battery electric bus</t>
  </si>
  <si>
    <t>Hydrogen fuel cell bus</t>
  </si>
  <si>
    <t>Hybrid diesel coach</t>
  </si>
  <si>
    <t>Battery electric coach</t>
  </si>
  <si>
    <t>Diesel Coach</t>
  </si>
  <si>
    <t>Reference values for CNG bus</t>
  </si>
  <si>
    <t>Reference values for LPG bus</t>
  </si>
  <si>
    <t xml:space="preserve">Energy consumption of Battery electric bus </t>
  </si>
  <si>
    <t>COACHES</t>
  </si>
  <si>
    <t>Reference values for diesel coach</t>
  </si>
  <si>
    <t>Diesel coach</t>
  </si>
  <si>
    <t>Reference values for LNG coach</t>
  </si>
  <si>
    <t>LNG coach</t>
  </si>
  <si>
    <t>Reference values for LPG coach</t>
  </si>
  <si>
    <t>LPG coach</t>
  </si>
  <si>
    <t>Energy consumption of Battery electric coach</t>
  </si>
  <si>
    <t>Hydrogen fuel cell coach</t>
  </si>
  <si>
    <t>*Here, we removed all mr_.. Materials for repurposed grid storage, we use consistent m_... Same with EV batteries for them</t>
  </si>
  <si>
    <t>~FI_COMM</t>
  </si>
  <si>
    <t>Tslvl</t>
  </si>
  <si>
    <t>PrimaryCG</t>
  </si>
  <si>
    <t>Vintage</t>
  </si>
  <si>
    <t>csets</t>
  </si>
  <si>
    <t>commname</t>
  </si>
  <si>
    <t>commdesc</t>
  </si>
  <si>
    <t>ctslvl</t>
  </si>
  <si>
    <t>ctype</t>
  </si>
  <si>
    <t>limtype</t>
  </si>
  <si>
    <t>peakts</t>
  </si>
  <si>
    <t>region</t>
  </si>
  <si>
    <t>unit</t>
  </si>
  <si>
    <t>Battery Type</t>
  </si>
  <si>
    <t>Full Name</t>
  </si>
  <si>
    <t>Key Features</t>
  </si>
  <si>
    <t>Applications</t>
  </si>
  <si>
    <t>ELE,STG</t>
  </si>
  <si>
    <t>Tra_BEV_Batt</t>
  </si>
  <si>
    <t>Car battery - 6kw/60Kwh - with V2G (optional)</t>
  </si>
  <si>
    <t>PJ</t>
  </si>
  <si>
    <t>GWh</t>
  </si>
  <si>
    <t>DAYNITE</t>
  </si>
  <si>
    <t>MAT</t>
  </si>
  <si>
    <t>m_lithium</t>
  </si>
  <si>
    <t>LO</t>
  </si>
  <si>
    <t>kt</t>
  </si>
  <si>
    <t>m_nickel</t>
  </si>
  <si>
    <t>LFP</t>
  </si>
  <si>
    <t>Lithium Iron Phosphate</t>
  </si>
  <si>
    <t>High safety, long cycle life, lower energy density</t>
  </si>
  <si>
    <t>EVs, energy storage systems</t>
  </si>
  <si>
    <t>m_cobalt</t>
  </si>
  <si>
    <t>LMO</t>
  </si>
  <si>
    <t>Lithium Manganese Oxide</t>
  </si>
  <si>
    <t>Good thermal stability, fast charging, moderate energy density</t>
  </si>
  <si>
    <t>Power tools, medical devices, hybrid EVs</t>
  </si>
  <si>
    <t>m_manganese</t>
  </si>
  <si>
    <t>NCA</t>
  </si>
  <si>
    <t>Nickel Cobalt Aluminum Oxide</t>
  </si>
  <si>
    <t>High energy density, long cycle life, higher cost</t>
  </si>
  <si>
    <t>Premium EVs, energy storage</t>
  </si>
  <si>
    <t>m_aluminum</t>
  </si>
  <si>
    <t>NMC 111</t>
  </si>
  <si>
    <t>Nickel Manganese Cobalt (1:1:1)</t>
  </si>
  <si>
    <t>Balanced energy density, safety, and cost</t>
  </si>
  <si>
    <t>Consumer electronics, EVs</t>
  </si>
  <si>
    <t>m_copper</t>
  </si>
  <si>
    <t>NMC 532</t>
  </si>
  <si>
    <t>Nickel Manganese Cobalt (5:3:2)</t>
  </si>
  <si>
    <t>Higher energy density, better thermal stability</t>
  </si>
  <si>
    <t>Modern EV batteries</t>
  </si>
  <si>
    <t>m_graphite</t>
  </si>
  <si>
    <t>NMC 622</t>
  </si>
  <si>
    <t>Nickel Manganese Cobalt (6:2:2)</t>
  </si>
  <si>
    <t>Improved energy density, cost efficiency</t>
  </si>
  <si>
    <t>Long-range EVs</t>
  </si>
  <si>
    <t>mr_lithium</t>
  </si>
  <si>
    <t>NMC 811</t>
  </si>
  <si>
    <t>Nickel Manganese Cobalt (8:1:1)</t>
  </si>
  <si>
    <t>Highest energy density, reduced cobalt content, lower cost</t>
  </si>
  <si>
    <t>MIN</t>
  </si>
  <si>
    <t>MINBatMaterials_LI</t>
  </si>
  <si>
    <t>ktpa</t>
  </si>
  <si>
    <t>mr_nickel</t>
  </si>
  <si>
    <t>MINBatMaterials_NI</t>
  </si>
  <si>
    <t>mr_cobalt</t>
  </si>
  <si>
    <t>MINBatMaterials_COB</t>
  </si>
  <si>
    <t>mr_manganese</t>
  </si>
  <si>
    <t>MINBatMaterials_MN</t>
  </si>
  <si>
    <t>mr_aluminum</t>
  </si>
  <si>
    <t>MINBatMaterials_AL</t>
  </si>
  <si>
    <t>mr_copper</t>
  </si>
  <si>
    <t>MINBatMaterials_COP</t>
  </si>
  <si>
    <t>mr_graphite</t>
  </si>
  <si>
    <t>MINBatMaterials_GR</t>
  </si>
  <si>
    <t>Gwh</t>
  </si>
  <si>
    <t>~FI_T: NCAP_ICOM</t>
  </si>
  <si>
    <t>START</t>
  </si>
  <si>
    <t>Comm-OUT-A</t>
  </si>
  <si>
    <t>process</t>
  </si>
  <si>
    <t>LIFE</t>
  </si>
  <si>
    <t>Comm-IN</t>
  </si>
  <si>
    <t>S_EFF</t>
  </si>
  <si>
    <t>Cap2Act</t>
  </si>
  <si>
    <t>AFC~DAYNITE~UP~NRG</t>
  </si>
  <si>
    <t>AFC~DAYNITE~UP~ACT</t>
  </si>
  <si>
    <t>Peak</t>
  </si>
  <si>
    <t>STG_MAXCYC</t>
  </si>
  <si>
    <t>~FI_T: USD20</t>
  </si>
  <si>
    <t>AuxStoIN</t>
  </si>
  <si>
    <t>Tra_EV_Batt-LFP</t>
  </si>
  <si>
    <t>TRAELC</t>
  </si>
  <si>
    <t>TRDELC</t>
  </si>
  <si>
    <t>comm-out</t>
  </si>
  <si>
    <t>FLO_COST</t>
  </si>
  <si>
    <t>Tra_EV_Batt-LMO</t>
  </si>
  <si>
    <t>UP</t>
  </si>
  <si>
    <t>Tra_EV_Batt-NCA</t>
  </si>
  <si>
    <t>Tra_EV_Batt-NMC 111</t>
  </si>
  <si>
    <t>Tra_EV_Batt-NMC532</t>
  </si>
  <si>
    <t>Tra_EV_Batt-NMC 622</t>
  </si>
  <si>
    <t>Tra_EV_Batt-NMC 811</t>
  </si>
  <si>
    <t>lithium</t>
  </si>
  <si>
    <t>PRE</t>
  </si>
  <si>
    <t>nickel</t>
  </si>
  <si>
    <t>cobalt</t>
  </si>
  <si>
    <t>Lithium</t>
  </si>
  <si>
    <t>Nickel</t>
  </si>
  <si>
    <t>Cobalt</t>
  </si>
  <si>
    <t>Manganes</t>
  </si>
  <si>
    <t>Alumium</t>
  </si>
  <si>
    <t>Copper</t>
  </si>
  <si>
    <t>Graphite</t>
  </si>
  <si>
    <t>manganese</t>
  </si>
  <si>
    <t>aluminum</t>
  </si>
  <si>
    <t>copper</t>
  </si>
  <si>
    <t>NMC111</t>
  </si>
  <si>
    <t>NMC532</t>
  </si>
  <si>
    <t>NMC622</t>
  </si>
  <si>
    <t>NMC811</t>
  </si>
  <si>
    <t>repp-LFP</t>
  </si>
  <si>
    <t>repp-LMO</t>
  </si>
  <si>
    <t>repp-NCA</t>
  </si>
  <si>
    <t>repp-NMC111</t>
  </si>
  <si>
    <t>repp-NMC532</t>
  </si>
  <si>
    <t>repp-NMC622</t>
  </si>
  <si>
    <t>repp-NMC811</t>
  </si>
  <si>
    <t>*PRC_REFIT</t>
  </si>
  <si>
    <t>*other_indexes</t>
  </si>
  <si>
    <t>Util_Rep_Batt-LFP</t>
  </si>
  <si>
    <t>ELC</t>
  </si>
  <si>
    <t>Util_Rep_Batt-LMO</t>
  </si>
  <si>
    <t>Util_Rep_Batt-NCA</t>
  </si>
  <si>
    <t>Util_Rep_Batt-NMC 111</t>
  </si>
  <si>
    <t>Util_Rep_Batt-NMC532</t>
  </si>
  <si>
    <t>Util_Rep_Batt-NMC 622</t>
  </si>
  <si>
    <t>Util_Rep_Batt-NMC 811</t>
  </si>
  <si>
    <t>~FI_T: NCAP_OCOM</t>
  </si>
  <si>
    <t>recy-LFP</t>
  </si>
  <si>
    <t>recy-LMO</t>
  </si>
  <si>
    <t>recy-NCA</t>
  </si>
  <si>
    <t>recy-NMC111</t>
  </si>
  <si>
    <t>recy-NMC532</t>
  </si>
  <si>
    <t>recy-NMC622</t>
  </si>
  <si>
    <t>recy-NMC811</t>
  </si>
  <si>
    <t>~FI_T</t>
  </si>
  <si>
    <t>PyroRecy-LFP</t>
  </si>
  <si>
    <t>PyroRecy-LMO</t>
  </si>
  <si>
    <t>PyroRecy-NCA</t>
  </si>
  <si>
    <t>PyroRecy-NMC111</t>
  </si>
  <si>
    <t>PyroRecy-NMC532</t>
  </si>
  <si>
    <t>PyroRecy-NMC622</t>
  </si>
  <si>
    <t>PyroRecy-NMC811</t>
  </si>
  <si>
    <t>HydRecy-LFP</t>
  </si>
  <si>
    <t>HydRecy-LMO</t>
  </si>
  <si>
    <t>HydRecy-NCA</t>
  </si>
  <si>
    <t>HydRecy-NMC111</t>
  </si>
  <si>
    <t>HydRecy-NMC532</t>
  </si>
  <si>
    <t>HydRecy-NMC622</t>
  </si>
  <si>
    <t>HydRecy-NMC811</t>
  </si>
  <si>
    <t>DirRecy-LFP</t>
  </si>
  <si>
    <t>DirRecy-LMO</t>
  </si>
  <si>
    <t>DirRecy-NCA</t>
  </si>
  <si>
    <t>DirRecy-NMC111</t>
  </si>
  <si>
    <t>DirRecy-NMC532</t>
  </si>
  <si>
    <t>DirRecy-NMC622</t>
  </si>
  <si>
    <t>DirRecy-NMC811</t>
  </si>
  <si>
    <t>*battery demand grows by 2.5× every 7 years (as suggested by Bloomberg), and we assume an 18% learning rate, then by 2050, the battery capital expenditure per kWh is projected to be approximately 31.3% of the 2019 level [https://about.bnef.com/blog/lithium-ion-battery-pack-prices-see-largest-drop-since-2017-falling-to-115-per-kilowatt-hour-bloombergnef/]</t>
  </si>
  <si>
    <t>*This part is the manufacturing costs deducting mining costs which refers to the capital costs for new battery; for repurpose it encompasses refurbishement+reuse fee</t>
  </si>
  <si>
    <t>Manufacturing CAPEX (M$/ktonne): Middle throughput selected</t>
  </si>
  <si>
    <t>~FI_T: NCAP_COST</t>
  </si>
  <si>
    <t>Energy Density of Battery Cells/ for validation</t>
  </si>
  <si>
    <t xml:space="preserve">Location </t>
  </si>
  <si>
    <t xml:space="preserve">US </t>
  </si>
  <si>
    <t>Korea</t>
  </si>
  <si>
    <t xml:space="preserve">China </t>
  </si>
  <si>
    <t>Other World</t>
  </si>
  <si>
    <t>GWh/ktonne</t>
  </si>
  <si>
    <t>Throughput</t>
  </si>
  <si>
    <t>50 GWh/yr</t>
  </si>
  <si>
    <t>30 GWh/yr</t>
  </si>
  <si>
    <t>10 GWh/yr</t>
  </si>
  <si>
    <t>LimType</t>
  </si>
  <si>
    <t>AllRegions</t>
  </si>
  <si>
    <t>China</t>
  </si>
  <si>
    <t>NorthAm</t>
  </si>
  <si>
    <t>Cathode type</t>
  </si>
  <si>
    <t>Capital investment ($/kg cell)</t>
  </si>
  <si>
    <t>Year</t>
  </si>
  <si>
    <t>*</t>
  </si>
  <si>
    <t>LCO</t>
  </si>
  <si>
    <t>FX</t>
  </si>
  <si>
    <t xml:space="preserve">LFP </t>
  </si>
  <si>
    <t xml:space="preserve">LMO </t>
  </si>
  <si>
    <t>NCAP_ICOM (ktonne/GWh?) for new batteries: Tra_EV_Batt*</t>
  </si>
  <si>
    <t>Total amount of commodity (c) required for the construction of new capacity.</t>
  </si>
  <si>
    <t>We need to use total cost derived by using above-mining costs you have already considered (M$/ktonne)</t>
  </si>
  <si>
    <t>MINBatMaterials</t>
  </si>
  <si>
    <t>TRA</t>
  </si>
  <si>
    <t>Pyro recycling</t>
  </si>
  <si>
    <t>KT</t>
  </si>
  <si>
    <t>KTPA</t>
  </si>
  <si>
    <t>commodity</t>
  </si>
  <si>
    <t>NCAP_OCOM</t>
  </si>
  <si>
    <t>MultiR-LFP</t>
  </si>
  <si>
    <t>MultiR-LMO</t>
  </si>
  <si>
    <t>MultiR-NCA</t>
  </si>
  <si>
    <t>MultiR-NMC111</t>
  </si>
  <si>
    <t>Hyd recycling</t>
  </si>
  <si>
    <t>MultiR-NMC532</t>
  </si>
  <si>
    <t>MultiR-NMC622</t>
  </si>
  <si>
    <t>MultiR-NMC811</t>
  </si>
  <si>
    <t>Direct recycling</t>
  </si>
  <si>
    <t>NCAP_CLAG</t>
  </si>
  <si>
    <t>CAP2ACT</t>
  </si>
  <si>
    <t>Tra_EV_Batt-LFP-toRecy</t>
  </si>
  <si>
    <t>Tra_EV_Batt-LMO-toRecy</t>
  </si>
  <si>
    <t>Tra_EV_Batt-NCA-toRecy</t>
  </si>
  <si>
    <t>Tra_EV_Batt-NMC 111-toRecy</t>
  </si>
  <si>
    <t>Tra_EV_Batt-NMC532-toRecy</t>
  </si>
  <si>
    <t>Tra_EV_Batt-NMC 622-toRecy</t>
  </si>
  <si>
    <t>Tra_EV_Batt-NMC 811-toRecy</t>
  </si>
  <si>
    <t>Tra_EV_Batt-LFP-toRepurpose</t>
  </si>
  <si>
    <t>Tra_EV_Batt-LMO-toRepurpose</t>
  </si>
  <si>
    <t>Tra_EV_Batt-NCA-toRepurpose</t>
  </si>
  <si>
    <t>Tra_EV_Batt-NMC 111-toRepurpose</t>
  </si>
  <si>
    <t>Tra_EV_Batt-NMC532-toRepurpose</t>
  </si>
  <si>
    <t>Tra_EV_Batt-NMC 622-toRepurpose</t>
  </si>
  <si>
    <t>Tra_EV_Batt-NMC 811-toRepurpose</t>
  </si>
  <si>
    <t>*We moved to Trans</t>
  </si>
  <si>
    <t>Recycling CAPEX cost breakdown: Middle Bound (M$/ktonne, to align with the unit of TIMES model )</t>
  </si>
  <si>
    <t>Recovery rate for pyrometallurgical recycling process</t>
  </si>
  <si>
    <t>~FI_T: Share-O</t>
  </si>
  <si>
    <t>CAPEX/mass ($/kg/yr)</t>
  </si>
  <si>
    <t xml:space="preserve">Li </t>
  </si>
  <si>
    <t>Ni</t>
  </si>
  <si>
    <t>Co</t>
  </si>
  <si>
    <t>Mn</t>
  </si>
  <si>
    <t>Aluminium</t>
  </si>
  <si>
    <t xml:space="preserve">Copper </t>
  </si>
  <si>
    <t>Fe</t>
  </si>
  <si>
    <t>Pyro</t>
  </si>
  <si>
    <t>Hydro</t>
  </si>
  <si>
    <t>Direct</t>
  </si>
  <si>
    <t>Total material after recovery</t>
  </si>
  <si>
    <t>m_lithium, m_nickel, m_cobalt, m_manganese, m_aluminum, m_copper, m_graphite</t>
  </si>
  <si>
    <t>LFP </t>
  </si>
  <si>
    <t>LMO </t>
  </si>
  <si>
    <t>Recovery rate for Hydro recycling process</t>
  </si>
  <si>
    <t>NOT APPLIED</t>
  </si>
  <si>
    <t>NCAP_ICOM (ktonne/GWh) for new batteries: Tra_EV_Batt*</t>
  </si>
  <si>
    <t>NCAP_ICOM</t>
  </si>
  <si>
    <t>Recovery rate for Direct recycling process</t>
  </si>
  <si>
    <t>~FI_T:  NCAP_OCOM</t>
  </si>
  <si>
    <t>Dir_repp-LFP</t>
  </si>
  <si>
    <t>rep_Batt-LFP</t>
  </si>
  <si>
    <t>PyroRecy_Tra_EV_Batt-LFP</t>
  </si>
  <si>
    <t>Dir_repp-LMO</t>
  </si>
  <si>
    <t>rep_Batt-LMO</t>
  </si>
  <si>
    <t>PyroRecy_Tra_EV_Batt-LMO</t>
  </si>
  <si>
    <t>Dir_repp-NCA</t>
  </si>
  <si>
    <t>rep_Batt-NCA</t>
  </si>
  <si>
    <t>PyroRecy_Tra_EV_Batt-NCA</t>
  </si>
  <si>
    <t>Dir_repp-NMC111</t>
  </si>
  <si>
    <t>rep_Batt-NMC 111</t>
  </si>
  <si>
    <t>PyroRecy_Tra_EV_Batt-NMC 111</t>
  </si>
  <si>
    <t>Dir_repp-NMC532</t>
  </si>
  <si>
    <t>rep_Batt-NMC532</t>
  </si>
  <si>
    <t>PyroRecy_Tra_EV_Batt-NMC532</t>
  </si>
  <si>
    <t>Dir_repp-NMC622</t>
  </si>
  <si>
    <t>rep_Batt-NMC 622</t>
  </si>
  <si>
    <t>PyroRecy_Tra_EV_Batt-NMC 622</t>
  </si>
  <si>
    <t>Dir_repp-NMC811</t>
  </si>
  <si>
    <t>rep_Batt-NMC 811</t>
  </si>
  <si>
    <t>PyroRecy_Tra_EV_Batt-NMC 811</t>
  </si>
  <si>
    <t>HydRecy_Tra_EV_Batt-LFP</t>
  </si>
  <si>
    <t>HydRecy_Tra_EV_Batt-LMO</t>
  </si>
  <si>
    <t>HydRecy_Tra_EV_Batt-NCA</t>
  </si>
  <si>
    <t>HydRecy_Tra_EV_Batt-NMC 111</t>
  </si>
  <si>
    <t>HydRecy_Tra_EV_Batt-NMC532</t>
  </si>
  <si>
    <t>HydRecy_Tra_EV_Batt-NMC 622</t>
  </si>
  <si>
    <t>HydRecy_Tra_EV_Batt-NMC 811</t>
  </si>
  <si>
    <t>DirRecy_Tra_EV_Batt-LFP</t>
  </si>
  <si>
    <t>DirRecy_Tra_EV_Batt-LMO</t>
  </si>
  <si>
    <t>DirRecy_Tra_EV_Batt-NCA</t>
  </si>
  <si>
    <t>DirRecy_Tra_EV_Batt-NMC 111</t>
  </si>
  <si>
    <t>DirRecy_Tra_EV_Batt-NMC532</t>
  </si>
  <si>
    <t>DirRecy_Tra_EV_Batt-NMC 622</t>
  </si>
  <si>
    <t>DirRecy_Tra_EV_Batt-NMC 811</t>
  </si>
  <si>
    <t>**Repurposing energy use mainly from electricity, which is negligible compared to mining or recycling</t>
  </si>
  <si>
    <t>COAHCO</t>
  </si>
  <si>
    <t>GASNGA</t>
  </si>
  <si>
    <t>OILDST</t>
  </si>
  <si>
    <t>Original data_provided by Anna</t>
  </si>
  <si>
    <t>Li</t>
  </si>
  <si>
    <t>[We use that for pure lithium from hydroxide]</t>
  </si>
  <si>
    <t>NI</t>
  </si>
  <si>
    <t>Location</t>
  </si>
  <si>
    <t xml:space="preserve">Energy use (MJ/kWh battery produced) </t>
  </si>
  <si>
    <r>
      <rPr>
        <sz val="12"/>
        <color rgb="FF000000"/>
        <rFont val="Aptos Narrow"/>
        <charset val="0"/>
      </rPr>
      <t>Chemistry</t>
    </r>
    <r>
      <rPr>
        <sz val="12"/>
        <color rgb="FF000000"/>
        <rFont val="Aptos Narrow"/>
        <charset val="0"/>
      </rPr>
      <t xml:space="preserve"> </t>
    </r>
  </si>
  <si>
    <r>
      <rPr>
        <sz val="12"/>
        <color rgb="FF000000"/>
        <rFont val="Aptos Narrow"/>
        <charset val="0"/>
      </rPr>
      <t>LCO</t>
    </r>
    <r>
      <rPr>
        <sz val="12"/>
        <color rgb="FF000000"/>
        <rFont val="Aptos Narrow"/>
        <charset val="0"/>
      </rPr>
      <t xml:space="preserve"> </t>
    </r>
  </si>
  <si>
    <r>
      <rPr>
        <sz val="12"/>
        <color rgb="FF000000"/>
        <rFont val="Aptos Narrow"/>
        <charset val="0"/>
      </rPr>
      <t>LMO</t>
    </r>
    <r>
      <rPr>
        <sz val="12"/>
        <color rgb="FF000000"/>
        <rFont val="Aptos Narrow"/>
        <charset val="0"/>
      </rPr>
      <t xml:space="preserve"> </t>
    </r>
  </si>
  <si>
    <r>
      <rPr>
        <sz val="12"/>
        <color rgb="FF000000"/>
        <rFont val="Aptos Narrow"/>
        <charset val="0"/>
      </rPr>
      <t>LFP</t>
    </r>
    <r>
      <rPr>
        <sz val="12"/>
        <color rgb="FF000000"/>
        <rFont val="Aptos Narrow"/>
        <charset val="0"/>
      </rPr>
      <t xml:space="preserve"> </t>
    </r>
  </si>
  <si>
    <t>US</t>
  </si>
  <si>
    <r>
      <rPr>
        <sz val="12"/>
        <color rgb="FF000000"/>
        <rFont val="Aptos Narrow"/>
        <charset val="0"/>
      </rPr>
      <t xml:space="preserve">     </t>
    </r>
    <r>
      <rPr>
        <sz val="12"/>
        <color rgb="FF000000"/>
        <rFont val="Aptos Narrow"/>
        <charset val="0"/>
      </rPr>
      <t>Total Energy</t>
    </r>
  </si>
  <si>
    <r>
      <rPr>
        <sz val="12"/>
        <color rgb="FF000000"/>
        <rFont val="Aptos Narrow"/>
        <charset val="0"/>
      </rPr>
      <t xml:space="preserve">     </t>
    </r>
    <r>
      <rPr>
        <sz val="12"/>
        <color rgb="FF000000"/>
        <rFont val="Aptos Narrow"/>
        <charset val="0"/>
      </rPr>
      <t>Fossil fuels</t>
    </r>
  </si>
  <si>
    <r>
      <rPr>
        <sz val="12"/>
        <color rgb="FF000000"/>
        <rFont val="Aptos Narrow"/>
        <charset val="0"/>
      </rPr>
      <t xml:space="preserve">     </t>
    </r>
    <r>
      <rPr>
        <sz val="12"/>
        <color rgb="FF000000"/>
        <rFont val="Aptos Narrow"/>
        <charset val="0"/>
      </rPr>
      <t>Coal</t>
    </r>
  </si>
  <si>
    <r>
      <rPr>
        <sz val="12"/>
        <color rgb="FF000000"/>
        <rFont val="Aptos Narrow"/>
        <charset val="0"/>
      </rPr>
      <t xml:space="preserve">     </t>
    </r>
    <r>
      <rPr>
        <sz val="12"/>
        <color rgb="FF000000"/>
        <rFont val="Aptos Narrow"/>
        <charset val="0"/>
      </rPr>
      <t>Natural gas</t>
    </r>
  </si>
  <si>
    <r>
      <rPr>
        <sz val="12"/>
        <color rgb="FF000000"/>
        <rFont val="Aptos Narrow"/>
        <charset val="0"/>
      </rPr>
      <t xml:space="preserve">     </t>
    </r>
    <r>
      <rPr>
        <sz val="12"/>
        <color rgb="FF000000"/>
        <rFont val="Aptos Narrow"/>
        <charset val="0"/>
      </rPr>
      <t>Petroleum</t>
    </r>
  </si>
  <si>
    <t>COB</t>
  </si>
  <si>
    <t>MN</t>
  </si>
  <si>
    <r>
      <rPr>
        <sz val="12"/>
        <color rgb="FF000000"/>
        <rFont val="Aptos Narrow"/>
        <charset val="0"/>
      </rPr>
      <t>** Assumed to be cell manufacturing</t>
    </r>
    <r>
      <rPr>
        <sz val="12"/>
        <color rgb="FF000000"/>
        <rFont val="Aptos Narrow"/>
        <charset val="0"/>
      </rPr>
      <t xml:space="preserve"> </t>
    </r>
  </si>
  <si>
    <t>AL</t>
  </si>
  <si>
    <t>COP</t>
  </si>
  <si>
    <t>GR</t>
  </si>
  <si>
    <t>Other countries</t>
  </si>
  <si>
    <t>~FI_T: INPUT</t>
  </si>
  <si>
    <t>Table 1. Lithium-Ion Battery Pack Composition by Weight (kg/kWh)</t>
  </si>
  <si>
    <t xml:space="preserve">Data source: </t>
  </si>
  <si>
    <t>Jessica Dunn, Margaret Slattery, Alissa Kendall, Hanjiro Ambrose, and Shuhan Shen Environmental Science &amp; Technology 2021 55 (8), 5189-5198 DOI: 10.1021/acs.est.0c07030</t>
  </si>
  <si>
    <t>graphite</t>
  </si>
  <si>
    <t>Table 2 Lifes for LIB (Cycles)</t>
  </si>
  <si>
    <t>J. Porzio, C. D. Scown, Life-Cycle Assessment Considerations for Batteries and Battery Materials. Adv. Energy Mater. 2021, 11, 2100771. https://doi.org/10.1002/aenm.202100771</t>
  </si>
  <si>
    <t>Cycle life (cycles)</t>
  </si>
  <si>
    <t>3000+</t>
  </si>
  <si>
    <t>1000-2000</t>
  </si>
  <si>
    <t>2000+</t>
  </si>
  <si>
    <t>Lifetime (years)</t>
  </si>
  <si>
    <t>8-12year</t>
  </si>
  <si>
    <t>6–10years</t>
  </si>
  <si>
    <t>8-10year</t>
  </si>
  <si>
    <t>Table 3 Recycling efficiencies</t>
  </si>
  <si>
    <t>Data source: 
Thompson D L, Hartley J M, Lambert S M, et al. The importance of design in lithium ion battery recycling–a critical review[J]. Green Chemistry, 2020, 22(22): 7585-7603.</t>
  </si>
  <si>
    <t>The recycling efficiencies depend on a lot of factors (handling approach like crushing or dismantling, product design, materials, regions, and time-technique development)</t>
  </si>
  <si>
    <t>While it has a relatively poor energy density, the lead acid cell has, through numerous iterations, become standardised and is designed for recycling. Modern lead acid batteries are able to reuse &gt;98% by mass of the material.6 This is due in part to the simplicity of their design, where the anode and cathode are Pb and PbO2, respectively. The lead acid battery is self-contained in one unit, not assembled into modules and packs, so it needs no disassembly prior to recycling. Each automotive battery weights 12–21 kg of which lead is more than half the weight which make it economically worthwhile to recycle. The recycling process of a lead acid battery is a simple one: the case is crushed, allowing the sulphuric acid electrolyte to escape, and the lead electrodes are separated from the polypropylene casing and separator by density. The lead is smelted and the polypropylene can be reused in new casings</t>
  </si>
  <si>
    <t>Table 4 Recycling rates (reuse mass of retired bat/demand)</t>
  </si>
  <si>
    <t>TRUCKS between 3.5-7.5 tons Gross Vehicle Weight</t>
  </si>
  <si>
    <t>Reference values for diesel truck 3.5-7.5t</t>
  </si>
  <si>
    <t>3.5-7.5t diesel truck</t>
  </si>
  <si>
    <t>3.5-7.5t diesel hybrid truck</t>
  </si>
  <si>
    <t>Reference values for CNG truck 3.5-7.5t</t>
  </si>
  <si>
    <t>Reduction of specific energy consumption relative to 2015 CNG vehicle(%)</t>
  </si>
  <si>
    <t>3.5-7.5t CNG truck</t>
  </si>
  <si>
    <t>Reference values for LPG truck 3.5-7.5t</t>
  </si>
  <si>
    <t>3.5-7.5t LPG truck</t>
  </si>
  <si>
    <t>Energy consumption of 3.5-7.5t  battery electric truck</t>
  </si>
  <si>
    <t>3.5-7.5t  battery electric truck</t>
  </si>
  <si>
    <t>3.5-7.5t Hydrogen fuel cell truck</t>
  </si>
  <si>
    <t>TRUCKS between 16-32 tons Gross Vehicle Weight</t>
  </si>
  <si>
    <t>The model includes a number of truck types of above 16 tons of GVW (e.g. 4x2 Rigid regional or long-haul, 4x2 Tractor regional or long-haul, 6x2 Rigid regional or long-haul, 6x2 Tractor regional or long-haul). The file presents assumptions for a 4x2 rigid regional 16-32t and 4x2 Tractor Long-haul  &gt;32t truck.</t>
  </si>
  <si>
    <t>Reference values for diesel truck 16-32t</t>
  </si>
  <si>
    <t>16-32t diesel truck</t>
  </si>
  <si>
    <t>16-32t diesel hybrid truck</t>
  </si>
  <si>
    <t>Reference values for LNG truck 16-32t</t>
  </si>
  <si>
    <t>16-32t LNG truck</t>
  </si>
  <si>
    <t>Reference values for LPG truck 16-32t</t>
  </si>
  <si>
    <t>Reduction of specific energy consumption relative to 2015  LPG(%)</t>
  </si>
  <si>
    <t>16-32t LPG truck</t>
  </si>
  <si>
    <t>Energy consumption of 16-32t battery electric truck</t>
  </si>
  <si>
    <t>16-32t battery electric truck</t>
  </si>
  <si>
    <t>16-32t Hydrogen fuel cell truck</t>
  </si>
  <si>
    <t>TRUCKS of above 32 tons Gross Vehicle Weight</t>
  </si>
  <si>
    <t>Reference values for diesel truck &gt;32t</t>
  </si>
  <si>
    <t>&gt;32t diesel truck</t>
  </si>
  <si>
    <t>&gt;32t diesel hybrid truck</t>
  </si>
  <si>
    <t>Reference values for LNG truck &gt;32t</t>
  </si>
  <si>
    <t>&gt;32t LNG truck</t>
  </si>
  <si>
    <t>Reference values for LPG truck &gt;32t</t>
  </si>
  <si>
    <t>&gt;32t LPG truck</t>
  </si>
  <si>
    <t>Energy consumption of battery electric  &gt;32t truck</t>
  </si>
  <si>
    <t>&gt;32t battery electric truck</t>
  </si>
  <si>
    <t>&gt;32t Hydrogen fuel cell truck</t>
  </si>
  <si>
    <t>&gt;32t pantograph electric truck</t>
  </si>
  <si>
    <t xml:space="preserve">(i) when connected to overhead electrified cabling, </t>
  </si>
  <si>
    <t>(ii) the cost of the truck does not include infrastructure costs</t>
  </si>
  <si>
    <t>Reference values for aviation</t>
  </si>
  <si>
    <t>The model includes five aircraft categories depending on their size. This sheet presents the assumptions for a narrow-body jet. Narrow body jets are used in a wide range of flights today in the EU (covering distances ranging from 300-to more than 1000 km). Regarding battery electric aircrafts, the assumptions refer to the same aircraft (narrow-body) being able to deliver certain ranges/ flight distaces.</t>
  </si>
  <si>
    <t>toe/Mvkm</t>
  </si>
  <si>
    <t xml:space="preserve">Million Euro15 </t>
  </si>
  <si>
    <t>Conventional aircraft in Million Euro15</t>
  </si>
  <si>
    <t>Hybrid Aircraft in Million Euro15</t>
  </si>
  <si>
    <t>Electric range of Battery electric aircraft (km)</t>
  </si>
  <si>
    <t>Battery electric aircraft in Million Euro15</t>
  </si>
  <si>
    <t>Energy consumption (toe/Mvkm)</t>
  </si>
  <si>
    <t>hydrogen fuel cell Aircraft in Million Euro15</t>
  </si>
  <si>
    <t>Reference values for diesel passenger rail</t>
  </si>
  <si>
    <t>toe/Mpkm</t>
  </si>
  <si>
    <t>diesel passenger rail in Million Euro15</t>
  </si>
  <si>
    <t>Reference values for electric passenger rail</t>
  </si>
  <si>
    <t>electric passenger rail in Million Euro15</t>
  </si>
  <si>
    <t>Reference values for high speed passenger rail</t>
  </si>
  <si>
    <t>high speed passenger rail in Million Euro15</t>
  </si>
  <si>
    <t>Reference values for diesel freight rail</t>
  </si>
  <si>
    <t>toe/Mtkm</t>
  </si>
  <si>
    <t>diesel freight rail in Million Euro15</t>
  </si>
  <si>
    <t>Reference values for electric freight rail</t>
  </si>
  <si>
    <t>electric freight rail in Million Euro15</t>
  </si>
  <si>
    <t>Hydrogen fuel cell freight rail</t>
  </si>
  <si>
    <t>Energy consumption (toe/Mtkm)</t>
  </si>
  <si>
    <t>hydrogen fuel cell freight rail in Million Euro15</t>
  </si>
  <si>
    <t>Hydrogen fuel cell passenger rail</t>
  </si>
  <si>
    <t>Energy consumption (toe/Mpkm)</t>
  </si>
  <si>
    <t>hydrogen fuel cell passenger rail in Million Euro15</t>
  </si>
  <si>
    <t>Passenger Inland Navigation/National maritime</t>
  </si>
  <si>
    <t>Reference values for conventional diesel/fuel oil passenger inland navigation</t>
  </si>
  <si>
    <t>Million Euro15 /veh</t>
  </si>
  <si>
    <t>diesel/fuel oil passenger inland navigation/national maritime vessel in Million Euro15</t>
  </si>
  <si>
    <t>Reference values for LNG passenger inland navigation</t>
  </si>
  <si>
    <t>LNG passenger inland navigation/national maritime vessel in Million Euro15</t>
  </si>
  <si>
    <t xml:space="preserve">Energy consumption of Battery electric passenger vessel </t>
  </si>
  <si>
    <t>Battery electric passenger vessel in Million Euro15</t>
  </si>
  <si>
    <t>Hydrogen fuel cell passenger vessel in Million Euro15</t>
  </si>
  <si>
    <t>Freight Inland Navigation/National maritime</t>
  </si>
  <si>
    <t>Reference values for conventional diesel/ fuel oil freight inland navigation</t>
  </si>
  <si>
    <t>diesel/fuel oil freight inland navigation/national maritime vessel in Million Euro15</t>
  </si>
  <si>
    <t>Reference values for LNG freight inland navigation</t>
  </si>
  <si>
    <t>LNG freight inland navigation/national maritime vessel in Million Euro15</t>
  </si>
  <si>
    <t>Energy consumption of Battery electric freight vessel</t>
  </si>
  <si>
    <t>Battery electric freight vessel in Million Euro15</t>
  </si>
  <si>
    <t>Hydrogen fuel cell freight vessel in Million Euro15</t>
  </si>
  <si>
    <t>Short-Sea and Deep-Sea International Shipping</t>
  </si>
  <si>
    <t>Container 1000-1999 TEU</t>
  </si>
  <si>
    <t>The model includes a number of vessel types depending on their carrying capacity. This sheet presents selected vessel sizes for containers, dry bulk carriers, oil tankers and general cargo. Prices refer to new-built vessels</t>
  </si>
  <si>
    <t>Reference values for conventional diesel/fuel oil Container 1000-1999 TEU vessel</t>
  </si>
  <si>
    <t>diesel/fuel oil  Container 1000-1999 TEU vessel in Million Euro15</t>
  </si>
  <si>
    <t>Reference values for LNG Container 1000-1999 TEU vessel</t>
  </si>
  <si>
    <t>Reduction of specific energy consumption relative to 2015 LNG vessel (%)</t>
  </si>
  <si>
    <t>LNG Container 1000-1999 TEU vessel in Million Euro15</t>
  </si>
  <si>
    <t>Reference values for Fuel Cell Container 1000-1999 TEU vessel</t>
  </si>
  <si>
    <t>Reduction of specific energy consumption relative to 2030 fuel cell (%)</t>
  </si>
  <si>
    <t>Fuel Cell  Container 1000-1999 TEU vessel in Million Euro15</t>
  </si>
  <si>
    <t>Reference values for electric Container 1000-1999 TEU vessel</t>
  </si>
  <si>
    <t>Electric  Container 1000-1999 TEU vessel in Million Euro15</t>
  </si>
  <si>
    <t xml:space="preserve">Dry bulk carrier handymax-supra </t>
  </si>
  <si>
    <t>Reference values for conventional diesel/fuel oil handymax-supra bulk carrier vessel</t>
  </si>
  <si>
    <t>diesel/fuel oil  handymax-supra bulk carrier vessel in Million Euro15</t>
  </si>
  <si>
    <t>Reference values for conventional LNG handymax-supra bulk carrier vessel</t>
  </si>
  <si>
    <t>LNG  handymax-supra bulk carrier vessel in Million Euro15</t>
  </si>
  <si>
    <t>Reference values for Fuel Cell handymax-supra bulk carrier vessel</t>
  </si>
  <si>
    <t>Fuel Cell handymax-supra bulk carrier vessel in Million Euro15</t>
  </si>
  <si>
    <t>Reference values for electric handymax-supra bulk carrier vessel</t>
  </si>
  <si>
    <t>Electric handymax-supra bulk carrier vessel in Million Euro15</t>
  </si>
  <si>
    <t>General cargo vessel</t>
  </si>
  <si>
    <t>Reference values for conventional diesel/fuel oil General cargo vessel</t>
  </si>
  <si>
    <t>diesel/fuel oil General cargo vessel in Million Euro15</t>
  </si>
  <si>
    <t>Reference values for conventional LNG General cargo vessel</t>
  </si>
  <si>
    <t>LNG General cargo vessel in Million Euro15</t>
  </si>
  <si>
    <t>Reference values for Fuel Cell General cargo vessel</t>
  </si>
  <si>
    <t>Fuel Cell General cargo vessel in Million Euro15</t>
  </si>
  <si>
    <t>Reference values for electric General cargo vessel</t>
  </si>
  <si>
    <t>Electric General cargo vessel in Million Euro15</t>
  </si>
  <si>
    <t>Oil Tanker 10000-69999 DWT</t>
  </si>
  <si>
    <t>Reference values for conventional diesel/fuel oil Tanker 10000-69999 DWT</t>
  </si>
  <si>
    <t>diesel/fuel oil  Tanker 10000-69999 DWT in Million Euro15</t>
  </si>
  <si>
    <t>Reference values for conventional LNG Tanker 10000-69999 DWT</t>
  </si>
  <si>
    <t>LNG  Tanker 10000-69999 DWT in Million Euro15</t>
  </si>
  <si>
    <t>Reference values for Fuel Cell Tanker 10000-69999 DWT</t>
  </si>
  <si>
    <t>Fuel Cell  Tanker 10000-69999 DWT in Million Euro15</t>
  </si>
  <si>
    <t>Reference values for electric Tanker 10000-69999 DWT</t>
  </si>
  <si>
    <t>Electric Tanker 10000-69999 DWT in Million Euro15</t>
  </si>
  <si>
    <t>Refuelling technologies</t>
  </si>
  <si>
    <t>Investment cost per unit of capacity (EUR/kW-output)</t>
  </si>
  <si>
    <t>Fixed O&amp;M costs (EUR/kW-output)</t>
  </si>
  <si>
    <t>Ultimate</t>
  </si>
  <si>
    <t>H2 compression station  (per 1 kW or 1 MWh H2 HHV)</t>
  </si>
  <si>
    <t>Hydrogen Liquefaction plant  (per 1 kW or 1 MWh H2 HHV)</t>
  </si>
  <si>
    <t>H2 liquid to gas refuelling station  (per 1 kW or 1 MWh H2 HHV)</t>
  </si>
  <si>
    <t>H2 refuelling station Small (400kg H2/day) (per 1 kW or 1 MWh H2 HHV)</t>
  </si>
  <si>
    <t>H2 refuelling station Medium (1000kg H2/day)  (per 1 kW or 1 MWh H2 HHV)</t>
  </si>
  <si>
    <t>H2 refuelling station Large (2500kg H2/day)  (per 1 kW or 1 MWh H2 HHV)</t>
  </si>
  <si>
    <t>ELC recharging points - Semi Fast (22 kW) recharging  (per 1 kW or 1 MWh ELC)</t>
  </si>
  <si>
    <t>ELC recharging points - Fast (50 kW) recharging  (per 1 kW or 1 MWh ELC)</t>
  </si>
  <si>
    <t>ELC recharging points - Fast (150 kW) recharging  (per 1 kW or 1 MWh ELC)</t>
  </si>
  <si>
    <t>ELC recharging points - Ultra Fast (350 kW) recharging  (per 1 kW or 1 MWh ELC)</t>
  </si>
  <si>
    <t>CNG compression station  (per 1 kW or 1 MWh gas HHV)</t>
  </si>
  <si>
    <t>CNG refuelling station  (per 1 kW or 1 MWh gas HHV)</t>
  </si>
  <si>
    <t>L-CNG refuelling station  (per 1 kW or 1 MWh gas HHV)</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</si>
</sst>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0_-;\-* #,##0_-;_-* &quot;-&quot;_-;_-@_-"/>
    <numFmt numFmtId="43" formatCode="_-* #,##0.00_-;\-* #,##0.00_-;_-* &quot;-&quot;??_-;_-@_-"/>
    <numFmt numFmtId="176" formatCode="_(* #,##0.00_);_(* \(#,##0.00\);_(* &quot;-&quot;??_);_(@_)"/>
    <numFmt numFmtId="177" formatCode="_-&quot;$&quot;* #,##0.00_-;\-&quot;$&quot;* #,##0.00_-;_-&quot;$&quot;* \-??_-;_-@_-"/>
    <numFmt numFmtId="178" formatCode="_-&quot;$&quot;* #,##0_-;\-&quot;$&quot;* #,##0_-;_-&quot;$&quot;* &quot;-&quot;_-;_-@_-"/>
    <numFmt numFmtId="179" formatCode="_ * #,##0.00_ ;_ * \-#,##0.00_ ;_ * &quot;-&quot;??_ ;_ @_ "/>
    <numFmt numFmtId="180" formatCode="0.0"/>
    <numFmt numFmtId="181" formatCode="0.0%"/>
    <numFmt numFmtId="182" formatCode="0.00_);[Red]\(0.00\)"/>
    <numFmt numFmtId="183" formatCode="0.0000"/>
    <numFmt numFmtId="184" formatCode="#,##0.000"/>
    <numFmt numFmtId="185" formatCode="&quot;$&quot;#,##0.00"/>
    <numFmt numFmtId="186" formatCode="0.000"/>
    <numFmt numFmtId="187" formatCode="0.00000"/>
    <numFmt numFmtId="188" formatCode="mmmm\ yyyy"/>
  </numFmts>
  <fonts count="86">
    <font>
      <sz val="11"/>
      <color theme="1"/>
      <name val="Calibri"/>
      <charset val="134"/>
      <scheme val="minor"/>
    </font>
    <font>
      <b/>
      <sz val="12"/>
      <color theme="1"/>
      <name val="Calibri"/>
      <charset val="134"/>
      <scheme val="minor"/>
    </font>
    <font>
      <b/>
      <sz val="9"/>
      <color rgb="FFFFFFFF"/>
      <name val="Calibri"/>
      <charset val="134"/>
    </font>
    <font>
      <b/>
      <sz val="11"/>
      <color rgb="FFFFFFFF"/>
      <name val="Calibri"/>
      <charset val="134"/>
      <scheme val="minor"/>
    </font>
    <font>
      <b/>
      <sz val="9"/>
      <color rgb="FFFFFFFF"/>
      <name val="Calibri"/>
      <charset val="134"/>
      <scheme val="minor"/>
    </font>
    <font>
      <b/>
      <sz val="9"/>
      <color rgb="FF000000"/>
      <name val="Calibri"/>
      <charset val="134"/>
      <scheme val="minor"/>
    </font>
    <font>
      <sz val="9"/>
      <color rgb="FF000000"/>
      <name val="Calibri"/>
      <charset val="134"/>
      <scheme val="minor"/>
    </font>
    <font>
      <b/>
      <sz val="14"/>
      <color theme="1"/>
      <name val="Calibri"/>
      <charset val="134"/>
      <scheme val="minor"/>
    </font>
    <font>
      <b/>
      <sz val="11"/>
      <color theme="1"/>
      <name val="Calibri"/>
      <charset val="134"/>
      <scheme val="minor"/>
    </font>
    <font>
      <b/>
      <sz val="9"/>
      <color theme="1"/>
      <name val="Tahoma"/>
      <charset val="134"/>
    </font>
    <font>
      <b/>
      <sz val="11"/>
      <color rgb="FF3F3F76"/>
      <name val="Calibri"/>
      <charset val="134"/>
      <scheme val="minor"/>
    </font>
    <font>
      <i/>
      <sz val="12"/>
      <color theme="1"/>
      <name val="Calibri"/>
      <charset val="134"/>
      <scheme val="minor"/>
    </font>
    <font>
      <b/>
      <sz val="12"/>
      <color rgb="FF151515"/>
      <name val="Arial"/>
      <charset val="134"/>
    </font>
    <font>
      <sz val="11"/>
      <color theme="1"/>
      <name val="Times New Roman"/>
      <charset val="134"/>
    </font>
    <font>
      <sz val="12"/>
      <color rgb="FF000000"/>
      <name val="Times New Roman"/>
      <charset val="134"/>
    </font>
    <font>
      <sz val="12"/>
      <color rgb="FF151515"/>
      <name val="Times New Roman"/>
      <charset val="134"/>
    </font>
    <font>
      <b/>
      <sz val="11"/>
      <color indexed="8"/>
      <name val="Calibri"/>
      <charset val="134"/>
    </font>
    <font>
      <sz val="10.2"/>
      <color rgb="FF212529"/>
      <name val="Segoe UI"/>
      <charset val="134"/>
    </font>
    <font>
      <sz val="11"/>
      <color indexed="8"/>
      <name val="Calibri"/>
      <charset val="134"/>
    </font>
    <font>
      <sz val="10"/>
      <name val="Arial"/>
      <charset val="134"/>
    </font>
    <font>
      <sz val="12"/>
      <color rgb="FF000000"/>
      <name val="Aptos Narrow"/>
      <charset val="134"/>
    </font>
    <font>
      <sz val="12"/>
      <color rgb="FF000000"/>
      <name val="Aptos Narrow"/>
      <charset val="0"/>
    </font>
    <font>
      <sz val="11"/>
      <color rgb="FF000000"/>
      <name val="Calibri"/>
      <charset val="134"/>
      <scheme val="minor"/>
    </font>
    <font>
      <sz val="12"/>
      <color rgb="FF000000"/>
      <name val="Calibri"/>
      <charset val="134"/>
      <scheme val="minor"/>
    </font>
    <font>
      <b/>
      <sz val="11"/>
      <color rgb="FF000000"/>
      <name val="Calibri"/>
      <charset val="134"/>
      <scheme val="minor"/>
    </font>
    <font>
      <sz val="11"/>
      <color rgb="FF3F3F76"/>
      <name val="Calibri"/>
      <charset val="134"/>
      <scheme val="minor"/>
    </font>
    <font>
      <b/>
      <i/>
      <sz val="11"/>
      <color theme="1"/>
      <name val="游ゴシック"/>
      <charset val="134"/>
    </font>
    <font>
      <sz val="10"/>
      <color rgb="FFFF0000"/>
      <name val="Arial"/>
      <charset val="134"/>
    </font>
    <font>
      <sz val="10"/>
      <color theme="1"/>
      <name val="Arial"/>
      <charset val="134"/>
    </font>
    <font>
      <b/>
      <sz val="10"/>
      <name val="Arial"/>
      <charset val="134"/>
    </font>
    <font>
      <sz val="16"/>
      <color theme="1"/>
      <name val="Arial"/>
      <charset val="134"/>
    </font>
    <font>
      <sz val="10"/>
      <color rgb="FF000000"/>
      <name val="Calibri"/>
      <charset val="134"/>
      <scheme val="minor"/>
    </font>
    <font>
      <b/>
      <i/>
      <u/>
      <sz val="16"/>
      <color rgb="FF000000"/>
      <name val="Calibri"/>
      <charset val="134"/>
      <scheme val="minor"/>
    </font>
    <font>
      <b/>
      <sz val="10"/>
      <color theme="1"/>
      <name val="Arial"/>
      <charset val="134"/>
    </font>
    <font>
      <sz val="10"/>
      <name val="Calibri"/>
      <charset val="134"/>
      <scheme val="minor"/>
    </font>
    <font>
      <b/>
      <sz val="10"/>
      <color rgb="FF000000"/>
      <name val="Calibri"/>
      <charset val="134"/>
      <scheme val="minor"/>
    </font>
    <font>
      <b/>
      <sz val="10"/>
      <name val="Calibri"/>
      <charset val="134"/>
      <scheme val="minor"/>
    </font>
    <font>
      <b/>
      <sz val="24"/>
      <name val="Arial"/>
      <charset val="134"/>
    </font>
    <font>
      <b/>
      <sz val="20"/>
      <name val="Arial"/>
      <charset val="134"/>
    </font>
    <font>
      <sz val="22"/>
      <color theme="5"/>
      <name val="Arial"/>
      <charset val="134"/>
    </font>
    <font>
      <b/>
      <i/>
      <u/>
      <sz val="16"/>
      <name val="Calibri"/>
      <charset val="134"/>
      <scheme val="minor"/>
    </font>
    <font>
      <b/>
      <sz val="18"/>
      <color theme="5"/>
      <name val="Arial"/>
      <charset val="134"/>
    </font>
    <font>
      <sz val="16"/>
      <color theme="5"/>
      <name val="Arial"/>
      <charset val="134"/>
    </font>
    <font>
      <b/>
      <sz val="18"/>
      <name val="Arial"/>
      <charset val="134"/>
    </font>
    <font>
      <b/>
      <i/>
      <sz val="10"/>
      <color theme="1"/>
      <name val="Arial"/>
      <charset val="134"/>
    </font>
    <font>
      <b/>
      <i/>
      <sz val="10"/>
      <name val="Calibri"/>
      <charset val="134"/>
      <scheme val="minor"/>
    </font>
    <font>
      <b/>
      <i/>
      <sz val="10"/>
      <color rgb="FF000000"/>
      <name val="Calibri"/>
      <charset val="134"/>
      <scheme val="minor"/>
    </font>
    <font>
      <b/>
      <sz val="16"/>
      <name val="Arial"/>
      <charset val="134"/>
    </font>
    <font>
      <sz val="10"/>
      <color theme="1"/>
      <name val="Calibri"/>
      <charset val="134"/>
      <scheme val="minor"/>
    </font>
    <font>
      <b/>
      <sz val="10"/>
      <color theme="1"/>
      <name val="Calibri"/>
      <charset val="134"/>
      <scheme val="minor"/>
    </font>
    <font>
      <sz val="8"/>
      <color rgb="FF000000"/>
      <name val="Segoe UI"/>
      <charset val="134"/>
    </font>
    <font>
      <sz val="8"/>
      <color rgb="FF3974D2"/>
      <name val="Segoe UI"/>
      <charset val="134"/>
    </font>
    <font>
      <sz val="11"/>
      <color rgb="FF006100"/>
      <name val="Calibri"/>
      <charset val="134"/>
      <scheme val="minor"/>
    </font>
    <font>
      <b/>
      <sz val="11"/>
      <color theme="3"/>
      <name val="Calibri"/>
      <charset val="134"/>
      <scheme val="minor"/>
    </font>
    <font>
      <b/>
      <sz val="12"/>
      <color rgb="FF202124"/>
      <name val="Arial"/>
      <charset val="134"/>
    </font>
    <font>
      <sz val="26"/>
      <color theme="1"/>
      <name val="Calibri"/>
      <charset val="134"/>
      <scheme val="minor"/>
    </font>
    <font>
      <sz val="26"/>
      <color theme="1"/>
      <name val="Calibri Light"/>
      <charset val="134"/>
    </font>
    <font>
      <i/>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5" tint="-0.249946592608417"/>
      <name val="Calibri"/>
      <charset val="134"/>
      <scheme val="minor"/>
    </font>
    <font>
      <b/>
      <sz val="11"/>
      <color rgb="FFFA7D00"/>
      <name val="Calibri"/>
      <charset val="134"/>
      <scheme val="minor"/>
    </font>
    <font>
      <u/>
      <sz val="11"/>
      <color theme="10"/>
      <name val="Calibri"/>
      <charset val="134"/>
    </font>
    <font>
      <sz val="10"/>
      <name val="Courier"/>
      <charset val="134"/>
    </font>
    <font>
      <sz val="9"/>
      <name val="Times New Roman"/>
      <charset val="134"/>
    </font>
    <font>
      <b/>
      <sz val="9"/>
      <name val="Tahoma"/>
      <charset val="134"/>
    </font>
    <font>
      <b/>
      <sz val="9"/>
      <name val="Tahoma"/>
      <charset val="1"/>
    </font>
    <font>
      <sz val="9"/>
      <name val="Tahoma"/>
      <charset val="134"/>
    </font>
    <font>
      <b/>
      <sz val="9"/>
      <name val="Times New Roman"/>
      <charset val="134"/>
    </font>
    <font>
      <sz val="9"/>
      <name val="Times New Roman"/>
      <charset val="0"/>
    </font>
    <font>
      <b/>
      <sz val="9"/>
      <name val="Times New Roman"/>
      <charset val="0"/>
    </font>
    <font>
      <sz val="9"/>
      <name val="Tahoma"/>
      <charset val="1"/>
    </font>
  </fonts>
  <fills count="59">
    <fill>
      <patternFill patternType="none"/>
    </fill>
    <fill>
      <patternFill patternType="gray125"/>
    </fill>
    <fill>
      <patternFill patternType="solid">
        <fgColor theme="0" tint="-0.14981536301767"/>
        <bgColor indexed="64"/>
      </patternFill>
    </fill>
    <fill>
      <patternFill patternType="solid">
        <fgColor rgb="FFED7D31"/>
        <bgColor rgb="FF000000"/>
      </patternFill>
    </fill>
    <fill>
      <patternFill patternType="solid">
        <fgColor rgb="FF808080"/>
        <bgColor indexed="64"/>
      </patternFill>
    </fill>
    <fill>
      <patternFill patternType="solid">
        <fgColor rgb="FFDDEBF7"/>
        <bgColor indexed="64"/>
      </patternFill>
    </fill>
    <fill>
      <patternFill patternType="solid">
        <fgColor rgb="FFBDD7EE"/>
        <bgColor indexed="64"/>
      </patternFill>
    </fill>
    <fill>
      <patternFill patternType="solid">
        <fgColor rgb="FFD9E1F2"/>
        <bgColor indexed="64"/>
      </patternFill>
    </fill>
    <fill>
      <patternFill patternType="solid">
        <fgColor rgb="FFFFF2CC"/>
        <bgColor indexed="64"/>
      </patternFill>
    </fill>
    <fill>
      <patternFill patternType="solid">
        <fgColor rgb="FFFFE699"/>
        <bgColor indexed="64"/>
      </patternFill>
    </fill>
    <fill>
      <patternFill patternType="solid">
        <fgColor rgb="FFFCE4D6"/>
        <bgColor indexed="64"/>
      </patternFill>
    </fill>
    <fill>
      <patternFill patternType="solid">
        <fgColor rgb="FFF8CBAD"/>
        <bgColor indexed="64"/>
      </patternFill>
    </fill>
    <fill>
      <patternFill patternType="solid">
        <fgColor theme="8" tint="0.599993896298105"/>
        <bgColor indexed="64"/>
      </patternFill>
    </fill>
    <fill>
      <patternFill patternType="solid">
        <fgColor theme="7" tint="0.799798577837458"/>
        <bgColor indexed="64"/>
      </patternFill>
    </fill>
    <fill>
      <patternFill patternType="solid">
        <fgColor theme="0" tint="-0.249977111117893"/>
        <bgColor indexed="64"/>
      </patternFill>
    </fill>
    <fill>
      <patternFill patternType="solid">
        <fgColor theme="9" tint="0.799798577837458"/>
        <bgColor indexed="64"/>
      </patternFill>
    </fill>
    <fill>
      <patternFill patternType="solid">
        <fgColor rgb="FFFFCC99"/>
        <bgColor indexed="64"/>
      </patternFill>
    </fill>
    <fill>
      <patternFill patternType="solid">
        <fgColor rgb="FFFFFFFF"/>
        <bgColor indexed="64"/>
      </patternFill>
    </fill>
    <fill>
      <patternFill patternType="solid">
        <fgColor theme="0" tint="-0.15"/>
        <bgColor indexed="64"/>
      </patternFill>
    </fill>
    <fill>
      <patternFill patternType="solid">
        <fgColor theme="4"/>
        <bgColor indexed="64"/>
      </patternFill>
    </fill>
    <fill>
      <patternFill patternType="solid">
        <fgColor theme="4" tint="0.8"/>
        <bgColor indexed="64"/>
      </patternFill>
    </fill>
    <fill>
      <patternFill patternType="solid">
        <fgColor theme="3" tint="0.599993896298105"/>
        <bgColor indexed="64"/>
      </patternFill>
    </fill>
    <fill>
      <patternFill patternType="solid">
        <fgColor rgb="FFFF0000"/>
        <bgColor indexed="64"/>
      </patternFill>
    </fill>
    <fill>
      <patternFill patternType="solid">
        <fgColor rgb="FFFFFF00"/>
        <bgColor indexed="64"/>
      </patternFill>
    </fill>
    <fill>
      <patternFill patternType="solid">
        <fgColor theme="0" tint="-0.149937437055574"/>
        <bgColor indexed="64"/>
      </patternFill>
    </fill>
    <fill>
      <patternFill patternType="solid">
        <fgColor theme="0" tint="-0.0499893185216834"/>
        <bgColor indexed="64"/>
      </patternFill>
    </fill>
    <fill>
      <patternFill patternType="solid">
        <fgColor theme="0" tint="-0.149876400036622"/>
        <bgColor indexed="64"/>
      </patternFill>
    </fill>
    <fill>
      <patternFill patternType="solid">
        <fgColor theme="3" tint="0.79985961485641"/>
        <bgColor indexed="64"/>
      </patternFill>
    </fill>
    <fill>
      <patternFill patternType="solid">
        <fgColor rgb="FFC5D9F1"/>
        <bgColor indexed="64"/>
      </patternFill>
    </fill>
    <fill>
      <patternFill patternType="solid">
        <fgColor theme="1" tint="0.499984740745262"/>
        <bgColor indexed="64"/>
      </patternFill>
    </fill>
    <fill>
      <patternFill patternType="solid">
        <fgColor rgb="FFC6EFCE"/>
        <bgColor indexed="64"/>
      </patternFill>
    </fill>
    <fill>
      <patternFill patternType="solid">
        <fgColor rgb="FFFFC000"/>
        <bgColor indexed="64"/>
      </patternFill>
    </fill>
    <fill>
      <patternFill patternType="solid">
        <fgColor theme="0"/>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auto="1"/>
      </bottom>
      <diagonal/>
    </border>
    <border>
      <left/>
      <right style="thin">
        <color rgb="FF7F7F7F"/>
      </right>
      <top/>
      <bottom style="thin">
        <color auto="1"/>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auto="1"/>
      </bottom>
      <diagonal/>
    </border>
    <border>
      <left/>
      <right style="thin">
        <color auto="1"/>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medium">
        <color theme="4" tint="0.39979247413556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0">
    <xf numFmtId="0" fontId="0" fillId="0" borderId="0"/>
    <xf numFmtId="176" fontId="0" fillId="0" borderId="0" applyFont="0" applyFill="0" applyBorder="0" applyAlignment="0" applyProtection="0"/>
    <xf numFmtId="177"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178"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0" fillId="33" borderId="24"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25" applyNumberFormat="0" applyFill="0" applyAlignment="0" applyProtection="0">
      <alignment vertical="center"/>
    </xf>
    <xf numFmtId="0" fontId="64" fillId="0" borderId="25" applyNumberFormat="0" applyFill="0" applyAlignment="0" applyProtection="0">
      <alignment vertical="center"/>
    </xf>
    <xf numFmtId="0" fontId="53" fillId="0" borderId="23" applyNumberFormat="0" applyFill="0" applyAlignment="0" applyProtection="0"/>
    <xf numFmtId="0" fontId="53" fillId="0" borderId="0" applyNumberFormat="0" applyFill="0" applyBorder="0" applyAlignment="0" applyProtection="0"/>
    <xf numFmtId="0" fontId="25" fillId="16" borderId="9" applyNumberFormat="0" applyAlignment="0" applyProtection="0"/>
    <xf numFmtId="0" fontId="65" fillId="34" borderId="26" applyNumberFormat="0" applyAlignment="0" applyProtection="0">
      <alignment vertical="center"/>
    </xf>
    <xf numFmtId="0" fontId="66" fillId="34" borderId="9" applyNumberFormat="0" applyAlignment="0" applyProtection="0">
      <alignment vertical="center"/>
    </xf>
    <xf numFmtId="0" fontId="67" fillId="35" borderId="27" applyNumberFormat="0" applyAlignment="0" applyProtection="0">
      <alignment vertical="center"/>
    </xf>
    <xf numFmtId="0" fontId="68" fillId="0" borderId="28" applyNumberFormat="0" applyFill="0" applyAlignment="0" applyProtection="0">
      <alignment vertical="center"/>
    </xf>
    <xf numFmtId="0" fontId="69" fillId="0" borderId="29" applyNumberFormat="0" applyFill="0" applyAlignment="0" applyProtection="0">
      <alignment vertical="center"/>
    </xf>
    <xf numFmtId="0" fontId="52" fillId="30" borderId="0" applyNumberFormat="0" applyBorder="0" applyAlignment="0" applyProtection="0"/>
    <xf numFmtId="0" fontId="70" fillId="36" borderId="0" applyNumberFormat="0" applyBorder="0" applyAlignment="0" applyProtection="0">
      <alignment vertical="center"/>
    </xf>
    <xf numFmtId="0" fontId="71" fillId="37" borderId="0" applyNumberFormat="0" applyBorder="0" applyAlignment="0" applyProtection="0">
      <alignment vertical="center"/>
    </xf>
    <xf numFmtId="0" fontId="72" fillId="19" borderId="0" applyNumberFormat="0" applyBorder="0" applyAlignment="0" applyProtection="0">
      <alignment vertical="center"/>
    </xf>
    <xf numFmtId="0" fontId="73" fillId="38" borderId="0" applyNumberFormat="0" applyBorder="0" applyAlignment="0" applyProtection="0">
      <alignment vertical="center"/>
    </xf>
    <xf numFmtId="0" fontId="73" fillId="39" borderId="0" applyNumberFormat="0" applyBorder="0" applyAlignment="0" applyProtection="0">
      <alignment vertical="center"/>
    </xf>
    <xf numFmtId="0" fontId="72" fillId="40" borderId="0" applyNumberFormat="0" applyBorder="0" applyAlignment="0" applyProtection="0">
      <alignment vertical="center"/>
    </xf>
    <xf numFmtId="0" fontId="72" fillId="41" borderId="0" applyNumberFormat="0" applyBorder="0" applyAlignment="0" applyProtection="0">
      <alignment vertical="center"/>
    </xf>
    <xf numFmtId="0" fontId="73" fillId="42" borderId="0" applyNumberFormat="0" applyBorder="0" applyAlignment="0" applyProtection="0">
      <alignment vertical="center"/>
    </xf>
    <xf numFmtId="0" fontId="73" fillId="43" borderId="0" applyNumberFormat="0" applyBorder="0" applyAlignment="0" applyProtection="0">
      <alignment vertical="center"/>
    </xf>
    <xf numFmtId="0" fontId="72" fillId="44" borderId="0" applyNumberFormat="0" applyBorder="0" applyAlignment="0" applyProtection="0">
      <alignment vertical="center"/>
    </xf>
    <xf numFmtId="0" fontId="72" fillId="45" borderId="0" applyNumberFormat="0" applyBorder="0" applyAlignment="0" applyProtection="0">
      <alignment vertical="center"/>
    </xf>
    <xf numFmtId="0" fontId="73" fillId="46" borderId="0" applyNumberFormat="0" applyBorder="0" applyAlignment="0" applyProtection="0">
      <alignment vertical="center"/>
    </xf>
    <xf numFmtId="0" fontId="73" fillId="47" borderId="0" applyNumberFormat="0" applyBorder="0" applyAlignment="0" applyProtection="0">
      <alignment vertical="center"/>
    </xf>
    <xf numFmtId="0" fontId="72" fillId="48" borderId="0" applyNumberFormat="0" applyBorder="0" applyAlignment="0" applyProtection="0">
      <alignment vertical="center"/>
    </xf>
    <xf numFmtId="0" fontId="72" fillId="49" borderId="0" applyNumberFormat="0" applyBorder="0" applyAlignment="0" applyProtection="0">
      <alignment vertical="center"/>
    </xf>
    <xf numFmtId="0" fontId="0" fillId="13" borderId="0" applyNumberFormat="0" applyBorder="0" applyAlignment="0" applyProtection="0"/>
    <xf numFmtId="0" fontId="73" fillId="50" borderId="0" applyNumberFormat="0" applyBorder="0" applyAlignment="0" applyProtection="0">
      <alignment vertical="center"/>
    </xf>
    <xf numFmtId="0" fontId="72" fillId="51" borderId="0" applyNumberFormat="0" applyBorder="0" applyAlignment="0" applyProtection="0">
      <alignment vertical="center"/>
    </xf>
    <xf numFmtId="0" fontId="72" fillId="52" borderId="0" applyNumberFormat="0" applyBorder="0" applyAlignment="0" applyProtection="0">
      <alignment vertical="center"/>
    </xf>
    <xf numFmtId="0" fontId="73" fillId="53" borderId="0" applyNumberFormat="0" applyBorder="0" applyAlignment="0" applyProtection="0">
      <alignment vertical="center"/>
    </xf>
    <xf numFmtId="0" fontId="0" fillId="12" borderId="0" applyNumberFormat="0" applyBorder="0" applyAlignment="0" applyProtection="0"/>
    <xf numFmtId="0" fontId="72" fillId="54" borderId="0" applyNumberFormat="0" applyBorder="0" applyAlignment="0" applyProtection="0">
      <alignment vertical="center"/>
    </xf>
    <xf numFmtId="0" fontId="72" fillId="55" borderId="0" applyNumberFormat="0" applyBorder="0" applyAlignment="0" applyProtection="0">
      <alignment vertical="center"/>
    </xf>
    <xf numFmtId="0" fontId="73" fillId="56" borderId="0" applyNumberFormat="0" applyBorder="0" applyAlignment="0" applyProtection="0">
      <alignment vertical="center"/>
    </xf>
    <xf numFmtId="0" fontId="73" fillId="57" borderId="0" applyNumberFormat="0" applyBorder="0" applyAlignment="0" applyProtection="0">
      <alignment vertical="center"/>
    </xf>
    <xf numFmtId="0" fontId="72" fillId="58" borderId="0" applyNumberFormat="0" applyBorder="0" applyAlignment="0" applyProtection="0">
      <alignment vertical="center"/>
    </xf>
    <xf numFmtId="1" fontId="74" fillId="0" borderId="0" applyNumberFormat="0" applyAlignment="0" applyProtection="0">
      <alignment horizontal="center"/>
    </xf>
    <xf numFmtId="0" fontId="75" fillId="0" borderId="9" applyNumberFormat="0" applyFill="0" applyAlignment="0" applyProtection="0"/>
    <xf numFmtId="43" fontId="19" fillId="0" borderId="0" applyFont="0" applyFill="0" applyBorder="0" applyAlignment="0" applyProtection="0"/>
    <xf numFmtId="179" fontId="18" fillId="0" borderId="0" applyFont="0" applyFill="0" applyBorder="0" applyAlignment="0" applyProtection="0"/>
    <xf numFmtId="43" fontId="0"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9" fontId="19" fillId="0" borderId="0" applyFont="0" applyFill="0" applyBorder="0" applyAlignment="0" applyProtection="0"/>
    <xf numFmtId="43" fontId="18" fillId="0" borderId="0" applyFont="0" applyFill="0" applyBorder="0" applyAlignment="0" applyProtection="0"/>
    <xf numFmtId="179" fontId="19" fillId="0" borderId="0" applyFont="0" applyFill="0" applyBorder="0" applyAlignment="0" applyProtection="0"/>
    <xf numFmtId="0" fontId="76" fillId="0" borderId="0" applyNumberFormat="0" applyFill="0" applyBorder="0" applyAlignment="0" applyProtection="0">
      <alignment vertical="top"/>
      <protection locked="0"/>
    </xf>
    <xf numFmtId="0" fontId="1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9" fillId="0" borderId="0"/>
    <xf numFmtId="0" fontId="19" fillId="0" borderId="0"/>
    <xf numFmtId="0" fontId="19" fillId="0" borderId="0"/>
    <xf numFmtId="0" fontId="19" fillId="0" borderId="0"/>
    <xf numFmtId="0" fontId="19" fillId="0" borderId="0"/>
    <xf numFmtId="0" fontId="0" fillId="0" borderId="0"/>
    <xf numFmtId="0" fontId="0" fillId="0" borderId="0"/>
    <xf numFmtId="0" fontId="19" fillId="0" borderId="0"/>
    <xf numFmtId="0" fontId="19" fillId="0" borderId="0"/>
    <xf numFmtId="0" fontId="0" fillId="0" borderId="0"/>
    <xf numFmtId="0" fontId="19" fillId="0" borderId="0"/>
    <xf numFmtId="0" fontId="19" fillId="0" borderId="0"/>
    <xf numFmtId="0" fontId="0" fillId="0" borderId="0"/>
    <xf numFmtId="0" fontId="0" fillId="0" borderId="0"/>
    <xf numFmtId="0" fontId="19" fillId="0" borderId="0"/>
    <xf numFmtId="0" fontId="19" fillId="0" borderId="0"/>
    <xf numFmtId="0" fontId="77" fillId="0" borderId="0"/>
    <xf numFmtId="0" fontId="19" fillId="33" borderId="24"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0" fontId="19" fillId="0" borderId="0"/>
  </cellStyleXfs>
  <cellXfs count="36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4" fillId="4" borderId="0" xfId="0" applyFont="1" applyFill="1" applyAlignment="1">
      <alignment horizontal="left" vertical="center"/>
    </xf>
    <xf numFmtId="0" fontId="4" fillId="4" borderId="0" xfId="0" applyFont="1" applyFill="1" applyAlignment="1">
      <alignment horizontal="right" vertical="center"/>
    </xf>
    <xf numFmtId="0" fontId="5" fillId="5" borderId="0" xfId="0" applyFont="1" applyFill="1" applyAlignment="1">
      <alignment horizontal="left" vertical="center" wrapText="1"/>
    </xf>
    <xf numFmtId="0" fontId="6" fillId="5" borderId="0" xfId="0" applyFont="1" applyFill="1" applyAlignment="1">
      <alignment vertical="center"/>
    </xf>
    <xf numFmtId="0" fontId="5" fillId="6" borderId="0" xfId="0" applyFont="1" applyFill="1" applyAlignment="1">
      <alignment horizontal="left" vertical="center" wrapText="1"/>
    </xf>
    <xf numFmtId="0" fontId="6" fillId="6" borderId="0" xfId="0" applyFont="1" applyFill="1" applyAlignment="1">
      <alignment vertical="center"/>
    </xf>
    <xf numFmtId="1" fontId="6" fillId="6" borderId="0" xfId="0" applyNumberFormat="1" applyFont="1" applyFill="1" applyAlignment="1">
      <alignment vertical="center"/>
    </xf>
    <xf numFmtId="0" fontId="5" fillId="7" borderId="0" xfId="0" applyFont="1" applyFill="1" applyAlignment="1">
      <alignment horizontal="left" vertical="center" wrapText="1"/>
    </xf>
    <xf numFmtId="1" fontId="6" fillId="7" borderId="0" xfId="0" applyNumberFormat="1" applyFont="1" applyFill="1" applyAlignment="1">
      <alignment vertical="center"/>
    </xf>
    <xf numFmtId="0" fontId="5" fillId="6" borderId="6" xfId="0" applyFont="1" applyFill="1" applyBorder="1" applyAlignment="1">
      <alignment horizontal="left" vertical="center" wrapText="1"/>
    </xf>
    <xf numFmtId="1" fontId="6" fillId="6" borderId="6" xfId="0" applyNumberFormat="1" applyFont="1" applyFill="1" applyBorder="1" applyAlignment="1">
      <alignment vertical="center"/>
    </xf>
    <xf numFmtId="0" fontId="5" fillId="8" borderId="5" xfId="0" applyFont="1" applyFill="1" applyBorder="1" applyAlignment="1">
      <alignment horizontal="left" vertical="center" wrapText="1"/>
    </xf>
    <xf numFmtId="1" fontId="6" fillId="8" borderId="5" xfId="0" applyNumberFormat="1" applyFont="1" applyFill="1" applyBorder="1" applyAlignment="1">
      <alignment vertical="center"/>
    </xf>
    <xf numFmtId="180" fontId="6" fillId="8" borderId="5" xfId="0" applyNumberFormat="1" applyFont="1" applyFill="1" applyBorder="1" applyAlignment="1">
      <alignment vertical="center"/>
    </xf>
    <xf numFmtId="0" fontId="5" fillId="9" borderId="0" xfId="0" applyFont="1" applyFill="1" applyAlignment="1">
      <alignment horizontal="left" vertical="center" wrapText="1"/>
    </xf>
    <xf numFmtId="1" fontId="6" fillId="9" borderId="0" xfId="0" applyNumberFormat="1" applyFont="1" applyFill="1" applyAlignment="1">
      <alignment vertical="center"/>
    </xf>
    <xf numFmtId="180" fontId="6" fillId="9" borderId="0" xfId="0" applyNumberFormat="1" applyFont="1" applyFill="1" applyAlignment="1">
      <alignment vertical="center"/>
    </xf>
    <xf numFmtId="0" fontId="5" fillId="9" borderId="6" xfId="0" applyFont="1" applyFill="1" applyBorder="1" applyAlignment="1">
      <alignment horizontal="left" vertical="center" wrapText="1"/>
    </xf>
    <xf numFmtId="1" fontId="6" fillId="9" borderId="6" xfId="0" applyNumberFormat="1" applyFont="1" applyFill="1" applyBorder="1" applyAlignment="1">
      <alignment vertical="center"/>
    </xf>
    <xf numFmtId="180" fontId="6" fillId="9" borderId="6" xfId="0" applyNumberFormat="1" applyFont="1" applyFill="1" applyBorder="1" applyAlignment="1">
      <alignment vertical="center"/>
    </xf>
    <xf numFmtId="0" fontId="5" fillId="10" borderId="0" xfId="0" applyFont="1" applyFill="1" applyAlignment="1">
      <alignment horizontal="left" vertical="center" wrapText="1"/>
    </xf>
    <xf numFmtId="0" fontId="6" fillId="10" borderId="0" xfId="0" applyFont="1" applyFill="1" applyAlignment="1">
      <alignment vertical="center"/>
    </xf>
    <xf numFmtId="180" fontId="6" fillId="10" borderId="0" xfId="0" applyNumberFormat="1" applyFont="1" applyFill="1" applyAlignment="1">
      <alignment vertical="center"/>
    </xf>
    <xf numFmtId="0" fontId="5" fillId="11" borderId="0" xfId="0" applyFont="1" applyFill="1" applyAlignment="1">
      <alignment horizontal="left" vertical="center" wrapText="1"/>
    </xf>
    <xf numFmtId="0" fontId="6" fillId="11" borderId="0" xfId="0" applyFont="1" applyFill="1" applyAlignment="1">
      <alignment vertical="center"/>
    </xf>
    <xf numFmtId="180" fontId="6" fillId="11" borderId="0" xfId="0" applyNumberFormat="1" applyFont="1" applyFill="1" applyAlignment="1">
      <alignment vertical="center"/>
    </xf>
    <xf numFmtId="0" fontId="1" fillId="0" borderId="0" xfId="0" applyFont="1"/>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7" fillId="12" borderId="1" xfId="43" applyFont="1" applyBorder="1" applyAlignment="1">
      <alignment horizontal="center" vertical="center"/>
    </xf>
    <xf numFmtId="0" fontId="7" fillId="12" borderId="2" xfId="43" applyFont="1" applyBorder="1" applyAlignment="1">
      <alignment horizontal="center" vertical="center"/>
    </xf>
    <xf numFmtId="0" fontId="7" fillId="12" borderId="3" xfId="43" applyFont="1" applyBorder="1" applyAlignment="1">
      <alignment horizontal="center" vertical="center"/>
    </xf>
    <xf numFmtId="0" fontId="0" fillId="13" borderId="1" xfId="38" applyBorder="1" applyAlignment="1">
      <alignment horizontal="center" vertical="center"/>
    </xf>
    <xf numFmtId="0" fontId="0" fillId="13" borderId="2" xfId="38" applyBorder="1" applyAlignment="1">
      <alignment horizontal="center" vertical="center"/>
    </xf>
    <xf numFmtId="0" fontId="0" fillId="13" borderId="3" xfId="38" applyBorder="1" applyAlignment="1">
      <alignment horizontal="center" vertical="center"/>
    </xf>
    <xf numFmtId="0" fontId="8" fillId="0" borderId="0" xfId="0" applyFont="1"/>
    <xf numFmtId="0" fontId="8" fillId="14" borderId="7" xfId="0" applyFont="1" applyFill="1" applyBorder="1" applyAlignment="1">
      <alignment horizontal="center"/>
    </xf>
    <xf numFmtId="0" fontId="9" fillId="15" borderId="8" xfId="0" applyFont="1" applyFill="1" applyBorder="1"/>
    <xf numFmtId="0" fontId="8" fillId="15" borderId="8" xfId="0" applyFont="1" applyFill="1" applyBorder="1"/>
    <xf numFmtId="180" fontId="0" fillId="15" borderId="8" xfId="0" applyNumberFormat="1" applyFill="1" applyBorder="1"/>
    <xf numFmtId="0" fontId="10" fillId="16" borderId="9" xfId="16" applyFont="1" applyAlignment="1">
      <alignment horizontal="center" vertical="center" wrapText="1"/>
    </xf>
    <xf numFmtId="0" fontId="0" fillId="0" borderId="8" xfId="0" applyBorder="1"/>
    <xf numFmtId="0" fontId="8" fillId="0" borderId="8" xfId="0" applyFont="1" applyBorder="1" applyAlignment="1">
      <alignment horizontal="center"/>
    </xf>
    <xf numFmtId="9" fontId="0" fillId="0" borderId="8" xfId="3" applyFont="1" applyBorder="1" applyAlignment="1">
      <alignment horizontal="center"/>
    </xf>
    <xf numFmtId="180" fontId="0" fillId="0" borderId="8" xfId="1" applyNumberFormat="1" applyFont="1" applyBorder="1" applyAlignment="1">
      <alignment horizontal="center" vertical="center"/>
    </xf>
    <xf numFmtId="9" fontId="0" fillId="0" borderId="0" xfId="3" applyFont="1" applyBorder="1" applyAlignment="1">
      <alignment horizontal="center"/>
    </xf>
    <xf numFmtId="180" fontId="0" fillId="0" borderId="0" xfId="1" applyNumberFormat="1" applyFont="1" applyBorder="1" applyAlignment="1">
      <alignment horizontal="center" vertical="center"/>
    </xf>
    <xf numFmtId="0" fontId="10" fillId="16" borderId="10" xfId="16" applyFont="1" applyBorder="1" applyAlignment="1">
      <alignment horizontal="center" vertical="center" wrapText="1"/>
    </xf>
    <xf numFmtId="0" fontId="10" fillId="16" borderId="11" xfId="16" applyFont="1" applyBorder="1" applyAlignment="1">
      <alignment horizontal="center" vertical="center" wrapText="1"/>
    </xf>
    <xf numFmtId="0" fontId="10" fillId="16" borderId="12" xfId="16" applyFont="1" applyBorder="1" applyAlignment="1">
      <alignment horizontal="center" vertical="center" wrapText="1"/>
    </xf>
    <xf numFmtId="0" fontId="10" fillId="16" borderId="13" xfId="16" applyFont="1" applyBorder="1" applyAlignment="1">
      <alignment horizontal="center" vertical="center" wrapText="1"/>
    </xf>
    <xf numFmtId="0" fontId="10" fillId="16" borderId="0" xfId="16" applyFont="1" applyBorder="1" applyAlignment="1">
      <alignment horizontal="center" vertical="center" wrapText="1"/>
    </xf>
    <xf numFmtId="0" fontId="10" fillId="16" borderId="14" xfId="16" applyFont="1" applyBorder="1" applyAlignment="1">
      <alignment horizontal="center" vertical="center" wrapText="1"/>
    </xf>
    <xf numFmtId="0" fontId="10" fillId="16" borderId="15" xfId="16" applyFont="1" applyBorder="1" applyAlignment="1">
      <alignment horizontal="center" vertical="center" wrapText="1"/>
    </xf>
    <xf numFmtId="0" fontId="10" fillId="16" borderId="6" xfId="16" applyFont="1" applyBorder="1" applyAlignment="1">
      <alignment horizontal="center" vertical="center" wrapText="1"/>
    </xf>
    <xf numFmtId="0" fontId="10" fillId="16" borderId="16" xfId="16" applyFont="1" applyBorder="1" applyAlignment="1">
      <alignment horizontal="center" vertical="center" wrapText="1"/>
    </xf>
    <xf numFmtId="180" fontId="0" fillId="0" borderId="0" xfId="0" applyNumberFormat="1"/>
    <xf numFmtId="0" fontId="11" fillId="0" borderId="0" xfId="0" applyFont="1" applyAlignment="1">
      <alignment horizontal="center" vertical="center" wrapText="1"/>
    </xf>
    <xf numFmtId="1" fontId="0" fillId="0" borderId="8" xfId="0" applyNumberFormat="1" applyBorder="1" applyAlignment="1">
      <alignment horizontal="center"/>
    </xf>
    <xf numFmtId="180" fontId="0" fillId="0" borderId="8" xfId="0" applyNumberFormat="1" applyBorder="1" applyAlignment="1">
      <alignment horizontal="center"/>
    </xf>
    <xf numFmtId="1" fontId="0" fillId="15" borderId="8" xfId="0" applyNumberFormat="1" applyFill="1" applyBorder="1"/>
    <xf numFmtId="180" fontId="0" fillId="0" borderId="8" xfId="3" applyNumberFormat="1" applyFont="1" applyBorder="1" applyAlignment="1">
      <alignment horizontal="center"/>
    </xf>
    <xf numFmtId="180" fontId="0" fillId="0" borderId="0" xfId="3" applyNumberFormat="1" applyFont="1" applyBorder="1" applyAlignment="1">
      <alignment horizontal="center"/>
    </xf>
    <xf numFmtId="0" fontId="10" fillId="16" borderId="17" xfId="16" applyFont="1" applyBorder="1" applyAlignment="1">
      <alignment horizontal="center" vertical="center" wrapText="1"/>
    </xf>
    <xf numFmtId="0" fontId="10" fillId="16" borderId="18" xfId="16" applyFont="1" applyBorder="1" applyAlignment="1">
      <alignment horizontal="center" vertical="center" wrapText="1"/>
    </xf>
    <xf numFmtId="0" fontId="10" fillId="16" borderId="19" xfId="16" applyFont="1" applyBorder="1" applyAlignment="1">
      <alignment horizontal="center" vertical="center" wrapText="1"/>
    </xf>
    <xf numFmtId="2" fontId="0" fillId="15" borderId="8" xfId="0" applyNumberFormat="1" applyFill="1" applyBorder="1"/>
    <xf numFmtId="180" fontId="0" fillId="0" borderId="8" xfId="1" applyNumberFormat="1" applyFont="1" applyBorder="1" applyAlignment="1">
      <alignment horizontal="center"/>
    </xf>
    <xf numFmtId="9" fontId="0" fillId="0" borderId="0" xfId="0" applyNumberFormat="1"/>
    <xf numFmtId="2" fontId="0" fillId="0" borderId="0" xfId="0" applyNumberFormat="1"/>
    <xf numFmtId="0" fontId="8" fillId="14" borderId="8" xfId="0" applyFont="1" applyFill="1" applyBorder="1" applyAlignment="1">
      <alignment horizontal="center"/>
    </xf>
    <xf numFmtId="1" fontId="0" fillId="0" borderId="8" xfId="3" applyNumberFormat="1" applyFont="1" applyBorder="1" applyAlignment="1">
      <alignment horizont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8" fillId="14" borderId="4" xfId="0" applyFont="1" applyFill="1" applyBorder="1" applyAlignment="1">
      <alignment horizontal="center"/>
    </xf>
    <xf numFmtId="0" fontId="8" fillId="14" borderId="5" xfId="0" applyFont="1" applyFill="1" applyBorder="1" applyAlignment="1">
      <alignment horizontal="center"/>
    </xf>
    <xf numFmtId="0" fontId="8" fillId="14" borderId="20" xfId="0" applyFont="1" applyFill="1" applyBorder="1" applyAlignment="1">
      <alignment horizontal="center"/>
    </xf>
    <xf numFmtId="9" fontId="0" fillId="0" borderId="8" xfId="0" applyNumberFormat="1" applyBorder="1" applyAlignment="1">
      <alignment horizontal="center"/>
    </xf>
    <xf numFmtId="1" fontId="0" fillId="0" borderId="8" xfId="1" applyNumberFormat="1" applyFont="1" applyBorder="1" applyAlignment="1">
      <alignment horizontal="center"/>
    </xf>
    <xf numFmtId="181" fontId="0" fillId="0" borderId="0" xfId="3" applyNumberFormat="1" applyFont="1"/>
    <xf numFmtId="0" fontId="0" fillId="0" borderId="8" xfId="0" applyBorder="1" applyAlignment="1">
      <alignment horizontal="center"/>
    </xf>
    <xf numFmtId="11" fontId="0" fillId="0" borderId="0" xfId="0" applyNumberFormat="1"/>
    <xf numFmtId="11" fontId="8" fillId="0" borderId="0" xfId="0" applyNumberFormat="1" applyFont="1"/>
    <xf numFmtId="0" fontId="8" fillId="14" borderId="1" xfId="0" applyFont="1" applyFill="1" applyBorder="1" applyAlignment="1">
      <alignment horizontal="center"/>
    </xf>
    <xf numFmtId="0" fontId="8" fillId="14" borderId="2" xfId="0" applyFont="1" applyFill="1" applyBorder="1" applyAlignment="1">
      <alignment horizontal="center"/>
    </xf>
    <xf numFmtId="0" fontId="8" fillId="14" borderId="3" xfId="0" applyFont="1" applyFill="1" applyBorder="1" applyAlignment="1">
      <alignment horizontal="center"/>
    </xf>
    <xf numFmtId="180" fontId="0" fillId="0" borderId="0" xfId="0" applyNumberFormat="1" applyAlignment="1">
      <alignment horizontal="center"/>
    </xf>
    <xf numFmtId="1" fontId="0" fillId="0" borderId="0" xfId="1" applyNumberFormat="1" applyFont="1" applyBorder="1" applyAlignment="1">
      <alignment horizontal="center"/>
    </xf>
    <xf numFmtId="1" fontId="0" fillId="0" borderId="8" xfId="0" applyNumberFormat="1" applyBorder="1"/>
    <xf numFmtId="0" fontId="0" fillId="0" borderId="0" xfId="0" applyAlignment="1">
      <alignment horizontal="center"/>
    </xf>
    <xf numFmtId="0" fontId="0" fillId="0" borderId="0" xfId="83"/>
    <xf numFmtId="0" fontId="12" fillId="0" borderId="0" xfId="83" applyFont="1"/>
    <xf numFmtId="0" fontId="13" fillId="0" borderId="8" xfId="83" applyFont="1" applyBorder="1" applyAlignment="1">
      <alignment horizontal="center"/>
    </xf>
    <xf numFmtId="0" fontId="14" fillId="17" borderId="8" xfId="83" applyFont="1" applyFill="1" applyBorder="1" applyAlignment="1">
      <alignment horizontal="center" vertical="top"/>
    </xf>
    <xf numFmtId="0" fontId="15" fillId="17" borderId="8" xfId="83" applyFont="1" applyFill="1" applyBorder="1" applyAlignment="1">
      <alignment horizontal="center" vertical="top"/>
    </xf>
    <xf numFmtId="0" fontId="13" fillId="0" borderId="8" xfId="83" applyFont="1" applyBorder="1"/>
    <xf numFmtId="182" fontId="13" fillId="0" borderId="1" xfId="83" applyNumberFormat="1" applyFont="1" applyBorder="1" applyAlignment="1">
      <alignment horizontal="center"/>
    </xf>
    <xf numFmtId="182" fontId="13" fillId="0" borderId="2" xfId="83" applyNumberFormat="1" applyFont="1" applyBorder="1" applyAlignment="1">
      <alignment horizontal="center"/>
    </xf>
    <xf numFmtId="9" fontId="15" fillId="17" borderId="8" xfId="83" applyNumberFormat="1" applyFont="1" applyFill="1" applyBorder="1" applyAlignment="1">
      <alignment horizontal="center" vertical="top"/>
    </xf>
    <xf numFmtId="0" fontId="15" fillId="17" borderId="0" xfId="83" applyFont="1" applyFill="1" applyAlignment="1">
      <alignment horizontal="center" vertical="top"/>
    </xf>
    <xf numFmtId="0" fontId="15" fillId="17" borderId="0" xfId="83" applyFont="1" applyFill="1" applyAlignment="1">
      <alignment vertical="top" wrapText="1"/>
    </xf>
    <xf numFmtId="0" fontId="15" fillId="17" borderId="0" xfId="83" applyFont="1" applyFill="1" applyAlignment="1">
      <alignment vertical="top"/>
    </xf>
    <xf numFmtId="0" fontId="13" fillId="0" borderId="0" xfId="83" applyFont="1"/>
    <xf numFmtId="0" fontId="13" fillId="0" borderId="0" xfId="83" applyFont="1" applyAlignment="1">
      <alignment horizontal="left" wrapText="1"/>
    </xf>
    <xf numFmtId="0" fontId="13" fillId="0" borderId="0" xfId="83" applyFont="1" applyAlignment="1">
      <alignment horizontal="center"/>
    </xf>
    <xf numFmtId="0" fontId="14" fillId="17" borderId="0" xfId="83" applyFont="1" applyFill="1" applyAlignment="1">
      <alignment horizontal="center" vertical="top"/>
    </xf>
    <xf numFmtId="0" fontId="15" fillId="17" borderId="8" xfId="83" applyFont="1" applyFill="1" applyBorder="1" applyAlignment="1">
      <alignment horizontal="center" vertical="center"/>
    </xf>
    <xf numFmtId="9" fontId="15" fillId="17" borderId="8" xfId="83" applyNumberFormat="1" applyFont="1" applyFill="1" applyBorder="1" applyAlignment="1">
      <alignment horizontal="center" vertical="center"/>
    </xf>
    <xf numFmtId="9" fontId="15" fillId="17" borderId="0" xfId="83" applyNumberFormat="1" applyFont="1" applyFill="1" applyAlignment="1">
      <alignment horizontal="center" vertical="top"/>
    </xf>
    <xf numFmtId="9" fontId="13" fillId="0" borderId="8" xfId="83" applyNumberFormat="1" applyFont="1" applyBorder="1" applyAlignment="1">
      <alignment horizontal="center" vertical="center"/>
    </xf>
    <xf numFmtId="0" fontId="13" fillId="0" borderId="0" xfId="83" applyFont="1" applyAlignment="1">
      <alignment wrapText="1"/>
    </xf>
    <xf numFmtId="182" fontId="13" fillId="0" borderId="3" xfId="83" applyNumberFormat="1" applyFont="1" applyBorder="1" applyAlignment="1">
      <alignment horizontal="center"/>
    </xf>
    <xf numFmtId="0" fontId="0" fillId="0" borderId="0" xfId="83" applyAlignment="1">
      <alignment horizontal="left"/>
    </xf>
    <xf numFmtId="0" fontId="16" fillId="0" borderId="8" xfId="0" applyNumberFormat="1" applyFont="1" applyFill="1" applyBorder="1" applyAlignment="1" applyProtection="1"/>
    <xf numFmtId="0" fontId="16" fillId="18" borderId="8" xfId="0" applyNumberFormat="1" applyFont="1" applyFill="1" applyBorder="1" applyAlignment="1" applyProtection="1"/>
    <xf numFmtId="2" fontId="16" fillId="18" borderId="8" xfId="0" applyNumberFormat="1" applyFont="1" applyFill="1" applyBorder="1" applyAlignment="1" applyProtection="1"/>
    <xf numFmtId="0" fontId="17" fillId="18" borderId="0" xfId="0" applyFont="1" applyFill="1"/>
    <xf numFmtId="183" fontId="16" fillId="18" borderId="8" xfId="0" applyNumberFormat="1" applyFont="1" applyFill="1" applyBorder="1" applyAlignment="1" applyProtection="1"/>
    <xf numFmtId="0" fontId="0" fillId="18" borderId="0" xfId="0" applyFill="1"/>
    <xf numFmtId="0" fontId="16" fillId="0" borderId="0" xfId="0" applyNumberFormat="1" applyFont="1" applyFill="1" applyBorder="1" applyAlignment="1" applyProtection="1"/>
    <xf numFmtId="183" fontId="16" fillId="0" borderId="0" xfId="0" applyNumberFormat="1" applyFont="1" applyFill="1" applyBorder="1" applyAlignment="1" applyProtection="1"/>
    <xf numFmtId="0" fontId="0" fillId="0" borderId="0" xfId="0" applyBorder="1"/>
    <xf numFmtId="2" fontId="16" fillId="0" borderId="0" xfId="0" applyNumberFormat="1" applyFont="1" applyFill="1" applyBorder="1" applyAlignment="1" applyProtection="1"/>
    <xf numFmtId="0" fontId="18" fillId="0" borderId="0" xfId="0" applyNumberFormat="1" applyFont="1" applyFill="1" applyBorder="1" applyAlignment="1" applyProtection="1"/>
    <xf numFmtId="0" fontId="19" fillId="0" borderId="0" xfId="0" applyNumberFormat="1" applyFont="1" applyFill="1" applyBorder="1" applyAlignment="1" applyProtection="1"/>
    <xf numFmtId="0" fontId="20" fillId="0" borderId="0" xfId="0" applyFont="1"/>
    <xf numFmtId="184" fontId="20" fillId="0" borderId="0" xfId="0" applyNumberFormat="1" applyFont="1"/>
    <xf numFmtId="0" fontId="17" fillId="0" borderId="0" xfId="0" applyFont="1"/>
    <xf numFmtId="0" fontId="16" fillId="19" borderId="8" xfId="0" applyNumberFormat="1" applyFont="1" applyFill="1" applyBorder="1" applyAlignment="1" applyProtection="1"/>
    <xf numFmtId="0" fontId="0" fillId="19" borderId="8" xfId="0" applyFill="1" applyBorder="1"/>
    <xf numFmtId="2" fontId="16" fillId="19" borderId="8" xfId="0" applyNumberFormat="1" applyFont="1" applyFill="1" applyBorder="1" applyAlignment="1" applyProtection="1"/>
    <xf numFmtId="0" fontId="17" fillId="19" borderId="0" xfId="0" applyFont="1" applyFill="1"/>
    <xf numFmtId="183" fontId="16" fillId="19" borderId="8" xfId="0" applyNumberFormat="1" applyFont="1" applyFill="1" applyBorder="1" applyAlignment="1" applyProtection="1"/>
    <xf numFmtId="2" fontId="16" fillId="0" borderId="8" xfId="0" applyNumberFormat="1" applyFont="1" applyFill="1" applyBorder="1" applyAlignment="1" applyProtection="1"/>
    <xf numFmtId="183" fontId="16" fillId="0" borderId="8" xfId="0" applyNumberFormat="1" applyFont="1" applyFill="1" applyBorder="1" applyAlignment="1" applyProtection="1"/>
    <xf numFmtId="184" fontId="0" fillId="19" borderId="8" xfId="0" applyNumberFormat="1" applyFill="1" applyBorder="1"/>
    <xf numFmtId="0" fontId="21" fillId="20" borderId="0" xfId="0" applyFont="1" applyFill="1" applyAlignment="1">
      <alignment horizontal="center"/>
    </xf>
    <xf numFmtId="0" fontId="21" fillId="20" borderId="0" xfId="0" applyFont="1" applyFill="1"/>
    <xf numFmtId="0" fontId="21" fillId="20" borderId="0" xfId="0" applyFont="1" applyFill="1" applyProtection="1">
      <protection locked="0"/>
    </xf>
    <xf numFmtId="180" fontId="21" fillId="20" borderId="0" xfId="0" applyNumberFormat="1" applyFont="1" applyFill="1"/>
    <xf numFmtId="0" fontId="0" fillId="0" borderId="0" xfId="0" applyFill="1" applyAlignment="1">
      <alignment horizontal="center"/>
    </xf>
    <xf numFmtId="180" fontId="0" fillId="18" borderId="0" xfId="0" applyNumberFormat="1" applyFill="1" applyAlignment="1">
      <alignment horizontal="center"/>
    </xf>
    <xf numFmtId="180" fontId="0" fillId="0" borderId="0" xfId="0" applyNumberFormat="1" applyFill="1" applyAlignment="1">
      <alignment horizontal="center"/>
    </xf>
    <xf numFmtId="0" fontId="21" fillId="0" borderId="0" xfId="0" applyFont="1" applyFill="1" applyAlignment="1" applyProtection="1">
      <alignment horizontal="center"/>
      <protection locked="0"/>
    </xf>
    <xf numFmtId="0" fontId="0" fillId="19" borderId="0" xfId="0" applyFill="1"/>
    <xf numFmtId="0" fontId="22" fillId="0" borderId="0" xfId="0" applyFont="1"/>
    <xf numFmtId="0" fontId="23" fillId="0" borderId="0" xfId="0" applyFont="1"/>
    <xf numFmtId="0" fontId="24" fillId="0" borderId="0" xfId="0" applyFont="1"/>
    <xf numFmtId="0" fontId="0" fillId="0" borderId="0" xfId="0" applyFill="1"/>
    <xf numFmtId="0" fontId="19" fillId="0" borderId="0" xfId="61" applyFill="1"/>
    <xf numFmtId="0" fontId="19" fillId="0" borderId="0" xfId="61" applyFill="1" applyBorder="1"/>
    <xf numFmtId="0" fontId="19" fillId="0" borderId="0" xfId="61"/>
    <xf numFmtId="0" fontId="19" fillId="0" borderId="0" xfId="61" applyAlignment="1">
      <alignment horizontal="center"/>
    </xf>
    <xf numFmtId="0" fontId="0" fillId="0" borderId="0" xfId="61" applyFont="1" applyAlignment="1">
      <alignment horizontal="center"/>
    </xf>
    <xf numFmtId="0" fontId="19" fillId="21" borderId="0" xfId="61" applyFill="1" applyAlignment="1">
      <alignment horizontal="center"/>
    </xf>
    <xf numFmtId="0" fontId="0" fillId="0" borderId="0" xfId="61" applyFont="1" applyAlignment="1">
      <alignment horizontal="center" vertical="center"/>
    </xf>
    <xf numFmtId="9" fontId="25" fillId="16" borderId="9" xfId="3" applyFont="1" applyFill="1" applyBorder="1"/>
    <xf numFmtId="0" fontId="0" fillId="0" borderId="0" xfId="61" applyFont="1" applyFill="1" applyAlignment="1">
      <alignment horizontal="left"/>
    </xf>
    <xf numFmtId="0" fontId="19" fillId="21" borderId="0" xfId="61" applyFill="1"/>
    <xf numFmtId="0" fontId="0" fillId="0" borderId="0" xfId="61" applyFont="1" applyFill="1" applyAlignment="1">
      <alignment vertical="center"/>
    </xf>
    <xf numFmtId="0" fontId="0" fillId="0" borderId="0" xfId="61" applyFont="1" applyAlignment="1">
      <alignment horizontal="left"/>
    </xf>
    <xf numFmtId="0" fontId="0" fillId="0" borderId="0" xfId="61" applyFont="1" applyAlignment="1">
      <alignment vertical="center"/>
    </xf>
    <xf numFmtId="0" fontId="19" fillId="0" borderId="0" xfId="61" applyAlignment="1">
      <alignment vertical="center"/>
    </xf>
    <xf numFmtId="0" fontId="19" fillId="0" borderId="0" xfId="61" applyFill="1" applyAlignment="1">
      <alignment horizontal="center"/>
    </xf>
    <xf numFmtId="0" fontId="19" fillId="22" borderId="0" xfId="61" applyFill="1" applyAlignment="1">
      <alignment horizontal="center"/>
    </xf>
    <xf numFmtId="0" fontId="19" fillId="23" borderId="0" xfId="61" applyFill="1" applyAlignment="1">
      <alignment horizontal="center"/>
    </xf>
    <xf numFmtId="0" fontId="19" fillId="24" borderId="0" xfId="61" applyFill="1"/>
    <xf numFmtId="0" fontId="19" fillId="22" borderId="0" xfId="61" applyFill="1"/>
    <xf numFmtId="0" fontId="19" fillId="23" borderId="0" xfId="61" applyFill="1"/>
    <xf numFmtId="0" fontId="0" fillId="25" borderId="0" xfId="61" applyFont="1" applyFill="1" applyAlignment="1">
      <alignment horizontal="left"/>
    </xf>
    <xf numFmtId="0" fontId="19" fillId="25" borderId="0" xfId="61" applyFill="1"/>
    <xf numFmtId="0" fontId="19" fillId="0" borderId="0" xfId="61" applyFont="1" applyFill="1"/>
    <xf numFmtId="0" fontId="19" fillId="26" borderId="0" xfId="61" applyFill="1"/>
    <xf numFmtId="0" fontId="26" fillId="0" borderId="0" xfId="61" applyFont="1" applyAlignment="1">
      <alignment vertical="center"/>
    </xf>
    <xf numFmtId="0" fontId="19" fillId="0" borderId="0" xfId="0" applyFont="1" applyFill="1" applyAlignment="1"/>
    <xf numFmtId="0" fontId="27" fillId="0" borderId="0" xfId="0" applyFont="1" applyFill="1" applyAlignment="1"/>
    <xf numFmtId="0" fontId="8" fillId="0" borderId="0" xfId="0" applyFont="1" applyAlignment="1">
      <alignment horizontal="center" vertical="center"/>
    </xf>
    <xf numFmtId="0" fontId="0" fillId="0" borderId="0" xfId="0" applyAlignment="1">
      <alignment vertical="center"/>
    </xf>
    <xf numFmtId="0" fontId="28" fillId="27" borderId="8" xfId="61" applyFont="1" applyFill="1" applyBorder="1"/>
    <xf numFmtId="0" fontId="19" fillId="28" borderId="8" xfId="0" applyNumberFormat="1" applyFont="1" applyFill="1" applyBorder="1" applyAlignment="1" applyProtection="1"/>
    <xf numFmtId="0" fontId="19" fillId="28" borderId="7" xfId="0" applyNumberFormat="1" applyFont="1" applyFill="1" applyBorder="1" applyAlignment="1" applyProtection="1"/>
    <xf numFmtId="0" fontId="0" fillId="22" borderId="0" xfId="0" applyFill="1"/>
    <xf numFmtId="0" fontId="29" fillId="22" borderId="0" xfId="61" applyFont="1" applyFill="1"/>
    <xf numFmtId="0" fontId="19" fillId="22" borderId="8" xfId="61" applyFill="1" applyBorder="1"/>
    <xf numFmtId="0" fontId="8" fillId="26" borderId="0" xfId="0" applyFont="1" applyFill="1"/>
    <xf numFmtId="0" fontId="30" fillId="0" borderId="0" xfId="61" applyFont="1" applyAlignment="1">
      <alignment wrapText="1"/>
    </xf>
    <xf numFmtId="0" fontId="31" fillId="26" borderId="0" xfId="0" applyFont="1" applyFill="1" applyAlignment="1"/>
    <xf numFmtId="0" fontId="32" fillId="26" borderId="0" xfId="0" applyFont="1" applyFill="1" applyAlignment="1">
      <alignment horizontal="center"/>
    </xf>
    <xf numFmtId="0" fontId="28" fillId="26" borderId="8" xfId="0" applyFont="1" applyFill="1" applyBorder="1" applyAlignment="1"/>
    <xf numFmtId="0" fontId="33" fillId="26" borderId="8" xfId="0" applyFont="1" applyFill="1" applyBorder="1" applyAlignment="1"/>
    <xf numFmtId="185" fontId="28" fillId="26" borderId="8" xfId="0" applyNumberFormat="1" applyFont="1" applyFill="1" applyBorder="1" applyAlignment="1"/>
    <xf numFmtId="0" fontId="31" fillId="26" borderId="8" xfId="0" applyFont="1" applyFill="1" applyBorder="1" applyAlignment="1"/>
    <xf numFmtId="0" fontId="34" fillId="26" borderId="8" xfId="0" applyFont="1" applyFill="1" applyBorder="1" applyAlignment="1"/>
    <xf numFmtId="185" fontId="33" fillId="26" borderId="8" xfId="0" applyNumberFormat="1" applyFont="1" applyFill="1" applyBorder="1" applyAlignment="1"/>
    <xf numFmtId="0" fontId="35" fillId="26" borderId="8" xfId="0" applyFont="1" applyFill="1" applyBorder="1" applyAlignment="1"/>
    <xf numFmtId="0" fontId="36" fillId="26" borderId="8" xfId="0" applyFont="1" applyFill="1" applyBorder="1" applyAlignment="1"/>
    <xf numFmtId="0" fontId="33" fillId="26" borderId="0" xfId="0" applyFont="1" applyFill="1" applyBorder="1"/>
    <xf numFmtId="0" fontId="19" fillId="0" borderId="0" xfId="61" applyFont="1" applyAlignment="1">
      <alignment horizontal="center" wrapText="1"/>
    </xf>
    <xf numFmtId="0" fontId="19" fillId="27" borderId="8" xfId="61" applyFill="1" applyBorder="1"/>
    <xf numFmtId="0" fontId="19" fillId="27" borderId="0" xfId="61" applyFill="1"/>
    <xf numFmtId="0" fontId="29" fillId="0" borderId="0" xfId="61" applyFont="1"/>
    <xf numFmtId="0" fontId="37" fillId="0" borderId="0" xfId="61" applyFont="1"/>
    <xf numFmtId="0" fontId="38" fillId="0" borderId="0" xfId="61" applyFont="1"/>
    <xf numFmtId="186" fontId="19" fillId="22" borderId="8" xfId="61" applyNumberFormat="1" applyFill="1" applyBorder="1"/>
    <xf numFmtId="2" fontId="19" fillId="22" borderId="8" xfId="61" applyNumberFormat="1" applyFill="1" applyBorder="1"/>
    <xf numFmtId="0" fontId="0" fillId="0" borderId="0" xfId="0" applyFill="1" applyBorder="1"/>
    <xf numFmtId="0" fontId="39" fillId="0" borderId="0" xfId="61" applyFont="1" applyFill="1"/>
    <xf numFmtId="2" fontId="31" fillId="26" borderId="8" xfId="0" applyNumberFormat="1" applyFont="1" applyFill="1" applyBorder="1" applyAlignment="1"/>
    <xf numFmtId="2" fontId="35" fillId="26" borderId="8" xfId="0" applyNumberFormat="1" applyFont="1" applyFill="1" applyBorder="1" applyAlignment="1"/>
    <xf numFmtId="0" fontId="40" fillId="26" borderId="0" xfId="61" applyFont="1" applyFill="1" applyBorder="1" applyAlignment="1">
      <alignment horizontal="center"/>
    </xf>
    <xf numFmtId="0" fontId="29" fillId="26" borderId="0" xfId="61" applyFont="1" applyFill="1"/>
    <xf numFmtId="0" fontId="29" fillId="26" borderId="8" xfId="61" applyFont="1" applyFill="1" applyBorder="1"/>
    <xf numFmtId="0" fontId="0" fillId="0" borderId="0" xfId="61" applyFont="1" applyFill="1" applyBorder="1" applyAlignment="1">
      <alignment horizontal="left"/>
    </xf>
    <xf numFmtId="0" fontId="0" fillId="27" borderId="0" xfId="61" applyFont="1" applyFill="1" applyAlignment="1">
      <alignment horizontal="left"/>
    </xf>
    <xf numFmtId="0" fontId="17" fillId="27" borderId="0" xfId="0" applyFont="1" applyFill="1"/>
    <xf numFmtId="0" fontId="19" fillId="27" borderId="7" xfId="61" applyFill="1" applyBorder="1"/>
    <xf numFmtId="0" fontId="17" fillId="0" borderId="0" xfId="0" applyFont="1" applyFill="1"/>
    <xf numFmtId="0" fontId="19" fillId="0" borderId="0" xfId="61" applyNumberFormat="1" applyFill="1" applyAlignment="1">
      <alignment vertical="center"/>
    </xf>
    <xf numFmtId="0" fontId="41" fillId="0" borderId="0" xfId="61" applyFont="1" applyFill="1"/>
    <xf numFmtId="0" fontId="19" fillId="29" borderId="0" xfId="61" applyFill="1"/>
    <xf numFmtId="0" fontId="29" fillId="29" borderId="0" xfId="61" applyFont="1" applyFill="1"/>
    <xf numFmtId="0" fontId="19" fillId="29" borderId="8" xfId="61" applyFont="1" applyFill="1" applyBorder="1"/>
    <xf numFmtId="0" fontId="42" fillId="0" borderId="0" xfId="61" applyFont="1"/>
    <xf numFmtId="186" fontId="19" fillId="29" borderId="8" xfId="61" applyNumberFormat="1" applyFont="1" applyFill="1" applyBorder="1"/>
    <xf numFmtId="0" fontId="42" fillId="0" borderId="0" xfId="61" applyFont="1" applyAlignment="1">
      <alignment wrapText="1"/>
    </xf>
    <xf numFmtId="0" fontId="43" fillId="0" borderId="0" xfId="61" applyFont="1"/>
    <xf numFmtId="0" fontId="19" fillId="29" borderId="7" xfId="61" applyFont="1" applyFill="1" applyBorder="1"/>
    <xf numFmtId="0" fontId="27" fillId="0" borderId="0" xfId="61" applyFont="1" applyFill="1" applyBorder="1"/>
    <xf numFmtId="0" fontId="19" fillId="0" borderId="0" xfId="61" applyBorder="1"/>
    <xf numFmtId="0" fontId="19" fillId="26" borderId="0" xfId="61" applyFill="1" applyBorder="1"/>
    <xf numFmtId="0" fontId="29" fillId="26" borderId="0" xfId="61" applyFont="1" applyFill="1" applyBorder="1"/>
    <xf numFmtId="0" fontId="44" fillId="26" borderId="0" xfId="0" applyFont="1" applyFill="1" applyBorder="1" applyAlignment="1"/>
    <xf numFmtId="0" fontId="45" fillId="26" borderId="0" xfId="0" applyFont="1" applyFill="1" applyBorder="1" applyAlignment="1"/>
    <xf numFmtId="185" fontId="44" fillId="26" borderId="0" xfId="0" applyNumberFormat="1" applyFont="1" applyFill="1" applyBorder="1" applyAlignment="1"/>
    <xf numFmtId="0" fontId="46" fillId="26" borderId="0" xfId="0" applyFont="1" applyFill="1" applyBorder="1" applyAlignment="1"/>
    <xf numFmtId="1" fontId="44" fillId="26" borderId="0" xfId="0" applyNumberFormat="1" applyFont="1" applyFill="1" applyBorder="1" applyAlignment="1">
      <alignment horizontal="right"/>
    </xf>
    <xf numFmtId="186" fontId="1" fillId="26" borderId="0" xfId="0" applyNumberFormat="1" applyFont="1" applyFill="1" applyBorder="1"/>
    <xf numFmtId="0" fontId="47" fillId="26" borderId="0" xfId="61" applyFont="1" applyFill="1" applyBorder="1"/>
    <xf numFmtId="0" fontId="19" fillId="0" borderId="0" xfId="61" applyNumberFormat="1" applyFill="1"/>
    <xf numFmtId="0" fontId="19" fillId="0" borderId="0" xfId="61" applyAlignment="1"/>
    <xf numFmtId="0" fontId="31" fillId="0" borderId="0" xfId="0" applyFont="1" applyFill="1" applyBorder="1" applyAlignment="1"/>
    <xf numFmtId="0" fontId="32" fillId="0" borderId="0" xfId="0" applyFont="1" applyFill="1" applyBorder="1" applyAlignment="1"/>
    <xf numFmtId="0" fontId="46" fillId="0" borderId="0" xfId="0" applyFont="1" applyFill="1" applyBorder="1" applyAlignment="1"/>
    <xf numFmtId="0" fontId="44" fillId="0" borderId="0" xfId="0" applyFont="1" applyFill="1" applyBorder="1" applyAlignment="1"/>
    <xf numFmtId="185" fontId="44" fillId="0" borderId="0" xfId="0" applyNumberFormat="1" applyFont="1" applyFill="1" applyBorder="1" applyAlignment="1"/>
    <xf numFmtId="186" fontId="46" fillId="0" borderId="0" xfId="0" applyNumberFormat="1" applyFont="1" applyFill="1" applyBorder="1" applyAlignment="1"/>
    <xf numFmtId="0" fontId="19" fillId="0" borderId="0" xfId="61" applyFill="1" applyBorder="1" applyAlignment="1"/>
    <xf numFmtId="0" fontId="19" fillId="0" borderId="0" xfId="61" applyFill="1" applyAlignment="1"/>
    <xf numFmtId="0" fontId="40" fillId="0" borderId="0" xfId="61" applyFont="1" applyFill="1" applyBorder="1" applyAlignment="1"/>
    <xf numFmtId="0" fontId="19" fillId="27" borderId="8" xfId="61" applyFont="1" applyFill="1" applyBorder="1"/>
    <xf numFmtId="185" fontId="44" fillId="27" borderId="1" xfId="0" applyNumberFormat="1" applyFont="1" applyFill="1" applyBorder="1" applyAlignment="1"/>
    <xf numFmtId="0" fontId="44" fillId="27" borderId="8" xfId="0" applyFont="1" applyFill="1" applyBorder="1" applyAlignment="1"/>
    <xf numFmtId="0" fontId="0" fillId="27" borderId="8" xfId="61" applyFont="1" applyFill="1" applyBorder="1" applyAlignment="1">
      <alignment horizontal="left"/>
    </xf>
    <xf numFmtId="0" fontId="44" fillId="27" borderId="1" xfId="0" applyFont="1" applyFill="1" applyBorder="1" applyAlignment="1"/>
    <xf numFmtId="0" fontId="28" fillId="27" borderId="8" xfId="61" applyFont="1" applyFill="1" applyBorder="1" applyAlignment="1"/>
    <xf numFmtId="0" fontId="19" fillId="27" borderId="1" xfId="61" applyNumberFormat="1" applyFill="1" applyBorder="1"/>
    <xf numFmtId="0" fontId="28" fillId="27" borderId="7" xfId="61" applyFont="1" applyFill="1" applyBorder="1" applyAlignment="1"/>
    <xf numFmtId="0" fontId="28" fillId="27" borderId="7" xfId="61" applyFont="1" applyFill="1" applyBorder="1"/>
    <xf numFmtId="0" fontId="19" fillId="27" borderId="4" xfId="61" applyNumberFormat="1" applyFill="1" applyBorder="1"/>
    <xf numFmtId="0" fontId="28" fillId="0" borderId="0" xfId="61" applyFont="1" applyFill="1" applyBorder="1" applyAlignment="1"/>
    <xf numFmtId="0" fontId="28" fillId="0" borderId="0" xfId="61" applyFont="1" applyFill="1" applyBorder="1"/>
    <xf numFmtId="0" fontId="29" fillId="0" borderId="0" xfId="61" applyFont="1" applyFill="1" applyBorder="1" applyAlignment="1"/>
    <xf numFmtId="0" fontId="19" fillId="0" borderId="0" xfId="61" applyNumberFormat="1" applyFill="1" applyBorder="1"/>
    <xf numFmtId="186" fontId="19" fillId="0" borderId="0" xfId="61" applyNumberFormat="1" applyFill="1" applyBorder="1" applyAlignment="1"/>
    <xf numFmtId="0" fontId="48" fillId="26" borderId="21" xfId="0" applyFont="1" applyFill="1" applyBorder="1" applyAlignment="1"/>
    <xf numFmtId="0" fontId="49" fillId="26" borderId="22" xfId="0" applyFont="1" applyFill="1" applyBorder="1" applyAlignment="1"/>
    <xf numFmtId="0" fontId="29" fillId="0" borderId="0" xfId="61" applyFont="1" applyFill="1"/>
    <xf numFmtId="0" fontId="31" fillId="0" borderId="0" xfId="0" applyFont="1" applyFill="1" applyAlignment="1"/>
    <xf numFmtId="0" fontId="19" fillId="14" borderId="0" xfId="61" applyFill="1"/>
    <xf numFmtId="0" fontId="32" fillId="26" borderId="0" xfId="0" applyFont="1" applyFill="1" applyAlignment="1"/>
    <xf numFmtId="0" fontId="19" fillId="27" borderId="8" xfId="61" applyFill="1" applyBorder="1" applyAlignment="1"/>
    <xf numFmtId="0" fontId="28" fillId="27" borderId="0" xfId="61" applyFont="1" applyFill="1"/>
    <xf numFmtId="0" fontId="19" fillId="0" borderId="0" xfId="61" applyFont="1" applyFill="1" applyBorder="1"/>
    <xf numFmtId="0" fontId="19" fillId="26" borderId="8" xfId="61" applyFill="1" applyBorder="1"/>
    <xf numFmtId="0" fontId="19" fillId="26" borderId="8" xfId="61" applyFont="1" applyFill="1" applyBorder="1"/>
    <xf numFmtId="0" fontId="19" fillId="26" borderId="8" xfId="61" applyFont="1" applyFill="1" applyBorder="1" applyAlignment="1"/>
    <xf numFmtId="0" fontId="27" fillId="26" borderId="8" xfId="61" applyFont="1" applyFill="1" applyBorder="1"/>
    <xf numFmtId="0" fontId="19" fillId="26" borderId="0" xfId="61" applyNumberFormat="1" applyFill="1"/>
    <xf numFmtId="0" fontId="19" fillId="0" borderId="0" xfId="61" applyFont="1" applyFill="1" applyBorder="1" applyAlignment="1"/>
    <xf numFmtId="0" fontId="50" fillId="0" borderId="0" xfId="0" applyFont="1" applyFill="1" applyBorder="1" applyAlignment="1">
      <alignment horizontal="right" vertical="top" wrapText="1"/>
    </xf>
    <xf numFmtId="0" fontId="51" fillId="0" borderId="0" xfId="0" applyFont="1" applyFill="1" applyBorder="1" applyAlignment="1">
      <alignment horizontal="center" wrapText="1"/>
    </xf>
    <xf numFmtId="0" fontId="50" fillId="0" borderId="0" xfId="0" applyFont="1" applyFill="1" applyBorder="1" applyAlignment="1">
      <alignment horizontal="center" wrapText="1"/>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7" fillId="12" borderId="1" xfId="43" applyFont="1" applyBorder="1" applyAlignment="1">
      <alignment vertical="center"/>
    </xf>
    <xf numFmtId="0" fontId="7" fillId="12" borderId="2" xfId="43" applyFont="1" applyBorder="1" applyAlignment="1">
      <alignment vertical="center"/>
    </xf>
    <xf numFmtId="0" fontId="7" fillId="12" borderId="3" xfId="43" applyFont="1" applyBorder="1" applyAlignment="1">
      <alignment vertical="center"/>
    </xf>
    <xf numFmtId="0" fontId="8" fillId="14" borderId="7" xfId="0" applyFont="1" applyFill="1" applyBorder="1"/>
    <xf numFmtId="2" fontId="8" fillId="0" borderId="0" xfId="0" applyNumberFormat="1" applyFont="1"/>
    <xf numFmtId="0" fontId="10" fillId="16" borderId="9" xfId="16" applyFont="1" applyAlignment="1">
      <alignment vertical="center"/>
    </xf>
    <xf numFmtId="0" fontId="52" fillId="30" borderId="0" xfId="22"/>
    <xf numFmtId="186" fontId="52" fillId="30" borderId="0" xfId="22" applyNumberFormat="1"/>
    <xf numFmtId="187" fontId="8" fillId="0" borderId="0" xfId="0" applyNumberFormat="1" applyFont="1"/>
    <xf numFmtId="0" fontId="53" fillId="0" borderId="23" xfId="14"/>
    <xf numFmtId="183" fontId="0" fillId="0" borderId="0" xfId="0" applyNumberFormat="1"/>
    <xf numFmtId="1" fontId="0" fillId="0" borderId="0" xfId="0" applyNumberFormat="1"/>
    <xf numFmtId="183" fontId="8" fillId="0" borderId="0" xfId="0" applyNumberFormat="1" applyFont="1"/>
    <xf numFmtId="0" fontId="53" fillId="0" borderId="0" xfId="15"/>
    <xf numFmtId="0" fontId="0" fillId="0" borderId="0" xfId="80"/>
    <xf numFmtId="183" fontId="8" fillId="31" borderId="0" xfId="0" applyNumberFormat="1" applyFont="1" applyFill="1"/>
    <xf numFmtId="0" fontId="8" fillId="0" borderId="0" xfId="0" applyFont="1" applyAlignment="1">
      <alignment horizontal="right"/>
    </xf>
    <xf numFmtId="2" fontId="0" fillId="31" borderId="0" xfId="0" applyNumberFormat="1" applyFill="1"/>
    <xf numFmtId="0" fontId="2" fillId="3" borderId="4" xfId="0" applyFont="1" applyFill="1" applyBorder="1" applyAlignment="1">
      <alignment vertical="center"/>
    </xf>
    <xf numFmtId="0" fontId="2" fillId="3" borderId="5" xfId="0" applyFont="1" applyFill="1" applyBorder="1" applyAlignment="1">
      <alignment vertical="center"/>
    </xf>
    <xf numFmtId="0" fontId="10" fillId="16" borderId="9" xfId="16" applyFont="1" applyAlignment="1">
      <alignment vertical="center" wrapText="1"/>
    </xf>
    <xf numFmtId="184" fontId="52" fillId="30" borderId="0" xfId="22" applyNumberFormat="1"/>
    <xf numFmtId="1" fontId="0" fillId="23" borderId="8" xfId="1" applyNumberFormat="1" applyFont="1" applyFill="1" applyBorder="1" applyAlignment="1">
      <alignment horizontal="center"/>
    </xf>
    <xf numFmtId="0" fontId="0" fillId="23" borderId="0" xfId="0" applyFill="1"/>
    <xf numFmtId="186" fontId="0" fillId="0" borderId="0" xfId="0" applyNumberFormat="1"/>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12" borderId="1" xfId="43" applyFont="1" applyBorder="1" applyAlignment="1">
      <alignment vertical="center"/>
    </xf>
    <xf numFmtId="0" fontId="9" fillId="32" borderId="0" xfId="0" applyFont="1" applyFill="1"/>
    <xf numFmtId="0" fontId="8" fillId="32" borderId="0" xfId="0" applyFont="1" applyFill="1"/>
    <xf numFmtId="1" fontId="0" fillId="32" borderId="0" xfId="0" applyNumberFormat="1" applyFill="1"/>
    <xf numFmtId="0" fontId="10" fillId="16" borderId="17" xfId="16" applyFont="1" applyBorder="1" applyAlignment="1">
      <alignment vertical="center" wrapText="1"/>
    </xf>
    <xf numFmtId="0" fontId="10" fillId="16" borderId="10" xfId="16" applyFont="1" applyBorder="1" applyAlignment="1">
      <alignment vertical="center"/>
    </xf>
    <xf numFmtId="0" fontId="10" fillId="16" borderId="11" xfId="16" applyFont="1" applyBorder="1" applyAlignment="1">
      <alignment vertical="center" wrapText="1"/>
    </xf>
    <xf numFmtId="0" fontId="10" fillId="16" borderId="12" xfId="16" applyFont="1" applyBorder="1" applyAlignment="1">
      <alignment vertical="center" wrapText="1"/>
    </xf>
    <xf numFmtId="0" fontId="10" fillId="16" borderId="18" xfId="16" applyFont="1" applyBorder="1" applyAlignment="1">
      <alignment vertical="center" wrapText="1"/>
    </xf>
    <xf numFmtId="0" fontId="10" fillId="16" borderId="13" xfId="16" applyFont="1" applyBorder="1" applyAlignment="1">
      <alignment vertical="center" wrapText="1"/>
    </xf>
    <xf numFmtId="0" fontId="10" fillId="16" borderId="0" xfId="16" applyFont="1" applyBorder="1" applyAlignment="1">
      <alignment vertical="center" wrapText="1"/>
    </xf>
    <xf numFmtId="0" fontId="10" fillId="16" borderId="14" xfId="16" applyFont="1" applyBorder="1" applyAlignment="1">
      <alignment vertical="center" wrapText="1"/>
    </xf>
    <xf numFmtId="0" fontId="10" fillId="16" borderId="19" xfId="16" applyFont="1" applyBorder="1" applyAlignment="1">
      <alignment vertical="center" wrapText="1"/>
    </xf>
    <xf numFmtId="0" fontId="10" fillId="16" borderId="15" xfId="16" applyFont="1" applyBorder="1" applyAlignment="1">
      <alignment vertical="center" wrapText="1"/>
    </xf>
    <xf numFmtId="0" fontId="10" fillId="16" borderId="6" xfId="16" applyFont="1" applyBorder="1" applyAlignment="1">
      <alignment vertical="center" wrapText="1"/>
    </xf>
    <xf numFmtId="0" fontId="10" fillId="16" borderId="16" xfId="16" applyFont="1" applyBorder="1" applyAlignment="1">
      <alignment vertical="center" wrapText="1"/>
    </xf>
    <xf numFmtId="2" fontId="8" fillId="31" borderId="0" xfId="0" applyNumberFormat="1" applyFont="1" applyFill="1"/>
    <xf numFmtId="0" fontId="2" fillId="3" borderId="0" xfId="0" applyFont="1" applyFill="1" applyAlignment="1">
      <alignment horizontal="left" vertical="center"/>
    </xf>
    <xf numFmtId="0" fontId="2" fillId="3" borderId="0" xfId="0" applyFont="1" applyFill="1" applyAlignment="1">
      <alignment vertical="center"/>
    </xf>
    <xf numFmtId="0" fontId="8" fillId="0" borderId="8" xfId="0" applyFont="1" applyBorder="1"/>
    <xf numFmtId="1" fontId="0" fillId="0" borderId="8" xfId="1" applyNumberFormat="1" applyFont="1" applyBorder="1" applyAlignment="1"/>
    <xf numFmtId="181" fontId="0" fillId="0" borderId="8" xfId="0" applyNumberFormat="1" applyBorder="1" applyAlignment="1">
      <alignment horizontal="center"/>
    </xf>
    <xf numFmtId="1" fontId="8" fillId="0" borderId="0" xfId="0" applyNumberFormat="1" applyFont="1"/>
    <xf numFmtId="1" fontId="0" fillId="0" borderId="0" xfId="0" applyNumberFormat="1" applyAlignment="1">
      <alignment horizontal="right"/>
    </xf>
    <xf numFmtId="2" fontId="0" fillId="0" borderId="8" xfId="0" applyNumberFormat="1" applyBorder="1" applyAlignment="1">
      <alignment horizontal="center"/>
    </xf>
    <xf numFmtId="181" fontId="8" fillId="0" borderId="8" xfId="0" applyNumberFormat="1" applyFont="1" applyBorder="1" applyAlignment="1">
      <alignment horizontal="center"/>
    </xf>
    <xf numFmtId="186" fontId="8" fillId="0" borderId="0" xfId="0" applyNumberFormat="1" applyFont="1"/>
    <xf numFmtId="0" fontId="54" fillId="0" borderId="0" xfId="0" applyFont="1"/>
    <xf numFmtId="0" fontId="10" fillId="16" borderId="11" xfId="16" applyFont="1" applyBorder="1" applyAlignment="1">
      <alignment vertical="center"/>
    </xf>
    <xf numFmtId="0" fontId="10" fillId="16" borderId="12" xfId="16" applyFont="1" applyBorder="1" applyAlignment="1">
      <alignment vertical="center"/>
    </xf>
    <xf numFmtId="0" fontId="10" fillId="16" borderId="13" xfId="16" applyFont="1" applyBorder="1" applyAlignment="1">
      <alignment vertical="center"/>
    </xf>
    <xf numFmtId="0" fontId="10" fillId="16" borderId="0" xfId="16" applyFont="1" applyBorder="1" applyAlignment="1">
      <alignment vertical="center"/>
    </xf>
    <xf numFmtId="0" fontId="10" fillId="16" borderId="14" xfId="16" applyFont="1" applyBorder="1" applyAlignment="1">
      <alignment vertical="center"/>
    </xf>
    <xf numFmtId="0" fontId="10" fillId="16" borderId="15" xfId="16" applyFont="1" applyBorder="1" applyAlignment="1">
      <alignment vertical="center"/>
    </xf>
    <xf numFmtId="0" fontId="10" fillId="16" borderId="6" xfId="16" applyFont="1" applyBorder="1" applyAlignment="1">
      <alignment vertical="center"/>
    </xf>
    <xf numFmtId="0" fontId="10" fillId="16" borderId="16" xfId="16" applyFont="1" applyBorder="1" applyAlignment="1">
      <alignment vertical="center"/>
    </xf>
    <xf numFmtId="0" fontId="55" fillId="0" borderId="0" xfId="0" applyFont="1"/>
    <xf numFmtId="0" fontId="56" fillId="0" borderId="0" xfId="0" applyFont="1" applyAlignment="1">
      <alignment horizontal="left" vertical="center" wrapText="1"/>
    </xf>
    <xf numFmtId="0" fontId="56" fillId="0" borderId="0" xfId="0" applyFont="1" applyAlignment="1">
      <alignment vertical="center" wrapText="1"/>
    </xf>
    <xf numFmtId="188" fontId="8" fillId="0" borderId="0" xfId="0" applyNumberFormat="1" applyFont="1" applyAlignment="1">
      <alignment horizontal="left"/>
    </xf>
    <xf numFmtId="0" fontId="1" fillId="0" borderId="0" xfId="0" applyFont="1" applyAlignment="1">
      <alignment wrapText="1"/>
    </xf>
    <xf numFmtId="0" fontId="57" fillId="0" borderId="0" xfId="0" applyFont="1"/>
    <xf numFmtId="0" fontId="29" fillId="23" borderId="0" xfId="61" applyFont="1" applyFill="1"/>
  </cellXfs>
  <cellStyles count="11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alculated" xfId="49"/>
    <cellStyle name="Calculation 2" xfId="50"/>
    <cellStyle name="Comma 10" xfId="51"/>
    <cellStyle name="Comma 11" xfId="52"/>
    <cellStyle name="Comma 2" xfId="53"/>
    <cellStyle name="Comma 2 2" xfId="54"/>
    <cellStyle name="Comma 2 3" xfId="55"/>
    <cellStyle name="Comma 2 4" xfId="56"/>
    <cellStyle name="Comma 2 5" xfId="57"/>
    <cellStyle name="Comma 2 6" xfId="58"/>
    <cellStyle name="Comma 3" xfId="59"/>
    <cellStyle name="Hyperlink 3" xfId="60"/>
    <cellStyle name="Normal 10" xfId="61"/>
    <cellStyle name="Normal 11" xfId="62"/>
    <cellStyle name="Normal 11 2" xfId="63"/>
    <cellStyle name="Normal 11 3" xfId="64"/>
    <cellStyle name="Normal 11 4" xfId="65"/>
    <cellStyle name="Normal 12" xfId="66"/>
    <cellStyle name="Normal 12 2" xfId="67"/>
    <cellStyle name="Normal 12 3" xfId="68"/>
    <cellStyle name="Normal 12 4" xfId="69"/>
    <cellStyle name="Normal 2" xfId="70"/>
    <cellStyle name="Normal 2 2" xfId="71"/>
    <cellStyle name="Normal 2 3" xfId="72"/>
    <cellStyle name="Normal 2 4" xfId="73"/>
    <cellStyle name="Normal 2 5" xfId="74"/>
    <cellStyle name="Normal 3" xfId="75"/>
    <cellStyle name="Normal 39" xfId="76"/>
    <cellStyle name="Normal 4" xfId="77"/>
    <cellStyle name="Normal 4 2" xfId="78"/>
    <cellStyle name="Normal 4 3" xfId="79"/>
    <cellStyle name="Normal 5" xfId="80"/>
    <cellStyle name="Normal 5 2" xfId="81"/>
    <cellStyle name="Normal 6" xfId="82"/>
    <cellStyle name="Normal 7" xfId="83"/>
    <cellStyle name="Normal 8" xfId="84"/>
    <cellStyle name="Normal 9" xfId="85"/>
    <cellStyle name="Normal 9 2" xfId="86"/>
    <cellStyle name="Normale_B2020" xfId="87"/>
    <cellStyle name="Note 2" xfId="88"/>
    <cellStyle name="Percent 2" xfId="89"/>
    <cellStyle name="Percent 2 2" xfId="90"/>
    <cellStyle name="Percent 2 2 2" xfId="91"/>
    <cellStyle name="Percent 2 3" xfId="92"/>
    <cellStyle name="Percent 3" xfId="93"/>
    <cellStyle name="Percent 3 2" xfId="94"/>
    <cellStyle name="Percent 3 2 2" xfId="95"/>
    <cellStyle name="Percent 3 3" xfId="96"/>
    <cellStyle name="Percent 3 4" xfId="97"/>
    <cellStyle name="Percent 4" xfId="98"/>
    <cellStyle name="Percent 4 2" xfId="99"/>
    <cellStyle name="Percent 4 3" xfId="100"/>
    <cellStyle name="Percent 4 4" xfId="101"/>
    <cellStyle name="Percent 5" xfId="102"/>
    <cellStyle name="Percent 5 2" xfId="103"/>
    <cellStyle name="Percent 6" xfId="104"/>
    <cellStyle name="Percent 6 2" xfId="105"/>
    <cellStyle name="Percent 7" xfId="106"/>
    <cellStyle name="Percent 8" xfId="107"/>
    <cellStyle name="Percent 9" xfId="108"/>
    <cellStyle name="Standard_Sce_D_Extraction" xfId="10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sheetMetadata" Target="metadata.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externalLink" Target="externalLinks/externalLink3.xml"/><Relationship Id="rId24" Type="http://schemas.openxmlformats.org/officeDocument/2006/relationships/externalLink" Target="externalLinks/externalLink2.xml"/><Relationship Id="rId23" Type="http://schemas.openxmlformats.org/officeDocument/2006/relationships/externalLink" Target="externalLinks/externalLink1.xml"/><Relationship Id="rId22" Type="http://schemas.openxmlformats.org/officeDocument/2006/relationships/customXml" Target="../customXml/item3.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4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Gasoline car"</c:f>
          <c:strCache>
            <c:ptCount val="1"/>
            <c:pt idx="0">
              <c:v>Technology possibility curve for a large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{-70.6059455151361,259.651520969484,1118.2936011571,3044.7183059372,5350.72890580122,11682.0087291645,65987.1164113209,99863.8193086254}</c:f>
              <c:numCache>
                <c:formatCode>General</c:formatCode>
                <c:ptCount val="8"/>
                <c:pt idx="0">
                  <c:v>-70.6059455151361</c:v>
                </c:pt>
                <c:pt idx="1">
                  <c:v>259.651520969484</c:v>
                </c:pt>
                <c:pt idx="2">
                  <c:v>1118.2936011571</c:v>
                </c:pt>
                <c:pt idx="3">
                  <c:v>3044.7183059372</c:v>
                </c:pt>
                <c:pt idx="4">
                  <c:v>5350.72890580122</c:v>
                </c:pt>
                <c:pt idx="5">
                  <c:v>11682.0087291645</c:v>
                </c:pt>
                <c:pt idx="6">
                  <c:v>65987.1164113209</c:v>
                </c:pt>
                <c:pt idx="7">
                  <c:v>99863.8193086254</c:v>
                </c:pt>
              </c:numCache>
            </c:numRef>
          </c:yVal>
          <c:smooth val="0"/>
        </c:ser>
        <c:ser>
          <c:idx val="2"/>
          <c:order val="1"/>
          <c:tx>
            <c:strRef>
              <c:f>2025</c:f>
              <c:strCache>
                <c:ptCount val="1"/>
                <c:pt idx="0">
                  <c:v>2025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{-93.3563542499783,147.287133916928,488.213749755372,1284.20849600444,2275.64727757272,4580.78266124798,9406.48266124798,99863.8193086254}</c:f>
              <c:numCache>
                <c:formatCode>General</c:formatCode>
                <c:ptCount val="8"/>
                <c:pt idx="0">
                  <c:v>-93.3563542499783</c:v>
                </c:pt>
                <c:pt idx="1">
                  <c:v>147.287133916928</c:v>
                </c:pt>
                <c:pt idx="2">
                  <c:v>488.213749755372</c:v>
                </c:pt>
                <c:pt idx="3">
                  <c:v>1284.20849600444</c:v>
                </c:pt>
                <c:pt idx="4">
                  <c:v>2275.64727757272</c:v>
                </c:pt>
                <c:pt idx="5">
                  <c:v>4580.78266124798</c:v>
                </c:pt>
                <c:pt idx="6">
                  <c:v>9406.48266124798</c:v>
                </c:pt>
                <c:pt idx="7">
                  <c:v>99863.8193086254</c:v>
                </c:pt>
              </c:numCache>
            </c:numRef>
          </c:yVal>
          <c:smooth val="0"/>
        </c:ser>
        <c:ser>
          <c:idx val="3"/>
          <c:order val="2"/>
          <c:tx>
            <c:strRef>
              <c:f>2030</c:f>
              <c:strCache>
                <c:ptCount val="1"/>
                <c:pt idx="0">
                  <c:v>2030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4"/>
          <c:order val="3"/>
          <c:tx>
            <c:strRef>
              <c:f>2035</c:f>
              <c:strCache>
                <c:ptCount val="1"/>
                <c:pt idx="0">
                  <c:v>2035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5"/>
          <c:order val="4"/>
          <c:tx>
            <c:strRef>
              <c:f>2040</c:f>
              <c:strCache>
                <c:ptCount val="1"/>
                <c:pt idx="0">
                  <c:v>2040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6"/>
          <c:order val="5"/>
          <c:tx>
            <c:strRef>
              <c:f>2045</c:f>
              <c:strCache>
                <c:ptCount val="1"/>
                <c:pt idx="0">
                  <c:v>2045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7"/>
          <c:order val="6"/>
          <c:tx>
            <c:strRef>
              <c:f>2050</c:f>
              <c:strCache>
                <c:ptCount val="1"/>
                <c:pt idx="0">
                  <c:v>2050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b87d44-fbad-4e6d-9c4f-5b7d0455842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Diesel car"</c:f>
          <c:strCache>
            <c:ptCount val="1"/>
            <c:pt idx="0">
              <c:v>Technology possibility curve for a large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{-110.264936542414,98.4572338496548,792.652528652776,2534.96275372686,4005.20954942646,7939.11293775252,28692.8598171127,100336.724498072}</c:f>
              <c:numCache>
                <c:formatCode>General</c:formatCode>
                <c:ptCount val="8"/>
                <c:pt idx="0">
                  <c:v>-110.264936542414</c:v>
                </c:pt>
                <c:pt idx="1">
                  <c:v>98.4572338496548</c:v>
                </c:pt>
                <c:pt idx="2">
                  <c:v>792.652528652776</c:v>
                </c:pt>
                <c:pt idx="3">
                  <c:v>2534.96275372686</c:v>
                </c:pt>
                <c:pt idx="4">
                  <c:v>4005.20954942646</c:v>
                </c:pt>
                <c:pt idx="5">
                  <c:v>7939.11293775252</c:v>
                </c:pt>
                <c:pt idx="6">
                  <c:v>28692.8598171127</c:v>
                </c:pt>
                <c:pt idx="7">
                  <c:v>100336.724498072</c:v>
                </c:pt>
              </c:numCache>
            </c:numRef>
          </c:yVal>
          <c:smooth val="0"/>
        </c:ser>
        <c:ser>
          <c:idx val="2"/>
          <c:order val="1"/>
          <c:tx>
            <c:strRef>
              <c:f>2025</c:f>
              <c:strCache>
                <c:ptCount val="1"/>
                <c:pt idx="0">
                  <c:v>2025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{-294.223541794613,-122.880915232356,300.784730240797,1422.40953848057,2311.9028895186,3993.7855141221,8228.86563738592,75937.2647518937}</c:f>
              <c:numCache>
                <c:formatCode>General</c:formatCode>
                <c:ptCount val="8"/>
                <c:pt idx="0">
                  <c:v>-294.223541794613</c:v>
                </c:pt>
                <c:pt idx="1">
                  <c:v>-122.880915232356</c:v>
                </c:pt>
                <c:pt idx="2">
                  <c:v>300.784730240797</c:v>
                </c:pt>
                <c:pt idx="3">
                  <c:v>1422.40953848057</c:v>
                </c:pt>
                <c:pt idx="4">
                  <c:v>2311.9028895186</c:v>
                </c:pt>
                <c:pt idx="5">
                  <c:v>3993.7855141221</c:v>
                </c:pt>
                <c:pt idx="6">
                  <c:v>8228.86563738592</c:v>
                </c:pt>
                <c:pt idx="7">
                  <c:v>75937.2647518937</c:v>
                </c:pt>
              </c:numCache>
            </c:numRef>
          </c:yVal>
          <c:smooth val="0"/>
        </c:ser>
        <c:ser>
          <c:idx val="3"/>
          <c:order val="2"/>
          <c:tx>
            <c:strRef>
              <c:f>2030</c:f>
              <c:strCache>
                <c:ptCount val="1"/>
                <c:pt idx="0">
                  <c:v>2030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4"/>
          <c:order val="3"/>
          <c:tx>
            <c:strRef>
              <c:f>2035</c:f>
              <c:strCache>
                <c:ptCount val="1"/>
                <c:pt idx="0">
                  <c:v>2035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5"/>
          <c:order val="4"/>
          <c:tx>
            <c:strRef>
              <c:f>2040</c:f>
              <c:strCache>
                <c:ptCount val="1"/>
                <c:pt idx="0">
                  <c:v>2040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6"/>
          <c:order val="5"/>
          <c:tx>
            <c:strRef>
              <c:f>2045</c:f>
              <c:strCache>
                <c:ptCount val="1"/>
                <c:pt idx="0">
                  <c:v>2045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7"/>
          <c:order val="6"/>
          <c:tx>
            <c:strRef>
              <c:f>2050</c:f>
              <c:strCache>
                <c:ptCount val="1"/>
                <c:pt idx="0">
                  <c:v>2050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a40ee9-1a39-46c3-bf6e-f56248213cb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gasoline car"</c:f>
          <c:strCache>
            <c:ptCount val="1"/>
            <c:pt idx="0">
              <c:v>Technology possibility curve for a large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{3728.1,3985.26,4488.62,5203.1,7338.2,44590.89,100000,100000}</c:f>
              <c:numCache>
                <c:formatCode>General</c:formatCode>
                <c:ptCount val="8"/>
                <c:pt idx="0">
                  <c:v>3728.1</c:v>
                </c:pt>
                <c:pt idx="1">
                  <c:v>3985.26</c:v>
                </c:pt>
                <c:pt idx="2">
                  <c:v>4488.62</c:v>
                </c:pt>
                <c:pt idx="3">
                  <c:v>5203.1</c:v>
                </c:pt>
                <c:pt idx="4">
                  <c:v>7338.2</c:v>
                </c:pt>
                <c:pt idx="5">
                  <c:v>44590.89</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{2560.48,2760.08,2997.12,3162.32,3534.64,4651.66,28727.88,100000}</c:f>
              <c:numCache>
                <c:formatCode>General</c:formatCode>
                <c:ptCount val="8"/>
                <c:pt idx="0">
                  <c:v>2560.48</c:v>
                </c:pt>
                <c:pt idx="1">
                  <c:v>2760.08</c:v>
                </c:pt>
                <c:pt idx="2">
                  <c:v>2997.12</c:v>
                </c:pt>
                <c:pt idx="3">
                  <c:v>3162.32</c:v>
                </c:pt>
                <c:pt idx="4">
                  <c:v>3534.64</c:v>
                </c:pt>
                <c:pt idx="5">
                  <c:v>4651.66</c:v>
                </c:pt>
                <c:pt idx="6">
                  <c:v>28727.88</c:v>
                </c:pt>
                <c:pt idx="7">
                  <c:v>100000</c:v>
                </c:pt>
              </c:numCache>
            </c:numRef>
          </c:yVal>
          <c:smooth val="0"/>
        </c:ser>
        <c:ser>
          <c:idx val="3"/>
          <c:order val="2"/>
          <c:tx>
            <c:strRef>
              <c:f>2030</c:f>
              <c:strCache>
                <c:ptCount val="1"/>
                <c:pt idx="0">
                  <c:v>2030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4"/>
          <c:order val="3"/>
          <c:tx>
            <c:strRef>
              <c:f>2035</c:f>
              <c:strCache>
                <c:ptCount val="1"/>
                <c:pt idx="0">
                  <c:v>2035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5"/>
          <c:order val="4"/>
          <c:tx>
            <c:strRef>
              <c:f>2040</c:f>
              <c:strCache>
                <c:ptCount val="1"/>
                <c:pt idx="0">
                  <c:v>2040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6"/>
          <c:order val="5"/>
          <c:tx>
            <c:strRef>
              <c:f>2045</c:f>
              <c:strCache>
                <c:ptCount val="1"/>
                <c:pt idx="0">
                  <c:v>2045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0b3b0a6-0fc3-4914-a590-ff1a62580c3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gasoline plug-in car"</c:f>
          <c:strCache>
            <c:ptCount val="1"/>
            <c:pt idx="0">
              <c:v>Technology possibility curve for a large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{7282.8343567279,7430.16484213825,8054.47495231581,8369.76741652355,9435.11461576091,62249.7948918977,78610.1525297313,80314.2271222965}</c:f>
              <c:numCache>
                <c:formatCode>General</c:formatCode>
                <c:ptCount val="8"/>
                <c:pt idx="0">
                  <c:v>7282.8343567279</c:v>
                </c:pt>
                <c:pt idx="1">
                  <c:v>7430.16484213825</c:v>
                </c:pt>
                <c:pt idx="2">
                  <c:v>8054.47495231581</c:v>
                </c:pt>
                <c:pt idx="3">
                  <c:v>8369.76741652355</c:v>
                </c:pt>
                <c:pt idx="4">
                  <c:v>9435.11461576091</c:v>
                </c:pt>
                <c:pt idx="5">
                  <c:v>62249.7948918977</c:v>
                </c:pt>
                <c:pt idx="6">
                  <c:v>78610.1525297313</c:v>
                </c:pt>
                <c:pt idx="7">
                  <c:v>80314.2271222965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{5089.46071014926,5158.78818605138,5504.80033730944,5572.99380726523,5923.54632873267,7965.19061032565,8867.60914102984,45527.7875049274}</c:f>
              <c:numCache>
                <c:formatCode>General</c:formatCode>
                <c:ptCount val="8"/>
                <c:pt idx="0">
                  <c:v>5089.46071014926</c:v>
                </c:pt>
                <c:pt idx="1">
                  <c:v>5158.78818605138</c:v>
                </c:pt>
                <c:pt idx="2">
                  <c:v>5504.80033730944</c:v>
                </c:pt>
                <c:pt idx="3">
                  <c:v>5572.99380726523</c:v>
                </c:pt>
                <c:pt idx="4">
                  <c:v>5923.54632873267</c:v>
                </c:pt>
                <c:pt idx="5">
                  <c:v>7965.19061032565</c:v>
                </c:pt>
                <c:pt idx="6">
                  <c:v>8867.60914102984</c:v>
                </c:pt>
                <c:pt idx="7">
                  <c:v>45527.7875049274</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{4606.58742619369,4665.27799289083,4965.85770439051,5005.42226949596,5269.51020850116,6988.09999654783,7174.50384701009,36845.3435484111}</c:f>
              <c:numCache>
                <c:formatCode>General</c:formatCode>
                <c:ptCount val="8"/>
                <c:pt idx="0">
                  <c:v>4606.58742619369</c:v>
                </c:pt>
                <c:pt idx="1">
                  <c:v>4665.27799289083</c:v>
                </c:pt>
                <c:pt idx="2">
                  <c:v>4965.85770439051</c:v>
                </c:pt>
                <c:pt idx="3">
                  <c:v>5005.42226949596</c:v>
                </c:pt>
                <c:pt idx="4">
                  <c:v>5269.51020850116</c:v>
                </c:pt>
                <c:pt idx="5">
                  <c:v>6988.09999654783</c:v>
                </c:pt>
                <c:pt idx="6">
                  <c:v>7174.50384701009</c:v>
                </c:pt>
                <c:pt idx="7">
                  <c:v>36845.3435484111</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{4173.7537082963,4222.59828528863,4489.44413902776,4522.22481571971,4760.2912920118,6283.03350174495,6461.47994414539,36116.8630425802}</c:f>
              <c:numCache>
                <c:formatCode>General</c:formatCode>
                <c:ptCount val="8"/>
                <c:pt idx="0">
                  <c:v>4173.7537082963</c:v>
                </c:pt>
                <c:pt idx="1">
                  <c:v>4222.59828528863</c:v>
                </c:pt>
                <c:pt idx="2">
                  <c:v>4489.44413902776</c:v>
                </c:pt>
                <c:pt idx="3">
                  <c:v>4522.22481571971</c:v>
                </c:pt>
                <c:pt idx="4">
                  <c:v>4760.2912920118</c:v>
                </c:pt>
                <c:pt idx="5">
                  <c:v>6283.03350174495</c:v>
                </c:pt>
                <c:pt idx="6">
                  <c:v>6461.47994414539</c:v>
                </c:pt>
                <c:pt idx="7">
                  <c:v>36116.8630425802</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{3710.00329626338,3748.29859857198,3979.00103328195,4004.5132581023,4214.6995957732,5527.60511445615,5697.52576250464,35336.3482149042}</c:f>
              <c:numCache>
                <c:formatCode>General</c:formatCode>
                <c:ptCount val="8"/>
                <c:pt idx="0">
                  <c:v>3710.00329626338</c:v>
                </c:pt>
                <c:pt idx="1">
                  <c:v>3748.29859857198</c:v>
                </c:pt>
                <c:pt idx="2">
                  <c:v>3979.00103328195</c:v>
                </c:pt>
                <c:pt idx="3">
                  <c:v>4004.5132581023</c:v>
                </c:pt>
                <c:pt idx="4">
                  <c:v>4214.6995957732</c:v>
                </c:pt>
                <c:pt idx="5">
                  <c:v>5527.60511445615</c:v>
                </c:pt>
                <c:pt idx="6">
                  <c:v>5697.52576250464</c:v>
                </c:pt>
                <c:pt idx="7">
                  <c:v>35336.3482149042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{3400.83635490809,3432.09880742755,3638.70562945141,3659.3722196907,3850.97179828081,5023.98618959696,5188.22297474414,34816.0049964536}</c:f>
              <c:numCache>
                <c:formatCode>General</c:formatCode>
                <c:ptCount val="8"/>
                <c:pt idx="0">
                  <c:v>3400.83635490809</c:v>
                </c:pt>
                <c:pt idx="1">
                  <c:v>3432.09880742755</c:v>
                </c:pt>
                <c:pt idx="2">
                  <c:v>3638.70562945141</c:v>
                </c:pt>
                <c:pt idx="3">
                  <c:v>3659.3722196907</c:v>
                </c:pt>
                <c:pt idx="4">
                  <c:v>3850.97179828081</c:v>
                </c:pt>
                <c:pt idx="5">
                  <c:v>5023.98618959696</c:v>
                </c:pt>
                <c:pt idx="6">
                  <c:v>5188.22297474414</c:v>
                </c:pt>
                <c:pt idx="7">
                  <c:v>34816.0049964536</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{3091.66941355281,3115.89901628312,3298.41022562088,3314.23118127909,3487.24400078841,4520.36726473776,4678.92018698364,34295.661778003}</c:f>
              <c:numCache>
                <c:formatCode>General</c:formatCode>
                <c:ptCount val="8"/>
                <c:pt idx="0">
                  <c:v>3091.66941355281</c:v>
                </c:pt>
                <c:pt idx="1">
                  <c:v>3115.89901628312</c:v>
                </c:pt>
                <c:pt idx="2">
                  <c:v>3298.41022562088</c:v>
                </c:pt>
                <c:pt idx="3">
                  <c:v>3314.23118127909</c:v>
                </c:pt>
                <c:pt idx="4">
                  <c:v>3487.24400078841</c:v>
                </c:pt>
                <c:pt idx="5">
                  <c:v>4520.36726473776</c:v>
                </c:pt>
                <c:pt idx="6">
                  <c:v>4678.92018698364</c:v>
                </c:pt>
                <c:pt idx="7">
                  <c:v>34295.661778003</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62bbdfe-2f2d-4e8d-9cce-9d8802ad657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diesel car"</c:f>
          <c:strCache>
            <c:ptCount val="1"/>
            <c:pt idx="0">
              <c:v>Technology possibility curve for a large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{3728.1,3913.58,4111.98,4456.36,5185.47,17364.65,100000,100000}</c:f>
              <c:numCache>
                <c:formatCode>General</c:formatCode>
                <c:ptCount val="8"/>
                <c:pt idx="0">
                  <c:v>3728.1</c:v>
                </c:pt>
                <c:pt idx="1">
                  <c:v>3913.58</c:v>
                </c:pt>
                <c:pt idx="2">
                  <c:v>4111.98</c:v>
                </c:pt>
                <c:pt idx="3">
                  <c:v>4456.36</c:v>
                </c:pt>
                <c:pt idx="4">
                  <c:v>5185.47</c:v>
                </c:pt>
                <c:pt idx="5">
                  <c:v>17364.65</c:v>
                </c:pt>
                <c:pt idx="6">
                  <c:v>100000</c:v>
                </c:pt>
                <c:pt idx="7">
                  <c:v>100000</c:v>
                </c:pt>
              </c:numCache>
            </c:numRef>
          </c:yVal>
          <c:smooth val="0"/>
        </c:ser>
        <c:ser>
          <c:idx val="2"/>
          <c:order val="1"/>
          <c:tx>
            <c:strRef>
              <c:f>2025</c:f>
              <c:strCache>
                <c:ptCount val="1"/>
                <c:pt idx="0">
                  <c:v>2025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{2560.48,2690.75,2838.31,3052.36,3416.38,4224.04,22406.91,100000}</c:f>
              <c:numCache>
                <c:formatCode>General</c:formatCode>
                <c:ptCount val="8"/>
                <c:pt idx="0">
                  <c:v>2560.48</c:v>
                </c:pt>
                <c:pt idx="1">
                  <c:v>2690.75</c:v>
                </c:pt>
                <c:pt idx="2">
                  <c:v>2838.31</c:v>
                </c:pt>
                <c:pt idx="3">
                  <c:v>3052.36</c:v>
                </c:pt>
                <c:pt idx="4">
                  <c:v>3416.38</c:v>
                </c:pt>
                <c:pt idx="5">
                  <c:v>4224.04</c:v>
                </c:pt>
                <c:pt idx="6">
                  <c:v>22406.91</c:v>
                </c:pt>
                <c:pt idx="7">
                  <c:v>100000</c:v>
                </c:pt>
              </c:numCache>
            </c:numRef>
          </c:yVal>
          <c:smooth val="0"/>
        </c:ser>
        <c:ser>
          <c:idx val="3"/>
          <c:order val="2"/>
          <c:tx>
            <c:strRef>
              <c:f>2030</c:f>
              <c:strCache>
                <c:ptCount val="1"/>
                <c:pt idx="0">
                  <c:v>2030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4"/>
          <c:order val="3"/>
          <c:tx>
            <c:strRef>
              <c:f>2035</c:f>
              <c:strCache>
                <c:ptCount val="1"/>
                <c:pt idx="0">
                  <c:v>2035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5"/>
          <c:order val="4"/>
          <c:tx>
            <c:strRef>
              <c:f>2040</c:f>
              <c:strCache>
                <c:ptCount val="1"/>
                <c:pt idx="0">
                  <c:v>2040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6"/>
          <c:order val="5"/>
          <c:tx>
            <c:strRef>
              <c:f>2045</c:f>
              <c:strCache>
                <c:ptCount val="1"/>
                <c:pt idx="0">
                  <c:v>2045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7"/>
          <c:order val="6"/>
          <c:tx>
            <c:strRef>
              <c:f>2050</c:f>
              <c:strCache>
                <c:ptCount val="1"/>
                <c:pt idx="0">
                  <c:v>2050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cd11b9-6c02-4892-b171-560255eed9d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diesel plug-in car"</c:f>
          <c:strCache>
            <c:ptCount val="1"/>
            <c:pt idx="0">
              <c:v>Technology possibility curve for a large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{5948.23674493384,6092.92028425791,6519.51241417778,6963.63817529846,36941.6851936647,71403.0829375222,72948.9518523239,74953.6397911744}</c:f>
              <c:numCache>
                <c:formatCode>General</c:formatCode>
                <c:ptCount val="8"/>
                <c:pt idx="0">
                  <c:v>5948.23674493384</c:v>
                </c:pt>
                <c:pt idx="1">
                  <c:v>6092.92028425791</c:v>
                </c:pt>
                <c:pt idx="2">
                  <c:v>6519.51241417778</c:v>
                </c:pt>
                <c:pt idx="3">
                  <c:v>6963.63817529846</c:v>
                </c:pt>
                <c:pt idx="4">
                  <c:v>36941.6851936647</c:v>
                </c:pt>
                <c:pt idx="5">
                  <c:v>71403.0829375222</c:v>
                </c:pt>
                <c:pt idx="6">
                  <c:v>72948.9518523239</c:v>
                </c:pt>
                <c:pt idx="7">
                  <c:v>74953.6397911744</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{4104.89876506784,4188.39008125785,4447.45750325776,4646.53096913209,5266.59072818773,36432.4929665696,72948.9518523239,74953.6397911744}</c:f>
              <c:numCache>
                <c:formatCode>General</c:formatCode>
                <c:ptCount val="8"/>
                <c:pt idx="0">
                  <c:v>4104.89876506784</c:v>
                </c:pt>
                <c:pt idx="1">
                  <c:v>4188.39008125785</c:v>
                </c:pt>
                <c:pt idx="2">
                  <c:v>4447.45750325776</c:v>
                </c:pt>
                <c:pt idx="3">
                  <c:v>4646.53096913209</c:v>
                </c:pt>
                <c:pt idx="4">
                  <c:v>5266.59072818773</c:v>
                </c:pt>
                <c:pt idx="5">
                  <c:v>36432.4929665696</c:v>
                </c:pt>
                <c:pt idx="6">
                  <c:v>72948.9518523239</c:v>
                </c:pt>
                <c:pt idx="7">
                  <c:v>74953.6397911744</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{3699.19490378722,3773.54796321202,3997.61931776086,4143.12605711436,4573.13105991735,6991.29895137399,35826.348779843,74953.6397911744}</c:f>
              <c:numCache>
                <c:formatCode>General</c:formatCode>
                <c:ptCount val="8"/>
                <c:pt idx="0">
                  <c:v>3699.19490378722</c:v>
                </c:pt>
                <c:pt idx="1">
                  <c:v>3773.54796321202</c:v>
                </c:pt>
                <c:pt idx="2">
                  <c:v>3997.61931776086</c:v>
                </c:pt>
                <c:pt idx="3">
                  <c:v>4143.12605711436</c:v>
                </c:pt>
                <c:pt idx="4">
                  <c:v>4573.13105991735</c:v>
                </c:pt>
                <c:pt idx="5">
                  <c:v>6991.29895137399</c:v>
                </c:pt>
                <c:pt idx="6">
                  <c:v>35826.348779843</c:v>
                </c:pt>
                <c:pt idx="7">
                  <c:v>74953.6397911744</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{3351.61954369983,3416.09890931066,3618.67077341281,3755.71120029164,4163.95977182175,6388.15196880981,35210.1437312536,74953.6397911744}</c:f>
              <c:numCache>
                <c:formatCode>General</c:formatCode>
                <c:ptCount val="8"/>
                <c:pt idx="0">
                  <c:v>3351.61954369983</c:v>
                </c:pt>
                <c:pt idx="1">
                  <c:v>3416.09890931066</c:v>
                </c:pt>
                <c:pt idx="2">
                  <c:v>3618.67077341281</c:v>
                </c:pt>
                <c:pt idx="3">
                  <c:v>3755.71120029164</c:v>
                </c:pt>
                <c:pt idx="4">
                  <c:v>4163.95977182175</c:v>
                </c:pt>
                <c:pt idx="5">
                  <c:v>6388.15196880981</c:v>
                </c:pt>
                <c:pt idx="6">
                  <c:v>35210.1437312536</c:v>
                </c:pt>
                <c:pt idx="7">
                  <c:v>74953.6397911744</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{2979.21737217763,3033.11778013063,3212.65447589704,3340.62385369586,3725.56196314788,5741.92305891961,34549.9240363364,74953.6397911744}</c:f>
              <c:numCache>
                <c:formatCode>General</c:formatCode>
                <c:ptCount val="8"/>
                <c:pt idx="0">
                  <c:v>2979.21737217763</c:v>
                </c:pt>
                <c:pt idx="1">
                  <c:v>3033.11778013063</c:v>
                </c:pt>
                <c:pt idx="2">
                  <c:v>3212.65447589704</c:v>
                </c:pt>
                <c:pt idx="3">
                  <c:v>3340.62385369586</c:v>
                </c:pt>
                <c:pt idx="4">
                  <c:v>3725.56196314788</c:v>
                </c:pt>
                <c:pt idx="5">
                  <c:v>5741.92305891961</c:v>
                </c:pt>
                <c:pt idx="6">
                  <c:v>34549.9240363364</c:v>
                </c:pt>
                <c:pt idx="7">
                  <c:v>74953.6397911744</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{2730.94925782949,2777.79702734395,2941.97694421986,3063.89895596534,3433.2967573653,5311.10378565948,34109.7775730583,74953.6397911744}</c:f>
              <c:numCache>
                <c:formatCode>General</c:formatCode>
                <c:ptCount val="8"/>
                <c:pt idx="0">
                  <c:v>2730.94925782949</c:v>
                </c:pt>
                <c:pt idx="1">
                  <c:v>2777.79702734395</c:v>
                </c:pt>
                <c:pt idx="2">
                  <c:v>2941.97694421986</c:v>
                </c:pt>
                <c:pt idx="3">
                  <c:v>3063.89895596534</c:v>
                </c:pt>
                <c:pt idx="4">
                  <c:v>3433.2967573653</c:v>
                </c:pt>
                <c:pt idx="5">
                  <c:v>5311.10378565948</c:v>
                </c:pt>
                <c:pt idx="6">
                  <c:v>34109.7775730583</c:v>
                </c:pt>
                <c:pt idx="7">
                  <c:v>74953.6397911744</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{2482.68114348136,2522.47627455726,2671.29941254268,2787.17405823482,3141.03155158272,4880.28451239935,33669.6311097801,74953.6397911744}</c:f>
              <c:numCache>
                <c:formatCode>General</c:formatCode>
                <c:ptCount val="8"/>
                <c:pt idx="0">
                  <c:v>2482.68114348136</c:v>
                </c:pt>
                <c:pt idx="1">
                  <c:v>2522.47627455726</c:v>
                </c:pt>
                <c:pt idx="2">
                  <c:v>2671.29941254268</c:v>
                </c:pt>
                <c:pt idx="3">
                  <c:v>2787.17405823482</c:v>
                </c:pt>
                <c:pt idx="4">
                  <c:v>3141.03155158272</c:v>
                </c:pt>
                <c:pt idx="5">
                  <c:v>4880.28451239935</c:v>
                </c:pt>
                <c:pt idx="6">
                  <c:v>33669.6311097801</c:v>
                </c:pt>
                <c:pt idx="7">
                  <c:v>74953.6397911744</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d0b5ba4-43b5-4432-a25f-6b3d15bec58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battery electric car"</c:f>
          <c:strCache>
            <c:ptCount val="1"/>
            <c:pt idx="0">
              <c:v>Technology possibility curve for a large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{6599.71610762395,9450.49418448529,12301.2722613466,15996.9672978378,19692.6623343291,24678.2094457231,30044.7959851816,41921.0873482922}</c:f>
              <c:numCache>
                <c:formatCode>General</c:formatCode>
                <c:ptCount val="8"/>
                <c:pt idx="0">
                  <c:v>6599.71610762395</c:v>
                </c:pt>
                <c:pt idx="1">
                  <c:v>9450.49418448529</c:v>
                </c:pt>
                <c:pt idx="2">
                  <c:v>12301.2722613466</c:v>
                </c:pt>
                <c:pt idx="3">
                  <c:v>15996.9672978378</c:v>
                </c:pt>
                <c:pt idx="4">
                  <c:v>19692.6623343291</c:v>
                </c:pt>
                <c:pt idx="5">
                  <c:v>24678.2094457231</c:v>
                </c:pt>
                <c:pt idx="6">
                  <c:v>30044.7959851816</c:v>
                </c:pt>
                <c:pt idx="7">
                  <c:v>41921.0873482922</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{3974.18784068168,4329.9722759427,5662.97804362705,7347.21262971147,9031.4472157959,11083.3135234548,13488.713910496,18658.7535635935}</c:f>
              <c:numCache>
                <c:formatCode>General</c:formatCode>
                <c:ptCount val="8"/>
                <c:pt idx="0">
                  <c:v>3974.18784068168</c:v>
                </c:pt>
                <c:pt idx="1">
                  <c:v>4329.9722759427</c:v>
                </c:pt>
                <c:pt idx="2">
                  <c:v>5662.97804362705</c:v>
                </c:pt>
                <c:pt idx="3">
                  <c:v>7347.21262971147</c:v>
                </c:pt>
                <c:pt idx="4">
                  <c:v>9031.4472157959</c:v>
                </c:pt>
                <c:pt idx="5">
                  <c:v>11083.3135234548</c:v>
                </c:pt>
                <c:pt idx="6">
                  <c:v>13488.713910496</c:v>
                </c:pt>
                <c:pt idx="7">
                  <c:v>18658.7535635935</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{2841.27666343664,3405.20243168445,4727.88094696114,6151.74296676754,7575.60498657395,9284.84832965367,11080.4203247809,15330.4757248703}</c:f>
              <c:numCache>
                <c:formatCode>General</c:formatCode>
                <c:ptCount val="8"/>
                <c:pt idx="0">
                  <c:v>2841.27666343664</c:v>
                </c:pt>
                <c:pt idx="1">
                  <c:v>3405.20243168445</c:v>
                </c:pt>
                <c:pt idx="2">
                  <c:v>4727.88094696114</c:v>
                </c:pt>
                <c:pt idx="3">
                  <c:v>6151.74296676754</c:v>
                </c:pt>
                <c:pt idx="4">
                  <c:v>7575.60498657395</c:v>
                </c:pt>
                <c:pt idx="5">
                  <c:v>9284.84832965367</c:v>
                </c:pt>
                <c:pt idx="6">
                  <c:v>11080.4203247809</c:v>
                </c:pt>
                <c:pt idx="7">
                  <c:v>15330.4757248703</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{2453.82984569528,2940.85664554566,4083.16990873916,5312.8689258447,6542.56794295023,7785.17732848278,9027.78671401533,12318.9158690361}</c:f>
              <c:numCache>
                <c:formatCode>General</c:formatCode>
                <c:ptCount val="8"/>
                <c:pt idx="0">
                  <c:v>2453.82984569528</c:v>
                </c:pt>
                <c:pt idx="1">
                  <c:v>2940.85664554566</c:v>
                </c:pt>
                <c:pt idx="2">
                  <c:v>4083.16990873916</c:v>
                </c:pt>
                <c:pt idx="3">
                  <c:v>5312.8689258447</c:v>
                </c:pt>
                <c:pt idx="4">
                  <c:v>6542.56794295023</c:v>
                </c:pt>
                <c:pt idx="5">
                  <c:v>7785.17732848278</c:v>
                </c:pt>
                <c:pt idx="6">
                  <c:v>9027.78671401533</c:v>
                </c:pt>
                <c:pt idx="7">
                  <c:v>12318.9158690361</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{2195.53196720104,2631.2927881198,3653.36254992451,4753.61956522947,5853.87658053442,6965.68497811617,8077.49337569793,10713.1545776959}</c:f>
              <c:numCache>
                <c:formatCode>General</c:formatCode>
                <c:ptCount val="8"/>
                <c:pt idx="0">
                  <c:v>2195.53196720104</c:v>
                </c:pt>
                <c:pt idx="1">
                  <c:v>2631.2927881198</c:v>
                </c:pt>
                <c:pt idx="2">
                  <c:v>3653.36254992451</c:v>
                </c:pt>
                <c:pt idx="3">
                  <c:v>4753.61956522947</c:v>
                </c:pt>
                <c:pt idx="4">
                  <c:v>5853.87658053442</c:v>
                </c:pt>
                <c:pt idx="5">
                  <c:v>6965.68497811617</c:v>
                </c:pt>
                <c:pt idx="6">
                  <c:v>8077.49337569793</c:v>
                </c:pt>
                <c:pt idx="7">
                  <c:v>10713.1545776959</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{2066.38302795392,2476.51085940687,3438.45887051719,4473.99488492185,5509.53089932651,6555.93880293287,7602.34670653922,9889.06576402698}</c:f>
              <c:numCache>
                <c:formatCode>General</c:formatCode>
                <c:ptCount val="8"/>
                <c:pt idx="0">
                  <c:v>2066.38302795392</c:v>
                </c:pt>
                <c:pt idx="1">
                  <c:v>2476.51085940687</c:v>
                </c:pt>
                <c:pt idx="2">
                  <c:v>3438.45887051719</c:v>
                </c:pt>
                <c:pt idx="3">
                  <c:v>4473.99488492185</c:v>
                </c:pt>
                <c:pt idx="4">
                  <c:v>5509.53089932651</c:v>
                </c:pt>
                <c:pt idx="5">
                  <c:v>6555.93880293287</c:v>
                </c:pt>
                <c:pt idx="6">
                  <c:v>7602.34670653922</c:v>
                </c:pt>
                <c:pt idx="7">
                  <c:v>9889.06576402698</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{1988.89366440565,2383.64170217911,3309.51666287279,4306.22007673728,5302.92349060177,6310.09109782288,7317.258705044,9331.59391948624}</c:f>
              <c:numCache>
                <c:formatCode>General</c:formatCode>
                <c:ptCount val="8"/>
                <c:pt idx="0">
                  <c:v>1988.89366440565</c:v>
                </c:pt>
                <c:pt idx="1">
                  <c:v>2383.64170217911</c:v>
                </c:pt>
                <c:pt idx="2">
                  <c:v>3309.51666287279</c:v>
                </c:pt>
                <c:pt idx="3">
                  <c:v>4306.22007673728</c:v>
                </c:pt>
                <c:pt idx="4">
                  <c:v>5302.92349060177</c:v>
                </c:pt>
                <c:pt idx="5">
                  <c:v>6310.09109782288</c:v>
                </c:pt>
                <c:pt idx="6">
                  <c:v>7317.258705044</c:v>
                </c:pt>
                <c:pt idx="7">
                  <c:v>9331.59391948624</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23e120b-1dcd-4855-a9ef-3ac47281b90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Gasoline car"</c:f>
          <c:strCache>
            <c:ptCount val="1"/>
            <c:pt idx="0">
              <c:v>Technology possibility curve for a medium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eedd0db-5d20-4e01-a46a-99438d50cb7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Diesel car"</c:f>
          <c:strCache>
            <c:ptCount val="1"/>
            <c:pt idx="0">
              <c:v>Technology possibility curve for a medium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{-109.234214753027,97.523831444519,778.734342135375,2384.77329099357,4508.85174745705,17730.4811580219,100202.167208948,100202.167208948}</c:f>
              <c:numCache>
                <c:formatCode>General</c:formatCode>
                <c:ptCount val="8"/>
                <c:pt idx="0">
                  <c:v>-109.234214753027</c:v>
                </c:pt>
                <c:pt idx="1">
                  <c:v>97.523831444519</c:v>
                </c:pt>
                <c:pt idx="2">
                  <c:v>778.734342135375</c:v>
                </c:pt>
                <c:pt idx="3">
                  <c:v>2384.77329099357</c:v>
                </c:pt>
                <c:pt idx="4">
                  <c:v>4508.85174745705</c:v>
                </c:pt>
                <c:pt idx="5">
                  <c:v>17730.4811580219</c:v>
                </c:pt>
                <c:pt idx="6">
                  <c:v>100202.167208948</c:v>
                </c:pt>
                <c:pt idx="7">
                  <c:v>100202.167208948</c:v>
                </c:pt>
              </c:numCache>
            </c:numRef>
          </c:yVal>
          <c:smooth val="0"/>
        </c:ser>
        <c:ser>
          <c:idx val="2"/>
          <c:order val="1"/>
          <c:tx>
            <c:strRef>
              <c:f>2025</c:f>
              <c:strCache>
                <c:ptCount val="1"/>
                <c:pt idx="0">
                  <c:v>2025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{-250.17219293397,-77.967099561478,321.096700156386,1377.67221836239,2326.89409620502,4279.62247232541,24379.0342803011,100202.167208948}</c:f>
              <c:numCache>
                <c:formatCode>General</c:formatCode>
                <c:ptCount val="8"/>
                <c:pt idx="0">
                  <c:v>-250.17219293397</c:v>
                </c:pt>
                <c:pt idx="1">
                  <c:v>-77.967099561478</c:v>
                </c:pt>
                <c:pt idx="2">
                  <c:v>321.096700156386</c:v>
                </c:pt>
                <c:pt idx="3">
                  <c:v>1377.67221836239</c:v>
                </c:pt>
                <c:pt idx="4">
                  <c:v>2326.89409620502</c:v>
                </c:pt>
                <c:pt idx="5">
                  <c:v>4279.62247232541</c:v>
                </c:pt>
                <c:pt idx="6">
                  <c:v>24379.0342803011</c:v>
                </c:pt>
                <c:pt idx="7">
                  <c:v>100202.167208948</c:v>
                </c:pt>
              </c:numCache>
            </c:numRef>
          </c:yVal>
          <c:smooth val="0"/>
        </c:ser>
        <c:ser>
          <c:idx val="3"/>
          <c:order val="2"/>
          <c:tx>
            <c:strRef>
              <c:f>2030</c:f>
              <c:strCache>
                <c:ptCount val="1"/>
                <c:pt idx="0">
                  <c:v>2030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4"/>
          <c:order val="3"/>
          <c:tx>
            <c:strRef>
              <c:f>2035</c:f>
              <c:strCache>
                <c:ptCount val="1"/>
                <c:pt idx="0">
                  <c:v>2035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5"/>
          <c:order val="4"/>
          <c:tx>
            <c:strRef>
              <c:f>2040</c:f>
              <c:strCache>
                <c:ptCount val="1"/>
                <c:pt idx="0">
                  <c:v>2040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6"/>
          <c:order val="5"/>
          <c:tx>
            <c:strRef>
              <c:f>2045</c:f>
              <c:strCache>
                <c:ptCount val="1"/>
                <c:pt idx="0">
                  <c:v>2045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7"/>
          <c:order val="6"/>
          <c:tx>
            <c:strRef>
              <c:f>2050</c:f>
              <c:strCache>
                <c:ptCount val="1"/>
                <c:pt idx="0">
                  <c:v>2050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06fe53-c23a-46fd-bd6a-dfcae424f9c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gasoline car"</c:f>
          <c:strCache>
            <c:ptCount val="1"/>
            <c:pt idx="0">
              <c:v>Technology possibility curve for a medium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{2939.22372914877,3114.99689923469,3328.10833316281,3763.14536048838,4739.48758275962,26869.4651645581,100000,100000}</c:f>
              <c:numCache>
                <c:formatCode>General</c:formatCode>
                <c:ptCount val="8"/>
                <c:pt idx="0">
                  <c:v>2939.22372914877</c:v>
                </c:pt>
                <c:pt idx="1">
                  <c:v>3114.99689923469</c:v>
                </c:pt>
                <c:pt idx="2">
                  <c:v>3328.10833316281</c:v>
                </c:pt>
                <c:pt idx="3">
                  <c:v>3763.14536048838</c:v>
                </c:pt>
                <c:pt idx="4">
                  <c:v>4739.48758275962</c:v>
                </c:pt>
                <c:pt idx="5">
                  <c:v>26869.4651645581</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{2018.67227043673,2130.57351122419,2275.86727636801,2475.82622148241,2755.38803083365,7382.8261652277,48924.3951257602,100000}</c:f>
              <c:numCache>
                <c:formatCode>General</c:formatCode>
                <c:ptCount val="8"/>
                <c:pt idx="0">
                  <c:v>2018.67227043673</c:v>
                </c:pt>
                <c:pt idx="1">
                  <c:v>2130.57351122419</c:v>
                </c:pt>
                <c:pt idx="2">
                  <c:v>2275.86727636801</c:v>
                </c:pt>
                <c:pt idx="3">
                  <c:v>2475.82622148241</c:v>
                </c:pt>
                <c:pt idx="4">
                  <c:v>2755.38803083365</c:v>
                </c:pt>
                <c:pt idx="5">
                  <c:v>7382.8261652277</c:v>
                </c:pt>
                <c:pt idx="6">
                  <c:v>48924.3951257602</c:v>
                </c:pt>
                <c:pt idx="7">
                  <c:v>100000</c:v>
                </c:pt>
              </c:numCache>
            </c:numRef>
          </c:yVal>
          <c:smooth val="0"/>
        </c:ser>
        <c:ser>
          <c:idx val="3"/>
          <c:order val="2"/>
          <c:tx>
            <c:strRef>
              <c:f>2030</c:f>
              <c:strCache>
                <c:ptCount val="1"/>
                <c:pt idx="0">
                  <c:v>2030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4"/>
          <c:order val="3"/>
          <c:tx>
            <c:strRef>
              <c:f>2035</c:f>
              <c:strCache>
                <c:ptCount val="1"/>
                <c:pt idx="0">
                  <c:v>2035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5"/>
          <c:order val="4"/>
          <c:tx>
            <c:strRef>
              <c:f>2040</c:f>
              <c:strCache>
                <c:ptCount val="1"/>
                <c:pt idx="0">
                  <c:v>2040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6"/>
          <c:order val="5"/>
          <c:tx>
            <c:strRef>
              <c:f>2045</c:f>
              <c:strCache>
                <c:ptCount val="1"/>
                <c:pt idx="0">
                  <c:v>2045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70f85e-64ae-4388-b734-40b68e0740a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gasoline plug-in car"</c:f>
          <c:strCache>
            <c:ptCount val="1"/>
            <c:pt idx="0">
              <c:v>Technology possibility curve for a medium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{5766.69487135581,5869.98967591304,6336.24902543317,6533.39172350529,7232.7564025918,46394.4269769042,77181.6601383179,78834.8566171486}</c:f>
              <c:numCache>
                <c:formatCode>General</c:formatCode>
                <c:ptCount val="8"/>
                <c:pt idx="0">
                  <c:v>5766.69487135581</c:v>
                </c:pt>
                <c:pt idx="1">
                  <c:v>5869.98967591304</c:v>
                </c:pt>
                <c:pt idx="2">
                  <c:v>6336.24902543317</c:v>
                </c:pt>
                <c:pt idx="3">
                  <c:v>6533.39172350529</c:v>
                </c:pt>
                <c:pt idx="4">
                  <c:v>7232.7564025918</c:v>
                </c:pt>
                <c:pt idx="5">
                  <c:v>46394.4269769042</c:v>
                </c:pt>
                <c:pt idx="6">
                  <c:v>77181.6601383179</c:v>
                </c:pt>
                <c:pt idx="7">
                  <c:v>78834.8566171486</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{4074.05077786385,4132.86933690862,4422.41918736244,4492.79458244863,4807.8254307748,6263.66958158193,31852.0383721922,78834.8566171486}</c:f>
              <c:numCache>
                <c:formatCode>General</c:formatCode>
                <c:ptCount val="8"/>
                <c:pt idx="0">
                  <c:v>4074.05077786385</c:v>
                </c:pt>
                <c:pt idx="1">
                  <c:v>4132.86933690862</c:v>
                </c:pt>
                <c:pt idx="2">
                  <c:v>4422.41918736244</c:v>
                </c:pt>
                <c:pt idx="3">
                  <c:v>4492.79458244863</c:v>
                </c:pt>
                <c:pt idx="4">
                  <c:v>4807.8254307748</c:v>
                </c:pt>
                <c:pt idx="5">
                  <c:v>6263.66958158193</c:v>
                </c:pt>
                <c:pt idx="6">
                  <c:v>31852.0383721922</c:v>
                </c:pt>
                <c:pt idx="7">
                  <c:v>78834.8566171486</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{3707.11874547786,3756.00234743201,4008.16918875575,4053.80395164426,4294.66553576078,5452.52987721984,5743.5583979465,29510.3712408542}</c:f>
              <c:numCache>
                <c:formatCode>General</c:formatCode>
                <c:ptCount val="8"/>
                <c:pt idx="0">
                  <c:v>3707.11874547786</c:v>
                </c:pt>
                <c:pt idx="1">
                  <c:v>3756.00234743201</c:v>
                </c:pt>
                <c:pt idx="2">
                  <c:v>4008.16918875575</c:v>
                </c:pt>
                <c:pt idx="3">
                  <c:v>4053.80395164426</c:v>
                </c:pt>
                <c:pt idx="4">
                  <c:v>4294.66553576078</c:v>
                </c:pt>
                <c:pt idx="5">
                  <c:v>5452.52987721984</c:v>
                </c:pt>
                <c:pt idx="6">
                  <c:v>5743.5583979465</c:v>
                </c:pt>
                <c:pt idx="7">
                  <c:v>29510.3712408542</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{3358.79886335242,3400.26968763418,3625.71039070398,3666.28005102908,3886.48056915951,4913.40170426093,5198.64681571982,28953.7878973905}</c:f>
              <c:numCache>
                <c:formatCode>General</c:formatCode>
                <c:ptCount val="8"/>
                <c:pt idx="0">
                  <c:v>3358.79886335242</c:v>
                </c:pt>
                <c:pt idx="1">
                  <c:v>3400.26968763418</c:v>
                </c:pt>
                <c:pt idx="2">
                  <c:v>3625.71039070398</c:v>
                </c:pt>
                <c:pt idx="3">
                  <c:v>3666.28005102908</c:v>
                </c:pt>
                <c:pt idx="4">
                  <c:v>3886.48056915951</c:v>
                </c:pt>
                <c:pt idx="5">
                  <c:v>4913.40170426093</c:v>
                </c:pt>
                <c:pt idx="6">
                  <c:v>5198.64681571982</c:v>
                </c:pt>
                <c:pt idx="7">
                  <c:v>28953.7878973905</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{2985.5989896466,3019.12755213651,3215.93310707708,3251.07587179852,3449.13953351529,4335.76437609066,4614.8129776198,28357.4486008222}</c:f>
              <c:numCache>
                <c:formatCode>General</c:formatCode>
                <c:ptCount val="8"/>
                <c:pt idx="0">
                  <c:v>2985.5989896466</c:v>
                </c:pt>
                <c:pt idx="1">
                  <c:v>3019.12755213651</c:v>
                </c:pt>
                <c:pt idx="2">
                  <c:v>3215.93310707708</c:v>
                </c:pt>
                <c:pt idx="3">
                  <c:v>3251.07587179852</c:v>
                </c:pt>
                <c:pt idx="4">
                  <c:v>3449.13953351529</c:v>
                </c:pt>
                <c:pt idx="5">
                  <c:v>4335.76437609066</c:v>
                </c:pt>
                <c:pt idx="6">
                  <c:v>4614.8129776198</c:v>
                </c:pt>
                <c:pt idx="7">
                  <c:v>28357.4486008222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{2736.79907384272,2765.03279513806,2942.74825132582,2974.27308564482,3157.57884308581,3950.67282397715,4225.59041888645,27959.8890697767}</c:f>
              <c:numCache>
                <c:formatCode>General</c:formatCode>
                <c:ptCount val="8"/>
                <c:pt idx="0">
                  <c:v>2736.79907384272</c:v>
                </c:pt>
                <c:pt idx="1">
                  <c:v>2765.03279513806</c:v>
                </c:pt>
                <c:pt idx="2">
                  <c:v>2942.74825132582</c:v>
                </c:pt>
                <c:pt idx="3">
                  <c:v>2974.27308564482</c:v>
                </c:pt>
                <c:pt idx="4">
                  <c:v>3157.57884308581</c:v>
                </c:pt>
                <c:pt idx="5">
                  <c:v>3950.67282397715</c:v>
                </c:pt>
                <c:pt idx="6">
                  <c:v>4225.59041888645</c:v>
                </c:pt>
                <c:pt idx="7">
                  <c:v>27959.8890697767</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{2487.99915803883,2510.93803813962,2669.56339557455,2697.47029949112,2866.01815265634,3565.58127186364,3836.36786015311,27562.3295387312}</c:f>
              <c:numCache>
                <c:formatCode>General</c:formatCode>
                <c:ptCount val="8"/>
                <c:pt idx="0">
                  <c:v>2487.99915803883</c:v>
                </c:pt>
                <c:pt idx="1">
                  <c:v>2510.93803813962</c:v>
                </c:pt>
                <c:pt idx="2">
                  <c:v>2669.56339557455</c:v>
                </c:pt>
                <c:pt idx="3">
                  <c:v>2697.47029949112</c:v>
                </c:pt>
                <c:pt idx="4">
                  <c:v>2866.01815265634</c:v>
                </c:pt>
                <c:pt idx="5">
                  <c:v>3565.58127186364</c:v>
                </c:pt>
                <c:pt idx="6">
                  <c:v>3836.36786015311</c:v>
                </c:pt>
                <c:pt idx="7">
                  <c:v>27562.3295387312</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df371d-3484-4918-a1e8-6a75af88db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diesel car"</c:f>
          <c:strCache>
            <c:ptCount val="1"/>
            <c:pt idx="0">
              <c:v>Technology possibility curve for a medium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{2942.3174468874,3019.79603739025,3115.10459406068,3324.35575225326,3670.15506736166,12968.9897040498,95830.104011697,100000}</c:f>
              <c:numCache>
                <c:formatCode>General</c:formatCode>
                <c:ptCount val="8"/>
                <c:pt idx="0">
                  <c:v>2942.3174468874</c:v>
                </c:pt>
                <c:pt idx="1">
                  <c:v>3019.79603739025</c:v>
                </c:pt>
                <c:pt idx="2">
                  <c:v>3115.10459406068</c:v>
                </c:pt>
                <c:pt idx="3">
                  <c:v>3324.35575225326</c:v>
                </c:pt>
                <c:pt idx="4">
                  <c:v>3670.15506736166</c:v>
                </c:pt>
                <c:pt idx="5">
                  <c:v>12968.9897040498</c:v>
                </c:pt>
                <c:pt idx="6">
                  <c:v>95830.104011697</c:v>
                </c:pt>
                <c:pt idx="7">
                  <c:v>100000</c:v>
                </c:pt>
              </c:numCache>
            </c:numRef>
          </c:yVal>
          <c:smooth val="0"/>
        </c:ser>
        <c:ser>
          <c:idx val="2"/>
          <c:order val="1"/>
          <c:tx>
            <c:strRef>
              <c:f>2025</c:f>
              <c:strCache>
                <c:ptCount val="1"/>
                <c:pt idx="0">
                  <c:v>2025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{2021.28541066256,2159.09494052856,2302.63919923302,2510.13541292469,2849.52548828077,3748.98730286213,19420.3981819982,100000}</c:f>
              <c:numCache>
                <c:formatCode>General</c:formatCode>
                <c:ptCount val="8"/>
                <c:pt idx="0">
                  <c:v>2021.28541066256</c:v>
                </c:pt>
                <c:pt idx="1">
                  <c:v>2159.09494052856</c:v>
                </c:pt>
                <c:pt idx="2">
                  <c:v>2302.63919923302</c:v>
                </c:pt>
                <c:pt idx="3">
                  <c:v>2510.13541292469</c:v>
                </c:pt>
                <c:pt idx="4">
                  <c:v>2849.52548828077</c:v>
                </c:pt>
                <c:pt idx="5">
                  <c:v>3748.98730286213</c:v>
                </c:pt>
                <c:pt idx="6">
                  <c:v>19420.3981819982</c:v>
                </c:pt>
                <c:pt idx="7">
                  <c:v>100000</c:v>
                </c:pt>
              </c:numCache>
            </c:numRef>
          </c:yVal>
          <c:smooth val="1"/>
        </c:ser>
        <c:ser>
          <c:idx val="3"/>
          <c:order val="2"/>
          <c:tx>
            <c:strRef>
              <c:f>2030</c:f>
              <c:strCache>
                <c:ptCount val="1"/>
                <c:pt idx="0">
                  <c:v>2030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4"/>
          <c:order val="3"/>
          <c:tx>
            <c:strRef>
              <c:f>2035</c:f>
              <c:strCache>
                <c:ptCount val="1"/>
                <c:pt idx="0">
                  <c:v>2035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5"/>
          <c:order val="4"/>
          <c:tx>
            <c:strRef>
              <c:f>2040</c:f>
              <c:strCache>
                <c:ptCount val="1"/>
                <c:pt idx="0">
                  <c:v>2040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6"/>
          <c:order val="5"/>
          <c:tx>
            <c:strRef>
              <c:f>2045</c:f>
              <c:strCache>
                <c:ptCount val="1"/>
                <c:pt idx="0">
                  <c:v>2045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7"/>
          <c:order val="6"/>
          <c:tx>
            <c:strRef>
              <c:f>2050</c:f>
              <c:strCache>
                <c:ptCount val="1"/>
                <c:pt idx="0">
                  <c:v>2050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4d90deb-f3f5-449d-ae0f-0f3e4b072be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diesel plug-in car"</c:f>
          <c:strCache>
            <c:ptCount val="1"/>
            <c:pt idx="0">
              <c:v>Technology possibility curve for a medium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{4653.22346152376,4750.70906793545,5076.59341963116,5397.34219650946,6601.95077475796,61619.3023507211,68585.4932248665,70417.9923281486}</c:f>
              <c:numCache>
                <c:formatCode>General</c:formatCode>
                <c:ptCount val="8"/>
                <c:pt idx="0">
                  <c:v>4653.22346152376</c:v>
                </c:pt>
                <c:pt idx="1">
                  <c:v>4750.70906793545</c:v>
                </c:pt>
                <c:pt idx="2">
                  <c:v>5076.59341963116</c:v>
                </c:pt>
                <c:pt idx="3">
                  <c:v>5397.34219650946</c:v>
                </c:pt>
                <c:pt idx="4">
                  <c:v>6601.95077475796</c:v>
                </c:pt>
                <c:pt idx="5">
                  <c:v>61619.3023507211</c:v>
                </c:pt>
                <c:pt idx="6">
                  <c:v>68585.4932248665</c:v>
                </c:pt>
                <c:pt idx="7">
                  <c:v>70417.9923281486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{3254.9103797346,3315.71238047222,3523.05746875314,3677.4075661353,4152.08359307305,26687.1044325759,68585.4932248665,70417.9923281486}</c:f>
              <c:numCache>
                <c:formatCode>General</c:formatCode>
                <c:ptCount val="8"/>
                <c:pt idx="0">
                  <c:v>3254.9103797346</c:v>
                </c:pt>
                <c:pt idx="1">
                  <c:v>3315.71238047222</c:v>
                </c:pt>
                <c:pt idx="2">
                  <c:v>3523.05746875314</c:v>
                </c:pt>
                <c:pt idx="3">
                  <c:v>3677.4075661353</c:v>
                </c:pt>
                <c:pt idx="4">
                  <c:v>4152.08359307305</c:v>
                </c:pt>
                <c:pt idx="5">
                  <c:v>26687.1044325759</c:v>
                </c:pt>
                <c:pt idx="6">
                  <c:v>68585.4932248665</c:v>
                </c:pt>
                <c:pt idx="7">
                  <c:v>70417.9923281486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{2950.96048214907,3005.30330142671,3184.87929121108,3296.85461955814,3632.89328531083,5075.07420361449,25987.9351915385,70417.9923281486}</c:f>
              <c:numCache>
                <c:formatCode>General</c:formatCode>
                <c:ptCount val="8"/>
                <c:pt idx="0">
                  <c:v>2950.96048214907</c:v>
                </c:pt>
                <c:pt idx="1">
                  <c:v>3005.30330142671</c:v>
                </c:pt>
                <c:pt idx="2">
                  <c:v>3184.87929121108</c:v>
                </c:pt>
                <c:pt idx="3">
                  <c:v>3296.85461955814</c:v>
                </c:pt>
                <c:pt idx="4">
                  <c:v>3632.89328531083</c:v>
                </c:pt>
                <c:pt idx="5">
                  <c:v>5075.07420361449</c:v>
                </c:pt>
                <c:pt idx="6">
                  <c:v>25987.9351915385</c:v>
                </c:pt>
                <c:pt idx="7">
                  <c:v>70417.9923281486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{2673.6890274505,2721.10747977998,2884.01752219569,2990.03516599387,3308.97177078341,4632.09088947748,25536.0800300771,70417.9923281486}</c:f>
              <c:numCache>
                <c:formatCode>General</c:formatCode>
                <c:ptCount val="8"/>
                <c:pt idx="0">
                  <c:v>2673.6890274505</c:v>
                </c:pt>
                <c:pt idx="1">
                  <c:v>2721.10747977998</c:v>
                </c:pt>
                <c:pt idx="2">
                  <c:v>2884.01752219569</c:v>
                </c:pt>
                <c:pt idx="3">
                  <c:v>2990.03516599387</c:v>
                </c:pt>
                <c:pt idx="4">
                  <c:v>3308.97177078341</c:v>
                </c:pt>
                <c:pt idx="5">
                  <c:v>4632.09088947748</c:v>
                </c:pt>
                <c:pt idx="6">
                  <c:v>25536.0800300771</c:v>
                </c:pt>
                <c:pt idx="7">
                  <c:v>70417.9923281486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{2376.61246884489,2416.61195658707,2561.66562682205,2661.300037175,2961.91300521831,4157.46591004498,25051.9494999398,70417.9923281486}</c:f>
              <c:numCache>
                <c:formatCode>General</c:formatCode>
                <c:ptCount val="8"/>
                <c:pt idx="0">
                  <c:v>2376.61246884489</c:v>
                </c:pt>
                <c:pt idx="1">
                  <c:v>2416.61195658707</c:v>
                </c:pt>
                <c:pt idx="2">
                  <c:v>2561.66562682205</c:v>
                </c:pt>
                <c:pt idx="3">
                  <c:v>2661.300037175</c:v>
                </c:pt>
                <c:pt idx="4">
                  <c:v>2961.91300521831</c:v>
                </c:pt>
                <c:pt idx="5">
                  <c:v>4157.46591004498</c:v>
                </c:pt>
                <c:pt idx="6">
                  <c:v>25051.9494999398</c:v>
                </c:pt>
                <c:pt idx="7">
                  <c:v>70417.9923281486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{2178.56142977448,2213.61494112512,2346.76436323963,2442.14328462909,2730.54049484158,3841.04925708997,24729.1958131817,70417.9923281486}</c:f>
              <c:numCache>
                <c:formatCode>General</c:formatCode>
                <c:ptCount val="8"/>
                <c:pt idx="0">
                  <c:v>2178.56142977448</c:v>
                </c:pt>
                <c:pt idx="1">
                  <c:v>2213.61494112512</c:v>
                </c:pt>
                <c:pt idx="2">
                  <c:v>2346.76436323963</c:v>
                </c:pt>
                <c:pt idx="3">
                  <c:v>2442.14328462909</c:v>
                </c:pt>
                <c:pt idx="4">
                  <c:v>2730.54049484158</c:v>
                </c:pt>
                <c:pt idx="5">
                  <c:v>3841.04925708997</c:v>
                </c:pt>
                <c:pt idx="6">
                  <c:v>24729.1958131817</c:v>
                </c:pt>
                <c:pt idx="7">
                  <c:v>70417.9923281486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{1980.51039070407,2010.61792566318,2131.86309965721,2222.98653208318,2499.16798446485,3524.63260413497,24406.4421264235,70417.9923281486}</c:f>
              <c:numCache>
                <c:formatCode>General</c:formatCode>
                <c:ptCount val="8"/>
                <c:pt idx="0">
                  <c:v>1980.51039070407</c:v>
                </c:pt>
                <c:pt idx="1">
                  <c:v>2010.61792566318</c:v>
                </c:pt>
                <c:pt idx="2">
                  <c:v>2131.86309965721</c:v>
                </c:pt>
                <c:pt idx="3">
                  <c:v>2222.98653208318</c:v>
                </c:pt>
                <c:pt idx="4">
                  <c:v>2499.16798446485</c:v>
                </c:pt>
                <c:pt idx="5">
                  <c:v>3524.63260413497</c:v>
                </c:pt>
                <c:pt idx="6">
                  <c:v>24406.4421264235</c:v>
                </c:pt>
                <c:pt idx="7">
                  <c:v>70417.9923281486</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b66d0e7-a635-4a41-a451-9ccad44cd45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battery electric car"</c:f>
          <c:strCache>
            <c:ptCount val="1"/>
            <c:pt idx="0">
              <c:v>Technology possibility curve for a medium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{4728.55031221253,6646.00340125507,8563.4564902976,11050.7713810353,13538.0862717729,16907.7544778376,20533.8763879477,28555.4813203037}</c:f>
              <c:numCache>
                <c:formatCode>General</c:formatCode>
                <c:ptCount val="8"/>
                <c:pt idx="0">
                  <c:v>4728.55031221253</c:v>
                </c:pt>
                <c:pt idx="1">
                  <c:v>6646.00340125507</c:v>
                </c:pt>
                <c:pt idx="2">
                  <c:v>8563.4564902976</c:v>
                </c:pt>
                <c:pt idx="3">
                  <c:v>11050.7713810353</c:v>
                </c:pt>
                <c:pt idx="4">
                  <c:v>13538.0862717729</c:v>
                </c:pt>
                <c:pt idx="5">
                  <c:v>16907.7544778376</c:v>
                </c:pt>
                <c:pt idx="6">
                  <c:v>20533.8763879477</c:v>
                </c:pt>
                <c:pt idx="7">
                  <c:v>28555.4813203037</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{3544.25108146708,3861.54594018889,4989.08459664623,6414.84788343006,7840.61117021389,9583.94111735615,11630.501891013,16025.9056947112}</c:f>
              <c:numCache>
                <c:formatCode>General</c:formatCode>
                <c:ptCount val="8"/>
                <c:pt idx="0">
                  <c:v>3544.25108146708</c:v>
                </c:pt>
                <c:pt idx="1">
                  <c:v>3861.54594018889</c:v>
                </c:pt>
                <c:pt idx="2">
                  <c:v>4989.08459664623</c:v>
                </c:pt>
                <c:pt idx="3">
                  <c:v>6414.84788343006</c:v>
                </c:pt>
                <c:pt idx="4">
                  <c:v>7840.61117021389</c:v>
                </c:pt>
                <c:pt idx="5">
                  <c:v>9583.94111735615</c:v>
                </c:pt>
                <c:pt idx="6">
                  <c:v>11630.501891013</c:v>
                </c:pt>
                <c:pt idx="7">
                  <c:v>16025.9056947112</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{2660.54729838928,2898.72962795937,3370.02657795976,4339.80278316597,5309.57898837218,6478.70538276805,7706.65735142089,10615.9765296626}</c:f>
              <c:numCache>
                <c:formatCode>General</c:formatCode>
                <c:ptCount val="8"/>
                <c:pt idx="0">
                  <c:v>2660.54729838928</c:v>
                </c:pt>
                <c:pt idx="1">
                  <c:v>2898.72962795937</c:v>
                </c:pt>
                <c:pt idx="2">
                  <c:v>3370.02657795976</c:v>
                </c:pt>
                <c:pt idx="3">
                  <c:v>4339.80278316597</c:v>
                </c:pt>
                <c:pt idx="4">
                  <c:v>5309.57898837218</c:v>
                </c:pt>
                <c:pt idx="5">
                  <c:v>6478.70538276805</c:v>
                </c:pt>
                <c:pt idx="6">
                  <c:v>7706.65735142089</c:v>
                </c:pt>
                <c:pt idx="7">
                  <c:v>10615.9765296626</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{2297.74539406347,2503.44831505582,2910.47749914706,3748.01149455243,4585.54548995779,5432.27724062634,6279.00899129489,8530.54556711623}</c:f>
              <c:numCache>
                <c:formatCode>General</c:formatCode>
                <c:ptCount val="8"/>
                <c:pt idx="0">
                  <c:v>2297.74539406347</c:v>
                </c:pt>
                <c:pt idx="1">
                  <c:v>2503.44831505582</c:v>
                </c:pt>
                <c:pt idx="2">
                  <c:v>2910.47749914706</c:v>
                </c:pt>
                <c:pt idx="3">
                  <c:v>3748.01149455243</c:v>
                </c:pt>
                <c:pt idx="4">
                  <c:v>4585.54548995779</c:v>
                </c:pt>
                <c:pt idx="5">
                  <c:v>5432.27724062634</c:v>
                </c:pt>
                <c:pt idx="6">
                  <c:v>6279.00899129489</c:v>
                </c:pt>
                <c:pt idx="7">
                  <c:v>8530.54556711623</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{2055.87745784626,2239.92743978678,2604.11144660527,3353.48396881006,4102.85649101487,4860.4585837183,5618.06067642174,7418.59545630176}</c:f>
              <c:numCache>
                <c:formatCode>General</c:formatCode>
                <c:ptCount val="8"/>
                <c:pt idx="0">
                  <c:v>2055.87745784626</c:v>
                </c:pt>
                <c:pt idx="1">
                  <c:v>2239.92743978678</c:v>
                </c:pt>
                <c:pt idx="2">
                  <c:v>2604.11144660527</c:v>
                </c:pt>
                <c:pt idx="3">
                  <c:v>3353.48396881006</c:v>
                </c:pt>
                <c:pt idx="4">
                  <c:v>4102.85649101487</c:v>
                </c:pt>
                <c:pt idx="5">
                  <c:v>4860.4585837183</c:v>
                </c:pt>
                <c:pt idx="6">
                  <c:v>5618.06067642174</c:v>
                </c:pt>
                <c:pt idx="7">
                  <c:v>7418.59545630176</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{1934.94348973766,2108.16700215227,2450.92842033437,3156.22020593888,3861.5119915434,4574.54925526429,5287.58651898517,6847.93426735547}</c:f>
              <c:numCache>
                <c:formatCode>General</c:formatCode>
                <c:ptCount val="8"/>
                <c:pt idx="0">
                  <c:v>1934.94348973766</c:v>
                </c:pt>
                <c:pt idx="1">
                  <c:v>2108.16700215227</c:v>
                </c:pt>
                <c:pt idx="2">
                  <c:v>2450.92842033437</c:v>
                </c:pt>
                <c:pt idx="3">
                  <c:v>3156.22020593888</c:v>
                </c:pt>
                <c:pt idx="4">
                  <c:v>3861.5119915434</c:v>
                </c:pt>
                <c:pt idx="5">
                  <c:v>4574.54925526429</c:v>
                </c:pt>
                <c:pt idx="6">
                  <c:v>5287.58651898517</c:v>
                </c:pt>
                <c:pt idx="7">
                  <c:v>6847.93426735547</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{1862.3831088725,2029.11073957156,2359.01860457183,3037.86194821618,3716.70529186052,4403.00365819187,5089.30202452323,6461.89875718593}</c:f>
              <c:numCache>
                <c:formatCode>General</c:formatCode>
                <c:ptCount val="8"/>
                <c:pt idx="0">
                  <c:v>1862.3831088725</c:v>
                </c:pt>
                <c:pt idx="1">
                  <c:v>2029.11073957156</c:v>
                </c:pt>
                <c:pt idx="2">
                  <c:v>2359.01860457183</c:v>
                </c:pt>
                <c:pt idx="3">
                  <c:v>3037.86194821618</c:v>
                </c:pt>
                <c:pt idx="4">
                  <c:v>3716.70529186052</c:v>
                </c:pt>
                <c:pt idx="5">
                  <c:v>4403.00365819187</c:v>
                </c:pt>
                <c:pt idx="6">
                  <c:v>5089.30202452323</c:v>
                </c:pt>
                <c:pt idx="7">
                  <c:v>6461.89875718593</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5d9ba8b-76ab-42a9-9e37-301377d381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CNG car"</c:f>
          <c:strCache>
            <c:ptCount val="1"/>
            <c:pt idx="0">
              <c:v>Technology possibility curve for a medium size CNG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6688656"/>
        <c:axId val="286689216"/>
      </c:scatterChart>
      <c:valAx>
        <c:axId val="2866886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9216"/>
        <c:crosses val="autoZero"/>
        <c:crossBetween val="midCat"/>
      </c:valAx>
      <c:valAx>
        <c:axId val="286689216"/>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86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2b86563-fc46-4238-ade9-44acd90e028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LPG car"</c:f>
          <c:strCache>
            <c:ptCount val="1"/>
            <c:pt idx="0">
              <c:v>Technology possibility curve for a medium size LPG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04960"/>
        <c:axId val="287105520"/>
      </c:scatterChart>
      <c:valAx>
        <c:axId val="287104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5520"/>
        <c:crosses val="autoZero"/>
        <c:crossBetween val="midCat"/>
      </c:valAx>
      <c:valAx>
        <c:axId val="2871055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4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d8c1ce7-a08e-403f-824b-cbb871b4051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E85 car"</c:f>
          <c:strCache>
            <c:ptCount val="1"/>
            <c:pt idx="0">
              <c:v>Technology possibility curve for a medium size E85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11680"/>
        <c:axId val="287112240"/>
      </c:scatterChart>
      <c:valAx>
        <c:axId val="2871116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2240"/>
        <c:crosses val="autoZero"/>
        <c:crossBetween val="midCat"/>
      </c:valAx>
      <c:valAx>
        <c:axId val="2871122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16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d4bc-19e5-4dc8-a355-397646ee1d5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LCV"</c:f>
          <c:strCache>
            <c:ptCount val="1"/>
            <c:pt idx="0">
              <c:v>Technology possibility curve for a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89983888"/>
        <c:axId val="289984448"/>
      </c:scatterChart>
      <c:valAx>
        <c:axId val="2899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4448"/>
        <c:crosses val="autoZero"/>
        <c:crossBetween val="midCat"/>
      </c:valAx>
      <c:valAx>
        <c:axId val="28998444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055cfb-a73f-4b7a-95a2-6608b65e421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LCV"</c:f>
          <c:strCache>
            <c:ptCount val="1"/>
            <c:pt idx="0">
              <c:v>Technology possibility curve for a diesel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{-220.151040744861,191.783155677684,1242.86752640939,5685.17337433303,15635.1429719316,90187.5157659598,99862.8188626757,99862.8188626757}</c:f>
              <c:numCache>
                <c:formatCode>General</c:formatCode>
                <c:ptCount val="8"/>
                <c:pt idx="0">
                  <c:v>-220.151040744861</c:v>
                </c:pt>
                <c:pt idx="1">
                  <c:v>191.783155677684</c:v>
                </c:pt>
                <c:pt idx="2">
                  <c:v>1242.86752640939</c:v>
                </c:pt>
                <c:pt idx="3">
                  <c:v>5685.17337433303</c:v>
                </c:pt>
                <c:pt idx="4">
                  <c:v>15635.1429719316</c:v>
                </c:pt>
                <c:pt idx="5">
                  <c:v>90187.5157659598</c:v>
                </c:pt>
                <c:pt idx="6">
                  <c:v>99862.8188626757</c:v>
                </c:pt>
                <c:pt idx="7">
                  <c:v>99862.8188626757</c:v>
                </c:pt>
              </c:numCache>
            </c:numRef>
          </c:yVal>
          <c:smooth val="0"/>
        </c:ser>
        <c:ser>
          <c:idx val="2"/>
          <c:order val="1"/>
          <c:tx>
            <c:strRef>
              <c:f>2025</c:f>
              <c:strCache>
                <c:ptCount val="1"/>
                <c:pt idx="0">
                  <c:v>2025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{-359.697251054017,-37.2440378006308,594.111438316139,2174.08576594615,5926.11429696461,16942.6945526568,94362.6539224035,99862.8188626757}</c:f>
              <c:numCache>
                <c:formatCode>General</c:formatCode>
                <c:ptCount val="8"/>
                <c:pt idx="0">
                  <c:v>-359.697251054017</c:v>
                </c:pt>
                <c:pt idx="1">
                  <c:v>-37.2440378006308</c:v>
                </c:pt>
                <c:pt idx="2">
                  <c:v>594.111438316139</c:v>
                </c:pt>
                <c:pt idx="3">
                  <c:v>2174.08576594615</c:v>
                </c:pt>
                <c:pt idx="4">
                  <c:v>5926.11429696461</c:v>
                </c:pt>
                <c:pt idx="5">
                  <c:v>16942.6945526568</c:v>
                </c:pt>
                <c:pt idx="6">
                  <c:v>94362.6539224035</c:v>
                </c:pt>
                <c:pt idx="7">
                  <c:v>99862.8188626757</c:v>
                </c:pt>
              </c:numCache>
            </c:numRef>
          </c:yVal>
          <c:smooth val="0"/>
        </c:ser>
        <c:ser>
          <c:idx val="3"/>
          <c:order val="2"/>
          <c:tx>
            <c:strRef>
              <c:f>2030</c:f>
              <c:strCache>
                <c:ptCount val="1"/>
                <c:pt idx="0">
                  <c:v>2030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4"/>
          <c:order val="3"/>
          <c:tx>
            <c:strRef>
              <c:f>2035</c:f>
              <c:strCache>
                <c:ptCount val="1"/>
                <c:pt idx="0">
                  <c:v>2035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5"/>
          <c:order val="4"/>
          <c:tx>
            <c:strRef>
              <c:f>2040</c:f>
              <c:strCache>
                <c:ptCount val="1"/>
                <c:pt idx="0">
                  <c:v>2040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6"/>
          <c:order val="5"/>
          <c:tx>
            <c:strRef>
              <c:f>2045</c:f>
              <c:strCache>
                <c:ptCount val="1"/>
                <c:pt idx="0">
                  <c:v>2045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7"/>
          <c:order val="6"/>
          <c:tx>
            <c:strRef>
              <c:f>2050</c:f>
              <c:strCache>
                <c:ptCount val="1"/>
                <c:pt idx="0">
                  <c:v>2050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dLbls>
          <c:showLegendKey val="0"/>
          <c:showVal val="0"/>
          <c:showCatName val="0"/>
          <c:showSerName val="0"/>
          <c:showPercent val="0"/>
          <c:showBubbleSize val="0"/>
        </c:dLbls>
        <c:axId val="286846160"/>
        <c:axId val="286846720"/>
      </c:scatterChart>
      <c:valAx>
        <c:axId val="2868461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720"/>
        <c:crosses val="autoZero"/>
        <c:crossBetween val="midCat"/>
      </c:valAx>
      <c:valAx>
        <c:axId val="2868467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1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741334-5811-45f6-a53d-d96382003bd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gasoline LCV"</c:f>
          <c:strCache>
            <c:ptCount val="1"/>
            <c:pt idx="0">
              <c:v>Technology possibility curve for a hybrid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{3629.11224902231,3846.89893540181,4092.31465319788,4562.27794181709,5335.66498685179,29595.8051235494,91390.4125599414,100000}</c:f>
              <c:numCache>
                <c:formatCode>General</c:formatCode>
                <c:ptCount val="8"/>
                <c:pt idx="0">
                  <c:v>3629.11224902231</c:v>
                </c:pt>
                <c:pt idx="1">
                  <c:v>3846.89893540181</c:v>
                </c:pt>
                <c:pt idx="2">
                  <c:v>4092.31465319788</c:v>
                </c:pt>
                <c:pt idx="3">
                  <c:v>4562.27794181709</c:v>
                </c:pt>
                <c:pt idx="4">
                  <c:v>5335.66498685179</c:v>
                </c:pt>
                <c:pt idx="5">
                  <c:v>29595.8051235494</c:v>
                </c:pt>
                <c:pt idx="6">
                  <c:v>91390.4125599414</c:v>
                </c:pt>
                <c:pt idx="7">
                  <c:v>100000</c:v>
                </c:pt>
              </c:numCache>
            </c:numRef>
          </c:yVal>
          <c:smooth val="0"/>
        </c:ser>
        <c:ser>
          <c:idx val="2"/>
          <c:order val="1"/>
          <c:tx>
            <c:strRef>
              <c:f>2025</c:f>
              <c:strCache>
                <c:ptCount val="1"/>
                <c:pt idx="0">
                  <c:v>2025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{2473.70423282266,2669.50276136062,2898.40924556833,3223.72711360667,3714.29842583753,14159.3715744688,90144.2199083782,98501.5999537253}</c:f>
              <c:numCache>
                <c:formatCode>General</c:formatCode>
                <c:ptCount val="8"/>
                <c:pt idx="0">
                  <c:v>2473.70423282266</c:v>
                </c:pt>
                <c:pt idx="1">
                  <c:v>2669.50276136062</c:v>
                </c:pt>
                <c:pt idx="2">
                  <c:v>2898.40924556833</c:v>
                </c:pt>
                <c:pt idx="3">
                  <c:v>3223.72711360667</c:v>
                </c:pt>
                <c:pt idx="4">
                  <c:v>3714.29842583753</c:v>
                </c:pt>
                <c:pt idx="5">
                  <c:v>14159.3715744688</c:v>
                </c:pt>
                <c:pt idx="6">
                  <c:v>90144.2199083782</c:v>
                </c:pt>
                <c:pt idx="7">
                  <c:v>98501.5999537253</c:v>
                </c:pt>
              </c:numCache>
            </c:numRef>
          </c:yVal>
          <c:smooth val="0"/>
        </c:ser>
        <c:ser>
          <c:idx val="3"/>
          <c:order val="2"/>
          <c:tx>
            <c:strRef>
              <c:f>2030</c:f>
              <c:strCache>
                <c:ptCount val="1"/>
                <c:pt idx="0">
                  <c:v>2030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4"/>
          <c:order val="3"/>
          <c:tx>
            <c:strRef>
              <c:f>2035</c:f>
              <c:strCache>
                <c:ptCount val="1"/>
                <c:pt idx="0">
                  <c:v>2035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5"/>
          <c:order val="4"/>
          <c:tx>
            <c:strRef>
              <c:f>2040</c:f>
              <c:strCache>
                <c:ptCount val="1"/>
                <c:pt idx="0">
                  <c:v>2040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6"/>
          <c:order val="5"/>
          <c:tx>
            <c:strRef>
              <c:f>2045</c:f>
              <c:strCache>
                <c:ptCount val="1"/>
                <c:pt idx="0">
                  <c:v>2045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7"/>
          <c:order val="6"/>
          <c:tx>
            <c:strRef>
              <c:f>2050</c:f>
              <c:strCache>
                <c:ptCount val="1"/>
                <c:pt idx="0">
                  <c:v>2050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dLbls>
          <c:showLegendKey val="0"/>
          <c:showVal val="0"/>
          <c:showCatName val="0"/>
          <c:showSerName val="0"/>
          <c:showPercent val="0"/>
          <c:showBubbleSize val="0"/>
        </c:dLbls>
        <c:axId val="286852880"/>
        <c:axId val="286853440"/>
      </c:scatterChart>
      <c:valAx>
        <c:axId val="2868528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3440"/>
        <c:crosses val="autoZero"/>
        <c:crossBetween val="midCat"/>
      </c:valAx>
      <c:valAx>
        <c:axId val="2868534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2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367597-6ad9-4412-9cd4-773640b415b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hybrid LCV"</c:f>
          <c:strCache>
            <c:ptCount val="1"/>
            <c:pt idx="0">
              <c:v>Technology possibility curve for a diesel hybrid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{3584.48722048128,3784.45379904108,3934.78492010876,4178.84965339478,4596.42649399995,14168.4754081021,92977.7073040435,100000}</c:f>
              <c:numCache>
                <c:formatCode>General</c:formatCode>
                <c:ptCount val="8"/>
                <c:pt idx="0">
                  <c:v>3584.48722048128</c:v>
                </c:pt>
                <c:pt idx="1">
                  <c:v>3784.45379904108</c:v>
                </c:pt>
                <c:pt idx="2">
                  <c:v>3934.78492010876</c:v>
                </c:pt>
                <c:pt idx="3">
                  <c:v>4178.84965339478</c:v>
                </c:pt>
                <c:pt idx="4">
                  <c:v>4596.42649399995</c:v>
                </c:pt>
                <c:pt idx="5">
                  <c:v>14168.4754081021</c:v>
                </c:pt>
                <c:pt idx="6">
                  <c:v>92977.7073040435</c:v>
                </c:pt>
                <c:pt idx="7">
                  <c:v>100000</c:v>
                </c:pt>
              </c:numCache>
            </c:numRef>
          </c:yVal>
          <c:smooth val="0"/>
        </c:ser>
        <c:ser>
          <c:idx val="2"/>
          <c:order val="1"/>
          <c:tx>
            <c:strRef>
              <c:f>2025</c:f>
              <c:strCache>
                <c:ptCount val="1"/>
                <c:pt idx="0">
                  <c:v>2025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{2456.63932909557,2607.03107803956,2743.30289016496,2945.19335930014,3187.88436982658,3676.00009606726,18147.5776294278,100000}</c:f>
              <c:numCache>
                <c:formatCode>General</c:formatCode>
                <c:ptCount val="8"/>
                <c:pt idx="0">
                  <c:v>2456.63932909557</c:v>
                </c:pt>
                <c:pt idx="1">
                  <c:v>2607.03107803956</c:v>
                </c:pt>
                <c:pt idx="2">
                  <c:v>2743.30289016496</c:v>
                </c:pt>
                <c:pt idx="3">
                  <c:v>2945.19335930014</c:v>
                </c:pt>
                <c:pt idx="4">
                  <c:v>3187.88436982658</c:v>
                </c:pt>
                <c:pt idx="5">
                  <c:v>3676.00009606726</c:v>
                </c:pt>
                <c:pt idx="6">
                  <c:v>18147.5776294278</c:v>
                </c:pt>
                <c:pt idx="7">
                  <c:v>100000</c:v>
                </c:pt>
              </c:numCache>
            </c:numRef>
          </c:yVal>
          <c:smooth val="0"/>
        </c:ser>
        <c:ser>
          <c:idx val="3"/>
          <c:order val="2"/>
          <c:tx>
            <c:strRef>
              <c:f>2030</c:f>
              <c:strCache>
                <c:ptCount val="1"/>
                <c:pt idx="0">
                  <c:v>2030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4"/>
          <c:order val="3"/>
          <c:tx>
            <c:strRef>
              <c:f>2035</c:f>
              <c:strCache>
                <c:ptCount val="1"/>
                <c:pt idx="0">
                  <c:v>2035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5"/>
          <c:order val="4"/>
          <c:tx>
            <c:strRef>
              <c:f>2040</c:f>
              <c:strCache>
                <c:ptCount val="1"/>
                <c:pt idx="0">
                  <c:v>2040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6"/>
          <c:order val="5"/>
          <c:tx>
            <c:strRef>
              <c:f>2045</c:f>
              <c:strCache>
                <c:ptCount val="1"/>
                <c:pt idx="0">
                  <c:v>2045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7"/>
          <c:order val="6"/>
          <c:tx>
            <c:strRef>
              <c:f>2050</c:f>
              <c:strCache>
                <c:ptCount val="1"/>
                <c:pt idx="0">
                  <c:v>2050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dLbls>
          <c:showLegendKey val="0"/>
          <c:showVal val="0"/>
          <c:showCatName val="0"/>
          <c:showSerName val="0"/>
          <c:showPercent val="0"/>
          <c:showBubbleSize val="0"/>
        </c:dLbls>
        <c:axId val="291296128"/>
        <c:axId val="291296688"/>
      </c:scatterChart>
      <c:valAx>
        <c:axId val="2912961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688"/>
        <c:crosses val="autoZero"/>
        <c:crossBetween val="midCat"/>
      </c:valAx>
      <c:valAx>
        <c:axId val="29129668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1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9018fb5-2679-4500-a916-565bff156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plug-in LCV"</c:f>
          <c:strCache>
            <c:ptCount val="1"/>
            <c:pt idx="0">
              <c:v>Technology possibility curve for a gasoline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{6549.86229903864,6657.56683113888,7299.00400206429,9827.39317777749,23505.0551576755,36902.0488549647,37686.9570969709,69860.8368764385}</c:f>
              <c:numCache>
                <c:formatCode>General</c:formatCode>
                <c:ptCount val="8"/>
                <c:pt idx="0">
                  <c:v>6549.86229903864</c:v>
                </c:pt>
                <c:pt idx="1">
                  <c:v>6657.56683113888</c:v>
                </c:pt>
                <c:pt idx="2">
                  <c:v>7299.00400206429</c:v>
                </c:pt>
                <c:pt idx="3">
                  <c:v>9827.39317777749</c:v>
                </c:pt>
                <c:pt idx="4">
                  <c:v>23505.0551576755</c:v>
                </c:pt>
                <c:pt idx="5">
                  <c:v>36902.0488549647</c:v>
                </c:pt>
                <c:pt idx="6">
                  <c:v>37686.9570969709</c:v>
                </c:pt>
                <c:pt idx="7">
                  <c:v>69860.8368764385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{4584.57570818653,4654.00502855983,5066.26351811234,5181.05522110613,7332.20653096103,22283.7765204191,34829.8570445264,35794.8267372862}</c:f>
              <c:numCache>
                <c:formatCode>General</c:formatCode>
                <c:ptCount val="8"/>
                <c:pt idx="0">
                  <c:v>4584.57570818653</c:v>
                </c:pt>
                <c:pt idx="1">
                  <c:v>4654.00502855983</c:v>
                </c:pt>
                <c:pt idx="2">
                  <c:v>5066.26351811234</c:v>
                </c:pt>
                <c:pt idx="3">
                  <c:v>5181.05522110613</c:v>
                </c:pt>
                <c:pt idx="4">
                  <c:v>7332.20653096103</c:v>
                </c:pt>
                <c:pt idx="5">
                  <c:v>22283.7765204191</c:v>
                </c:pt>
                <c:pt idx="6">
                  <c:v>34829.8570445264</c:v>
                </c:pt>
                <c:pt idx="7">
                  <c:v>35794.8267372862</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{4096.93204643012,4162.73106679747,4525.51571684447,4598.09052292987,4862.18149236103,9171.74822629856,21319.4298235576,34522.2379119806}</c:f>
              <c:numCache>
                <c:formatCode>General</c:formatCode>
                <c:ptCount val="8"/>
                <c:pt idx="0">
                  <c:v>4096.93204643012</c:v>
                </c:pt>
                <c:pt idx="1">
                  <c:v>4162.73106679747</c:v>
                </c:pt>
                <c:pt idx="2">
                  <c:v>4525.51571684447</c:v>
                </c:pt>
                <c:pt idx="3">
                  <c:v>4598.09052292987</c:v>
                </c:pt>
                <c:pt idx="4">
                  <c:v>4862.18149236103</c:v>
                </c:pt>
                <c:pt idx="5">
                  <c:v>9171.74822629856</c:v>
                </c:pt>
                <c:pt idx="6">
                  <c:v>21319.4298235576</c:v>
                </c:pt>
                <c:pt idx="7">
                  <c:v>34522.2379119806</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{3711.98541119507,3771.08814830931,4100.17809810096,4168.46282215588,4416.52491120331,8529.97691931068,20719.2323895625,34064.41277323}</c:f>
              <c:numCache>
                <c:formatCode>General</c:formatCode>
                <c:ptCount val="8"/>
                <c:pt idx="0">
                  <c:v>3711.98541119507</c:v>
                </c:pt>
                <c:pt idx="1">
                  <c:v>3771.08814830931</c:v>
                </c:pt>
                <c:pt idx="2">
                  <c:v>4100.17809810096</c:v>
                </c:pt>
                <c:pt idx="3">
                  <c:v>4168.46282215588</c:v>
                </c:pt>
                <c:pt idx="4">
                  <c:v>4416.52491120331</c:v>
                </c:pt>
                <c:pt idx="5">
                  <c:v>8529.97691931068</c:v>
                </c:pt>
                <c:pt idx="6">
                  <c:v>20719.2323895625</c:v>
                </c:pt>
                <c:pt idx="7">
                  <c:v>34064.41277323</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{3299.54258772895,3351.47073564342,3644.45922087577,3708.14742846946,3939.03571710575,7842.36480468081,20076.163710282,33573.8858388544}</c:f>
              <c:numCache>
                <c:formatCode>General</c:formatCode>
                <c:ptCount val="8"/>
                <c:pt idx="0">
                  <c:v>3299.54258772895</c:v>
                </c:pt>
                <c:pt idx="1">
                  <c:v>3351.47073564342</c:v>
                </c:pt>
                <c:pt idx="2">
                  <c:v>3644.45922087577</c:v>
                </c:pt>
                <c:pt idx="3">
                  <c:v>3708.14742846946</c:v>
                </c:pt>
                <c:pt idx="4">
                  <c:v>3939.03571710575</c:v>
                </c:pt>
                <c:pt idx="5">
                  <c:v>7842.36480468081</c:v>
                </c:pt>
                <c:pt idx="6">
                  <c:v>20076.163710282</c:v>
                </c:pt>
                <c:pt idx="7">
                  <c:v>33573.8858388544</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{3024.58070541821,3071.72579386616,3340.64663605898,3401.27049934518,3620.70958770737,7383.9567282609,19647.4512574284,33246.8678826039}</c:f>
              <c:numCache>
                <c:formatCode>General</c:formatCode>
                <c:ptCount val="8"/>
                <c:pt idx="0">
                  <c:v>3024.58070541821</c:v>
                </c:pt>
                <c:pt idx="1">
                  <c:v>3071.72579386616</c:v>
                </c:pt>
                <c:pt idx="2">
                  <c:v>3340.64663605898</c:v>
                </c:pt>
                <c:pt idx="3">
                  <c:v>3401.27049934518</c:v>
                </c:pt>
                <c:pt idx="4">
                  <c:v>3620.70958770737</c:v>
                </c:pt>
                <c:pt idx="5">
                  <c:v>7383.9567282609</c:v>
                </c:pt>
                <c:pt idx="6">
                  <c:v>19647.4512574284</c:v>
                </c:pt>
                <c:pt idx="7">
                  <c:v>33246.8678826039</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{2749.61882310746,2791.9808520889,3036.83405124219,3094.3935702209,3302.383458309,6925.54865184099,19218.7388045747,32919.8499263535}</c:f>
              <c:numCache>
                <c:formatCode>General</c:formatCode>
                <c:ptCount val="8"/>
                <c:pt idx="0">
                  <c:v>2749.61882310746</c:v>
                </c:pt>
                <c:pt idx="1">
                  <c:v>2791.9808520889</c:v>
                </c:pt>
                <c:pt idx="2">
                  <c:v>3036.83405124219</c:v>
                </c:pt>
                <c:pt idx="3">
                  <c:v>3094.3935702209</c:v>
                </c:pt>
                <c:pt idx="4">
                  <c:v>3302.383458309</c:v>
                </c:pt>
                <c:pt idx="5">
                  <c:v>6925.54865184099</c:v>
                </c:pt>
                <c:pt idx="6">
                  <c:v>19218.7388045747</c:v>
                </c:pt>
                <c:pt idx="7">
                  <c:v>32919.8499263535</c:v>
                </c:pt>
              </c:numCache>
            </c:numRef>
          </c:yVal>
          <c:smooth val="0"/>
        </c:ser>
        <c:dLbls>
          <c:showLegendKey val="0"/>
          <c:showVal val="0"/>
          <c:showCatName val="0"/>
          <c:showSerName val="0"/>
          <c:showPercent val="0"/>
          <c:showBubbleSize val="0"/>
        </c:dLbls>
        <c:axId val="291302848"/>
        <c:axId val="291303408"/>
      </c:scatterChart>
      <c:valAx>
        <c:axId val="2913028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3408"/>
        <c:crosses val="autoZero"/>
        <c:crossBetween val="midCat"/>
      </c:valAx>
      <c:valAx>
        <c:axId val="291303408"/>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28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4a003a1-3dd8-47ff-89dc-82779b1dd7c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plugin LCV"</c:f>
          <c:strCache>
            <c:ptCount val="1"/>
            <c:pt idx="0">
              <c:v>Technology possibility curve for a diesel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{5234.52030079396,5302.9988608997,5698.12550699541,6156.14655008952,10084.1729640588,65778.5659864315,66894.6490272414,68909.6810962036}</c:f>
              <c:numCache>
                <c:formatCode>General</c:formatCode>
                <c:ptCount val="8"/>
                <c:pt idx="0">
                  <c:v>5234.52030079396</c:v>
                </c:pt>
                <c:pt idx="1">
                  <c:v>5302.9988608997</c:v>
                </c:pt>
                <c:pt idx="2">
                  <c:v>5698.12550699541</c:v>
                </c:pt>
                <c:pt idx="3">
                  <c:v>6156.14655008952</c:v>
                </c:pt>
                <c:pt idx="4">
                  <c:v>10084.1729640588</c:v>
                </c:pt>
                <c:pt idx="5">
                  <c:v>65778.5659864315</c:v>
                </c:pt>
                <c:pt idx="6">
                  <c:v>66894.6490272414</c:v>
                </c:pt>
                <c:pt idx="7">
                  <c:v>68909.6810962036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{3634.68392817027,3686.95756256047,3931.02714847205,4094.04263064982,4632.55049902653,32452.3878879399,66894.6490272414,68909.6810962036}</c:f>
              <c:numCache>
                <c:formatCode>General</c:formatCode>
                <c:ptCount val="8"/>
                <c:pt idx="0">
                  <c:v>3634.68392817027</c:v>
                </c:pt>
                <c:pt idx="1">
                  <c:v>3686.95756256047</c:v>
                </c:pt>
                <c:pt idx="2">
                  <c:v>3931.02714847205</c:v>
                </c:pt>
                <c:pt idx="3">
                  <c:v>4094.04263064982</c:v>
                </c:pt>
                <c:pt idx="4">
                  <c:v>4632.55049902653</c:v>
                </c:pt>
                <c:pt idx="5">
                  <c:v>32452.3878879399</c:v>
                </c:pt>
                <c:pt idx="6">
                  <c:v>66894.6490272414</c:v>
                </c:pt>
                <c:pt idx="7">
                  <c:v>68909.6810962036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{3302.28970477701,3357.18628215334,3573.93682408611,3682.83249890646,4007.29727717913,8386.13262259437,38688.5162557984,68909.6810962036}</c:f>
              <c:numCache>
                <c:formatCode>General</c:formatCode>
                <c:ptCount val="8"/>
                <c:pt idx="0">
                  <c:v>3302.28970477701</c:v>
                </c:pt>
                <c:pt idx="1">
                  <c:v>3357.18628215334</c:v>
                </c:pt>
                <c:pt idx="2">
                  <c:v>3573.93682408611</c:v>
                </c:pt>
                <c:pt idx="3">
                  <c:v>3682.83249890646</c:v>
                </c:pt>
                <c:pt idx="4">
                  <c:v>4007.29727717913</c:v>
                </c:pt>
                <c:pt idx="5">
                  <c:v>8386.13262259437</c:v>
                </c:pt>
                <c:pt idx="6">
                  <c:v>38688.5162557984</c:v>
                </c:pt>
                <c:pt idx="7">
                  <c:v>68909.6810962036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{2992.00745063689,3040.25487341335,3236.94578473048,3340.27347143542,3650.79402234146,7867.80130233001,38201.3123637628,68909.6810962036}</c:f>
              <c:numCache>
                <c:formatCode>General</c:formatCode>
                <c:ptCount val="8"/>
                <c:pt idx="0">
                  <c:v>2992.00745063689</c:v>
                </c:pt>
                <c:pt idx="1">
                  <c:v>3040.25487341335</c:v>
                </c:pt>
                <c:pt idx="2">
                  <c:v>3236.94578473048</c:v>
                </c:pt>
                <c:pt idx="3">
                  <c:v>3340.27347143542</c:v>
                </c:pt>
                <c:pt idx="4">
                  <c:v>3650.79402234146</c:v>
                </c:pt>
                <c:pt idx="5">
                  <c:v>7867.80130233001</c:v>
                </c:pt>
                <c:pt idx="6">
                  <c:v>38201.3123637628</c:v>
                </c:pt>
                <c:pt idx="7">
                  <c:v>68909.6810962036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{2659.5621783439,2700.68550690622,2875.88395684945,2973.24594200216,3268.82624930109,7312.44631633247,37679.3081937245,68909.6810962036}</c:f>
              <c:numCache>
                <c:formatCode>General</c:formatCode>
                <c:ptCount val="8"/>
                <c:pt idx="0">
                  <c:v>2659.5621783439</c:v>
                </c:pt>
                <c:pt idx="1">
                  <c:v>2700.68550690622</c:v>
                </c:pt>
                <c:pt idx="2">
                  <c:v>2875.88395684945</c:v>
                </c:pt>
                <c:pt idx="3">
                  <c:v>2973.24594200216</c:v>
                </c:pt>
                <c:pt idx="4">
                  <c:v>3268.82624930109</c:v>
                </c:pt>
                <c:pt idx="5">
                  <c:v>7312.44631633247</c:v>
                </c:pt>
                <c:pt idx="6">
                  <c:v>37679.3081937245</c:v>
                </c:pt>
                <c:pt idx="7">
                  <c:v>68909.6810962036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{2437.93199681524,2474.30592923479,2635.17607159543,2728.56092237999,3014.18106727418,6942.20965900078,37331.305413699,68909.6810962036}</c:f>
              <c:numCache>
                <c:formatCode>General</c:formatCode>
                <c:ptCount val="8"/>
                <c:pt idx="0">
                  <c:v>2437.93199681524</c:v>
                </c:pt>
                <c:pt idx="1">
                  <c:v>2474.30592923479</c:v>
                </c:pt>
                <c:pt idx="2">
                  <c:v>2635.17607159543</c:v>
                </c:pt>
                <c:pt idx="3">
                  <c:v>2728.56092237999</c:v>
                </c:pt>
                <c:pt idx="4">
                  <c:v>3014.18106727418</c:v>
                </c:pt>
                <c:pt idx="5">
                  <c:v>6942.20965900078</c:v>
                </c:pt>
                <c:pt idx="6">
                  <c:v>37331.305413699</c:v>
                </c:pt>
                <c:pt idx="7">
                  <c:v>68909.6810962036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{2216.30181528658,2247.92635156337,2394.46818634141,2483.87590275781,2759.53588524727,6571.97300166909,36983.3026336735,68909.6810962036}</c:f>
              <c:numCache>
                <c:formatCode>General</c:formatCode>
                <c:ptCount val="8"/>
                <c:pt idx="0">
                  <c:v>2216.30181528658</c:v>
                </c:pt>
                <c:pt idx="1">
                  <c:v>2247.92635156337</c:v>
                </c:pt>
                <c:pt idx="2">
                  <c:v>2394.46818634141</c:v>
                </c:pt>
                <c:pt idx="3">
                  <c:v>2483.87590275781</c:v>
                </c:pt>
                <c:pt idx="4">
                  <c:v>2759.53588524727</c:v>
                </c:pt>
                <c:pt idx="5">
                  <c:v>6571.97300166909</c:v>
                </c:pt>
                <c:pt idx="6">
                  <c:v>36983.3026336735</c:v>
                </c:pt>
                <c:pt idx="7">
                  <c:v>68909.6810962036</c:v>
                </c:pt>
              </c:numCache>
            </c:numRef>
          </c:yVal>
          <c:smooth val="0"/>
        </c:ser>
        <c:dLbls>
          <c:showLegendKey val="0"/>
          <c:showVal val="0"/>
          <c:showCatName val="0"/>
          <c:showSerName val="0"/>
          <c:showPercent val="0"/>
          <c:showBubbleSize val="0"/>
        </c:dLbls>
        <c:axId val="291309568"/>
        <c:axId val="291384032"/>
      </c:scatterChart>
      <c:valAx>
        <c:axId val="2913095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84032"/>
        <c:crosses val="autoZero"/>
        <c:crossBetween val="midCat"/>
      </c:valAx>
      <c:valAx>
        <c:axId val="291384032"/>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95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b33524e-64fb-46e6-89b8-9e05ded32f2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BEV LCV"</c:f>
          <c:strCache>
            <c:ptCount val="1"/>
            <c:pt idx="0">
              <c:v>Technology possibility curve for a BEV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{5441.14160146645,7530.59349168537,9620.04538190428,12325.9744616338,15031.9035413633,18710.8472561819,22668.5860698338,31420.4489936376}</c:f>
              <c:numCache>
                <c:formatCode>General</c:formatCode>
                <c:ptCount val="8"/>
                <c:pt idx="0">
                  <c:v>5441.14160146645</c:v>
                </c:pt>
                <c:pt idx="1">
                  <c:v>7530.59349168537</c:v>
                </c:pt>
                <c:pt idx="2">
                  <c:v>9620.04538190428</c:v>
                </c:pt>
                <c:pt idx="3">
                  <c:v>12325.9744616338</c:v>
                </c:pt>
                <c:pt idx="4">
                  <c:v>15031.9035413633</c:v>
                </c:pt>
                <c:pt idx="5">
                  <c:v>18710.8472561819</c:v>
                </c:pt>
                <c:pt idx="6">
                  <c:v>22668.5860698338</c:v>
                </c:pt>
                <c:pt idx="7">
                  <c:v>31420.4489936376</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{3954.69359616645,5968.50495488865,7628.27707738262,9721.95564511618,11815.6342128497,14381.5070393472,17398.3919481708,23872.2238586693}</c:f>
              <c:numCache>
                <c:formatCode>General</c:formatCode>
                <c:ptCount val="8"/>
                <c:pt idx="0">
                  <c:v>3954.69359616645</c:v>
                </c:pt>
                <c:pt idx="1">
                  <c:v>5968.50495488865</c:v>
                </c:pt>
                <c:pt idx="2">
                  <c:v>7628.27707738262</c:v>
                </c:pt>
                <c:pt idx="3">
                  <c:v>9721.95564511618</c:v>
                </c:pt>
                <c:pt idx="4">
                  <c:v>11815.6342128497</c:v>
                </c:pt>
                <c:pt idx="5">
                  <c:v>14381.5070393472</c:v>
                </c:pt>
                <c:pt idx="6">
                  <c:v>17398.3919481708</c:v>
                </c:pt>
                <c:pt idx="7">
                  <c:v>23872.2238586693</c:v>
                </c:pt>
              </c:numCache>
            </c:numRef>
          </c:yVal>
          <c:smooth val="0"/>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{2550.76744860255,4355.61576320172,5444.92909716735,6935.22126495895,8425.51343275055,10227.1544900233,12119.0213135653,16606.6491949787}</c:f>
              <c:numCache>
                <c:formatCode>General</c:formatCode>
                <c:ptCount val="8"/>
                <c:pt idx="0">
                  <c:v>2550.76744860255</c:v>
                </c:pt>
                <c:pt idx="1">
                  <c:v>4355.61576320172</c:v>
                </c:pt>
                <c:pt idx="2">
                  <c:v>5444.92909716735</c:v>
                </c:pt>
                <c:pt idx="3">
                  <c:v>6935.22126495895</c:v>
                </c:pt>
                <c:pt idx="4">
                  <c:v>8425.51343275055</c:v>
                </c:pt>
                <c:pt idx="5">
                  <c:v>10227.1544900233</c:v>
                </c:pt>
                <c:pt idx="6">
                  <c:v>12119.0213135653</c:v>
                </c:pt>
                <c:pt idx="7">
                  <c:v>16606.6491949787</c:v>
                </c:pt>
              </c:numCache>
            </c:numRef>
          </c:yVal>
          <c:smooth val="0"/>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{2202.93552379311,3761.66815912876,4702.43876573544,5989.50927428273,7276.57978283002,8575.28399428254,10071.4679698498,13344.3943926449}</c:f>
              <c:numCache>
                <c:formatCode>General</c:formatCode>
                <c:ptCount val="8"/>
                <c:pt idx="0">
                  <c:v>2202.93552379311</c:v>
                </c:pt>
                <c:pt idx="1">
                  <c:v>3761.66815912876</c:v>
                </c:pt>
                <c:pt idx="2">
                  <c:v>4702.43876573544</c:v>
                </c:pt>
                <c:pt idx="3">
                  <c:v>5989.50927428273</c:v>
                </c:pt>
                <c:pt idx="4">
                  <c:v>7276.57978283002</c:v>
                </c:pt>
                <c:pt idx="5">
                  <c:v>8575.28399428254</c:v>
                </c:pt>
                <c:pt idx="6">
                  <c:v>10071.4679698498</c:v>
                </c:pt>
                <c:pt idx="7">
                  <c:v>13344.3943926449</c:v>
                </c:pt>
              </c:numCache>
            </c:numRef>
          </c:yVal>
          <c:smooth val="0"/>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{1971.04757392015,3365.70308974679,4207.4452114475,5359.03461383192,6510.62401621633,7672.62252120016,8834.621026184,11604.9627575977}</c:f>
              <c:numCache>
                <c:formatCode>General</c:formatCode>
                <c:ptCount val="8"/>
                <c:pt idx="0">
                  <c:v>1971.04757392015</c:v>
                </c:pt>
                <c:pt idx="1">
                  <c:v>3365.70308974679</c:v>
                </c:pt>
                <c:pt idx="2">
                  <c:v>4207.4452114475</c:v>
                </c:pt>
                <c:pt idx="3">
                  <c:v>5359.03461383192</c:v>
                </c:pt>
                <c:pt idx="4">
                  <c:v>6510.62401621633</c:v>
                </c:pt>
                <c:pt idx="5">
                  <c:v>7672.62252120016</c:v>
                </c:pt>
                <c:pt idx="6">
                  <c:v>8834.621026184</c:v>
                </c:pt>
                <c:pt idx="7">
                  <c:v>11604.9627575977</c:v>
                </c:pt>
              </c:numCache>
            </c:numRef>
          </c:yVal>
          <c:smooth val="0"/>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{1855.10359898367,3167.7205550558,3959.94843430353,5043.79728360651,6127.64613290949,7221.29178465898,8314.93743640847,10712.2733147056}</c:f>
              <c:numCache>
                <c:formatCode>General</c:formatCode>
                <c:ptCount val="8"/>
                <c:pt idx="0">
                  <c:v>1855.10359898367</c:v>
                </c:pt>
                <c:pt idx="1">
                  <c:v>3167.7205550558</c:v>
                </c:pt>
                <c:pt idx="2">
                  <c:v>3959.94843430353</c:v>
                </c:pt>
                <c:pt idx="3">
                  <c:v>5043.79728360651</c:v>
                </c:pt>
                <c:pt idx="4">
                  <c:v>6127.64613290949</c:v>
                </c:pt>
                <c:pt idx="5">
                  <c:v>7221.29178465898</c:v>
                </c:pt>
                <c:pt idx="6">
                  <c:v>8314.93743640847</c:v>
                </c:pt>
                <c:pt idx="7">
                  <c:v>10712.2733147056</c:v>
                </c:pt>
              </c:numCache>
            </c:numRef>
          </c:yVal>
          <c:smooth val="0"/>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{1785.53721402179,3048.93103424121,3811.45036801715,4854.65488547127,5897.85940292538,6950.49334273427,8003.12728254315,10108.3951621609}</c:f>
              <c:numCache>
                <c:formatCode>General</c:formatCode>
                <c:ptCount val="8"/>
                <c:pt idx="0">
                  <c:v>1785.53721402179</c:v>
                </c:pt>
                <c:pt idx="1">
                  <c:v>3048.93103424121</c:v>
                </c:pt>
                <c:pt idx="2">
                  <c:v>3811.45036801715</c:v>
                </c:pt>
                <c:pt idx="3">
                  <c:v>4854.65488547127</c:v>
                </c:pt>
                <c:pt idx="4">
                  <c:v>5897.85940292538</c:v>
                </c:pt>
                <c:pt idx="5">
                  <c:v>6950.49334273427</c:v>
                </c:pt>
                <c:pt idx="6">
                  <c:v>8003.12728254315</c:v>
                </c:pt>
                <c:pt idx="7">
                  <c:v>10108.3951621609</c:v>
                </c:pt>
              </c:numCache>
            </c:numRef>
          </c:yVal>
          <c:smooth val="0"/>
        </c:ser>
        <c:dLbls>
          <c:showLegendKey val="0"/>
          <c:showVal val="0"/>
          <c:showCatName val="0"/>
          <c:showSerName val="0"/>
          <c:showPercent val="0"/>
          <c:showBubbleSize val="0"/>
        </c:dLbls>
        <c:axId val="291390192"/>
        <c:axId val="291390752"/>
      </c:scatterChart>
      <c:valAx>
        <c:axId val="291390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752"/>
        <c:crosses val="autoZero"/>
        <c:crossBetween val="midCat"/>
      </c:valAx>
      <c:valAx>
        <c:axId val="291390752"/>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52e6ab7-9e97-40f2-8ed3-f5d13bc65d6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CNG LCV"</c:f>
          <c:strCache>
            <c:ptCount val="1"/>
            <c:pt idx="0">
              <c:v>Technology possibility curve for a CNG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03632"/>
        <c:axId val="291404192"/>
      </c:scatterChart>
      <c:valAx>
        <c:axId val="29140363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4192"/>
        <c:crosses val="autoZero"/>
        <c:crossBetween val="midCat"/>
      </c:valAx>
      <c:valAx>
        <c:axId val="29140419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3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e21a65-7932-4306-abf1-682fdefa27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LCV"</c:f>
          <c:strCache>
            <c:ptCount val="1"/>
            <c:pt idx="0">
              <c:v>Technology possibility curve for an LPG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10352"/>
        <c:axId val="291410912"/>
      </c:scatterChart>
      <c:valAx>
        <c:axId val="29141035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912"/>
        <c:crosses val="autoZero"/>
        <c:crossBetween val="midCat"/>
      </c:valAx>
      <c:valAx>
        <c:axId val="29141091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35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3581224-207e-4368-b635-ecdbd1eaca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1f9e3ee-699d-4117-b80f-49287c4e8b4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035c34c-dec2-48b5-8bf2-1e651f5ff2a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bda8e1-afbd-438d-b731-20bc24b0d26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5a486e-299c-4ba9-a422-df4a3b7705d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b570539-a879-4e7c-9671-68a2b98b85c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1801a4-ccec-4bbe-80e0-c89acf2918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79be-7168-487c-bc19-eb8aae0009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54748ef-b7c2-4fc9-8130-ce1864948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44e5cb6-2976-4e85-a163-8c2acfae179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7960a1b-f934-48a8-8067-23acbd8104a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50-250 cc"</c:f>
          <c:strCache>
            <c:ptCount val="1"/>
            <c:pt idx="0">
              <c:v>Technology possibility curve for a 4-stroke MC 50-250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{-36.1329080957271,16.1270919042729,94.3026515996532,139.610772859892,331.393553287184,397.252468517916,901.005643736642,2203.39165843121}</c:f>
              <c:numCache>
                <c:formatCode>General</c:formatCode>
                <c:ptCount val="8"/>
                <c:pt idx="0">
                  <c:v>-36.1329080957271</c:v>
                </c:pt>
                <c:pt idx="1">
                  <c:v>16.1270919042729</c:v>
                </c:pt>
                <c:pt idx="2">
                  <c:v>94.3026515996532</c:v>
                </c:pt>
                <c:pt idx="3">
                  <c:v>139.610772859892</c:v>
                </c:pt>
                <c:pt idx="4">
                  <c:v>331.393553287184</c:v>
                </c:pt>
                <c:pt idx="5">
                  <c:v>397.252468517916</c:v>
                </c:pt>
                <c:pt idx="6">
                  <c:v>901.005643736642</c:v>
                </c:pt>
                <c:pt idx="7">
                  <c:v>2203.39165843121</c:v>
                </c:pt>
              </c:numCache>
            </c:numRef>
          </c:yVal>
          <c:smooth val="0"/>
        </c:ser>
        <c:ser>
          <c:idx val="2"/>
          <c:order val="1"/>
          <c:tx>
            <c:strRef>
              <c:f>2025</c:f>
              <c:strCache>
                <c:ptCount val="1"/>
                <c:pt idx="0">
                  <c:v>2025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{-36.1329080957271,16.1270919042729,68.3870919042729,120.647091904273,185.916452868796,233.734718314846,441.800613557635,1143.99573978841}</c:f>
              <c:numCache>
                <c:formatCode>General</c:formatCode>
                <c:ptCount val="8"/>
                <c:pt idx="0">
                  <c:v>-36.1329080957271</c:v>
                </c:pt>
                <c:pt idx="1">
                  <c:v>16.1270919042729</c:v>
                </c:pt>
                <c:pt idx="2">
                  <c:v>68.3870919042729</c:v>
                </c:pt>
                <c:pt idx="3">
                  <c:v>120.647091904273</c:v>
                </c:pt>
                <c:pt idx="4">
                  <c:v>185.916452868796</c:v>
                </c:pt>
                <c:pt idx="5">
                  <c:v>233.734718314846</c:v>
                </c:pt>
                <c:pt idx="6">
                  <c:v>441.800613557635</c:v>
                </c:pt>
                <c:pt idx="7">
                  <c:v>1143.99573978841</c:v>
                </c:pt>
              </c:numCache>
            </c:numRef>
          </c:yVal>
          <c:smooth val="0"/>
        </c:ser>
        <c:ser>
          <c:idx val="3"/>
          <c:order val="2"/>
          <c:tx>
            <c:strRef>
              <c:f>2030</c:f>
              <c:strCache>
                <c:ptCount val="1"/>
                <c:pt idx="0">
                  <c:v>2030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{-36.1329080957271,16.1270919042729,68.3870919042729,120.647091904273,172.907091904273,225.167091904273,280.437697969745,483.49012866923}</c:f>
              <c:numCache>
                <c:formatCode>General</c:formatCode>
                <c:ptCount val="8"/>
                <c:pt idx="0">
                  <c:v>-36.1329080957271</c:v>
                </c:pt>
                <c:pt idx="1">
                  <c:v>16.1270919042729</c:v>
                </c:pt>
                <c:pt idx="2">
                  <c:v>68.3870919042729</c:v>
                </c:pt>
                <c:pt idx="3">
                  <c:v>120.647091904273</c:v>
                </c:pt>
                <c:pt idx="4">
                  <c:v>172.907091904273</c:v>
                </c:pt>
                <c:pt idx="5">
                  <c:v>225.167091904273</c:v>
                </c:pt>
                <c:pt idx="6">
                  <c:v>280.437697969745</c:v>
                </c:pt>
                <c:pt idx="7">
                  <c:v>483.49012866923</c:v>
                </c:pt>
              </c:numCache>
            </c:numRef>
          </c:yVal>
          <c:smooth val="0"/>
        </c:ser>
        <c:ser>
          <c:idx val="4"/>
          <c:order val="3"/>
          <c:tx>
            <c:strRef>
              <c:f>2035</c:f>
              <c:strCache>
                <c:ptCount val="1"/>
                <c:pt idx="0">
                  <c:v>2035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{-36.1329080957271,16.1270919042729,68.3870919042729,120.647091904273,172.907091904273,225.167091904273,277.427091904273,330.723408614294}</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330.723408614294</c:v>
                </c:pt>
              </c:numCache>
            </c:numRef>
          </c:yVal>
          <c:smooth val="1"/>
        </c:ser>
        <c:ser>
          <c:idx val="5"/>
          <c:order val="4"/>
          <c:tx>
            <c:strRef>
              <c:f>2040</c:f>
              <c:strCache>
                <c:ptCount val="1"/>
                <c:pt idx="0">
                  <c:v>2040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6"/>
          <c:order val="5"/>
          <c:tx>
            <c:strRef>
              <c:f>2045</c:f>
              <c:strCache>
                <c:ptCount val="1"/>
                <c:pt idx="0">
                  <c:v>2045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7"/>
          <c:order val="6"/>
          <c:tx>
            <c:strRef>
              <c:f>2050</c:f>
              <c:strCache>
                <c:ptCount val="1"/>
                <c:pt idx="0">
                  <c:v>2050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dLbls>
          <c:showLegendKey val="0"/>
          <c:showVal val="0"/>
          <c:showCatName val="0"/>
          <c:showSerName val="0"/>
          <c:showPercent val="0"/>
          <c:showBubbleSize val="0"/>
        </c:dLbls>
        <c:axId val="293420640"/>
        <c:axId val="293421200"/>
      </c:scatterChart>
      <c:valAx>
        <c:axId val="29342064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1200"/>
        <c:crosses val="autoZero"/>
        <c:crossBetween val="midCat"/>
      </c:valAx>
      <c:valAx>
        <c:axId val="29342120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064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0810070-8595-4186-8394-7590b2186b3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250-750 cc"</c:f>
          <c:strCache>
            <c:ptCount val="1"/>
            <c:pt idx="0">
              <c:v>Technology possibility curve for a 4-stroke MC 250-750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{-62.4447730388044,35.5427269611956,182.121901390034,267.074628752981,626.667342054154,750.152808111776,1694.69001164689,4136.6637891992}</c:f>
              <c:numCache>
                <c:formatCode>General</c:formatCode>
                <c:ptCount val="8"/>
                <c:pt idx="0">
                  <c:v>-62.4447730388044</c:v>
                </c:pt>
                <c:pt idx="1">
                  <c:v>35.5427269611956</c:v>
                </c:pt>
                <c:pt idx="2">
                  <c:v>182.121901390034</c:v>
                </c:pt>
                <c:pt idx="3">
                  <c:v>267.074628752981</c:v>
                </c:pt>
                <c:pt idx="4">
                  <c:v>626.667342054154</c:v>
                </c:pt>
                <c:pt idx="5">
                  <c:v>750.152808111776</c:v>
                </c:pt>
                <c:pt idx="6">
                  <c:v>1694.69001164689</c:v>
                </c:pt>
                <c:pt idx="7">
                  <c:v>4136.6637891992</c:v>
                </c:pt>
              </c:numCache>
            </c:numRef>
          </c:yVal>
          <c:smooth val="0"/>
        </c:ser>
        <c:ser>
          <c:idx val="2"/>
          <c:order val="1"/>
          <c:tx>
            <c:strRef>
              <c:f>2025</c:f>
              <c:strCache>
                <c:ptCount val="1"/>
                <c:pt idx="0">
                  <c:v>2025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{-62.4447730388044,35.5427269611956,133.530226961195,231.517726961196,353.897778769676,443.55702648102,833.680580061249,2150.29644174396}</c:f>
              <c:numCache>
                <c:formatCode>General</c:formatCode>
                <c:ptCount val="8"/>
                <c:pt idx="0">
                  <c:v>-62.4447730388044</c:v>
                </c:pt>
                <c:pt idx="1">
                  <c:v>35.5427269611956</c:v>
                </c:pt>
                <c:pt idx="2">
                  <c:v>133.530226961195</c:v>
                </c:pt>
                <c:pt idx="3">
                  <c:v>231.517726961196</c:v>
                </c:pt>
                <c:pt idx="4">
                  <c:v>353.897778769676</c:v>
                </c:pt>
                <c:pt idx="5">
                  <c:v>443.55702648102</c:v>
                </c:pt>
                <c:pt idx="6">
                  <c:v>833.680580061249</c:v>
                </c:pt>
                <c:pt idx="7">
                  <c:v>2150.29644174396</c:v>
                </c:pt>
              </c:numCache>
            </c:numRef>
          </c:yVal>
          <c:smooth val="0"/>
        </c:ser>
        <c:ser>
          <c:idx val="3"/>
          <c:order val="2"/>
          <c:tx>
            <c:strRef>
              <c:f>2030</c:f>
              <c:strCache>
                <c:ptCount val="1"/>
                <c:pt idx="0">
                  <c:v>2030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{-62.4447730388044,35.5427269611956,133.530226961195,231.517726961196,329.505226961196,427.492726961195,531.125113333957,911.848420895489}</c:f>
              <c:numCache>
                <c:formatCode>General</c:formatCode>
                <c:ptCount val="8"/>
                <c:pt idx="0">
                  <c:v>-62.4447730388044</c:v>
                </c:pt>
                <c:pt idx="1">
                  <c:v>35.5427269611956</c:v>
                </c:pt>
                <c:pt idx="2">
                  <c:v>133.530226961195</c:v>
                </c:pt>
                <c:pt idx="3">
                  <c:v>231.517726961196</c:v>
                </c:pt>
                <c:pt idx="4">
                  <c:v>329.505226961196</c:v>
                </c:pt>
                <c:pt idx="5">
                  <c:v>427.492726961195</c:v>
                </c:pt>
                <c:pt idx="6">
                  <c:v>531.125113333957</c:v>
                </c:pt>
                <c:pt idx="7">
                  <c:v>911.848420895489</c:v>
                </c:pt>
              </c:numCache>
            </c:numRef>
          </c:yVal>
          <c:smooth val="0"/>
        </c:ser>
        <c:ser>
          <c:idx val="4"/>
          <c:order val="3"/>
          <c:tx>
            <c:strRef>
              <c:f>2035</c:f>
              <c:strCache>
                <c:ptCount val="1"/>
                <c:pt idx="0">
                  <c:v>2035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{-62.4447730388044,35.5427269611956,133.530226961195,231.517726961196,329.505226961196,427.492726961195,525.480226961196,625.410820792484}</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625.410820792484</c:v>
                </c:pt>
              </c:numCache>
            </c:numRef>
          </c:yVal>
          <c:smooth val="1"/>
        </c:ser>
        <c:ser>
          <c:idx val="5"/>
          <c:order val="4"/>
          <c:tx>
            <c:strRef>
              <c:f>2040</c:f>
              <c:strCache>
                <c:ptCount val="1"/>
                <c:pt idx="0">
                  <c:v>2040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6"/>
          <c:order val="5"/>
          <c:tx>
            <c:strRef>
              <c:f>2045</c:f>
              <c:strCache>
                <c:ptCount val="1"/>
                <c:pt idx="0">
                  <c:v>2045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7"/>
          <c:order val="6"/>
          <c:tx>
            <c:strRef>
              <c:f>2050</c:f>
              <c:strCache>
                <c:ptCount val="1"/>
                <c:pt idx="0">
                  <c:v>2050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dLbls>
          <c:showLegendKey val="0"/>
          <c:showVal val="0"/>
          <c:showCatName val="0"/>
          <c:showSerName val="0"/>
          <c:showPercent val="0"/>
          <c:showBubbleSize val="0"/>
        </c:dLbls>
        <c:axId val="293427360"/>
        <c:axId val="293427920"/>
      </c:scatterChart>
      <c:valAx>
        <c:axId val="2934273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920"/>
        <c:crosses val="autoZero"/>
        <c:crossBetween val="midCat"/>
      </c:valAx>
      <c:valAx>
        <c:axId val="2934279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3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755afe4-f8eb-4a25-95b7-d1837a0e0ff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&gt; 750 cc"</c:f>
          <c:strCache>
            <c:ptCount val="1"/>
            <c:pt idx="0">
              <c:v>Technology possibility curve for a 4-stroke MC &gt; 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3434080"/>
        <c:axId val="293434640"/>
      </c:scatterChart>
      <c:valAx>
        <c:axId val="2934340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640"/>
        <c:crosses val="autoZero"/>
        <c:crossBetween val="midCat"/>
      </c:valAx>
      <c:valAx>
        <c:axId val="2934346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0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51741e-79db-42a8-a422-025c0610b9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moped"</c:f>
          <c:strCache>
            <c:ptCount val="1"/>
            <c:pt idx="0">
              <c:v>Technology possibility curve for a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4276672"/>
        <c:axId val="294277232"/>
      </c:scatterChart>
      <c:valAx>
        <c:axId val="2942766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7232"/>
        <c:crosses val="autoZero"/>
        <c:crossBetween val="midCat"/>
      </c:valAx>
      <c:valAx>
        <c:axId val="29427723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66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b50897e-8a16-4b81-9ebe-8b5ff7cb408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50-250cc)"</c:f>
          <c:strCache>
            <c:ptCount val="1"/>
            <c:pt idx="0">
              <c:v>Technology possibility curve for an  electric MC (equivalent to 50-250cc)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{3687.80487804878,4039.0243902439,4207.31707317073,4267.31707317073,4456.09756097561,4627.31707317073,4877.56097560975,5121.9512195122}</c:f>
              <c:numCache>
                <c:formatCode>General</c:formatCode>
                <c:ptCount val="8"/>
                <c:pt idx="0">
                  <c:v>3687.80487804878</c:v>
                </c:pt>
                <c:pt idx="1">
                  <c:v>4039.0243902439</c:v>
                </c:pt>
                <c:pt idx="2">
                  <c:v>4207.31707317073</c:v>
                </c:pt>
                <c:pt idx="3">
                  <c:v>4267.31707317073</c:v>
                </c:pt>
                <c:pt idx="4">
                  <c:v>4456.09756097561</c:v>
                </c:pt>
                <c:pt idx="5">
                  <c:v>4627.31707317073</c:v>
                </c:pt>
                <c:pt idx="6">
                  <c:v>4877.56097560975</c:v>
                </c:pt>
                <c:pt idx="7">
                  <c:v>5121.9512195122</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{2819.12195121951,3087.60975609756,3216.26016260163,3262.12682926829,3406.43902439024,3537.32682926829,3728.6243902439,3915.44715447155}</c:f>
              <c:numCache>
                <c:formatCode>General</c:formatCode>
                <c:ptCount val="8"/>
                <c:pt idx="0">
                  <c:v>2819.12195121951</c:v>
                </c:pt>
                <c:pt idx="1">
                  <c:v>3087.60975609756</c:v>
                </c:pt>
                <c:pt idx="2">
                  <c:v>3216.26016260163</c:v>
                </c:pt>
                <c:pt idx="3">
                  <c:v>3262.12682926829</c:v>
                </c:pt>
                <c:pt idx="4">
                  <c:v>3406.43902439024</c:v>
                </c:pt>
                <c:pt idx="5">
                  <c:v>3537.32682926829</c:v>
                </c:pt>
                <c:pt idx="6">
                  <c:v>3728.6243902439</c:v>
                </c:pt>
                <c:pt idx="7">
                  <c:v>3915.44715447155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{2075.81751588219,2273.51442215668,2368.24418974655,2402.01741123511,2508.27949835765,2604.65674016646,2745.51578588704,2883.07988316971}</c:f>
              <c:numCache>
                <c:formatCode>General</c:formatCode>
                <c:ptCount val="8"/>
                <c:pt idx="0">
                  <c:v>2075.81751588219</c:v>
                </c:pt>
                <c:pt idx="1">
                  <c:v>2273.51442215668</c:v>
                </c:pt>
                <c:pt idx="2">
                  <c:v>2368.24418974655</c:v>
                </c:pt>
                <c:pt idx="3">
                  <c:v>2402.01741123511</c:v>
                </c:pt>
                <c:pt idx="4">
                  <c:v>2508.27949835765</c:v>
                </c:pt>
                <c:pt idx="5">
                  <c:v>2604.65674016646</c:v>
                </c:pt>
                <c:pt idx="6">
                  <c:v>2745.51578588704</c:v>
                </c:pt>
                <c:pt idx="7">
                  <c:v>2883.07988316971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{1438.64967520454,1575.66392998593,1641.31659373534,1664.72319559383,1738.36835753882,1805.16280674475,1902.78546327649,1998.1245488952}</c:f>
              <c:numCache>
                <c:formatCode>General</c:formatCode>
                <c:ptCount val="8"/>
                <c:pt idx="0">
                  <c:v>1438.64967520454</c:v>
                </c:pt>
                <c:pt idx="1">
                  <c:v>1575.66392998593</c:v>
                </c:pt>
                <c:pt idx="2">
                  <c:v>1641.31659373534</c:v>
                </c:pt>
                <c:pt idx="3">
                  <c:v>1664.72319559383</c:v>
                </c:pt>
                <c:pt idx="4">
                  <c:v>1738.36835753882</c:v>
                </c:pt>
                <c:pt idx="5">
                  <c:v>1805.16280674475</c:v>
                </c:pt>
                <c:pt idx="6">
                  <c:v>1902.78546327649</c:v>
                </c:pt>
                <c:pt idx="7">
                  <c:v>1998.1245488952</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{1253.19903701093,1372.55132625007,1429.74096484382,1450.1303142555,1514.28216972154,1572.46641072562,1657.5049168085,1740.55421807074}</c:f>
              <c:numCache>
                <c:formatCode>General</c:formatCode>
                <c:ptCount val="8"/>
                <c:pt idx="0">
                  <c:v>1253.19903701093</c:v>
                </c:pt>
                <c:pt idx="1">
                  <c:v>1372.55132625007</c:v>
                </c:pt>
                <c:pt idx="2">
                  <c:v>1429.74096484382</c:v>
                </c:pt>
                <c:pt idx="3">
                  <c:v>1450.1303142555</c:v>
                </c:pt>
                <c:pt idx="4">
                  <c:v>1514.28216972154</c:v>
                </c:pt>
                <c:pt idx="5">
                  <c:v>1572.46641072562</c:v>
                </c:pt>
                <c:pt idx="6">
                  <c:v>1657.5049168085</c:v>
                </c:pt>
                <c:pt idx="7">
                  <c:v>1740.55421807074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{1132.24198225275,1240.0745519911,1291.74432499073,1310.16572232104,1368.1257285554,1420.69410630285,1497.52481224143,1572.55830868437}</c:f>
              <c:numCache>
                <c:formatCode>General</c:formatCode>
                <c:ptCount val="8"/>
                <c:pt idx="0">
                  <c:v>1132.24198225275</c:v>
                </c:pt>
                <c:pt idx="1">
                  <c:v>1240.0745519911</c:v>
                </c:pt>
                <c:pt idx="2">
                  <c:v>1291.74432499073</c:v>
                </c:pt>
                <c:pt idx="3">
                  <c:v>1310.16572232104</c:v>
                </c:pt>
                <c:pt idx="4">
                  <c:v>1368.1257285554</c:v>
                </c:pt>
                <c:pt idx="5">
                  <c:v>1420.69410630285</c:v>
                </c:pt>
                <c:pt idx="6">
                  <c:v>1497.52481224143</c:v>
                </c:pt>
                <c:pt idx="7">
                  <c:v>1572.55830868437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{1013.70664724774,1110.25013746181,1156.51055985606,1173.00340610096,1224.89553209102,1271.96048357038,1340.74772034791,1407.9258989552}</c:f>
              <c:numCache>
                <c:formatCode>General</c:formatCode>
                <c:ptCount val="8"/>
                <c:pt idx="0">
                  <c:v>1013.70664724774</c:v>
                </c:pt>
                <c:pt idx="1">
                  <c:v>1110.25013746181</c:v>
                </c:pt>
                <c:pt idx="2">
                  <c:v>1156.51055985606</c:v>
                </c:pt>
                <c:pt idx="3">
                  <c:v>1173.00340610096</c:v>
                </c:pt>
                <c:pt idx="4">
                  <c:v>1224.89553209102</c:v>
                </c:pt>
                <c:pt idx="5">
                  <c:v>1271.96048357038</c:v>
                </c:pt>
                <c:pt idx="6">
                  <c:v>1340.74772034791</c:v>
                </c:pt>
                <c:pt idx="7">
                  <c:v>1407.9258989552</c:v>
                </c:pt>
              </c:numCache>
            </c:numRef>
          </c:yVal>
          <c:smooth val="0"/>
        </c:ser>
        <c:dLbls>
          <c:showLegendKey val="0"/>
          <c:showVal val="0"/>
          <c:showCatName val="0"/>
          <c:showSerName val="0"/>
          <c:showPercent val="0"/>
          <c:showBubbleSize val="0"/>
        </c:dLbls>
        <c:axId val="294283392"/>
        <c:axId val="294283952"/>
      </c:scatterChart>
      <c:valAx>
        <c:axId val="2942833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952"/>
        <c:crosses val="autoZero"/>
        <c:crossBetween val="midCat"/>
      </c:valAx>
      <c:valAx>
        <c:axId val="29428395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3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053aee6-3534-4ce3-89d4-97468db474d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250-750cc)"</c:f>
          <c:strCache>
            <c:ptCount val="1"/>
            <c:pt idx="0">
              <c:v>Technology possibility curve for an  electric MC (equivalent to 250-750cc)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{4449.6,4856.39104031857,5041.05276256844,5095.00240915878,5301.66480836237,5485.92047784967,5762.09172722747,6029.26829268293}</c:f>
              <c:numCache>
                <c:formatCode>General</c:formatCode>
                <c:ptCount val="8"/>
                <c:pt idx="0">
                  <c:v>4449.6</c:v>
                </c:pt>
                <c:pt idx="1">
                  <c:v>4856.39104031857</c:v>
                </c:pt>
                <c:pt idx="2">
                  <c:v>5041.05276256844</c:v>
                </c:pt>
                <c:pt idx="3">
                  <c:v>5095.00240915878</c:v>
                </c:pt>
                <c:pt idx="4">
                  <c:v>5301.66480836237</c:v>
                </c:pt>
                <c:pt idx="5">
                  <c:v>5485.92047784967</c:v>
                </c:pt>
                <c:pt idx="6">
                  <c:v>5762.09172722747</c:v>
                </c:pt>
                <c:pt idx="7">
                  <c:v>6029.26829268293</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{3401.472,3712.4411508213,3853.60477849676,3894.84628611249,4052.82820905923,4193.6814319562,4404.79900925833,4609.0406504065}</c:f>
              <c:numCache>
                <c:formatCode>General</c:formatCode>
                <c:ptCount val="8"/>
                <c:pt idx="0">
                  <c:v>3401.472</c:v>
                </c:pt>
                <c:pt idx="1">
                  <c:v>3712.4411508213</c:v>
                </c:pt>
                <c:pt idx="2">
                  <c:v>3853.60477849676</c:v>
                </c:pt>
                <c:pt idx="3">
                  <c:v>3894.84628611249</c:v>
                </c:pt>
                <c:pt idx="4">
                  <c:v>4052.82820905923</c:v>
                </c:pt>
                <c:pt idx="5">
                  <c:v>4193.6814319562</c:v>
                </c:pt>
                <c:pt idx="6">
                  <c:v>4404.79900925833</c:v>
                </c:pt>
                <c:pt idx="7">
                  <c:v>4609.0406504065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{2504.62210559157,2733.59950399558,2837.54319142897,2867.91074748773,2984.23833051539,3087.95345611735,3243.40666901749,3393.79689104548}</c:f>
              <c:numCache>
                <c:formatCode>General</c:formatCode>
                <c:ptCount val="8"/>
                <c:pt idx="0">
                  <c:v>2504.62210559157</c:v>
                </c:pt>
                <c:pt idx="1">
                  <c:v>2733.59950399558</c:v>
                </c:pt>
                <c:pt idx="2">
                  <c:v>2837.54319142897</c:v>
                </c:pt>
                <c:pt idx="3">
                  <c:v>2867.91074748773</c:v>
                </c:pt>
                <c:pt idx="4">
                  <c:v>2984.23833051539</c:v>
                </c:pt>
                <c:pt idx="5">
                  <c:v>3087.95345611735</c:v>
                </c:pt>
                <c:pt idx="6">
                  <c:v>3243.40666901749</c:v>
                </c:pt>
                <c:pt idx="7">
                  <c:v>3393.79689104548</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{1735.83359382537,1894.52685916431,1966.56524935106,1987.6115476535,2068.23262260813,2140.1126075391,2247.84978218822,2352.07804041378}</c:f>
              <c:numCache>
                <c:formatCode>General</c:formatCode>
                <c:ptCount val="8"/>
                <c:pt idx="0">
                  <c:v>1735.83359382537</c:v>
                </c:pt>
                <c:pt idx="1">
                  <c:v>1894.52685916431</c:v>
                </c:pt>
                <c:pt idx="2">
                  <c:v>1966.56524935106</c:v>
                </c:pt>
                <c:pt idx="3">
                  <c:v>1987.6115476535</c:v>
                </c:pt>
                <c:pt idx="4">
                  <c:v>2068.23262260813</c:v>
                </c:pt>
                <c:pt idx="5">
                  <c:v>2140.1126075391</c:v>
                </c:pt>
                <c:pt idx="6">
                  <c:v>2247.84978218822</c:v>
                </c:pt>
                <c:pt idx="7">
                  <c:v>2352.07804041378</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{1512.07415237062,1650.31089668059,1713.06310297919,1731.39640622865,1801.62493735564,1864.23915779332,1958.08835947708,2048.88096527184}</c:f>
              <c:numCache>
                <c:formatCode>General</c:formatCode>
                <c:ptCount val="8"/>
                <c:pt idx="0">
                  <c:v>1512.07415237062</c:v>
                </c:pt>
                <c:pt idx="1">
                  <c:v>1650.31089668059</c:v>
                </c:pt>
                <c:pt idx="2">
                  <c:v>1713.06310297919</c:v>
                </c:pt>
                <c:pt idx="3">
                  <c:v>1731.39640622865</c:v>
                </c:pt>
                <c:pt idx="4">
                  <c:v>1801.62493735564</c:v>
                </c:pt>
                <c:pt idx="5">
                  <c:v>1864.23915779332</c:v>
                </c:pt>
                <c:pt idx="6">
                  <c:v>1958.08835947708</c:v>
                </c:pt>
                <c:pt idx="7">
                  <c:v>2048.88096527184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{1366.13082601524,1491.02514908383,1547.72059837155,1564.28439629939,1627.7345657821,1684.30534741521,1769.09635268178,1851.12578050846}</c:f>
              <c:numCache>
                <c:formatCode>General</c:formatCode>
                <c:ptCount val="8"/>
                <c:pt idx="0">
                  <c:v>1366.13082601524</c:v>
                </c:pt>
                <c:pt idx="1">
                  <c:v>1491.02514908383</c:v>
                </c:pt>
                <c:pt idx="2">
                  <c:v>1547.72059837155</c:v>
                </c:pt>
                <c:pt idx="3">
                  <c:v>1564.28439629939</c:v>
                </c:pt>
                <c:pt idx="4">
                  <c:v>1627.7345657821</c:v>
                </c:pt>
                <c:pt idx="5">
                  <c:v>1684.30534741521</c:v>
                </c:pt>
                <c:pt idx="6">
                  <c:v>1769.09635268178</c:v>
                </c:pt>
                <c:pt idx="7">
                  <c:v>1851.12578050846</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{1223.10947752206,1334.92851221837,1385.68846875814,1400.5181891945,1457.3257087723,1507.97404921573,1583.88821510325,1657.32991534155}</c:f>
              <c:numCache>
                <c:formatCode>General</c:formatCode>
                <c:ptCount val="8"/>
                <c:pt idx="0">
                  <c:v>1223.10947752206</c:v>
                </c:pt>
                <c:pt idx="1">
                  <c:v>1334.92851221837</c:v>
                </c:pt>
                <c:pt idx="2">
                  <c:v>1385.68846875814</c:v>
                </c:pt>
                <c:pt idx="3">
                  <c:v>1400.5181891945</c:v>
                </c:pt>
                <c:pt idx="4">
                  <c:v>1457.3257087723</c:v>
                </c:pt>
                <c:pt idx="5">
                  <c:v>1507.97404921573</c:v>
                </c:pt>
                <c:pt idx="6">
                  <c:v>1583.88821510325</c:v>
                </c:pt>
                <c:pt idx="7">
                  <c:v>1657.32991534155</c:v>
                </c:pt>
              </c:numCache>
            </c:numRef>
          </c:yVal>
          <c:smooth val="0"/>
        </c:ser>
        <c:dLbls>
          <c:showLegendKey val="0"/>
          <c:showVal val="0"/>
          <c:showCatName val="0"/>
          <c:showSerName val="0"/>
          <c:showPercent val="0"/>
          <c:showBubbleSize val="0"/>
        </c:dLbls>
        <c:axId val="295077168"/>
        <c:axId val="295077728"/>
      </c:scatterChart>
      <c:valAx>
        <c:axId val="2950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728"/>
        <c:crosses val="autoZero"/>
        <c:crossBetween val="midCat"/>
      </c:valAx>
      <c:valAx>
        <c:axId val="29507772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1570d1f-58b0-4b53-a525-9bc39398810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&gt;750cc)"</c:f>
          <c:strCache>
            <c:ptCount val="1"/>
            <c:pt idx="0">
              <c:v>Technology possibility curve for an  electric MC (equivalent to &gt;750cc)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{4978.53658536585,5435.37282229965,5643.81533101045,5706.01254355401,5939.34146341463,6147.7212543554,6459.28432055749,6760.9756097561}</c:f>
              <c:numCache>
                <c:formatCode>General</c:formatCode>
                <c:ptCount val="8"/>
                <c:pt idx="0">
                  <c:v>4978.53658536585</c:v>
                </c:pt>
                <c:pt idx="1">
                  <c:v>5435.37282229965</c:v>
                </c:pt>
                <c:pt idx="2">
                  <c:v>5643.81533101045</c:v>
                </c:pt>
                <c:pt idx="3">
                  <c:v>5706.01254355401</c:v>
                </c:pt>
                <c:pt idx="4">
                  <c:v>5939.34146341463</c:v>
                </c:pt>
                <c:pt idx="5">
                  <c:v>6147.7212543554</c:v>
                </c:pt>
                <c:pt idx="6">
                  <c:v>6459.28432055749</c:v>
                </c:pt>
                <c:pt idx="7">
                  <c:v>6760.9756097561</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{3805.81463414634,4155.04055749129,4314.38327526132,4361.92958885017,4540.29658536585,4699.59135888502,4937.76401393728,5168.39024390244}</c:f>
              <c:numCache>
                <c:formatCode>General</c:formatCode>
                <c:ptCount val="8"/>
                <c:pt idx="0">
                  <c:v>3805.81463414634</c:v>
                </c:pt>
                <c:pt idx="1">
                  <c:v>4155.04055749129</c:v>
                </c:pt>
                <c:pt idx="2">
                  <c:v>4314.38327526132</c:v>
                </c:pt>
                <c:pt idx="3">
                  <c:v>4361.92958885017</c:v>
                </c:pt>
                <c:pt idx="4">
                  <c:v>4540.29658536585</c:v>
                </c:pt>
                <c:pt idx="5">
                  <c:v>4699.59135888502</c:v>
                </c:pt>
                <c:pt idx="6">
                  <c:v>4937.76401393728</c:v>
                </c:pt>
                <c:pt idx="7">
                  <c:v>5168.39024390244</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{2802.35364644096,3059.50083667371,3176.83042024572,3211.8404241658,3343.17824566812,3460.47252622116,3635.84733359612,3805.66544578401}</c:f>
              <c:numCache>
                <c:formatCode>General</c:formatCode>
                <c:ptCount val="8"/>
                <c:pt idx="0">
                  <c:v>2802.35364644096</c:v>
                </c:pt>
                <c:pt idx="1">
                  <c:v>3059.50083667371</c:v>
                </c:pt>
                <c:pt idx="2">
                  <c:v>3176.83042024572</c:v>
                </c:pt>
                <c:pt idx="3">
                  <c:v>3211.8404241658</c:v>
                </c:pt>
                <c:pt idx="4">
                  <c:v>3343.17824566812</c:v>
                </c:pt>
                <c:pt idx="5">
                  <c:v>3460.47252622116</c:v>
                </c:pt>
                <c:pt idx="6">
                  <c:v>3635.84733359612</c:v>
                </c:pt>
                <c:pt idx="7">
                  <c:v>3805.66544578401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{1942.17706152613,2120.39346006678,2201.70897359641,2225.97273010832,2316.99668226246,2398.28772896088,2519.83160636758,2637.52440454166}</c:f>
              <c:numCache>
                <c:formatCode>General</c:formatCode>
                <c:ptCount val="8"/>
                <c:pt idx="0">
                  <c:v>1942.17706152613</c:v>
                </c:pt>
                <c:pt idx="1">
                  <c:v>2120.39346006678</c:v>
                </c:pt>
                <c:pt idx="2">
                  <c:v>2201.70897359641</c:v>
                </c:pt>
                <c:pt idx="3">
                  <c:v>2225.97273010832</c:v>
                </c:pt>
                <c:pt idx="4">
                  <c:v>2316.99668226246</c:v>
                </c:pt>
                <c:pt idx="5">
                  <c:v>2398.28772896088</c:v>
                </c:pt>
                <c:pt idx="6">
                  <c:v>2519.83160636758</c:v>
                </c:pt>
                <c:pt idx="7">
                  <c:v>2637.52440454166</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{1691.81869996475,1847.0619276108,1917.89537998335,1939.03139163307,2018.32180621457,2089.13394567832,2195.01008268783,2297.53156785337}</c:f>
              <c:numCache>
                <c:formatCode>General</c:formatCode>
                <c:ptCount val="8"/>
                <c:pt idx="0">
                  <c:v>1691.81869996475</c:v>
                </c:pt>
                <c:pt idx="1">
                  <c:v>1847.0619276108</c:v>
                </c:pt>
                <c:pt idx="2">
                  <c:v>1917.89537998335</c:v>
                </c:pt>
                <c:pt idx="3">
                  <c:v>1939.03139163307</c:v>
                </c:pt>
                <c:pt idx="4">
                  <c:v>2018.32180621457</c:v>
                </c:pt>
                <c:pt idx="5">
                  <c:v>2089.13394567832</c:v>
                </c:pt>
                <c:pt idx="6">
                  <c:v>2195.01008268783</c:v>
                </c:pt>
                <c:pt idx="7">
                  <c:v>2297.53156785337</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{1528.52667604121,1668.78603996517,1732.78274452328,1751.87873727499,1823.5161496317,1887.49359837379,1983.15071563972,2075.77696746337}</c:f>
              <c:numCache>
                <c:formatCode>General</c:formatCode>
                <c:ptCount val="8"/>
                <c:pt idx="0">
                  <c:v>1528.52667604121</c:v>
                </c:pt>
                <c:pt idx="1">
                  <c:v>1668.78603996517</c:v>
                </c:pt>
                <c:pt idx="2">
                  <c:v>1732.78274452328</c:v>
                </c:pt>
                <c:pt idx="3">
                  <c:v>1751.87873727499</c:v>
                </c:pt>
                <c:pt idx="4">
                  <c:v>1823.5161496317</c:v>
                </c:pt>
                <c:pt idx="5">
                  <c:v>1887.49359837379</c:v>
                </c:pt>
                <c:pt idx="6">
                  <c:v>1983.15071563972</c:v>
                </c:pt>
                <c:pt idx="7">
                  <c:v>2075.77696746337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{1368.50397378445,1494.07947069861,1551.37630814977,1568.47312587214,1632.61075920132,1689.89035674351,1775.53305251787,1858.46218662086}</c:f>
              <c:numCache>
                <c:formatCode>General</c:formatCode>
                <c:ptCount val="8"/>
                <c:pt idx="0">
                  <c:v>1368.50397378445</c:v>
                </c:pt>
                <c:pt idx="1">
                  <c:v>1494.07947069861</c:v>
                </c:pt>
                <c:pt idx="2">
                  <c:v>1551.37630814977</c:v>
                </c:pt>
                <c:pt idx="3">
                  <c:v>1568.47312587214</c:v>
                </c:pt>
                <c:pt idx="4">
                  <c:v>1632.61075920132</c:v>
                </c:pt>
                <c:pt idx="5">
                  <c:v>1689.89035674351</c:v>
                </c:pt>
                <c:pt idx="6">
                  <c:v>1775.53305251787</c:v>
                </c:pt>
                <c:pt idx="7">
                  <c:v>1858.46218662086</c:v>
                </c:pt>
              </c:numCache>
            </c:numRef>
          </c:yVal>
          <c:smooth val="0"/>
        </c:ser>
        <c:dLbls>
          <c:showLegendKey val="0"/>
          <c:showVal val="0"/>
          <c:showCatName val="0"/>
          <c:showSerName val="0"/>
          <c:showPercent val="0"/>
          <c:showBubbleSize val="0"/>
        </c:dLbls>
        <c:axId val="295083888"/>
        <c:axId val="295084448"/>
      </c:scatterChart>
      <c:valAx>
        <c:axId val="2950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4448"/>
        <c:crosses val="autoZero"/>
        <c:crossBetween val="midCat"/>
      </c:valAx>
      <c:valAx>
        <c:axId val="29508444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601751c-060b-4aa5-a779-ec7ae1dc1ee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moped"</c:f>
          <c:strCache>
            <c:ptCount val="1"/>
            <c:pt idx="0">
              <c:v>Technology possibility curve for an electric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{2809.75609756098,3036.97361871578,3126.12244897959,3136.46192135391,3242.5087108014,3335.68939771031,3485.17869586859,3629.26829268293}</c:f>
              <c:numCache>
                <c:formatCode>General</c:formatCode>
                <c:ptCount val="8"/>
                <c:pt idx="0">
                  <c:v>2809.75609756098</c:v>
                </c:pt>
                <c:pt idx="1">
                  <c:v>3036.97361871578</c:v>
                </c:pt>
                <c:pt idx="2">
                  <c:v>3126.12244897959</c:v>
                </c:pt>
                <c:pt idx="3">
                  <c:v>3136.46192135391</c:v>
                </c:pt>
                <c:pt idx="4">
                  <c:v>3242.5087108014</c:v>
                </c:pt>
                <c:pt idx="5">
                  <c:v>3335.68939771031</c:v>
                </c:pt>
                <c:pt idx="6">
                  <c:v>3485.17869586859</c:v>
                </c:pt>
                <c:pt idx="7">
                  <c:v>3629.26829268293</c:v>
                </c:pt>
              </c:numCache>
            </c:numRef>
          </c:yVal>
          <c:smooth val="0"/>
        </c:ser>
        <c:ser>
          <c:idx val="2"/>
          <c:order val="1"/>
          <c:tx>
            <c:strRef>
              <c:f>2025</c:f>
              <c:strCache>
                <c:ptCount val="1"/>
                <c:pt idx="0">
                  <c:v>2025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{2147.90243902439,2321.59761075162,2389.74693877551,2397.65089099054,2478.71777003484,2549.94922847188,2664.22549195288,2774.37398373984}</c:f>
              <c:numCache>
                <c:formatCode>General</c:formatCode>
                <c:ptCount val="8"/>
                <c:pt idx="0">
                  <c:v>2147.90243902439</c:v>
                </c:pt>
                <c:pt idx="1">
                  <c:v>2321.59761075162</c:v>
                </c:pt>
                <c:pt idx="2">
                  <c:v>2389.74693877551</c:v>
                </c:pt>
                <c:pt idx="3">
                  <c:v>2397.65089099054</c:v>
                </c:pt>
                <c:pt idx="4">
                  <c:v>2478.71777003484</c:v>
                </c:pt>
                <c:pt idx="5">
                  <c:v>2549.94922847188</c:v>
                </c:pt>
                <c:pt idx="6">
                  <c:v>2664.22549195288</c:v>
                </c:pt>
                <c:pt idx="7">
                  <c:v>2774.37398373984</c:v>
                </c:pt>
              </c:numCache>
            </c:numRef>
          </c:yVal>
          <c:smooth val="0"/>
        </c:ser>
        <c:ser>
          <c:idx val="3"/>
          <c:order val="2"/>
          <c:tx>
            <c:strRef>
              <c:f>2030</c:f>
              <c:strCache>
                <c:ptCount val="1"/>
                <c:pt idx="0">
                  <c:v>2030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{1216.59634630458,1314.97926512564,1353.57981884289,1358.05670718357,1403.97390857024,1444.3202159732,1509.04759003562,1571.43694731008}</c:f>
              <c:numCache>
                <c:formatCode>General</c:formatCode>
                <c:ptCount val="8"/>
                <c:pt idx="0">
                  <c:v>1216.59634630458</c:v>
                </c:pt>
                <c:pt idx="1">
                  <c:v>1314.97926512564</c:v>
                </c:pt>
                <c:pt idx="2">
                  <c:v>1353.57981884289</c:v>
                </c:pt>
                <c:pt idx="3">
                  <c:v>1358.05670718357</c:v>
                </c:pt>
                <c:pt idx="4">
                  <c:v>1403.97390857024</c:v>
                </c:pt>
                <c:pt idx="5">
                  <c:v>1444.3202159732</c:v>
                </c:pt>
                <c:pt idx="6">
                  <c:v>1509.04759003562</c:v>
                </c:pt>
                <c:pt idx="7">
                  <c:v>1571.43694731008</c:v>
                </c:pt>
              </c:numCache>
            </c:numRef>
          </c:yVal>
          <c:smooth val="0"/>
        </c:ser>
        <c:ser>
          <c:idx val="4"/>
          <c:order val="3"/>
          <c:tx>
            <c:strRef>
              <c:f>2035</c:f>
              <c:strCache>
                <c:ptCount val="1"/>
                <c:pt idx="0">
                  <c:v>2035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{1096.11403825108,1184.75387246679,1219.53172540238,1223.56525729058,1264.93517360672,1301.285894263,1359.60316899793,1415.81396607431}</c:f>
              <c:numCache>
                <c:formatCode>General</c:formatCode>
                <c:ptCount val="8"/>
                <c:pt idx="0">
                  <c:v>1096.11403825108</c:v>
                </c:pt>
                <c:pt idx="1">
                  <c:v>1184.75387246679</c:v>
                </c:pt>
                <c:pt idx="2">
                  <c:v>1219.53172540238</c:v>
                </c:pt>
                <c:pt idx="3">
                  <c:v>1223.56525729058</c:v>
                </c:pt>
                <c:pt idx="4">
                  <c:v>1264.93517360672</c:v>
                </c:pt>
                <c:pt idx="5">
                  <c:v>1301.285894263</c:v>
                </c:pt>
                <c:pt idx="6">
                  <c:v>1359.60316899793</c:v>
                </c:pt>
                <c:pt idx="7">
                  <c:v>1415.81396607431</c:v>
                </c:pt>
              </c:numCache>
            </c:numRef>
          </c:yVal>
          <c:smooth val="0"/>
        </c:ser>
        <c:ser>
          <c:idx val="5"/>
          <c:order val="4"/>
          <c:tx>
            <c:strRef>
              <c:f>2040</c:f>
              <c:strCache>
                <c:ptCount val="1"/>
                <c:pt idx="0">
                  <c:v>2040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{954.818313913089,1032.0319377678,1062.32671526599,1065.84030051553,1101.87738458274,1133.54227764618,1184.3421032038,1233.30698880441}</c:f>
              <c:numCache>
                <c:formatCode>General</c:formatCode>
                <c:ptCount val="8"/>
                <c:pt idx="0">
                  <c:v>954.818313913089</c:v>
                </c:pt>
                <c:pt idx="1">
                  <c:v>1032.0319377678</c:v>
                </c:pt>
                <c:pt idx="2">
                  <c:v>1062.32671526599</c:v>
                </c:pt>
                <c:pt idx="3">
                  <c:v>1065.84030051553</c:v>
                </c:pt>
                <c:pt idx="4">
                  <c:v>1101.87738458274</c:v>
                </c:pt>
                <c:pt idx="5">
                  <c:v>1133.54227764618</c:v>
                </c:pt>
                <c:pt idx="6">
                  <c:v>1184.3421032038</c:v>
                </c:pt>
                <c:pt idx="7">
                  <c:v>1233.30698880441</c:v>
                </c:pt>
              </c:numCache>
            </c:numRef>
          </c:yVal>
          <c:smooth val="0"/>
        </c:ser>
        <c:ser>
          <c:idx val="6"/>
          <c:order val="5"/>
          <c:tx>
            <c:strRef>
              <c:f>2045</c:f>
              <c:strCache>
                <c:ptCount val="1"/>
                <c:pt idx="0">
                  <c:v>2045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{862.660557906855,932.421628533506,959.792395597196,962.966854410413,995.525688477331,1024.13432942832,1070.03102539502,1114.26988729635}</c:f>
              <c:numCache>
                <c:formatCode>General</c:formatCode>
                <c:ptCount val="8"/>
                <c:pt idx="0">
                  <c:v>862.660557906855</c:v>
                </c:pt>
                <c:pt idx="1">
                  <c:v>932.421628533506</c:v>
                </c:pt>
                <c:pt idx="2">
                  <c:v>959.792395597196</c:v>
                </c:pt>
                <c:pt idx="3">
                  <c:v>962.966854410413</c:v>
                </c:pt>
                <c:pt idx="4">
                  <c:v>995.525688477331</c:v>
                </c:pt>
                <c:pt idx="5">
                  <c:v>1024.13432942832</c:v>
                </c:pt>
                <c:pt idx="6">
                  <c:v>1070.03102539502</c:v>
                </c:pt>
                <c:pt idx="7">
                  <c:v>1114.26988729635</c:v>
                </c:pt>
              </c:numCache>
            </c:numRef>
          </c:yVal>
          <c:smooth val="0"/>
        </c:ser>
        <c:ser>
          <c:idx val="7"/>
          <c:order val="6"/>
          <c:tx>
            <c:strRef>
              <c:f>2050</c:f>
              <c:strCache>
                <c:ptCount val="1"/>
                <c:pt idx="0">
                  <c:v>2050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{772.347921712567,834.805649055139,859.310948229374,862.153070364758,891.303293583476,916.916872619862,958.008606116249,997.616065545399}</c:f>
              <c:numCache>
                <c:formatCode>General</c:formatCode>
                <c:ptCount val="8"/>
                <c:pt idx="0">
                  <c:v>772.347921712567</c:v>
                </c:pt>
                <c:pt idx="1">
                  <c:v>834.805649055139</c:v>
                </c:pt>
                <c:pt idx="2">
                  <c:v>859.310948229374</c:v>
                </c:pt>
                <c:pt idx="3">
                  <c:v>862.153070364758</c:v>
                </c:pt>
                <c:pt idx="4">
                  <c:v>891.303293583476</c:v>
                </c:pt>
                <c:pt idx="5">
                  <c:v>916.916872619862</c:v>
                </c:pt>
                <c:pt idx="6">
                  <c:v>958.008606116249</c:v>
                </c:pt>
                <c:pt idx="7">
                  <c:v>997.616065545399</c:v>
                </c:pt>
              </c:numCache>
            </c:numRef>
          </c:yVal>
          <c:smooth val="0"/>
        </c:ser>
        <c:dLbls>
          <c:showLegendKey val="0"/>
          <c:showVal val="0"/>
          <c:showCatName val="0"/>
          <c:showSerName val="0"/>
          <c:showPercent val="0"/>
          <c:showBubbleSize val="0"/>
        </c:dLbls>
        <c:axId val="295090608"/>
        <c:axId val="295091168"/>
      </c:scatterChart>
      <c:valAx>
        <c:axId val="2950906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1168"/>
        <c:crosses val="autoZero"/>
        <c:crossBetween val="midCat"/>
      </c:valAx>
      <c:valAx>
        <c:axId val="2950911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0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bab1603-9377-4038-a2cc-a45dc8b4f1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36339697169"/>
          <c:y val="0.0503432494279176"/>
          <c:w val="0.851797235023041"/>
          <c:h val="0.73487414187643"/>
        </c:manualLayout>
      </c:layout>
      <c:barChart>
        <c:barDir val="col"/>
        <c:grouping val="clustered"/>
        <c:varyColors val="0"/>
        <c:ser>
          <c:idx val="0"/>
          <c:order val="0"/>
          <c:tx>
            <c:strRef>
              <c:f>R_strategies_n_GridBattery!$F$38</c:f>
              <c:strCache>
                <c:ptCount val="1"/>
                <c:pt idx="0">
                  <c:v>LFP</c:v>
                </c:pt>
              </c:strCache>
            </c:strRef>
          </c:tx>
          <c:spPr>
            <a:solidFill>
              <a:schemeClr val="accent1"/>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R_strategies_n_GridBattery!$G$38:$M$38</c:f>
              <c:numCache>
                <c:formatCode>General</c:formatCode>
                <c:ptCount val="7"/>
                <c:pt idx="0">
                  <c:v>0.095</c:v>
                </c:pt>
                <c:pt idx="1">
                  <c:v>0</c:v>
                </c:pt>
                <c:pt idx="2">
                  <c:v>0</c:v>
                </c:pt>
                <c:pt idx="3">
                  <c:v>0</c:v>
                </c:pt>
                <c:pt idx="4">
                  <c:v>3.528</c:v>
                </c:pt>
                <c:pt idx="5">
                  <c:v>0.946</c:v>
                </c:pt>
                <c:pt idx="6">
                  <c:v>1.085</c:v>
                </c:pt>
              </c:numCache>
            </c:numRef>
          </c:val>
        </c:ser>
        <c:ser>
          <c:idx val="1"/>
          <c:order val="1"/>
          <c:tx>
            <c:strRef>
              <c:f>R_strategies_n_GridBattery!$F$39</c:f>
              <c:strCache>
                <c:ptCount val="1"/>
                <c:pt idx="0">
                  <c:v>LMO</c:v>
                </c:pt>
              </c:strCache>
            </c:strRef>
          </c:tx>
          <c:spPr>
            <a:solidFill>
              <a:schemeClr val="accent2"/>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R_strategies_n_GridBattery!$G$39:$M$39</c:f>
              <c:numCache>
                <c:formatCode>General</c:formatCode>
                <c:ptCount val="7"/>
                <c:pt idx="0">
                  <c:v>0.106</c:v>
                </c:pt>
                <c:pt idx="1">
                  <c:v>0</c:v>
                </c:pt>
                <c:pt idx="2">
                  <c:v>0</c:v>
                </c:pt>
                <c:pt idx="3">
                  <c:v>1.396</c:v>
                </c:pt>
                <c:pt idx="4">
                  <c:v>3.369</c:v>
                </c:pt>
                <c:pt idx="5">
                  <c:v>0.863</c:v>
                </c:pt>
                <c:pt idx="6">
                  <c:v>0.911</c:v>
                </c:pt>
              </c:numCache>
            </c:numRef>
          </c:val>
        </c:ser>
        <c:ser>
          <c:idx val="2"/>
          <c:order val="2"/>
          <c:tx>
            <c:strRef>
              <c:f>R_strategies_n_GridBattery!$F$40</c:f>
              <c:strCache>
                <c:ptCount val="1"/>
                <c:pt idx="0">
                  <c:v>NCA</c:v>
                </c:pt>
              </c:strCache>
            </c:strRef>
          </c:tx>
          <c:spPr>
            <a:solidFill>
              <a:schemeClr val="accent3"/>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R_strategies_n_GridBattery!$G$40:$M$40</c:f>
              <c:numCache>
                <c:formatCode>General</c:formatCode>
                <c:ptCount val="7"/>
                <c:pt idx="0">
                  <c:v>0.102</c:v>
                </c:pt>
                <c:pt idx="1">
                  <c:v>0.672</c:v>
                </c:pt>
                <c:pt idx="2">
                  <c:v>0.127</c:v>
                </c:pt>
                <c:pt idx="3">
                  <c:v>0</c:v>
                </c:pt>
                <c:pt idx="4">
                  <c:v>2.92</c:v>
                </c:pt>
                <c:pt idx="5">
                  <c:v>0.564</c:v>
                </c:pt>
                <c:pt idx="6">
                  <c:v>0.978</c:v>
                </c:pt>
              </c:numCache>
            </c:numRef>
          </c:val>
        </c:ser>
        <c:ser>
          <c:idx val="3"/>
          <c:order val="3"/>
          <c:tx>
            <c:strRef>
              <c:f>R_strategies_n_GridBattery!$F$41</c:f>
              <c:strCache>
                <c:ptCount val="1"/>
                <c:pt idx="0">
                  <c:v>NMC111</c:v>
                </c:pt>
              </c:strCache>
            </c:strRef>
          </c:tx>
          <c:spPr>
            <a:solidFill>
              <a:schemeClr val="accent4"/>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R_strategies_n_GridBattery!$G$41:$M$41</c:f>
              <c:numCache>
                <c:formatCode>General</c:formatCode>
                <c:ptCount val="7"/>
                <c:pt idx="0">
                  <c:v>0.141</c:v>
                </c:pt>
                <c:pt idx="1">
                  <c:v>0.351</c:v>
                </c:pt>
                <c:pt idx="2">
                  <c:v>0.352</c:v>
                </c:pt>
                <c:pt idx="3">
                  <c:v>0.328</c:v>
                </c:pt>
                <c:pt idx="4">
                  <c:v>3.11</c:v>
                </c:pt>
                <c:pt idx="5">
                  <c:v>0.677</c:v>
                </c:pt>
                <c:pt idx="6">
                  <c:v>0.978</c:v>
                </c:pt>
              </c:numCache>
            </c:numRef>
          </c:val>
        </c:ser>
        <c:ser>
          <c:idx val="4"/>
          <c:order val="4"/>
          <c:tx>
            <c:strRef>
              <c:f>R_strategies_n_GridBattery!$F$42</c:f>
              <c:strCache>
                <c:ptCount val="1"/>
                <c:pt idx="0">
                  <c:v>NMC532</c:v>
                </c:pt>
              </c:strCache>
            </c:strRef>
          </c:tx>
          <c:spPr>
            <a:solidFill>
              <a:schemeClr val="accent5"/>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R_strategies_n_GridBattery!$G$42:$M$42</c:f>
              <c:numCache>
                <c:formatCode>General</c:formatCode>
                <c:ptCount val="7"/>
                <c:pt idx="0">
                  <c:v>0.136</c:v>
                </c:pt>
                <c:pt idx="1">
                  <c:v>0.508</c:v>
                </c:pt>
                <c:pt idx="2">
                  <c:v>0.204</c:v>
                </c:pt>
                <c:pt idx="3">
                  <c:v>0.285</c:v>
                </c:pt>
                <c:pt idx="4">
                  <c:v>3.07</c:v>
                </c:pt>
                <c:pt idx="5">
                  <c:v>0.661</c:v>
                </c:pt>
                <c:pt idx="6">
                  <c:v>0.981</c:v>
                </c:pt>
              </c:numCache>
            </c:numRef>
          </c:val>
        </c:ser>
        <c:ser>
          <c:idx val="5"/>
          <c:order val="5"/>
          <c:tx>
            <c:strRef>
              <c:f>R_strategies_n_GridBattery!$F$43</c:f>
              <c:strCache>
                <c:ptCount val="1"/>
                <c:pt idx="0">
                  <c:v>NMC622</c:v>
                </c:pt>
              </c:strCache>
            </c:strRef>
          </c:tx>
          <c:spPr>
            <a:solidFill>
              <a:schemeClr val="accent6"/>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R_strategies_n_GridBattery!$G$43:$M$43</c:f>
              <c:numCache>
                <c:formatCode>General</c:formatCode>
                <c:ptCount val="7"/>
                <c:pt idx="0">
                  <c:v>0.118</c:v>
                </c:pt>
                <c:pt idx="1">
                  <c:v>0.531</c:v>
                </c:pt>
                <c:pt idx="2">
                  <c:v>0.178</c:v>
                </c:pt>
                <c:pt idx="3">
                  <c:v>0.166</c:v>
                </c:pt>
                <c:pt idx="4">
                  <c:v>3.017</c:v>
                </c:pt>
                <c:pt idx="5">
                  <c:v>0.605</c:v>
                </c:pt>
                <c:pt idx="6">
                  <c:v>0.96</c:v>
                </c:pt>
              </c:numCache>
            </c:numRef>
          </c:val>
        </c:ser>
        <c:ser>
          <c:idx val="6"/>
          <c:order val="6"/>
          <c:tx>
            <c:strRef>
              <c:f>R_strategies_n_GridBattery!$F$44</c:f>
              <c:strCache>
                <c:ptCount val="1"/>
                <c:pt idx="0">
                  <c:v>NMC811</c:v>
                </c:pt>
              </c:strCache>
            </c:strRef>
          </c:tx>
          <c:spPr>
            <a:solidFill>
              <a:schemeClr val="accent1">
                <a:lumMod val="60000"/>
              </a:schemeClr>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R_strategies_n_GridBattery!$G$44:$M$44</c:f>
              <c:numCache>
                <c:formatCode>General</c:formatCode>
                <c:ptCount val="7"/>
                <c:pt idx="0">
                  <c:v>0.1</c:v>
                </c:pt>
                <c:pt idx="1">
                  <c:v>0.6</c:v>
                </c:pt>
                <c:pt idx="2">
                  <c:v>0.075</c:v>
                </c:pt>
                <c:pt idx="3">
                  <c:v>0.07</c:v>
                </c:pt>
                <c:pt idx="4">
                  <c:v>2.921</c:v>
                </c:pt>
                <c:pt idx="5">
                  <c:v>0.549</c:v>
                </c:pt>
                <c:pt idx="6">
                  <c:v>0.961</c:v>
                </c:pt>
              </c:numCache>
            </c:numRef>
          </c:val>
        </c:ser>
        <c:dLbls>
          <c:showLegendKey val="0"/>
          <c:showVal val="0"/>
          <c:showCatName val="0"/>
          <c:showSerName val="0"/>
          <c:showPercent val="0"/>
          <c:showBubbleSize val="0"/>
        </c:dLbls>
        <c:gapWidth val="246"/>
        <c:overlap val="-28"/>
        <c:axId val="894051471"/>
        <c:axId val="369899328"/>
      </c:barChart>
      <c:catAx>
        <c:axId val="894051471"/>
        <c:scaling>
          <c:orientation val="minMax"/>
        </c:scaling>
        <c:delete val="0"/>
        <c:axPos val="b"/>
        <c:majorTickMark val="none"/>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crossAx val="369899328"/>
        <c:crosses val="autoZero"/>
        <c:auto val="1"/>
        <c:lblAlgn val="ctr"/>
        <c:lblOffset val="100"/>
        <c:noMultiLvlLbl val="0"/>
      </c:catAx>
      <c:valAx>
        <c:axId val="369899328"/>
        <c:scaling>
          <c:orientation val="minMax"/>
        </c:scaling>
        <c:delete val="0"/>
        <c:axPos val="l"/>
        <c:majorGridlines>
          <c:spPr>
            <a:ln w="9525" cap="flat" cmpd="sng" algn="ctr">
              <a:noFill/>
              <a:round/>
            </a:ln>
            <a:effectLst/>
          </c:spPr>
        </c:majorGridlines>
        <c:title>
          <c:tx>
            <c:rich>
              <a:bodyPr rot="-5400000" spcFirstLastPara="0" vertOverflow="ellipsis" vert="horz" wrap="square" anchor="ctr" anchorCtr="1"/>
              <a:lstStyle/>
              <a:p>
                <a:pPr defTabSz="914400">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sz="120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rPr>
                  <a:t>Material mass (ktonne/GWh)</a:t>
                </a:r>
                <a:endParaRPr sz="120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layout>
            <c:manualLayout>
              <c:xMode val="edge"/>
              <c:yMode val="edge"/>
              <c:x val="0.00394996708360764"/>
              <c:y val="0.0436384439359267"/>
            </c:manualLayout>
          </c:layout>
          <c:overlay val="0"/>
          <c:spPr>
            <a:noFill/>
            <a:ln>
              <a:noFill/>
            </a:ln>
            <a:effectLst/>
          </c:spPr>
        </c:title>
        <c:numFmt formatCode="#,##0.0_);[Red]\(#,##0.0\)" sourceLinked="0"/>
        <c:majorTickMark val="out"/>
        <c:minorTickMark val="none"/>
        <c:tickLblPos val="nextTo"/>
        <c:spPr>
          <a:noFill/>
          <a:ln>
            <a:solidFill>
              <a:schemeClr val="tx1"/>
            </a:solidFill>
          </a:ln>
          <a:effectLst/>
        </c:spPr>
        <c:txPr>
          <a:bodyPr rot="-6000000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crossAx val="894051471"/>
        <c:crosses val="autoZero"/>
        <c:crossBetween val="between"/>
      </c:valAx>
      <c:spPr>
        <a:noFill/>
        <a:ln>
          <a:solidFill>
            <a:schemeClr val="tx1"/>
          </a:solidFill>
        </a:ln>
        <a:effectLst/>
      </c:spPr>
    </c:plotArea>
    <c:legend>
      <c:legendPos val="b"/>
      <c:legendEntry>
        <c:idx val="0"/>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1"/>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2"/>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3"/>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4"/>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5"/>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6"/>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ayout>
        <c:manualLayout>
          <c:xMode val="edge"/>
          <c:yMode val="edge"/>
          <c:x val="0.152995391705069"/>
          <c:y val="0.085812356979405"/>
          <c:w val="0.348782093482554"/>
          <c:h val="0.374828375286041"/>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
    <c:plotVisOnly val="1"/>
    <c:dispBlanksAs val="gap"/>
    <c:showDLblsOverMax val="0"/>
    <c:extLst>
      <c:ext uri="{0b15fc19-7d7d-44ad-8c2d-2c3a37ce22c3}">
        <chartProps xmlns="https://web.wps.cn/et/2018/main" chartId="{6b30b5c5-2656-48ff-980c-6e3dd79ffb4e}"/>
      </c:ext>
    </c:extLst>
  </c:chart>
  <c:spPr>
    <a:solidFill>
      <a:schemeClr val="bg1"/>
    </a:solidFill>
    <a:ln w="9525" cap="flat" cmpd="sng" algn="ctr">
      <a:noFill/>
      <a:round/>
    </a:ln>
    <a:effectLst/>
  </c:spPr>
  <c:txPr>
    <a:bodyPr/>
    <a:lstStyle/>
    <a:p>
      <a:pPr>
        <a:defRPr lang="en-US" sz="120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7f2b8a-3d23-4c56-9678-42d7dcd1be2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ab56fb-e513-4ee3-bc59-b6ffe6d2770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24c2b21-f5ef-4cf5-abb5-2106a96b25b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f53b66e-ba05-4ccc-b07a-46a265e43e8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adb090-cf28-4ae7-b9d5-e5989b7024c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899de9b-b4f4-4a41-878c-70e503c2988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3e4e5e-f015-4afc-9fd4-dc304552669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fd6573d-ec64-4576-8897-64b26684399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c7bf1e9-edca-4460-bac4-1cd432b4bb9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13711b-c85c-469b-bb14-b1ef87f5495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06ad4a-6e2c-46b8-a563-e4d42341dfe7}"/>
      </c:ext>
    </c:extLst>
  </c:chart>
  <c:txPr>
    <a:bodyPr/>
    <a:lstStyle/>
    <a:p>
      <a:pPr>
        <a:defRPr lang="en-US"/>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c3d3e46-b59d-4a16-bf20-65b1fd764670}"/>
      </c:ext>
    </c:extLst>
  </c:chart>
  <c:txPr>
    <a:bodyPr/>
    <a:lstStyle/>
    <a:p>
      <a:pPr>
        <a:defRPr lang="en-US"/>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6060bfd-17e6-4c06-aa8e-be79d4a94637}"/>
      </c:ext>
    </c:extLst>
  </c:chart>
  <c:txPr>
    <a:bodyPr/>
    <a:lstStyle/>
    <a:p>
      <a:pPr>
        <a:defRPr lang="en-US"/>
      </a:pP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af42ca-b12c-4471-8f44-62bcbaf272ef}"/>
      </c:ext>
    </c:extLst>
  </c:chart>
  <c:txPr>
    <a:bodyPr/>
    <a:lstStyle/>
    <a:p>
      <a:pPr>
        <a:defRPr lang="en-US"/>
      </a:pP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HDV 16-32t"</c:f>
          <c:strCache>
            <c:ptCount val="1"/>
            <c:pt idx="0">
              <c:v>Technology possibility curve for a  4x2 Rigid Regional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88006368"/>
        <c:axId val="288006928"/>
      </c:scatterChart>
      <c:valAx>
        <c:axId val="2880063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928"/>
        <c:crosses val="autoZero"/>
        <c:crossBetween val="midCat"/>
      </c:valAx>
      <c:valAx>
        <c:axId val="2880069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3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865a03d-e118-4045-96f7-afc8dc37343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hybrid HDV 16-32t"</c:f>
          <c:strCache>
            <c:ptCount val="1"/>
            <c:pt idx="0">
              <c:v>Technology possibility curve for a 4x2 Rigid Regional hybrid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{13759.998,15603.32472,17907.48312,20442.05736,22976.6316,25821.6345917065,28292.8616805272,36738.3007565979}</c:f>
              <c:numCache>
                <c:formatCode>General</c:formatCode>
                <c:ptCount val="8"/>
                <c:pt idx="0">
                  <c:v>13759.998</c:v>
                </c:pt>
                <c:pt idx="1">
                  <c:v>15603.32472</c:v>
                </c:pt>
                <c:pt idx="2">
                  <c:v>17907.48312</c:v>
                </c:pt>
                <c:pt idx="3">
                  <c:v>20442.05736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{9828.57,10034.01,10428.57,11369.05,12783.08,15724.22,17438.605,27358.57}</c:f>
              <c:numCache>
                <c:formatCode>General</c:formatCode>
                <c:ptCount val="8"/>
                <c:pt idx="0">
                  <c:v>9828.57</c:v>
                </c:pt>
                <c:pt idx="1">
                  <c:v>10034.01</c:v>
                </c:pt>
                <c:pt idx="2">
                  <c:v>10428.57</c:v>
                </c:pt>
                <c:pt idx="3">
                  <c:v>11369.05</c:v>
                </c:pt>
                <c:pt idx="4">
                  <c:v>12783.08</c:v>
                </c:pt>
                <c:pt idx="5">
                  <c:v>15724.22</c:v>
                </c:pt>
                <c:pt idx="6">
                  <c:v>17438.605</c:v>
                </c:pt>
                <c:pt idx="7">
                  <c:v>27358.57</c:v>
                </c:pt>
              </c:numCache>
            </c:numRef>
          </c:yVal>
          <c:smooth val="0"/>
        </c:ser>
        <c:ser>
          <c:idx val="3"/>
          <c:order val="2"/>
          <c:tx>
            <c:strRef>
              <c:f>2030</c:f>
              <c:strCache>
                <c:ptCount val="1"/>
                <c:pt idx="0">
                  <c:v>2030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4"/>
          <c:order val="3"/>
          <c:tx>
            <c:strRef>
              <c:f>2035</c:f>
              <c:strCache>
                <c:ptCount val="1"/>
                <c:pt idx="0">
                  <c:v>2035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5"/>
          <c:order val="4"/>
          <c:tx>
            <c:strRef>
              <c:f>2040</c:f>
              <c:strCache>
                <c:ptCount val="1"/>
                <c:pt idx="0">
                  <c:v>2040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6"/>
          <c:order val="5"/>
          <c:tx>
            <c:strRef>
              <c:f>2045</c:f>
              <c:strCache>
                <c:ptCount val="1"/>
                <c:pt idx="0">
                  <c:v>2045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7"/>
          <c:order val="6"/>
          <c:tx>
            <c:strRef>
              <c:f>2050</c:f>
              <c:strCache>
                <c:ptCount val="1"/>
                <c:pt idx="0">
                  <c:v>2050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dLbls>
          <c:showLegendKey val="0"/>
          <c:showVal val="0"/>
          <c:showCatName val="0"/>
          <c:showSerName val="0"/>
          <c:showPercent val="0"/>
          <c:showBubbleSize val="0"/>
        </c:dLbls>
        <c:axId val="288013088"/>
        <c:axId val="288013648"/>
      </c:scatterChart>
      <c:valAx>
        <c:axId val="28801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648"/>
        <c:crosses val="autoZero"/>
        <c:crossBetween val="midCat"/>
      </c:valAx>
      <c:valAx>
        <c:axId val="288013648"/>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dfe1a5-e1b6-43ca-ae25-4a38e78a870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hybrid HDV &gt;32t"</c:f>
          <c:strCache>
            <c:ptCount val="1"/>
            <c:pt idx="0">
              <c:v>Technology possibility curve for a 4x2 Long-Haul Tractor hybrid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{14000,15795.32632,17590.65264,19385.97896,22976.6316,25821.6345917065,28292.8616805272,36738.3007565979}</c:f>
              <c:numCache>
                <c:formatCode>General</c:formatCode>
                <c:ptCount val="8"/>
                <c:pt idx="0">
                  <c:v>14000</c:v>
                </c:pt>
                <c:pt idx="1">
                  <c:v>15795.32632</c:v>
                </c:pt>
                <c:pt idx="2">
                  <c:v>17590.65264</c:v>
                </c:pt>
                <c:pt idx="3">
                  <c:v>19385.97896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{10000,10154.32,10824.13,11859.35,13304.43,17667.42,23354.5,27343}</c:f>
              <c:numCache>
                <c:formatCode>General</c:formatCode>
                <c:ptCount val="8"/>
                <c:pt idx="0">
                  <c:v>10000</c:v>
                </c:pt>
                <c:pt idx="1">
                  <c:v>10154.32</c:v>
                </c:pt>
                <c:pt idx="2">
                  <c:v>10824.13</c:v>
                </c:pt>
                <c:pt idx="3">
                  <c:v>11859.35</c:v>
                </c:pt>
                <c:pt idx="4">
                  <c:v>13304.43</c:v>
                </c:pt>
                <c:pt idx="5">
                  <c:v>17667.42</c:v>
                </c:pt>
                <c:pt idx="6">
                  <c:v>23354.5</c:v>
                </c:pt>
                <c:pt idx="7">
                  <c:v>27343</c:v>
                </c:pt>
              </c:numCache>
            </c:numRef>
          </c:yVal>
          <c:smooth val="0"/>
        </c:ser>
        <c:ser>
          <c:idx val="3"/>
          <c:order val="2"/>
          <c:tx>
            <c:strRef>
              <c:f>2030</c:f>
              <c:strCache>
                <c:ptCount val="1"/>
                <c:pt idx="0">
                  <c:v>2030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4"/>
          <c:order val="3"/>
          <c:tx>
            <c:strRef>
              <c:f>2035</c:f>
              <c:strCache>
                <c:ptCount val="1"/>
                <c:pt idx="0">
                  <c:v>2035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5"/>
          <c:order val="4"/>
          <c:tx>
            <c:strRef>
              <c:f>2040</c:f>
              <c:strCache>
                <c:ptCount val="1"/>
                <c:pt idx="0">
                  <c:v>2040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6"/>
          <c:order val="5"/>
          <c:tx>
            <c:strRef>
              <c:f>2045</c:f>
              <c:strCache>
                <c:ptCount val="1"/>
                <c:pt idx="0">
                  <c:v>2045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7"/>
          <c:order val="6"/>
          <c:tx>
            <c:strRef>
              <c:f>2050</c:f>
              <c:strCache>
                <c:ptCount val="1"/>
                <c:pt idx="0">
                  <c:v>2050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dLbls>
          <c:showLegendKey val="0"/>
          <c:showVal val="0"/>
          <c:showCatName val="0"/>
          <c:showSerName val="0"/>
          <c:showPercent val="0"/>
          <c:showBubbleSize val="0"/>
        </c:dLbls>
        <c:axId val="288443088"/>
        <c:axId val="288443648"/>
      </c:scatterChart>
      <c:valAx>
        <c:axId val="28844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648"/>
        <c:crosses val="autoZero"/>
        <c:crossBetween val="midCat"/>
      </c:valAx>
      <c:valAx>
        <c:axId val="288443648"/>
        <c:scaling>
          <c:orientation val="minMax"/>
          <c:max val="7000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9ba12a3-a900-4a87-8d45-38a3c191124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HDV &gt;32t"</c:f>
          <c:strCache>
            <c:ptCount val="1"/>
            <c:pt idx="0">
              <c:v>Technology possibility curve for a 4x2 Long-Haul Tractor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128256"/>
        <c:axId val="289128816"/>
      </c:scatterChart>
      <c:valAx>
        <c:axId val="2891282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816"/>
        <c:crosses val="autoZero"/>
        <c:crossBetween val="midCat"/>
      </c:valAx>
      <c:valAx>
        <c:axId val="28912881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2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9248992-da52-4d12-adc4-e18f602a938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4d1fcb-fedc-44ee-b83c-c36fc2d3c072}"/>
      </c:ext>
    </c:extLst>
  </c:chart>
  <c:txPr>
    <a:bodyPr/>
    <a:lstStyle/>
    <a:p>
      <a:pPr>
        <a:defRPr lang="en-US"/>
      </a:pP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fb2e7d-8d2d-4078-ae95-326fb5f36509}"/>
      </c:ext>
    </c:extLst>
  </c:chart>
  <c:txPr>
    <a:bodyPr/>
    <a:lstStyle/>
    <a:p>
      <a:pPr>
        <a:defRPr lang="en-US"/>
      </a:pP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aa083da-809f-4c0d-bb3f-91218b837f2c}"/>
      </c:ext>
    </c:extLst>
  </c:chart>
  <c:txPr>
    <a:bodyPr/>
    <a:lstStyle/>
    <a:p>
      <a:pPr>
        <a:defRPr lang="en-US"/>
      </a:pP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2a563f6-d077-41c6-9145-63b07be168bd}"/>
      </c:ext>
    </c:extLst>
  </c:chart>
  <c:txPr>
    <a:bodyPr/>
    <a:lstStyle/>
    <a:p>
      <a:pPr>
        <a:defRPr lang="en-US"/>
      </a:pP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LNG HDV 16-32t"</c:f>
          <c:strCache>
            <c:ptCount val="1"/>
            <c:pt idx="0">
              <c:v>Technology possibility curve for a  4x2 Rigid Regional LNG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2544"/>
        <c:axId val="290113104"/>
      </c:scatterChart>
      <c:valAx>
        <c:axId val="2901125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3104"/>
        <c:crosses val="autoZero"/>
        <c:crossBetween val="midCat"/>
      </c:valAx>
      <c:valAx>
        <c:axId val="29011310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25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2e557b-0936-4ee1-a19c-f333d0dc9bc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LPG HDV 16-32t"</c:f>
          <c:strCache>
            <c:ptCount val="1"/>
            <c:pt idx="0">
              <c:v>Technology possibility curve for a 4x2 Rigid Regional LPG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9264"/>
        <c:axId val="290119824"/>
      </c:scatterChart>
      <c:valAx>
        <c:axId val="29011926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824"/>
        <c:crosses val="autoZero"/>
        <c:crossBetween val="midCat"/>
      </c:valAx>
      <c:valAx>
        <c:axId val="29011982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2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116b252-c93b-4430-91a4-43436c97226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LNG HDV &gt;32t"</c:f>
          <c:strCache>
            <c:ptCount val="1"/>
            <c:pt idx="0">
              <c:v>Technology possibility curve for a 4x2 Long-Haul Tractor LNG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0448"/>
        <c:axId val="289971008"/>
      </c:scatterChart>
      <c:valAx>
        <c:axId val="2899704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1008"/>
        <c:crosses val="autoZero"/>
        <c:crossBetween val="midCat"/>
      </c:valAx>
      <c:valAx>
        <c:axId val="28997100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04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4252cc4-da41-4dea-b8e4-58c4bed534f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LPG HDV &gt;32t"</c:f>
          <c:strCache>
            <c:ptCount val="1"/>
            <c:pt idx="0">
              <c:v>Technology possibility curve for a 4x2 Long-Haul Tractor  LPG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7168"/>
        <c:axId val="289977728"/>
      </c:scatterChart>
      <c:valAx>
        <c:axId val="2899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728"/>
        <c:crosses val="autoZero"/>
        <c:crossBetween val="midCat"/>
      </c:valAx>
      <c:valAx>
        <c:axId val="2899777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5a8f560-51ca-4e7d-9c78-104a81772f2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eac1268-726e-4937-9fd8-4b6134d50657}"/>
      </c:ext>
    </c:extLst>
  </c:chart>
  <c:txPr>
    <a:bodyPr/>
    <a:lstStyle/>
    <a:p>
      <a:pPr>
        <a:defRPr lang="en-US"/>
      </a:pP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0"/>
          <c:order val="0"/>
          <c:tx>
            <c:strRef>
              <c:f>2015</c:f>
              <c:strCache>
                <c:ptCount val="1"/>
                <c:pt idx="0">
                  <c:v>2015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{121585.365853659,129278.24788452,136898.1251037,144444.9975112,151918.865107018,174796.74796748,214785.133565621,240975.609756098}</c:f>
              <c:numCache>
                <c:formatCode>General</c:formatCode>
                <c:ptCount val="8"/>
                <c:pt idx="0">
                  <c:v>121585.365853659</c:v>
                </c:pt>
                <c:pt idx="1">
                  <c:v>129278.24788452</c:v>
                </c:pt>
                <c:pt idx="2">
                  <c:v>136898.1251037</c:v>
                </c:pt>
                <c:pt idx="3">
                  <c:v>144444.9975112</c:v>
                </c:pt>
                <c:pt idx="4">
                  <c:v>151918.865107018</c:v>
                </c:pt>
                <c:pt idx="5">
                  <c:v>174796.74796748</c:v>
                </c:pt>
                <c:pt idx="6">
                  <c:v>214785.133565621</c:v>
                </c:pt>
                <c:pt idx="7">
                  <c:v>240975.609756098</c:v>
                </c:pt>
              </c:numCache>
            </c:numRef>
          </c:yVal>
          <c:smooth val="1"/>
        </c:ser>
        <c:ser>
          <c:idx val="1"/>
          <c:order val="1"/>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2"/>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3"/>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4"/>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5"/>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6"/>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7"/>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000" b="1" i="0" baseline="0"/>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dfd49b9-8bdf-4cd0-aa83-ddfac8673f1a}"/>
      </c:ext>
    </c:extLst>
  </c:chart>
  <c:txPr>
    <a:bodyPr/>
    <a:lstStyle/>
    <a:p>
      <a:pPr>
        <a:defRPr lang="en-US"/>
      </a:pP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16-32t"</c:f>
          <c:strCache>
            <c:ptCount val="1"/>
            <c:pt idx="0">
              <c:v>Technology possibility curve for an electric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{135853.658536585,144902.93678447,153862.618218019,162732.702837232,171513.19064211,220000,287505.226480836,337365.853658537}</c:f>
              <c:numCache>
                <c:formatCode>General</c:formatCode>
                <c:ptCount val="8"/>
                <c:pt idx="0">
                  <c:v>135853.658536585</c:v>
                </c:pt>
                <c:pt idx="1">
                  <c:v>144902.93678447</c:v>
                </c:pt>
                <c:pt idx="2">
                  <c:v>153862.618218019</c:v>
                </c:pt>
                <c:pt idx="3">
                  <c:v>162732.702837232</c:v>
                </c:pt>
                <c:pt idx="4">
                  <c:v>171513.19064211</c:v>
                </c:pt>
                <c:pt idx="5">
                  <c:v>220000</c:v>
                </c:pt>
                <c:pt idx="6">
                  <c:v>287505.226480836</c:v>
                </c:pt>
                <c:pt idx="7">
                  <c:v>337365.853658537</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{85341.4634146341,92259.1338974614,99108.31259333,105888.99950224,112601.194624191,154253.333333333,222462.020905923,278317.073170732}</c:f>
              <c:numCache>
                <c:formatCode>General</c:formatCode>
                <c:ptCount val="8"/>
                <c:pt idx="0">
                  <c:v>85341.4634146341</c:v>
                </c:pt>
                <c:pt idx="1">
                  <c:v>92259.1338974614</c:v>
                </c:pt>
                <c:pt idx="2">
                  <c:v>99108.31259333</c:v>
                </c:pt>
                <c:pt idx="3">
                  <c:v>105888.99950224</c:v>
                </c:pt>
                <c:pt idx="4">
                  <c:v>112601.194624191</c:v>
                </c:pt>
                <c:pt idx="5">
                  <c:v>154253.333333333</c:v>
                </c:pt>
                <c:pt idx="6">
                  <c:v>222462.020905923</c:v>
                </c:pt>
                <c:pt idx="7">
                  <c:v>278317.073170732</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{51325.1583597245,58378.0032499723,65361.017992792,72274.2025881834,79117.5570361467,120414.524307287,182815.325967018,238148.734789121}</c:f>
              <c:numCache>
                <c:formatCode>General</c:formatCode>
                <c:ptCount val="8"/>
                <c:pt idx="0">
                  <c:v>51325.1583597245</c:v>
                </c:pt>
                <c:pt idx="1">
                  <c:v>58378.0032499723</c:v>
                </c:pt>
                <c:pt idx="2">
                  <c:v>65361.017992792</c:v>
                </c:pt>
                <c:pt idx="3">
                  <c:v>72274.2025881834</c:v>
                </c:pt>
                <c:pt idx="4">
                  <c:v>79117.5570361467</c:v>
                </c:pt>
                <c:pt idx="5">
                  <c:v>120414.524307287</c:v>
                </c:pt>
                <c:pt idx="6">
                  <c:v>182815.325967018</c:v>
                </c:pt>
                <c:pt idx="7">
                  <c:v>238148.734789121</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{33397.2246029626,37986.5030858187,42530.3431678545,47028.7448490698,51481.7081294648,80635.7434024864,126527.770924367,167876.715670892}</c:f>
              <c:numCache>
                <c:formatCode>General</c:formatCode>
                <c:ptCount val="8"/>
                <c:pt idx="0">
                  <c:v>33397.2246029626</c:v>
                </c:pt>
                <c:pt idx="1">
                  <c:v>37986.5030858187</c:v>
                </c:pt>
                <c:pt idx="2">
                  <c:v>42530.3431678545</c:v>
                </c:pt>
                <c:pt idx="3">
                  <c:v>47028.7448490698</c:v>
                </c:pt>
                <c:pt idx="4">
                  <c:v>51481.7081294648</c:v>
                </c:pt>
                <c:pt idx="5">
                  <c:v>80635.7434024864</c:v>
                </c:pt>
                <c:pt idx="6">
                  <c:v>126527.770924367</c:v>
                </c:pt>
                <c:pt idx="7">
                  <c:v>167876.715670892</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{25735.3373671887,29271.7578761493,32773.1643206648,36239.5567007351,39670.9350163603,61550.3485365263,93333.4901850044,119411.965383756}</c:f>
              <c:numCache>
                <c:formatCode>General</c:formatCode>
                <c:ptCount val="8"/>
                <c:pt idx="0">
                  <c:v>25735.3373671887</c:v>
                </c:pt>
                <c:pt idx="1">
                  <c:v>29271.7578761493</c:v>
                </c:pt>
                <c:pt idx="2">
                  <c:v>32773.1643206648</c:v>
                </c:pt>
                <c:pt idx="3">
                  <c:v>36239.5567007351</c:v>
                </c:pt>
                <c:pt idx="4">
                  <c:v>39670.9350163603</c:v>
                </c:pt>
                <c:pt idx="5">
                  <c:v>61550.3485365263</c:v>
                </c:pt>
                <c:pt idx="6">
                  <c:v>93333.4901850044</c:v>
                </c:pt>
                <c:pt idx="7">
                  <c:v>119411.965383756</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{21987.7349232118,25009.1787698028,28000.707330784,30962.3206061554,33894.018595917,52587.3326913483,78318.2177264878,97772.1279585486}</c:f>
              <c:numCache>
                <c:formatCode>General</c:formatCode>
                <c:ptCount val="8"/>
                <c:pt idx="0">
                  <c:v>21987.7349232118</c:v>
                </c:pt>
                <c:pt idx="1">
                  <c:v>25009.1787698028</c:v>
                </c:pt>
                <c:pt idx="2">
                  <c:v>28000.707330784</c:v>
                </c:pt>
                <c:pt idx="3">
                  <c:v>30962.3206061554</c:v>
                </c:pt>
                <c:pt idx="4">
                  <c:v>33894.018595917</c:v>
                </c:pt>
                <c:pt idx="5">
                  <c:v>52587.3326913483</c:v>
                </c:pt>
                <c:pt idx="6">
                  <c:v>78318.2177264878</c:v>
                </c:pt>
                <c:pt idx="7">
                  <c:v>97772.1279585486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{20147.4196140489,22915.9765950271,25657.122120748,28370.8561912117,31057.1788064182,48185.911910267,71763.1898633742,89588.8592171375}</c:f>
              <c:numCache>
                <c:formatCode>General</c:formatCode>
                <c:ptCount val="8"/>
                <c:pt idx="0">
                  <c:v>20147.4196140489</c:v>
                </c:pt>
                <c:pt idx="1">
                  <c:v>22915.9765950271</c:v>
                </c:pt>
                <c:pt idx="2">
                  <c:v>25657.122120748</c:v>
                </c:pt>
                <c:pt idx="3">
                  <c:v>28370.8561912117</c:v>
                </c:pt>
                <c:pt idx="4">
                  <c:v>31057.1788064182</c:v>
                </c:pt>
                <c:pt idx="5">
                  <c:v>48185.911910267</c:v>
                </c:pt>
                <c:pt idx="6">
                  <c:v>71763.1898633742</c:v>
                </c:pt>
                <c:pt idx="7">
                  <c:v>89588.8592171375</c:v>
                </c:pt>
              </c:numCache>
            </c:numRef>
          </c:yVal>
          <c:smooth val="1"/>
        </c:ser>
        <c:dLbls>
          <c:showLegendKey val="0"/>
          <c:showVal val="0"/>
          <c:showCatName val="0"/>
          <c:showSerName val="0"/>
          <c:showPercent val="0"/>
          <c:showBubbleSize val="0"/>
        </c:dLbls>
        <c:axId val="1242355664"/>
        <c:axId val="1177975040"/>
      </c:scatterChart>
      <c:valAx>
        <c:axId val="1242355664"/>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75040"/>
        <c:crosses val="autoZero"/>
        <c:crossBetween val="midCat"/>
      </c:valAx>
      <c:valAx>
        <c:axId val="11779750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6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2d141fa-7a3d-4f54-9e18-aa7c8b93b10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&gt;32t"</c:f>
          <c:strCache>
            <c:ptCount val="1"/>
            <c:pt idx="0">
              <c:v>Technology possibility curve for an electric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{157317.073170732,168628.670980587,179828.272772524,190915.878546541,201891.488302638,262500,346881.533101045,409207.317073171}</c:f>
              <c:numCache>
                <c:formatCode>General</c:formatCode>
                <c:ptCount val="8"/>
                <c:pt idx="0">
                  <c:v>157317.073170732</c:v>
                </c:pt>
                <c:pt idx="1">
                  <c:v>168628.670980587</c:v>
                </c:pt>
                <c:pt idx="2">
                  <c:v>179828.272772524</c:v>
                </c:pt>
                <c:pt idx="3">
                  <c:v>190915.878546541</c:v>
                </c:pt>
                <c:pt idx="4">
                  <c:v>201891.488302638</c:v>
                </c:pt>
                <c:pt idx="5">
                  <c:v>262500</c:v>
                </c:pt>
                <c:pt idx="6">
                  <c:v>346881.533101045</c:v>
                </c:pt>
                <c:pt idx="7">
                  <c:v>409207.317073171</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{100926.829268293,109573.917371827,118135.390741663,126611.2493778,135001.493280239,187066.666666667,272327.526132404,342146.341463415}</c:f>
              <c:numCache>
                <c:formatCode>General</c:formatCode>
                <c:ptCount val="8"/>
                <c:pt idx="0">
                  <c:v>100926.829268293</c:v>
                </c:pt>
                <c:pt idx="1">
                  <c:v>109573.917371827</c:v>
                </c:pt>
                <c:pt idx="2">
                  <c:v>118135.390741663</c:v>
                </c:pt>
                <c:pt idx="3">
                  <c:v>126611.2493778</c:v>
                </c:pt>
                <c:pt idx="4">
                  <c:v>135001.493280239</c:v>
                </c:pt>
                <c:pt idx="5">
                  <c:v>187066.666666667</c:v>
                </c:pt>
                <c:pt idx="6">
                  <c:v>272327.526132404</c:v>
                </c:pt>
                <c:pt idx="7">
                  <c:v>342146.341463415</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{64156.4479496556,72972.5040624654,81701.27249099,90342.7532352293,98896.9462951833,150518.155384109,224364.263686795,285282.338549468}</c:f>
              <c:numCache>
                <c:formatCode>General</c:formatCode>
                <c:ptCount val="8"/>
                <c:pt idx="0">
                  <c:v>64156.4479496556</c:v>
                </c:pt>
                <c:pt idx="1">
                  <c:v>72972.5040624654</c:v>
                </c:pt>
                <c:pt idx="2">
                  <c:v>81701.27249099</c:v>
                </c:pt>
                <c:pt idx="3">
                  <c:v>90342.7532352293</c:v>
                </c:pt>
                <c:pt idx="4">
                  <c:v>98896.9462951833</c:v>
                </c:pt>
                <c:pt idx="5">
                  <c:v>150518.155384109</c:v>
                </c:pt>
                <c:pt idx="6">
                  <c:v>224364.263686795</c:v>
                </c:pt>
                <c:pt idx="7">
                  <c:v>285282.338549468</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{41746.5307537033,47483.1288572734,53162.9289598181,58785.9310613373,64352.1351618311,100794.679253108,158159.713655459,209845.894588615}</c:f>
              <c:numCache>
                <c:formatCode>General</c:formatCode>
                <c:ptCount val="8"/>
                <c:pt idx="0">
                  <c:v>41746.5307537033</c:v>
                </c:pt>
                <c:pt idx="1">
                  <c:v>47483.1288572734</c:v>
                </c:pt>
                <c:pt idx="2">
                  <c:v>53162.9289598181</c:v>
                </c:pt>
                <c:pt idx="3">
                  <c:v>58785.9310613373</c:v>
                </c:pt>
                <c:pt idx="4">
                  <c:v>64352.1351618311</c:v>
                </c:pt>
                <c:pt idx="5">
                  <c:v>100794.679253108</c:v>
                </c:pt>
                <c:pt idx="6">
                  <c:v>158159.713655459</c:v>
                </c:pt>
                <c:pt idx="7">
                  <c:v>209845.894588615</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{32169.1717089859,36589.6973451867,40966.455400831,45299.4458759189,49588.6687704504,76937.935670658,116666.862731256,149264.956729695}</c:f>
              <c:numCache>
                <c:formatCode>General</c:formatCode>
                <c:ptCount val="8"/>
                <c:pt idx="0">
                  <c:v>32169.1717089859</c:v>
                </c:pt>
                <c:pt idx="1">
                  <c:v>36589.6973451867</c:v>
                </c:pt>
                <c:pt idx="2">
                  <c:v>40966.455400831</c:v>
                </c:pt>
                <c:pt idx="3">
                  <c:v>45299.4458759189</c:v>
                </c:pt>
                <c:pt idx="4">
                  <c:v>49588.6687704504</c:v>
                </c:pt>
                <c:pt idx="5">
                  <c:v>76937.935670658</c:v>
                </c:pt>
                <c:pt idx="6">
                  <c:v>116666.862731256</c:v>
                </c:pt>
                <c:pt idx="7">
                  <c:v>149264.956729695</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{27484.6686540148,31261.4734622536,35000.88416348,38702.9007576943,42367.5232448962,65734.1658641854,97897.7721581098,122215.159948186}</c:f>
              <c:numCache>
                <c:formatCode>General</c:formatCode>
                <c:ptCount val="8"/>
                <c:pt idx="0">
                  <c:v>27484.6686540148</c:v>
                </c:pt>
                <c:pt idx="1">
                  <c:v>31261.4734622536</c:v>
                </c:pt>
                <c:pt idx="2">
                  <c:v>35000.88416348</c:v>
                </c:pt>
                <c:pt idx="3">
                  <c:v>38702.9007576943</c:v>
                </c:pt>
                <c:pt idx="4">
                  <c:v>42367.5232448962</c:v>
                </c:pt>
                <c:pt idx="5">
                  <c:v>65734.1658641854</c:v>
                </c:pt>
                <c:pt idx="6">
                  <c:v>97897.7721581098</c:v>
                </c:pt>
                <c:pt idx="7">
                  <c:v>122215.159948186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{25184.2745175611,28644.9707437838,32071.402650935,35463.5702390147,38821.4735080228,60232.3898878337,89703.9873292178,111986.074021422}</c:f>
              <c:numCache>
                <c:formatCode>General</c:formatCode>
                <c:ptCount val="8"/>
                <c:pt idx="0">
                  <c:v>25184.2745175611</c:v>
                </c:pt>
                <c:pt idx="1">
                  <c:v>28644.9707437838</c:v>
                </c:pt>
                <c:pt idx="2">
                  <c:v>32071.402650935</c:v>
                </c:pt>
                <c:pt idx="3">
                  <c:v>35463.5702390147</c:v>
                </c:pt>
                <c:pt idx="4">
                  <c:v>38821.4735080228</c:v>
                </c:pt>
                <c:pt idx="5">
                  <c:v>60232.3898878337</c:v>
                </c:pt>
                <c:pt idx="6">
                  <c:v>89703.9873292178</c:v>
                </c:pt>
                <c:pt idx="7">
                  <c:v>111986.074021422</c:v>
                </c:pt>
              </c:numCache>
            </c:numRef>
          </c:yVal>
          <c:smooth val="1"/>
        </c:ser>
        <c:dLbls>
          <c:showLegendKey val="0"/>
          <c:showVal val="0"/>
          <c:showCatName val="0"/>
          <c:showSerName val="0"/>
          <c:showPercent val="0"/>
          <c:showBubbleSize val="0"/>
        </c:dLbls>
        <c:axId val="1177997888"/>
        <c:axId val="1177986464"/>
      </c:scatterChart>
      <c:valAx>
        <c:axId val="1177997888"/>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86464"/>
        <c:crosses val="autoZero"/>
        <c:crossBetween val="midCat"/>
      </c:valAx>
      <c:valAx>
        <c:axId val="1177986464"/>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9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01b4065-854a-45e8-ad13-4b9ebea580f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Aviation"</c:f>
          <c:strCache>
            <c:ptCount val="1"/>
            <c:pt idx="0">
              <c:v>Technology possibility curve for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{-3.29005408353977,1.98310231383485,16.5790198525014,18.2731266236616,27.3295186238914,64.7906780206973,140.167103550201,217.771826876121}</c:f>
              <c:numCache>
                <c:formatCode>General</c:formatCode>
                <c:ptCount val="8"/>
                <c:pt idx="0">
                  <c:v>-3.29005408353977</c:v>
                </c:pt>
                <c:pt idx="1">
                  <c:v>1.98310231383485</c:v>
                </c:pt>
                <c:pt idx="2">
                  <c:v>16.5790198525014</c:v>
                </c:pt>
                <c:pt idx="3">
                  <c:v>18.2731266236616</c:v>
                </c:pt>
                <c:pt idx="4">
                  <c:v>27.3295186238914</c:v>
                </c:pt>
                <c:pt idx="5">
                  <c:v>64.7906780206973</c:v>
                </c:pt>
                <c:pt idx="6">
                  <c:v>140.167103550201</c:v>
                </c:pt>
                <c:pt idx="7">
                  <c:v>217.771826876121</c:v>
                </c:pt>
              </c:numCache>
            </c:numRef>
          </c:yVal>
          <c:smooth val="0"/>
        </c:ser>
        <c:ser>
          <c:idx val="2"/>
          <c:order val="1"/>
          <c:tx>
            <c:strRef>
              <c:f>2025</c:f>
              <c:strCache>
                <c:ptCount val="1"/>
                <c:pt idx="0">
                  <c:v>2025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{-3.29005408353977,1.45190389514917,8.05061831984813,10.9037654044557,16.5669078119734,36.7828169263466,74.9523723846017,112.844177205352}</c:f>
              <c:numCache>
                <c:formatCode>General</c:formatCode>
                <c:ptCount val="8"/>
                <c:pt idx="0">
                  <c:v>-3.29005408353977</c:v>
                </c:pt>
                <c:pt idx="1">
                  <c:v>1.45190389514917</c:v>
                </c:pt>
                <c:pt idx="2">
                  <c:v>8.05061831984813</c:v>
                </c:pt>
                <c:pt idx="3">
                  <c:v>10.9037654044557</c:v>
                </c:pt>
                <c:pt idx="4">
                  <c:v>16.5669078119734</c:v>
                </c:pt>
                <c:pt idx="5">
                  <c:v>36.7828169263466</c:v>
                </c:pt>
                <c:pt idx="6">
                  <c:v>74.9523723846017</c:v>
                </c:pt>
                <c:pt idx="7">
                  <c:v>112.844177205352</c:v>
                </c:pt>
              </c:numCache>
            </c:numRef>
          </c:yVal>
          <c:smooth val="0"/>
        </c:ser>
        <c:ser>
          <c:idx val="3"/>
          <c:order val="2"/>
          <c:tx>
            <c:strRef>
              <c:f>2030</c:f>
              <c:strCache>
                <c:ptCount val="1"/>
                <c:pt idx="0">
                  <c:v>2030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{-3.29005408353977,1.45190389514917,5.60111712650199,9.75033035785482,15.6044560682265,21.2944195293517,35.8869932895052,58.7529429709995}</c:f>
              <c:numCache>
                <c:formatCode>General</c:formatCode>
                <c:ptCount val="8"/>
                <c:pt idx="0">
                  <c:v>-3.29005408353977</c:v>
                </c:pt>
                <c:pt idx="1">
                  <c:v>1.45190389514917</c:v>
                </c:pt>
                <c:pt idx="2">
                  <c:v>5.60111712650199</c:v>
                </c:pt>
                <c:pt idx="3">
                  <c:v>9.75033035785482</c:v>
                </c:pt>
                <c:pt idx="4">
                  <c:v>15.6044560682265</c:v>
                </c:pt>
                <c:pt idx="5">
                  <c:v>21.2944195293517</c:v>
                </c:pt>
                <c:pt idx="6">
                  <c:v>35.8869932895052</c:v>
                </c:pt>
                <c:pt idx="7">
                  <c:v>58.7529429709995</c:v>
                </c:pt>
              </c:numCache>
            </c:numRef>
          </c:yVal>
          <c:smooth val="0"/>
        </c:ser>
        <c:ser>
          <c:idx val="4"/>
          <c:order val="3"/>
          <c:tx>
            <c:strRef>
              <c:f>2035</c:f>
              <c:strCache>
                <c:ptCount val="1"/>
                <c:pt idx="0">
                  <c:v>2035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{-3.29005408353977,1.45190389514917,5.60111712650199,9.75033035785482,15.6044560682265,20.4828941602028,25.6459073076781,32.2937873551719}</c:f>
              <c:numCache>
                <c:formatCode>General</c:formatCode>
                <c:ptCount val="8"/>
                <c:pt idx="0">
                  <c:v>-3.29005408353977</c:v>
                </c:pt>
                <c:pt idx="1">
                  <c:v>1.45190389514917</c:v>
                </c:pt>
                <c:pt idx="2">
                  <c:v>5.60111712650199</c:v>
                </c:pt>
                <c:pt idx="3">
                  <c:v>9.75033035785482</c:v>
                </c:pt>
                <c:pt idx="4">
                  <c:v>15.6044560682265</c:v>
                </c:pt>
                <c:pt idx="5">
                  <c:v>20.4828941602028</c:v>
                </c:pt>
                <c:pt idx="6">
                  <c:v>25.6459073076781</c:v>
                </c:pt>
                <c:pt idx="7">
                  <c:v>32.2937873551719</c:v>
                </c:pt>
              </c:numCache>
            </c:numRef>
          </c:yVal>
          <c:smooth val="0"/>
        </c:ser>
        <c:ser>
          <c:idx val="5"/>
          <c:order val="4"/>
          <c:tx>
            <c:strRef>
              <c:f>2040</c:f>
              <c:strCache>
                <c:ptCount val="1"/>
                <c:pt idx="0">
                  <c:v>2040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6"/>
          <c:order val="5"/>
          <c:tx>
            <c:strRef>
              <c:f>2045</c:f>
              <c:strCache>
                <c:ptCount val="1"/>
                <c:pt idx="0">
                  <c:v>2045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7"/>
          <c:order val="6"/>
          <c:tx>
            <c:strRef>
              <c:f>2050</c:f>
              <c:strCache>
                <c:ptCount val="1"/>
                <c:pt idx="0">
                  <c:v>2050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dLbls>
          <c:showLegendKey val="0"/>
          <c:showVal val="0"/>
          <c:showCatName val="0"/>
          <c:showSerName val="0"/>
          <c:showPercent val="0"/>
          <c:showBubbleSize val="0"/>
        </c:dLbls>
        <c:axId val="295097328"/>
        <c:axId val="295097888"/>
      </c:scatterChart>
      <c:valAx>
        <c:axId val="295097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888"/>
        <c:crosses val="autoZero"/>
        <c:crossBetween val="midCat"/>
      </c:valAx>
      <c:valAx>
        <c:axId val="29509788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b0d260e-e126-40fe-974d-fbca7688fc1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hybrid Aviation"</c:f>
          <c:strCache>
            <c:ptCount val="1"/>
            <c:pt idx="0">
              <c:v>Technology possibility curve for hybrid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{37.7829759452973,43.056132342672,52.2943325372505,56.2887384557011,96.2397258504423,134.372104584344,192.223646609349,310.33266361174}</c:f>
              <c:numCache>
                <c:formatCode>General</c:formatCode>
                <c:ptCount val="8"/>
                <c:pt idx="0">
                  <c:v>37.7829759452973</c:v>
                </c:pt>
                <c:pt idx="1">
                  <c:v>43.056132342672</c:v>
                </c:pt>
                <c:pt idx="2">
                  <c:v>52.2943325372505</c:v>
                </c:pt>
                <c:pt idx="3">
                  <c:v>56.2887384557011</c:v>
                </c:pt>
                <c:pt idx="4">
                  <c:v>96.2397258504423</c:v>
                </c:pt>
                <c:pt idx="5">
                  <c:v>134.372104584344</c:v>
                </c:pt>
                <c:pt idx="6">
                  <c:v>192.223646609349</c:v>
                </c:pt>
                <c:pt idx="7">
                  <c:v>310.33266361174</c:v>
                </c:pt>
              </c:numCache>
            </c:numRef>
          </c:yVal>
          <c:smooth val="0"/>
        </c:ser>
        <c:ser>
          <c:idx val="2"/>
          <c:order val="1"/>
          <c:tx>
            <c:strRef>
              <c:f>2025</c:f>
              <c:strCache>
                <c:ptCount val="1"/>
                <c:pt idx="0">
                  <c:v>2025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{26.0124222660767,30.7543802447657,37.3530946694646,40.2062417540722,68.7426613217445,95.9800747031026,137.302604720964,221.6661882941}</c:f>
              <c:numCache>
                <c:formatCode>General</c:formatCode>
                <c:ptCount val="8"/>
                <c:pt idx="0">
                  <c:v>26.0124222660767</c:v>
                </c:pt>
                <c:pt idx="1">
                  <c:v>30.7543802447657</c:v>
                </c:pt>
                <c:pt idx="2">
                  <c:v>37.3530946694646</c:v>
                </c:pt>
                <c:pt idx="3">
                  <c:v>40.2062417540722</c:v>
                </c:pt>
                <c:pt idx="4">
                  <c:v>68.7426613217445</c:v>
                </c:pt>
                <c:pt idx="5">
                  <c:v>95.9800747031026</c:v>
                </c:pt>
                <c:pt idx="6">
                  <c:v>137.302604720964</c:v>
                </c:pt>
                <c:pt idx="7">
                  <c:v>221.6661882941</c:v>
                </c:pt>
              </c:numCache>
            </c:numRef>
          </c:yVal>
          <c:smooth val="0"/>
        </c:ser>
        <c:ser>
          <c:idx val="3"/>
          <c:order val="2"/>
          <c:tx>
            <c:strRef>
              <c:f>2030</c:f>
              <c:strCache>
                <c:ptCount val="1"/>
                <c:pt idx="0">
                  <c:v>2030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{11.9368865430569,16.6788445217459,20.8280577530987,24.9772709844515,32.0547550558212,37.7447185169465,52.3372922770999,73.9696992082643}</c:f>
              <c:numCache>
                <c:formatCode>General</c:formatCode>
                <c:ptCount val="8"/>
                <c:pt idx="0">
                  <c:v>11.9368865430569</c:v>
                </c:pt>
                <c:pt idx="1">
                  <c:v>16.6788445217459</c:v>
                </c:pt>
                <c:pt idx="2">
                  <c:v>20.8280577530987</c:v>
                </c:pt>
                <c:pt idx="3">
                  <c:v>24.9772709844515</c:v>
                </c:pt>
                <c:pt idx="4">
                  <c:v>32.0547550558212</c:v>
                </c:pt>
                <c:pt idx="5">
                  <c:v>37.7447185169465</c:v>
                </c:pt>
                <c:pt idx="6">
                  <c:v>52.3372922770999</c:v>
                </c:pt>
                <c:pt idx="7">
                  <c:v>73.9696992082643</c:v>
                </c:pt>
              </c:numCache>
            </c:numRef>
          </c:yVal>
          <c:smooth val="0"/>
        </c:ser>
        <c:ser>
          <c:idx val="4"/>
          <c:order val="3"/>
          <c:tx>
            <c:strRef>
              <c:f>2035</c:f>
              <c:strCache>
                <c:ptCount val="1"/>
                <c:pt idx="0">
                  <c:v>2035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{9.76138508369877,14.5033430623877,18.6525562937405,22.8017695250934,32.0547550558212,36.9331931477976,42.0962062952728,50.8221719662794}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42.0962062952728</c:v>
                </c:pt>
                <c:pt idx="7">
                  <c:v>50.8221719662794</c:v>
                </c:pt>
              </c:numCache>
            </c:numRef>
          </c:yVal>
          <c:smooth val="1"/>
        </c:ser>
        <c:ser>
          <c:idx val="5"/>
          <c:order val="4"/>
          <c:tx>
            <c:strRef>
              <c:f>2040</c:f>
              <c:strCache>
                <c:ptCount val="1"/>
                <c:pt idx="0">
                  <c:v>2040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6"/>
          <c:order val="5"/>
          <c:tx>
            <c:strRef>
              <c:f>2045</c:f>
              <c:strCache>
                <c:ptCount val="1"/>
                <c:pt idx="0">
                  <c:v>2045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7"/>
          <c:order val="6"/>
          <c:tx>
            <c:strRef>
              <c:f>2050</c:f>
              <c:strCache>
                <c:ptCount val="1"/>
                <c:pt idx="0">
                  <c:v>2050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5eb6bb-d25f-47f2-b9f8-901d2d66052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Aviation"</c:f>
          <c:strCache>
            <c:ptCount val="1"/>
            <c:pt idx="0">
              <c:v>Technology possibility curve for Electric Aviation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{106.285463757056,117.354962493174,145.282492001084,268.228966575008}</c:f>
              <c:numCache>
                <c:formatCode>General</c:formatCode>
                <c:ptCount val="4"/>
                <c:pt idx="0">
                  <c:v>106.285463757056</c:v>
                </c:pt>
                <c:pt idx="1">
                  <c:v>117.354962493174</c:v>
                </c:pt>
                <c:pt idx="2">
                  <c:v>145.282492001084</c:v>
                </c:pt>
                <c:pt idx="3">
                  <c:v>268.228966575008</c:v>
                </c:pt>
              </c:numCache>
            </c:numRef>
          </c:yVal>
          <c:smooth val="0"/>
        </c:ser>
        <c:ser>
          <c:idx val="3"/>
          <c:order val="1"/>
          <c:tx>
            <c:strRef>
              <c:f>2030</c:f>
              <c:strCache>
                <c:ptCount val="1"/>
                <c:pt idx="0">
                  <c:v>2030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{82.1237572478929,93.632855752971,116.925103617326,197.813468585937}</c:f>
              <c:numCache>
                <c:formatCode>General</c:formatCode>
                <c:ptCount val="4"/>
                <c:pt idx="0">
                  <c:v>82.1237572478929</c:v>
                </c:pt>
                <c:pt idx="1">
                  <c:v>93.632855752971</c:v>
                </c:pt>
                <c:pt idx="2">
                  <c:v>116.925103617326</c:v>
                </c:pt>
                <c:pt idx="3">
                  <c:v>197.813468585937</c:v>
                </c:pt>
              </c:numCache>
            </c:numRef>
          </c:yVal>
          <c:smooth val="0"/>
        </c:ser>
        <c:ser>
          <c:idx val="4"/>
          <c:order val="2"/>
          <c:tx>
            <c:strRef>
              <c:f>2035</c:f>
              <c:strCache>
                <c:ptCount val="1"/>
                <c:pt idx="0">
                  <c:v>2035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{58.7937265532579,71.1141454775921,90.4389858162564,147.728597337932}</c:f>
              <c:numCache>
                <c:formatCode>General</c:formatCode>
                <c:ptCount val="4"/>
                <c:pt idx="0">
                  <c:v>58.7937265532579</c:v>
                </c:pt>
                <c:pt idx="1">
                  <c:v>71.1141454775921</c:v>
                </c:pt>
                <c:pt idx="2">
                  <c:v>90.4389858162564</c:v>
                </c:pt>
                <c:pt idx="3">
                  <c:v>147.728597337932</c:v>
                </c:pt>
              </c:numCache>
            </c:numRef>
          </c:yVal>
          <c:smooth val="0"/>
        </c:ser>
        <c:ser>
          <c:idx val="5"/>
          <c:order val="3"/>
          <c:tx>
            <c:strRef>
              <c:f>2040</c:f>
              <c:strCache>
                <c:ptCount val="1"/>
                <c:pt idx="0">
                  <c:v>2040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{50.7830707940031,61.1641261723129,78.2614084636112,128.939825319852}</c:f>
              <c:numCache>
                <c:formatCode>General</c:formatCode>
                <c:ptCount val="4"/>
                <c:pt idx="0">
                  <c:v>50.7830707940031</c:v>
                </c:pt>
                <c:pt idx="1">
                  <c:v>61.1641261723129</c:v>
                </c:pt>
                <c:pt idx="2">
                  <c:v>78.2614084636112</c:v>
                </c:pt>
                <c:pt idx="3">
                  <c:v>128.939825319852</c:v>
                </c:pt>
              </c:numCache>
            </c:numRef>
          </c:yVal>
          <c:smooth val="0"/>
        </c:ser>
        <c:ser>
          <c:idx val="6"/>
          <c:order val="4"/>
          <c:tx>
            <c:strRef>
              <c:f>2045</c:f>
              <c:strCache>
                <c:ptCount val="1"/>
                <c:pt idx="0">
                  <c:v>2045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{47.5573854740449,57.739817191985,73.0553420490841,119.847483876193}</c:f>
              <c:numCache>
                <c:formatCode>General</c:formatCode>
                <c:ptCount val="4"/>
                <c:pt idx="0">
                  <c:v>47.5573854740449</c:v>
                </c:pt>
                <c:pt idx="1">
                  <c:v>57.739817191985</c:v>
                </c:pt>
                <c:pt idx="2">
                  <c:v>73.0553420490841</c:v>
                </c:pt>
                <c:pt idx="3">
                  <c:v>119.847483876193</c:v>
                </c:pt>
              </c:numCache>
            </c:numRef>
          </c:yVal>
          <c:smooth val="1"/>
        </c:ser>
        <c:ser>
          <c:idx val="7"/>
          <c:order val="5"/>
          <c:tx>
            <c:strRef>
              <c:f>2050</c:f>
              <c:strCache>
                <c:ptCount val="1"/>
                <c:pt idx="0">
                  <c:v>2050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{45.9210283029899,53.0775216815769,66.7154473452195,111.439351165691}</c:f>
              <c:numCache>
                <c:formatCode>General</c:formatCode>
                <c:ptCount val="4"/>
                <c:pt idx="0">
                  <c:v>45.9210283029899</c:v>
                </c:pt>
                <c:pt idx="1">
                  <c:v>53.0775216815769</c:v>
                </c:pt>
                <c:pt idx="2">
                  <c:v>66.7154473452195</c:v>
                </c:pt>
                <c:pt idx="3">
                  <c:v>111.439351165691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d634eef-03d3-4a74-8c58-025adf39ac9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diesel rail"</c:f>
          <c:strCache>
            <c:ptCount val="1"/>
            <c:pt idx="0">
              <c:v>Technology possibility curve for passenger diesel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{0.19624979511903,0.412040994171601,1.02490565744478,1.44231985399789,1.73019213382329,4.22229864731178,9.56392433887383,17.8292664493516}</c:f>
              <c:numCache>
                <c:formatCode>General</c:formatCode>
                <c:ptCount val="8"/>
                <c:pt idx="0">
                  <c:v>0.19624979511903</c:v>
                </c:pt>
                <c:pt idx="1">
                  <c:v>0.412040994171601</c:v>
                </c:pt>
                <c:pt idx="2">
                  <c:v>1.02490565744478</c:v>
                </c:pt>
                <c:pt idx="3">
                  <c:v>1.44231985399789</c:v>
                </c:pt>
                <c:pt idx="4">
                  <c:v>1.73019213382329</c:v>
                </c:pt>
                <c:pt idx="5">
                  <c:v>4.22229864731178</c:v>
                </c:pt>
                <c:pt idx="6">
                  <c:v>9.56392433887383</c:v>
                </c:pt>
                <c:pt idx="7">
                  <c:v>17.8292664493516</c:v>
                </c:pt>
              </c:numCache>
            </c:numRef>
          </c:yVal>
          <c:smooth val="0"/>
        </c:ser>
        <c:ser>
          <c:idx val="2"/>
          <c:order val="1"/>
          <c:tx>
            <c:strRef>
              <c:f>2025</c:f>
              <c:strCache>
                <c:ptCount val="1"/>
                <c:pt idx="0">
                  <c:v>2025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{0.19624979511903,0.39249959023806,0.68606900419776,0.941833969409058,1.22067358828757,2.62440021652037,5.38873671361205,9.58754408822145}</c:f>
              <c:numCache>
                <c:formatCode>General</c:formatCode>
                <c:ptCount val="8"/>
                <c:pt idx="0">
                  <c:v>0.19624979511903</c:v>
                </c:pt>
                <c:pt idx="1">
                  <c:v>0.39249959023806</c:v>
                </c:pt>
                <c:pt idx="2">
                  <c:v>0.68606900419776</c:v>
                </c:pt>
                <c:pt idx="3">
                  <c:v>0.941833969409058</c:v>
                </c:pt>
                <c:pt idx="4">
                  <c:v>1.22067358828757</c:v>
                </c:pt>
                <c:pt idx="5">
                  <c:v>2.62440021652037</c:v>
                </c:pt>
                <c:pt idx="6">
                  <c:v>5.38873671361205</c:v>
                </c:pt>
                <c:pt idx="7">
                  <c:v>9.58754408822145</c:v>
                </c:pt>
              </c:numCache>
            </c:numRef>
          </c:yVal>
          <c:smooth val="0"/>
        </c:ser>
        <c:ser>
          <c:idx val="3"/>
          <c:order val="2"/>
          <c:tx>
            <c:strRef>
              <c:f>2030</c:f>
              <c:strCache>
                <c:ptCount val="1"/>
                <c:pt idx="0">
                  <c:v>2030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{0.19624979511903,0.39249959023806,0.58874938535709,0.863499098523732,1.1751096427736,1.74075951961889,3.20854106563745,5.33885524281992}</c:f>
              <c:numCache>
                <c:formatCode>General</c:formatCode>
                <c:ptCount val="8"/>
                <c:pt idx="0">
                  <c:v>0.19624979511903</c:v>
                </c:pt>
                <c:pt idx="1">
                  <c:v>0.39249959023806</c:v>
                </c:pt>
                <c:pt idx="2">
                  <c:v>0.58874938535709</c:v>
                </c:pt>
                <c:pt idx="3">
                  <c:v>0.863499098523732</c:v>
                </c:pt>
                <c:pt idx="4">
                  <c:v>1.1751096427736</c:v>
                </c:pt>
                <c:pt idx="5">
                  <c:v>1.74075951961889</c:v>
                </c:pt>
                <c:pt idx="6">
                  <c:v>3.20854106563745</c:v>
                </c:pt>
                <c:pt idx="7">
                  <c:v>5.33885524281992</c:v>
                </c:pt>
              </c:numCache>
            </c:numRef>
          </c:yVal>
          <c:smooth val="0"/>
        </c:ser>
        <c:ser>
          <c:idx val="4"/>
          <c:order val="3"/>
          <c:tx>
            <c:strRef>
              <c:f>2035</c:f>
              <c:strCache>
                <c:ptCount val="1"/>
                <c:pt idx="0">
                  <c:v>2035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{0.19624979511903,0.39249959023806,0.58874938535709,0.863499098523732,1.1751096427736,1.69446054985672,2.23203056524467,3.26057544545646}</c:f>
              <c:numCache>
                <c:formatCode>General</c:formatCode>
                <c:ptCount val="8"/>
                <c:pt idx="0">
                  <c:v>0.19624979511903</c:v>
                </c:pt>
                <c:pt idx="1">
                  <c:v>0.39249959023806</c:v>
                </c:pt>
                <c:pt idx="2">
                  <c:v>0.58874938535709</c:v>
                </c:pt>
                <c:pt idx="3">
                  <c:v>0.863499098523732</c:v>
                </c:pt>
                <c:pt idx="4">
                  <c:v>1.1751096427736</c:v>
                </c:pt>
                <c:pt idx="5">
                  <c:v>1.69446054985672</c:v>
                </c:pt>
                <c:pt idx="6">
                  <c:v>2.23203056524467</c:v>
                </c:pt>
                <c:pt idx="7">
                  <c:v>3.26057544545646</c:v>
                </c:pt>
              </c:numCache>
            </c:numRef>
          </c:yVal>
          <c:smooth val="0"/>
        </c:ser>
        <c:ser>
          <c:idx val="5"/>
          <c:order val="4"/>
          <c:tx>
            <c:strRef>
              <c:f>2040</c:f>
              <c:strCache>
                <c:ptCount val="1"/>
                <c:pt idx="0">
                  <c:v>2040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6"/>
          <c:order val="5"/>
          <c:tx>
            <c:strRef>
              <c:f>2045</c:f>
              <c:strCache>
                <c:ptCount val="1"/>
                <c:pt idx="0">
                  <c:v>2045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7"/>
          <c:order val="6"/>
          <c:tx>
            <c:strRef>
              <c:f>2050</c:f>
              <c:strCache>
                <c:ptCount val="1"/>
                <c:pt idx="0">
                  <c:v>2050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dLbls>
          <c:showLegendKey val="0"/>
          <c:showVal val="0"/>
          <c:showCatName val="0"/>
          <c:showSerName val="0"/>
          <c:showPercent val="0"/>
          <c:showBubbleSize val="0"/>
        </c:dLbls>
        <c:axId val="295104048"/>
        <c:axId val="295104608"/>
      </c:scatterChart>
      <c:valAx>
        <c:axId val="295104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608"/>
        <c:crosses val="autoZero"/>
        <c:crossBetween val="midCat"/>
      </c:valAx>
      <c:valAx>
        <c:axId val="29510460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3b4e8e-1dde-4495-82a8-de27bf18b69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electric rail"</c:f>
          <c:strCache>
            <c:ptCount val="1"/>
            <c:pt idx="0">
              <c:v>Technology possibility curve for passenger electric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{0.282882304676374,0.509084889118895,1.4069904865402,1.89001593667884,3.13263331342924,7.07456361003068,15.339013769649,23.3634707552304}</c:f>
              <c:numCache>
                <c:formatCode>General</c:formatCode>
                <c:ptCount val="8"/>
                <c:pt idx="0">
                  <c:v>0.282882304676374</c:v>
                </c:pt>
                <c:pt idx="1">
                  <c:v>0.509084889118895</c:v>
                </c:pt>
                <c:pt idx="2">
                  <c:v>1.4069904865402</c:v>
                </c:pt>
                <c:pt idx="3">
                  <c:v>1.89001593667884</c:v>
                </c:pt>
                <c:pt idx="4">
                  <c:v>3.13263331342924</c:v>
                </c:pt>
                <c:pt idx="5">
                  <c:v>7.07456361003068</c:v>
                </c:pt>
                <c:pt idx="6">
                  <c:v>15.339013769649</c:v>
                </c:pt>
                <c:pt idx="7">
                  <c:v>23.3634707552304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{0.282882304676374,0.484941093730927,0.941835528962683,1.23417923351363,2.21011451430132,4.39724610237421,9.60297418162616,12.5635177732054}</c:f>
              <c:numCache>
                <c:formatCode>General</c:formatCode>
                <c:ptCount val="8"/>
                <c:pt idx="0">
                  <c:v>0.282882304676374</c:v>
                </c:pt>
                <c:pt idx="1">
                  <c:v>0.484941093730927</c:v>
                </c:pt>
                <c:pt idx="2">
                  <c:v>0.941835528962683</c:v>
                </c:pt>
                <c:pt idx="3">
                  <c:v>1.23417923351363</c:v>
                </c:pt>
                <c:pt idx="4">
                  <c:v>2.21011451430132</c:v>
                </c:pt>
                <c:pt idx="5">
                  <c:v>4.39724610237421</c:v>
                </c:pt>
                <c:pt idx="6">
                  <c:v>9.60297418162616</c:v>
                </c:pt>
                <c:pt idx="7">
                  <c:v>12.5635177732054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{0.282882304676374,0.484941093730927,0.808235156218212,1.1315292187055,2.12761781880837,2.91668472080983,5.14598964216527,6.99603591019122}</c:f>
              <c:numCache>
                <c:formatCode>General</c:formatCode>
                <c:ptCount val="8"/>
                <c:pt idx="0">
                  <c:v>0.282882304676374</c:v>
                </c:pt>
                <c:pt idx="1">
                  <c:v>0.484941093730927</c:v>
                </c:pt>
                <c:pt idx="2">
                  <c:v>0.808235156218212</c:v>
                </c:pt>
                <c:pt idx="3">
                  <c:v>1.1315292187055</c:v>
                </c:pt>
                <c:pt idx="4">
                  <c:v>2.12761781880837</c:v>
                </c:pt>
                <c:pt idx="5">
                  <c:v>2.91668472080983</c:v>
                </c:pt>
                <c:pt idx="6">
                  <c:v>5.14598964216527</c:v>
                </c:pt>
                <c:pt idx="7">
                  <c:v>6.99603591019122</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{0.282882304676374,0.484941093730927,0.808235156218212,1.1315292187055,2.12761781880837,2.83910967602471,3.57982208573148,4.27265806372614}</c:f>
              <c:numCache>
                <c:formatCode>General</c:formatCode>
                <c:ptCount val="8"/>
                <c:pt idx="0">
                  <c:v>0.282882304676374</c:v>
                </c:pt>
                <c:pt idx="1">
                  <c:v>0.484941093730927</c:v>
                </c:pt>
                <c:pt idx="2">
                  <c:v>0.808235156218212</c:v>
                </c:pt>
                <c:pt idx="3">
                  <c:v>1.1315292187055</c:v>
                </c:pt>
                <c:pt idx="4">
                  <c:v>2.12761781880837</c:v>
                </c:pt>
                <c:pt idx="5">
                  <c:v>2.83910967602471</c:v>
                </c:pt>
                <c:pt idx="6">
                  <c:v>3.57982208573148</c:v>
                </c:pt>
                <c:pt idx="7">
                  <c:v>4.27265806372614</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dLbls>
          <c:showLegendKey val="0"/>
          <c:showVal val="0"/>
          <c:showCatName val="0"/>
          <c:showSerName val="0"/>
          <c:showPercent val="0"/>
          <c:showBubbleSize val="0"/>
        </c:dLbls>
        <c:axId val="295487888"/>
        <c:axId val="295488448"/>
      </c:scatterChart>
      <c:valAx>
        <c:axId val="2954878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8448"/>
        <c:crosses val="autoZero"/>
        <c:crossBetween val="midCat"/>
      </c:valAx>
      <c:valAx>
        <c:axId val="29548844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f6273a7-5d92-4cfa-9793-5e4651c5f1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high speed passenger rail"</c:f>
          <c:strCache>
            <c:ptCount val="1"/>
            <c:pt idx="0">
              <c:v>Technology possibility curve for high speed passenger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{0.551002159495547,0.991602757167758,2.74055599681378,3.68139980965735,6.10178753521501,13.7799351962826,29.8775482661513,45.5076992326204}</c:f>
              <c:numCache>
                <c:formatCode>General</c:formatCode>
                <c:ptCount val="8"/>
                <c:pt idx="0">
                  <c:v>0.551002159495547</c:v>
                </c:pt>
                <c:pt idx="1">
                  <c:v>0.991602757167758</c:v>
                </c:pt>
                <c:pt idx="2">
                  <c:v>2.74055599681378</c:v>
                </c:pt>
                <c:pt idx="3">
                  <c:v>3.68139980965735</c:v>
                </c:pt>
                <c:pt idx="4">
                  <c:v>6.10178753521501</c:v>
                </c:pt>
                <c:pt idx="5">
                  <c:v>13.7799351962826</c:v>
                </c:pt>
                <c:pt idx="6">
                  <c:v>29.8775482661513</c:v>
                </c:pt>
                <c:pt idx="7">
                  <c:v>45.5076992326204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{0.551002159495547,0.944575130563795,1.83452058247958,2.40395179065212,4.3048923526894,8.56501823616511,16.8343282056416,24.4713978550776}</c:f>
              <c:numCache>
                <c:formatCode>General</c:formatCode>
                <c:ptCount val="8"/>
                <c:pt idx="0">
                  <c:v>0.551002159495547</c:v>
                </c:pt>
                <c:pt idx="1">
                  <c:v>0.944575130563795</c:v>
                </c:pt>
                <c:pt idx="2">
                  <c:v>1.83452058247958</c:v>
                </c:pt>
                <c:pt idx="3">
                  <c:v>2.40395179065212</c:v>
                </c:pt>
                <c:pt idx="4">
                  <c:v>4.3048923526894</c:v>
                </c:pt>
                <c:pt idx="5">
                  <c:v>8.56501823616511</c:v>
                </c:pt>
                <c:pt idx="6">
                  <c:v>16.8343282056416</c:v>
                </c:pt>
                <c:pt idx="7">
                  <c:v>24.4713978550776</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{0.551002159495547,0.944575130563795,1.57429188427299,2.20400863798219,4.14420412081196,5.6811598080426,10.0234315073847,13.6269778303517}</c:f>
              <c:numCache>
                <c:formatCode>General</c:formatCode>
                <c:ptCount val="8"/>
                <c:pt idx="0">
                  <c:v>0.551002159495547</c:v>
                </c:pt>
                <c:pt idx="1">
                  <c:v>0.944575130563795</c:v>
                </c:pt>
                <c:pt idx="2">
                  <c:v>1.57429188427299</c:v>
                </c:pt>
                <c:pt idx="3">
                  <c:v>2.20400863798219</c:v>
                </c:pt>
                <c:pt idx="4">
                  <c:v>4.14420412081196</c:v>
                </c:pt>
                <c:pt idx="5">
                  <c:v>5.6811598080426</c:v>
                </c:pt>
                <c:pt idx="6">
                  <c:v>10.0234315073847</c:v>
                </c:pt>
                <c:pt idx="7">
                  <c:v>13.6269778303517</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{0.551002159495547,0.944575130563795,1.57429188427299,2.20400863798219,4.14420412081196,5.53005803711894,6.97282815941591,8.32234388995268}</c:f>
              <c:numCache>
                <c:formatCode>General</c:formatCode>
                <c:ptCount val="8"/>
                <c:pt idx="0">
                  <c:v>0.551002159495547</c:v>
                </c:pt>
                <c:pt idx="1">
                  <c:v>0.944575130563795</c:v>
                </c:pt>
                <c:pt idx="2">
                  <c:v>1.57429188427299</c:v>
                </c:pt>
                <c:pt idx="3">
                  <c:v>2.20400863798219</c:v>
                </c:pt>
                <c:pt idx="4">
                  <c:v>4.14420412081196</c:v>
                </c:pt>
                <c:pt idx="5">
                  <c:v>5.53005803711894</c:v>
                </c:pt>
                <c:pt idx="6">
                  <c:v>6.97282815941591</c:v>
                </c:pt>
                <c:pt idx="7">
                  <c:v>8.32234388995268</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dLbls>
          <c:showLegendKey val="0"/>
          <c:showVal val="0"/>
          <c:showCatName val="0"/>
          <c:showSerName val="0"/>
          <c:showPercent val="0"/>
          <c:showBubbleSize val="0"/>
        </c:dLbls>
        <c:axId val="295494608"/>
        <c:axId val="295495168"/>
      </c:scatterChart>
      <c:valAx>
        <c:axId val="2954946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5168"/>
        <c:crosses val="autoZero"/>
        <c:crossBetween val="midCat"/>
      </c:valAx>
      <c:valAx>
        <c:axId val="295495168"/>
        <c:scaling>
          <c:orientation val="minMax"/>
          <c:max val="3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4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a549428-c1eb-4fd1-9aa3-9046e10001e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diesel freight rail"</c:f>
          <c:strCache>
            <c:ptCount val="1"/>
            <c:pt idx="0">
              <c:v>Technology possibility curve for diesel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{0.366699283839746,0.923894798771333,2.55342717927667,3.30752788918798,4.09436118333458,9.32329922164856,18.9309961909739,26.6543431108712}</c:f>
              <c:numCache>
                <c:formatCode>General</c:formatCode>
                <c:ptCount val="8"/>
                <c:pt idx="0">
                  <c:v>0.366699283839746</c:v>
                </c:pt>
                <c:pt idx="1">
                  <c:v>0.923894798771333</c:v>
                </c:pt>
                <c:pt idx="2">
                  <c:v>2.55342717927667</c:v>
                </c:pt>
                <c:pt idx="3">
                  <c:v>3.30752788918798</c:v>
                </c:pt>
                <c:pt idx="4">
                  <c:v>4.09436118333458</c:v>
                </c:pt>
                <c:pt idx="5">
                  <c:v>9.32329922164856</c:v>
                </c:pt>
                <c:pt idx="6">
                  <c:v>18.9309961909739</c:v>
                </c:pt>
                <c:pt idx="7">
                  <c:v>26.6543431108712</c:v>
                </c:pt>
              </c:numCache>
            </c:numRef>
          </c:yVal>
          <c:smooth val="0"/>
        </c:ser>
        <c:ser>
          <c:idx val="2"/>
          <c:order val="1"/>
          <c:tx>
            <c:strRef>
              <c:f>2025</c:f>
              <c:strCache>
                <c:ptCount val="1"/>
                <c:pt idx="0">
                  <c:v>2025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{0.366699283839746,0.880078281215391,1.70925707108043,2.15981365864886,2.88862633213011,6.37446035768041,10.6665580555569,14.3331578135315}</c:f>
              <c:numCache>
                <c:formatCode>General</c:formatCode>
                <c:ptCount val="8"/>
                <c:pt idx="0">
                  <c:v>0.366699283839746</c:v>
                </c:pt>
                <c:pt idx="1">
                  <c:v>0.880078281215391</c:v>
                </c:pt>
                <c:pt idx="2">
                  <c:v>1.70925707108043</c:v>
                </c:pt>
                <c:pt idx="3">
                  <c:v>2.15981365864886</c:v>
                </c:pt>
                <c:pt idx="4">
                  <c:v>2.88862633213011</c:v>
                </c:pt>
                <c:pt idx="5">
                  <c:v>6.37446035768041</c:v>
                </c:pt>
                <c:pt idx="6">
                  <c:v>10.6665580555569</c:v>
                </c:pt>
                <c:pt idx="7">
                  <c:v>14.3331578135315</c:v>
                </c:pt>
              </c:numCache>
            </c:numRef>
          </c:yVal>
          <c:smooth val="0"/>
        </c:ser>
        <c:ser>
          <c:idx val="3"/>
          <c:order val="2"/>
          <c:tx>
            <c:strRef>
              <c:f>2030</c:f>
              <c:strCache>
                <c:ptCount val="1"/>
                <c:pt idx="0">
                  <c:v>2030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{0.366699283839746,0.880078281215391,1.46679713535898,1.98017613273463,2.78080290245141,3.84378823716628,6.35104132362033,7.98146574709869}</c:f>
              <c:numCache>
                <c:formatCode>General</c:formatCode>
                <c:ptCount val="8"/>
                <c:pt idx="0">
                  <c:v>0.366699283839746</c:v>
                </c:pt>
                <c:pt idx="1">
                  <c:v>0.880078281215391</c:v>
                </c:pt>
                <c:pt idx="2">
                  <c:v>1.46679713535898</c:v>
                </c:pt>
                <c:pt idx="3">
                  <c:v>1.98017613273463</c:v>
                </c:pt>
                <c:pt idx="4">
                  <c:v>2.78080290245141</c:v>
                </c:pt>
                <c:pt idx="5">
                  <c:v>3.84378823716628</c:v>
                </c:pt>
                <c:pt idx="6">
                  <c:v>6.35104132362033</c:v>
                </c:pt>
                <c:pt idx="7">
                  <c:v>7.98146574709869</c:v>
                </c:pt>
              </c:numCache>
            </c:numRef>
          </c:yVal>
          <c:smooth val="0"/>
        </c:ser>
        <c:ser>
          <c:idx val="4"/>
          <c:order val="3"/>
          <c:tx>
            <c:strRef>
              <c:f>2035</c:f>
              <c:strCache>
                <c:ptCount val="1"/>
                <c:pt idx="0">
                  <c:v>2035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{0.366699283839746,0.880078281215391,1.46679713535898,1.98017613273463,2.78080290245141,3.74155502611154,4.4181196579562,4.87448526886751}</c:f>
              <c:numCache>
                <c:formatCode>General</c:formatCode>
                <c:ptCount val="8"/>
                <c:pt idx="0">
                  <c:v>0.366699283839746</c:v>
                </c:pt>
                <c:pt idx="1">
                  <c:v>0.880078281215391</c:v>
                </c:pt>
                <c:pt idx="2">
                  <c:v>1.46679713535898</c:v>
                </c:pt>
                <c:pt idx="3">
                  <c:v>1.98017613273463</c:v>
                </c:pt>
                <c:pt idx="4">
                  <c:v>2.78080290245141</c:v>
                </c:pt>
                <c:pt idx="5">
                  <c:v>3.74155502611154</c:v>
                </c:pt>
                <c:pt idx="6">
                  <c:v>4.4181196579562</c:v>
                </c:pt>
                <c:pt idx="7">
                  <c:v>4.87448526886751</c:v>
                </c:pt>
              </c:numCache>
            </c:numRef>
          </c:yVal>
          <c:smooth val="1"/>
        </c:ser>
        <c:ser>
          <c:idx val="5"/>
          <c:order val="4"/>
          <c:tx>
            <c:strRef>
              <c:f>2040</c:f>
              <c:strCache>
                <c:ptCount val="1"/>
                <c:pt idx="0">
                  <c:v>2040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6"/>
          <c:order val="5"/>
          <c:tx>
            <c:strRef>
              <c:f>2045</c:f>
              <c:strCache>
                <c:ptCount val="1"/>
                <c:pt idx="0">
                  <c:v>2045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7"/>
          <c:order val="6"/>
          <c:tx>
            <c:strRef>
              <c:f>2050</c:f>
              <c:strCache>
                <c:ptCount val="1"/>
                <c:pt idx="0">
                  <c:v>2050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dLbls>
          <c:showLegendKey val="0"/>
          <c:showVal val="0"/>
          <c:showCatName val="0"/>
          <c:showSerName val="0"/>
          <c:showPercent val="0"/>
          <c:showBubbleSize val="0"/>
        </c:dLbls>
        <c:axId val="295501328"/>
        <c:axId val="295501888"/>
      </c:scatterChart>
      <c:valAx>
        <c:axId val="295501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888"/>
        <c:crosses val="autoZero"/>
        <c:crossBetween val="midCat"/>
      </c:valAx>
      <c:valAx>
        <c:axId val="29550188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e154606-6b2b-4774-8f2e-12535eac8d5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rail"</c:f>
          <c:strCache>
            <c:ptCount val="1"/>
            <c:pt idx="0">
              <c:v>Technology possibility curve for electric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{0.445539629865291,0.801808700362263,2.21601001630082,2.97677510026918,4.0433309634312,8.55868401952625,17.8129944912362,26.3769449698984}</c:f>
              <c:numCache>
                <c:formatCode>General</c:formatCode>
                <c:ptCount val="8"/>
                <c:pt idx="0">
                  <c:v>0.445539629865291</c:v>
                </c:pt>
                <c:pt idx="1">
                  <c:v>0.801808700362263</c:v>
                </c:pt>
                <c:pt idx="2">
                  <c:v>2.21601001630082</c:v>
                </c:pt>
                <c:pt idx="3">
                  <c:v>2.97677510026918</c:v>
                </c:pt>
                <c:pt idx="4">
                  <c:v>4.0433309634312</c:v>
                </c:pt>
                <c:pt idx="5">
                  <c:v>8.55868401952625</c:v>
                </c:pt>
                <c:pt idx="6">
                  <c:v>17.8129944912362</c:v>
                </c:pt>
                <c:pt idx="7">
                  <c:v>26.3769449698984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{0.445539629865291,0.763782222626213,1.48339095811623,1.94383229278397,2.85262383251007,5.85168304688777,10.0366265973196,14.1839892028024}</c:f>
              <c:numCache>
                <c:formatCode>General</c:formatCode>
                <c:ptCount val="8"/>
                <c:pt idx="0">
                  <c:v>0.445539629865291</c:v>
                </c:pt>
                <c:pt idx="1">
                  <c:v>0.763782222626213</c:v>
                </c:pt>
                <c:pt idx="2">
                  <c:v>1.48339095811623</c:v>
                </c:pt>
                <c:pt idx="3">
                  <c:v>1.94383229278397</c:v>
                </c:pt>
                <c:pt idx="4">
                  <c:v>2.85262383251007</c:v>
                </c:pt>
                <c:pt idx="5">
                  <c:v>5.85168304688777</c:v>
                </c:pt>
                <c:pt idx="6">
                  <c:v>10.0366265973196</c:v>
                </c:pt>
                <c:pt idx="7">
                  <c:v>14.1839892028024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{0.445539629865291,0.763782222626213,1.27297037104369,1.78215851946116,2.74614426407879,3.52855445028407,5.97596993681725,7.89840071896146}</c:f>
              <c:numCache>
                <c:formatCode>General</c:formatCode>
                <c:ptCount val="8"/>
                <c:pt idx="0">
                  <c:v>0.445539629865291</c:v>
                </c:pt>
                <c:pt idx="1">
                  <c:v>0.763782222626213</c:v>
                </c:pt>
                <c:pt idx="2">
                  <c:v>1.27297037104369</c:v>
                </c:pt>
                <c:pt idx="3">
                  <c:v>1.78215851946116</c:v>
                </c:pt>
                <c:pt idx="4">
                  <c:v>2.74614426407879</c:v>
                </c:pt>
                <c:pt idx="5">
                  <c:v>3.52855445028407</c:v>
                </c:pt>
                <c:pt idx="6">
                  <c:v>5.97596993681725</c:v>
                </c:pt>
                <c:pt idx="7">
                  <c:v>7.89840071896146</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{0.445539629865291,0.763782222626213,1.27297037104369,1.78215851946116,2.74614426407879,3.43470551023424,4.15720019881041,4.8237553316802}</c:f>
              <c:numCache>
                <c:formatCode>General</c:formatCode>
                <c:ptCount val="8"/>
                <c:pt idx="0">
                  <c:v>0.445539629865291</c:v>
                </c:pt>
                <c:pt idx="1">
                  <c:v>0.763782222626213</c:v>
                </c:pt>
                <c:pt idx="2">
                  <c:v>1.27297037104369</c:v>
                </c:pt>
                <c:pt idx="3">
                  <c:v>1.78215851946116</c:v>
                </c:pt>
                <c:pt idx="4">
                  <c:v>2.74614426407879</c:v>
                </c:pt>
                <c:pt idx="5">
                  <c:v>3.43470551023424</c:v>
                </c:pt>
                <c:pt idx="6">
                  <c:v>4.15720019881041</c:v>
                </c:pt>
                <c:pt idx="7">
                  <c:v>4.8237553316802</c:v>
                </c:pt>
              </c:numCache>
            </c:numRef>
          </c:yVal>
          <c:smooth val="0"/>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dLbls>
          <c:showLegendKey val="0"/>
          <c:showVal val="0"/>
          <c:showCatName val="0"/>
          <c:showSerName val="0"/>
          <c:showPercent val="0"/>
          <c:showBubbleSize val="0"/>
        </c:dLbls>
        <c:axId val="295508048"/>
        <c:axId val="295508608"/>
      </c:scatterChart>
      <c:valAx>
        <c:axId val="295508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608"/>
        <c:crosses val="autoZero"/>
        <c:crossBetween val="midCat"/>
      </c:valAx>
      <c:valAx>
        <c:axId val="29550860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7ded98d-74cf-4ff8-8fa9-66a40b525fb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inland navigation"</c:f>
          <c:strCache>
            <c:ptCount val="1"/>
            <c:pt idx="0">
              <c:v>Technology possibility curve for passenger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{1.22768570721459,1.50035074251048,1.77301577780636,3.30752788918798,4.09436118333458,9.32329922164856,14.5020146480171}</c:f>
              <c:numCache>
                <c:formatCode>General</c:formatCode>
                <c:ptCount val="7"/>
                <c:pt idx="0">
                  <c:v>1.22768570721459</c:v>
                </c:pt>
                <c:pt idx="1">
                  <c:v>1.50035074251048</c:v>
                </c:pt>
                <c:pt idx="2">
                  <c:v>1.77301577780636</c:v>
                </c:pt>
                <c:pt idx="3">
                  <c:v>3.30752788918798</c:v>
                </c:pt>
                <c:pt idx="4">
                  <c:v>4.09436118333458</c:v>
                </c:pt>
                <c:pt idx="5">
                  <c:v>9.32329922164856</c:v>
                </c:pt>
                <c:pt idx="6">
                  <c:v>14.5020146480171</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{1.22768570721459,1.41975911624655,1.61183252527851,2.15981365864886,2.88862633213011,5.73701432191237,7.75474683213262}</c:f>
              <c:numCache>
                <c:formatCode>General</c:formatCode>
                <c:ptCount val="7"/>
                <c:pt idx="0">
                  <c:v>1.22768570721459</c:v>
                </c:pt>
                <c:pt idx="1">
                  <c:v>1.41975911624655</c:v>
                </c:pt>
                <c:pt idx="2">
                  <c:v>1.61183252527851</c:v>
                </c:pt>
                <c:pt idx="3">
                  <c:v>2.15981365864886</c:v>
                </c:pt>
                <c:pt idx="4">
                  <c:v>2.88862633213011</c:v>
                </c:pt>
                <c:pt idx="5">
                  <c:v>5.73701432191237</c:v>
                </c:pt>
                <c:pt idx="6">
                  <c:v>7.75474683213262</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{1.22768570721459,1.34649400146116,1.46530229570774,2.02721467700705,2.58912705830636,3.15103943960567,3.71295182090498}</c:f>
              <c:numCache>
                <c:formatCode>General</c:formatCode>
                <c:ptCount val="7"/>
                <c:pt idx="0">
                  <c:v>1.22768570721459</c:v>
                </c:pt>
                <c:pt idx="1">
                  <c:v>1.34649400146116</c:v>
                </c:pt>
                <c:pt idx="2">
                  <c:v>1.46530229570774</c:v>
                </c:pt>
                <c:pt idx="3">
                  <c:v>2.02721467700705</c:v>
                </c:pt>
                <c:pt idx="4">
                  <c:v>2.58912705830636</c:v>
                </c:pt>
                <c:pt idx="5">
                  <c:v>3.15103943960567</c:v>
                </c:pt>
                <c:pt idx="6">
                  <c:v>3.71295182090498</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f47dd61-5c1b-47b5-8d01-bdcc1f8726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passenger inland navigation"</c:f>
          <c:strCache>
            <c:ptCount val="1"/>
            <c:pt idx="0">
              <c:v>Technology possibility curve for electric passenger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0"/>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0"/>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0"/>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0"/>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0"/>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0"/>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4af2aa6-15d7-4e04-877b-b5c0edb4744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freight inland navigation"</c:f>
          <c:strCache>
            <c:ptCount val="1"/>
            <c:pt idx="0">
              <c:v>Technology possibility curve for freight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{5.03055272757381,6.36475431467651,7.69895590177921,14.8911314570096,22.08330701224,29.2754825674703,36.4676581227007}</c:f>
              <c:numCache>
                <c:formatCode>General</c:formatCode>
                <c:ptCount val="7"/>
                <c:pt idx="0">
                  <c:v>5.03055272757381</c:v>
                </c:pt>
                <c:pt idx="1">
                  <c:v>6.36475431467651</c:v>
                </c:pt>
                <c:pt idx="2">
                  <c:v>7.69895590177921</c:v>
                </c:pt>
                <c:pt idx="3">
                  <c:v>14.8911314570096</c:v>
                </c:pt>
                <c:pt idx="4">
                  <c:v>22.08330701224</c:v>
                </c:pt>
                <c:pt idx="5">
                  <c:v>29.2754825674703</c:v>
                </c:pt>
                <c:pt idx="6">
                  <c:v>36.4676581227007</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{3.68305712164378,4.17504739129485,4.66703766094592,9.05812307603856,13.4492084911312,17.8402939062238,22.2313793213165}</c:f>
              <c:numCache>
                <c:formatCode>General</c:formatCode>
                <c:ptCount val="7"/>
                <c:pt idx="0">
                  <c:v>3.68305712164378</c:v>
                </c:pt>
                <c:pt idx="1">
                  <c:v>4.17504739129485</c:v>
                </c:pt>
                <c:pt idx="2">
                  <c:v>4.66703766094592</c:v>
                </c:pt>
                <c:pt idx="3">
                  <c:v>9.05812307603856</c:v>
                </c:pt>
                <c:pt idx="4">
                  <c:v>13.4492084911312</c:v>
                </c:pt>
                <c:pt idx="5">
                  <c:v>17.8402939062238</c:v>
                </c:pt>
                <c:pt idx="6">
                  <c:v>22.2313793213165</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{3.68305712164378,4.0394820043835,4.39590688712321,6.70130963741804,9.00671238771287,11.3121151380077,13.6175178883025}</c:f>
              <c:numCache>
                <c:formatCode>General</c:formatCode>
                <c:ptCount val="7"/>
                <c:pt idx="0">
                  <c:v>3.68305712164378</c:v>
                </c:pt>
                <c:pt idx="1">
                  <c:v>4.0394820043835</c:v>
                </c:pt>
                <c:pt idx="2">
                  <c:v>4.39590688712321</c:v>
                </c:pt>
                <c:pt idx="3">
                  <c:v>6.70130963741804</c:v>
                </c:pt>
                <c:pt idx="4">
                  <c:v>9.00671238771287</c:v>
                </c:pt>
                <c:pt idx="5">
                  <c:v>11.3121151380077</c:v>
                </c:pt>
                <c:pt idx="6">
                  <c:v>13.6175178883025</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0"/>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f23b2a-8a38-4365-a9ff-c30a2e4329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inland navigation"</c:f>
          <c:strCache>
            <c:ptCount val="1"/>
            <c:pt idx="0">
              <c:v>Technology possibility curve for electric freight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1"/>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1"/>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1"/>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1"/>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1"/>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4b5da1-07c1-48d2-85d6-cd4b86c551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16.xml"/><Relationship Id="rId8" Type="http://schemas.openxmlformats.org/officeDocument/2006/relationships/chart" Target="../charts/chart15.xml"/><Relationship Id="rId7" Type="http://schemas.openxmlformats.org/officeDocument/2006/relationships/chart" Target="../charts/chart14.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0" Type="http://schemas.openxmlformats.org/officeDocument/2006/relationships/chart" Target="../charts/chart17.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9" Type="http://schemas.openxmlformats.org/officeDocument/2006/relationships/chart" Target="../charts/chart26.xml"/><Relationship Id="rId8" Type="http://schemas.openxmlformats.org/officeDocument/2006/relationships/chart" Target="../charts/chart25.xml"/><Relationship Id="rId7" Type="http://schemas.openxmlformats.org/officeDocument/2006/relationships/chart" Target="../charts/chart24.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9" Type="http://schemas.openxmlformats.org/officeDocument/2006/relationships/chart" Target="../charts/chart35.xml"/><Relationship Id="rId8" Type="http://schemas.openxmlformats.org/officeDocument/2006/relationships/chart" Target="../charts/chart34.xml"/><Relationship Id="rId7" Type="http://schemas.openxmlformats.org/officeDocument/2006/relationships/chart" Target="../charts/chart33.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 Id="rId3" Type="http://schemas.openxmlformats.org/officeDocument/2006/relationships/chart" Target="../charts/chart29.xml"/><Relationship Id="rId2" Type="http://schemas.openxmlformats.org/officeDocument/2006/relationships/chart" Target="../charts/chart28.xml"/><Relationship Id="rId10" Type="http://schemas.openxmlformats.org/officeDocument/2006/relationships/chart" Target="../charts/chart36.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4.xml"/><Relationship Id="rId7" Type="http://schemas.openxmlformats.org/officeDocument/2006/relationships/chart" Target="../charts/chart43.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8.xml.rels><?xml version="1.0" encoding="UTF-8" standalone="yes"?>
<Relationships xmlns="http://schemas.openxmlformats.org/package/2006/relationships"><Relationship Id="rId9" Type="http://schemas.openxmlformats.org/officeDocument/2006/relationships/chart" Target="../charts/chart54.xml"/><Relationship Id="rId8" Type="http://schemas.openxmlformats.org/officeDocument/2006/relationships/chart" Target="../charts/chart53.xml"/><Relationship Id="rId7" Type="http://schemas.openxmlformats.org/officeDocument/2006/relationships/chart" Target="../charts/chart52.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 Id="rId3" Type="http://schemas.openxmlformats.org/officeDocument/2006/relationships/chart" Target="../charts/chart48.xml"/><Relationship Id="rId2" Type="http://schemas.openxmlformats.org/officeDocument/2006/relationships/chart" Target="../charts/chart47.xml"/><Relationship Id="rId10" Type="http://schemas.openxmlformats.org/officeDocument/2006/relationships/chart" Target="../charts/chart55.xml"/><Relationship Id="rId1"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9" Type="http://schemas.openxmlformats.org/officeDocument/2006/relationships/chart" Target="../charts/chart64.xml"/><Relationship Id="rId8" Type="http://schemas.openxmlformats.org/officeDocument/2006/relationships/chart" Target="../charts/chart63.xml"/><Relationship Id="rId7" Type="http://schemas.openxmlformats.org/officeDocument/2006/relationships/chart" Target="../charts/chart62.xml"/><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 Id="rId3" Type="http://schemas.openxmlformats.org/officeDocument/2006/relationships/chart" Target="../charts/chart58.xml"/><Relationship Id="rId20" Type="http://schemas.openxmlformats.org/officeDocument/2006/relationships/chart" Target="../charts/chart75.xml"/><Relationship Id="rId2" Type="http://schemas.openxmlformats.org/officeDocument/2006/relationships/chart" Target="../charts/chart57.xml"/><Relationship Id="rId19" Type="http://schemas.openxmlformats.org/officeDocument/2006/relationships/chart" Target="../charts/chart74.xml"/><Relationship Id="rId18" Type="http://schemas.openxmlformats.org/officeDocument/2006/relationships/chart" Target="../charts/chart73.xml"/><Relationship Id="rId17" Type="http://schemas.openxmlformats.org/officeDocument/2006/relationships/chart" Target="../charts/chart72.xml"/><Relationship Id="rId16" Type="http://schemas.openxmlformats.org/officeDocument/2006/relationships/chart" Target="../charts/chart71.xml"/><Relationship Id="rId15" Type="http://schemas.openxmlformats.org/officeDocument/2006/relationships/chart" Target="../charts/chart70.xml"/><Relationship Id="rId14" Type="http://schemas.openxmlformats.org/officeDocument/2006/relationships/chart" Target="../charts/chart69.xml"/><Relationship Id="rId13" Type="http://schemas.openxmlformats.org/officeDocument/2006/relationships/chart" Target="../charts/chart68.xml"/><Relationship Id="rId12" Type="http://schemas.openxmlformats.org/officeDocument/2006/relationships/chart" Target="../charts/chart67.xml"/><Relationship Id="rId11" Type="http://schemas.openxmlformats.org/officeDocument/2006/relationships/chart" Target="../charts/chart66.xml"/><Relationship Id="rId10" Type="http://schemas.openxmlformats.org/officeDocument/2006/relationships/chart" Target="../charts/chart65.xml"/><Relationship Id="rId1" Type="http://schemas.openxmlformats.org/officeDocument/2006/relationships/chart" Target="../charts/chart5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s>
</file>

<file path=xl/drawings/_rels/drawing11.xml.rels><?xml version="1.0" encoding="UTF-8" standalone="yes"?>
<Relationships xmlns="http://schemas.openxmlformats.org/package/2006/relationships"><Relationship Id="rId5" Type="http://schemas.openxmlformats.org/officeDocument/2006/relationships/chart" Target="../charts/chart83.xml"/><Relationship Id="rId4" Type="http://schemas.openxmlformats.org/officeDocument/2006/relationships/chart" Target="../charts/chart82.xml"/><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12.xml.rels><?xml version="1.0" encoding="UTF-8" standalone="yes"?>
<Relationships xmlns="http://schemas.openxmlformats.org/package/2006/relationships"><Relationship Id="rId4" Type="http://schemas.openxmlformats.org/officeDocument/2006/relationships/chart" Target="../charts/chart87.xml"/><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590549</xdr:colOff>
      <xdr:row>0</xdr:row>
      <xdr:rowOff>85724</xdr:rowOff>
    </xdr:from>
    <xdr:to>
      <xdr:col>1</xdr:col>
      <xdr:colOff>2705100</xdr:colOff>
      <xdr:row>6</xdr:row>
      <xdr:rowOff>0</xdr:rowOff>
    </xdr:to>
    <xdr:pic>
      <xdr:nvPicPr>
        <xdr:cNvPr id="2" name="Picture 1"/>
        <xdr:cNvPicPr/>
      </xdr:nvPicPr>
      <xdr:blipFill>
        <a:blip r:embed="rId1">
          <a:extLst>
            <a:ext uri="{28A0092B-C50C-407E-A947-70E740481C1C}">
              <a14:useLocalDpi xmlns:a14="http://schemas.microsoft.com/office/drawing/2010/main" val="0"/>
            </a:ext>
          </a:extLst>
        </a:blip>
        <a:srcRect/>
        <a:stretch>
          <a:fillRect/>
        </a:stretch>
      </xdr:blipFill>
      <xdr:spPr>
        <a:xfrm>
          <a:off x="589915" y="85090"/>
          <a:ext cx="2743835" cy="10198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13607</xdr:rowOff>
    </xdr:from>
    <xdr:to>
      <xdr:col>0</xdr:col>
      <xdr:colOff>0</xdr:colOff>
      <xdr:row>20</xdr:row>
      <xdr:rowOff>0</xdr:rowOff>
    </xdr:to>
    <xdr:graphicFrame>
      <xdr:nvGraphicFramePr>
        <xdr:cNvPr id="2" name="Chart 1"/>
        <xdr:cNvGraphicFramePr/>
      </xdr:nvGraphicFramePr>
      <xdr:xfrm>
        <a:off x="0" y="810260"/>
        <a:ext cx="0" cy="3145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0</xdr:col>
      <xdr:colOff>0</xdr:colOff>
      <xdr:row>71</xdr:row>
      <xdr:rowOff>0</xdr:rowOff>
    </xdr:to>
    <xdr:graphicFrame>
      <xdr:nvGraphicFramePr>
        <xdr:cNvPr id="3" name="Chart 2"/>
        <xdr:cNvGraphicFramePr/>
      </xdr:nvGraphicFramePr>
      <xdr:xfrm>
        <a:off x="0" y="10966450"/>
        <a:ext cx="0" cy="2400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0</xdr:col>
      <xdr:colOff>0</xdr:colOff>
      <xdr:row>35</xdr:row>
      <xdr:rowOff>0</xdr:rowOff>
    </xdr:to>
    <xdr:graphicFrame>
      <xdr:nvGraphicFramePr>
        <xdr:cNvPr id="4" name="Chart 3"/>
        <xdr:cNvGraphicFramePr/>
      </xdr:nvGraphicFramePr>
      <xdr:xfrm>
        <a:off x="0" y="414020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27214</xdr:rowOff>
    </xdr:from>
    <xdr:to>
      <xdr:col>0</xdr:col>
      <xdr:colOff>0</xdr:colOff>
      <xdr:row>57</xdr:row>
      <xdr:rowOff>116300</xdr:rowOff>
    </xdr:to>
    <xdr:graphicFrame>
      <xdr:nvGraphicFramePr>
        <xdr:cNvPr id="5" name="Chart 4"/>
        <xdr:cNvGraphicFramePr/>
      </xdr:nvGraphicFramePr>
      <xdr:xfrm>
        <a:off x="0" y="6935470"/>
        <a:ext cx="0" cy="39630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71</xdr:row>
      <xdr:rowOff>0</xdr:rowOff>
    </xdr:from>
    <xdr:to>
      <xdr:col>0</xdr:col>
      <xdr:colOff>0</xdr:colOff>
      <xdr:row>87</xdr:row>
      <xdr:rowOff>0</xdr:rowOff>
    </xdr:to>
    <xdr:graphicFrame>
      <xdr:nvGraphicFramePr>
        <xdr:cNvPr id="6" name="Chart 5"/>
        <xdr:cNvGraphicFramePr/>
      </xdr:nvGraphicFramePr>
      <xdr:xfrm>
        <a:off x="0" y="13366750"/>
        <a:ext cx="0" cy="29527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87</xdr:row>
      <xdr:rowOff>0</xdr:rowOff>
    </xdr:from>
    <xdr:to>
      <xdr:col>0</xdr:col>
      <xdr:colOff>0</xdr:colOff>
      <xdr:row>102</xdr:row>
      <xdr:rowOff>0</xdr:rowOff>
    </xdr:to>
    <xdr:graphicFrame>
      <xdr:nvGraphicFramePr>
        <xdr:cNvPr id="7" name="Chart 6"/>
        <xdr:cNvGraphicFramePr/>
      </xdr:nvGraphicFramePr>
      <xdr:xfrm>
        <a:off x="0" y="16319500"/>
        <a:ext cx="0" cy="27686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102</xdr:row>
      <xdr:rowOff>0</xdr:rowOff>
    </xdr:from>
    <xdr:to>
      <xdr:col>0</xdr:col>
      <xdr:colOff>0</xdr:colOff>
      <xdr:row>118</xdr:row>
      <xdr:rowOff>0</xdr:rowOff>
    </xdr:to>
    <xdr:graphicFrame>
      <xdr:nvGraphicFramePr>
        <xdr:cNvPr id="8" name="Chart 7"/>
        <xdr:cNvGraphicFramePr/>
      </xdr:nvGraphicFramePr>
      <xdr:xfrm>
        <a:off x="0" y="19088100"/>
        <a:ext cx="0" cy="29527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13607</xdr:rowOff>
    </xdr:from>
    <xdr:to>
      <xdr:col>0</xdr:col>
      <xdr:colOff>0</xdr:colOff>
      <xdr:row>28</xdr:row>
      <xdr:rowOff>0</xdr:rowOff>
    </xdr:to>
    <xdr:graphicFrame>
      <xdr:nvGraphicFramePr>
        <xdr:cNvPr id="2" name="Chart 1"/>
        <xdr:cNvGraphicFramePr/>
      </xdr:nvGraphicFramePr>
      <xdr:xfrm>
        <a:off x="0" y="1499235"/>
        <a:ext cx="0" cy="3726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77</xdr:row>
      <xdr:rowOff>0</xdr:rowOff>
    </xdr:to>
    <xdr:graphicFrame>
      <xdr:nvGraphicFramePr>
        <xdr:cNvPr id="3" name="Chart 2"/>
        <xdr:cNvGraphicFramePr/>
      </xdr:nvGraphicFramePr>
      <xdr:xfrm>
        <a:off x="0" y="12052300"/>
        <a:ext cx="0" cy="2216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0</xdr:col>
      <xdr:colOff>0</xdr:colOff>
      <xdr:row>42</xdr:row>
      <xdr:rowOff>0</xdr:rowOff>
    </xdr:to>
    <xdr:graphicFrame>
      <xdr:nvGraphicFramePr>
        <xdr:cNvPr id="4" name="Chart 3"/>
        <xdr:cNvGraphicFramePr/>
      </xdr:nvGraphicFramePr>
      <xdr:xfrm>
        <a:off x="0" y="522605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27214</xdr:rowOff>
    </xdr:from>
    <xdr:to>
      <xdr:col>0</xdr:col>
      <xdr:colOff>0</xdr:colOff>
      <xdr:row>65</xdr:row>
      <xdr:rowOff>0</xdr:rowOff>
    </xdr:to>
    <xdr:graphicFrame>
      <xdr:nvGraphicFramePr>
        <xdr:cNvPr id="5" name="Chart 4"/>
        <xdr:cNvGraphicFramePr/>
      </xdr:nvGraphicFramePr>
      <xdr:xfrm>
        <a:off x="0" y="8021320"/>
        <a:ext cx="0" cy="40309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0</xdr:rowOff>
    </xdr:from>
    <xdr:to>
      <xdr:col>0</xdr:col>
      <xdr:colOff>0</xdr:colOff>
      <xdr:row>94</xdr:row>
      <xdr:rowOff>0</xdr:rowOff>
    </xdr:to>
    <xdr:graphicFrame>
      <xdr:nvGraphicFramePr>
        <xdr:cNvPr id="6" name="Chart 5"/>
        <xdr:cNvGraphicFramePr/>
      </xdr:nvGraphicFramePr>
      <xdr:xfrm>
        <a:off x="0" y="14268450"/>
        <a:ext cx="0" cy="31369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0</xdr:rowOff>
    </xdr:from>
    <xdr:to>
      <xdr:col>0</xdr:col>
      <xdr:colOff>0</xdr:colOff>
      <xdr:row>113</xdr:row>
      <xdr:rowOff>90767</xdr:rowOff>
    </xdr:to>
    <xdr:graphicFrame>
      <xdr:nvGraphicFramePr>
        <xdr:cNvPr id="7" name="Chart 6"/>
        <xdr:cNvGraphicFramePr/>
      </xdr:nvGraphicFramePr>
      <xdr:xfrm>
        <a:off x="0" y="17405350"/>
        <a:ext cx="0" cy="35953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166</xdr:row>
      <xdr:rowOff>0</xdr:rowOff>
    </xdr:from>
    <xdr:to>
      <xdr:col>0</xdr:col>
      <xdr:colOff>0</xdr:colOff>
      <xdr:row>184</xdr:row>
      <xdr:rowOff>0</xdr:rowOff>
    </xdr:to>
    <xdr:graphicFrame>
      <xdr:nvGraphicFramePr>
        <xdr:cNvPr id="8" name="Chart 7"/>
        <xdr:cNvGraphicFramePr/>
      </xdr:nvGraphicFramePr>
      <xdr:xfrm>
        <a:off x="0" y="30695900"/>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0</xdr:col>
      <xdr:colOff>0</xdr:colOff>
      <xdr:row>134</xdr:row>
      <xdr:rowOff>0</xdr:rowOff>
    </xdr:to>
    <xdr:graphicFrame>
      <xdr:nvGraphicFramePr>
        <xdr:cNvPr id="9" name="Chart 8"/>
        <xdr:cNvGraphicFramePr/>
      </xdr:nvGraphicFramePr>
      <xdr:xfrm>
        <a:off x="0" y="21094700"/>
        <a:ext cx="0" cy="36893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134</xdr:row>
      <xdr:rowOff>0</xdr:rowOff>
    </xdr:from>
    <xdr:to>
      <xdr:col>0</xdr:col>
      <xdr:colOff>0</xdr:colOff>
      <xdr:row>153</xdr:row>
      <xdr:rowOff>19814</xdr:rowOff>
    </xdr:to>
    <xdr:graphicFrame>
      <xdr:nvGraphicFramePr>
        <xdr:cNvPr id="10" name="Chart 9"/>
        <xdr:cNvGraphicFramePr/>
      </xdr:nvGraphicFramePr>
      <xdr:xfrm>
        <a:off x="0" y="24784050"/>
        <a:ext cx="0" cy="352488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154</xdr:row>
      <xdr:rowOff>0</xdr:rowOff>
    </xdr:from>
    <xdr:to>
      <xdr:col>0</xdr:col>
      <xdr:colOff>0</xdr:colOff>
      <xdr:row>166</xdr:row>
      <xdr:rowOff>0</xdr:rowOff>
    </xdr:to>
    <xdr:graphicFrame>
      <xdr:nvGraphicFramePr>
        <xdr:cNvPr id="11" name="Chart 10"/>
        <xdr:cNvGraphicFramePr/>
      </xdr:nvGraphicFramePr>
      <xdr:xfrm>
        <a:off x="0" y="28473400"/>
        <a:ext cx="0" cy="22225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33618</xdr:rowOff>
    </xdr:from>
    <xdr:to>
      <xdr:col>0</xdr:col>
      <xdr:colOff>0</xdr:colOff>
      <xdr:row>26</xdr:row>
      <xdr:rowOff>59918</xdr:rowOff>
    </xdr:to>
    <xdr:graphicFrame>
      <xdr:nvGraphicFramePr>
        <xdr:cNvPr id="2" name="Chart 1"/>
        <xdr:cNvGraphicFramePr/>
      </xdr:nvGraphicFramePr>
      <xdr:xfrm>
        <a:off x="0" y="229870"/>
        <a:ext cx="0" cy="4652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75</xdr:row>
      <xdr:rowOff>59613</xdr:rowOff>
    </xdr:to>
    <xdr:graphicFrame>
      <xdr:nvGraphicFramePr>
        <xdr:cNvPr id="3" name="Chart 2"/>
        <xdr:cNvGraphicFramePr/>
      </xdr:nvGraphicFramePr>
      <xdr:xfrm>
        <a:off x="0" y="12017375"/>
        <a:ext cx="0" cy="19069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16299</xdr:rowOff>
    </xdr:from>
    <xdr:to>
      <xdr:col>0</xdr:col>
      <xdr:colOff>0</xdr:colOff>
      <xdr:row>41</xdr:row>
      <xdr:rowOff>42600</xdr:rowOff>
    </xdr:to>
    <xdr:graphicFrame>
      <xdr:nvGraphicFramePr>
        <xdr:cNvPr id="4" name="Chart 3"/>
        <xdr:cNvGraphicFramePr/>
      </xdr:nvGraphicFramePr>
      <xdr:xfrm>
        <a:off x="0" y="5207000"/>
        <a:ext cx="0" cy="24269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49792</xdr:rowOff>
    </xdr:from>
    <xdr:to>
      <xdr:col>0</xdr:col>
      <xdr:colOff>0</xdr:colOff>
      <xdr:row>90</xdr:row>
      <xdr:rowOff>89998</xdr:rowOff>
    </xdr:to>
    <xdr:graphicFrame>
      <xdr:nvGraphicFramePr>
        <xdr:cNvPr id="5" name="Chart 4"/>
        <xdr:cNvGraphicFramePr/>
      </xdr:nvGraphicFramePr>
      <xdr:xfrm>
        <a:off x="0" y="14098905"/>
        <a:ext cx="0" cy="26244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17319</xdr:rowOff>
    </xdr:from>
    <xdr:to>
      <xdr:col>0</xdr:col>
      <xdr:colOff>0</xdr:colOff>
      <xdr:row>63</xdr:row>
      <xdr:rowOff>48126</xdr:rowOff>
    </xdr:to>
    <xdr:graphicFrame>
      <xdr:nvGraphicFramePr>
        <xdr:cNvPr id="6" name="Chart 5"/>
        <xdr:cNvGraphicFramePr/>
      </xdr:nvGraphicFramePr>
      <xdr:xfrm>
        <a:off x="0" y="7976870"/>
        <a:ext cx="0" cy="37198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92</xdr:row>
      <xdr:rowOff>60616</xdr:rowOff>
    </xdr:from>
    <xdr:to>
      <xdr:col>0</xdr:col>
      <xdr:colOff>0</xdr:colOff>
      <xdr:row>112</xdr:row>
      <xdr:rowOff>95252</xdr:rowOff>
    </xdr:to>
    <xdr:graphicFrame>
      <xdr:nvGraphicFramePr>
        <xdr:cNvPr id="7" name="Chart 6"/>
        <xdr:cNvGraphicFramePr/>
      </xdr:nvGraphicFramePr>
      <xdr:xfrm>
        <a:off x="0" y="17062450"/>
        <a:ext cx="0" cy="37242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153</xdr:row>
      <xdr:rowOff>54975</xdr:rowOff>
    </xdr:from>
    <xdr:to>
      <xdr:col>0</xdr:col>
      <xdr:colOff>0</xdr:colOff>
      <xdr:row>172</xdr:row>
      <xdr:rowOff>188208</xdr:rowOff>
    </xdr:to>
    <xdr:graphicFrame>
      <xdr:nvGraphicFramePr>
        <xdr:cNvPr id="8" name="Chart 7"/>
        <xdr:cNvGraphicFramePr/>
      </xdr:nvGraphicFramePr>
      <xdr:xfrm>
        <a:off x="0" y="28315285"/>
        <a:ext cx="0" cy="364109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49917</xdr:rowOff>
    </xdr:from>
    <xdr:to>
      <xdr:col>0</xdr:col>
      <xdr:colOff>0</xdr:colOff>
      <xdr:row>133</xdr:row>
      <xdr:rowOff>0</xdr:rowOff>
    </xdr:to>
    <xdr:graphicFrame>
      <xdr:nvGraphicFramePr>
        <xdr:cNvPr id="10" name="Chart 9"/>
        <xdr:cNvGraphicFramePr/>
      </xdr:nvGraphicFramePr>
      <xdr:xfrm>
        <a:off x="0" y="20925155"/>
        <a:ext cx="0" cy="36398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133</xdr:row>
      <xdr:rowOff>36673</xdr:rowOff>
    </xdr:from>
    <xdr:to>
      <xdr:col>0</xdr:col>
      <xdr:colOff>0</xdr:colOff>
      <xdr:row>152</xdr:row>
      <xdr:rowOff>123264</xdr:rowOff>
    </xdr:to>
    <xdr:graphicFrame>
      <xdr:nvGraphicFramePr>
        <xdr:cNvPr id="11" name="Chart 10"/>
        <xdr:cNvGraphicFramePr/>
      </xdr:nvGraphicFramePr>
      <xdr:xfrm>
        <a:off x="0" y="24601170"/>
        <a:ext cx="0" cy="35985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xdr:row>
      <xdr:rowOff>0</xdr:rowOff>
    </xdr:from>
    <xdr:to>
      <xdr:col>0</xdr:col>
      <xdr:colOff>0</xdr:colOff>
      <xdr:row>2</xdr:row>
      <xdr:rowOff>0</xdr:rowOff>
    </xdr:to>
    <xdr:graphicFrame>
      <xdr:nvGraphicFramePr>
        <xdr:cNvPr id="2" name="Chart 1"/>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3" name="Chart 2"/>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57029</xdr:rowOff>
    </xdr:from>
    <xdr:to>
      <xdr:col>0</xdr:col>
      <xdr:colOff>0</xdr:colOff>
      <xdr:row>42</xdr:row>
      <xdr:rowOff>105358</xdr:rowOff>
    </xdr:to>
    <xdr:graphicFrame>
      <xdr:nvGraphicFramePr>
        <xdr:cNvPr id="4" name="Chart 3"/>
        <xdr:cNvGraphicFramePr/>
      </xdr:nvGraphicFramePr>
      <xdr:xfrm>
        <a:off x="0" y="4393565"/>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104054</xdr:rowOff>
    </xdr:from>
    <xdr:to>
      <xdr:col>0</xdr:col>
      <xdr:colOff>0</xdr:colOff>
      <xdr:row>22</xdr:row>
      <xdr:rowOff>129742</xdr:rowOff>
    </xdr:to>
    <xdr:graphicFrame>
      <xdr:nvGraphicFramePr>
        <xdr:cNvPr id="5" name="Chart 4"/>
        <xdr:cNvGraphicFramePr/>
      </xdr:nvGraphicFramePr>
      <xdr:xfrm>
        <a:off x="0" y="735330"/>
        <a:ext cx="0" cy="35471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6" name="Chart 5"/>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7" name="Chart 6"/>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78441</xdr:rowOff>
    </xdr:from>
    <xdr:to>
      <xdr:col>0</xdr:col>
      <xdr:colOff>0</xdr:colOff>
      <xdr:row>61</xdr:row>
      <xdr:rowOff>114459</xdr:rowOff>
    </xdr:to>
    <xdr:graphicFrame>
      <xdr:nvGraphicFramePr>
        <xdr:cNvPr id="8" name="Chart 7"/>
        <xdr:cNvGraphicFramePr/>
      </xdr:nvGraphicFramePr>
      <xdr:xfrm>
        <a:off x="0" y="8104505"/>
        <a:ext cx="0" cy="336359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62</xdr:row>
      <xdr:rowOff>124067</xdr:rowOff>
    </xdr:from>
    <xdr:to>
      <xdr:col>0</xdr:col>
      <xdr:colOff>0</xdr:colOff>
      <xdr:row>81</xdr:row>
      <xdr:rowOff>124066</xdr:rowOff>
    </xdr:to>
    <xdr:graphicFrame>
      <xdr:nvGraphicFramePr>
        <xdr:cNvPr id="9" name="Chart 8"/>
        <xdr:cNvGraphicFramePr/>
      </xdr:nvGraphicFramePr>
      <xdr:xfrm>
        <a:off x="0" y="11661775"/>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10" name="Chart 9"/>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82</xdr:row>
      <xdr:rowOff>122465</xdr:rowOff>
    </xdr:from>
    <xdr:to>
      <xdr:col>0</xdr:col>
      <xdr:colOff>0</xdr:colOff>
      <xdr:row>96</xdr:row>
      <xdr:rowOff>0</xdr:rowOff>
    </xdr:to>
    <xdr:graphicFrame>
      <xdr:nvGraphicFramePr>
        <xdr:cNvPr id="11" name="Chart 10"/>
        <xdr:cNvGraphicFramePr/>
      </xdr:nvGraphicFramePr>
      <xdr:xfrm>
        <a:off x="0" y="15390495"/>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xdr:rowOff>
    </xdr:from>
    <xdr:to>
      <xdr:col>0</xdr:col>
      <xdr:colOff>0</xdr:colOff>
      <xdr:row>24</xdr:row>
      <xdr:rowOff>50503</xdr:rowOff>
    </xdr:to>
    <xdr:graphicFrame>
      <xdr:nvGraphicFramePr>
        <xdr:cNvPr id="3" name="Chart 2"/>
        <xdr:cNvGraphicFramePr/>
      </xdr:nvGraphicFramePr>
      <xdr:xfrm>
        <a:off x="0" y="565150"/>
        <a:ext cx="0" cy="3939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121227</xdr:rowOff>
    </xdr:from>
    <xdr:to>
      <xdr:col>0</xdr:col>
      <xdr:colOff>0</xdr:colOff>
      <xdr:row>44</xdr:row>
      <xdr:rowOff>104931</xdr:rowOff>
    </xdr:to>
    <xdr:graphicFrame>
      <xdr:nvGraphicFramePr>
        <xdr:cNvPr id="4" name="Chart 3"/>
        <xdr:cNvGraphicFramePr/>
      </xdr:nvGraphicFramePr>
      <xdr:xfrm>
        <a:off x="0" y="4759325"/>
        <a:ext cx="0" cy="34956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81643</xdr:rowOff>
    </xdr:from>
    <xdr:to>
      <xdr:col>0</xdr:col>
      <xdr:colOff>0</xdr:colOff>
      <xdr:row>64</xdr:row>
      <xdr:rowOff>132146</xdr:rowOff>
    </xdr:to>
    <xdr:graphicFrame>
      <xdr:nvGraphicFramePr>
        <xdr:cNvPr id="5" name="Chart 4"/>
        <xdr:cNvGraphicFramePr/>
      </xdr:nvGraphicFramePr>
      <xdr:xfrm>
        <a:off x="0" y="8415655"/>
        <a:ext cx="0" cy="35623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66</xdr:row>
      <xdr:rowOff>95250</xdr:rowOff>
    </xdr:from>
    <xdr:to>
      <xdr:col>0</xdr:col>
      <xdr:colOff>0</xdr:colOff>
      <xdr:row>85</xdr:row>
      <xdr:rowOff>145753</xdr:rowOff>
    </xdr:to>
    <xdr:graphicFrame>
      <xdr:nvGraphicFramePr>
        <xdr:cNvPr id="6" name="Chart 5"/>
        <xdr:cNvGraphicFramePr/>
      </xdr:nvGraphicFramePr>
      <xdr:xfrm>
        <a:off x="0" y="12309475"/>
        <a:ext cx="0" cy="35617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122465</xdr:rowOff>
    </xdr:from>
    <xdr:to>
      <xdr:col>0</xdr:col>
      <xdr:colOff>0</xdr:colOff>
      <xdr:row>106</xdr:row>
      <xdr:rowOff>0</xdr:rowOff>
    </xdr:to>
    <xdr:graphicFrame>
      <xdr:nvGraphicFramePr>
        <xdr:cNvPr id="7" name="Chart 6"/>
        <xdr:cNvGraphicFramePr/>
      </xdr:nvGraphicFramePr>
      <xdr:xfrm>
        <a:off x="0" y="16215995"/>
        <a:ext cx="0" cy="3383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106</xdr:row>
      <xdr:rowOff>0</xdr:rowOff>
    </xdr:from>
    <xdr:to>
      <xdr:col>0</xdr:col>
      <xdr:colOff>0</xdr:colOff>
      <xdr:row>124</xdr:row>
      <xdr:rowOff>0</xdr:rowOff>
    </xdr:to>
    <xdr:graphicFrame>
      <xdr:nvGraphicFramePr>
        <xdr:cNvPr id="8" name="Chart 7"/>
        <xdr:cNvGraphicFramePr/>
      </xdr:nvGraphicFramePr>
      <xdr:xfrm>
        <a:off x="0" y="19599275"/>
        <a:ext cx="0" cy="3327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124</xdr:row>
      <xdr:rowOff>0</xdr:rowOff>
    </xdr:from>
    <xdr:to>
      <xdr:col>0</xdr:col>
      <xdr:colOff>0</xdr:colOff>
      <xdr:row>142</xdr:row>
      <xdr:rowOff>0</xdr:rowOff>
    </xdr:to>
    <xdr:graphicFrame>
      <xdr:nvGraphicFramePr>
        <xdr:cNvPr id="9" name="Chart 8"/>
        <xdr:cNvGraphicFramePr/>
      </xdr:nvGraphicFramePr>
      <xdr:xfrm>
        <a:off x="0" y="22926675"/>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142</xdr:row>
      <xdr:rowOff>0</xdr:rowOff>
    </xdr:from>
    <xdr:to>
      <xdr:col>0</xdr:col>
      <xdr:colOff>0</xdr:colOff>
      <xdr:row>160</xdr:row>
      <xdr:rowOff>141673</xdr:rowOff>
    </xdr:to>
    <xdr:graphicFrame>
      <xdr:nvGraphicFramePr>
        <xdr:cNvPr id="10" name="Chart 9"/>
        <xdr:cNvGraphicFramePr/>
      </xdr:nvGraphicFramePr>
      <xdr:xfrm>
        <a:off x="0" y="26254075"/>
        <a:ext cx="0" cy="346265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4" name="Multiply 3"/>
        <xdr:cNvSpPr/>
      </xdr:nvSpPr>
      <xdr:spPr>
        <a:xfrm>
          <a:off x="29174440" y="243611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5" name="Down Arrow 4"/>
        <xdr:cNvSpPr/>
      </xdr:nvSpPr>
      <xdr:spPr>
        <a:xfrm>
          <a:off x="57092850" y="401561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2" name="Down Arrow 1"/>
        <xdr:cNvSpPr/>
      </xdr:nvSpPr>
      <xdr:spPr>
        <a:xfrm>
          <a:off x="12272645" y="33884235"/>
          <a:ext cx="10433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9" name="Rectangles 8"/>
        <xdr:cNvSpPr/>
      </xdr:nvSpPr>
      <xdr:spPr>
        <a:xfrm>
          <a:off x="15151100" y="26566495"/>
          <a:ext cx="157175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13</xdr:col>
      <xdr:colOff>619125</xdr:colOff>
      <xdr:row>33</xdr:row>
      <xdr:rowOff>45085</xdr:rowOff>
    </xdr:from>
    <xdr:to>
      <xdr:col>17</xdr:col>
      <xdr:colOff>485775</xdr:colOff>
      <xdr:row>50</xdr:row>
      <xdr:rowOff>64135</xdr:rowOff>
    </xdr:to>
    <xdr:graphicFrame>
      <xdr:nvGraphicFramePr>
        <xdr:cNvPr id="6" name="Chart 5"/>
        <xdr:cNvGraphicFramePr/>
      </xdr:nvGraphicFramePr>
      <xdr:xfrm>
        <a:off x="22240875" y="59588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56029</xdr:rowOff>
    </xdr:from>
    <xdr:to>
      <xdr:col>0</xdr:col>
      <xdr:colOff>0</xdr:colOff>
      <xdr:row>21</xdr:row>
      <xdr:rowOff>168088</xdr:rowOff>
    </xdr:to>
    <xdr:graphicFrame>
      <xdr:nvGraphicFramePr>
        <xdr:cNvPr id="2" name="Chart 1"/>
        <xdr:cNvGraphicFramePr/>
      </xdr:nvGraphicFramePr>
      <xdr:xfrm>
        <a:off x="0" y="932180"/>
        <a:ext cx="0" cy="3432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0</xdr:col>
      <xdr:colOff>0</xdr:colOff>
      <xdr:row>40</xdr:row>
      <xdr:rowOff>87246</xdr:rowOff>
    </xdr:to>
    <xdr:graphicFrame>
      <xdr:nvGraphicFramePr>
        <xdr:cNvPr id="6" name="Chart 5"/>
        <xdr:cNvGraphicFramePr/>
      </xdr:nvGraphicFramePr>
      <xdr:xfrm>
        <a:off x="0" y="4381500"/>
        <a:ext cx="0" cy="34080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130</xdr:row>
      <xdr:rowOff>57029</xdr:rowOff>
    </xdr:from>
    <xdr:to>
      <xdr:col>0</xdr:col>
      <xdr:colOff>0</xdr:colOff>
      <xdr:row>149</xdr:row>
      <xdr:rowOff>105358</xdr:rowOff>
    </xdr:to>
    <xdr:graphicFrame>
      <xdr:nvGraphicFramePr>
        <xdr:cNvPr id="7" name="Chart 6"/>
        <xdr:cNvGraphicFramePr/>
      </xdr:nvGraphicFramePr>
      <xdr:xfrm>
        <a:off x="0" y="24684990"/>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112</xdr:row>
      <xdr:rowOff>104054</xdr:rowOff>
    </xdr:from>
    <xdr:to>
      <xdr:col>0</xdr:col>
      <xdr:colOff>0</xdr:colOff>
      <xdr:row>129</xdr:row>
      <xdr:rowOff>129742</xdr:rowOff>
    </xdr:to>
    <xdr:graphicFrame>
      <xdr:nvGraphicFramePr>
        <xdr:cNvPr id="18" name="Chart 17"/>
        <xdr:cNvGraphicFramePr/>
      </xdr:nvGraphicFramePr>
      <xdr:xfrm>
        <a:off x="0" y="21410930"/>
        <a:ext cx="0" cy="3162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100053</xdr:rowOff>
    </xdr:from>
    <xdr:to>
      <xdr:col>0</xdr:col>
      <xdr:colOff>0</xdr:colOff>
      <xdr:row>60</xdr:row>
      <xdr:rowOff>145676</xdr:rowOff>
    </xdr:to>
    <xdr:graphicFrame>
      <xdr:nvGraphicFramePr>
        <xdr:cNvPr id="30" name="Chart 29"/>
        <xdr:cNvGraphicFramePr/>
      </xdr:nvGraphicFramePr>
      <xdr:xfrm>
        <a:off x="0" y="8170545"/>
        <a:ext cx="0" cy="336677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62</xdr:row>
      <xdr:rowOff>13608</xdr:rowOff>
    </xdr:from>
    <xdr:to>
      <xdr:col>0</xdr:col>
      <xdr:colOff>0</xdr:colOff>
      <xdr:row>80</xdr:row>
      <xdr:rowOff>0</xdr:rowOff>
    </xdr:to>
    <xdr:graphicFrame>
      <xdr:nvGraphicFramePr>
        <xdr:cNvPr id="31" name="Chart 30"/>
        <xdr:cNvGraphicFramePr/>
      </xdr:nvGraphicFramePr>
      <xdr:xfrm>
        <a:off x="0" y="11773535"/>
        <a:ext cx="0" cy="33077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150</xdr:row>
      <xdr:rowOff>78441</xdr:rowOff>
    </xdr:from>
    <xdr:to>
      <xdr:col>0</xdr:col>
      <xdr:colOff>0</xdr:colOff>
      <xdr:row>168</xdr:row>
      <xdr:rowOff>114459</xdr:rowOff>
    </xdr:to>
    <xdr:graphicFrame>
      <xdr:nvGraphicFramePr>
        <xdr:cNvPr id="32" name="Chart 31"/>
        <xdr:cNvGraphicFramePr/>
      </xdr:nvGraphicFramePr>
      <xdr:xfrm>
        <a:off x="0" y="28395930"/>
        <a:ext cx="0" cy="33572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169</xdr:row>
      <xdr:rowOff>124067</xdr:rowOff>
    </xdr:from>
    <xdr:to>
      <xdr:col>0</xdr:col>
      <xdr:colOff>0</xdr:colOff>
      <xdr:row>188</xdr:row>
      <xdr:rowOff>124066</xdr:rowOff>
    </xdr:to>
    <xdr:graphicFrame>
      <xdr:nvGraphicFramePr>
        <xdr:cNvPr id="33" name="Chart 32"/>
        <xdr:cNvGraphicFramePr/>
      </xdr:nvGraphicFramePr>
      <xdr:xfrm>
        <a:off x="0" y="31946850"/>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80</xdr:row>
      <xdr:rowOff>0</xdr:rowOff>
    </xdr:from>
    <xdr:to>
      <xdr:col>0</xdr:col>
      <xdr:colOff>0</xdr:colOff>
      <xdr:row>93</xdr:row>
      <xdr:rowOff>0</xdr:rowOff>
    </xdr:to>
    <xdr:graphicFrame>
      <xdr:nvGraphicFramePr>
        <xdr:cNvPr id="22" name="Chart 21"/>
        <xdr:cNvGraphicFramePr/>
      </xdr:nvGraphicFramePr>
      <xdr:xfrm>
        <a:off x="0" y="15081250"/>
        <a:ext cx="0" cy="24003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189</xdr:row>
      <xdr:rowOff>122465</xdr:rowOff>
    </xdr:from>
    <xdr:to>
      <xdr:col>0</xdr:col>
      <xdr:colOff>0</xdr:colOff>
      <xdr:row>203</xdr:row>
      <xdr:rowOff>0</xdr:rowOff>
    </xdr:to>
    <xdr:graphicFrame>
      <xdr:nvGraphicFramePr>
        <xdr:cNvPr id="25" name="Chart 24"/>
        <xdr:cNvGraphicFramePr/>
      </xdr:nvGraphicFramePr>
      <xdr:xfrm>
        <a:off x="0" y="35675570"/>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0</xdr:rowOff>
    </xdr:from>
    <xdr:to>
      <xdr:col>0</xdr:col>
      <xdr:colOff>0</xdr:colOff>
      <xdr:row>1</xdr:row>
      <xdr:rowOff>0</xdr:rowOff>
    </xdr:to>
    <xdr:graphicFrame>
      <xdr:nvGraphicFramePr>
        <xdr:cNvPr id="2" name="Chart 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3" name="Chart 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4" name="Chart 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5" name="Chart 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21010</xdr:rowOff>
    </xdr:from>
    <xdr:to>
      <xdr:col>0</xdr:col>
      <xdr:colOff>0</xdr:colOff>
      <xdr:row>20</xdr:row>
      <xdr:rowOff>0</xdr:rowOff>
    </xdr:to>
    <xdr:graphicFrame>
      <xdr:nvGraphicFramePr>
        <xdr:cNvPr id="6" name="Chart 5"/>
        <xdr:cNvGraphicFramePr/>
      </xdr:nvGraphicFramePr>
      <xdr:xfrm>
        <a:off x="0" y="1605280"/>
        <a:ext cx="0" cy="23856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144276</xdr:rowOff>
    </xdr:from>
    <xdr:to>
      <xdr:col>0</xdr:col>
      <xdr:colOff>0</xdr:colOff>
      <xdr:row>40</xdr:row>
      <xdr:rowOff>72838</xdr:rowOff>
    </xdr:to>
    <xdr:graphicFrame>
      <xdr:nvGraphicFramePr>
        <xdr:cNvPr id="7" name="Chart 6"/>
        <xdr:cNvGraphicFramePr/>
      </xdr:nvGraphicFramePr>
      <xdr:xfrm>
        <a:off x="0" y="4135120"/>
        <a:ext cx="0" cy="36175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133</xdr:row>
      <xdr:rowOff>86247</xdr:rowOff>
    </xdr:from>
    <xdr:to>
      <xdr:col>0</xdr:col>
      <xdr:colOff>0</xdr:colOff>
      <xdr:row>152</xdr:row>
      <xdr:rowOff>134575</xdr:rowOff>
    </xdr:to>
    <xdr:graphicFrame>
      <xdr:nvGraphicFramePr>
        <xdr:cNvPr id="9" name="Chart 8"/>
        <xdr:cNvGraphicFramePr/>
      </xdr:nvGraphicFramePr>
      <xdr:xfrm>
        <a:off x="0" y="25177750"/>
        <a:ext cx="0" cy="35534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22412</xdr:rowOff>
    </xdr:from>
    <xdr:to>
      <xdr:col>0</xdr:col>
      <xdr:colOff>0</xdr:colOff>
      <xdr:row>132</xdr:row>
      <xdr:rowOff>12080</xdr:rowOff>
    </xdr:to>
    <xdr:graphicFrame>
      <xdr:nvGraphicFramePr>
        <xdr:cNvPr id="11" name="Chart 10"/>
        <xdr:cNvGraphicFramePr/>
      </xdr:nvGraphicFramePr>
      <xdr:xfrm>
        <a:off x="0" y="21424900"/>
        <a:ext cx="0" cy="34950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2" name="Chart 1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3" name="Chart 1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4" name="Chart 1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5" name="Chart 1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41</xdr:row>
      <xdr:rowOff>43224</xdr:rowOff>
    </xdr:from>
    <xdr:to>
      <xdr:col>0</xdr:col>
      <xdr:colOff>0</xdr:colOff>
      <xdr:row>60</xdr:row>
      <xdr:rowOff>165688</xdr:rowOff>
    </xdr:to>
    <xdr:graphicFrame>
      <xdr:nvGraphicFramePr>
        <xdr:cNvPr id="16" name="Chart 15"/>
        <xdr:cNvGraphicFramePr/>
      </xdr:nvGraphicFramePr>
      <xdr:xfrm>
        <a:off x="0" y="7907655"/>
        <a:ext cx="0" cy="36271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61</xdr:row>
      <xdr:rowOff>110459</xdr:rowOff>
    </xdr:from>
    <xdr:to>
      <xdr:col>0</xdr:col>
      <xdr:colOff>0</xdr:colOff>
      <xdr:row>79</xdr:row>
      <xdr:rowOff>137672</xdr:rowOff>
    </xdr:to>
    <xdr:graphicFrame>
      <xdr:nvGraphicFramePr>
        <xdr:cNvPr id="17" name="Chart 16"/>
        <xdr:cNvGraphicFramePr/>
      </xdr:nvGraphicFramePr>
      <xdr:xfrm>
        <a:off x="0" y="11663680"/>
        <a:ext cx="0" cy="334835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153</xdr:row>
      <xdr:rowOff>27214</xdr:rowOff>
    </xdr:from>
    <xdr:to>
      <xdr:col>0</xdr:col>
      <xdr:colOff>0</xdr:colOff>
      <xdr:row>173</xdr:row>
      <xdr:rowOff>122465</xdr:rowOff>
    </xdr:to>
    <xdr:graphicFrame>
      <xdr:nvGraphicFramePr>
        <xdr:cNvPr id="18" name="Chart 17"/>
        <xdr:cNvGraphicFramePr/>
      </xdr:nvGraphicFramePr>
      <xdr:xfrm>
        <a:off x="0" y="28808045"/>
        <a:ext cx="0" cy="37846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174</xdr:row>
      <xdr:rowOff>190499</xdr:rowOff>
    </xdr:from>
    <xdr:to>
      <xdr:col>0</xdr:col>
      <xdr:colOff>0</xdr:colOff>
      <xdr:row>191</xdr:row>
      <xdr:rowOff>176892</xdr:rowOff>
    </xdr:to>
    <xdr:graphicFrame>
      <xdr:nvGraphicFramePr>
        <xdr:cNvPr id="19" name="Chart 18"/>
        <xdr:cNvGraphicFramePr/>
      </xdr:nvGraphicFramePr>
      <xdr:xfrm>
        <a:off x="0" y="32839025"/>
        <a:ext cx="0" cy="312928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0" name="Chart 19"/>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1" name="Chart 20"/>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80</xdr:row>
      <xdr:rowOff>67234</xdr:rowOff>
    </xdr:from>
    <xdr:to>
      <xdr:col>0</xdr:col>
      <xdr:colOff>0</xdr:colOff>
      <xdr:row>93</xdr:row>
      <xdr:rowOff>0</xdr:rowOff>
    </xdr:to>
    <xdr:graphicFrame>
      <xdr:nvGraphicFramePr>
        <xdr:cNvPr id="22" name="Chart 21"/>
        <xdr:cNvGraphicFramePr/>
      </xdr:nvGraphicFramePr>
      <xdr:xfrm>
        <a:off x="0" y="15125700"/>
        <a:ext cx="0" cy="2333625"/>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193</xdr:row>
      <xdr:rowOff>0</xdr:rowOff>
    </xdr:from>
    <xdr:to>
      <xdr:col>0</xdr:col>
      <xdr:colOff>0</xdr:colOff>
      <xdr:row>212</xdr:row>
      <xdr:rowOff>112059</xdr:rowOff>
    </xdr:to>
    <xdr:graphicFrame>
      <xdr:nvGraphicFramePr>
        <xdr:cNvPr id="23" name="Chart 22"/>
        <xdr:cNvGraphicFramePr/>
      </xdr:nvGraphicFramePr>
      <xdr:xfrm>
        <a:off x="0" y="36160075"/>
        <a:ext cx="0" cy="361696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212910</xdr:rowOff>
    </xdr:from>
    <xdr:to>
      <xdr:col>0</xdr:col>
      <xdr:colOff>0</xdr:colOff>
      <xdr:row>20</xdr:row>
      <xdr:rowOff>0</xdr:rowOff>
    </xdr:to>
    <xdr:graphicFrame>
      <xdr:nvGraphicFramePr>
        <xdr:cNvPr id="2" name="Chart 1"/>
        <xdr:cNvGraphicFramePr/>
      </xdr:nvGraphicFramePr>
      <xdr:xfrm>
        <a:off x="0" y="1006475"/>
        <a:ext cx="0" cy="2952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0</xdr:col>
      <xdr:colOff>0</xdr:colOff>
      <xdr:row>35</xdr:row>
      <xdr:rowOff>22413</xdr:rowOff>
    </xdr:to>
    <xdr:graphicFrame>
      <xdr:nvGraphicFramePr>
        <xdr:cNvPr id="8" name="Chart 7"/>
        <xdr:cNvGraphicFramePr/>
      </xdr:nvGraphicFramePr>
      <xdr:xfrm>
        <a:off x="0" y="3959225"/>
        <a:ext cx="0" cy="27971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123265</xdr:rowOff>
    </xdr:from>
    <xdr:to>
      <xdr:col>0</xdr:col>
      <xdr:colOff>0</xdr:colOff>
      <xdr:row>52</xdr:row>
      <xdr:rowOff>100853</xdr:rowOff>
    </xdr:to>
    <xdr:graphicFrame>
      <xdr:nvGraphicFramePr>
        <xdr:cNvPr id="10" name="Chart 9"/>
        <xdr:cNvGraphicFramePr/>
      </xdr:nvGraphicFramePr>
      <xdr:xfrm>
        <a:off x="0" y="7041515"/>
        <a:ext cx="0" cy="2929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96421</xdr:rowOff>
    </xdr:from>
    <xdr:to>
      <xdr:col>0</xdr:col>
      <xdr:colOff>0</xdr:colOff>
      <xdr:row>21</xdr:row>
      <xdr:rowOff>119896</xdr:rowOff>
    </xdr:to>
    <xdr:graphicFrame>
      <xdr:nvGraphicFramePr>
        <xdr:cNvPr id="3" name="Chart 2"/>
        <xdr:cNvGraphicFramePr/>
      </xdr:nvGraphicFramePr>
      <xdr:xfrm>
        <a:off x="0" y="524510"/>
        <a:ext cx="0" cy="3712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83534</xdr:rowOff>
    </xdr:from>
    <xdr:to>
      <xdr:col>0</xdr:col>
      <xdr:colOff>0</xdr:colOff>
      <xdr:row>45</xdr:row>
      <xdr:rowOff>107009</xdr:rowOff>
    </xdr:to>
    <xdr:graphicFrame>
      <xdr:nvGraphicFramePr>
        <xdr:cNvPr id="4" name="Chart 3"/>
        <xdr:cNvGraphicFramePr/>
      </xdr:nvGraphicFramePr>
      <xdr:xfrm>
        <a:off x="0" y="5121910"/>
        <a:ext cx="0" cy="35286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94741</xdr:rowOff>
    </xdr:from>
    <xdr:to>
      <xdr:col>0</xdr:col>
      <xdr:colOff>0</xdr:colOff>
      <xdr:row>62</xdr:row>
      <xdr:rowOff>118216</xdr:rowOff>
    </xdr:to>
    <xdr:graphicFrame>
      <xdr:nvGraphicFramePr>
        <xdr:cNvPr id="5" name="Chart 4"/>
        <xdr:cNvGraphicFramePr/>
      </xdr:nvGraphicFramePr>
      <xdr:xfrm>
        <a:off x="0" y="9006840"/>
        <a:ext cx="0" cy="279209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27505</xdr:rowOff>
    </xdr:from>
    <xdr:to>
      <xdr:col>0</xdr:col>
      <xdr:colOff>0</xdr:colOff>
      <xdr:row>80</xdr:row>
      <xdr:rowOff>50980</xdr:rowOff>
    </xdr:to>
    <xdr:graphicFrame>
      <xdr:nvGraphicFramePr>
        <xdr:cNvPr id="6" name="Chart 5"/>
        <xdr:cNvGraphicFramePr/>
      </xdr:nvGraphicFramePr>
      <xdr:xfrm>
        <a:off x="0" y="12260580"/>
        <a:ext cx="0" cy="27920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81</xdr:row>
      <xdr:rowOff>83534</xdr:rowOff>
    </xdr:from>
    <xdr:to>
      <xdr:col>0</xdr:col>
      <xdr:colOff>0</xdr:colOff>
      <xdr:row>95</xdr:row>
      <xdr:rowOff>107009</xdr:rowOff>
    </xdr:to>
    <xdr:graphicFrame>
      <xdr:nvGraphicFramePr>
        <xdr:cNvPr id="7" name="Chart 6"/>
        <xdr:cNvGraphicFramePr/>
      </xdr:nvGraphicFramePr>
      <xdr:xfrm>
        <a:off x="0" y="15269210"/>
        <a:ext cx="0" cy="260794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0</xdr:rowOff>
    </xdr:from>
    <xdr:to>
      <xdr:col>0</xdr:col>
      <xdr:colOff>0</xdr:colOff>
      <xdr:row>18</xdr:row>
      <xdr:rowOff>95250</xdr:rowOff>
    </xdr:to>
    <xdr:graphicFrame>
      <xdr:nvGraphicFramePr>
        <xdr:cNvPr id="6" name="Chart 5"/>
        <xdr:cNvGraphicFramePr/>
      </xdr:nvGraphicFramePr>
      <xdr:xfrm>
        <a:off x="0" y="847725"/>
        <a:ext cx="0" cy="287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123826</xdr:rowOff>
    </xdr:from>
    <xdr:to>
      <xdr:col>0</xdr:col>
      <xdr:colOff>0</xdr:colOff>
      <xdr:row>57</xdr:row>
      <xdr:rowOff>96612</xdr:rowOff>
    </xdr:to>
    <xdr:graphicFrame>
      <xdr:nvGraphicFramePr>
        <xdr:cNvPr id="8" name="Chart 7"/>
        <xdr:cNvGraphicFramePr/>
      </xdr:nvGraphicFramePr>
      <xdr:xfrm>
        <a:off x="0" y="7620000"/>
        <a:ext cx="0" cy="3300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76200</xdr:rowOff>
    </xdr:from>
    <xdr:to>
      <xdr:col>0</xdr:col>
      <xdr:colOff>0</xdr:colOff>
      <xdr:row>88</xdr:row>
      <xdr:rowOff>0</xdr:rowOff>
    </xdr:to>
    <xdr:graphicFrame>
      <xdr:nvGraphicFramePr>
        <xdr:cNvPr id="9" name="Chart 8"/>
        <xdr:cNvGraphicFramePr/>
      </xdr:nvGraphicFramePr>
      <xdr:xfrm>
        <a:off x="0" y="13528675"/>
        <a:ext cx="0" cy="30607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54430</xdr:rowOff>
    </xdr:from>
    <xdr:to>
      <xdr:col>0</xdr:col>
      <xdr:colOff>0</xdr:colOff>
      <xdr:row>121</xdr:row>
      <xdr:rowOff>56029</xdr:rowOff>
    </xdr:to>
    <xdr:graphicFrame>
      <xdr:nvGraphicFramePr>
        <xdr:cNvPr id="10" name="Chart 9"/>
        <xdr:cNvGraphicFramePr/>
      </xdr:nvGraphicFramePr>
      <xdr:xfrm>
        <a:off x="0" y="19780250"/>
        <a:ext cx="0" cy="29546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MARYSE~1\LOCALS~1\Temp\Temporary%20Directory%202%20for%20EFDA_TMPL_nov5.zip\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MPL_R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4"/>
  <sheetViews>
    <sheetView workbookViewId="0">
      <selection activeCell="C19" sqref="C19"/>
    </sheetView>
  </sheetViews>
  <sheetFormatPr defaultColWidth="8.72727272727273" defaultRowHeight="14.5" outlineLevelCol="3"/>
  <sheetData>
    <row r="2" spans="2:4">
      <c r="B2" s="159" t="s">
        <v>0</v>
      </c>
      <c r="C2" s="208" t="s">
        <v>1</v>
      </c>
      <c r="D2" s="159"/>
    </row>
    <row r="3" spans="2:4">
      <c r="B3" s="159"/>
      <c r="C3" s="208" t="s">
        <v>2</v>
      </c>
      <c r="D3" s="159"/>
    </row>
    <row r="4" spans="2:4">
      <c r="B4" s="159"/>
      <c r="C4" s="208" t="s">
        <v>3</v>
      </c>
      <c r="D4" s="159"/>
    </row>
    <row r="5" spans="2:4">
      <c r="B5" s="159"/>
      <c r="C5" s="208" t="s">
        <v>4</v>
      </c>
      <c r="D5" s="159"/>
    </row>
    <row r="6" spans="2:4">
      <c r="B6" s="159"/>
      <c r="C6" s="208" t="s">
        <v>5</v>
      </c>
      <c r="D6" s="159"/>
    </row>
    <row r="7" spans="2:4">
      <c r="B7" s="159"/>
      <c r="C7" s="159"/>
      <c r="D7" s="159"/>
    </row>
    <row r="8" spans="2:4">
      <c r="B8" s="159"/>
      <c r="C8" s="176" t="s">
        <v>6</v>
      </c>
      <c r="D8" s="364" t="s">
        <v>7</v>
      </c>
    </row>
    <row r="9" spans="2:4">
      <c r="B9" s="159"/>
      <c r="C9" s="159"/>
      <c r="D9" s="159"/>
    </row>
    <row r="10" spans="2:4">
      <c r="B10" s="159"/>
      <c r="C10" s="159"/>
      <c r="D10" s="159"/>
    </row>
    <row r="11" spans="2:4">
      <c r="B11" s="159"/>
      <c r="C11" s="159"/>
      <c r="D11" s="159"/>
    </row>
    <row r="12" spans="2:4">
      <c r="B12" s="159"/>
      <c r="C12" s="159"/>
      <c r="D12" s="159"/>
    </row>
    <row r="13" spans="2:4">
      <c r="B13" s="159"/>
      <c r="C13" s="159"/>
      <c r="D13" s="159"/>
    </row>
    <row r="14" spans="2:4">
      <c r="B14" s="159"/>
      <c r="C14" s="159"/>
      <c r="D14" s="15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F11"/>
  <sheetViews>
    <sheetView showGridLines="0" workbookViewId="0">
      <selection activeCell="B11" sqref="B11"/>
    </sheetView>
  </sheetViews>
  <sheetFormatPr defaultColWidth="9" defaultRowHeight="14.5" outlineLevelCol="5"/>
  <cols>
    <col min="2" max="2" width="60.0909090909091" customWidth="1"/>
    <col min="3" max="6" width="11.0909090909091" customWidth="1"/>
  </cols>
  <sheetData>
    <row r="7" s="358" customFormat="1" ht="156" customHeight="1" spans="2:6">
      <c r="B7" s="359" t="s">
        <v>8</v>
      </c>
      <c r="C7" s="360"/>
      <c r="D7" s="360"/>
      <c r="E7" s="360"/>
      <c r="F7" s="360"/>
    </row>
    <row r="9" spans="2:2">
      <c r="B9" s="361"/>
    </row>
    <row r="10" ht="15.5" spans="2:2">
      <c r="B10" s="362" t="s">
        <v>9</v>
      </c>
    </row>
    <row r="11" spans="2:2">
      <c r="B11" s="363"/>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A3" sqref="A3"/>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spans="2:2">
      <c r="B4"/>
    </row>
    <row r="5" spans="2:2">
      <c r="B5" s="43" t="s">
        <v>11</v>
      </c>
    </row>
    <row r="6" ht="15" customHeight="1" spans="2:4">
      <c r="B6" s="44">
        <v>2015</v>
      </c>
      <c r="C6" s="44"/>
      <c r="D6" s="44"/>
    </row>
    <row r="7" spans="2:4">
      <c r="B7" s="45" t="s">
        <v>12</v>
      </c>
      <c r="C7" s="46" t="s">
        <v>13</v>
      </c>
      <c r="D7" s="47">
        <v>5.46927188343767</v>
      </c>
    </row>
    <row r="8" ht="15" customHeight="1" spans="2:4">
      <c r="B8" s="45" t="s">
        <v>14</v>
      </c>
      <c r="C8" s="46" t="s">
        <v>15</v>
      </c>
      <c r="D8" s="68">
        <v>14228.2705540072</v>
      </c>
    </row>
    <row r="9" ht="15.75" customHeight="1"/>
    <row r="10" spans="2:6">
      <c r="B10" s="71" t="s">
        <v>16</v>
      </c>
      <c r="C10" s="55" t="s">
        <v>17</v>
      </c>
      <c r="D10" s="56"/>
      <c r="E10" s="56"/>
      <c r="F10" s="57"/>
    </row>
    <row r="11" spans="2:6">
      <c r="B11" s="72"/>
      <c r="C11" s="58"/>
      <c r="D11" s="59"/>
      <c r="E11" s="59"/>
      <c r="F11" s="60"/>
    </row>
    <row r="12" spans="2:6">
      <c r="B12" s="73"/>
      <c r="C12" s="61"/>
      <c r="D12" s="62"/>
      <c r="E12" s="62"/>
      <c r="F12" s="63"/>
    </row>
    <row r="13" spans="2:6">
      <c r="B13" s="88"/>
      <c r="C13" s="50">
        <v>2020</v>
      </c>
      <c r="D13" s="50">
        <v>2030</v>
      </c>
      <c r="E13" s="50">
        <v>2040</v>
      </c>
      <c r="F13" s="50">
        <v>2050</v>
      </c>
    </row>
    <row r="14" spans="2:6">
      <c r="B14" s="85">
        <v>0.146601948104536</v>
      </c>
      <c r="C14" s="86">
        <v>14411.6409453436</v>
      </c>
      <c r="D14" s="86">
        <v>14288.2900213222</v>
      </c>
      <c r="E14" s="86">
        <v>14288.2900213222</v>
      </c>
      <c r="F14" s="86">
        <v>14288.2900213222</v>
      </c>
    </row>
    <row r="15" spans="2:6">
      <c r="B15" s="85">
        <v>0.246601948104536</v>
      </c>
      <c r="C15" s="86">
        <v>15078.0957366972</v>
      </c>
      <c r="D15" s="86">
        <v>14591.5415721237</v>
      </c>
      <c r="E15" s="86">
        <v>14591.5415721237</v>
      </c>
      <c r="F15" s="86">
        <v>14591.5415721237</v>
      </c>
    </row>
    <row r="16" spans="2:6">
      <c r="B16" s="85">
        <v>0.346601948104536</v>
      </c>
      <c r="C16" s="86">
        <v>16731.8943461719</v>
      </c>
      <c r="D16" s="86">
        <v>15344.1762327587</v>
      </c>
      <c r="E16" s="86">
        <v>15344.1762327587</v>
      </c>
      <c r="F16" s="86">
        <v>15344.1762327587</v>
      </c>
    </row>
    <row r="17" spans="2:6">
      <c r="B17" s="85">
        <v>0.396601948104536</v>
      </c>
      <c r="C17" s="86">
        <v>18944.8873422342</v>
      </c>
      <c r="D17" s="86">
        <v>16114.3348259926</v>
      </c>
      <c r="E17" s="86">
        <v>16114.3348259926</v>
      </c>
      <c r="F17" s="86">
        <v>16114.3348259926</v>
      </c>
    </row>
    <row r="18" spans="2:6">
      <c r="B18" s="85">
        <v>0.446601948104536</v>
      </c>
      <c r="C18" s="86">
        <v>38658.6793689368</v>
      </c>
      <c r="D18" s="86">
        <v>18014.2523022635</v>
      </c>
      <c r="E18" s="86">
        <v>18014.2523022635</v>
      </c>
      <c r="F18" s="86">
        <v>18014.2523022635</v>
      </c>
    </row>
    <row r="19" spans="2:6">
      <c r="B19" s="85">
        <v>0.496601948104536</v>
      </c>
      <c r="C19" s="86">
        <v>114048</v>
      </c>
      <c r="D19" s="86">
        <v>37206.3715113175</v>
      </c>
      <c r="E19" s="86">
        <v>37206.3715113175</v>
      </c>
      <c r="F19" s="86">
        <v>37206.3715113175</v>
      </c>
    </row>
    <row r="20" spans="3:6">
      <c r="C20" s="97"/>
      <c r="D20" s="97"/>
      <c r="E20" s="97"/>
      <c r="F20" s="97"/>
    </row>
    <row r="24" ht="15" customHeight="1" spans="2:6">
      <c r="B24" s="48" t="s">
        <v>16</v>
      </c>
      <c r="C24" s="48" t="s">
        <v>18</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0.191601948104536</v>
      </c>
      <c r="C28" s="86">
        <v>16485.6</v>
      </c>
      <c r="D28" s="86">
        <v>15586.91</v>
      </c>
      <c r="E28" s="86">
        <v>15586.91</v>
      </c>
      <c r="F28" s="86">
        <v>15586.91</v>
      </c>
    </row>
    <row r="29" spans="2:6">
      <c r="B29" s="85">
        <v>0.291601948104536</v>
      </c>
      <c r="C29" s="86">
        <v>16616.3</v>
      </c>
      <c r="D29" s="86">
        <v>15731.46</v>
      </c>
      <c r="E29" s="86">
        <v>15731.46</v>
      </c>
      <c r="F29" s="86">
        <v>15731.46</v>
      </c>
    </row>
    <row r="30" spans="2:6">
      <c r="B30" s="85">
        <v>0.341601948104536</v>
      </c>
      <c r="C30" s="86">
        <v>16732.15</v>
      </c>
      <c r="D30" s="86">
        <v>15858.84</v>
      </c>
      <c r="E30" s="86">
        <v>15858.84</v>
      </c>
      <c r="F30" s="86">
        <v>15858.84</v>
      </c>
    </row>
    <row r="31" spans="2:6">
      <c r="B31" s="85">
        <v>0.391601948104536</v>
      </c>
      <c r="C31" s="86">
        <v>17029.8</v>
      </c>
      <c r="D31" s="86">
        <v>16087.56</v>
      </c>
      <c r="E31" s="86">
        <v>16087.56</v>
      </c>
      <c r="F31" s="86">
        <v>16087.56</v>
      </c>
    </row>
    <row r="32" spans="2:6">
      <c r="B32" s="85">
        <v>0.441601948104536</v>
      </c>
      <c r="C32" s="86">
        <v>17472.24</v>
      </c>
      <c r="D32" s="86">
        <v>16395.8</v>
      </c>
      <c r="E32" s="86">
        <v>16395.8</v>
      </c>
      <c r="F32" s="86">
        <v>16395.8</v>
      </c>
    </row>
    <row r="33" spans="2:6">
      <c r="B33" s="85">
        <v>0.491601948104536</v>
      </c>
      <c r="C33" s="86">
        <v>26028.09</v>
      </c>
      <c r="D33" s="86">
        <v>16921.19</v>
      </c>
      <c r="E33" s="86">
        <v>16921.19</v>
      </c>
      <c r="F33" s="86">
        <v>16921.19</v>
      </c>
    </row>
    <row r="34" spans="2:6">
      <c r="B34" s="85">
        <v>0.541601948104536</v>
      </c>
      <c r="C34" s="86">
        <v>103040.24</v>
      </c>
      <c r="D34" s="86">
        <v>31789.08</v>
      </c>
      <c r="E34" s="86">
        <v>31789.08</v>
      </c>
      <c r="F34" s="86">
        <v>31789.08</v>
      </c>
    </row>
    <row r="35" spans="3:6">
      <c r="C35" s="97"/>
      <c r="D35" s="97"/>
      <c r="E35" s="97"/>
      <c r="F35" s="97"/>
    </row>
    <row r="39" ht="15" customHeight="1" spans="2:6">
      <c r="B39" s="48" t="s">
        <v>16</v>
      </c>
      <c r="C39" s="48" t="s">
        <v>19</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343">
        <v>0.721601948104536</v>
      </c>
      <c r="C43" s="86">
        <v>20812.7133591781</v>
      </c>
      <c r="D43" s="86">
        <v>17365.3568320155</v>
      </c>
      <c r="E43" s="86">
        <v>16391.8817697786</v>
      </c>
      <c r="F43" s="86">
        <v>16107.9621769284</v>
      </c>
    </row>
    <row r="44" spans="2:6">
      <c r="B44" s="343">
        <v>0.731601948104536</v>
      </c>
      <c r="C44" s="86">
        <v>20851.3897050157</v>
      </c>
      <c r="D44" s="86">
        <v>17382.3083966418</v>
      </c>
      <c r="E44" s="86">
        <v>16398.0451175294</v>
      </c>
      <c r="F44" s="86">
        <v>16110.4092865014</v>
      </c>
    </row>
    <row r="45" spans="2:6">
      <c r="B45" s="343">
        <v>0.744101948104536</v>
      </c>
      <c r="C45" s="86">
        <v>20931.9431774786</v>
      </c>
      <c r="D45" s="86">
        <v>17404.5453307715</v>
      </c>
      <c r="E45" s="86">
        <v>16408.4434288326</v>
      </c>
      <c r="F45" s="86">
        <v>16116.8340630847</v>
      </c>
    </row>
    <row r="46" spans="2:6">
      <c r="B46" s="343">
        <v>0.754101948104536</v>
      </c>
      <c r="C46" s="86">
        <v>21037.7835001907</v>
      </c>
      <c r="D46" s="86">
        <v>17418.0069824979</v>
      </c>
      <c r="E46" s="86">
        <v>16417.1598686968</v>
      </c>
      <c r="F46" s="86">
        <v>16124.0886285498</v>
      </c>
    </row>
    <row r="47" spans="2:6">
      <c r="B47" s="343">
        <v>0.764101948104536</v>
      </c>
      <c r="C47" s="86">
        <v>21236.3171139848</v>
      </c>
      <c r="D47" s="86">
        <v>17424.2997644047</v>
      </c>
      <c r="E47" s="86">
        <v>16427.4256488727</v>
      </c>
      <c r="F47" s="86">
        <v>16136.0835188483</v>
      </c>
    </row>
    <row r="48" spans="2:6">
      <c r="B48" s="343">
        <v>0.811601948104536</v>
      </c>
      <c r="C48" s="86">
        <v>59492.3733506709</v>
      </c>
      <c r="D48" s="86">
        <v>18038.1548667216</v>
      </c>
      <c r="E48" s="86">
        <v>16838.025219281</v>
      </c>
      <c r="F48" s="86">
        <v>16485.1364888066</v>
      </c>
    </row>
    <row r="49" spans="2:6">
      <c r="B49" s="343">
        <v>0.819101948104536</v>
      </c>
      <c r="C49" s="86">
        <v>103206.415841584</v>
      </c>
      <c r="D49" s="86">
        <v>18410.7431620057</v>
      </c>
      <c r="E49" s="86">
        <v>17196.0487970128</v>
      </c>
      <c r="F49" s="86">
        <v>16848.2003984707</v>
      </c>
    </row>
    <row r="50" spans="2:6">
      <c r="B50" s="343">
        <v>0.826601948104536</v>
      </c>
      <c r="C50" s="86"/>
      <c r="D50" s="86">
        <v>35985.7423347741</v>
      </c>
      <c r="E50" s="86">
        <v>34084.0298799103</v>
      </c>
      <c r="F50" s="86">
        <v>33973.9340642113</v>
      </c>
    </row>
    <row r="54" ht="15" customHeight="1"/>
    <row r="55" spans="2:2">
      <c r="B55" s="43" t="s">
        <v>20</v>
      </c>
    </row>
    <row r="56" spans="2:4">
      <c r="B56" s="44">
        <v>2015</v>
      </c>
      <c r="C56" s="44"/>
      <c r="D56" s="44"/>
    </row>
    <row r="57" spans="2:4">
      <c r="B57" s="45" t="s">
        <v>12</v>
      </c>
      <c r="C57" s="46" t="s">
        <v>13</v>
      </c>
      <c r="D57" s="47">
        <v>4.00034183436325</v>
      </c>
    </row>
    <row r="58" spans="2:4">
      <c r="B58" s="45" t="s">
        <v>14</v>
      </c>
      <c r="C58" s="46" t="s">
        <v>15</v>
      </c>
      <c r="D58" s="68">
        <v>16512.1601186242</v>
      </c>
    </row>
    <row r="60" spans="2:6">
      <c r="B60" s="48" t="s">
        <v>21</v>
      </c>
      <c r="C60" s="48" t="s">
        <v>22</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0.238964852080722</v>
      </c>
      <c r="C64" s="86">
        <v>17256.9266180255</v>
      </c>
      <c r="D64" s="86">
        <v>16675.8406150149</v>
      </c>
      <c r="E64" s="86">
        <v>16675.8406150149</v>
      </c>
      <c r="F64" s="86">
        <v>16675.8406150149</v>
      </c>
    </row>
    <row r="65" spans="2:6">
      <c r="B65" s="85">
        <v>0.338964852080722</v>
      </c>
      <c r="C65" s="86">
        <v>19112.4831384474</v>
      </c>
      <c r="D65" s="86">
        <v>17481.9453437031</v>
      </c>
      <c r="E65" s="86">
        <v>17481.9453437031</v>
      </c>
      <c r="F65" s="86">
        <v>17481.9453437031</v>
      </c>
    </row>
    <row r="66" spans="2:6">
      <c r="B66" s="85">
        <v>0.388964852080722</v>
      </c>
      <c r="C66" s="86">
        <v>21419.9272572934</v>
      </c>
      <c r="D66" s="86">
        <v>18276.2014280899</v>
      </c>
      <c r="E66" s="86">
        <v>18276.2014280899</v>
      </c>
      <c r="F66" s="86">
        <v>18276.2014280899</v>
      </c>
    </row>
    <row r="67" spans="2:6">
      <c r="B67" s="85">
        <v>0.438964852080722</v>
      </c>
      <c r="C67" s="86">
        <v>44400.8562864669</v>
      </c>
      <c r="D67" s="86">
        <v>20035.4273194286</v>
      </c>
      <c r="E67" s="86">
        <v>20035.4273194286</v>
      </c>
      <c r="F67" s="86">
        <v>20035.4273194286</v>
      </c>
    </row>
    <row r="68" spans="2:6">
      <c r="B68" s="85">
        <v>0.488964852080722</v>
      </c>
      <c r="C68" s="86">
        <v>116626</v>
      </c>
      <c r="D68" s="86">
        <v>36262.2965971431</v>
      </c>
      <c r="E68" s="86">
        <v>36262.2965971431</v>
      </c>
      <c r="F68" s="86">
        <v>36262.2965971431</v>
      </c>
    </row>
    <row r="69" spans="3:6">
      <c r="C69" s="97"/>
      <c r="D69" s="97"/>
      <c r="E69" s="97"/>
      <c r="F69" s="97"/>
    </row>
    <row r="73" ht="15" customHeight="1" spans="2:6">
      <c r="B73" s="48" t="s">
        <v>21</v>
      </c>
      <c r="C73" s="48" t="s">
        <v>23</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0.171464852080722</v>
      </c>
      <c r="C77" s="86">
        <v>19066.91</v>
      </c>
      <c r="D77" s="86">
        <v>18176.84</v>
      </c>
      <c r="E77" s="86">
        <v>18176.84</v>
      </c>
      <c r="F77" s="86">
        <v>18176.84</v>
      </c>
    </row>
    <row r="78" spans="2:6">
      <c r="B78" s="85">
        <v>0.271464852080722</v>
      </c>
      <c r="C78" s="86">
        <v>19180.33</v>
      </c>
      <c r="D78" s="86">
        <v>18254.98</v>
      </c>
      <c r="E78" s="86">
        <v>18254.98</v>
      </c>
      <c r="F78" s="86">
        <v>18254.98</v>
      </c>
    </row>
    <row r="79" spans="2:6">
      <c r="B79" s="85">
        <v>0.321464852080722</v>
      </c>
      <c r="C79" s="86">
        <v>19323.27</v>
      </c>
      <c r="D79" s="86">
        <v>18345.73</v>
      </c>
      <c r="E79" s="86">
        <v>18345.73</v>
      </c>
      <c r="F79" s="86">
        <v>18345.73</v>
      </c>
    </row>
    <row r="80" spans="2:6">
      <c r="B80" s="85">
        <v>0.371464852080722</v>
      </c>
      <c r="C80" s="86">
        <v>19554.53</v>
      </c>
      <c r="D80" s="86">
        <v>18467.83</v>
      </c>
      <c r="E80" s="86">
        <v>18467.83</v>
      </c>
      <c r="F80" s="86">
        <v>18467.83</v>
      </c>
    </row>
    <row r="81" spans="2:6">
      <c r="B81" s="85">
        <v>0.421464852080722</v>
      </c>
      <c r="C81" s="86">
        <v>19974.78</v>
      </c>
      <c r="D81" s="86">
        <v>18654.37</v>
      </c>
      <c r="E81" s="86">
        <v>18654.37</v>
      </c>
      <c r="F81" s="86">
        <v>18654.37</v>
      </c>
    </row>
    <row r="82" spans="2:6">
      <c r="B82" s="85">
        <v>0.471464852080722</v>
      </c>
      <c r="C82" s="86">
        <v>27825.81</v>
      </c>
      <c r="D82" s="86">
        <v>18925.79</v>
      </c>
      <c r="E82" s="86">
        <v>18925.79</v>
      </c>
      <c r="F82" s="86">
        <v>18925.79</v>
      </c>
    </row>
    <row r="83" spans="2:6">
      <c r="B83" s="85">
        <v>0.521464852080722</v>
      </c>
      <c r="C83" s="86">
        <v>99526.92</v>
      </c>
      <c r="D83" s="86">
        <v>24378.61</v>
      </c>
      <c r="E83" s="86">
        <v>24378.61</v>
      </c>
      <c r="F83" s="86">
        <v>24378.61</v>
      </c>
    </row>
    <row r="84" spans="3:6">
      <c r="C84" s="97"/>
      <c r="D84" s="97"/>
      <c r="E84" s="97"/>
      <c r="F84" s="97"/>
    </row>
    <row r="88" ht="15" customHeight="1" spans="2:6">
      <c r="B88" s="48" t="s">
        <v>21</v>
      </c>
      <c r="C88" s="48" t="s">
        <v>24</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343">
        <v>0.738964852080722</v>
      </c>
      <c r="C92" s="86">
        <v>23212.7756758373</v>
      </c>
      <c r="D92" s="86">
        <v>19821.2097898767</v>
      </c>
      <c r="E92" s="86">
        <v>18883.5786556431</v>
      </c>
      <c r="F92" s="86">
        <v>18610.1131502571</v>
      </c>
    </row>
    <row r="93" spans="2:6">
      <c r="B93" s="343">
        <v>0.748964852080722</v>
      </c>
      <c r="C93" s="86">
        <v>23245.1719509279</v>
      </c>
      <c r="D93" s="86">
        <v>19835.3294001618</v>
      </c>
      <c r="E93" s="86">
        <v>18887.3935814335</v>
      </c>
      <c r="F93" s="86">
        <v>18610.3188052591</v>
      </c>
    </row>
    <row r="94" spans="2:6">
      <c r="B94" s="343">
        <v>0.758964852080722</v>
      </c>
      <c r="C94" s="86">
        <v>23332.8004095118</v>
      </c>
      <c r="D94" s="86">
        <v>19856.7086648975</v>
      </c>
      <c r="E94" s="86">
        <v>18901.4352903486</v>
      </c>
      <c r="F94" s="86">
        <v>18622.1162109176</v>
      </c>
    </row>
    <row r="95" spans="2:6">
      <c r="B95" s="343">
        <v>0.768964852080722</v>
      </c>
      <c r="C95" s="86">
        <v>23598.5211216196</v>
      </c>
      <c r="D95" s="86">
        <v>19920.8585524424</v>
      </c>
      <c r="E95" s="86">
        <v>18954.9502341197</v>
      </c>
      <c r="F95" s="86">
        <v>18673.3320676582</v>
      </c>
    </row>
    <row r="96" spans="2:6">
      <c r="B96" s="343">
        <v>0.778964852080722</v>
      </c>
      <c r="C96" s="86">
        <v>24105.6371789567</v>
      </c>
      <c r="D96" s="86">
        <v>19990.4900793941</v>
      </c>
      <c r="E96" s="86">
        <v>19029.9871027869</v>
      </c>
      <c r="F96" s="86">
        <v>18752.4778030617</v>
      </c>
    </row>
    <row r="97" spans="2:6">
      <c r="B97" s="343">
        <v>0.821464852080722</v>
      </c>
      <c r="C97" s="86">
        <v>62041.5748450451</v>
      </c>
      <c r="D97" s="86">
        <v>20649.567937699</v>
      </c>
      <c r="E97" s="86">
        <v>19513.0905822758</v>
      </c>
      <c r="F97" s="86">
        <v>19185.9657397574</v>
      </c>
    </row>
    <row r="98" spans="2:6">
      <c r="B98" s="343">
        <v>0.826464852080722</v>
      </c>
      <c r="C98" s="86">
        <v>105784.415841584</v>
      </c>
      <c r="D98" s="86">
        <v>36812.1868746111</v>
      </c>
      <c r="E98" s="86">
        <v>35043.9022866418</v>
      </c>
      <c r="F98" s="86">
        <v>34935.4235083413</v>
      </c>
    </row>
    <row r="99" spans="3:6">
      <c r="C99" s="97"/>
      <c r="D99" s="97"/>
      <c r="E99" s="97"/>
      <c r="F99" s="97"/>
    </row>
    <row r="103" spans="2:4">
      <c r="B103" s="44">
        <v>2020</v>
      </c>
      <c r="C103" s="44"/>
      <c r="D103" s="44"/>
    </row>
    <row r="104" spans="2:4">
      <c r="B104" s="45" t="s">
        <v>25</v>
      </c>
      <c r="C104" s="46" t="s">
        <v>26</v>
      </c>
      <c r="D104" s="74">
        <v>0.135</v>
      </c>
    </row>
    <row r="106" ht="15" customHeight="1" spans="2:6">
      <c r="B106" s="48" t="s">
        <v>27</v>
      </c>
      <c r="C106" s="48" t="s">
        <v>28</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18953.2762099008</v>
      </c>
      <c r="D110" s="86">
        <v>15896.260500608</v>
      </c>
      <c r="E110" s="86">
        <v>15352.1568281874</v>
      </c>
      <c r="F110" s="86">
        <v>15163.7335480335</v>
      </c>
    </row>
    <row r="111" spans="2:6">
      <c r="B111" s="66">
        <v>160</v>
      </c>
      <c r="C111" s="86">
        <v>20746.58543734</v>
      </c>
      <c r="D111" s="86">
        <v>16045.5853148751</v>
      </c>
      <c r="E111" s="86">
        <v>15452.7714089235</v>
      </c>
      <c r="F111" s="86">
        <v>15247.4797589273</v>
      </c>
    </row>
    <row r="112" spans="2:6">
      <c r="B112" s="66">
        <v>200</v>
      </c>
      <c r="C112" s="86">
        <v>22539.8946647792</v>
      </c>
      <c r="D112" s="86">
        <v>16341.0578197016</v>
      </c>
      <c r="E112" s="86">
        <v>15651.8598346355</v>
      </c>
      <c r="F112" s="86">
        <v>15413.1903464405</v>
      </c>
    </row>
    <row r="113" spans="2:6">
      <c r="B113" s="66">
        <v>250</v>
      </c>
      <c r="C113" s="86">
        <v>24861.9766215845</v>
      </c>
      <c r="D113" s="86">
        <v>16915.0911131344</v>
      </c>
      <c r="E113" s="86">
        <v>16038.6416259325</v>
      </c>
      <c r="F113" s="86">
        <v>15735.126881154</v>
      </c>
    </row>
    <row r="114" spans="2:6">
      <c r="B114" s="66">
        <v>300</v>
      </c>
      <c r="C114" s="86">
        <v>27184.0585783898</v>
      </c>
      <c r="D114" s="86">
        <v>17489.1244065673</v>
      </c>
      <c r="E114" s="86">
        <v>16425.4234172295</v>
      </c>
      <c r="F114" s="86">
        <v>16057.0634158674</v>
      </c>
    </row>
    <row r="115" spans="2:6">
      <c r="B115" s="66">
        <v>350</v>
      </c>
      <c r="C115" s="86">
        <v>30343.4909682044</v>
      </c>
      <c r="D115" s="86">
        <v>18183.4618172237</v>
      </c>
      <c r="E115" s="86">
        <v>16815.6445177956</v>
      </c>
      <c r="F115" s="86">
        <v>16381.8626481866</v>
      </c>
    </row>
    <row r="116" spans="2:6">
      <c r="B116" s="66">
        <v>400</v>
      </c>
      <c r="C116" s="86">
        <v>33742.1274521709</v>
      </c>
      <c r="D116" s="86">
        <v>18912.5474877877</v>
      </c>
      <c r="E116" s="86">
        <v>17205.8656183617</v>
      </c>
      <c r="F116" s="86">
        <v>16706.6618805058</v>
      </c>
    </row>
    <row r="117" spans="2:6">
      <c r="B117" s="66">
        <v>500</v>
      </c>
      <c r="C117" s="86">
        <v>41257.0127025598</v>
      </c>
      <c r="D117" s="86">
        <v>20642.2857440303</v>
      </c>
      <c r="E117" s="86">
        <v>18136.6293101133</v>
      </c>
      <c r="F117" s="86">
        <v>17356.2603451441</v>
      </c>
    </row>
    <row r="118" spans="2:2">
      <c r="B118"/>
    </row>
    <row r="121" ht="15" customHeight="1" spans="2:6">
      <c r="B121" s="48" t="s">
        <v>29</v>
      </c>
      <c r="C121" s="48" t="s">
        <v>30</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346">
        <v>0.825473325119398</v>
      </c>
      <c r="C125" s="86">
        <v>38790.2507063985</v>
      </c>
      <c r="D125" s="86">
        <v>26275.8323091074</v>
      </c>
      <c r="E125" s="86">
        <v>21981.4594899507</v>
      </c>
      <c r="F125" s="86">
        <v>20924.2567986138</v>
      </c>
    </row>
    <row r="126" spans="2:6">
      <c r="B126" s="346">
        <v>0.790095896899995</v>
      </c>
      <c r="C126" s="86">
        <v>38995.3914357923</v>
      </c>
      <c r="D126" s="86">
        <v>26441.685967644</v>
      </c>
      <c r="E126" s="86">
        <v>22123.2713366406</v>
      </c>
      <c r="F126" s="86">
        <v>21062.2358926905</v>
      </c>
    </row>
    <row r="127" spans="2:6">
      <c r="B127" s="346">
        <v>0.754718468680593</v>
      </c>
      <c r="C127" s="86">
        <v>39349.3407829814</v>
      </c>
      <c r="D127" s="86">
        <v>26607.5396261806</v>
      </c>
      <c r="E127" s="86">
        <v>22265.0831833305</v>
      </c>
      <c r="F127" s="86">
        <v>21200.2149867671</v>
      </c>
    </row>
    <row r="128" spans="2:6">
      <c r="B128" s="346">
        <v>0.71934104046119</v>
      </c>
      <c r="C128" s="86">
        <v>41112.1865178866</v>
      </c>
      <c r="D128" s="86">
        <v>26773.3932847172</v>
      </c>
      <c r="E128" s="86">
        <v>22406.8950300204</v>
      </c>
      <c r="F128" s="86">
        <v>21338.1940808438</v>
      </c>
    </row>
    <row r="129" spans="2:6">
      <c r="B129" s="346">
        <v>0.688208903628116</v>
      </c>
      <c r="C129" s="86">
        <v>41503.3848501339</v>
      </c>
      <c r="D129" s="86">
        <v>27942.636601134</v>
      </c>
      <c r="E129" s="86">
        <v>22548.7068767103</v>
      </c>
      <c r="F129" s="86">
        <v>21476.1731749205</v>
      </c>
    </row>
    <row r="130" spans="2:6">
      <c r="B130" s="346">
        <v>0.666274898132086</v>
      </c>
      <c r="C130" s="86">
        <v>41725.4719857748</v>
      </c>
      <c r="D130" s="86">
        <v>28117.4747821718</v>
      </c>
      <c r="E130" s="86">
        <v>22690.5187234002</v>
      </c>
      <c r="F130" s="86">
        <v>21614.1522689971</v>
      </c>
    </row>
    <row r="131" spans="2:6">
      <c r="B131" s="346">
        <v>0.646227688807758</v>
      </c>
      <c r="C131" s="86">
        <v>41947.5591214156</v>
      </c>
      <c r="D131" s="86">
        <v>28292.3129632096</v>
      </c>
      <c r="E131" s="86">
        <v>22832.3305700901</v>
      </c>
      <c r="F131" s="86">
        <v>21752.1313630738</v>
      </c>
    </row>
    <row r="132" spans="2:6">
      <c r="B132" s="346">
        <v>0.635614460341937</v>
      </c>
      <c r="C132" s="86">
        <v>42169.6462570565</v>
      </c>
      <c r="D132" s="86">
        <v>28467.1511442474</v>
      </c>
      <c r="E132" s="86">
        <v>22974.14241678</v>
      </c>
      <c r="F132" s="86">
        <v>21890.1104571504</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24:F26"/>
    <mergeCell ref="C10:F12"/>
    <mergeCell ref="C106:F108"/>
    <mergeCell ref="C121:F123"/>
    <mergeCell ref="C39:F41"/>
    <mergeCell ref="C60:F62"/>
    <mergeCell ref="C88:F90"/>
    <mergeCell ref="C73:F75"/>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32"/>
  <sheetViews>
    <sheetView showGridLines="0" workbookViewId="0">
      <pane ySplit="2" topLeftCell="A3" activePane="bottomLeft" state="frozen"/>
      <selection/>
      <selection pane="bottomLeft" activeCell="A3" sqref="A3"/>
    </sheetView>
  </sheetViews>
  <sheetFormatPr defaultColWidth="9" defaultRowHeight="14.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ht="15" customHeight="1"/>
    <row r="5" spans="2:2">
      <c r="B5" s="43" t="s">
        <v>31</v>
      </c>
    </row>
    <row r="6" ht="15" customHeight="1" spans="2:4">
      <c r="B6" s="44">
        <v>2015</v>
      </c>
      <c r="C6" s="44"/>
      <c r="D6" s="44"/>
    </row>
    <row r="7" ht="15.75" customHeight="1" spans="2:4">
      <c r="B7" s="45" t="s">
        <v>12</v>
      </c>
      <c r="C7" s="46" t="s">
        <v>13</v>
      </c>
      <c r="D7" s="47">
        <v>7.89518718166771</v>
      </c>
    </row>
    <row r="8" spans="2:4">
      <c r="B8" s="45" t="s">
        <v>14</v>
      </c>
      <c r="C8" s="46" t="s">
        <v>15</v>
      </c>
      <c r="D8" s="68">
        <v>37057.8096636581</v>
      </c>
    </row>
    <row r="10" spans="2:6">
      <c r="B10" s="48" t="s">
        <v>16</v>
      </c>
      <c r="C10" s="48" t="s">
        <v>32</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0.0989448582438399</v>
      </c>
      <c r="C14" s="86">
        <v>37317.4611846275</v>
      </c>
      <c r="D14" s="86">
        <v>37171.8202183699</v>
      </c>
      <c r="E14" s="86">
        <v>37171.8202183699</v>
      </c>
      <c r="F14" s="86">
        <v>37171.8202183699</v>
      </c>
    </row>
    <row r="15" spans="2:6">
      <c r="B15" s="85">
        <v>0.19894485824384</v>
      </c>
      <c r="C15" s="86">
        <v>38176.1032648152</v>
      </c>
      <c r="D15" s="86">
        <v>37390.0279082879</v>
      </c>
      <c r="E15" s="86">
        <v>37390.0279082879</v>
      </c>
      <c r="F15" s="86">
        <v>37390.0279082879</v>
      </c>
    </row>
    <row r="16" spans="2:6">
      <c r="B16" s="85">
        <v>0.29894485824384</v>
      </c>
      <c r="C16" s="86">
        <v>40102.5279695952</v>
      </c>
      <c r="D16" s="86">
        <v>37818.5025273761</v>
      </c>
      <c r="E16" s="86">
        <v>37818.5025273761</v>
      </c>
      <c r="F16" s="86">
        <v>37818.5025273761</v>
      </c>
    </row>
    <row r="17" spans="2:11">
      <c r="B17" s="85">
        <v>0.34894485824384</v>
      </c>
      <c r="C17" s="86">
        <v>42408.5385694593</v>
      </c>
      <c r="D17" s="86">
        <v>38408.1393130466</v>
      </c>
      <c r="E17" s="86">
        <v>38408.1393130466</v>
      </c>
      <c r="F17" s="86">
        <v>38408.1393130466</v>
      </c>
      <c r="K17" s="97"/>
    </row>
    <row r="18" spans="2:6">
      <c r="B18" s="85">
        <v>0.39894485824384</v>
      </c>
      <c r="C18" s="86">
        <v>48739.8183928225</v>
      </c>
      <c r="D18" s="86">
        <v>39463.2510831131</v>
      </c>
      <c r="E18" s="86">
        <v>39463.2510831131</v>
      </c>
      <c r="F18" s="86">
        <v>39463.2510831131</v>
      </c>
    </row>
    <row r="19" spans="2:6">
      <c r="B19" s="85">
        <v>0.44894485824384</v>
      </c>
      <c r="C19" s="86">
        <v>103044.926074979</v>
      </c>
      <c r="D19" s="86">
        <v>42665.9187696869</v>
      </c>
      <c r="E19" s="86">
        <v>42665.9187696869</v>
      </c>
      <c r="F19" s="86">
        <v>42665.9187696869</v>
      </c>
    </row>
    <row r="20" spans="3:6">
      <c r="C20" s="97"/>
      <c r="D20" s="97"/>
      <c r="E20" s="97"/>
      <c r="F20" s="97"/>
    </row>
    <row r="24" ht="15" customHeight="1" spans="2:6">
      <c r="B24" s="48" t="s">
        <v>16</v>
      </c>
      <c r="C24" s="48" t="s">
        <v>33</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0.24644485824384</v>
      </c>
      <c r="C28" s="86">
        <v>40649.7289722834</v>
      </c>
      <c r="D28" s="86">
        <v>39285.9289722834</v>
      </c>
      <c r="E28" s="86">
        <v>39285.9289722834</v>
      </c>
      <c r="F28" s="86">
        <v>39285.9289722834</v>
      </c>
    </row>
    <row r="29" spans="2:6">
      <c r="B29" s="85">
        <v>0.34644485824384</v>
      </c>
      <c r="C29" s="86">
        <v>40906.8889722834</v>
      </c>
      <c r="D29" s="86">
        <v>39430.9189722834</v>
      </c>
      <c r="E29" s="86">
        <v>39430.9189722834</v>
      </c>
      <c r="F29" s="86">
        <v>39430.9189722834</v>
      </c>
    </row>
    <row r="30" spans="2:6">
      <c r="B30" s="85">
        <v>0.39644485824384</v>
      </c>
      <c r="C30" s="86">
        <v>41410.2489722834</v>
      </c>
      <c r="D30" s="86">
        <v>39592.0289722834</v>
      </c>
      <c r="E30" s="86">
        <v>39592.0289722834</v>
      </c>
      <c r="F30" s="86">
        <v>39592.0289722834</v>
      </c>
    </row>
    <row r="31" spans="2:6">
      <c r="B31" s="85">
        <v>0.44644485824384</v>
      </c>
      <c r="C31" s="86">
        <v>42124.7289722834</v>
      </c>
      <c r="D31" s="86">
        <v>39729.2889722834</v>
      </c>
      <c r="E31" s="86">
        <v>39729.2889722834</v>
      </c>
      <c r="F31" s="86">
        <v>39729.2889722834</v>
      </c>
    </row>
    <row r="32" spans="2:6">
      <c r="B32" s="85">
        <v>0.49644485824384</v>
      </c>
      <c r="C32" s="86">
        <v>44259.8289722834</v>
      </c>
      <c r="D32" s="86">
        <v>39901.2289722834</v>
      </c>
      <c r="E32" s="86">
        <v>39901.2289722834</v>
      </c>
      <c r="F32" s="86">
        <v>39901.2289722834</v>
      </c>
    </row>
    <row r="33" spans="2:6">
      <c r="B33" s="85">
        <v>0.54644485824384</v>
      </c>
      <c r="C33" s="86">
        <v>81512.5189722834</v>
      </c>
      <c r="D33" s="86">
        <v>40354.4589722834</v>
      </c>
      <c r="E33" s="86">
        <v>40354.4589722834</v>
      </c>
      <c r="F33" s="86">
        <v>40354.4589722834</v>
      </c>
    </row>
    <row r="34" spans="2:6">
      <c r="B34" s="85">
        <v>0.59644485824384</v>
      </c>
      <c r="C34" s="86">
        <v>136921.628972283</v>
      </c>
      <c r="D34" s="86">
        <v>48595.5189722834</v>
      </c>
      <c r="E34" s="86">
        <v>48595.5189722834</v>
      </c>
      <c r="F34" s="86">
        <v>48595.5189722834</v>
      </c>
    </row>
    <row r="35" spans="3:6">
      <c r="C35" s="97"/>
      <c r="D35" s="97"/>
      <c r="E35" s="97"/>
      <c r="F35" s="97"/>
    </row>
    <row r="39" ht="15" customHeight="1" spans="2:6">
      <c r="B39" s="48" t="s">
        <v>16</v>
      </c>
      <c r="C39" s="48" t="s">
        <v>34</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343">
        <v>0.67394485824384</v>
      </c>
      <c r="C43" s="86">
        <v>46420.5894379047</v>
      </c>
      <c r="D43" s="86">
        <v>41366.3503226909</v>
      </c>
      <c r="E43" s="86">
        <v>40062.051264038</v>
      </c>
      <c r="F43" s="86">
        <v>39681.6449526152</v>
      </c>
    </row>
    <row r="44" spans="2:6">
      <c r="B44" s="343">
        <v>0.68394485824384</v>
      </c>
      <c r="C44" s="86">
        <v>46586.7153388341</v>
      </c>
      <c r="D44" s="86">
        <v>41403.0640612314</v>
      </c>
      <c r="E44" s="86">
        <v>40074.718798282</v>
      </c>
      <c r="F44" s="86">
        <v>39685.9984662329</v>
      </c>
    </row>
    <row r="45" spans="2:6">
      <c r="B45" s="343">
        <v>0.69644485824384</v>
      </c>
      <c r="C45" s="86">
        <v>46895.5549242849</v>
      </c>
      <c r="D45" s="86">
        <v>41450.0904967378</v>
      </c>
      <c r="E45" s="86">
        <v>40091.6431393694</v>
      </c>
      <c r="F45" s="86">
        <v>39692.5456257088</v>
      </c>
    </row>
    <row r="46" spans="2:6">
      <c r="B46" s="343">
        <v>0.70644485824384</v>
      </c>
      <c r="C46" s="86">
        <v>47296.9339030488</v>
      </c>
      <c r="D46" s="86">
        <v>41477.6046442004</v>
      </c>
      <c r="E46" s="86">
        <v>40099.9929086037</v>
      </c>
      <c r="F46" s="86">
        <v>39694.2190592769</v>
      </c>
    </row>
    <row r="47" spans="2:6">
      <c r="B47" s="343">
        <v>0.71644485824384</v>
      </c>
      <c r="C47" s="86">
        <v>48114.0274154616</v>
      </c>
      <c r="D47" s="86">
        <v>41493.4285240087</v>
      </c>
      <c r="E47" s="86">
        <v>40105.0232544859</v>
      </c>
      <c r="F47" s="86">
        <v>39695.4986628482</v>
      </c>
    </row>
    <row r="48" spans="2:6">
      <c r="B48" s="343">
        <v>0.76394485824384</v>
      </c>
      <c r="C48" s="86">
        <v>108321.206334626</v>
      </c>
      <c r="D48" s="86">
        <v>42684.1712265634</v>
      </c>
      <c r="E48" s="86">
        <v>40858.0547139347</v>
      </c>
      <c r="F48" s="86">
        <v>40312.2161868235</v>
      </c>
    </row>
    <row r="49" spans="2:6">
      <c r="B49" s="343">
        <v>0.77144485824384</v>
      </c>
      <c r="C49" s="86"/>
      <c r="D49" s="86">
        <v>42729.6383182063</v>
      </c>
      <c r="E49" s="86">
        <v>40901.744467545</v>
      </c>
      <c r="F49" s="86">
        <v>40356.5210140601</v>
      </c>
    </row>
    <row r="50" spans="3:6">
      <c r="C50" s="97"/>
      <c r="D50" s="97"/>
      <c r="E50" s="97"/>
      <c r="F50" s="97"/>
    </row>
    <row r="55" spans="2:2">
      <c r="B55" s="43" t="s">
        <v>35</v>
      </c>
    </row>
    <row r="56" spans="2:4">
      <c r="B56" s="44">
        <v>2015</v>
      </c>
      <c r="C56" s="44"/>
      <c r="D56" s="44"/>
    </row>
    <row r="57" spans="2:4">
      <c r="B57" s="45" t="s">
        <v>12</v>
      </c>
      <c r="C57" s="46" t="s">
        <v>13</v>
      </c>
      <c r="D57" s="47">
        <v>6.73251091854392</v>
      </c>
    </row>
    <row r="58" spans="2:4">
      <c r="B58" s="45" t="s">
        <v>14</v>
      </c>
      <c r="C58" s="46" t="s">
        <v>15</v>
      </c>
      <c r="D58" s="68">
        <v>42530.904474211</v>
      </c>
    </row>
    <row r="60" ht="15" customHeight="1" spans="2:6">
      <c r="B60" s="48" t="s">
        <v>21</v>
      </c>
      <c r="C60" s="48" t="s">
        <v>36</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0.181174187474558</v>
      </c>
      <c r="C64" s="86">
        <v>43323.5570028638</v>
      </c>
      <c r="D64" s="86">
        <v>42722.7854011568</v>
      </c>
      <c r="E64" s="86">
        <v>42722.7854011568</v>
      </c>
      <c r="F64" s="86">
        <v>42722.7854011568</v>
      </c>
    </row>
    <row r="65" spans="2:6">
      <c r="B65" s="85">
        <v>0.281174187474557</v>
      </c>
      <c r="C65" s="86">
        <v>45065.8672279378</v>
      </c>
      <c r="D65" s="86">
        <v>43554.3064430463</v>
      </c>
      <c r="E65" s="86">
        <v>43554.3064430463</v>
      </c>
      <c r="F65" s="86">
        <v>43554.3064430463</v>
      </c>
    </row>
    <row r="66" spans="2:6">
      <c r="B66" s="85">
        <v>0.331174187474558</v>
      </c>
      <c r="C66" s="86">
        <v>46536.1140236374</v>
      </c>
      <c r="D66" s="86">
        <v>44274.69604498</v>
      </c>
      <c r="E66" s="86">
        <v>44274.69604498</v>
      </c>
      <c r="F66" s="86">
        <v>44274.69604498</v>
      </c>
    </row>
    <row r="67" spans="2:6">
      <c r="B67" s="85">
        <v>0.381174187474558</v>
      </c>
      <c r="C67" s="86">
        <v>50470.0174119635</v>
      </c>
      <c r="D67" s="86">
        <v>45260.7702008421</v>
      </c>
      <c r="E67" s="86">
        <v>45260.7702008421</v>
      </c>
      <c r="F67" s="86">
        <v>45260.7702008421</v>
      </c>
    </row>
    <row r="68" spans="2:6">
      <c r="B68" s="85">
        <v>0.431174187474557</v>
      </c>
      <c r="C68" s="86">
        <v>71223.7642913236</v>
      </c>
      <c r="D68" s="86">
        <v>47971.3720866403</v>
      </c>
      <c r="E68" s="86">
        <v>47971.3720866403</v>
      </c>
      <c r="F68" s="86">
        <v>47971.3720866403</v>
      </c>
    </row>
    <row r="69" spans="3:6">
      <c r="C69" s="97"/>
      <c r="D69" s="97"/>
      <c r="E69" s="97"/>
      <c r="F69" s="97"/>
    </row>
    <row r="73" ht="15" customHeight="1" spans="2:6">
      <c r="B73" s="48" t="s">
        <v>21</v>
      </c>
      <c r="C73" s="48" t="s">
        <v>37</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0.198674187474557</v>
      </c>
      <c r="C77" s="86">
        <v>46595.7289722834</v>
      </c>
      <c r="D77" s="86">
        <v>45231.9289722834</v>
      </c>
      <c r="E77" s="86">
        <v>45231.9289722834</v>
      </c>
      <c r="F77" s="86">
        <v>45231.9289722834</v>
      </c>
    </row>
    <row r="78" spans="2:6">
      <c r="B78" s="85">
        <v>0.298674187474558</v>
      </c>
      <c r="C78" s="86">
        <v>46781.2089722834</v>
      </c>
      <c r="D78" s="86">
        <v>45333.6489722834</v>
      </c>
      <c r="E78" s="86">
        <v>45333.6489722834</v>
      </c>
      <c r="F78" s="86">
        <v>45333.6489722834</v>
      </c>
    </row>
    <row r="79" spans="2:6">
      <c r="B79" s="85">
        <v>0.348674187474557</v>
      </c>
      <c r="C79" s="86">
        <v>46979.6089722834</v>
      </c>
      <c r="D79" s="86">
        <v>45448.6589722834</v>
      </c>
      <c r="E79" s="86">
        <v>45448.6589722834</v>
      </c>
      <c r="F79" s="86">
        <v>45448.6589722834</v>
      </c>
    </row>
    <row r="80" spans="2:6">
      <c r="B80" s="85">
        <v>0.398674187474558</v>
      </c>
      <c r="C80" s="86">
        <v>47323.9889722834</v>
      </c>
      <c r="D80" s="86">
        <v>45639.7989722834</v>
      </c>
      <c r="E80" s="86">
        <v>45639.7989722834</v>
      </c>
      <c r="F80" s="86">
        <v>45639.7989722834</v>
      </c>
    </row>
    <row r="81" spans="2:6">
      <c r="B81" s="85">
        <v>0.448674187474558</v>
      </c>
      <c r="C81" s="86">
        <v>48053.0989722834</v>
      </c>
      <c r="D81" s="86">
        <v>45910.3789722834</v>
      </c>
      <c r="E81" s="86">
        <v>45910.3789722834</v>
      </c>
      <c r="F81" s="86">
        <v>45910.3789722834</v>
      </c>
    </row>
    <row r="82" spans="2:6">
      <c r="B82" s="85">
        <v>0.498674187474557</v>
      </c>
      <c r="C82" s="86">
        <v>60232.2789722834</v>
      </c>
      <c r="D82" s="86">
        <v>46323.4589722834</v>
      </c>
      <c r="E82" s="86">
        <v>46323.4589722834</v>
      </c>
      <c r="F82" s="86">
        <v>46323.4589722834</v>
      </c>
    </row>
    <row r="83" spans="2:6">
      <c r="B83" s="85">
        <v>0.548674187474558</v>
      </c>
      <c r="C83" s="86">
        <v>142867.628972283</v>
      </c>
      <c r="D83" s="86">
        <v>58030.0089722834</v>
      </c>
      <c r="E83" s="86">
        <v>58030.0089722834</v>
      </c>
      <c r="F83" s="86">
        <v>58030.0089722834</v>
      </c>
    </row>
    <row r="84" spans="3:6">
      <c r="C84" s="97"/>
      <c r="D84" s="97"/>
      <c r="E84" s="97"/>
      <c r="F84" s="97"/>
    </row>
    <row r="88" ht="15" customHeight="1" spans="2:6">
      <c r="B88" s="48" t="s">
        <v>21</v>
      </c>
      <c r="C88" s="48" t="s">
        <v>38</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343">
        <v>0.681174187474557</v>
      </c>
      <c r="C92" s="86">
        <v>51440.7459313854</v>
      </c>
      <c r="D92" s="86">
        <v>46706.7080184522</v>
      </c>
      <c r="E92" s="86">
        <v>45580.1340914831</v>
      </c>
      <c r="F92" s="86">
        <v>45251.5623354427</v>
      </c>
    </row>
    <row r="93" spans="2:6">
      <c r="B93" s="343">
        <v>0.691174187474557</v>
      </c>
      <c r="C93" s="86">
        <v>51577.4854864152</v>
      </c>
      <c r="D93" s="86">
        <v>46741.3895358659</v>
      </c>
      <c r="E93" s="86">
        <v>45593.9298490815</v>
      </c>
      <c r="F93" s="86">
        <v>45258.2171330664</v>
      </c>
    </row>
    <row r="94" spans="2:6">
      <c r="B94" s="343">
        <v>0.701174187474558</v>
      </c>
      <c r="C94" s="86">
        <v>51744.7385893361</v>
      </c>
      <c r="D94" s="86">
        <v>46767.8651887659</v>
      </c>
      <c r="E94" s="86">
        <v>45609.6055331491</v>
      </c>
      <c r="F94" s="86">
        <v>45270.4459129525</v>
      </c>
    </row>
    <row r="95" spans="2:6">
      <c r="B95" s="343">
        <v>0.711174187474558</v>
      </c>
      <c r="C95" s="86">
        <v>52142.2598779451</v>
      </c>
      <c r="D95" s="86">
        <v>46815.2390501714</v>
      </c>
      <c r="E95" s="86">
        <v>45655.1275196581</v>
      </c>
      <c r="F95" s="86">
        <v>45316.6087676516</v>
      </c>
    </row>
    <row r="96" spans="2:6">
      <c r="B96" s="343">
        <v>0.721174187474558</v>
      </c>
      <c r="C96" s="86">
        <v>89000.5769890931</v>
      </c>
      <c r="D96" s="86">
        <v>46947.3311112412</v>
      </c>
      <c r="E96" s="86">
        <v>45791.8210350174</v>
      </c>
      <c r="F96" s="86">
        <v>45458.8942731283</v>
      </c>
    </row>
    <row r="97" spans="2:6">
      <c r="B97" s="343">
        <v>0.763674187474558</v>
      </c>
      <c r="C97" s="86">
        <v>132026.044813868</v>
      </c>
      <c r="D97" s="86">
        <v>49050.9346681268</v>
      </c>
      <c r="E97" s="86">
        <v>47340.1327279361</v>
      </c>
      <c r="F97" s="86">
        <v>46851.3291719859</v>
      </c>
    </row>
    <row r="98" spans="2:6">
      <c r="B98" s="343">
        <v>0.768674187474558</v>
      </c>
      <c r="C98" s="86"/>
      <c r="D98" s="86">
        <v>73908.5897596238</v>
      </c>
      <c r="E98" s="86">
        <v>71226.0859973308</v>
      </c>
      <c r="F98" s="86">
        <v>71073.5539622681</v>
      </c>
    </row>
    <row r="99" spans="3:6">
      <c r="C99" s="97"/>
      <c r="D99" s="97"/>
      <c r="E99" s="97"/>
      <c r="F99" s="97"/>
    </row>
    <row r="103" ht="15" customHeight="1" spans="2:4">
      <c r="B103" s="44">
        <v>2020</v>
      </c>
      <c r="C103" s="44"/>
      <c r="D103" s="44"/>
    </row>
    <row r="104" spans="2:4">
      <c r="B104" s="45" t="s">
        <v>39</v>
      </c>
      <c r="C104" s="46" t="s">
        <v>26</v>
      </c>
      <c r="D104" s="74">
        <v>0.18</v>
      </c>
    </row>
    <row r="106" spans="2:6">
      <c r="B106" s="48" t="s">
        <v>27</v>
      </c>
      <c r="C106" s="48" t="s">
        <v>40</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42701.4587892046</v>
      </c>
      <c r="D110" s="86">
        <v>38806.664437532</v>
      </c>
      <c r="E110" s="86">
        <v>38236.1823989956</v>
      </c>
      <c r="F110" s="86">
        <v>38038.6242820071</v>
      </c>
    </row>
    <row r="111" spans="2:6">
      <c r="B111" s="66">
        <v>160</v>
      </c>
      <c r="C111" s="86">
        <v>45139.2592852017</v>
      </c>
      <c r="D111" s="86">
        <v>39153.7704707466</v>
      </c>
      <c r="E111" s="86">
        <v>38470.0613304664</v>
      </c>
      <c r="F111" s="86">
        <v>38233.2926310204</v>
      </c>
    </row>
    <row r="112" spans="2:6">
      <c r="B112" s="66">
        <v>200</v>
      </c>
      <c r="C112" s="86">
        <v>47577.0597811988</v>
      </c>
      <c r="D112" s="86">
        <v>39967.9019017014</v>
      </c>
      <c r="E112" s="86">
        <v>39018.6204764573</v>
      </c>
      <c r="F112" s="86">
        <v>38689.8840076555</v>
      </c>
    </row>
    <row r="113" spans="2:6">
      <c r="B113" s="66">
        <v>250</v>
      </c>
      <c r="C113" s="86">
        <v>50737.378455647</v>
      </c>
      <c r="D113" s="86">
        <v>40844.3135242374</v>
      </c>
      <c r="E113" s="86">
        <v>39609.1438157062</v>
      </c>
      <c r="F113" s="86">
        <v>39181.4041406681</v>
      </c>
    </row>
    <row r="114" spans="2:6">
      <c r="B114" s="66">
        <v>300</v>
      </c>
      <c r="C114" s="86">
        <v>53897.6971300951</v>
      </c>
      <c r="D114" s="86">
        <v>41720.7251467734</v>
      </c>
      <c r="E114" s="86">
        <v>40199.667154955</v>
      </c>
      <c r="F114" s="86">
        <v>39672.9242736808</v>
      </c>
    </row>
    <row r="115" spans="2:6">
      <c r="B115" s="66">
        <v>350</v>
      </c>
      <c r="C115" s="86">
        <v>58161.0136329196</v>
      </c>
      <c r="D115" s="86">
        <v>42772.7938941518</v>
      </c>
      <c r="E115" s="86">
        <v>40796.3902827443</v>
      </c>
      <c r="F115" s="86">
        <v>40169.6047800191</v>
      </c>
    </row>
    <row r="116" spans="2:6">
      <c r="B116" s="66">
        <v>400</v>
      </c>
      <c r="C116" s="86">
        <v>62750.1703385539</v>
      </c>
      <c r="D116" s="86">
        <v>43877.9994152904</v>
      </c>
      <c r="E116" s="86">
        <v>41393.1134105337</v>
      </c>
      <c r="F116" s="86">
        <v>40666.2852863575</v>
      </c>
    </row>
    <row r="117" spans="2:6">
      <c r="B117" s="66">
        <v>500</v>
      </c>
      <c r="C117" s="86">
        <v>72906.0043582517</v>
      </c>
      <c r="D117" s="86">
        <v>46493.9817908627</v>
      </c>
      <c r="E117" s="86">
        <v>42807.7096662105</v>
      </c>
      <c r="F117" s="86">
        <v>41659.6462990342</v>
      </c>
    </row>
    <row r="119" spans="2:2">
      <c r="B119"/>
    </row>
    <row r="121" ht="15" customHeight="1" spans="2:6">
      <c r="B121" s="48" t="s">
        <v>29</v>
      </c>
      <c r="C121" s="48" t="s">
        <v>41</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346">
        <v>1.21127654163236</v>
      </c>
      <c r="C125" s="86">
        <v>79718.0909809694</v>
      </c>
      <c r="D125" s="86">
        <v>61463.5157484667</v>
      </c>
      <c r="E125" s="86">
        <v>52764.0624504946</v>
      </c>
      <c r="F125" s="86">
        <v>50622.4026954895</v>
      </c>
    </row>
    <row r="126" spans="2:6">
      <c r="B126" s="346">
        <v>1.15936468984812</v>
      </c>
      <c r="C126" s="86">
        <v>80087.3442938782</v>
      </c>
      <c r="D126" s="86">
        <v>61762.0523338325</v>
      </c>
      <c r="E126" s="86">
        <v>53019.3237745364</v>
      </c>
      <c r="F126" s="86">
        <v>50870.7650648275</v>
      </c>
    </row>
    <row r="127" spans="2:6">
      <c r="B127" s="346">
        <v>1.10745283806388</v>
      </c>
      <c r="C127" s="86">
        <v>80720.8345572165</v>
      </c>
      <c r="D127" s="86">
        <v>62060.5889191984</v>
      </c>
      <c r="E127" s="86">
        <v>53274.5850985782</v>
      </c>
      <c r="F127" s="86">
        <v>51119.1274341655</v>
      </c>
    </row>
    <row r="128" spans="2:6">
      <c r="B128" s="346">
        <v>1.05554098627963</v>
      </c>
      <c r="C128" s="86">
        <v>83856.4532804314</v>
      </c>
      <c r="D128" s="86">
        <v>62359.1255045642</v>
      </c>
      <c r="E128" s="86">
        <v>53529.84642262</v>
      </c>
      <c r="F128" s="86">
        <v>51367.4898035034</v>
      </c>
    </row>
    <row r="129" spans="2:6">
      <c r="B129" s="346">
        <v>1.00362913449539</v>
      </c>
      <c r="C129" s="86">
        <v>84556.5351760012</v>
      </c>
      <c r="D129" s="86">
        <v>64439.8011173345</v>
      </c>
      <c r="E129" s="86">
        <v>53785.1077466618</v>
      </c>
      <c r="F129" s="86">
        <v>51615.8521728414</v>
      </c>
    </row>
    <row r="130" spans="2:6">
      <c r="B130" s="346">
        <v>0.951717282711143</v>
      </c>
      <c r="C130" s="86">
        <v>84956.2920201548</v>
      </c>
      <c r="D130" s="86">
        <v>64754.5098432026</v>
      </c>
      <c r="E130" s="86">
        <v>54040.3690707036</v>
      </c>
      <c r="F130" s="86">
        <v>51864.2145421794</v>
      </c>
    </row>
    <row r="131" spans="2:6">
      <c r="B131" s="346">
        <v>0.899805430926899</v>
      </c>
      <c r="C131" s="86">
        <v>85356.0488643084</v>
      </c>
      <c r="D131" s="86">
        <v>65069.2185690706</v>
      </c>
      <c r="E131" s="86">
        <v>54295.6303947454</v>
      </c>
      <c r="F131" s="86">
        <v>52112.5769115174</v>
      </c>
    </row>
    <row r="132" spans="2:6">
      <c r="B132" s="346">
        <v>0.847893579142654</v>
      </c>
      <c r="C132" s="86">
        <v>85755.805708462</v>
      </c>
      <c r="D132" s="86">
        <v>65383.9272949386</v>
      </c>
      <c r="E132" s="86">
        <v>54550.8917187872</v>
      </c>
      <c r="F132" s="86">
        <v>52360.9392808553</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10:F12"/>
    <mergeCell ref="C39:F41"/>
    <mergeCell ref="C106:F108"/>
    <mergeCell ref="C121:F123"/>
    <mergeCell ref="C60:F62"/>
    <mergeCell ref="C88:F90"/>
    <mergeCell ref="C73:F75"/>
    <mergeCell ref="C24:F26"/>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99"/>
  <sheetViews>
    <sheetView showGridLines="0" topLeftCell="F191" workbookViewId="0">
      <selection activeCell="H16" sqref="H16"/>
    </sheetView>
  </sheetViews>
  <sheetFormatPr defaultColWidth="9" defaultRowHeight="14.5"/>
  <cols>
    <col min="1" max="1" width="7.63636363636364" customWidth="1"/>
    <col min="2" max="2" width="38.2727272727273" style="97" customWidth="1"/>
    <col min="3" max="3" width="9.72727272727273" customWidth="1"/>
    <col min="4" max="6" width="6.27272727272727" customWidth="1"/>
    <col min="10" max="10" width="15.0909090909091" customWidth="1"/>
    <col min="11" max="11" width="18.2727272727273" customWidth="1"/>
    <col min="12" max="12" width="11.0909090909091" customWidth="1"/>
    <col min="13" max="13" width="7" customWidth="1"/>
    <col min="14" max="16" width="6" customWidth="1"/>
    <col min="18" max="18" width="62.9090909090909" customWidth="1"/>
    <col min="20" max="20" width="18.2727272727273" customWidth="1"/>
    <col min="21" max="21" width="21.9090909090909" customWidth="1"/>
  </cols>
  <sheetData>
    <row r="1" ht="15.5" spans="2:19">
      <c r="B1" s="290" t="s">
        <v>10</v>
      </c>
      <c r="C1" s="291"/>
      <c r="D1" s="291"/>
      <c r="E1" s="291"/>
      <c r="F1" s="292"/>
      <c r="Q1" t="s">
        <v>42</v>
      </c>
      <c r="R1" t="s">
        <v>43</v>
      </c>
      <c r="S1" t="str">
        <f>"Trd_car_"&amp;Q1</f>
        <v>Trd_car_gsl</v>
      </c>
    </row>
    <row r="2" spans="2:19">
      <c r="B2" s="313" t="s">
        <v>9</v>
      </c>
      <c r="C2" s="314"/>
      <c r="D2" s="314"/>
      <c r="E2" s="314"/>
      <c r="F2" s="314"/>
      <c r="I2" s="302">
        <v>0.0520099378899987</v>
      </c>
      <c r="J2" s="301" t="s">
        <v>44</v>
      </c>
      <c r="Q2" t="s">
        <v>45</v>
      </c>
      <c r="R2" t="s">
        <v>46</v>
      </c>
      <c r="S2" t="str">
        <f t="shared" ref="S2:S11" si="0">"Trd_car_"&amp;Q2</f>
        <v>Trd_car_gsl-hyb</v>
      </c>
    </row>
    <row r="3" spans="9:19">
      <c r="I3" s="316">
        <f>31536000/10^9</f>
        <v>0.031536</v>
      </c>
      <c r="J3" s="301" t="s">
        <v>47</v>
      </c>
      <c r="Q3" t="s">
        <v>48</v>
      </c>
      <c r="R3" t="s">
        <v>49</v>
      </c>
      <c r="S3" t="str">
        <f t="shared" si="0"/>
        <v>Trd_car_gsl-pih</v>
      </c>
    </row>
    <row r="4" spans="9:19">
      <c r="I4" s="301">
        <v>0.038</v>
      </c>
      <c r="J4" s="301" t="s">
        <v>50</v>
      </c>
      <c r="Q4" t="s">
        <v>51</v>
      </c>
      <c r="R4" t="s">
        <v>52</v>
      </c>
      <c r="S4" t="str">
        <f t="shared" si="0"/>
        <v>Trd_car_dsl</v>
      </c>
    </row>
    <row r="5" spans="9:19">
      <c r="I5" s="302">
        <f>1.406/26.137</f>
        <v>0.053793472854574</v>
      </c>
      <c r="J5" s="301" t="s">
        <v>53</v>
      </c>
      <c r="Q5" t="s">
        <v>54</v>
      </c>
      <c r="R5" t="s">
        <v>55</v>
      </c>
      <c r="S5" t="str">
        <f t="shared" si="0"/>
        <v>Trd_car_dsl-hyb</v>
      </c>
    </row>
    <row r="6" spans="9:19">
      <c r="I6" s="302">
        <v>0.02559</v>
      </c>
      <c r="J6" s="301" t="s">
        <v>56</v>
      </c>
      <c r="Q6" t="s">
        <v>57</v>
      </c>
      <c r="R6" t="s">
        <v>58</v>
      </c>
      <c r="S6" t="str">
        <f t="shared" si="0"/>
        <v>Trd_car_dsl-pih</v>
      </c>
    </row>
    <row r="7" spans="17:19">
      <c r="Q7" t="s">
        <v>59</v>
      </c>
      <c r="R7" t="s">
        <v>60</v>
      </c>
      <c r="S7" t="str">
        <f t="shared" si="0"/>
        <v>Trd_car_cng</v>
      </c>
    </row>
    <row r="8" spans="17:19">
      <c r="Q8" t="s">
        <v>61</v>
      </c>
      <c r="R8" t="s">
        <v>62</v>
      </c>
      <c r="S8" t="str">
        <f>"\I:Trd_car_"&amp;Q8</f>
        <v>\I:Trd_car_lpg</v>
      </c>
    </row>
    <row r="9" ht="15" customHeight="1" spans="17:19">
      <c r="Q9" t="s">
        <v>63</v>
      </c>
      <c r="R9" t="s">
        <v>64</v>
      </c>
      <c r="S9" t="str">
        <f>"\I:Trd_car_"&amp;Q9</f>
        <v>\I:Trd_car_E85</v>
      </c>
    </row>
    <row r="10" spans="2:19">
      <c r="B10" s="43" t="s">
        <v>65</v>
      </c>
      <c r="Q10" t="s">
        <v>66</v>
      </c>
      <c r="R10" t="s">
        <v>67</v>
      </c>
      <c r="S10" t="str">
        <f t="shared" si="0"/>
        <v>Trd_car_elc</v>
      </c>
    </row>
    <row r="11" ht="15" customHeight="1" spans="2:19">
      <c r="B11" s="298">
        <v>2015</v>
      </c>
      <c r="C11" s="298"/>
      <c r="D11" s="298"/>
      <c r="Q11" t="s">
        <v>68</v>
      </c>
      <c r="R11" t="s">
        <v>69</v>
      </c>
      <c r="S11" t="str">
        <f t="shared" si="0"/>
        <v>Trd_car_hh2</v>
      </c>
    </row>
    <row r="12" ht="15.75" customHeight="1" spans="2:9">
      <c r="B12" s="45" t="s">
        <v>12</v>
      </c>
      <c r="C12" s="46" t="s">
        <v>13</v>
      </c>
      <c r="D12" s="47">
        <v>6.80390448385318</v>
      </c>
      <c r="G12" s="77">
        <f>D12*$I$3/100*10^9/10^6</f>
        <v>2.14567931802794</v>
      </c>
      <c r="H12" s="77"/>
      <c r="I12" s="348">
        <f>1/G12</f>
        <v>0.466052868011556</v>
      </c>
    </row>
    <row r="13" ht="15.5" spans="2:19">
      <c r="B13" s="45" t="s">
        <v>14</v>
      </c>
      <c r="C13" s="46" t="s">
        <v>15</v>
      </c>
      <c r="D13" s="68">
        <v>19114.1080717123</v>
      </c>
      <c r="I13" s="311" t="s">
        <v>70</v>
      </c>
      <c r="S13" s="349">
        <v>0.9015</v>
      </c>
    </row>
    <row r="14" spans="2:9">
      <c r="B14" s="323"/>
      <c r="C14" s="324"/>
      <c r="D14" s="325"/>
      <c r="I14" s="311"/>
    </row>
    <row r="15" ht="15.25" spans="2:23">
      <c r="B15" s="323"/>
      <c r="C15" s="324"/>
      <c r="D15" s="325"/>
      <c r="I15" s="311"/>
      <c r="K15" s="304" t="s">
        <v>71</v>
      </c>
      <c r="S15" s="304" t="s">
        <v>72</v>
      </c>
      <c r="T15" s="308"/>
      <c r="U15" s="308"/>
      <c r="V15" s="308"/>
      <c r="W15" s="308"/>
    </row>
    <row r="16" spans="9:23">
      <c r="I16" t="s">
        <v>73</v>
      </c>
      <c r="J16" t="s">
        <v>74</v>
      </c>
      <c r="K16" t="s">
        <v>75</v>
      </c>
      <c r="L16" t="s">
        <v>76</v>
      </c>
      <c r="M16">
        <f>C20</f>
        <v>2020</v>
      </c>
      <c r="N16">
        <f>D20</f>
        <v>2030</v>
      </c>
      <c r="O16">
        <f>E20</f>
        <v>2040</v>
      </c>
      <c r="P16">
        <f>F20</f>
        <v>2050</v>
      </c>
      <c r="Q16" t="s">
        <v>77</v>
      </c>
      <c r="S16" s="308" t="s">
        <v>78</v>
      </c>
      <c r="T16" s="308" t="s">
        <v>79</v>
      </c>
      <c r="U16" s="308" t="s">
        <v>80</v>
      </c>
      <c r="V16" s="308" t="s">
        <v>81</v>
      </c>
      <c r="W16" s="308" t="s">
        <v>82</v>
      </c>
    </row>
    <row r="17" ht="15" customHeight="1" spans="2:23">
      <c r="B17" s="300" t="s">
        <v>16</v>
      </c>
      <c r="C17" s="300" t="s">
        <v>43</v>
      </c>
      <c r="D17" s="300"/>
      <c r="E17" s="300"/>
      <c r="F17" s="300"/>
      <c r="J17" t="str">
        <f>IFERROR(VLOOKUP(C17,$R$1:$S$11,2,FALSE),J16)</f>
        <v>Trd_car_gsl</v>
      </c>
      <c r="K17" t="str">
        <f>IFERROR(IF(VALUE(C17)&gt;2020,J17&amp;"_"&amp;TEXT(B17*100,"00"),"\I:"),"\I:")</f>
        <v>\I:</v>
      </c>
      <c r="L17" t="str">
        <f>LEFT(K17,7)</f>
        <v>\I:</v>
      </c>
      <c r="M17" s="306" t="str">
        <f>IF($K17="\I:","",C17)</f>
        <v/>
      </c>
      <c r="N17" s="306" t="str">
        <f>IF($K17="\I:","",D17)</f>
        <v/>
      </c>
      <c r="O17" s="306" t="str">
        <f>IF($K17="\I:","",E17)</f>
        <v/>
      </c>
      <c r="P17" s="306" t="str">
        <f>IF($K17="\I:","",F17)</f>
        <v/>
      </c>
      <c r="S17" t="s">
        <v>83</v>
      </c>
      <c r="T17" t="str">
        <f t="shared" ref="T17:T48" si="1">K17</f>
        <v>\I:</v>
      </c>
      <c r="U17" t="str">
        <f ca="1" t="shared" ref="U17:U48" si="2">OFFSET($S$1,MATCH(J17,$S$1:$S$11,0)-1,-1)&amp;" -- "&amp;TEXT(B17,"00%")</f>
        <v>ICE medium size gasoline car -- Reduction of specific energy consumption relative to 2015 gasoline vehicle (%)</v>
      </c>
      <c r="V17" s="309" t="s">
        <v>84</v>
      </c>
      <c r="W17" s="309" t="s">
        <v>85</v>
      </c>
    </row>
    <row r="18" spans="2:23">
      <c r="B18" s="300"/>
      <c r="C18" s="300"/>
      <c r="D18" s="300"/>
      <c r="E18" s="300"/>
      <c r="F18" s="300"/>
      <c r="J18" t="str">
        <f t="shared" ref="J18:J81" si="3">IFERROR(VLOOKUP(C18,$R$1:$S$11,2,FALSE),J17)</f>
        <v>Trd_car_gsl</v>
      </c>
      <c r="K18" t="str">
        <f t="shared" ref="K18:K81" si="4">IFERROR(IF(VALUE(C18)&gt;2020,J18&amp;"_"&amp;TEXT(B18*100,"00"),"\I:"),"\I:")</f>
        <v>\I:</v>
      </c>
      <c r="L18" t="str">
        <f t="shared" ref="L18:L81" si="5">LEFT(K18,7)</f>
        <v>\I:</v>
      </c>
      <c r="M18" s="306" t="str">
        <f t="shared" ref="M18:M81" si="6">IF($K18="\I:","",C18)</f>
        <v/>
      </c>
      <c r="N18" s="306" t="str">
        <f t="shared" ref="N18:N81" si="7">IF($K18="\I:","",D18)</f>
        <v/>
      </c>
      <c r="O18" s="306" t="str">
        <f t="shared" ref="O18:O81" si="8">IF($K18="\I:","",E18)</f>
        <v/>
      </c>
      <c r="P18" s="306" t="str">
        <f t="shared" ref="P18:P81" si="9">IF($K18="\I:","",F18)</f>
        <v/>
      </c>
      <c r="S18" t="s">
        <v>83</v>
      </c>
      <c r="T18" t="str">
        <f t="shared" si="1"/>
        <v>\I:</v>
      </c>
      <c r="U18" t="str">
        <f ca="1" t="shared" si="2"/>
        <v>ICE medium size gasoline car -- 00%</v>
      </c>
      <c r="V18" s="309" t="s">
        <v>84</v>
      </c>
      <c r="W18" s="309" t="s">
        <v>85</v>
      </c>
    </row>
    <row r="19" spans="2:23">
      <c r="B19" s="300"/>
      <c r="C19" s="300"/>
      <c r="D19" s="300"/>
      <c r="E19" s="300"/>
      <c r="F19" s="300"/>
      <c r="J19" t="str">
        <f t="shared" si="3"/>
        <v>Trd_car_gsl</v>
      </c>
      <c r="K19" t="str">
        <f t="shared" si="4"/>
        <v>\I:</v>
      </c>
      <c r="L19" t="str">
        <f t="shared" si="5"/>
        <v>\I:</v>
      </c>
      <c r="M19" s="306" t="str">
        <f t="shared" si="6"/>
        <v/>
      </c>
      <c r="N19" s="306" t="str">
        <f t="shared" si="7"/>
        <v/>
      </c>
      <c r="O19" s="306" t="str">
        <f t="shared" si="8"/>
        <v/>
      </c>
      <c r="P19" s="306" t="str">
        <f t="shared" si="9"/>
        <v/>
      </c>
      <c r="S19" t="s">
        <v>83</v>
      </c>
      <c r="T19" t="str">
        <f t="shared" si="1"/>
        <v>\I:</v>
      </c>
      <c r="U19" t="str">
        <f ca="1" t="shared" si="2"/>
        <v>ICE medium size gasoline car -- 00%</v>
      </c>
      <c r="V19" s="309" t="s">
        <v>84</v>
      </c>
      <c r="W19" s="309" t="s">
        <v>85</v>
      </c>
    </row>
    <row r="20" spans="2:23">
      <c r="B20" s="88">
        <v>0</v>
      </c>
      <c r="C20" s="50">
        <v>2020</v>
      </c>
      <c r="D20" s="50">
        <v>2030</v>
      </c>
      <c r="E20" s="50">
        <v>2040</v>
      </c>
      <c r="F20" s="50">
        <v>2050</v>
      </c>
      <c r="I20" s="299">
        <v>1</v>
      </c>
      <c r="J20" s="43" t="str">
        <f t="shared" si="3"/>
        <v>Trd_car_gsl</v>
      </c>
      <c r="K20" s="43" t="str">
        <f>IFERROR(IF(VALUE(C20)&gt;200,J20&amp;"_"&amp;TEXT(B20*100,"00"),"\I:"),"\I:")</f>
        <v>Trd_car_gsl_00</v>
      </c>
      <c r="L20" t="str">
        <f t="shared" si="5"/>
        <v>Trd_car</v>
      </c>
      <c r="M20" s="344">
        <f>D13</f>
        <v>19114.1080717123</v>
      </c>
      <c r="N20" s="306"/>
      <c r="O20" s="306"/>
      <c r="P20" s="306"/>
      <c r="S20" t="s">
        <v>83</v>
      </c>
      <c r="T20" t="str">
        <f t="shared" si="1"/>
        <v>Trd_car_gsl_00</v>
      </c>
      <c r="U20" t="str">
        <f ca="1" t="shared" si="2"/>
        <v>ICE medium size gasoline car -- 00%</v>
      </c>
      <c r="V20" s="309" t="s">
        <v>84</v>
      </c>
      <c r="W20" s="309" t="s">
        <v>85</v>
      </c>
    </row>
    <row r="21" spans="2:23">
      <c r="B21" s="85">
        <v>0.133623958941972</v>
      </c>
      <c r="C21" s="86">
        <v>19378.3288901274</v>
      </c>
      <c r="D21" s="86">
        <v>19184.953531911</v>
      </c>
      <c r="E21" s="86">
        <v>19184.953531911</v>
      </c>
      <c r="F21" s="86">
        <v>19184.953531911</v>
      </c>
      <c r="I21" s="77">
        <f>(1+B21)</f>
        <v>1.13362395894197</v>
      </c>
      <c r="J21" t="str">
        <f t="shared" si="3"/>
        <v>Trd_car_gsl</v>
      </c>
      <c r="K21" t="str">
        <f t="shared" si="4"/>
        <v>Trd_car_gsl_13</v>
      </c>
      <c r="L21" t="str">
        <f t="shared" si="5"/>
        <v>Trd_car</v>
      </c>
      <c r="M21" s="306">
        <f t="shared" si="6"/>
        <v>19378.3288901274</v>
      </c>
      <c r="N21" s="306">
        <f t="shared" si="7"/>
        <v>19184.953531911</v>
      </c>
      <c r="O21" s="306">
        <f t="shared" si="8"/>
        <v>19184.953531911</v>
      </c>
      <c r="P21" s="306">
        <f t="shared" si="9"/>
        <v>19184.953531911</v>
      </c>
      <c r="S21" t="s">
        <v>83</v>
      </c>
      <c r="T21" t="str">
        <f t="shared" si="1"/>
        <v>Trd_car_gsl_13</v>
      </c>
      <c r="U21" t="str">
        <f ca="1" t="shared" si="2"/>
        <v>ICE medium size gasoline car -- 13%</v>
      </c>
      <c r="V21" s="309" t="s">
        <v>84</v>
      </c>
      <c r="W21" s="309" t="s">
        <v>85</v>
      </c>
    </row>
    <row r="22" spans="2:23">
      <c r="B22" s="85">
        <v>0.233623958941972</v>
      </c>
      <c r="C22" s="86">
        <v>20194.1761225306</v>
      </c>
      <c r="D22" s="86">
        <v>19445.9060345472</v>
      </c>
      <c r="E22" s="86">
        <v>19445.9060345472</v>
      </c>
      <c r="F22" s="86">
        <v>19445.9060345472</v>
      </c>
      <c r="I22" s="77">
        <f t="shared" ref="I22:I26" si="10">(1+B22)</f>
        <v>1.23362395894197</v>
      </c>
      <c r="J22" t="str">
        <f t="shared" si="3"/>
        <v>Trd_car_gsl</v>
      </c>
      <c r="K22" t="str">
        <f t="shared" si="4"/>
        <v>Trd_car_gsl_23</v>
      </c>
      <c r="L22" t="str">
        <f t="shared" si="5"/>
        <v>Trd_car</v>
      </c>
      <c r="M22" s="306">
        <f t="shared" si="6"/>
        <v>20194.1761225306</v>
      </c>
      <c r="N22" s="306">
        <f t="shared" si="7"/>
        <v>19445.9060345472</v>
      </c>
      <c r="O22" s="306">
        <f t="shared" si="8"/>
        <v>19445.9060345472</v>
      </c>
      <c r="P22" s="306">
        <f t="shared" si="9"/>
        <v>19445.9060345472</v>
      </c>
      <c r="S22" t="s">
        <v>83</v>
      </c>
      <c r="T22" t="str">
        <f t="shared" si="1"/>
        <v>Trd_car_gsl_23</v>
      </c>
      <c r="U22" t="str">
        <f ca="1" t="shared" si="2"/>
        <v>ICE medium size gasoline car -- 23%</v>
      </c>
      <c r="V22" s="309" t="s">
        <v>84</v>
      </c>
      <c r="W22" s="309" t="s">
        <v>85</v>
      </c>
    </row>
    <row r="23" spans="2:23">
      <c r="B23" s="85">
        <v>0.333623958941972</v>
      </c>
      <c r="C23" s="86">
        <v>21957.3236536115</v>
      </c>
      <c r="D23" s="86">
        <v>20077.20524873</v>
      </c>
      <c r="E23" s="86">
        <v>20077.20524873</v>
      </c>
      <c r="F23" s="86">
        <v>20077.20524873</v>
      </c>
      <c r="I23" s="77">
        <f t="shared" si="10"/>
        <v>1.33362395894197</v>
      </c>
      <c r="J23" t="str">
        <f t="shared" si="3"/>
        <v>Trd_car_gsl</v>
      </c>
      <c r="K23" t="str">
        <f t="shared" si="4"/>
        <v>Trd_car_gsl_33</v>
      </c>
      <c r="L23" t="str">
        <f t="shared" si="5"/>
        <v>Trd_car</v>
      </c>
      <c r="M23" s="306">
        <f t="shared" si="6"/>
        <v>21957.3236536115</v>
      </c>
      <c r="N23" s="306">
        <f t="shared" si="7"/>
        <v>20077.20524873</v>
      </c>
      <c r="O23" s="306">
        <f t="shared" si="8"/>
        <v>20077.20524873</v>
      </c>
      <c r="P23" s="306">
        <f t="shared" si="9"/>
        <v>20077.20524873</v>
      </c>
      <c r="S23" t="s">
        <v>83</v>
      </c>
      <c r="T23" t="str">
        <f t="shared" si="1"/>
        <v>Trd_car_gsl_33</v>
      </c>
      <c r="U23" t="str">
        <f ca="1" t="shared" si="2"/>
        <v>ICE medium size gasoline car -- 33%</v>
      </c>
      <c r="V23" s="309" t="s">
        <v>84</v>
      </c>
      <c r="W23" s="309" t="s">
        <v>85</v>
      </c>
    </row>
    <row r="24" spans="2:23">
      <c r="B24" s="85">
        <v>0.383623958941972</v>
      </c>
      <c r="C24" s="86">
        <v>24470.6482852451</v>
      </c>
      <c r="D24" s="86">
        <v>20810.3469623741</v>
      </c>
      <c r="E24" s="86">
        <v>20810.3469623741</v>
      </c>
      <c r="F24" s="86">
        <v>20810.3469623741</v>
      </c>
      <c r="I24" s="77">
        <f t="shared" si="10"/>
        <v>1.38362395894197</v>
      </c>
      <c r="J24" t="str">
        <f t="shared" si="3"/>
        <v>Trd_car_gsl</v>
      </c>
      <c r="K24" t="str">
        <f t="shared" si="4"/>
        <v>Trd_car_gsl_38</v>
      </c>
      <c r="L24" t="str">
        <f t="shared" si="5"/>
        <v>Trd_car</v>
      </c>
      <c r="M24" s="306">
        <f t="shared" si="6"/>
        <v>24470.6482852451</v>
      </c>
      <c r="N24" s="306">
        <f t="shared" si="7"/>
        <v>20810.3469623741</v>
      </c>
      <c r="O24" s="306">
        <f t="shared" si="8"/>
        <v>20810.3469623741</v>
      </c>
      <c r="P24" s="306">
        <f t="shared" si="9"/>
        <v>20810.3469623741</v>
      </c>
      <c r="S24" t="s">
        <v>83</v>
      </c>
      <c r="T24" t="str">
        <f t="shared" si="1"/>
        <v>Trd_car_gsl_38</v>
      </c>
      <c r="U24" t="str">
        <f ca="1" t="shared" si="2"/>
        <v>ICE medium size gasoline car -- 38%</v>
      </c>
      <c r="V24" s="309" t="s">
        <v>84</v>
      </c>
      <c r="W24" s="309" t="s">
        <v>85</v>
      </c>
    </row>
    <row r="25" spans="2:23">
      <c r="B25" s="85">
        <v>0.433623958941972</v>
      </c>
      <c r="C25" s="86">
        <v>53739.8034564757</v>
      </c>
      <c r="D25" s="86">
        <v>22623.2610961166</v>
      </c>
      <c r="E25" s="86">
        <v>22623.2610961166</v>
      </c>
      <c r="F25" s="86">
        <v>22623.2610961166</v>
      </c>
      <c r="I25" s="77">
        <f t="shared" si="10"/>
        <v>1.43362395894197</v>
      </c>
      <c r="J25" t="str">
        <f t="shared" si="3"/>
        <v>Trd_car_gsl</v>
      </c>
      <c r="K25" t="str">
        <f t="shared" si="4"/>
        <v>Trd_car_gsl_43</v>
      </c>
      <c r="L25" t="str">
        <f t="shared" si="5"/>
        <v>Trd_car</v>
      </c>
      <c r="M25" s="306">
        <f t="shared" si="6"/>
        <v>53739.8034564757</v>
      </c>
      <c r="N25" s="306">
        <f t="shared" si="7"/>
        <v>22623.2610961166</v>
      </c>
      <c r="O25" s="306">
        <f t="shared" si="8"/>
        <v>22623.2610961166</v>
      </c>
      <c r="P25" s="306">
        <f t="shared" si="9"/>
        <v>22623.2610961166</v>
      </c>
      <c r="S25" t="s">
        <v>83</v>
      </c>
      <c r="T25" t="str">
        <f t="shared" si="1"/>
        <v>Trd_car_gsl_43</v>
      </c>
      <c r="U25" t="str">
        <f ca="1" t="shared" si="2"/>
        <v>ICE medium size gasoline car -- 43%</v>
      </c>
      <c r="V25" s="309" t="s">
        <v>84</v>
      </c>
      <c r="W25" s="309" t="s">
        <v>85</v>
      </c>
    </row>
    <row r="26" spans="2:23">
      <c r="B26" s="85">
        <v>0.483623958941972</v>
      </c>
      <c r="C26" s="86">
        <v>118918.12</v>
      </c>
      <c r="D26" s="86">
        <v>41097.3054936037</v>
      </c>
      <c r="E26" s="86">
        <v>41097.3054936037</v>
      </c>
      <c r="F26" s="86">
        <v>41097.3054936037</v>
      </c>
      <c r="I26" s="77">
        <f t="shared" si="10"/>
        <v>1.48362395894197</v>
      </c>
      <c r="J26" t="str">
        <f t="shared" si="3"/>
        <v>Trd_car_gsl</v>
      </c>
      <c r="K26" t="str">
        <f t="shared" si="4"/>
        <v>Trd_car_gsl_48</v>
      </c>
      <c r="L26" t="str">
        <f t="shared" si="5"/>
        <v>Trd_car</v>
      </c>
      <c r="M26" s="306">
        <f t="shared" si="6"/>
        <v>118918.12</v>
      </c>
      <c r="N26" s="306">
        <f t="shared" si="7"/>
        <v>41097.3054936037</v>
      </c>
      <c r="O26" s="306">
        <f t="shared" si="8"/>
        <v>41097.3054936037</v>
      </c>
      <c r="P26" s="306">
        <f t="shared" si="9"/>
        <v>41097.3054936037</v>
      </c>
      <c r="S26" t="s">
        <v>83</v>
      </c>
      <c r="T26" t="str">
        <f t="shared" si="1"/>
        <v>Trd_car_gsl_48</v>
      </c>
      <c r="U26" t="str">
        <f ca="1" t="shared" si="2"/>
        <v>ICE medium size gasoline car -- 48%</v>
      </c>
      <c r="V26" s="309" t="s">
        <v>84</v>
      </c>
      <c r="W26" s="309" t="s">
        <v>85</v>
      </c>
    </row>
    <row r="27" spans="3:23">
      <c r="C27" s="97"/>
      <c r="D27" s="97"/>
      <c r="E27" s="97"/>
      <c r="F27" s="97"/>
      <c r="J27" t="str">
        <f t="shared" si="3"/>
        <v>Trd_car_gsl</v>
      </c>
      <c r="K27" t="str">
        <f t="shared" si="4"/>
        <v>\I:</v>
      </c>
      <c r="L27" t="str">
        <f t="shared" si="5"/>
        <v>\I:</v>
      </c>
      <c r="M27" s="306" t="str">
        <f t="shared" si="6"/>
        <v/>
      </c>
      <c r="N27" s="306" t="str">
        <f t="shared" si="7"/>
        <v/>
      </c>
      <c r="O27" s="306" t="str">
        <f t="shared" si="8"/>
        <v/>
      </c>
      <c r="P27" s="306" t="str">
        <f t="shared" si="9"/>
        <v/>
      </c>
      <c r="T27" t="str">
        <f t="shared" si="1"/>
        <v>\I:</v>
      </c>
      <c r="U27" t="str">
        <f ca="1" t="shared" si="2"/>
        <v>ICE medium size gasoline car -- 00%</v>
      </c>
      <c r="V27" s="309" t="s">
        <v>84</v>
      </c>
      <c r="W27" s="309" t="s">
        <v>85</v>
      </c>
    </row>
    <row r="28" spans="10:23">
      <c r="J28" t="str">
        <f t="shared" si="3"/>
        <v>Trd_car_gsl</v>
      </c>
      <c r="K28" t="str">
        <f t="shared" si="4"/>
        <v>\I:</v>
      </c>
      <c r="L28" t="str">
        <f t="shared" si="5"/>
        <v>\I:</v>
      </c>
      <c r="M28" s="306" t="str">
        <f t="shared" si="6"/>
        <v/>
      </c>
      <c r="N28" s="306" t="str">
        <f t="shared" si="7"/>
        <v/>
      </c>
      <c r="O28" s="306" t="str">
        <f t="shared" si="8"/>
        <v/>
      </c>
      <c r="P28" s="306" t="str">
        <f t="shared" si="9"/>
        <v/>
      </c>
      <c r="T28" t="str">
        <f t="shared" si="1"/>
        <v>\I:</v>
      </c>
      <c r="U28" t="str">
        <f ca="1" t="shared" si="2"/>
        <v>ICE medium size gasoline car -- 00%</v>
      </c>
      <c r="V28" s="309" t="s">
        <v>84</v>
      </c>
      <c r="W28" s="309" t="s">
        <v>85</v>
      </c>
    </row>
    <row r="29" spans="10:23">
      <c r="J29" t="str">
        <f t="shared" si="3"/>
        <v>Trd_car_gsl</v>
      </c>
      <c r="K29" t="str">
        <f t="shared" si="4"/>
        <v>\I:</v>
      </c>
      <c r="L29" t="str">
        <f t="shared" si="5"/>
        <v>\I:</v>
      </c>
      <c r="M29" s="306" t="str">
        <f t="shared" si="6"/>
        <v/>
      </c>
      <c r="N29" s="306" t="str">
        <f t="shared" si="7"/>
        <v/>
      </c>
      <c r="O29" s="306" t="str">
        <f t="shared" si="8"/>
        <v/>
      </c>
      <c r="P29" s="306" t="str">
        <f t="shared" si="9"/>
        <v/>
      </c>
      <c r="T29" t="str">
        <f t="shared" si="1"/>
        <v>\I:</v>
      </c>
      <c r="U29" t="str">
        <f ca="1" t="shared" si="2"/>
        <v>ICE medium size gasoline car -- 00%</v>
      </c>
      <c r="V29" s="309" t="s">
        <v>84</v>
      </c>
      <c r="W29" s="309" t="s">
        <v>85</v>
      </c>
    </row>
    <row r="30" spans="10:23">
      <c r="J30" t="str">
        <f t="shared" si="3"/>
        <v>Trd_car_gsl</v>
      </c>
      <c r="K30" t="str">
        <f t="shared" si="4"/>
        <v>\I:</v>
      </c>
      <c r="L30" t="str">
        <f t="shared" si="5"/>
        <v>\I:</v>
      </c>
      <c r="M30" s="306" t="str">
        <f t="shared" si="6"/>
        <v/>
      </c>
      <c r="N30" s="306" t="str">
        <f t="shared" si="7"/>
        <v/>
      </c>
      <c r="O30" s="306" t="str">
        <f t="shared" si="8"/>
        <v/>
      </c>
      <c r="P30" s="306" t="str">
        <f t="shared" si="9"/>
        <v/>
      </c>
      <c r="T30" t="str">
        <f t="shared" si="1"/>
        <v>\I:</v>
      </c>
      <c r="U30" t="str">
        <f ca="1" t="shared" si="2"/>
        <v>ICE medium size gasoline car -- 00%</v>
      </c>
      <c r="V30" s="309" t="s">
        <v>84</v>
      </c>
      <c r="W30" s="309" t="s">
        <v>85</v>
      </c>
    </row>
    <row r="31" ht="15" customHeight="1" spans="2:23">
      <c r="B31" s="300" t="s">
        <v>16</v>
      </c>
      <c r="C31" s="300" t="s">
        <v>46</v>
      </c>
      <c r="D31" s="300"/>
      <c r="E31" s="300"/>
      <c r="F31" s="300"/>
      <c r="J31" t="str">
        <f t="shared" si="3"/>
        <v>Trd_car_gsl-hyb</v>
      </c>
      <c r="K31" t="str">
        <f t="shared" si="4"/>
        <v>\I:</v>
      </c>
      <c r="L31" t="str">
        <f t="shared" si="5"/>
        <v>\I:</v>
      </c>
      <c r="M31" s="306" t="str">
        <f t="shared" si="6"/>
        <v/>
      </c>
      <c r="N31" s="306" t="str">
        <f t="shared" si="7"/>
        <v/>
      </c>
      <c r="O31" s="306" t="str">
        <f t="shared" si="8"/>
        <v/>
      </c>
      <c r="P31" s="306" t="str">
        <f t="shared" si="9"/>
        <v/>
      </c>
      <c r="T31" t="str">
        <f t="shared" si="1"/>
        <v>\I:</v>
      </c>
      <c r="U31" t="str">
        <f ca="1" t="shared" si="2"/>
        <v>ICE medium size hybrid gasoline car -- Reduction of specific energy consumption relative to 2015 gasoline vehicle (%)</v>
      </c>
      <c r="V31" s="309" t="s">
        <v>84</v>
      </c>
      <c r="W31" s="309" t="s">
        <v>85</v>
      </c>
    </row>
    <row r="32" spans="2:23">
      <c r="B32" s="300"/>
      <c r="C32" s="300"/>
      <c r="D32" s="300"/>
      <c r="E32" s="300"/>
      <c r="F32" s="300"/>
      <c r="J32" t="str">
        <f t="shared" si="3"/>
        <v>Trd_car_gsl-hyb</v>
      </c>
      <c r="K32" t="str">
        <f t="shared" si="4"/>
        <v>\I:</v>
      </c>
      <c r="L32" t="str">
        <f t="shared" si="5"/>
        <v>\I:</v>
      </c>
      <c r="M32" s="306" t="str">
        <f t="shared" si="6"/>
        <v/>
      </c>
      <c r="N32" s="306" t="str">
        <f t="shared" si="7"/>
        <v/>
      </c>
      <c r="O32" s="306" t="str">
        <f t="shared" si="8"/>
        <v/>
      </c>
      <c r="P32" s="306" t="str">
        <f t="shared" si="9"/>
        <v/>
      </c>
      <c r="T32" t="str">
        <f t="shared" si="1"/>
        <v>\I:</v>
      </c>
      <c r="U32" t="str">
        <f ca="1" t="shared" si="2"/>
        <v>ICE medium size hybrid gasoline car -- 00%</v>
      </c>
      <c r="V32" s="309" t="s">
        <v>84</v>
      </c>
      <c r="W32" s="309" t="s">
        <v>85</v>
      </c>
    </row>
    <row r="33" spans="2:23">
      <c r="B33" s="300"/>
      <c r="C33" s="300"/>
      <c r="D33" s="300"/>
      <c r="E33" s="300"/>
      <c r="F33" s="300"/>
      <c r="J33" t="str">
        <f t="shared" si="3"/>
        <v>Trd_car_gsl-hyb</v>
      </c>
      <c r="K33" t="str">
        <f t="shared" si="4"/>
        <v>\I:</v>
      </c>
      <c r="L33" t="str">
        <f t="shared" si="5"/>
        <v>\I:</v>
      </c>
      <c r="M33" s="306" t="str">
        <f t="shared" si="6"/>
        <v/>
      </c>
      <c r="N33" s="306" t="str">
        <f t="shared" si="7"/>
        <v/>
      </c>
      <c r="O33" s="306" t="str">
        <f t="shared" si="8"/>
        <v/>
      </c>
      <c r="P33" s="306" t="str">
        <f t="shared" si="9"/>
        <v/>
      </c>
      <c r="T33" t="str">
        <f t="shared" si="1"/>
        <v>\I:</v>
      </c>
      <c r="U33" t="str">
        <f ca="1" t="shared" si="2"/>
        <v>ICE medium size hybrid gasoline car -- 00%</v>
      </c>
      <c r="V33" s="309" t="s">
        <v>84</v>
      </c>
      <c r="W33" s="309" t="s">
        <v>85</v>
      </c>
    </row>
    <row r="34" spans="2:23">
      <c r="B34" s="88"/>
      <c r="C34" s="50">
        <v>2020</v>
      </c>
      <c r="D34" s="50">
        <v>2030</v>
      </c>
      <c r="E34" s="50">
        <v>2040</v>
      </c>
      <c r="F34" s="50">
        <v>2050</v>
      </c>
      <c r="J34" t="str">
        <f t="shared" si="3"/>
        <v>Trd_car_gsl-hyb</v>
      </c>
      <c r="K34" t="str">
        <f t="shared" si="4"/>
        <v>\I:</v>
      </c>
      <c r="L34" t="str">
        <f t="shared" si="5"/>
        <v>\I:</v>
      </c>
      <c r="M34" s="306" t="str">
        <f t="shared" si="6"/>
        <v/>
      </c>
      <c r="N34" s="306" t="str">
        <f t="shared" si="7"/>
        <v/>
      </c>
      <c r="O34" s="306" t="str">
        <f t="shared" si="8"/>
        <v/>
      </c>
      <c r="P34" s="306" t="str">
        <f t="shared" si="9"/>
        <v/>
      </c>
      <c r="T34" t="str">
        <f t="shared" si="1"/>
        <v>\I:</v>
      </c>
      <c r="U34" t="str">
        <f ca="1" t="shared" si="2"/>
        <v>ICE medium size hybrid gasoline car -- 00%</v>
      </c>
      <c r="V34" s="309" t="s">
        <v>84</v>
      </c>
      <c r="W34" s="309" t="s">
        <v>85</v>
      </c>
    </row>
    <row r="35" spans="2:23">
      <c r="B35" s="85">
        <v>0.236114935304519</v>
      </c>
      <c r="C35" s="86">
        <v>21857.3437291488</v>
      </c>
      <c r="D35" s="86">
        <v>20782.1308961293</v>
      </c>
      <c r="E35" s="86">
        <v>20782.1308961293</v>
      </c>
      <c r="F35" s="86">
        <v>20782.1308961293</v>
      </c>
      <c r="I35" s="77">
        <f>(1+B35)</f>
        <v>1.23611493530452</v>
      </c>
      <c r="J35" t="str">
        <f t="shared" si="3"/>
        <v>Trd_car_gsl-hyb</v>
      </c>
      <c r="K35" t="str">
        <f t="shared" si="4"/>
        <v>Trd_car_gsl-hyb_24</v>
      </c>
      <c r="L35" t="str">
        <f t="shared" si="5"/>
        <v>Trd_car</v>
      </c>
      <c r="M35" s="306">
        <f t="shared" si="6"/>
        <v>21857.3437291488</v>
      </c>
      <c r="N35" s="306">
        <f t="shared" si="7"/>
        <v>20782.1308961293</v>
      </c>
      <c r="O35" s="306">
        <f t="shared" si="8"/>
        <v>20782.1308961293</v>
      </c>
      <c r="P35" s="306">
        <f t="shared" si="9"/>
        <v>20782.1308961293</v>
      </c>
      <c r="T35" t="str">
        <f t="shared" si="1"/>
        <v>Trd_car_gsl-hyb_24</v>
      </c>
      <c r="U35" t="str">
        <f ca="1" t="shared" si="2"/>
        <v>ICE medium size hybrid gasoline car -- 24%</v>
      </c>
      <c r="V35" s="309" t="s">
        <v>84</v>
      </c>
      <c r="W35" s="309" t="s">
        <v>85</v>
      </c>
    </row>
    <row r="36" spans="2:23">
      <c r="B36" s="85">
        <v>0.336114935304519</v>
      </c>
      <c r="C36" s="86">
        <v>22033.1168992347</v>
      </c>
      <c r="D36" s="86">
        <v>20950.8914334757</v>
      </c>
      <c r="E36" s="86">
        <v>20950.8914334757</v>
      </c>
      <c r="F36" s="86">
        <v>20950.8914334757</v>
      </c>
      <c r="I36" s="77">
        <f t="shared" ref="I36:I41" si="11">(1+B36)</f>
        <v>1.33611493530452</v>
      </c>
      <c r="J36" t="str">
        <f t="shared" si="3"/>
        <v>Trd_car_gsl-hyb</v>
      </c>
      <c r="K36" t="str">
        <f t="shared" si="4"/>
        <v>Trd_car_gsl-hyb_34</v>
      </c>
      <c r="L36" t="str">
        <f t="shared" si="5"/>
        <v>Trd_car</v>
      </c>
      <c r="M36" s="306">
        <f t="shared" si="6"/>
        <v>22033.1168992347</v>
      </c>
      <c r="N36" s="306">
        <f t="shared" si="7"/>
        <v>20950.8914334757</v>
      </c>
      <c r="O36" s="306">
        <f t="shared" si="8"/>
        <v>20950.8914334757</v>
      </c>
      <c r="P36" s="306">
        <f t="shared" si="9"/>
        <v>20950.8914334757</v>
      </c>
      <c r="T36" t="str">
        <f t="shared" si="1"/>
        <v>Trd_car_gsl-hyb_34</v>
      </c>
      <c r="U36" t="str">
        <f ca="1" t="shared" si="2"/>
        <v>ICE medium size hybrid gasoline car -- 34%</v>
      </c>
      <c r="V36" s="309" t="s">
        <v>84</v>
      </c>
      <c r="W36" s="309" t="s">
        <v>85</v>
      </c>
    </row>
    <row r="37" spans="2:23">
      <c r="B37" s="85">
        <v>0.386114935304519</v>
      </c>
      <c r="C37" s="86">
        <v>22246.2283331628</v>
      </c>
      <c r="D37" s="86">
        <v>21100.8204868737</v>
      </c>
      <c r="E37" s="86">
        <v>21100.8204868737</v>
      </c>
      <c r="F37" s="86">
        <v>21100.8204868737</v>
      </c>
      <c r="I37" s="77">
        <f t="shared" si="11"/>
        <v>1.38611493530452</v>
      </c>
      <c r="J37" t="str">
        <f t="shared" si="3"/>
        <v>Trd_car_gsl-hyb</v>
      </c>
      <c r="K37" t="str">
        <f t="shared" si="4"/>
        <v>Trd_car_gsl-hyb_39</v>
      </c>
      <c r="L37" t="str">
        <f t="shared" si="5"/>
        <v>Trd_car</v>
      </c>
      <c r="M37" s="306">
        <f t="shared" si="6"/>
        <v>22246.2283331628</v>
      </c>
      <c r="N37" s="306">
        <f t="shared" si="7"/>
        <v>21100.8204868737</v>
      </c>
      <c r="O37" s="306">
        <f t="shared" si="8"/>
        <v>21100.8204868737</v>
      </c>
      <c r="P37" s="306">
        <f t="shared" si="9"/>
        <v>21100.8204868737</v>
      </c>
      <c r="T37" t="str">
        <f t="shared" si="1"/>
        <v>Trd_car_gsl-hyb_39</v>
      </c>
      <c r="U37" t="str">
        <f ca="1" t="shared" si="2"/>
        <v>ICE medium size hybrid gasoline car -- 39%</v>
      </c>
      <c r="V37" s="309" t="s">
        <v>84</v>
      </c>
      <c r="W37" s="309" t="s">
        <v>85</v>
      </c>
    </row>
    <row r="38" spans="2:23">
      <c r="B38" s="85">
        <v>0.436114935304519</v>
      </c>
      <c r="C38" s="86">
        <v>22681.2653604884</v>
      </c>
      <c r="D38" s="86">
        <v>21227.4251408085</v>
      </c>
      <c r="E38" s="86">
        <v>21227.4251408085</v>
      </c>
      <c r="F38" s="86">
        <v>21227.4251408085</v>
      </c>
      <c r="I38" s="77">
        <f t="shared" si="11"/>
        <v>1.43611493530452</v>
      </c>
      <c r="J38" t="str">
        <f t="shared" si="3"/>
        <v>Trd_car_gsl-hyb</v>
      </c>
      <c r="K38" t="str">
        <f t="shared" si="4"/>
        <v>Trd_car_gsl-hyb_44</v>
      </c>
      <c r="L38" t="str">
        <f t="shared" si="5"/>
        <v>Trd_car</v>
      </c>
      <c r="M38" s="306">
        <f t="shared" si="6"/>
        <v>22681.2653604884</v>
      </c>
      <c r="N38" s="306">
        <f t="shared" si="7"/>
        <v>21227.4251408085</v>
      </c>
      <c r="O38" s="306">
        <f t="shared" si="8"/>
        <v>21227.4251408085</v>
      </c>
      <c r="P38" s="306">
        <f t="shared" si="9"/>
        <v>21227.4251408085</v>
      </c>
      <c r="T38" t="str">
        <f t="shared" si="1"/>
        <v>Trd_car_gsl-hyb_44</v>
      </c>
      <c r="U38" t="str">
        <f ca="1" t="shared" si="2"/>
        <v>ICE medium size hybrid gasoline car -- 44%</v>
      </c>
      <c r="V38" s="309" t="s">
        <v>84</v>
      </c>
      <c r="W38" s="309" t="s">
        <v>85</v>
      </c>
    </row>
    <row r="39" spans="2:23">
      <c r="B39" s="85">
        <v>0.486114935304519</v>
      </c>
      <c r="C39" s="86">
        <v>23657.6075827596</v>
      </c>
      <c r="D39" s="86">
        <v>21496.8410810268</v>
      </c>
      <c r="E39" s="86">
        <v>21496.8410810268</v>
      </c>
      <c r="F39" s="86">
        <v>21496.8410810268</v>
      </c>
      <c r="I39" s="77">
        <f t="shared" si="11"/>
        <v>1.48611493530452</v>
      </c>
      <c r="J39" t="str">
        <f t="shared" si="3"/>
        <v>Trd_car_gsl-hyb</v>
      </c>
      <c r="K39" t="str">
        <f t="shared" si="4"/>
        <v>Trd_car_gsl-hyb_49</v>
      </c>
      <c r="L39" t="str">
        <f t="shared" si="5"/>
        <v>Trd_car</v>
      </c>
      <c r="M39" s="306">
        <f t="shared" si="6"/>
        <v>23657.6075827596</v>
      </c>
      <c r="N39" s="306">
        <f t="shared" si="7"/>
        <v>21496.8410810268</v>
      </c>
      <c r="O39" s="306">
        <f t="shared" si="8"/>
        <v>21496.8410810268</v>
      </c>
      <c r="P39" s="306">
        <f t="shared" si="9"/>
        <v>21496.8410810268</v>
      </c>
      <c r="T39" t="str">
        <f t="shared" si="1"/>
        <v>Trd_car_gsl-hyb_49</v>
      </c>
      <c r="U39" t="str">
        <f ca="1" t="shared" si="2"/>
        <v>ICE medium size hybrid gasoline car -- 49%</v>
      </c>
      <c r="V39" s="309" t="s">
        <v>84</v>
      </c>
      <c r="W39" s="309" t="s">
        <v>85</v>
      </c>
    </row>
    <row r="40" spans="2:23">
      <c r="B40" s="85">
        <v>0.536114935304519</v>
      </c>
      <c r="C40" s="86">
        <v>45787.5851645581</v>
      </c>
      <c r="D40" s="86">
        <v>22147.3500545445</v>
      </c>
      <c r="E40" s="86">
        <v>22147.3500545445</v>
      </c>
      <c r="F40" s="86">
        <v>22147.3500545445</v>
      </c>
      <c r="I40" s="77">
        <f t="shared" si="11"/>
        <v>1.53611493530452</v>
      </c>
      <c r="J40" t="str">
        <f t="shared" si="3"/>
        <v>Trd_car_gsl-hyb</v>
      </c>
      <c r="K40" t="str">
        <f t="shared" si="4"/>
        <v>Trd_car_gsl-hyb_54</v>
      </c>
      <c r="L40" t="str">
        <f t="shared" si="5"/>
        <v>Trd_car</v>
      </c>
      <c r="M40" s="306">
        <f t="shared" si="6"/>
        <v>45787.5851645581</v>
      </c>
      <c r="N40" s="306">
        <f t="shared" si="7"/>
        <v>22147.3500545445</v>
      </c>
      <c r="O40" s="306">
        <f t="shared" si="8"/>
        <v>22147.3500545445</v>
      </c>
      <c r="P40" s="306">
        <f t="shared" si="9"/>
        <v>22147.3500545445</v>
      </c>
      <c r="T40" t="str">
        <f t="shared" si="1"/>
        <v>Trd_car_gsl-hyb_54</v>
      </c>
      <c r="U40" t="str">
        <f ca="1" t="shared" si="2"/>
        <v>ICE medium size hybrid gasoline car -- 54%</v>
      </c>
      <c r="V40" s="309" t="s">
        <v>84</v>
      </c>
      <c r="W40" s="309" t="s">
        <v>85</v>
      </c>
    </row>
    <row r="41" spans="2:23">
      <c r="B41" s="85">
        <v>0.586114935304519</v>
      </c>
      <c r="C41" s="86">
        <v>118918.12</v>
      </c>
      <c r="D41" s="86">
        <v>34938.6606193537</v>
      </c>
      <c r="E41" s="86">
        <v>34938.6606193537</v>
      </c>
      <c r="F41" s="86">
        <v>34938.6606193537</v>
      </c>
      <c r="I41" s="77">
        <f t="shared" si="11"/>
        <v>1.58611493530452</v>
      </c>
      <c r="J41" t="str">
        <f t="shared" si="3"/>
        <v>Trd_car_gsl-hyb</v>
      </c>
      <c r="K41" t="str">
        <f t="shared" si="4"/>
        <v>Trd_car_gsl-hyb_59</v>
      </c>
      <c r="L41" t="str">
        <f t="shared" si="5"/>
        <v>Trd_car</v>
      </c>
      <c r="M41" s="306">
        <f t="shared" si="6"/>
        <v>118918.12</v>
      </c>
      <c r="N41" s="306">
        <f t="shared" si="7"/>
        <v>34938.6606193537</v>
      </c>
      <c r="O41" s="306">
        <f t="shared" si="8"/>
        <v>34938.6606193537</v>
      </c>
      <c r="P41" s="306">
        <f t="shared" si="9"/>
        <v>34938.6606193537</v>
      </c>
      <c r="T41" t="str">
        <f t="shared" si="1"/>
        <v>Trd_car_gsl-hyb_59</v>
      </c>
      <c r="U41" t="str">
        <f ca="1" t="shared" si="2"/>
        <v>ICE medium size hybrid gasoline car -- 59%</v>
      </c>
      <c r="V41" s="309" t="s">
        <v>84</v>
      </c>
      <c r="W41" s="309" t="s">
        <v>85</v>
      </c>
    </row>
    <row r="42" spans="3:23">
      <c r="C42" s="97"/>
      <c r="D42" s="97"/>
      <c r="E42" s="97"/>
      <c r="F42" s="97"/>
      <c r="J42" t="str">
        <f t="shared" si="3"/>
        <v>Trd_car_gsl-hyb</v>
      </c>
      <c r="K42" t="str">
        <f t="shared" si="4"/>
        <v>\I:</v>
      </c>
      <c r="L42" t="str">
        <f t="shared" si="5"/>
        <v>\I:</v>
      </c>
      <c r="M42" s="306" t="str">
        <f t="shared" si="6"/>
        <v/>
      </c>
      <c r="N42" s="306" t="str">
        <f t="shared" si="7"/>
        <v/>
      </c>
      <c r="O42" s="306" t="str">
        <f t="shared" si="8"/>
        <v/>
      </c>
      <c r="P42" s="306" t="str">
        <f t="shared" si="9"/>
        <v/>
      </c>
      <c r="T42" t="str">
        <f t="shared" si="1"/>
        <v>\I:</v>
      </c>
      <c r="U42" t="str">
        <f ca="1" t="shared" si="2"/>
        <v>ICE medium size hybrid gasoline car -- 00%</v>
      </c>
      <c r="V42" s="309" t="s">
        <v>84</v>
      </c>
      <c r="W42" s="309" t="s">
        <v>85</v>
      </c>
    </row>
    <row r="43" spans="10:23">
      <c r="J43" t="str">
        <f t="shared" si="3"/>
        <v>Trd_car_gsl-hyb</v>
      </c>
      <c r="K43" t="str">
        <f t="shared" si="4"/>
        <v>\I:</v>
      </c>
      <c r="L43" t="str">
        <f t="shared" si="5"/>
        <v>\I:</v>
      </c>
      <c r="M43" s="306" t="str">
        <f t="shared" si="6"/>
        <v/>
      </c>
      <c r="N43" s="306" t="str">
        <f t="shared" si="7"/>
        <v/>
      </c>
      <c r="O43" s="306" t="str">
        <f t="shared" si="8"/>
        <v/>
      </c>
      <c r="P43" s="306" t="str">
        <f t="shared" si="9"/>
        <v/>
      </c>
      <c r="T43" t="str">
        <f t="shared" si="1"/>
        <v>\I:</v>
      </c>
      <c r="U43" t="str">
        <f ca="1" t="shared" si="2"/>
        <v>ICE medium size hybrid gasoline car -- 00%</v>
      </c>
      <c r="V43" s="309" t="s">
        <v>84</v>
      </c>
      <c r="W43" s="309" t="s">
        <v>85</v>
      </c>
    </row>
    <row r="44" spans="10:23">
      <c r="J44" t="str">
        <f t="shared" si="3"/>
        <v>Trd_car_gsl-hyb</v>
      </c>
      <c r="K44" t="str">
        <f t="shared" si="4"/>
        <v>\I:</v>
      </c>
      <c r="L44" t="str">
        <f t="shared" si="5"/>
        <v>\I:</v>
      </c>
      <c r="M44" s="306" t="str">
        <f t="shared" si="6"/>
        <v/>
      </c>
      <c r="N44" s="306" t="str">
        <f t="shared" si="7"/>
        <v/>
      </c>
      <c r="O44" s="306" t="str">
        <f t="shared" si="8"/>
        <v/>
      </c>
      <c r="P44" s="306" t="str">
        <f t="shared" si="9"/>
        <v/>
      </c>
      <c r="T44" t="str">
        <f t="shared" si="1"/>
        <v>\I:</v>
      </c>
      <c r="U44" t="str">
        <f ca="1" t="shared" si="2"/>
        <v>ICE medium size hybrid gasoline car -- 00%</v>
      </c>
      <c r="V44" s="309" t="s">
        <v>84</v>
      </c>
      <c r="W44" s="309" t="s">
        <v>85</v>
      </c>
    </row>
    <row r="45" spans="10:23">
      <c r="J45" t="str">
        <f t="shared" si="3"/>
        <v>Trd_car_gsl-hyb</v>
      </c>
      <c r="K45" t="str">
        <f t="shared" si="4"/>
        <v>\I:</v>
      </c>
      <c r="L45" t="str">
        <f t="shared" si="5"/>
        <v>\I:</v>
      </c>
      <c r="M45" s="306" t="str">
        <f t="shared" si="6"/>
        <v/>
      </c>
      <c r="N45" s="306" t="str">
        <f t="shared" si="7"/>
        <v/>
      </c>
      <c r="O45" s="306" t="str">
        <f t="shared" si="8"/>
        <v/>
      </c>
      <c r="P45" s="306" t="str">
        <f t="shared" si="9"/>
        <v/>
      </c>
      <c r="T45" t="str">
        <f t="shared" si="1"/>
        <v>\I:</v>
      </c>
      <c r="U45" t="str">
        <f ca="1" t="shared" si="2"/>
        <v>ICE medium size hybrid gasoline car -- 00%</v>
      </c>
      <c r="V45" s="309" t="s">
        <v>84</v>
      </c>
      <c r="W45" s="309" t="s">
        <v>85</v>
      </c>
    </row>
    <row r="46" ht="15" customHeight="1" spans="2:23">
      <c r="B46" s="300" t="s">
        <v>16</v>
      </c>
      <c r="C46" s="300" t="s">
        <v>49</v>
      </c>
      <c r="D46" s="300"/>
      <c r="E46" s="300"/>
      <c r="F46" s="300"/>
      <c r="J46" t="str">
        <f t="shared" si="3"/>
        <v>Trd_car_gsl-pih</v>
      </c>
      <c r="K46" t="str">
        <f t="shared" si="4"/>
        <v>\I:</v>
      </c>
      <c r="L46" t="str">
        <f t="shared" si="5"/>
        <v>\I:</v>
      </c>
      <c r="M46" s="306" t="str">
        <f t="shared" si="6"/>
        <v/>
      </c>
      <c r="N46" s="306" t="str">
        <f t="shared" si="7"/>
        <v/>
      </c>
      <c r="O46" s="306" t="str">
        <f t="shared" si="8"/>
        <v/>
      </c>
      <c r="P46" s="306" t="str">
        <f t="shared" si="9"/>
        <v/>
      </c>
      <c r="T46" t="str">
        <f t="shared" si="1"/>
        <v>\I:</v>
      </c>
      <c r="U46" t="str">
        <f ca="1" t="shared" si="2"/>
        <v>ICE medium size plug-in hybrid gasoline car -- Reduction of specific energy consumption relative to 2015 gasoline vehicle (%)</v>
      </c>
      <c r="V46" s="309" t="s">
        <v>84</v>
      </c>
      <c r="W46" s="309" t="s">
        <v>85</v>
      </c>
    </row>
    <row r="47" spans="2:23">
      <c r="B47" s="300"/>
      <c r="C47" s="300"/>
      <c r="D47" s="300"/>
      <c r="E47" s="300"/>
      <c r="F47" s="300"/>
      <c r="J47" t="str">
        <f t="shared" si="3"/>
        <v>Trd_car_gsl-pih</v>
      </c>
      <c r="K47" t="str">
        <f t="shared" si="4"/>
        <v>\I:</v>
      </c>
      <c r="L47" t="str">
        <f t="shared" si="5"/>
        <v>\I:</v>
      </c>
      <c r="M47" s="306" t="str">
        <f t="shared" si="6"/>
        <v/>
      </c>
      <c r="N47" s="306" t="str">
        <f t="shared" si="7"/>
        <v/>
      </c>
      <c r="O47" s="306" t="str">
        <f t="shared" si="8"/>
        <v/>
      </c>
      <c r="P47" s="306" t="str">
        <f t="shared" si="9"/>
        <v/>
      </c>
      <c r="T47" t="str">
        <f t="shared" si="1"/>
        <v>\I:</v>
      </c>
      <c r="U47" t="str">
        <f ca="1" t="shared" si="2"/>
        <v>ICE medium size plug-in hybrid gasoline car -- 00%</v>
      </c>
      <c r="V47" s="309" t="s">
        <v>84</v>
      </c>
      <c r="W47" s="309" t="s">
        <v>85</v>
      </c>
    </row>
    <row r="48" spans="2:23">
      <c r="B48" s="300"/>
      <c r="C48" s="300"/>
      <c r="D48" s="300"/>
      <c r="E48" s="300"/>
      <c r="F48" s="300"/>
      <c r="J48" t="str">
        <f t="shared" si="3"/>
        <v>Trd_car_gsl-pih</v>
      </c>
      <c r="K48" t="str">
        <f t="shared" si="4"/>
        <v>\I:</v>
      </c>
      <c r="L48" t="str">
        <f t="shared" si="5"/>
        <v>\I:</v>
      </c>
      <c r="M48" s="306" t="str">
        <f t="shared" si="6"/>
        <v/>
      </c>
      <c r="N48" s="306" t="str">
        <f t="shared" si="7"/>
        <v/>
      </c>
      <c r="O48" s="306" t="str">
        <f t="shared" si="8"/>
        <v/>
      </c>
      <c r="P48" s="306" t="str">
        <f t="shared" si="9"/>
        <v/>
      </c>
      <c r="T48" t="str">
        <f t="shared" si="1"/>
        <v>\I:</v>
      </c>
      <c r="U48" t="str">
        <f ca="1" t="shared" si="2"/>
        <v>ICE medium size plug-in hybrid gasoline car -- 00%</v>
      </c>
      <c r="V48" s="309" t="s">
        <v>84</v>
      </c>
      <c r="W48" s="309" t="s">
        <v>85</v>
      </c>
    </row>
    <row r="49" spans="2:23">
      <c r="B49" s="88"/>
      <c r="C49" s="50">
        <v>2020</v>
      </c>
      <c r="D49" s="50">
        <v>2030</v>
      </c>
      <c r="E49" s="50">
        <v>2040</v>
      </c>
      <c r="F49" s="50">
        <v>2050</v>
      </c>
      <c r="J49" t="str">
        <f t="shared" si="3"/>
        <v>Trd_car_gsl-pih</v>
      </c>
      <c r="K49" t="str">
        <f t="shared" si="4"/>
        <v>\I:</v>
      </c>
      <c r="L49" t="str">
        <f t="shared" si="5"/>
        <v>\I:</v>
      </c>
      <c r="M49" s="306" t="str">
        <f t="shared" si="6"/>
        <v/>
      </c>
      <c r="N49" s="306" t="str">
        <f t="shared" si="7"/>
        <v/>
      </c>
      <c r="O49" s="306" t="str">
        <f t="shared" si="8"/>
        <v/>
      </c>
      <c r="P49" s="306" t="str">
        <f t="shared" si="9"/>
        <v/>
      </c>
      <c r="T49" t="str">
        <f t="shared" ref="T49:T80" si="12">K49</f>
        <v>\I:</v>
      </c>
      <c r="U49" t="str">
        <f ca="1" t="shared" ref="U49:U80" si="13">OFFSET($S$1,MATCH(J49,$S$1:$S$11,0)-1,-1)&amp;" -- "&amp;TEXT(B49,"00%")</f>
        <v>ICE medium size plug-in hybrid gasoline car -- 00%</v>
      </c>
      <c r="V49" s="309" t="s">
        <v>84</v>
      </c>
      <c r="W49" s="309" t="s">
        <v>85</v>
      </c>
    </row>
    <row r="50" spans="2:23">
      <c r="B50" s="343">
        <v>0.708623958941972</v>
      </c>
      <c r="C50" s="86">
        <v>26539.4776993029</v>
      </c>
      <c r="D50" s="86">
        <v>22587.5779404125</v>
      </c>
      <c r="E50" s="86">
        <v>21510.7791581879</v>
      </c>
      <c r="F50" s="86">
        <v>21196.7246089853</v>
      </c>
      <c r="I50" s="77">
        <f t="shared" ref="I50:I57" si="14">(1+B50)</f>
        <v>1.70862395894197</v>
      </c>
      <c r="J50" t="str">
        <f t="shared" si="3"/>
        <v>Trd_car_gsl-pih</v>
      </c>
      <c r="K50" t="str">
        <f t="shared" si="4"/>
        <v>Trd_car_gsl-pih_71</v>
      </c>
      <c r="L50" t="str">
        <f t="shared" si="5"/>
        <v>Trd_car</v>
      </c>
      <c r="M50" s="306">
        <f t="shared" si="6"/>
        <v>26539.4776993029</v>
      </c>
      <c r="N50" s="306">
        <f t="shared" si="7"/>
        <v>22587.5779404125</v>
      </c>
      <c r="O50" s="306">
        <f t="shared" si="8"/>
        <v>21510.7791581879</v>
      </c>
      <c r="P50" s="306">
        <f t="shared" si="9"/>
        <v>21196.7246089853</v>
      </c>
      <c r="T50" t="str">
        <f t="shared" si="12"/>
        <v>Trd_car_gsl-pih_71</v>
      </c>
      <c r="U50" t="str">
        <f ca="1" t="shared" si="13"/>
        <v>ICE medium size plug-in hybrid gasoline car -- 71%</v>
      </c>
      <c r="V50" s="309" t="s">
        <v>84</v>
      </c>
      <c r="W50" s="309" t="s">
        <v>85</v>
      </c>
    </row>
    <row r="51" spans="2:23">
      <c r="B51" s="343">
        <v>0.718623958941972</v>
      </c>
      <c r="C51" s="86">
        <v>26628.2779926644</v>
      </c>
      <c r="D51" s="86">
        <v>22611.9323485899</v>
      </c>
      <c r="E51" s="86">
        <v>21520.1811773365</v>
      </c>
      <c r="F51" s="86">
        <v>21201.000673427</v>
      </c>
      <c r="I51" s="77">
        <f t="shared" si="14"/>
        <v>1.71862395894197</v>
      </c>
      <c r="J51" t="str">
        <f t="shared" si="3"/>
        <v>Trd_car_gsl-pih</v>
      </c>
      <c r="K51" t="str">
        <f t="shared" si="4"/>
        <v>Trd_car_gsl-pih_72</v>
      </c>
      <c r="L51" t="str">
        <f t="shared" si="5"/>
        <v>Trd_car</v>
      </c>
      <c r="M51" s="306">
        <f t="shared" si="6"/>
        <v>26628.2779926644</v>
      </c>
      <c r="N51" s="306">
        <f t="shared" si="7"/>
        <v>22611.9323485899</v>
      </c>
      <c r="O51" s="306">
        <f t="shared" si="8"/>
        <v>21520.1811773365</v>
      </c>
      <c r="P51" s="306">
        <f t="shared" si="9"/>
        <v>21201.000673427</v>
      </c>
      <c r="T51" t="str">
        <f t="shared" si="12"/>
        <v>Trd_car_gsl-pih_72</v>
      </c>
      <c r="U51" t="str">
        <f ca="1" t="shared" si="13"/>
        <v>ICE medium size plug-in hybrid gasoline car -- 72%</v>
      </c>
      <c r="V51" s="309" t="s">
        <v>84</v>
      </c>
      <c r="W51" s="309" t="s">
        <v>85</v>
      </c>
    </row>
    <row r="52" spans="2:23">
      <c r="B52" s="343">
        <v>0.731123958941972</v>
      </c>
      <c r="C52" s="86">
        <v>26773.522519625</v>
      </c>
      <c r="D52" s="86">
        <v>22633.6537180433</v>
      </c>
      <c r="E52" s="86">
        <v>21527.0530849486</v>
      </c>
      <c r="F52" s="86">
        <v>21202.7110068848</v>
      </c>
      <c r="I52" s="77">
        <f t="shared" si="14"/>
        <v>1.73112395894197</v>
      </c>
      <c r="J52" t="str">
        <f t="shared" si="3"/>
        <v>Trd_car_gsl-pih</v>
      </c>
      <c r="K52" t="str">
        <f t="shared" si="4"/>
        <v>Trd_car_gsl-pih_73</v>
      </c>
      <c r="L52" t="str">
        <f t="shared" si="5"/>
        <v>Trd_car</v>
      </c>
      <c r="M52" s="306">
        <f t="shared" si="6"/>
        <v>26773.522519625</v>
      </c>
      <c r="N52" s="306">
        <f t="shared" si="7"/>
        <v>22633.6537180433</v>
      </c>
      <c r="O52" s="306">
        <f t="shared" si="8"/>
        <v>21527.0530849486</v>
      </c>
      <c r="P52" s="306">
        <f t="shared" si="9"/>
        <v>21202.7110068848</v>
      </c>
      <c r="T52" t="str">
        <f t="shared" si="12"/>
        <v>Trd_car_gsl-pih_73</v>
      </c>
      <c r="U52" t="str">
        <f ca="1" t="shared" si="13"/>
        <v>ICE medium size plug-in hybrid gasoline car -- 73%</v>
      </c>
      <c r="V52" s="309" t="s">
        <v>84</v>
      </c>
      <c r="W52" s="309" t="s">
        <v>85</v>
      </c>
    </row>
    <row r="53" spans="2:23">
      <c r="B53" s="343">
        <v>0.741123958941972</v>
      </c>
      <c r="C53" s="86">
        <v>26989.6744690472</v>
      </c>
      <c r="D53" s="86">
        <v>22654.2157331532</v>
      </c>
      <c r="E53" s="86">
        <v>21537.4777446133</v>
      </c>
      <c r="F53" s="86">
        <v>21209.7768815691</v>
      </c>
      <c r="I53" s="77">
        <f t="shared" si="14"/>
        <v>1.74112395894197</v>
      </c>
      <c r="J53" t="str">
        <f t="shared" si="3"/>
        <v>Trd_car_gsl-pih</v>
      </c>
      <c r="K53" t="str">
        <f t="shared" si="4"/>
        <v>Trd_car_gsl-pih_74</v>
      </c>
      <c r="L53" t="str">
        <f t="shared" si="5"/>
        <v>Trd_car</v>
      </c>
      <c r="M53" s="306">
        <f t="shared" si="6"/>
        <v>26989.6744690472</v>
      </c>
      <c r="N53" s="306">
        <f t="shared" si="7"/>
        <v>22654.2157331532</v>
      </c>
      <c r="O53" s="306">
        <f t="shared" si="8"/>
        <v>21537.4777446133</v>
      </c>
      <c r="P53" s="306">
        <f t="shared" si="9"/>
        <v>21209.7768815691</v>
      </c>
      <c r="T53" t="str">
        <f t="shared" si="12"/>
        <v>Trd_car_gsl-pih_74</v>
      </c>
      <c r="U53" t="str">
        <f ca="1" t="shared" si="13"/>
        <v>ICE medium size plug-in hybrid gasoline car -- 74%</v>
      </c>
      <c r="V53" s="309" t="s">
        <v>84</v>
      </c>
      <c r="W53" s="309" t="s">
        <v>85</v>
      </c>
    </row>
    <row r="54" spans="2:23">
      <c r="B54" s="343">
        <v>0.751123958941972</v>
      </c>
      <c r="C54" s="86">
        <v>27401.4001530307</v>
      </c>
      <c r="D54" s="86">
        <v>22660.3968650687</v>
      </c>
      <c r="E54" s="86">
        <v>21543.4172520826</v>
      </c>
      <c r="F54" s="86">
        <v>21215.8000066854</v>
      </c>
      <c r="I54" s="77">
        <f t="shared" si="14"/>
        <v>1.75112395894197</v>
      </c>
      <c r="J54" t="str">
        <f t="shared" si="3"/>
        <v>Trd_car_gsl-pih</v>
      </c>
      <c r="K54" t="str">
        <f t="shared" si="4"/>
        <v>Trd_car_gsl-pih_75</v>
      </c>
      <c r="L54" t="str">
        <f t="shared" si="5"/>
        <v>Trd_car</v>
      </c>
      <c r="M54" s="306">
        <f t="shared" si="6"/>
        <v>27401.4001530307</v>
      </c>
      <c r="N54" s="306">
        <f t="shared" si="7"/>
        <v>22660.3968650687</v>
      </c>
      <c r="O54" s="306">
        <f t="shared" si="8"/>
        <v>21543.4172520826</v>
      </c>
      <c r="P54" s="306">
        <f t="shared" si="9"/>
        <v>21215.8000066854</v>
      </c>
      <c r="T54" t="str">
        <f t="shared" si="12"/>
        <v>Trd_car_gsl-pih_75</v>
      </c>
      <c r="U54" t="str">
        <f ca="1" t="shared" si="13"/>
        <v>ICE medium size plug-in hybrid gasoline car -- 75%</v>
      </c>
      <c r="V54" s="309" t="s">
        <v>84</v>
      </c>
      <c r="W54" s="309" t="s">
        <v>85</v>
      </c>
    </row>
    <row r="55" spans="2:23">
      <c r="B55" s="343">
        <v>0.798623958941972</v>
      </c>
      <c r="C55" s="86">
        <v>73086.7752868817</v>
      </c>
      <c r="D55" s="86">
        <v>23523.7845036998</v>
      </c>
      <c r="E55" s="86">
        <v>22095.4342540872</v>
      </c>
      <c r="F55" s="86">
        <v>21671.3185501023</v>
      </c>
      <c r="I55" s="77">
        <f t="shared" si="14"/>
        <v>1.79862395894197</v>
      </c>
      <c r="J55" t="str">
        <f t="shared" si="3"/>
        <v>Trd_car_gsl-pih</v>
      </c>
      <c r="K55" t="str">
        <f t="shared" si="4"/>
        <v>Trd_car_gsl-pih_80</v>
      </c>
      <c r="L55" t="str">
        <f t="shared" si="5"/>
        <v>Trd_car</v>
      </c>
      <c r="M55" s="306">
        <f t="shared" si="6"/>
        <v>73086.7752868817</v>
      </c>
      <c r="N55" s="306">
        <f t="shared" si="7"/>
        <v>23523.7845036998</v>
      </c>
      <c r="O55" s="306">
        <f t="shared" si="8"/>
        <v>22095.4342540872</v>
      </c>
      <c r="P55" s="306">
        <f t="shared" si="9"/>
        <v>21671.3185501023</v>
      </c>
      <c r="T55" t="str">
        <f t="shared" si="12"/>
        <v>Trd_car_gsl-pih_80</v>
      </c>
      <c r="U55" t="str">
        <f ca="1" t="shared" si="13"/>
        <v>ICE medium size plug-in hybrid gasoline car -- 80%</v>
      </c>
      <c r="V55" s="309" t="s">
        <v>84</v>
      </c>
      <c r="W55" s="309" t="s">
        <v>85</v>
      </c>
    </row>
    <row r="56" spans="2:23">
      <c r="B56" s="343">
        <v>0.806123958941972</v>
      </c>
      <c r="C56" s="86">
        <v>108076.535841584</v>
      </c>
      <c r="D56" s="86">
        <v>23678.9935851968</v>
      </c>
      <c r="E56" s="86">
        <v>22244.5761121578</v>
      </c>
      <c r="F56" s="86">
        <v>21822.5600589121</v>
      </c>
      <c r="I56" s="77">
        <f t="shared" si="14"/>
        <v>1.80612395894197</v>
      </c>
      <c r="J56" t="str">
        <f t="shared" si="3"/>
        <v>Trd_car_gsl-pih</v>
      </c>
      <c r="K56" t="str">
        <f t="shared" si="4"/>
        <v>Trd_car_gsl-pih_81</v>
      </c>
      <c r="L56" t="str">
        <f t="shared" si="5"/>
        <v>Trd_car</v>
      </c>
      <c r="M56" s="306">
        <f t="shared" si="6"/>
        <v>108076.535841584</v>
      </c>
      <c r="N56" s="306">
        <f t="shared" si="7"/>
        <v>23678.9935851968</v>
      </c>
      <c r="O56" s="306">
        <f t="shared" si="8"/>
        <v>22244.5761121578</v>
      </c>
      <c r="P56" s="306">
        <f t="shared" si="9"/>
        <v>21822.5600589121</v>
      </c>
      <c r="T56" t="str">
        <f t="shared" si="12"/>
        <v>Trd_car_gsl-pih_81</v>
      </c>
      <c r="U56" t="str">
        <f ca="1" t="shared" si="13"/>
        <v>ICE medium size plug-in hybrid gasoline car -- 81%</v>
      </c>
      <c r="V56" s="309" t="s">
        <v>84</v>
      </c>
      <c r="W56" s="309" t="s">
        <v>85</v>
      </c>
    </row>
    <row r="57" spans="2:23">
      <c r="B57" s="347">
        <v>0.815623958941972</v>
      </c>
      <c r="C57" s="86">
        <f>C56</f>
        <v>108076.535841584</v>
      </c>
      <c r="D57" s="86">
        <v>42903.2293099449</v>
      </c>
      <c r="E57" s="86">
        <v>40717.324023051</v>
      </c>
      <c r="F57" s="86">
        <v>40555.3712364839</v>
      </c>
      <c r="I57" s="77">
        <f t="shared" si="14"/>
        <v>1.81562395894197</v>
      </c>
      <c r="J57" t="str">
        <f t="shared" si="3"/>
        <v>Trd_car_gsl-pih</v>
      </c>
      <c r="K57" t="str">
        <f t="shared" si="4"/>
        <v>Trd_car_gsl-pih_82</v>
      </c>
      <c r="L57" t="str">
        <f t="shared" si="5"/>
        <v>Trd_car</v>
      </c>
      <c r="M57" s="306">
        <f t="shared" si="6"/>
        <v>108076.535841584</v>
      </c>
      <c r="N57" s="306">
        <f t="shared" si="7"/>
        <v>42903.2293099449</v>
      </c>
      <c r="O57" s="306">
        <f t="shared" si="8"/>
        <v>40717.324023051</v>
      </c>
      <c r="P57" s="306">
        <f t="shared" si="9"/>
        <v>40555.3712364839</v>
      </c>
      <c r="T57" t="str">
        <f t="shared" si="12"/>
        <v>Trd_car_gsl-pih_82</v>
      </c>
      <c r="U57" t="str">
        <f ca="1" t="shared" si="13"/>
        <v>ICE medium size plug-in hybrid gasoline car -- 82%</v>
      </c>
      <c r="V57" s="309" t="s">
        <v>84</v>
      </c>
      <c r="W57" s="309" t="s">
        <v>85</v>
      </c>
    </row>
    <row r="58" spans="10:23">
      <c r="J58" t="str">
        <f t="shared" si="3"/>
        <v>Trd_car_gsl-pih</v>
      </c>
      <c r="K58" t="str">
        <f t="shared" si="4"/>
        <v>\I:</v>
      </c>
      <c r="L58" t="str">
        <f t="shared" si="5"/>
        <v>\I:</v>
      </c>
      <c r="M58" s="306" t="str">
        <f t="shared" si="6"/>
        <v/>
      </c>
      <c r="N58" s="306" t="str">
        <f t="shared" si="7"/>
        <v/>
      </c>
      <c r="O58" s="306" t="str">
        <f t="shared" si="8"/>
        <v/>
      </c>
      <c r="P58" s="306" t="str">
        <f t="shared" si="9"/>
        <v/>
      </c>
      <c r="T58" t="str">
        <f t="shared" si="12"/>
        <v>\I:</v>
      </c>
      <c r="U58" t="str">
        <f ca="1" t="shared" si="13"/>
        <v>ICE medium size plug-in hybrid gasoline car -- 00%</v>
      </c>
      <c r="V58" s="309" t="s">
        <v>84</v>
      </c>
      <c r="W58" s="309" t="s">
        <v>85</v>
      </c>
    </row>
    <row r="59" spans="10:23">
      <c r="J59" t="str">
        <f t="shared" si="3"/>
        <v>Trd_car_gsl-pih</v>
      </c>
      <c r="K59" t="str">
        <f t="shared" si="4"/>
        <v>\I:</v>
      </c>
      <c r="L59" t="str">
        <f t="shared" si="5"/>
        <v>\I:</v>
      </c>
      <c r="M59" s="306" t="str">
        <f t="shared" si="6"/>
        <v/>
      </c>
      <c r="N59" s="306" t="str">
        <f t="shared" si="7"/>
        <v/>
      </c>
      <c r="O59" s="306" t="str">
        <f t="shared" si="8"/>
        <v/>
      </c>
      <c r="P59" s="306" t="str">
        <f t="shared" si="9"/>
        <v/>
      </c>
      <c r="T59" t="str">
        <f t="shared" si="12"/>
        <v>\I:</v>
      </c>
      <c r="U59" t="str">
        <f ca="1" t="shared" si="13"/>
        <v>ICE medium size plug-in hybrid gasoline car -- 00%</v>
      </c>
      <c r="V59" s="309" t="s">
        <v>84</v>
      </c>
      <c r="W59" s="309" t="s">
        <v>85</v>
      </c>
    </row>
    <row r="60" spans="10:23">
      <c r="J60" t="str">
        <f t="shared" si="3"/>
        <v>Trd_car_gsl-pih</v>
      </c>
      <c r="K60" t="str">
        <f t="shared" si="4"/>
        <v>\I:</v>
      </c>
      <c r="L60" t="str">
        <f t="shared" si="5"/>
        <v>\I:</v>
      </c>
      <c r="M60" s="306" t="str">
        <f t="shared" si="6"/>
        <v/>
      </c>
      <c r="N60" s="306" t="str">
        <f t="shared" si="7"/>
        <v/>
      </c>
      <c r="O60" s="306" t="str">
        <f t="shared" si="8"/>
        <v/>
      </c>
      <c r="P60" s="306" t="str">
        <f t="shared" si="9"/>
        <v/>
      </c>
      <c r="T60" t="str">
        <f t="shared" si="12"/>
        <v>\I:</v>
      </c>
      <c r="U60" t="str">
        <f ca="1" t="shared" si="13"/>
        <v>ICE medium size plug-in hybrid gasoline car -- 00%</v>
      </c>
      <c r="V60" s="309" t="s">
        <v>84</v>
      </c>
      <c r="W60" s="309" t="s">
        <v>85</v>
      </c>
    </row>
    <row r="61" spans="10:23">
      <c r="J61" t="str">
        <f t="shared" si="3"/>
        <v>Trd_car_gsl-pih</v>
      </c>
      <c r="K61" t="str">
        <f t="shared" si="4"/>
        <v>\I:</v>
      </c>
      <c r="L61" t="str">
        <f t="shared" si="5"/>
        <v>\I:</v>
      </c>
      <c r="M61" s="306" t="str">
        <f t="shared" si="6"/>
        <v/>
      </c>
      <c r="N61" s="306" t="str">
        <f t="shared" si="7"/>
        <v/>
      </c>
      <c r="O61" s="306" t="str">
        <f t="shared" si="8"/>
        <v/>
      </c>
      <c r="P61" s="306" t="str">
        <f t="shared" si="9"/>
        <v/>
      </c>
      <c r="T61" t="str">
        <f t="shared" si="12"/>
        <v>\I:</v>
      </c>
      <c r="U61" t="str">
        <f ca="1" t="shared" si="13"/>
        <v>ICE medium size plug-in hybrid gasoline car -- 00%</v>
      </c>
      <c r="V61" s="309" t="s">
        <v>84</v>
      </c>
      <c r="W61" s="309" t="s">
        <v>85</v>
      </c>
    </row>
    <row r="62" spans="2:23">
      <c r="B62" s="43" t="s">
        <v>86</v>
      </c>
      <c r="J62" t="str">
        <f t="shared" si="3"/>
        <v>Trd_car_gsl-pih</v>
      </c>
      <c r="K62" t="str">
        <f t="shared" si="4"/>
        <v>\I:</v>
      </c>
      <c r="L62" t="str">
        <f t="shared" si="5"/>
        <v>\I:</v>
      </c>
      <c r="M62" s="306" t="str">
        <f t="shared" si="6"/>
        <v/>
      </c>
      <c r="N62" s="306" t="str">
        <f t="shared" si="7"/>
        <v/>
      </c>
      <c r="O62" s="306" t="str">
        <f t="shared" si="8"/>
        <v/>
      </c>
      <c r="P62" s="306" t="str">
        <f t="shared" si="9"/>
        <v/>
      </c>
      <c r="T62" t="str">
        <f t="shared" si="12"/>
        <v>\I:</v>
      </c>
      <c r="U62" t="str">
        <f ca="1" t="shared" si="13"/>
        <v>ICE medium size plug-in hybrid gasoline car -- Reference values for medium size ICE diesel </v>
      </c>
      <c r="V62" s="309" t="s">
        <v>84</v>
      </c>
      <c r="W62" s="309" t="s">
        <v>85</v>
      </c>
    </row>
    <row r="63" spans="2:23">
      <c r="B63" s="298">
        <v>2015</v>
      </c>
      <c r="C63" s="298"/>
      <c r="D63" s="298"/>
      <c r="J63" t="str">
        <f t="shared" si="3"/>
        <v>Trd_car_gsl-pih</v>
      </c>
      <c r="K63" t="str">
        <f t="shared" si="4"/>
        <v>\I:</v>
      </c>
      <c r="L63" t="str">
        <f t="shared" si="5"/>
        <v>\I:</v>
      </c>
      <c r="M63" s="306" t="str">
        <f t="shared" si="6"/>
        <v/>
      </c>
      <c r="N63" s="306" t="str">
        <f t="shared" si="7"/>
        <v/>
      </c>
      <c r="O63" s="306" t="str">
        <f t="shared" si="8"/>
        <v/>
      </c>
      <c r="P63" s="306" t="str">
        <f t="shared" si="9"/>
        <v/>
      </c>
      <c r="T63" t="str">
        <f t="shared" si="12"/>
        <v>\I:</v>
      </c>
      <c r="U63" t="str">
        <f ca="1" t="shared" si="13"/>
        <v>ICE medium size plug-in hybrid gasoline car -- 201500%</v>
      </c>
      <c r="V63" s="309" t="s">
        <v>84</v>
      </c>
      <c r="W63" s="309" t="s">
        <v>85</v>
      </c>
    </row>
    <row r="64" spans="2:23">
      <c r="B64" s="45" t="s">
        <v>12</v>
      </c>
      <c r="C64" s="46" t="s">
        <v>13</v>
      </c>
      <c r="D64" s="47">
        <v>4.98666897284823</v>
      </c>
      <c r="G64" s="77">
        <f>D64*$I$4/100*10^9/10^6</f>
        <v>1.89493420968233</v>
      </c>
      <c r="H64" s="77"/>
      <c r="I64" s="348">
        <f>1/G64</f>
        <v>0.527722806887128</v>
      </c>
      <c r="J64" t="str">
        <f t="shared" si="3"/>
        <v>Trd_car_gsl-pih</v>
      </c>
      <c r="K64" t="str">
        <f t="shared" si="4"/>
        <v>\I:</v>
      </c>
      <c r="L64" t="str">
        <f t="shared" si="5"/>
        <v>\I:</v>
      </c>
      <c r="M64" s="306" t="str">
        <f t="shared" si="6"/>
        <v/>
      </c>
      <c r="N64" s="306" t="str">
        <f t="shared" si="7"/>
        <v/>
      </c>
      <c r="O64" s="306" t="str">
        <f t="shared" si="8"/>
        <v/>
      </c>
      <c r="P64" s="306" t="str">
        <f t="shared" si="9"/>
        <v/>
      </c>
      <c r="T64" t="str">
        <f t="shared" si="12"/>
        <v>\I:</v>
      </c>
      <c r="U64" t="str">
        <f ca="1" t="shared" si="13"/>
        <v>ICE medium size plug-in hybrid gasoline car -- Energy consumption</v>
      </c>
      <c r="V64" s="309" t="s">
        <v>84</v>
      </c>
      <c r="W64" s="309" t="s">
        <v>85</v>
      </c>
    </row>
    <row r="65" spans="2:23">
      <c r="B65" s="45" t="s">
        <v>14</v>
      </c>
      <c r="C65" s="46" t="s">
        <v>15</v>
      </c>
      <c r="D65" s="68">
        <v>21914.2647910521</v>
      </c>
      <c r="I65" s="311" t="s">
        <v>70</v>
      </c>
      <c r="J65" t="str">
        <f t="shared" si="3"/>
        <v>Trd_car_gsl-pih</v>
      </c>
      <c r="K65" t="str">
        <f t="shared" si="4"/>
        <v>\I:</v>
      </c>
      <c r="L65" t="str">
        <f t="shared" si="5"/>
        <v>\I:</v>
      </c>
      <c r="M65" s="306" t="str">
        <f t="shared" si="6"/>
        <v/>
      </c>
      <c r="N65" s="306" t="str">
        <f t="shared" si="7"/>
        <v/>
      </c>
      <c r="O65" s="306" t="str">
        <f t="shared" si="8"/>
        <v/>
      </c>
      <c r="P65" s="306" t="str">
        <f t="shared" si="9"/>
        <v/>
      </c>
      <c r="T65" t="str">
        <f t="shared" si="12"/>
        <v>\I:</v>
      </c>
      <c r="U65" t="str">
        <f ca="1" t="shared" si="13"/>
        <v>ICE medium size plug-in hybrid gasoline car -- Capital cost</v>
      </c>
      <c r="V65" s="309" t="s">
        <v>84</v>
      </c>
      <c r="W65" s="309" t="s">
        <v>85</v>
      </c>
    </row>
    <row r="66" spans="10:23">
      <c r="J66" t="str">
        <f t="shared" si="3"/>
        <v>Trd_car_gsl-pih</v>
      </c>
      <c r="K66" t="str">
        <f t="shared" si="4"/>
        <v>\I:</v>
      </c>
      <c r="L66" t="str">
        <f t="shared" si="5"/>
        <v>\I:</v>
      </c>
      <c r="M66" s="306" t="str">
        <f t="shared" si="6"/>
        <v/>
      </c>
      <c r="N66" s="306" t="str">
        <f t="shared" si="7"/>
        <v/>
      </c>
      <c r="O66" s="306" t="str">
        <f t="shared" si="8"/>
        <v/>
      </c>
      <c r="P66" s="306" t="str">
        <f t="shared" si="9"/>
        <v/>
      </c>
      <c r="T66" t="str">
        <f t="shared" si="12"/>
        <v>\I:</v>
      </c>
      <c r="U66" t="str">
        <f ca="1" t="shared" si="13"/>
        <v>ICE medium size plug-in hybrid gasoline car -- 00%</v>
      </c>
      <c r="V66" s="309" t="s">
        <v>84</v>
      </c>
      <c r="W66" s="309" t="s">
        <v>85</v>
      </c>
    </row>
    <row r="67" ht="15" customHeight="1" spans="2:23">
      <c r="B67" s="300" t="s">
        <v>21</v>
      </c>
      <c r="C67" s="300" t="s">
        <v>52</v>
      </c>
      <c r="D67" s="300"/>
      <c r="E67" s="300"/>
      <c r="F67" s="300"/>
      <c r="J67" t="str">
        <f t="shared" si="3"/>
        <v>Trd_car_dsl</v>
      </c>
      <c r="K67" t="str">
        <f t="shared" si="4"/>
        <v>\I:</v>
      </c>
      <c r="L67" t="str">
        <f t="shared" si="5"/>
        <v>\I:</v>
      </c>
      <c r="M67" s="306" t="str">
        <f t="shared" si="6"/>
        <v/>
      </c>
      <c r="N67" s="306" t="str">
        <f t="shared" si="7"/>
        <v/>
      </c>
      <c r="O67" s="306" t="str">
        <f t="shared" si="8"/>
        <v/>
      </c>
      <c r="P67" s="306" t="str">
        <f t="shared" si="9"/>
        <v/>
      </c>
      <c r="T67" t="str">
        <f t="shared" si="12"/>
        <v>\I:</v>
      </c>
      <c r="U67" t="str">
        <f ca="1" t="shared" si="13"/>
        <v>ICE medium size diesel car -- Reduction of specific energy consumption relative to 2015 diesel vehicle (%)</v>
      </c>
      <c r="V67" s="309" t="s">
        <v>84</v>
      </c>
      <c r="W67" s="309" t="s">
        <v>85</v>
      </c>
    </row>
    <row r="68" spans="2:23">
      <c r="B68" s="300"/>
      <c r="C68" s="300"/>
      <c r="D68" s="300"/>
      <c r="E68" s="300"/>
      <c r="F68" s="300"/>
      <c r="J68" t="str">
        <f t="shared" si="3"/>
        <v>Trd_car_dsl</v>
      </c>
      <c r="K68" t="str">
        <f t="shared" si="4"/>
        <v>\I:</v>
      </c>
      <c r="L68" t="str">
        <f t="shared" si="5"/>
        <v>\I:</v>
      </c>
      <c r="M68" s="306" t="str">
        <f t="shared" si="6"/>
        <v/>
      </c>
      <c r="N68" s="306" t="str">
        <f t="shared" si="7"/>
        <v/>
      </c>
      <c r="O68" s="306" t="str">
        <f t="shared" si="8"/>
        <v/>
      </c>
      <c r="P68" s="306" t="str">
        <f t="shared" si="9"/>
        <v/>
      </c>
      <c r="T68" t="str">
        <f t="shared" si="12"/>
        <v>\I:</v>
      </c>
      <c r="U68" t="str">
        <f ca="1" t="shared" si="13"/>
        <v>ICE medium size diesel car -- 00%</v>
      </c>
      <c r="V68" s="309" t="s">
        <v>84</v>
      </c>
      <c r="W68" s="309" t="s">
        <v>85</v>
      </c>
    </row>
    <row r="69" spans="2:23">
      <c r="B69" s="300"/>
      <c r="C69" s="300"/>
      <c r="D69" s="300"/>
      <c r="E69" s="300"/>
      <c r="F69" s="300"/>
      <c r="J69" t="str">
        <f t="shared" si="3"/>
        <v>Trd_car_dsl</v>
      </c>
      <c r="K69" t="str">
        <f t="shared" si="4"/>
        <v>\I:</v>
      </c>
      <c r="L69" t="str">
        <f t="shared" si="5"/>
        <v>\I:</v>
      </c>
      <c r="M69" s="306" t="str">
        <f t="shared" si="6"/>
        <v/>
      </c>
      <c r="N69" s="306" t="str">
        <f t="shared" si="7"/>
        <v/>
      </c>
      <c r="O69" s="306" t="str">
        <f t="shared" si="8"/>
        <v/>
      </c>
      <c r="P69" s="306" t="str">
        <f t="shared" si="9"/>
        <v/>
      </c>
      <c r="T69" t="str">
        <f t="shared" si="12"/>
        <v>\I:</v>
      </c>
      <c r="U69" t="str">
        <f ca="1" t="shared" si="13"/>
        <v>ICE medium size diesel car -- 00%</v>
      </c>
      <c r="V69" s="309" t="s">
        <v>84</v>
      </c>
      <c r="W69" s="309" t="s">
        <v>85</v>
      </c>
    </row>
    <row r="70" spans="2:23">
      <c r="B70" s="88"/>
      <c r="C70" s="50">
        <v>2020</v>
      </c>
      <c r="D70" s="50">
        <v>2030</v>
      </c>
      <c r="E70" s="50">
        <v>2040</v>
      </c>
      <c r="F70" s="50">
        <v>2050</v>
      </c>
      <c r="I70" s="299">
        <v>1</v>
      </c>
      <c r="J70" s="43" t="str">
        <f t="shared" ref="J70" si="15">IFERROR(VLOOKUP(C70,$R$1:$S$11,2,FALSE),J69)</f>
        <v>Trd_car_dsl</v>
      </c>
      <c r="K70" s="43" t="str">
        <f>IFERROR(IF(VALUE(C70)&gt;200,J70&amp;"_"&amp;TEXT(B70*100,"00"),"\I:"),"\I:")</f>
        <v>Trd_car_dsl_00</v>
      </c>
      <c r="L70" t="str">
        <f t="shared" si="5"/>
        <v>Trd_car</v>
      </c>
      <c r="M70" s="344">
        <f>D65</f>
        <v>21914.2647910521</v>
      </c>
      <c r="N70" s="306"/>
      <c r="O70" s="306"/>
      <c r="P70" s="306"/>
      <c r="T70" t="str">
        <f t="shared" si="12"/>
        <v>Trd_car_dsl_00</v>
      </c>
      <c r="U70" t="str">
        <f ca="1" t="shared" si="13"/>
        <v>ICE medium size diesel car -- 00%</v>
      </c>
      <c r="V70" s="309" t="s">
        <v>84</v>
      </c>
      <c r="W70" s="309" t="s">
        <v>85</v>
      </c>
    </row>
    <row r="71" spans="2:23">
      <c r="B71" s="85">
        <v>0.195198130991225</v>
      </c>
      <c r="C71" s="86">
        <v>22692.9991331875</v>
      </c>
      <c r="D71" s="86">
        <v>22131.4789656656</v>
      </c>
      <c r="E71" s="86">
        <v>22131.4789656656</v>
      </c>
      <c r="F71" s="86">
        <v>22131.4789656656</v>
      </c>
      <c r="I71" s="77">
        <f>$I$64*(1+B71)/$I$12</f>
        <v>1.35335142376444</v>
      </c>
      <c r="J71" t="str">
        <f t="shared" si="3"/>
        <v>Trd_car_dsl</v>
      </c>
      <c r="K71" t="str">
        <f t="shared" si="4"/>
        <v>Trd_car_dsl_20</v>
      </c>
      <c r="L71" t="str">
        <f t="shared" si="5"/>
        <v>Trd_car</v>
      </c>
      <c r="M71" s="306">
        <f t="shared" si="6"/>
        <v>22692.9991331875</v>
      </c>
      <c r="N71" s="306">
        <f t="shared" si="7"/>
        <v>22131.4789656656</v>
      </c>
      <c r="O71" s="306">
        <f t="shared" si="8"/>
        <v>22131.4789656656</v>
      </c>
      <c r="P71" s="306">
        <f t="shared" si="9"/>
        <v>22131.4789656656</v>
      </c>
      <c r="T71" t="str">
        <f t="shared" si="12"/>
        <v>Trd_car_dsl_20</v>
      </c>
      <c r="U71" t="str">
        <f ca="1" t="shared" si="13"/>
        <v>ICE medium size diesel car -- 20%</v>
      </c>
      <c r="V71" s="309" t="s">
        <v>84</v>
      </c>
      <c r="W71" s="309" t="s">
        <v>85</v>
      </c>
    </row>
    <row r="72" spans="2:23">
      <c r="B72" s="85">
        <v>0.295198130991225</v>
      </c>
      <c r="C72" s="86">
        <v>24299.0380820457</v>
      </c>
      <c r="D72" s="86">
        <v>22868.8307949444</v>
      </c>
      <c r="E72" s="86">
        <v>22868.8307949444</v>
      </c>
      <c r="F72" s="86">
        <v>22868.8307949444</v>
      </c>
      <c r="I72" s="77">
        <f>$I$64*(1+B72)/$I$12</f>
        <v>1.46658381500337</v>
      </c>
      <c r="J72" t="str">
        <f t="shared" si="3"/>
        <v>Trd_car_dsl</v>
      </c>
      <c r="K72" t="str">
        <f t="shared" si="4"/>
        <v>Trd_car_dsl_30</v>
      </c>
      <c r="L72" t="str">
        <f t="shared" si="5"/>
        <v>Trd_car</v>
      </c>
      <c r="M72" s="306">
        <f t="shared" si="6"/>
        <v>24299.0380820457</v>
      </c>
      <c r="N72" s="306">
        <f t="shared" si="7"/>
        <v>22868.8307949444</v>
      </c>
      <c r="O72" s="306">
        <f t="shared" si="8"/>
        <v>22868.8307949444</v>
      </c>
      <c r="P72" s="306">
        <f t="shared" si="9"/>
        <v>22868.8307949444</v>
      </c>
      <c r="T72" t="str">
        <f t="shared" si="12"/>
        <v>Trd_car_dsl_30</v>
      </c>
      <c r="U72" t="str">
        <f ca="1" t="shared" si="13"/>
        <v>ICE medium size diesel car -- 30%</v>
      </c>
      <c r="V72" s="309" t="s">
        <v>84</v>
      </c>
      <c r="W72" s="309" t="s">
        <v>85</v>
      </c>
    </row>
    <row r="73" spans="2:23">
      <c r="B73" s="85">
        <v>0.345198130991225</v>
      </c>
      <c r="C73" s="86">
        <v>26423.1165385091</v>
      </c>
      <c r="D73" s="86">
        <v>23526.51219185</v>
      </c>
      <c r="E73" s="86">
        <v>23526.51219185</v>
      </c>
      <c r="F73" s="86">
        <v>23526.51219185</v>
      </c>
      <c r="I73" s="77">
        <f>$I$64*(1+B73)/$I$12</f>
        <v>1.52320001062284</v>
      </c>
      <c r="J73" t="str">
        <f t="shared" si="3"/>
        <v>Trd_car_dsl</v>
      </c>
      <c r="K73" t="str">
        <f t="shared" si="4"/>
        <v>Trd_car_dsl_35</v>
      </c>
      <c r="L73" t="str">
        <f t="shared" si="5"/>
        <v>Trd_car</v>
      </c>
      <c r="M73" s="306">
        <f t="shared" si="6"/>
        <v>26423.1165385091</v>
      </c>
      <c r="N73" s="306">
        <f t="shared" si="7"/>
        <v>23526.51219185</v>
      </c>
      <c r="O73" s="306">
        <f t="shared" si="8"/>
        <v>23526.51219185</v>
      </c>
      <c r="P73" s="306">
        <f t="shared" si="9"/>
        <v>23526.51219185</v>
      </c>
      <c r="T73" t="str">
        <f t="shared" si="12"/>
        <v>Trd_car_dsl_35</v>
      </c>
      <c r="U73" t="str">
        <f ca="1" t="shared" si="13"/>
        <v>ICE medium size diesel car -- 35%</v>
      </c>
      <c r="V73" s="309" t="s">
        <v>84</v>
      </c>
      <c r="W73" s="309" t="s">
        <v>85</v>
      </c>
    </row>
    <row r="74" spans="2:23">
      <c r="B74" s="85">
        <v>0.395198130991225</v>
      </c>
      <c r="C74" s="86">
        <v>39644.745949074</v>
      </c>
      <c r="D74" s="86">
        <v>24942.2235642788</v>
      </c>
      <c r="E74" s="86">
        <v>24942.2235642788</v>
      </c>
      <c r="F74" s="86">
        <v>24942.2235642788</v>
      </c>
      <c r="I74" s="77">
        <f>$I$64*(1+B74)/$I$12</f>
        <v>1.57981620624231</v>
      </c>
      <c r="J74" t="str">
        <f t="shared" si="3"/>
        <v>Trd_car_dsl</v>
      </c>
      <c r="K74" t="str">
        <f t="shared" si="4"/>
        <v>Trd_car_dsl_40</v>
      </c>
      <c r="L74" t="str">
        <f t="shared" si="5"/>
        <v>Trd_car</v>
      </c>
      <c r="M74" s="306">
        <f t="shared" si="6"/>
        <v>39644.745949074</v>
      </c>
      <c r="N74" s="306">
        <f t="shared" si="7"/>
        <v>24942.2235642788</v>
      </c>
      <c r="O74" s="306">
        <f t="shared" si="8"/>
        <v>24942.2235642788</v>
      </c>
      <c r="P74" s="306">
        <f t="shared" si="9"/>
        <v>24942.2235642788</v>
      </c>
      <c r="T74" t="str">
        <f t="shared" si="12"/>
        <v>Trd_car_dsl_40</v>
      </c>
      <c r="U74" t="str">
        <f ca="1" t="shared" si="13"/>
        <v>ICE medium size diesel car -- 40%</v>
      </c>
      <c r="V74" s="309" t="s">
        <v>84</v>
      </c>
      <c r="W74" s="309" t="s">
        <v>85</v>
      </c>
    </row>
    <row r="75" spans="2:23">
      <c r="B75" s="85">
        <v>0.445198130991225</v>
      </c>
      <c r="C75" s="86">
        <v>122116.432</v>
      </c>
      <c r="D75" s="86">
        <v>33656.2953808642</v>
      </c>
      <c r="E75" s="86">
        <v>33656.2953808642</v>
      </c>
      <c r="F75" s="86">
        <v>33656.2953808642</v>
      </c>
      <c r="I75" s="77">
        <f>$I$64*(1+B75)/$I$12</f>
        <v>1.63643240186178</v>
      </c>
      <c r="J75" t="str">
        <f t="shared" si="3"/>
        <v>Trd_car_dsl</v>
      </c>
      <c r="K75" t="str">
        <f t="shared" si="4"/>
        <v>Trd_car_dsl_45</v>
      </c>
      <c r="L75" t="str">
        <f t="shared" si="5"/>
        <v>Trd_car</v>
      </c>
      <c r="M75" s="306">
        <f t="shared" si="6"/>
        <v>122116.432</v>
      </c>
      <c r="N75" s="306">
        <f t="shared" si="7"/>
        <v>33656.2953808642</v>
      </c>
      <c r="O75" s="306">
        <f t="shared" si="8"/>
        <v>33656.2953808642</v>
      </c>
      <c r="P75" s="306">
        <f t="shared" si="9"/>
        <v>33656.2953808642</v>
      </c>
      <c r="T75" t="str">
        <f t="shared" si="12"/>
        <v>Trd_car_dsl_45</v>
      </c>
      <c r="U75" t="str">
        <f ca="1" t="shared" si="13"/>
        <v>ICE medium size diesel car -- 45%</v>
      </c>
      <c r="V75" s="309" t="s">
        <v>84</v>
      </c>
      <c r="W75" s="309" t="s">
        <v>85</v>
      </c>
    </row>
    <row r="76" spans="3:23">
      <c r="C76" s="97"/>
      <c r="D76" s="97"/>
      <c r="E76" s="97"/>
      <c r="F76" s="97"/>
      <c r="J76" t="str">
        <f t="shared" si="3"/>
        <v>Trd_car_dsl</v>
      </c>
      <c r="K76" t="str">
        <f t="shared" si="4"/>
        <v>\I:</v>
      </c>
      <c r="L76" t="str">
        <f t="shared" si="5"/>
        <v>\I:</v>
      </c>
      <c r="M76" s="306" t="str">
        <f t="shared" si="6"/>
        <v/>
      </c>
      <c r="N76" s="306" t="str">
        <f t="shared" si="7"/>
        <v/>
      </c>
      <c r="O76" s="306" t="str">
        <f t="shared" si="8"/>
        <v/>
      </c>
      <c r="P76" s="306" t="str">
        <f t="shared" si="9"/>
        <v/>
      </c>
      <c r="T76" t="str">
        <f t="shared" si="12"/>
        <v>\I:</v>
      </c>
      <c r="U76" t="str">
        <f ca="1" t="shared" si="13"/>
        <v>ICE medium size diesel car -- 00%</v>
      </c>
      <c r="V76" s="309" t="s">
        <v>84</v>
      </c>
      <c r="W76" s="309" t="s">
        <v>85</v>
      </c>
    </row>
    <row r="77" spans="10:23">
      <c r="J77" t="str">
        <f t="shared" si="3"/>
        <v>Trd_car_dsl</v>
      </c>
      <c r="K77" t="str">
        <f t="shared" si="4"/>
        <v>\I:</v>
      </c>
      <c r="L77" t="str">
        <f t="shared" si="5"/>
        <v>\I:</v>
      </c>
      <c r="M77" s="306" t="str">
        <f t="shared" si="6"/>
        <v/>
      </c>
      <c r="N77" s="306" t="str">
        <f t="shared" si="7"/>
        <v/>
      </c>
      <c r="O77" s="306" t="str">
        <f t="shared" si="8"/>
        <v/>
      </c>
      <c r="P77" s="306" t="str">
        <f t="shared" si="9"/>
        <v/>
      </c>
      <c r="T77" t="str">
        <f t="shared" si="12"/>
        <v>\I:</v>
      </c>
      <c r="U77" t="str">
        <f ca="1" t="shared" si="13"/>
        <v>ICE medium size diesel car -- 00%</v>
      </c>
      <c r="V77" s="309" t="s">
        <v>84</v>
      </c>
      <c r="W77" s="309" t="s">
        <v>85</v>
      </c>
    </row>
    <row r="78" spans="10:23">
      <c r="J78" t="str">
        <f t="shared" si="3"/>
        <v>Trd_car_dsl</v>
      </c>
      <c r="K78" t="str">
        <f t="shared" si="4"/>
        <v>\I:</v>
      </c>
      <c r="L78" t="str">
        <f t="shared" si="5"/>
        <v>\I:</v>
      </c>
      <c r="M78" s="306" t="str">
        <f t="shared" si="6"/>
        <v/>
      </c>
      <c r="N78" s="306" t="str">
        <f t="shared" si="7"/>
        <v/>
      </c>
      <c r="O78" s="306" t="str">
        <f t="shared" si="8"/>
        <v/>
      </c>
      <c r="P78" s="306" t="str">
        <f t="shared" si="9"/>
        <v/>
      </c>
      <c r="T78" t="str">
        <f t="shared" si="12"/>
        <v>\I:</v>
      </c>
      <c r="U78" t="str">
        <f ca="1" t="shared" si="13"/>
        <v>ICE medium size diesel car -- 00%</v>
      </c>
      <c r="V78" s="309" t="s">
        <v>84</v>
      </c>
      <c r="W78" s="309" t="s">
        <v>85</v>
      </c>
    </row>
    <row r="79" spans="10:23">
      <c r="J79" t="str">
        <f t="shared" si="3"/>
        <v>Trd_car_dsl</v>
      </c>
      <c r="K79" t="str">
        <f t="shared" si="4"/>
        <v>\I:</v>
      </c>
      <c r="L79" t="str">
        <f t="shared" si="5"/>
        <v>\I:</v>
      </c>
      <c r="M79" s="306" t="str">
        <f t="shared" si="6"/>
        <v/>
      </c>
      <c r="N79" s="306" t="str">
        <f t="shared" si="7"/>
        <v/>
      </c>
      <c r="O79" s="306" t="str">
        <f t="shared" si="8"/>
        <v/>
      </c>
      <c r="P79" s="306" t="str">
        <f t="shared" si="9"/>
        <v/>
      </c>
      <c r="T79" t="str">
        <f t="shared" si="12"/>
        <v>\I:</v>
      </c>
      <c r="U79" t="str">
        <f ca="1" t="shared" si="13"/>
        <v>ICE medium size diesel car -- 00%</v>
      </c>
      <c r="V79" s="309" t="s">
        <v>84</v>
      </c>
      <c r="W79" s="309" t="s">
        <v>85</v>
      </c>
    </row>
    <row r="80" ht="15" customHeight="1" spans="2:23">
      <c r="B80" s="300" t="s">
        <v>21</v>
      </c>
      <c r="C80" s="300" t="s">
        <v>55</v>
      </c>
      <c r="D80" s="300"/>
      <c r="E80" s="300"/>
      <c r="F80" s="300"/>
      <c r="J80" t="str">
        <f t="shared" si="3"/>
        <v>Trd_car_dsl-hyb</v>
      </c>
      <c r="K80" t="str">
        <f t="shared" si="4"/>
        <v>\I:</v>
      </c>
      <c r="L80" t="str">
        <f t="shared" si="5"/>
        <v>\I:</v>
      </c>
      <c r="M80" s="306" t="str">
        <f t="shared" si="6"/>
        <v/>
      </c>
      <c r="N80" s="306" t="str">
        <f t="shared" si="7"/>
        <v/>
      </c>
      <c r="O80" s="306" t="str">
        <f t="shared" si="8"/>
        <v/>
      </c>
      <c r="P80" s="306" t="str">
        <f t="shared" si="9"/>
        <v/>
      </c>
      <c r="T80" t="str">
        <f t="shared" si="12"/>
        <v>\I:</v>
      </c>
      <c r="U80" t="str">
        <f ca="1" t="shared" si="13"/>
        <v>ICE medium size hybrid diesel car -- Reduction of specific energy consumption relative to 2015 diesel vehicle (%)</v>
      </c>
      <c r="V80" s="309" t="s">
        <v>84</v>
      </c>
      <c r="W80" s="309" t="s">
        <v>85</v>
      </c>
    </row>
    <row r="81" spans="2:23">
      <c r="B81" s="300"/>
      <c r="C81" s="300"/>
      <c r="D81" s="300"/>
      <c r="E81" s="300"/>
      <c r="F81" s="300"/>
      <c r="J81" t="str">
        <f t="shared" si="3"/>
        <v>Trd_car_dsl-hyb</v>
      </c>
      <c r="K81" t="str">
        <f t="shared" si="4"/>
        <v>\I:</v>
      </c>
      <c r="L81" t="str">
        <f t="shared" si="5"/>
        <v>\I:</v>
      </c>
      <c r="M81" s="306" t="str">
        <f t="shared" si="6"/>
        <v/>
      </c>
      <c r="N81" s="306" t="str">
        <f t="shared" si="7"/>
        <v/>
      </c>
      <c r="O81" s="306" t="str">
        <f t="shared" si="8"/>
        <v/>
      </c>
      <c r="P81" s="306" t="str">
        <f t="shared" si="9"/>
        <v/>
      </c>
      <c r="T81" t="str">
        <f t="shared" ref="T81:T112" si="16">K81</f>
        <v>\I:</v>
      </c>
      <c r="U81" t="str">
        <f ca="1" t="shared" ref="U81:U112" si="17">OFFSET($S$1,MATCH(J81,$S$1:$S$11,0)-1,-1)&amp;" -- "&amp;TEXT(B81,"00%")</f>
        <v>ICE medium size hybrid diesel car -- 00%</v>
      </c>
      <c r="V81" s="309" t="s">
        <v>84</v>
      </c>
      <c r="W81" s="309" t="s">
        <v>85</v>
      </c>
    </row>
    <row r="82" spans="2:23">
      <c r="B82" s="300"/>
      <c r="C82" s="300"/>
      <c r="D82" s="300"/>
      <c r="E82" s="300"/>
      <c r="F82" s="300"/>
      <c r="J82" t="str">
        <f t="shared" ref="J82:J145" si="18">IFERROR(VLOOKUP(C82,$R$1:$S$11,2,FALSE),J81)</f>
        <v>Trd_car_dsl-hyb</v>
      </c>
      <c r="K82" t="str">
        <f t="shared" ref="K82:K145" si="19">IFERROR(IF(VALUE(C82)&gt;2020,J82&amp;"_"&amp;TEXT(B82*100,"00"),"\I:"),"\I:")</f>
        <v>\I:</v>
      </c>
      <c r="L82" t="str">
        <f t="shared" ref="L82:L145" si="20">LEFT(K82,7)</f>
        <v>\I:</v>
      </c>
      <c r="M82" s="306" t="str">
        <f t="shared" ref="M82:M145" si="21">IF($K82="\I:","",C82)</f>
        <v/>
      </c>
      <c r="N82" s="306" t="str">
        <f t="shared" ref="N82:N145" si="22">IF($K82="\I:","",D82)</f>
        <v/>
      </c>
      <c r="O82" s="306" t="str">
        <f t="shared" ref="O82:O145" si="23">IF($K82="\I:","",E82)</f>
        <v/>
      </c>
      <c r="P82" s="306" t="str">
        <f t="shared" ref="P82:P145" si="24">IF($K82="\I:","",F82)</f>
        <v/>
      </c>
      <c r="T82" t="str">
        <f t="shared" si="16"/>
        <v>\I:</v>
      </c>
      <c r="U82" t="str">
        <f ca="1" t="shared" si="17"/>
        <v>ICE medium size hybrid diesel car -- 00%</v>
      </c>
      <c r="V82" s="309" t="s">
        <v>84</v>
      </c>
      <c r="W82" s="309" t="s">
        <v>85</v>
      </c>
    </row>
    <row r="83" spans="2:23">
      <c r="B83" s="88"/>
      <c r="C83" s="50">
        <v>2020</v>
      </c>
      <c r="D83" s="50">
        <v>2030</v>
      </c>
      <c r="E83" s="50">
        <v>2040</v>
      </c>
      <c r="F83" s="50">
        <v>2050</v>
      </c>
      <c r="J83" t="str">
        <f t="shared" si="18"/>
        <v>Trd_car_dsl-hyb</v>
      </c>
      <c r="K83" t="str">
        <f t="shared" si="19"/>
        <v>\I:</v>
      </c>
      <c r="L83" t="str">
        <f t="shared" si="20"/>
        <v>\I:</v>
      </c>
      <c r="M83" s="306" t="str">
        <f t="shared" si="21"/>
        <v/>
      </c>
      <c r="N83" s="306" t="str">
        <f t="shared" si="22"/>
        <v/>
      </c>
      <c r="O83" s="306" t="str">
        <f t="shared" si="23"/>
        <v/>
      </c>
      <c r="P83" s="306" t="str">
        <f t="shared" si="24"/>
        <v/>
      </c>
      <c r="T83" t="str">
        <f t="shared" si="16"/>
        <v>\I:</v>
      </c>
      <c r="U83" t="str">
        <f ca="1" t="shared" si="17"/>
        <v>ICE medium size hybrid diesel car -- 00%</v>
      </c>
      <c r="V83" s="309" t="s">
        <v>84</v>
      </c>
      <c r="W83" s="309" t="s">
        <v>85</v>
      </c>
    </row>
    <row r="84" spans="2:23">
      <c r="B84" s="85">
        <v>0.177066363263136</v>
      </c>
      <c r="C84" s="86">
        <v>25058.7494468874</v>
      </c>
      <c r="D84" s="86">
        <v>23982.6880941969</v>
      </c>
      <c r="E84" s="86">
        <v>23982.6880941969</v>
      </c>
      <c r="F84" s="86">
        <v>23982.6880941969</v>
      </c>
      <c r="I84" s="77">
        <f t="shared" ref="I84:I90" si="25">$I$64*(1+B84)/$I$12</f>
        <v>1.33282038959203</v>
      </c>
      <c r="J84" t="str">
        <f t="shared" si="18"/>
        <v>Trd_car_dsl-hyb</v>
      </c>
      <c r="K84" t="str">
        <f t="shared" si="19"/>
        <v>Trd_car_dsl-hyb_18</v>
      </c>
      <c r="L84" t="str">
        <f t="shared" si="20"/>
        <v>Trd_car</v>
      </c>
      <c r="M84" s="306">
        <f t="shared" si="21"/>
        <v>25058.7494468874</v>
      </c>
      <c r="N84" s="306">
        <f t="shared" si="22"/>
        <v>23982.6880941969</v>
      </c>
      <c r="O84" s="306">
        <f t="shared" si="23"/>
        <v>23982.6880941969</v>
      </c>
      <c r="P84" s="306">
        <f t="shared" si="24"/>
        <v>23982.6880941969</v>
      </c>
      <c r="T84" t="str">
        <f t="shared" si="16"/>
        <v>Trd_car_dsl-hyb_18</v>
      </c>
      <c r="U84" t="str">
        <f ca="1" t="shared" si="17"/>
        <v>ICE medium size hybrid diesel car -- 18%</v>
      </c>
      <c r="V84" s="309" t="s">
        <v>84</v>
      </c>
      <c r="W84" s="309" t="s">
        <v>85</v>
      </c>
    </row>
    <row r="85" spans="2:23">
      <c r="B85" s="85">
        <v>0.277066363263136</v>
      </c>
      <c r="C85" s="86">
        <v>25136.2280373902</v>
      </c>
      <c r="D85" s="86">
        <v>24097.0510525927</v>
      </c>
      <c r="E85" s="86">
        <v>24097.0510525927</v>
      </c>
      <c r="F85" s="86">
        <v>24097.0510525927</v>
      </c>
      <c r="I85" s="77">
        <f t="shared" si="25"/>
        <v>1.44605278083097</v>
      </c>
      <c r="J85" t="str">
        <f t="shared" si="18"/>
        <v>Trd_car_dsl-hyb</v>
      </c>
      <c r="K85" t="str">
        <f t="shared" si="19"/>
        <v>Trd_car_dsl-hyb_28</v>
      </c>
      <c r="L85" t="str">
        <f t="shared" si="20"/>
        <v>Trd_car</v>
      </c>
      <c r="M85" s="306">
        <f t="shared" si="21"/>
        <v>25136.2280373902</v>
      </c>
      <c r="N85" s="306">
        <f t="shared" si="22"/>
        <v>24097.0510525927</v>
      </c>
      <c r="O85" s="306">
        <f t="shared" si="23"/>
        <v>24097.0510525927</v>
      </c>
      <c r="P85" s="306">
        <f t="shared" si="24"/>
        <v>24097.0510525927</v>
      </c>
      <c r="T85" t="str">
        <f t="shared" si="16"/>
        <v>Trd_car_dsl-hyb_28</v>
      </c>
      <c r="U85" t="str">
        <f ca="1" t="shared" si="17"/>
        <v>ICE medium size hybrid diesel car -- 28%</v>
      </c>
      <c r="V85" s="309" t="s">
        <v>84</v>
      </c>
      <c r="W85" s="309" t="s">
        <v>85</v>
      </c>
    </row>
    <row r="86" spans="2:23">
      <c r="B86" s="85">
        <v>0.327066363263136</v>
      </c>
      <c r="C86" s="86">
        <v>25231.5365940607</v>
      </c>
      <c r="D86" s="86">
        <v>24214.5141580812</v>
      </c>
      <c r="E86" s="86">
        <v>24214.5141580812</v>
      </c>
      <c r="F86" s="86">
        <v>24214.5141580812</v>
      </c>
      <c r="I86" s="77">
        <f t="shared" si="25"/>
        <v>1.50266897645044</v>
      </c>
      <c r="J86" t="str">
        <f t="shared" si="18"/>
        <v>Trd_car_dsl-hyb</v>
      </c>
      <c r="K86" t="str">
        <f t="shared" si="19"/>
        <v>Trd_car_dsl-hyb_33</v>
      </c>
      <c r="L86" t="str">
        <f t="shared" si="20"/>
        <v>Trd_car</v>
      </c>
      <c r="M86" s="306">
        <f t="shared" si="21"/>
        <v>25231.5365940607</v>
      </c>
      <c r="N86" s="306">
        <f t="shared" si="22"/>
        <v>24214.5141580812</v>
      </c>
      <c r="O86" s="306">
        <f t="shared" si="23"/>
        <v>24214.5141580812</v>
      </c>
      <c r="P86" s="306">
        <f t="shared" si="24"/>
        <v>24214.5141580812</v>
      </c>
      <c r="T86" t="str">
        <f t="shared" si="16"/>
        <v>Trd_car_dsl-hyb_33</v>
      </c>
      <c r="U86" t="str">
        <f ca="1" t="shared" si="17"/>
        <v>ICE medium size hybrid diesel car -- 33%</v>
      </c>
      <c r="V86" s="309" t="s">
        <v>84</v>
      </c>
      <c r="W86" s="309" t="s">
        <v>85</v>
      </c>
    </row>
    <row r="87" spans="2:23">
      <c r="B87" s="85">
        <v>0.377066363263136</v>
      </c>
      <c r="C87" s="86">
        <v>25440.7877522533</v>
      </c>
      <c r="D87" s="86">
        <v>24383.7215565591</v>
      </c>
      <c r="E87" s="86">
        <v>24383.7215565591</v>
      </c>
      <c r="F87" s="86">
        <v>24383.7215565591</v>
      </c>
      <c r="I87" s="77">
        <f t="shared" si="25"/>
        <v>1.55928517206991</v>
      </c>
      <c r="J87" t="str">
        <f t="shared" si="18"/>
        <v>Trd_car_dsl-hyb</v>
      </c>
      <c r="K87" t="str">
        <f t="shared" si="19"/>
        <v>Trd_car_dsl-hyb_38</v>
      </c>
      <c r="L87" t="str">
        <f t="shared" si="20"/>
        <v>Trd_car</v>
      </c>
      <c r="M87" s="306">
        <f t="shared" si="21"/>
        <v>25440.7877522533</v>
      </c>
      <c r="N87" s="306">
        <f t="shared" si="22"/>
        <v>24383.7215565591</v>
      </c>
      <c r="O87" s="306">
        <f t="shared" si="23"/>
        <v>24383.7215565591</v>
      </c>
      <c r="P87" s="306">
        <f t="shared" si="24"/>
        <v>24383.7215565591</v>
      </c>
      <c r="T87" t="str">
        <f t="shared" si="16"/>
        <v>Trd_car_dsl-hyb_38</v>
      </c>
      <c r="U87" t="str">
        <f ca="1" t="shared" si="17"/>
        <v>ICE medium size hybrid diesel car -- 38%</v>
      </c>
      <c r="V87" s="309" t="s">
        <v>84</v>
      </c>
      <c r="W87" s="309" t="s">
        <v>85</v>
      </c>
    </row>
    <row r="88" spans="2:23">
      <c r="B88" s="85">
        <v>0.427066363263136</v>
      </c>
      <c r="C88" s="86">
        <v>25786.5870673617</v>
      </c>
      <c r="D88" s="86">
        <v>24612.8789983703</v>
      </c>
      <c r="E88" s="86">
        <v>24612.8789983703</v>
      </c>
      <c r="F88" s="86">
        <v>24612.8789983703</v>
      </c>
      <c r="I88" s="77">
        <f t="shared" si="25"/>
        <v>1.61590136768937</v>
      </c>
      <c r="J88" t="str">
        <f t="shared" si="18"/>
        <v>Trd_car_dsl-hyb</v>
      </c>
      <c r="K88" t="str">
        <f t="shared" si="19"/>
        <v>Trd_car_dsl-hyb_43</v>
      </c>
      <c r="L88" t="str">
        <f t="shared" si="20"/>
        <v>Trd_car</v>
      </c>
      <c r="M88" s="306">
        <f t="shared" si="21"/>
        <v>25786.5870673617</v>
      </c>
      <c r="N88" s="306">
        <f t="shared" si="22"/>
        <v>24612.8789983703</v>
      </c>
      <c r="O88" s="306">
        <f t="shared" si="23"/>
        <v>24612.8789983703</v>
      </c>
      <c r="P88" s="306">
        <f t="shared" si="24"/>
        <v>24612.8789983703</v>
      </c>
      <c r="T88" t="str">
        <f t="shared" si="16"/>
        <v>Trd_car_dsl-hyb_43</v>
      </c>
      <c r="U88" t="str">
        <f ca="1" t="shared" si="17"/>
        <v>ICE medium size hybrid diesel car -- 43%</v>
      </c>
      <c r="V88" s="309" t="s">
        <v>84</v>
      </c>
      <c r="W88" s="309" t="s">
        <v>85</v>
      </c>
    </row>
    <row r="89" spans="2:23">
      <c r="B89" s="85">
        <v>0.477066363263136</v>
      </c>
      <c r="C89" s="86">
        <v>35085.4217040498</v>
      </c>
      <c r="D89" s="86">
        <v>25042.6899697562</v>
      </c>
      <c r="E89" s="86">
        <v>25042.6899697562</v>
      </c>
      <c r="F89" s="86">
        <v>25042.6899697562</v>
      </c>
      <c r="I89" s="77">
        <f t="shared" si="25"/>
        <v>1.67251756330884</v>
      </c>
      <c r="J89" t="str">
        <f t="shared" si="18"/>
        <v>Trd_car_dsl-hyb</v>
      </c>
      <c r="K89" t="str">
        <f t="shared" si="19"/>
        <v>Trd_car_dsl-hyb_48</v>
      </c>
      <c r="L89" t="str">
        <f t="shared" si="20"/>
        <v>Trd_car</v>
      </c>
      <c r="M89" s="306">
        <f t="shared" si="21"/>
        <v>35085.4217040498</v>
      </c>
      <c r="N89" s="306">
        <f t="shared" si="22"/>
        <v>25042.6899697562</v>
      </c>
      <c r="O89" s="306">
        <f t="shared" si="23"/>
        <v>25042.6899697562</v>
      </c>
      <c r="P89" s="306">
        <f t="shared" si="24"/>
        <v>25042.6899697562</v>
      </c>
      <c r="T89" t="str">
        <f t="shared" si="16"/>
        <v>Trd_car_dsl-hyb_48</v>
      </c>
      <c r="U89" t="str">
        <f ca="1" t="shared" si="17"/>
        <v>ICE medium size hybrid diesel car -- 48%</v>
      </c>
      <c r="V89" s="309" t="s">
        <v>84</v>
      </c>
      <c r="W89" s="309" t="s">
        <v>85</v>
      </c>
    </row>
    <row r="90" spans="2:23">
      <c r="B90" s="85">
        <v>0.527066363263136</v>
      </c>
      <c r="C90" s="86">
        <v>117946.536011697</v>
      </c>
      <c r="D90" s="86">
        <v>32577.2698197311</v>
      </c>
      <c r="E90" s="86">
        <v>32577.2698197311</v>
      </c>
      <c r="F90" s="86">
        <v>32577.2698197311</v>
      </c>
      <c r="I90" s="77">
        <f t="shared" si="25"/>
        <v>1.72913375892831</v>
      </c>
      <c r="J90" t="str">
        <f t="shared" si="18"/>
        <v>Trd_car_dsl-hyb</v>
      </c>
      <c r="K90" t="str">
        <f t="shared" si="19"/>
        <v>Trd_car_dsl-hyb_53</v>
      </c>
      <c r="L90" t="str">
        <f t="shared" si="20"/>
        <v>Trd_car</v>
      </c>
      <c r="M90" s="306">
        <f t="shared" si="21"/>
        <v>117946.536011697</v>
      </c>
      <c r="N90" s="306">
        <f t="shared" si="22"/>
        <v>32577.2698197311</v>
      </c>
      <c r="O90" s="306">
        <f t="shared" si="23"/>
        <v>32577.2698197311</v>
      </c>
      <c r="P90" s="306">
        <f t="shared" si="24"/>
        <v>32577.2698197311</v>
      </c>
      <c r="T90" t="str">
        <f t="shared" si="16"/>
        <v>Trd_car_dsl-hyb_53</v>
      </c>
      <c r="U90" t="str">
        <f ca="1" t="shared" si="17"/>
        <v>ICE medium size hybrid diesel car -- 53%</v>
      </c>
      <c r="V90" s="309" t="s">
        <v>84</v>
      </c>
      <c r="W90" s="309" t="s">
        <v>85</v>
      </c>
    </row>
    <row r="91" spans="3:23">
      <c r="C91" s="97"/>
      <c r="D91" s="97"/>
      <c r="E91" s="97"/>
      <c r="F91" s="97"/>
      <c r="J91" t="str">
        <f t="shared" si="18"/>
        <v>Trd_car_dsl-hyb</v>
      </c>
      <c r="K91" t="str">
        <f t="shared" si="19"/>
        <v>\I:</v>
      </c>
      <c r="L91" t="str">
        <f t="shared" si="20"/>
        <v>\I:</v>
      </c>
      <c r="M91" s="306" t="str">
        <f t="shared" si="21"/>
        <v/>
      </c>
      <c r="N91" s="306" t="str">
        <f t="shared" si="22"/>
        <v/>
      </c>
      <c r="O91" s="306" t="str">
        <f t="shared" si="23"/>
        <v/>
      </c>
      <c r="P91" s="306" t="str">
        <f t="shared" si="24"/>
        <v/>
      </c>
      <c r="T91" t="str">
        <f t="shared" si="16"/>
        <v>\I:</v>
      </c>
      <c r="U91" t="str">
        <f ca="1" t="shared" si="17"/>
        <v>ICE medium size hybrid diesel car -- 00%</v>
      </c>
      <c r="V91" s="309" t="s">
        <v>84</v>
      </c>
      <c r="W91" s="309" t="s">
        <v>85</v>
      </c>
    </row>
    <row r="92" spans="10:23">
      <c r="J92" t="str">
        <f t="shared" si="18"/>
        <v>Trd_car_dsl-hyb</v>
      </c>
      <c r="K92" t="str">
        <f t="shared" si="19"/>
        <v>\I:</v>
      </c>
      <c r="L92" t="str">
        <f t="shared" si="20"/>
        <v>\I:</v>
      </c>
      <c r="M92" s="306" t="str">
        <f t="shared" si="21"/>
        <v/>
      </c>
      <c r="N92" s="306" t="str">
        <f t="shared" si="22"/>
        <v/>
      </c>
      <c r="O92" s="306" t="str">
        <f t="shared" si="23"/>
        <v/>
      </c>
      <c r="P92" s="306" t="str">
        <f t="shared" si="24"/>
        <v/>
      </c>
      <c r="T92" t="str">
        <f t="shared" si="16"/>
        <v>\I:</v>
      </c>
      <c r="U92" t="str">
        <f ca="1" t="shared" si="17"/>
        <v>ICE medium size hybrid diesel car -- 00%</v>
      </c>
      <c r="V92" s="309" t="s">
        <v>84</v>
      </c>
      <c r="W92" s="309" t="s">
        <v>85</v>
      </c>
    </row>
    <row r="93" spans="10:23">
      <c r="J93" t="str">
        <f t="shared" si="18"/>
        <v>Trd_car_dsl-hyb</v>
      </c>
      <c r="K93" t="str">
        <f t="shared" si="19"/>
        <v>\I:</v>
      </c>
      <c r="L93" t="str">
        <f t="shared" si="20"/>
        <v>\I:</v>
      </c>
      <c r="M93" s="306" t="str">
        <f t="shared" si="21"/>
        <v/>
      </c>
      <c r="N93" s="306" t="str">
        <f t="shared" si="22"/>
        <v/>
      </c>
      <c r="O93" s="306" t="str">
        <f t="shared" si="23"/>
        <v/>
      </c>
      <c r="P93" s="306" t="str">
        <f t="shared" si="24"/>
        <v/>
      </c>
      <c r="T93" t="str">
        <f t="shared" si="16"/>
        <v>\I:</v>
      </c>
      <c r="U93" t="str">
        <f ca="1" t="shared" si="17"/>
        <v>ICE medium size hybrid diesel car -- 00%</v>
      </c>
      <c r="V93" s="309" t="s">
        <v>84</v>
      </c>
      <c r="W93" s="309" t="s">
        <v>85</v>
      </c>
    </row>
    <row r="94" spans="10:23">
      <c r="J94" t="str">
        <f t="shared" si="18"/>
        <v>Trd_car_dsl-hyb</v>
      </c>
      <c r="K94" t="str">
        <f t="shared" si="19"/>
        <v>\I:</v>
      </c>
      <c r="L94" t="str">
        <f t="shared" si="20"/>
        <v>\I:</v>
      </c>
      <c r="M94" s="306" t="str">
        <f t="shared" si="21"/>
        <v/>
      </c>
      <c r="N94" s="306" t="str">
        <f t="shared" si="22"/>
        <v/>
      </c>
      <c r="O94" s="306" t="str">
        <f t="shared" si="23"/>
        <v/>
      </c>
      <c r="P94" s="306" t="str">
        <f t="shared" si="24"/>
        <v/>
      </c>
      <c r="T94" t="str">
        <f t="shared" si="16"/>
        <v>\I:</v>
      </c>
      <c r="U94" t="str">
        <f ca="1" t="shared" si="17"/>
        <v>ICE medium size hybrid diesel car -- 00%</v>
      </c>
      <c r="V94" s="309" t="s">
        <v>84</v>
      </c>
      <c r="W94" s="309" t="s">
        <v>85</v>
      </c>
    </row>
    <row r="95" ht="15" customHeight="1" spans="2:23">
      <c r="B95" s="300" t="s">
        <v>21</v>
      </c>
      <c r="C95" s="300" t="s">
        <v>58</v>
      </c>
      <c r="D95" s="300"/>
      <c r="E95" s="300"/>
      <c r="F95" s="300"/>
      <c r="J95" t="str">
        <f t="shared" si="18"/>
        <v>Trd_car_dsl-pih</v>
      </c>
      <c r="K95" t="str">
        <f t="shared" si="19"/>
        <v>\I:</v>
      </c>
      <c r="L95" t="str">
        <f t="shared" si="20"/>
        <v>\I:</v>
      </c>
      <c r="M95" s="306" t="str">
        <f t="shared" si="21"/>
        <v/>
      </c>
      <c r="N95" s="306" t="str">
        <f t="shared" si="22"/>
        <v/>
      </c>
      <c r="O95" s="306" t="str">
        <f t="shared" si="23"/>
        <v/>
      </c>
      <c r="P95" s="306" t="str">
        <f t="shared" si="24"/>
        <v/>
      </c>
      <c r="T95" t="str">
        <f t="shared" si="16"/>
        <v>\I:</v>
      </c>
      <c r="U95" t="str">
        <f ca="1" t="shared" si="17"/>
        <v>ICE medium size plug-in hybrid diesel car -- Reduction of specific energy consumption relative to 2015 diesel vehicle (%)</v>
      </c>
      <c r="V95" s="309" t="s">
        <v>84</v>
      </c>
      <c r="W95" s="309" t="s">
        <v>85</v>
      </c>
    </row>
    <row r="96" spans="2:23">
      <c r="B96" s="300"/>
      <c r="C96" s="300"/>
      <c r="D96" s="300"/>
      <c r="E96" s="300"/>
      <c r="F96" s="300"/>
      <c r="J96" t="str">
        <f t="shared" si="18"/>
        <v>Trd_car_dsl-pih</v>
      </c>
      <c r="K96" t="str">
        <f t="shared" si="19"/>
        <v>\I:</v>
      </c>
      <c r="L96" t="str">
        <f t="shared" si="20"/>
        <v>\I:</v>
      </c>
      <c r="M96" s="306" t="str">
        <f t="shared" si="21"/>
        <v/>
      </c>
      <c r="N96" s="306" t="str">
        <f t="shared" si="22"/>
        <v/>
      </c>
      <c r="O96" s="306" t="str">
        <f t="shared" si="23"/>
        <v/>
      </c>
      <c r="P96" s="306" t="str">
        <f t="shared" si="24"/>
        <v/>
      </c>
      <c r="T96" t="str">
        <f t="shared" si="16"/>
        <v>\I:</v>
      </c>
      <c r="U96" t="str">
        <f ca="1" t="shared" si="17"/>
        <v>ICE medium size plug-in hybrid diesel car -- 00%</v>
      </c>
      <c r="V96" s="309" t="s">
        <v>84</v>
      </c>
      <c r="W96" s="309" t="s">
        <v>85</v>
      </c>
    </row>
    <row r="97" spans="2:23">
      <c r="B97" s="300"/>
      <c r="C97" s="300"/>
      <c r="D97" s="300"/>
      <c r="E97" s="300"/>
      <c r="F97" s="300"/>
      <c r="J97" t="str">
        <f t="shared" si="18"/>
        <v>Trd_car_dsl-pih</v>
      </c>
      <c r="K97" t="str">
        <f t="shared" si="19"/>
        <v>\I:</v>
      </c>
      <c r="L97" t="str">
        <f t="shared" si="20"/>
        <v>\I:</v>
      </c>
      <c r="M97" s="306" t="str">
        <f t="shared" si="21"/>
        <v/>
      </c>
      <c r="N97" s="306" t="str">
        <f t="shared" si="22"/>
        <v/>
      </c>
      <c r="O97" s="306" t="str">
        <f t="shared" si="23"/>
        <v/>
      </c>
      <c r="P97" s="306" t="str">
        <f t="shared" si="24"/>
        <v/>
      </c>
      <c r="T97" t="str">
        <f t="shared" si="16"/>
        <v>\I:</v>
      </c>
      <c r="U97" t="str">
        <f ca="1" t="shared" si="17"/>
        <v>ICE medium size plug-in hybrid diesel car -- 00%</v>
      </c>
      <c r="V97" s="309" t="s">
        <v>84</v>
      </c>
      <c r="W97" s="309" t="s">
        <v>85</v>
      </c>
    </row>
    <row r="98" spans="2:23">
      <c r="B98" s="88"/>
      <c r="C98" s="50">
        <v>2020</v>
      </c>
      <c r="D98" s="50">
        <v>2030</v>
      </c>
      <c r="E98" s="50">
        <v>2040</v>
      </c>
      <c r="F98" s="50">
        <v>2050</v>
      </c>
      <c r="J98" t="str">
        <f t="shared" si="18"/>
        <v>Trd_car_dsl-pih</v>
      </c>
      <c r="K98" t="str">
        <f t="shared" si="19"/>
        <v>\I:</v>
      </c>
      <c r="L98" t="str">
        <f t="shared" si="20"/>
        <v>\I:</v>
      </c>
      <c r="M98" s="306" t="str">
        <f t="shared" si="21"/>
        <v/>
      </c>
      <c r="N98" s="306" t="str">
        <f t="shared" si="22"/>
        <v/>
      </c>
      <c r="O98" s="306" t="str">
        <f t="shared" si="23"/>
        <v/>
      </c>
      <c r="P98" s="306" t="str">
        <f t="shared" si="24"/>
        <v/>
      </c>
      <c r="T98" t="str">
        <f t="shared" si="16"/>
        <v>\I:</v>
      </c>
      <c r="U98" t="str">
        <f ca="1" t="shared" si="17"/>
        <v>ICE medium size plug-in hybrid diesel car -- 00%</v>
      </c>
      <c r="V98" s="309" t="s">
        <v>84</v>
      </c>
      <c r="W98" s="309" t="s">
        <v>85</v>
      </c>
    </row>
    <row r="99" spans="2:23">
      <c r="B99" s="343">
        <v>0.695198130991225</v>
      </c>
      <c r="C99" s="86">
        <v>29170.6892983358</v>
      </c>
      <c r="D99" s="86">
        <v>25403.4529654573</v>
      </c>
      <c r="E99" s="86">
        <v>24438.8799330837</v>
      </c>
      <c r="F99" s="86">
        <v>24157.55666837</v>
      </c>
      <c r="I99" s="77">
        <f t="shared" ref="I99:I105" si="26">$I$64*(1+B99)/$I$12</f>
        <v>1.91951337995912</v>
      </c>
      <c r="J99" t="str">
        <f t="shared" si="18"/>
        <v>Trd_car_dsl-pih</v>
      </c>
      <c r="K99" t="str">
        <f t="shared" si="19"/>
        <v>Trd_car_dsl-pih_70</v>
      </c>
      <c r="L99" t="str">
        <f t="shared" si="20"/>
        <v>Trd_car</v>
      </c>
      <c r="M99" s="306">
        <f t="shared" si="21"/>
        <v>29170.6892983358</v>
      </c>
      <c r="N99" s="306">
        <f t="shared" si="22"/>
        <v>25403.4529654573</v>
      </c>
      <c r="O99" s="306">
        <f t="shared" si="23"/>
        <v>24438.8799330837</v>
      </c>
      <c r="P99" s="306">
        <f t="shared" si="24"/>
        <v>24157.55666837</v>
      </c>
      <c r="T99" t="str">
        <f t="shared" si="16"/>
        <v>Trd_car_dsl-pih_70</v>
      </c>
      <c r="U99" t="str">
        <f ca="1" t="shared" si="17"/>
        <v>ICE medium size plug-in hybrid diesel car -- 70%</v>
      </c>
      <c r="V99" s="309" t="s">
        <v>84</v>
      </c>
      <c r="W99" s="309" t="s">
        <v>85</v>
      </c>
    </row>
    <row r="100" spans="2:23">
      <c r="B100" s="343">
        <v>0.705198130991225</v>
      </c>
      <c r="C100" s="86">
        <v>29227.3194893523</v>
      </c>
      <c r="D100" s="86">
        <v>25418.5790027565</v>
      </c>
      <c r="E100" s="86">
        <v>24443.3817087263</v>
      </c>
      <c r="F100" s="86">
        <v>24158.3535908089</v>
      </c>
      <c r="I100" s="77">
        <f t="shared" si="26"/>
        <v>1.93083661908301</v>
      </c>
      <c r="J100" t="str">
        <f t="shared" si="18"/>
        <v>Trd_car_dsl-pih</v>
      </c>
      <c r="K100" t="str">
        <f t="shared" si="19"/>
        <v>Trd_car_dsl-pih_71</v>
      </c>
      <c r="L100" t="str">
        <f t="shared" si="20"/>
        <v>Trd_car</v>
      </c>
      <c r="M100" s="306">
        <f t="shared" si="21"/>
        <v>29227.3194893523</v>
      </c>
      <c r="N100" s="306">
        <f t="shared" si="22"/>
        <v>25418.5790027565</v>
      </c>
      <c r="O100" s="306">
        <f t="shared" si="23"/>
        <v>24443.3817087263</v>
      </c>
      <c r="P100" s="306">
        <f t="shared" si="24"/>
        <v>24158.3535908089</v>
      </c>
      <c r="T100" t="str">
        <f t="shared" si="16"/>
        <v>Trd_car_dsl-pih_71</v>
      </c>
      <c r="U100" t="str">
        <f ca="1" t="shared" si="17"/>
        <v>ICE medium size plug-in hybrid diesel car -- 71%</v>
      </c>
      <c r="V100" s="309" t="s">
        <v>84</v>
      </c>
      <c r="W100" s="309" t="s">
        <v>85</v>
      </c>
    </row>
    <row r="101" spans="2:23">
      <c r="B101" s="343">
        <v>0.715198130991225</v>
      </c>
      <c r="C101" s="86">
        <v>29350.9249451451</v>
      </c>
      <c r="D101" s="86">
        <v>25446.4476084895</v>
      </c>
      <c r="E101" s="86">
        <v>24463.4722625811</v>
      </c>
      <c r="F101" s="86">
        <v>24176.2148303079</v>
      </c>
      <c r="I101" s="77">
        <f t="shared" si="26"/>
        <v>1.94215985820691</v>
      </c>
      <c r="J101" t="str">
        <f t="shared" si="18"/>
        <v>Trd_car_dsl-pih</v>
      </c>
      <c r="K101" t="str">
        <f t="shared" si="19"/>
        <v>Trd_car_dsl-pih_72</v>
      </c>
      <c r="L101" t="str">
        <f t="shared" si="20"/>
        <v>Trd_car</v>
      </c>
      <c r="M101" s="306">
        <f t="shared" si="21"/>
        <v>29350.9249451451</v>
      </c>
      <c r="N101" s="306">
        <f t="shared" si="22"/>
        <v>25446.4476084895</v>
      </c>
      <c r="O101" s="306">
        <f t="shared" si="23"/>
        <v>24463.4722625811</v>
      </c>
      <c r="P101" s="306">
        <f t="shared" si="24"/>
        <v>24176.2148303079</v>
      </c>
      <c r="T101" t="str">
        <f t="shared" si="16"/>
        <v>Trd_car_dsl-pih_72</v>
      </c>
      <c r="U101" t="str">
        <f ca="1" t="shared" si="17"/>
        <v>ICE medium size plug-in hybrid diesel car -- 72%</v>
      </c>
      <c r="V101" s="309" t="s">
        <v>84</v>
      </c>
      <c r="W101" s="309" t="s">
        <v>85</v>
      </c>
    </row>
    <row r="102" spans="2:23">
      <c r="B102" s="343">
        <v>0.725198130991225</v>
      </c>
      <c r="C102" s="86">
        <v>29732.6055916618</v>
      </c>
      <c r="D102" s="86">
        <v>25529.0970397392</v>
      </c>
      <c r="E102" s="86">
        <v>24534.5300615244</v>
      </c>
      <c r="F102" s="86">
        <v>24245.1328042321</v>
      </c>
      <c r="I102" s="77">
        <f t="shared" si="26"/>
        <v>1.9534830973308</v>
      </c>
      <c r="J102" t="str">
        <f t="shared" si="18"/>
        <v>Trd_car_dsl-pih</v>
      </c>
      <c r="K102" t="str">
        <f t="shared" si="19"/>
        <v>Trd_car_dsl-pih_73</v>
      </c>
      <c r="L102" t="str">
        <f t="shared" si="20"/>
        <v>Trd_car</v>
      </c>
      <c r="M102" s="306">
        <f t="shared" si="21"/>
        <v>29732.6055916618</v>
      </c>
      <c r="N102" s="306">
        <f t="shared" si="22"/>
        <v>25529.0970397392</v>
      </c>
      <c r="O102" s="306">
        <f t="shared" si="23"/>
        <v>24534.5300615244</v>
      </c>
      <c r="P102" s="306">
        <f t="shared" si="24"/>
        <v>24245.1328042321</v>
      </c>
      <c r="T102" t="str">
        <f t="shared" si="16"/>
        <v>Trd_car_dsl-pih_73</v>
      </c>
      <c r="U102" t="str">
        <f ca="1" t="shared" si="17"/>
        <v>ICE medium size plug-in hybrid diesel car -- 73%</v>
      </c>
      <c r="V102" s="309" t="s">
        <v>84</v>
      </c>
      <c r="W102" s="309" t="s">
        <v>85</v>
      </c>
    </row>
    <row r="103" spans="2:23">
      <c r="B103" s="343">
        <v>0.735198130991225</v>
      </c>
      <c r="C103" s="86">
        <v>30854.8981288947</v>
      </c>
      <c r="D103" s="86">
        <v>25641.1808245847</v>
      </c>
      <c r="E103" s="86">
        <v>24650.5932312536</v>
      </c>
      <c r="F103" s="86">
        <v>24365.9701277014</v>
      </c>
      <c r="I103" s="77">
        <f t="shared" si="26"/>
        <v>1.96480633645469</v>
      </c>
      <c r="J103" t="str">
        <f t="shared" si="18"/>
        <v>Trd_car_dsl-pih</v>
      </c>
      <c r="K103" t="str">
        <f t="shared" si="19"/>
        <v>Trd_car_dsl-pih_74</v>
      </c>
      <c r="L103" t="str">
        <f t="shared" si="20"/>
        <v>Trd_car</v>
      </c>
      <c r="M103" s="306">
        <f t="shared" si="21"/>
        <v>30854.8981288947</v>
      </c>
      <c r="N103" s="306">
        <f t="shared" si="22"/>
        <v>25641.1808245847</v>
      </c>
      <c r="O103" s="306">
        <f t="shared" si="23"/>
        <v>24650.5932312536</v>
      </c>
      <c r="P103" s="306">
        <f t="shared" si="24"/>
        <v>24365.9701277014</v>
      </c>
      <c r="T103" t="str">
        <f t="shared" si="16"/>
        <v>Trd_car_dsl-pih_74</v>
      </c>
      <c r="U103" t="str">
        <f ca="1" t="shared" si="17"/>
        <v>ICE medium size plug-in hybrid diesel car -- 74%</v>
      </c>
      <c r="V103" s="309" t="s">
        <v>84</v>
      </c>
      <c r="W103" s="309" t="s">
        <v>85</v>
      </c>
    </row>
    <row r="104" spans="2:23">
      <c r="B104" s="343">
        <v>0.777698130991225</v>
      </c>
      <c r="C104" s="86">
        <v>103823.332049919</v>
      </c>
      <c r="D104" s="86">
        <v>26945.9567365033</v>
      </c>
      <c r="E104" s="86">
        <v>25607.4793042998</v>
      </c>
      <c r="F104" s="86">
        <v>25224.8219206379</v>
      </c>
      <c r="I104" s="77">
        <f t="shared" si="26"/>
        <v>2.01293010273124</v>
      </c>
      <c r="J104" t="str">
        <f t="shared" si="18"/>
        <v>Trd_car_dsl-pih</v>
      </c>
      <c r="K104" t="str">
        <f t="shared" si="19"/>
        <v>Trd_car_dsl-pih_78</v>
      </c>
      <c r="L104" t="str">
        <f t="shared" si="20"/>
        <v>Trd_car</v>
      </c>
      <c r="M104" s="306">
        <f t="shared" si="21"/>
        <v>103823.332049919</v>
      </c>
      <c r="N104" s="306">
        <f t="shared" si="22"/>
        <v>26945.9567365033</v>
      </c>
      <c r="O104" s="306">
        <f t="shared" si="23"/>
        <v>25607.4793042998</v>
      </c>
      <c r="P104" s="306">
        <f t="shared" si="24"/>
        <v>25224.8219206379</v>
      </c>
      <c r="T104" t="str">
        <f t="shared" si="16"/>
        <v>Trd_car_dsl-pih_78</v>
      </c>
      <c r="U104" t="str">
        <f ca="1" t="shared" si="17"/>
        <v>ICE medium size plug-in hybrid diesel car -- 78%</v>
      </c>
      <c r="V104" s="309" t="s">
        <v>84</v>
      </c>
      <c r="W104" s="309" t="s">
        <v>85</v>
      </c>
    </row>
    <row r="105" spans="2:23">
      <c r="B105" s="343">
        <v>0.782698130991225</v>
      </c>
      <c r="C105" s="86">
        <v>111274.847841584</v>
      </c>
      <c r="D105" s="86">
        <v>46386.2300830788</v>
      </c>
      <c r="E105" s="86">
        <v>44287.8197865924</v>
      </c>
      <c r="F105" s="86">
        <v>44168.1482018991</v>
      </c>
      <c r="I105" s="77">
        <f t="shared" si="26"/>
        <v>2.01859172229319</v>
      </c>
      <c r="J105" t="str">
        <f t="shared" si="18"/>
        <v>Trd_car_dsl-pih</v>
      </c>
      <c r="K105" t="str">
        <f t="shared" si="19"/>
        <v>Trd_car_dsl-pih_78</v>
      </c>
      <c r="L105" t="str">
        <f t="shared" si="20"/>
        <v>Trd_car</v>
      </c>
      <c r="M105" s="306">
        <f t="shared" si="21"/>
        <v>111274.847841584</v>
      </c>
      <c r="N105" s="306">
        <f t="shared" si="22"/>
        <v>46386.2300830788</v>
      </c>
      <c r="O105" s="306">
        <f t="shared" si="23"/>
        <v>44287.8197865924</v>
      </c>
      <c r="P105" s="306">
        <f t="shared" si="24"/>
        <v>44168.1482018991</v>
      </c>
      <c r="T105" t="str">
        <f t="shared" si="16"/>
        <v>Trd_car_dsl-pih_78</v>
      </c>
      <c r="U105" t="str">
        <f ca="1" t="shared" si="17"/>
        <v>ICE medium size plug-in hybrid diesel car -- 78%</v>
      </c>
      <c r="V105" s="309" t="s">
        <v>84</v>
      </c>
      <c r="W105" s="309" t="s">
        <v>85</v>
      </c>
    </row>
    <row r="106" spans="3:23">
      <c r="C106" s="97"/>
      <c r="D106" s="97"/>
      <c r="E106" s="97"/>
      <c r="F106" s="97"/>
      <c r="J106" t="str">
        <f t="shared" si="18"/>
        <v>Trd_car_dsl-pih</v>
      </c>
      <c r="K106" t="str">
        <f t="shared" si="19"/>
        <v>\I:</v>
      </c>
      <c r="L106" t="str">
        <f t="shared" si="20"/>
        <v>\I:</v>
      </c>
      <c r="M106" s="306" t="str">
        <f t="shared" si="21"/>
        <v/>
      </c>
      <c r="N106" s="306" t="str">
        <f t="shared" si="22"/>
        <v/>
      </c>
      <c r="O106" s="306" t="str">
        <f t="shared" si="23"/>
        <v/>
      </c>
      <c r="P106" s="306" t="str">
        <f t="shared" si="24"/>
        <v/>
      </c>
      <c r="T106" t="str">
        <f t="shared" si="16"/>
        <v>\I:</v>
      </c>
      <c r="U106" t="str">
        <f ca="1" t="shared" si="17"/>
        <v>ICE medium size plug-in hybrid diesel car -- 00%</v>
      </c>
      <c r="V106" s="309" t="s">
        <v>84</v>
      </c>
      <c r="W106" s="309" t="s">
        <v>85</v>
      </c>
    </row>
    <row r="107" spans="10:23">
      <c r="J107" t="str">
        <f t="shared" si="18"/>
        <v>Trd_car_dsl-pih</v>
      </c>
      <c r="K107" t="str">
        <f t="shared" si="19"/>
        <v>\I:</v>
      </c>
      <c r="L107" t="str">
        <f t="shared" si="20"/>
        <v>\I:</v>
      </c>
      <c r="M107" s="306" t="str">
        <f t="shared" si="21"/>
        <v/>
      </c>
      <c r="N107" s="306" t="str">
        <f t="shared" si="22"/>
        <v/>
      </c>
      <c r="O107" s="306" t="str">
        <f t="shared" si="23"/>
        <v/>
      </c>
      <c r="P107" s="306" t="str">
        <f t="shared" si="24"/>
        <v/>
      </c>
      <c r="T107" t="str">
        <f t="shared" si="16"/>
        <v>\I:</v>
      </c>
      <c r="U107" t="str">
        <f ca="1" t="shared" si="17"/>
        <v>ICE medium size plug-in hybrid diesel car -- 00%</v>
      </c>
      <c r="V107" s="309" t="s">
        <v>84</v>
      </c>
      <c r="W107" s="309" t="s">
        <v>85</v>
      </c>
    </row>
    <row r="108" spans="10:23">
      <c r="J108" t="str">
        <f t="shared" si="18"/>
        <v>Trd_car_dsl-pih</v>
      </c>
      <c r="K108" t="str">
        <f t="shared" si="19"/>
        <v>\I:</v>
      </c>
      <c r="L108" t="str">
        <f t="shared" si="20"/>
        <v>\I:</v>
      </c>
      <c r="M108" s="306" t="str">
        <f t="shared" si="21"/>
        <v/>
      </c>
      <c r="N108" s="306" t="str">
        <f t="shared" si="22"/>
        <v/>
      </c>
      <c r="O108" s="306" t="str">
        <f t="shared" si="23"/>
        <v/>
      </c>
      <c r="P108" s="306" t="str">
        <f t="shared" si="24"/>
        <v/>
      </c>
      <c r="T108" t="str">
        <f t="shared" si="16"/>
        <v>\I:</v>
      </c>
      <c r="U108" t="str">
        <f ca="1" t="shared" si="17"/>
        <v>ICE medium size plug-in hybrid diesel car -- 00%</v>
      </c>
      <c r="V108" s="309" t="s">
        <v>84</v>
      </c>
      <c r="W108" s="309" t="s">
        <v>85</v>
      </c>
    </row>
    <row r="109" spans="10:23">
      <c r="J109" t="str">
        <f t="shared" si="18"/>
        <v>Trd_car_dsl-pih</v>
      </c>
      <c r="K109" t="str">
        <f t="shared" si="19"/>
        <v>\I:</v>
      </c>
      <c r="L109" t="str">
        <f t="shared" si="20"/>
        <v>\I:</v>
      </c>
      <c r="M109" s="306" t="str">
        <f t="shared" si="21"/>
        <v/>
      </c>
      <c r="N109" s="306" t="str">
        <f t="shared" si="22"/>
        <v/>
      </c>
      <c r="O109" s="306" t="str">
        <f t="shared" si="23"/>
        <v/>
      </c>
      <c r="P109" s="306" t="str">
        <f t="shared" si="24"/>
        <v/>
      </c>
      <c r="T109" t="str">
        <f t="shared" si="16"/>
        <v>\I:</v>
      </c>
      <c r="U109" t="str">
        <f ca="1" t="shared" si="17"/>
        <v>ICE medium size plug-in hybrid diesel car -- 00%</v>
      </c>
      <c r="V109" s="309" t="s">
        <v>84</v>
      </c>
      <c r="W109" s="309" t="s">
        <v>85</v>
      </c>
    </row>
    <row r="110" spans="10:23">
      <c r="J110" t="str">
        <f t="shared" si="18"/>
        <v>Trd_car_dsl-pih</v>
      </c>
      <c r="K110" t="str">
        <f t="shared" si="19"/>
        <v>\I:</v>
      </c>
      <c r="L110" t="str">
        <f t="shared" si="20"/>
        <v>\I:</v>
      </c>
      <c r="M110" s="306" t="str">
        <f t="shared" si="21"/>
        <v/>
      </c>
      <c r="N110" s="306" t="str">
        <f t="shared" si="22"/>
        <v/>
      </c>
      <c r="O110" s="306" t="str">
        <f t="shared" si="23"/>
        <v/>
      </c>
      <c r="P110" s="306" t="str">
        <f t="shared" si="24"/>
        <v/>
      </c>
      <c r="T110" t="str">
        <f t="shared" si="16"/>
        <v>\I:</v>
      </c>
      <c r="U110" t="str">
        <f ca="1" t="shared" si="17"/>
        <v>ICE medium size plug-in hybrid diesel car -- 00%</v>
      </c>
      <c r="V110" s="309" t="s">
        <v>84</v>
      </c>
      <c r="W110" s="309" t="s">
        <v>85</v>
      </c>
    </row>
    <row r="111" spans="2:23">
      <c r="B111" s="43" t="s">
        <v>87</v>
      </c>
      <c r="J111" t="str">
        <f t="shared" si="18"/>
        <v>Trd_car_dsl-pih</v>
      </c>
      <c r="K111" t="str">
        <f t="shared" si="19"/>
        <v>\I:</v>
      </c>
      <c r="L111" t="str">
        <f t="shared" si="20"/>
        <v>\I:</v>
      </c>
      <c r="M111" s="306" t="str">
        <f t="shared" si="21"/>
        <v/>
      </c>
      <c r="N111" s="306" t="str">
        <f t="shared" si="22"/>
        <v/>
      </c>
      <c r="O111" s="306" t="str">
        <f t="shared" si="23"/>
        <v/>
      </c>
      <c r="P111" s="306" t="str">
        <f t="shared" si="24"/>
        <v/>
      </c>
      <c r="T111" t="str">
        <f t="shared" si="16"/>
        <v>\I:</v>
      </c>
      <c r="U111" t="str">
        <f ca="1" t="shared" si="17"/>
        <v>ICE medium size plug-in hybrid diesel car -- Reference values for medium size CNG</v>
      </c>
      <c r="V111" s="309" t="s">
        <v>84</v>
      </c>
      <c r="W111" s="309" t="s">
        <v>85</v>
      </c>
    </row>
    <row r="112" spans="2:23">
      <c r="B112" s="298">
        <v>2015</v>
      </c>
      <c r="C112" s="298"/>
      <c r="D112" s="298"/>
      <c r="J112" t="str">
        <f t="shared" si="18"/>
        <v>Trd_car_dsl-pih</v>
      </c>
      <c r="K112" t="str">
        <f t="shared" si="19"/>
        <v>\I:</v>
      </c>
      <c r="L112" t="str">
        <f t="shared" si="20"/>
        <v>\I:</v>
      </c>
      <c r="M112" s="306" t="str">
        <f t="shared" si="21"/>
        <v/>
      </c>
      <c r="N112" s="306" t="str">
        <f t="shared" si="22"/>
        <v/>
      </c>
      <c r="O112" s="306" t="str">
        <f t="shared" si="23"/>
        <v/>
      </c>
      <c r="P112" s="306" t="str">
        <f t="shared" si="24"/>
        <v/>
      </c>
      <c r="T112" t="str">
        <f t="shared" si="16"/>
        <v>\I:</v>
      </c>
      <c r="U112" t="str">
        <f ca="1" t="shared" si="17"/>
        <v>ICE medium size plug-in hybrid diesel car -- 201500%</v>
      </c>
      <c r="V112" s="309" t="s">
        <v>84</v>
      </c>
      <c r="W112" s="309" t="s">
        <v>85</v>
      </c>
    </row>
    <row r="113" spans="2:23">
      <c r="B113" s="45" t="s">
        <v>12</v>
      </c>
      <c r="C113" s="46" t="s">
        <v>88</v>
      </c>
      <c r="D113" s="47">
        <v>4.32975739881566</v>
      </c>
      <c r="G113" s="77">
        <f>D113*$I$5/100*10^9/10^6</f>
        <v>2.32912687100081</v>
      </c>
      <c r="H113" s="77"/>
      <c r="I113" s="348">
        <f>1/G113</f>
        <v>0.429345439465179</v>
      </c>
      <c r="J113" t="str">
        <f t="shared" si="18"/>
        <v>Trd_car_dsl-pih</v>
      </c>
      <c r="K113" t="str">
        <f t="shared" si="19"/>
        <v>\I:</v>
      </c>
      <c r="L113" t="str">
        <f t="shared" si="20"/>
        <v>\I:</v>
      </c>
      <c r="M113" s="306" t="str">
        <f t="shared" si="21"/>
        <v/>
      </c>
      <c r="N113" s="306" t="str">
        <f t="shared" si="22"/>
        <v/>
      </c>
      <c r="O113" s="306" t="str">
        <f t="shared" si="23"/>
        <v/>
      </c>
      <c r="P113" s="306" t="str">
        <f t="shared" si="24"/>
        <v/>
      </c>
      <c r="T113" t="str">
        <f t="shared" ref="T113:T144" si="27">K113</f>
        <v>\I:</v>
      </c>
      <c r="U113" t="str">
        <f ca="1" t="shared" ref="U113:U144" si="28">OFFSET($S$1,MATCH(J113,$S$1:$S$11,0)-1,-1)&amp;" -- "&amp;TEXT(B113,"00%")</f>
        <v>ICE medium size plug-in hybrid diesel car -- Energy consumption</v>
      </c>
      <c r="V113" s="309" t="s">
        <v>84</v>
      </c>
      <c r="W113" s="309" t="s">
        <v>85</v>
      </c>
    </row>
    <row r="114" spans="2:23">
      <c r="B114" s="45" t="s">
        <v>14</v>
      </c>
      <c r="C114" s="46" t="s">
        <v>15</v>
      </c>
      <c r="D114" s="68">
        <v>21195.1012717123</v>
      </c>
      <c r="I114" s="311" t="s">
        <v>70</v>
      </c>
      <c r="J114" t="str">
        <f t="shared" si="18"/>
        <v>Trd_car_dsl-pih</v>
      </c>
      <c r="K114" t="str">
        <f t="shared" si="19"/>
        <v>\I:</v>
      </c>
      <c r="L114" t="str">
        <f t="shared" si="20"/>
        <v>\I:</v>
      </c>
      <c r="M114" s="306" t="str">
        <f t="shared" si="21"/>
        <v/>
      </c>
      <c r="N114" s="306" t="str">
        <f t="shared" si="22"/>
        <v/>
      </c>
      <c r="O114" s="306" t="str">
        <f t="shared" si="23"/>
        <v/>
      </c>
      <c r="P114" s="306" t="str">
        <f t="shared" si="24"/>
        <v/>
      </c>
      <c r="T114" t="str">
        <f t="shared" si="27"/>
        <v>\I:</v>
      </c>
      <c r="U114" t="str">
        <f ca="1" t="shared" si="28"/>
        <v>ICE medium size plug-in hybrid diesel car -- Capital cost</v>
      </c>
      <c r="V114" s="309" t="s">
        <v>84</v>
      </c>
      <c r="W114" s="309" t="s">
        <v>85</v>
      </c>
    </row>
    <row r="115" spans="10:23">
      <c r="J115" t="str">
        <f t="shared" si="18"/>
        <v>Trd_car_dsl-pih</v>
      </c>
      <c r="K115" t="str">
        <f t="shared" si="19"/>
        <v>\I:</v>
      </c>
      <c r="L115" t="str">
        <f t="shared" si="20"/>
        <v>\I:</v>
      </c>
      <c r="M115" s="306" t="str">
        <f t="shared" si="21"/>
        <v/>
      </c>
      <c r="N115" s="306" t="str">
        <f t="shared" si="22"/>
        <v/>
      </c>
      <c r="O115" s="306" t="str">
        <f t="shared" si="23"/>
        <v/>
      </c>
      <c r="P115" s="306" t="str">
        <f t="shared" si="24"/>
        <v/>
      </c>
      <c r="T115" t="str">
        <f t="shared" si="27"/>
        <v>\I:</v>
      </c>
      <c r="U115" t="str">
        <f ca="1" t="shared" si="28"/>
        <v>ICE medium size plug-in hybrid diesel car -- 00%</v>
      </c>
      <c r="V115" s="309" t="s">
        <v>84</v>
      </c>
      <c r="W115" s="309" t="s">
        <v>85</v>
      </c>
    </row>
    <row r="116" ht="15" customHeight="1" spans="2:23">
      <c r="B116" s="300" t="s">
        <v>89</v>
      </c>
      <c r="C116" s="300" t="s">
        <v>60</v>
      </c>
      <c r="D116" s="300"/>
      <c r="E116" s="300"/>
      <c r="F116" s="300"/>
      <c r="J116" t="str">
        <f t="shared" si="18"/>
        <v>Trd_car_cng</v>
      </c>
      <c r="K116" t="str">
        <f t="shared" si="19"/>
        <v>\I:</v>
      </c>
      <c r="L116" t="str">
        <f t="shared" si="20"/>
        <v>\I:</v>
      </c>
      <c r="M116" s="306" t="str">
        <f t="shared" si="21"/>
        <v/>
      </c>
      <c r="N116" s="306" t="str">
        <f t="shared" si="22"/>
        <v/>
      </c>
      <c r="O116" s="306" t="str">
        <f t="shared" si="23"/>
        <v/>
      </c>
      <c r="P116" s="306" t="str">
        <f t="shared" si="24"/>
        <v/>
      </c>
      <c r="T116" t="str">
        <f t="shared" si="27"/>
        <v>\I:</v>
      </c>
      <c r="U116" t="str">
        <f ca="1" t="shared" si="28"/>
        <v>ICE medium size CNG car -- Reduction of specific energy consumption relative to 2015 CNG vehicle (%)</v>
      </c>
      <c r="V116" s="309" t="s">
        <v>84</v>
      </c>
      <c r="W116" s="309" t="s">
        <v>85</v>
      </c>
    </row>
    <row r="117" spans="2:23">
      <c r="B117" s="300"/>
      <c r="C117" s="300"/>
      <c r="D117" s="300"/>
      <c r="E117" s="300"/>
      <c r="F117" s="300"/>
      <c r="J117" t="str">
        <f t="shared" si="18"/>
        <v>Trd_car_cng</v>
      </c>
      <c r="K117" t="str">
        <f t="shared" si="19"/>
        <v>\I:</v>
      </c>
      <c r="L117" t="str">
        <f t="shared" si="20"/>
        <v>\I:</v>
      </c>
      <c r="M117" s="306" t="str">
        <f t="shared" si="21"/>
        <v/>
      </c>
      <c r="N117" s="306" t="str">
        <f t="shared" si="22"/>
        <v/>
      </c>
      <c r="O117" s="306" t="str">
        <f t="shared" si="23"/>
        <v/>
      </c>
      <c r="P117" s="306" t="str">
        <f t="shared" si="24"/>
        <v/>
      </c>
      <c r="T117" t="str">
        <f t="shared" si="27"/>
        <v>\I:</v>
      </c>
      <c r="U117" t="str">
        <f ca="1" t="shared" si="28"/>
        <v>ICE medium size CNG car -- 00%</v>
      </c>
      <c r="V117" s="309" t="s">
        <v>84</v>
      </c>
      <c r="W117" s="309" t="s">
        <v>85</v>
      </c>
    </row>
    <row r="118" spans="2:23">
      <c r="B118" s="300"/>
      <c r="C118" s="300"/>
      <c r="D118" s="300"/>
      <c r="E118" s="300"/>
      <c r="F118" s="300"/>
      <c r="J118" t="str">
        <f t="shared" si="18"/>
        <v>Trd_car_cng</v>
      </c>
      <c r="K118" t="str">
        <f t="shared" si="19"/>
        <v>\I:</v>
      </c>
      <c r="L118" t="str">
        <f t="shared" si="20"/>
        <v>\I:</v>
      </c>
      <c r="M118" s="306" t="str">
        <f t="shared" si="21"/>
        <v/>
      </c>
      <c r="N118" s="306" t="str">
        <f t="shared" si="22"/>
        <v/>
      </c>
      <c r="O118" s="306" t="str">
        <f t="shared" si="23"/>
        <v/>
      </c>
      <c r="P118" s="306" t="str">
        <f t="shared" si="24"/>
        <v/>
      </c>
      <c r="T118" t="str">
        <f t="shared" si="27"/>
        <v>\I:</v>
      </c>
      <c r="U118" t="str">
        <f ca="1" t="shared" si="28"/>
        <v>ICE medium size CNG car -- 00%</v>
      </c>
      <c r="V118" s="309" t="s">
        <v>84</v>
      </c>
      <c r="W118" s="309" t="s">
        <v>85</v>
      </c>
    </row>
    <row r="119" spans="2:23">
      <c r="B119" s="88"/>
      <c r="C119" s="50">
        <v>2020</v>
      </c>
      <c r="D119" s="50">
        <v>2030</v>
      </c>
      <c r="E119" s="50">
        <v>2040</v>
      </c>
      <c r="F119" s="50">
        <v>2050</v>
      </c>
      <c r="I119" s="299">
        <v>1</v>
      </c>
      <c r="J119" s="43" t="str">
        <f t="shared" si="18"/>
        <v>Trd_car_cng</v>
      </c>
      <c r="K119" s="43" t="str">
        <f>IFERROR(IF(VALUE(C119)&gt;200,J119&amp;"_"&amp;TEXT(B119*100,"00"),"\I:"),"\I:")</f>
        <v>Trd_car_cng_00</v>
      </c>
      <c r="L119" t="str">
        <f t="shared" si="20"/>
        <v>Trd_car</v>
      </c>
      <c r="M119" s="344">
        <f>D114</f>
        <v>21195.1012717123</v>
      </c>
      <c r="N119" s="306"/>
      <c r="O119" s="306"/>
      <c r="P119" s="306"/>
      <c r="T119" t="str">
        <f t="shared" si="27"/>
        <v>Trd_car_cng_00</v>
      </c>
      <c r="U119" t="str">
        <f ca="1" t="shared" si="28"/>
        <v>ICE medium size CNG car -- 00%</v>
      </c>
      <c r="V119" s="309" t="s">
        <v>84</v>
      </c>
      <c r="W119" s="309" t="s">
        <v>85</v>
      </c>
    </row>
    <row r="120" spans="2:23">
      <c r="B120" s="85">
        <v>0.133623958941972</v>
      </c>
      <c r="C120" s="86">
        <v>21459.3220901274</v>
      </c>
      <c r="D120" s="86">
        <v>21265.946731911</v>
      </c>
      <c r="E120" s="86">
        <v>21265.946731911</v>
      </c>
      <c r="F120" s="86">
        <v>21265.946731911</v>
      </c>
      <c r="I120" s="77">
        <f t="shared" ref="I120:I125" si="29">$I$113*(1+B120)/$I$12</f>
        <v>1.04433704896357</v>
      </c>
      <c r="J120" t="str">
        <f t="shared" si="18"/>
        <v>Trd_car_cng</v>
      </c>
      <c r="K120" t="str">
        <f t="shared" si="19"/>
        <v>Trd_car_cng_13</v>
      </c>
      <c r="L120" t="str">
        <f t="shared" si="20"/>
        <v>Trd_car</v>
      </c>
      <c r="M120" s="306">
        <f t="shared" si="21"/>
        <v>21459.3220901274</v>
      </c>
      <c r="N120" s="306">
        <f t="shared" si="22"/>
        <v>21265.946731911</v>
      </c>
      <c r="O120" s="306">
        <f t="shared" si="23"/>
        <v>21265.946731911</v>
      </c>
      <c r="P120" s="306">
        <f t="shared" si="24"/>
        <v>21265.946731911</v>
      </c>
      <c r="T120" t="str">
        <f t="shared" si="27"/>
        <v>Trd_car_cng_13</v>
      </c>
      <c r="U120" t="str">
        <f ca="1" t="shared" si="28"/>
        <v>ICE medium size CNG car -- 13%</v>
      </c>
      <c r="V120" s="309" t="s">
        <v>84</v>
      </c>
      <c r="W120" s="309" t="s">
        <v>85</v>
      </c>
    </row>
    <row r="121" spans="2:23">
      <c r="B121" s="85">
        <v>0.233623958941972</v>
      </c>
      <c r="C121" s="86">
        <v>22275.1693225306</v>
      </c>
      <c r="D121" s="86">
        <v>21526.8992345472</v>
      </c>
      <c r="E121" s="86">
        <v>21526.8992345472</v>
      </c>
      <c r="F121" s="86">
        <v>21526.8992345472</v>
      </c>
      <c r="I121" s="77">
        <f t="shared" si="29"/>
        <v>1.13646081193858</v>
      </c>
      <c r="J121" t="str">
        <f t="shared" si="18"/>
        <v>Trd_car_cng</v>
      </c>
      <c r="K121" t="str">
        <f t="shared" si="19"/>
        <v>Trd_car_cng_23</v>
      </c>
      <c r="L121" t="str">
        <f t="shared" si="20"/>
        <v>Trd_car</v>
      </c>
      <c r="M121" s="306">
        <f t="shared" si="21"/>
        <v>22275.1693225306</v>
      </c>
      <c r="N121" s="306">
        <f t="shared" si="22"/>
        <v>21526.8992345472</v>
      </c>
      <c r="O121" s="306">
        <f t="shared" si="23"/>
        <v>21526.8992345472</v>
      </c>
      <c r="P121" s="306">
        <f t="shared" si="24"/>
        <v>21526.8992345472</v>
      </c>
      <c r="T121" t="str">
        <f t="shared" si="27"/>
        <v>Trd_car_cng_23</v>
      </c>
      <c r="U121" t="str">
        <f ca="1" t="shared" si="28"/>
        <v>ICE medium size CNG car -- 23%</v>
      </c>
      <c r="V121" s="309" t="s">
        <v>84</v>
      </c>
      <c r="W121" s="309" t="s">
        <v>85</v>
      </c>
    </row>
    <row r="122" spans="2:23">
      <c r="B122" s="85">
        <v>0.333623958941972</v>
      </c>
      <c r="C122" s="86">
        <v>24038.3168536115</v>
      </c>
      <c r="D122" s="86">
        <v>22158.19844873</v>
      </c>
      <c r="E122" s="86">
        <v>22158.19844873</v>
      </c>
      <c r="F122" s="86">
        <v>22158.19844873</v>
      </c>
      <c r="I122" s="77">
        <f t="shared" si="29"/>
        <v>1.22858457491358</v>
      </c>
      <c r="J122" t="str">
        <f t="shared" si="18"/>
        <v>Trd_car_cng</v>
      </c>
      <c r="K122" t="str">
        <f t="shared" si="19"/>
        <v>Trd_car_cng_33</v>
      </c>
      <c r="L122" t="str">
        <f t="shared" si="20"/>
        <v>Trd_car</v>
      </c>
      <c r="M122" s="306">
        <f t="shared" si="21"/>
        <v>24038.3168536115</v>
      </c>
      <c r="N122" s="306">
        <f t="shared" si="22"/>
        <v>22158.19844873</v>
      </c>
      <c r="O122" s="306">
        <f t="shared" si="23"/>
        <v>22158.19844873</v>
      </c>
      <c r="P122" s="306">
        <f t="shared" si="24"/>
        <v>22158.19844873</v>
      </c>
      <c r="T122" t="str">
        <f t="shared" si="27"/>
        <v>Trd_car_cng_33</v>
      </c>
      <c r="U122" t="str">
        <f ca="1" t="shared" si="28"/>
        <v>ICE medium size CNG car -- 33%</v>
      </c>
      <c r="V122" s="309" t="s">
        <v>84</v>
      </c>
      <c r="W122" s="309" t="s">
        <v>85</v>
      </c>
    </row>
    <row r="123" spans="2:23">
      <c r="B123" s="85">
        <v>0.383623958941972</v>
      </c>
      <c r="C123" s="86">
        <v>26551.6414852451</v>
      </c>
      <c r="D123" s="86">
        <v>22891.3401623741</v>
      </c>
      <c r="E123" s="86">
        <v>22891.3401623741</v>
      </c>
      <c r="F123" s="86">
        <v>22891.3401623741</v>
      </c>
      <c r="I123" s="77">
        <f t="shared" si="29"/>
        <v>1.27464645640108</v>
      </c>
      <c r="J123" t="str">
        <f t="shared" si="18"/>
        <v>Trd_car_cng</v>
      </c>
      <c r="K123" t="str">
        <f t="shared" si="19"/>
        <v>Trd_car_cng_38</v>
      </c>
      <c r="L123" t="str">
        <f t="shared" si="20"/>
        <v>Trd_car</v>
      </c>
      <c r="M123" s="306">
        <f t="shared" si="21"/>
        <v>26551.6414852451</v>
      </c>
      <c r="N123" s="306">
        <f t="shared" si="22"/>
        <v>22891.3401623741</v>
      </c>
      <c r="O123" s="306">
        <f t="shared" si="23"/>
        <v>22891.3401623741</v>
      </c>
      <c r="P123" s="306">
        <f t="shared" si="24"/>
        <v>22891.3401623741</v>
      </c>
      <c r="T123" t="str">
        <f t="shared" si="27"/>
        <v>Trd_car_cng_38</v>
      </c>
      <c r="U123" t="str">
        <f ca="1" t="shared" si="28"/>
        <v>ICE medium size CNG car -- 38%</v>
      </c>
      <c r="V123" s="309" t="s">
        <v>84</v>
      </c>
      <c r="W123" s="309" t="s">
        <v>85</v>
      </c>
    </row>
    <row r="124" spans="2:23">
      <c r="B124" s="85">
        <v>0.433623958941972</v>
      </c>
      <c r="C124" s="86">
        <v>55820.7966564757</v>
      </c>
      <c r="D124" s="86">
        <v>24704.2542961166</v>
      </c>
      <c r="E124" s="86">
        <v>24704.2542961166</v>
      </c>
      <c r="F124" s="86">
        <v>24704.2542961166</v>
      </c>
      <c r="I124" s="77">
        <f t="shared" si="29"/>
        <v>1.32070833788859</v>
      </c>
      <c r="J124" t="str">
        <f t="shared" si="18"/>
        <v>Trd_car_cng</v>
      </c>
      <c r="K124" t="str">
        <f t="shared" si="19"/>
        <v>Trd_car_cng_43</v>
      </c>
      <c r="L124" t="str">
        <f t="shared" si="20"/>
        <v>Trd_car</v>
      </c>
      <c r="M124" s="306">
        <f t="shared" si="21"/>
        <v>55820.7966564757</v>
      </c>
      <c r="N124" s="306">
        <f t="shared" si="22"/>
        <v>24704.2542961166</v>
      </c>
      <c r="O124" s="306">
        <f t="shared" si="23"/>
        <v>24704.2542961166</v>
      </c>
      <c r="P124" s="306">
        <f t="shared" si="24"/>
        <v>24704.2542961166</v>
      </c>
      <c r="T124" t="str">
        <f t="shared" si="27"/>
        <v>Trd_car_cng_43</v>
      </c>
      <c r="U124" t="str">
        <f ca="1" t="shared" si="28"/>
        <v>ICE medium size CNG car -- 43%</v>
      </c>
      <c r="V124" s="309" t="s">
        <v>84</v>
      </c>
      <c r="W124" s="309" t="s">
        <v>85</v>
      </c>
    </row>
    <row r="125" spans="2:23">
      <c r="B125" s="85">
        <v>0.483623958941972</v>
      </c>
      <c r="C125" s="86">
        <v>120999.1132</v>
      </c>
      <c r="D125" s="86">
        <v>43178.2986936037</v>
      </c>
      <c r="E125" s="86">
        <v>43178.2986936037</v>
      </c>
      <c r="F125" s="86">
        <v>43178.2986936037</v>
      </c>
      <c r="I125" s="77">
        <f t="shared" si="29"/>
        <v>1.36677021937609</v>
      </c>
      <c r="J125" t="str">
        <f t="shared" si="18"/>
        <v>Trd_car_cng</v>
      </c>
      <c r="K125" t="str">
        <f t="shared" si="19"/>
        <v>Trd_car_cng_48</v>
      </c>
      <c r="L125" t="str">
        <f t="shared" si="20"/>
        <v>Trd_car</v>
      </c>
      <c r="M125" s="306">
        <f t="shared" si="21"/>
        <v>120999.1132</v>
      </c>
      <c r="N125" s="306">
        <f t="shared" si="22"/>
        <v>43178.2986936037</v>
      </c>
      <c r="O125" s="306">
        <f t="shared" si="23"/>
        <v>43178.2986936037</v>
      </c>
      <c r="P125" s="306">
        <f t="shared" si="24"/>
        <v>43178.2986936037</v>
      </c>
      <c r="T125" t="str">
        <f t="shared" si="27"/>
        <v>Trd_car_cng_48</v>
      </c>
      <c r="U125" t="str">
        <f ca="1" t="shared" si="28"/>
        <v>ICE medium size CNG car -- 48%</v>
      </c>
      <c r="V125" s="309" t="s">
        <v>84</v>
      </c>
      <c r="W125" s="309" t="s">
        <v>85</v>
      </c>
    </row>
    <row r="126" spans="3:23">
      <c r="C126" s="97"/>
      <c r="D126" s="97"/>
      <c r="E126" s="97"/>
      <c r="F126" s="97"/>
      <c r="J126" t="str">
        <f t="shared" si="18"/>
        <v>Trd_car_cng</v>
      </c>
      <c r="K126" t="str">
        <f t="shared" si="19"/>
        <v>\I:</v>
      </c>
      <c r="L126" t="str">
        <f t="shared" si="20"/>
        <v>\I:</v>
      </c>
      <c r="M126" s="306" t="str">
        <f t="shared" si="21"/>
        <v/>
      </c>
      <c r="N126" s="306" t="str">
        <f t="shared" si="22"/>
        <v/>
      </c>
      <c r="O126" s="306" t="str">
        <f t="shared" si="23"/>
        <v/>
      </c>
      <c r="P126" s="306" t="str">
        <f t="shared" si="24"/>
        <v/>
      </c>
      <c r="T126" t="str">
        <f t="shared" si="27"/>
        <v>\I:</v>
      </c>
      <c r="U126" t="str">
        <f ca="1" t="shared" si="28"/>
        <v>ICE medium size CNG car -- 00%</v>
      </c>
      <c r="V126" s="309" t="s">
        <v>84</v>
      </c>
      <c r="W126" s="309" t="s">
        <v>85</v>
      </c>
    </row>
    <row r="127" spans="10:23">
      <c r="J127" t="str">
        <f t="shared" si="18"/>
        <v>Trd_car_cng</v>
      </c>
      <c r="K127" t="str">
        <f t="shared" si="19"/>
        <v>\I:</v>
      </c>
      <c r="L127" t="str">
        <f t="shared" si="20"/>
        <v>\I:</v>
      </c>
      <c r="M127" s="306" t="str">
        <f t="shared" si="21"/>
        <v/>
      </c>
      <c r="N127" s="306" t="str">
        <f t="shared" si="22"/>
        <v/>
      </c>
      <c r="O127" s="306" t="str">
        <f t="shared" si="23"/>
        <v/>
      </c>
      <c r="P127" s="306" t="str">
        <f t="shared" si="24"/>
        <v/>
      </c>
      <c r="T127" t="str">
        <f t="shared" si="27"/>
        <v>\I:</v>
      </c>
      <c r="U127" t="str">
        <f ca="1" t="shared" si="28"/>
        <v>ICE medium size CNG car -- 00%</v>
      </c>
      <c r="V127" s="309" t="s">
        <v>84</v>
      </c>
      <c r="W127" s="309" t="s">
        <v>85</v>
      </c>
    </row>
    <row r="128" spans="10:23">
      <c r="J128" t="str">
        <f t="shared" si="18"/>
        <v>Trd_car_cng</v>
      </c>
      <c r="K128" t="str">
        <f t="shared" si="19"/>
        <v>\I:</v>
      </c>
      <c r="L128" t="str">
        <f t="shared" si="20"/>
        <v>\I:</v>
      </c>
      <c r="M128" s="306" t="str">
        <f t="shared" si="21"/>
        <v/>
      </c>
      <c r="N128" s="306" t="str">
        <f t="shared" si="22"/>
        <v/>
      </c>
      <c r="O128" s="306" t="str">
        <f t="shared" si="23"/>
        <v/>
      </c>
      <c r="P128" s="306" t="str">
        <f t="shared" si="24"/>
        <v/>
      </c>
      <c r="T128" t="str">
        <f t="shared" si="27"/>
        <v>\I:</v>
      </c>
      <c r="U128" t="str">
        <f ca="1" t="shared" si="28"/>
        <v>ICE medium size CNG car -- 00%</v>
      </c>
      <c r="V128" s="309" t="s">
        <v>84</v>
      </c>
      <c r="W128" s="309" t="s">
        <v>85</v>
      </c>
    </row>
    <row r="129" spans="10:23">
      <c r="J129" t="str">
        <f t="shared" si="18"/>
        <v>Trd_car_cng</v>
      </c>
      <c r="K129" t="str">
        <f t="shared" si="19"/>
        <v>\I:</v>
      </c>
      <c r="L129" t="str">
        <f t="shared" si="20"/>
        <v>\I:</v>
      </c>
      <c r="M129" s="306" t="str">
        <f t="shared" si="21"/>
        <v/>
      </c>
      <c r="N129" s="306" t="str">
        <f t="shared" si="22"/>
        <v/>
      </c>
      <c r="O129" s="306" t="str">
        <f t="shared" si="23"/>
        <v/>
      </c>
      <c r="P129" s="306" t="str">
        <f t="shared" si="24"/>
        <v/>
      </c>
      <c r="T129" t="str">
        <f t="shared" si="27"/>
        <v>\I:</v>
      </c>
      <c r="U129" t="str">
        <f ca="1" t="shared" si="28"/>
        <v>ICE medium size CNG car -- 00%</v>
      </c>
      <c r="V129" s="309" t="s">
        <v>84</v>
      </c>
      <c r="W129" s="309" t="s">
        <v>85</v>
      </c>
    </row>
    <row r="130" spans="10:23">
      <c r="J130" t="str">
        <f t="shared" si="18"/>
        <v>Trd_car_cng</v>
      </c>
      <c r="K130" t="str">
        <f t="shared" si="19"/>
        <v>\I:</v>
      </c>
      <c r="L130" t="str">
        <f t="shared" si="20"/>
        <v>\I:</v>
      </c>
      <c r="M130" s="306" t="str">
        <f t="shared" si="21"/>
        <v/>
      </c>
      <c r="N130" s="306" t="str">
        <f t="shared" si="22"/>
        <v/>
      </c>
      <c r="O130" s="306" t="str">
        <f t="shared" si="23"/>
        <v/>
      </c>
      <c r="P130" s="306" t="str">
        <f t="shared" si="24"/>
        <v/>
      </c>
      <c r="T130" t="str">
        <f t="shared" si="27"/>
        <v>\I:</v>
      </c>
      <c r="U130" t="str">
        <f ca="1" t="shared" si="28"/>
        <v>ICE medium size CNG car -- 00%</v>
      </c>
      <c r="V130" s="309" t="s">
        <v>84</v>
      </c>
      <c r="W130" s="309" t="s">
        <v>85</v>
      </c>
    </row>
    <row r="131" spans="2:23">
      <c r="B131" s="43" t="s">
        <v>90</v>
      </c>
      <c r="J131" t="str">
        <f t="shared" si="18"/>
        <v>Trd_car_cng</v>
      </c>
      <c r="K131" t="str">
        <f t="shared" si="19"/>
        <v>\I:</v>
      </c>
      <c r="L131" t="str">
        <f t="shared" si="20"/>
        <v>\I:</v>
      </c>
      <c r="M131" s="306" t="str">
        <f t="shared" si="21"/>
        <v/>
      </c>
      <c r="N131" s="306" t="str">
        <f t="shared" si="22"/>
        <v/>
      </c>
      <c r="O131" s="306" t="str">
        <f t="shared" si="23"/>
        <v/>
      </c>
      <c r="P131" s="306" t="str">
        <f t="shared" si="24"/>
        <v/>
      </c>
      <c r="T131" t="str">
        <f t="shared" si="27"/>
        <v>\I:</v>
      </c>
      <c r="U131" t="str">
        <f ca="1" t="shared" si="28"/>
        <v>ICE medium size CNG car -- Reference values for medium size LPG</v>
      </c>
      <c r="V131" s="309" t="s">
        <v>84</v>
      </c>
      <c r="W131" s="309" t="s">
        <v>85</v>
      </c>
    </row>
    <row r="132" spans="2:23">
      <c r="B132" s="298">
        <v>2015</v>
      </c>
      <c r="C132" s="298"/>
      <c r="D132" s="298"/>
      <c r="J132" t="str">
        <f t="shared" si="18"/>
        <v>Trd_car_cng</v>
      </c>
      <c r="K132" t="str">
        <f t="shared" si="19"/>
        <v>\I:</v>
      </c>
      <c r="L132" t="str">
        <f t="shared" si="20"/>
        <v>\I:</v>
      </c>
      <c r="M132" s="306" t="str">
        <f t="shared" si="21"/>
        <v/>
      </c>
      <c r="N132" s="306" t="str">
        <f t="shared" si="22"/>
        <v/>
      </c>
      <c r="O132" s="306" t="str">
        <f t="shared" si="23"/>
        <v/>
      </c>
      <c r="P132" s="306" t="str">
        <f t="shared" si="24"/>
        <v/>
      </c>
      <c r="T132" t="str">
        <f t="shared" si="27"/>
        <v>\I:</v>
      </c>
      <c r="U132" t="str">
        <f ca="1" t="shared" si="28"/>
        <v>ICE medium size CNG car -- 201500%</v>
      </c>
      <c r="V132" s="309" t="s">
        <v>84</v>
      </c>
      <c r="W132" s="309" t="s">
        <v>85</v>
      </c>
    </row>
    <row r="133" spans="2:23">
      <c r="B133" s="45" t="s">
        <v>12</v>
      </c>
      <c r="C133" s="46" t="s">
        <v>13</v>
      </c>
      <c r="D133" s="47">
        <v>8.21770281816034</v>
      </c>
      <c r="G133" s="77">
        <f>D133*$I$6/100*10^9/10^6</f>
        <v>2.10291015116723</v>
      </c>
      <c r="H133" s="77"/>
      <c r="I133" s="348">
        <f>1/G133</f>
        <v>0.475531491178995</v>
      </c>
      <c r="J133" t="str">
        <f t="shared" si="18"/>
        <v>Trd_car_cng</v>
      </c>
      <c r="K133" t="str">
        <f t="shared" si="19"/>
        <v>\I:</v>
      </c>
      <c r="L133" t="str">
        <f t="shared" si="20"/>
        <v>\I:</v>
      </c>
      <c r="M133" s="306" t="str">
        <f t="shared" si="21"/>
        <v/>
      </c>
      <c r="N133" s="306" t="str">
        <f t="shared" si="22"/>
        <v/>
      </c>
      <c r="O133" s="306" t="str">
        <f t="shared" si="23"/>
        <v/>
      </c>
      <c r="P133" s="306" t="str">
        <f t="shared" si="24"/>
        <v/>
      </c>
      <c r="T133" t="str">
        <f t="shared" si="27"/>
        <v>\I:</v>
      </c>
      <c r="U133" t="str">
        <f ca="1" t="shared" si="28"/>
        <v>ICE medium size CNG car -- Energy consumption</v>
      </c>
      <c r="V133" s="309" t="s">
        <v>84</v>
      </c>
      <c r="W133" s="309" t="s">
        <v>85</v>
      </c>
    </row>
    <row r="134" spans="2:23">
      <c r="B134" s="45" t="s">
        <v>14</v>
      </c>
      <c r="C134" s="46" t="s">
        <v>15</v>
      </c>
      <c r="D134" s="68">
        <v>20627.5576717123</v>
      </c>
      <c r="I134" s="311" t="s">
        <v>70</v>
      </c>
      <c r="J134" t="str">
        <f t="shared" si="18"/>
        <v>Trd_car_cng</v>
      </c>
      <c r="K134" t="str">
        <f t="shared" si="19"/>
        <v>\I:</v>
      </c>
      <c r="L134" t="str">
        <f t="shared" si="20"/>
        <v>\I:</v>
      </c>
      <c r="M134" s="306" t="str">
        <f t="shared" si="21"/>
        <v/>
      </c>
      <c r="N134" s="306" t="str">
        <f t="shared" si="22"/>
        <v/>
      </c>
      <c r="O134" s="306" t="str">
        <f t="shared" si="23"/>
        <v/>
      </c>
      <c r="P134" s="306" t="str">
        <f t="shared" si="24"/>
        <v/>
      </c>
      <c r="T134" t="str">
        <f t="shared" si="27"/>
        <v>\I:</v>
      </c>
      <c r="U134" t="str">
        <f ca="1" t="shared" si="28"/>
        <v>ICE medium size CNG car -- Capital cost</v>
      </c>
      <c r="V134" s="309" t="s">
        <v>84</v>
      </c>
      <c r="W134" s="309" t="s">
        <v>85</v>
      </c>
    </row>
    <row r="135" spans="10:23">
      <c r="J135" t="str">
        <f t="shared" si="18"/>
        <v>Trd_car_cng</v>
      </c>
      <c r="K135" t="str">
        <f t="shared" si="19"/>
        <v>\I:</v>
      </c>
      <c r="L135" t="str">
        <f t="shared" si="20"/>
        <v>\I:</v>
      </c>
      <c r="M135" s="306" t="str">
        <f t="shared" si="21"/>
        <v/>
      </c>
      <c r="N135" s="306" t="str">
        <f t="shared" si="22"/>
        <v/>
      </c>
      <c r="O135" s="306" t="str">
        <f t="shared" si="23"/>
        <v/>
      </c>
      <c r="P135" s="306" t="str">
        <f t="shared" si="24"/>
        <v/>
      </c>
      <c r="T135" t="str">
        <f t="shared" si="27"/>
        <v>\I:</v>
      </c>
      <c r="U135" t="str">
        <f ca="1" t="shared" si="28"/>
        <v>ICE medium size CNG car -- 00%</v>
      </c>
      <c r="V135" s="309" t="s">
        <v>84</v>
      </c>
      <c r="W135" s="309" t="s">
        <v>85</v>
      </c>
    </row>
    <row r="136" ht="15" customHeight="1" spans="2:23">
      <c r="B136" s="300" t="s">
        <v>91</v>
      </c>
      <c r="C136" s="300" t="s">
        <v>62</v>
      </c>
      <c r="D136" s="300"/>
      <c r="E136" s="300"/>
      <c r="F136" s="300"/>
      <c r="J136" t="str">
        <f t="shared" si="18"/>
        <v>\I:Trd_car_lpg</v>
      </c>
      <c r="K136" t="str">
        <f t="shared" si="19"/>
        <v>\I:</v>
      </c>
      <c r="L136" t="str">
        <f t="shared" si="20"/>
        <v>\I:</v>
      </c>
      <c r="M136" s="306" t="str">
        <f t="shared" si="21"/>
        <v/>
      </c>
      <c r="N136" s="306" t="str">
        <f t="shared" si="22"/>
        <v/>
      </c>
      <c r="O136" s="306" t="str">
        <f t="shared" si="23"/>
        <v/>
      </c>
      <c r="P136" s="306" t="str">
        <f t="shared" si="24"/>
        <v/>
      </c>
      <c r="T136" t="str">
        <f t="shared" si="27"/>
        <v>\I:</v>
      </c>
      <c r="U136" t="str">
        <f ca="1" t="shared" si="28"/>
        <v>ICE medium size LPG car -- Reduction of specific energy consumption relative to 2015 LPG vehicle (%)</v>
      </c>
      <c r="V136" s="309" t="s">
        <v>84</v>
      </c>
      <c r="W136" s="309" t="s">
        <v>85</v>
      </c>
    </row>
    <row r="137" spans="2:23">
      <c r="B137" s="300"/>
      <c r="C137" s="300"/>
      <c r="D137" s="300"/>
      <c r="E137" s="300"/>
      <c r="F137" s="300"/>
      <c r="J137" t="str">
        <f t="shared" si="18"/>
        <v>\I:Trd_car_lpg</v>
      </c>
      <c r="K137" t="str">
        <f t="shared" si="19"/>
        <v>\I:</v>
      </c>
      <c r="L137" t="str">
        <f t="shared" si="20"/>
        <v>\I:</v>
      </c>
      <c r="M137" s="306" t="str">
        <f t="shared" si="21"/>
        <v/>
      </c>
      <c r="N137" s="306" t="str">
        <f t="shared" si="22"/>
        <v/>
      </c>
      <c r="O137" s="306" t="str">
        <f t="shared" si="23"/>
        <v/>
      </c>
      <c r="P137" s="306" t="str">
        <f t="shared" si="24"/>
        <v/>
      </c>
      <c r="T137" t="str">
        <f t="shared" si="27"/>
        <v>\I:</v>
      </c>
      <c r="U137" t="str">
        <f ca="1" t="shared" si="28"/>
        <v>ICE medium size LPG car -- 00%</v>
      </c>
      <c r="V137" s="309" t="s">
        <v>84</v>
      </c>
      <c r="W137" s="309" t="s">
        <v>85</v>
      </c>
    </row>
    <row r="138" spans="2:23">
      <c r="B138" s="300"/>
      <c r="C138" s="300"/>
      <c r="D138" s="300"/>
      <c r="E138" s="300"/>
      <c r="F138" s="300"/>
      <c r="J138" t="str">
        <f t="shared" si="18"/>
        <v>\I:Trd_car_lpg</v>
      </c>
      <c r="K138" t="str">
        <f t="shared" si="19"/>
        <v>\I:</v>
      </c>
      <c r="L138" t="str">
        <f t="shared" si="20"/>
        <v>\I:</v>
      </c>
      <c r="M138" s="306" t="str">
        <f t="shared" si="21"/>
        <v/>
      </c>
      <c r="N138" s="306" t="str">
        <f t="shared" si="22"/>
        <v/>
      </c>
      <c r="O138" s="306" t="str">
        <f t="shared" si="23"/>
        <v/>
      </c>
      <c r="P138" s="306" t="str">
        <f t="shared" si="24"/>
        <v/>
      </c>
      <c r="T138" t="str">
        <f t="shared" si="27"/>
        <v>\I:</v>
      </c>
      <c r="U138" t="str">
        <f ca="1" t="shared" si="28"/>
        <v>ICE medium size LPG car -- 00%</v>
      </c>
      <c r="V138" s="309" t="s">
        <v>84</v>
      </c>
      <c r="W138" s="309" t="s">
        <v>85</v>
      </c>
    </row>
    <row r="139" spans="2:23">
      <c r="B139" s="88"/>
      <c r="C139" s="50">
        <v>2020</v>
      </c>
      <c r="D139" s="50">
        <v>2030</v>
      </c>
      <c r="E139" s="50">
        <v>2040</v>
      </c>
      <c r="F139" s="50">
        <v>2050</v>
      </c>
      <c r="J139" t="str">
        <f t="shared" si="18"/>
        <v>\I:Trd_car_lpg</v>
      </c>
      <c r="K139" t="str">
        <f t="shared" si="19"/>
        <v>\I:</v>
      </c>
      <c r="L139" t="str">
        <f t="shared" si="20"/>
        <v>\I:</v>
      </c>
      <c r="M139" s="306" t="str">
        <f t="shared" si="21"/>
        <v/>
      </c>
      <c r="N139" s="306" t="str">
        <f t="shared" si="22"/>
        <v/>
      </c>
      <c r="O139" s="306" t="str">
        <f t="shared" si="23"/>
        <v/>
      </c>
      <c r="P139" s="306" t="str">
        <f t="shared" si="24"/>
        <v/>
      </c>
      <c r="T139" t="str">
        <f t="shared" si="27"/>
        <v>\I:</v>
      </c>
      <c r="U139" t="str">
        <f ca="1" t="shared" si="28"/>
        <v>ICE medium size LPG car -- 00%</v>
      </c>
      <c r="V139" s="309" t="s">
        <v>84</v>
      </c>
      <c r="W139" s="309" t="s">
        <v>85</v>
      </c>
    </row>
    <row r="140" spans="2:23">
      <c r="B140" s="85">
        <v>0.133623958941972</v>
      </c>
      <c r="C140" s="86">
        <v>20891.7784901274</v>
      </c>
      <c r="D140" s="86">
        <v>20698.403131911</v>
      </c>
      <c r="E140" s="86">
        <v>20698.403131911</v>
      </c>
      <c r="F140" s="86">
        <v>20698.403131911</v>
      </c>
      <c r="I140" s="77">
        <f t="shared" ref="I140:I145" si="30">$I$133*(1+B140)/$I$12</f>
        <v>1.15667970016343</v>
      </c>
      <c r="J140" t="str">
        <f t="shared" si="18"/>
        <v>\I:Trd_car_lpg</v>
      </c>
      <c r="K140" t="str">
        <f t="shared" si="19"/>
        <v>\I:Trd_car_lpg_13</v>
      </c>
      <c r="L140" t="str">
        <f t="shared" si="20"/>
        <v>\I:Trd_</v>
      </c>
      <c r="M140" s="306">
        <f t="shared" si="21"/>
        <v>20891.7784901274</v>
      </c>
      <c r="N140" s="306">
        <f t="shared" si="22"/>
        <v>20698.403131911</v>
      </c>
      <c r="O140" s="306">
        <f t="shared" si="23"/>
        <v>20698.403131911</v>
      </c>
      <c r="P140" s="306">
        <f t="shared" si="24"/>
        <v>20698.403131911</v>
      </c>
      <c r="T140" t="str">
        <f t="shared" si="27"/>
        <v>\I:Trd_car_lpg_13</v>
      </c>
      <c r="U140" t="str">
        <f ca="1" t="shared" si="28"/>
        <v>ICE medium size LPG car -- 13%</v>
      </c>
      <c r="V140" s="309" t="s">
        <v>84</v>
      </c>
      <c r="W140" s="309" t="s">
        <v>85</v>
      </c>
    </row>
    <row r="141" spans="2:23">
      <c r="B141" s="85">
        <v>0.233623958941972</v>
      </c>
      <c r="C141" s="86">
        <v>21707.6257225306</v>
      </c>
      <c r="D141" s="86">
        <v>20959.3556345472</v>
      </c>
      <c r="E141" s="86">
        <v>20959.3556345472</v>
      </c>
      <c r="F141" s="86">
        <v>20959.3556345472</v>
      </c>
      <c r="I141" s="77">
        <f t="shared" si="30"/>
        <v>1.2587135087328</v>
      </c>
      <c r="J141" t="str">
        <f t="shared" si="18"/>
        <v>\I:Trd_car_lpg</v>
      </c>
      <c r="K141" t="str">
        <f t="shared" si="19"/>
        <v>\I:Trd_car_lpg_23</v>
      </c>
      <c r="L141" t="str">
        <f t="shared" si="20"/>
        <v>\I:Trd_</v>
      </c>
      <c r="M141" s="306">
        <f t="shared" si="21"/>
        <v>21707.6257225306</v>
      </c>
      <c r="N141" s="306">
        <f t="shared" si="22"/>
        <v>20959.3556345472</v>
      </c>
      <c r="O141" s="306">
        <f t="shared" si="23"/>
        <v>20959.3556345472</v>
      </c>
      <c r="P141" s="306">
        <f t="shared" si="24"/>
        <v>20959.3556345472</v>
      </c>
      <c r="T141" t="str">
        <f t="shared" si="27"/>
        <v>\I:Trd_car_lpg_23</v>
      </c>
      <c r="U141" t="str">
        <f ca="1" t="shared" si="28"/>
        <v>ICE medium size LPG car -- 23%</v>
      </c>
      <c r="V141" s="309" t="s">
        <v>84</v>
      </c>
      <c r="W141" s="309" t="s">
        <v>85</v>
      </c>
    </row>
    <row r="142" spans="2:23">
      <c r="B142" s="85">
        <v>0.333623958941972</v>
      </c>
      <c r="C142" s="86">
        <v>23470.7732536115</v>
      </c>
      <c r="D142" s="86">
        <v>21590.65484873</v>
      </c>
      <c r="E142" s="86">
        <v>21590.65484873</v>
      </c>
      <c r="F142" s="86">
        <v>21590.65484873</v>
      </c>
      <c r="I142" s="77">
        <f t="shared" si="30"/>
        <v>1.36074731730218</v>
      </c>
      <c r="J142" t="str">
        <f t="shared" si="18"/>
        <v>\I:Trd_car_lpg</v>
      </c>
      <c r="K142" t="str">
        <f t="shared" si="19"/>
        <v>\I:Trd_car_lpg_33</v>
      </c>
      <c r="L142" t="str">
        <f t="shared" si="20"/>
        <v>\I:Trd_</v>
      </c>
      <c r="M142" s="306">
        <f t="shared" si="21"/>
        <v>23470.7732536115</v>
      </c>
      <c r="N142" s="306">
        <f t="shared" si="22"/>
        <v>21590.65484873</v>
      </c>
      <c r="O142" s="306">
        <f t="shared" si="23"/>
        <v>21590.65484873</v>
      </c>
      <c r="P142" s="306">
        <f t="shared" si="24"/>
        <v>21590.65484873</v>
      </c>
      <c r="T142" t="str">
        <f t="shared" si="27"/>
        <v>\I:Trd_car_lpg_33</v>
      </c>
      <c r="U142" t="str">
        <f ca="1" t="shared" si="28"/>
        <v>ICE medium size LPG car -- 33%</v>
      </c>
      <c r="V142" s="309" t="s">
        <v>84</v>
      </c>
      <c r="W142" s="309" t="s">
        <v>85</v>
      </c>
    </row>
    <row r="143" spans="2:23">
      <c r="B143" s="85">
        <v>0.383623958941972</v>
      </c>
      <c r="C143" s="86">
        <v>25984.0978852451</v>
      </c>
      <c r="D143" s="86">
        <v>22323.7965623741</v>
      </c>
      <c r="E143" s="86">
        <v>22323.7965623741</v>
      </c>
      <c r="F143" s="86">
        <v>22323.7965623741</v>
      </c>
      <c r="I143" s="77">
        <f t="shared" si="30"/>
        <v>1.41176422158687</v>
      </c>
      <c r="J143" t="str">
        <f t="shared" si="18"/>
        <v>\I:Trd_car_lpg</v>
      </c>
      <c r="K143" t="str">
        <f t="shared" si="19"/>
        <v>\I:Trd_car_lpg_38</v>
      </c>
      <c r="L143" t="str">
        <f t="shared" si="20"/>
        <v>\I:Trd_</v>
      </c>
      <c r="M143" s="306">
        <f t="shared" si="21"/>
        <v>25984.0978852451</v>
      </c>
      <c r="N143" s="306">
        <f t="shared" si="22"/>
        <v>22323.7965623741</v>
      </c>
      <c r="O143" s="306">
        <f t="shared" si="23"/>
        <v>22323.7965623741</v>
      </c>
      <c r="P143" s="306">
        <f t="shared" si="24"/>
        <v>22323.7965623741</v>
      </c>
      <c r="T143" t="str">
        <f t="shared" si="27"/>
        <v>\I:Trd_car_lpg_38</v>
      </c>
      <c r="U143" t="str">
        <f ca="1" t="shared" si="28"/>
        <v>ICE medium size LPG car -- 38%</v>
      </c>
      <c r="V143" s="309" t="s">
        <v>84</v>
      </c>
      <c r="W143" s="309" t="s">
        <v>85</v>
      </c>
    </row>
    <row r="144" spans="2:23">
      <c r="B144" s="85">
        <v>0.433623958941972</v>
      </c>
      <c r="C144" s="86">
        <v>55253.2530564757</v>
      </c>
      <c r="D144" s="86">
        <v>24136.7106961166</v>
      </c>
      <c r="E144" s="86">
        <v>24136.7106961166</v>
      </c>
      <c r="F144" s="86">
        <v>24136.7106961166</v>
      </c>
      <c r="I144" s="77">
        <f t="shared" si="30"/>
        <v>1.46278112587155</v>
      </c>
      <c r="J144" t="str">
        <f t="shared" si="18"/>
        <v>\I:Trd_car_lpg</v>
      </c>
      <c r="K144" t="str">
        <f t="shared" si="19"/>
        <v>\I:Trd_car_lpg_43</v>
      </c>
      <c r="L144" t="str">
        <f t="shared" si="20"/>
        <v>\I:Trd_</v>
      </c>
      <c r="M144" s="306">
        <f t="shared" si="21"/>
        <v>55253.2530564757</v>
      </c>
      <c r="N144" s="306">
        <f t="shared" si="22"/>
        <v>24136.7106961166</v>
      </c>
      <c r="O144" s="306">
        <f t="shared" si="23"/>
        <v>24136.7106961166</v>
      </c>
      <c r="P144" s="306">
        <f t="shared" si="24"/>
        <v>24136.7106961166</v>
      </c>
      <c r="T144" t="str">
        <f t="shared" si="27"/>
        <v>\I:Trd_car_lpg_43</v>
      </c>
      <c r="U144" t="str">
        <f ca="1" t="shared" si="28"/>
        <v>ICE medium size LPG car -- 43%</v>
      </c>
      <c r="V144" s="309" t="s">
        <v>84</v>
      </c>
      <c r="W144" s="309" t="s">
        <v>85</v>
      </c>
    </row>
    <row r="145" spans="2:23">
      <c r="B145" s="85">
        <v>0.483623958941972</v>
      </c>
      <c r="C145" s="86">
        <v>120431.5696</v>
      </c>
      <c r="D145" s="86">
        <v>42610.7550936037</v>
      </c>
      <c r="E145" s="86">
        <v>42610.7550936037</v>
      </c>
      <c r="F145" s="86">
        <v>42610.7550936037</v>
      </c>
      <c r="I145" s="77">
        <f t="shared" si="30"/>
        <v>1.51379803015624</v>
      </c>
      <c r="J145" t="str">
        <f t="shared" si="18"/>
        <v>\I:Trd_car_lpg</v>
      </c>
      <c r="K145" t="str">
        <f t="shared" si="19"/>
        <v>\I:Trd_car_lpg_48</v>
      </c>
      <c r="L145" t="str">
        <f t="shared" si="20"/>
        <v>\I:Trd_</v>
      </c>
      <c r="M145" s="306">
        <f t="shared" si="21"/>
        <v>120431.5696</v>
      </c>
      <c r="N145" s="306">
        <f t="shared" si="22"/>
        <v>42610.7550936037</v>
      </c>
      <c r="O145" s="306">
        <f t="shared" si="23"/>
        <v>42610.7550936037</v>
      </c>
      <c r="P145" s="306">
        <f t="shared" si="24"/>
        <v>42610.7550936037</v>
      </c>
      <c r="T145" t="str">
        <f t="shared" ref="T145:T176" si="31">K145</f>
        <v>\I:Trd_car_lpg_48</v>
      </c>
      <c r="U145" t="str">
        <f ca="1" t="shared" ref="U145:U176" si="32">OFFSET($S$1,MATCH(J145,$S$1:$S$11,0)-1,-1)&amp;" -- "&amp;TEXT(B145,"00%")</f>
        <v>ICE medium size LPG car -- 48%</v>
      </c>
      <c r="V145" s="309" t="s">
        <v>84</v>
      </c>
      <c r="W145" s="309" t="s">
        <v>85</v>
      </c>
    </row>
    <row r="146" spans="3:23">
      <c r="C146" s="97"/>
      <c r="D146" s="97"/>
      <c r="E146" s="97"/>
      <c r="F146" s="97"/>
      <c r="J146" t="str">
        <f t="shared" ref="J146:J199" si="33">IFERROR(VLOOKUP(C146,$R$1:$S$11,2,FALSE),J145)</f>
        <v>\I:Trd_car_lpg</v>
      </c>
      <c r="K146" t="str">
        <f t="shared" ref="K146:K199" si="34">IFERROR(IF(VALUE(C146)&gt;2020,J146&amp;"_"&amp;TEXT(B146*100,"00"),"\I:"),"\I:")</f>
        <v>\I:</v>
      </c>
      <c r="L146" t="str">
        <f t="shared" ref="L146:L199" si="35">LEFT(K146,7)</f>
        <v>\I:</v>
      </c>
      <c r="M146" s="306" t="str">
        <f t="shared" ref="M146:M199" si="36">IF($K146="\I:","",C146)</f>
        <v/>
      </c>
      <c r="N146" s="306" t="str">
        <f t="shared" ref="N146:N199" si="37">IF($K146="\I:","",D146)</f>
        <v/>
      </c>
      <c r="O146" s="306" t="str">
        <f t="shared" ref="O146:O199" si="38">IF($K146="\I:","",E146)</f>
        <v/>
      </c>
      <c r="P146" s="306" t="str">
        <f t="shared" ref="P146:P199" si="39">IF($K146="\I:","",F146)</f>
        <v/>
      </c>
      <c r="T146" t="str">
        <f t="shared" si="31"/>
        <v>\I:</v>
      </c>
      <c r="U146" t="str">
        <f ca="1" t="shared" si="32"/>
        <v>ICE medium size LPG car -- 00%</v>
      </c>
      <c r="V146" s="309" t="s">
        <v>84</v>
      </c>
      <c r="W146" s="309" t="s">
        <v>85</v>
      </c>
    </row>
    <row r="147" spans="10:23">
      <c r="J147" t="str">
        <f t="shared" si="33"/>
        <v>\I:Trd_car_lpg</v>
      </c>
      <c r="K147" t="str">
        <f t="shared" si="34"/>
        <v>\I:</v>
      </c>
      <c r="L147" t="str">
        <f t="shared" si="35"/>
        <v>\I:</v>
      </c>
      <c r="M147" s="306" t="str">
        <f t="shared" si="36"/>
        <v/>
      </c>
      <c r="N147" s="306" t="str">
        <f t="shared" si="37"/>
        <v/>
      </c>
      <c r="O147" s="306" t="str">
        <f t="shared" si="38"/>
        <v/>
      </c>
      <c r="P147" s="306" t="str">
        <f t="shared" si="39"/>
        <v/>
      </c>
      <c r="T147" t="str">
        <f t="shared" si="31"/>
        <v>\I:</v>
      </c>
      <c r="U147" t="str">
        <f ca="1" t="shared" si="32"/>
        <v>ICE medium size LPG car -- 00%</v>
      </c>
      <c r="V147" s="309" t="s">
        <v>84</v>
      </c>
      <c r="W147" s="309" t="s">
        <v>85</v>
      </c>
    </row>
    <row r="148" spans="10:23">
      <c r="J148" t="str">
        <f t="shared" si="33"/>
        <v>\I:Trd_car_lpg</v>
      </c>
      <c r="K148" t="str">
        <f t="shared" si="34"/>
        <v>\I:</v>
      </c>
      <c r="L148" t="str">
        <f t="shared" si="35"/>
        <v>\I:</v>
      </c>
      <c r="M148" s="306" t="str">
        <f t="shared" si="36"/>
        <v/>
      </c>
      <c r="N148" s="306" t="str">
        <f t="shared" si="37"/>
        <v/>
      </c>
      <c r="O148" s="306" t="str">
        <f t="shared" si="38"/>
        <v/>
      </c>
      <c r="P148" s="306" t="str">
        <f t="shared" si="39"/>
        <v/>
      </c>
      <c r="T148" t="str">
        <f t="shared" si="31"/>
        <v>\I:</v>
      </c>
      <c r="U148" t="str">
        <f ca="1" t="shared" si="32"/>
        <v>ICE medium size LPG car -- 00%</v>
      </c>
      <c r="V148" s="309" t="s">
        <v>84</v>
      </c>
      <c r="W148" s="309" t="s">
        <v>85</v>
      </c>
    </row>
    <row r="149" spans="10:23">
      <c r="J149" t="str">
        <f t="shared" si="33"/>
        <v>\I:Trd_car_lpg</v>
      </c>
      <c r="K149" t="str">
        <f t="shared" si="34"/>
        <v>\I:</v>
      </c>
      <c r="L149" t="str">
        <f t="shared" si="35"/>
        <v>\I:</v>
      </c>
      <c r="M149" s="306" t="str">
        <f t="shared" si="36"/>
        <v/>
      </c>
      <c r="N149" s="306" t="str">
        <f t="shared" si="37"/>
        <v/>
      </c>
      <c r="O149" s="306" t="str">
        <f t="shared" si="38"/>
        <v/>
      </c>
      <c r="P149" s="306" t="str">
        <f t="shared" si="39"/>
        <v/>
      </c>
      <c r="T149" t="str">
        <f t="shared" si="31"/>
        <v>\I:</v>
      </c>
      <c r="U149" t="str">
        <f ca="1" t="shared" si="32"/>
        <v>ICE medium size LPG car -- 00%</v>
      </c>
      <c r="V149" s="309" t="s">
        <v>84</v>
      </c>
      <c r="W149" s="309" t="s">
        <v>85</v>
      </c>
    </row>
    <row r="150" spans="10:23">
      <c r="J150" t="str">
        <f t="shared" si="33"/>
        <v>\I:Trd_car_lpg</v>
      </c>
      <c r="K150" t="str">
        <f t="shared" si="34"/>
        <v>\I:</v>
      </c>
      <c r="L150" t="str">
        <f t="shared" si="35"/>
        <v>\I:</v>
      </c>
      <c r="M150" s="306" t="str">
        <f t="shared" si="36"/>
        <v/>
      </c>
      <c r="N150" s="306" t="str">
        <f t="shared" si="37"/>
        <v/>
      </c>
      <c r="O150" s="306" t="str">
        <f t="shared" si="38"/>
        <v/>
      </c>
      <c r="P150" s="306" t="str">
        <f t="shared" si="39"/>
        <v/>
      </c>
      <c r="T150" t="str">
        <f t="shared" si="31"/>
        <v>\I:</v>
      </c>
      <c r="U150" t="str">
        <f ca="1" t="shared" si="32"/>
        <v>ICE medium size LPG car -- 00%</v>
      </c>
      <c r="V150" s="309" t="s">
        <v>84</v>
      </c>
      <c r="W150" s="309" t="s">
        <v>85</v>
      </c>
    </row>
    <row r="151" spans="2:23">
      <c r="B151" s="43" t="s">
        <v>92</v>
      </c>
      <c r="J151" t="str">
        <f t="shared" si="33"/>
        <v>\I:Trd_car_lpg</v>
      </c>
      <c r="K151" t="str">
        <f t="shared" si="34"/>
        <v>\I:</v>
      </c>
      <c r="L151" t="str">
        <f t="shared" si="35"/>
        <v>\I:</v>
      </c>
      <c r="M151" s="306" t="str">
        <f t="shared" si="36"/>
        <v/>
      </c>
      <c r="N151" s="306" t="str">
        <f t="shared" si="37"/>
        <v/>
      </c>
      <c r="O151" s="306" t="str">
        <f t="shared" si="38"/>
        <v/>
      </c>
      <c r="P151" s="306" t="str">
        <f t="shared" si="39"/>
        <v/>
      </c>
      <c r="T151" t="str">
        <f t="shared" si="31"/>
        <v>\I:</v>
      </c>
      <c r="U151" t="str">
        <f ca="1" t="shared" si="32"/>
        <v>ICE medium size LPG car -- Reference values for medium size E85 flex fuel</v>
      </c>
      <c r="V151" s="309" t="s">
        <v>84</v>
      </c>
      <c r="W151" s="309" t="s">
        <v>85</v>
      </c>
    </row>
    <row r="152" spans="2:23">
      <c r="B152" s="298">
        <v>2015</v>
      </c>
      <c r="C152" s="298"/>
      <c r="D152" s="298"/>
      <c r="J152" t="str">
        <f t="shared" si="33"/>
        <v>\I:Trd_car_lpg</v>
      </c>
      <c r="K152" t="str">
        <f t="shared" si="34"/>
        <v>\I:</v>
      </c>
      <c r="L152" t="str">
        <f t="shared" si="35"/>
        <v>\I:</v>
      </c>
      <c r="M152" s="306" t="str">
        <f t="shared" si="36"/>
        <v/>
      </c>
      <c r="N152" s="306" t="str">
        <f t="shared" si="37"/>
        <v/>
      </c>
      <c r="O152" s="306" t="str">
        <f t="shared" si="38"/>
        <v/>
      </c>
      <c r="P152" s="306" t="str">
        <f t="shared" si="39"/>
        <v/>
      </c>
      <c r="T152" t="str">
        <f t="shared" si="31"/>
        <v>\I:</v>
      </c>
      <c r="U152" t="str">
        <f ca="1" t="shared" si="32"/>
        <v>ICE medium size LPG car -- 201500%</v>
      </c>
      <c r="V152" s="309" t="s">
        <v>84</v>
      </c>
      <c r="W152" s="309" t="s">
        <v>85</v>
      </c>
    </row>
    <row r="153" spans="2:23">
      <c r="B153" s="45" t="s">
        <v>12</v>
      </c>
      <c r="C153" s="46" t="s">
        <v>13</v>
      </c>
      <c r="D153" s="47">
        <v>9.2</v>
      </c>
      <c r="J153" t="str">
        <f t="shared" si="33"/>
        <v>\I:Trd_car_lpg</v>
      </c>
      <c r="K153" t="str">
        <f t="shared" si="34"/>
        <v>\I:</v>
      </c>
      <c r="L153" t="str">
        <f t="shared" si="35"/>
        <v>\I:</v>
      </c>
      <c r="M153" s="306" t="str">
        <f t="shared" si="36"/>
        <v/>
      </c>
      <c r="N153" s="306" t="str">
        <f t="shared" si="37"/>
        <v/>
      </c>
      <c r="O153" s="306" t="str">
        <f t="shared" si="38"/>
        <v/>
      </c>
      <c r="P153" s="306" t="str">
        <f t="shared" si="39"/>
        <v/>
      </c>
      <c r="T153" t="str">
        <f t="shared" si="31"/>
        <v>\I:</v>
      </c>
      <c r="U153" t="str">
        <f ca="1" t="shared" si="32"/>
        <v>ICE medium size LPG car -- Energy consumption</v>
      </c>
      <c r="V153" s="309" t="s">
        <v>84</v>
      </c>
      <c r="W153" s="309" t="s">
        <v>85</v>
      </c>
    </row>
    <row r="154" spans="2:23">
      <c r="B154" s="45" t="s">
        <v>14</v>
      </c>
      <c r="C154" s="46" t="s">
        <v>15</v>
      </c>
      <c r="D154" s="68">
        <v>19587.048</v>
      </c>
      <c r="J154" t="str">
        <f t="shared" si="33"/>
        <v>\I:Trd_car_lpg</v>
      </c>
      <c r="K154" t="str">
        <f t="shared" si="34"/>
        <v>\I:</v>
      </c>
      <c r="L154" t="str">
        <f t="shared" si="35"/>
        <v>\I:</v>
      </c>
      <c r="M154" s="306" t="str">
        <f t="shared" si="36"/>
        <v/>
      </c>
      <c r="N154" s="306" t="str">
        <f t="shared" si="37"/>
        <v/>
      </c>
      <c r="O154" s="306" t="str">
        <f t="shared" si="38"/>
        <v/>
      </c>
      <c r="P154" s="306" t="str">
        <f t="shared" si="39"/>
        <v/>
      </c>
      <c r="T154" t="str">
        <f t="shared" si="31"/>
        <v>\I:</v>
      </c>
      <c r="U154" t="str">
        <f ca="1" t="shared" si="32"/>
        <v>ICE medium size LPG car -- Capital cost</v>
      </c>
      <c r="V154" s="309" t="s">
        <v>84</v>
      </c>
      <c r="W154" s="309" t="s">
        <v>85</v>
      </c>
    </row>
    <row r="155" spans="10:23">
      <c r="J155" t="str">
        <f t="shared" si="33"/>
        <v>\I:Trd_car_lpg</v>
      </c>
      <c r="K155" t="str">
        <f t="shared" si="34"/>
        <v>\I:</v>
      </c>
      <c r="L155" t="str">
        <f t="shared" si="35"/>
        <v>\I:</v>
      </c>
      <c r="M155" s="306" t="str">
        <f t="shared" si="36"/>
        <v/>
      </c>
      <c r="N155" s="306" t="str">
        <f t="shared" si="37"/>
        <v/>
      </c>
      <c r="O155" s="306" t="str">
        <f t="shared" si="38"/>
        <v/>
      </c>
      <c r="P155" s="306" t="str">
        <f t="shared" si="39"/>
        <v/>
      </c>
      <c r="T155" t="str">
        <f t="shared" si="31"/>
        <v>\I:</v>
      </c>
      <c r="U155" t="str">
        <f ca="1" t="shared" si="32"/>
        <v>ICE medium size LPG car -- 00%</v>
      </c>
      <c r="V155" s="309" t="s">
        <v>84</v>
      </c>
      <c r="W155" s="309" t="s">
        <v>85</v>
      </c>
    </row>
    <row r="156" ht="15" customHeight="1" spans="2:23">
      <c r="B156" s="300" t="s">
        <v>93</v>
      </c>
      <c r="C156" s="300" t="s">
        <v>64</v>
      </c>
      <c r="D156" s="300"/>
      <c r="E156" s="300"/>
      <c r="F156" s="300"/>
      <c r="J156" t="str">
        <f t="shared" si="33"/>
        <v>\I:Trd_car_E85</v>
      </c>
      <c r="K156" t="str">
        <f t="shared" si="34"/>
        <v>\I:</v>
      </c>
      <c r="L156" t="str">
        <f t="shared" si="35"/>
        <v>\I:</v>
      </c>
      <c r="M156" s="306" t="str">
        <f t="shared" si="36"/>
        <v/>
      </c>
      <c r="N156" s="306" t="str">
        <f t="shared" si="37"/>
        <v/>
      </c>
      <c r="O156" s="306" t="str">
        <f t="shared" si="38"/>
        <v/>
      </c>
      <c r="P156" s="306" t="str">
        <f t="shared" si="39"/>
        <v/>
      </c>
      <c r="T156" t="str">
        <f t="shared" si="31"/>
        <v>\I:</v>
      </c>
      <c r="U156" t="str">
        <f ca="1" t="shared" si="32"/>
        <v>ICE medium size E85 flex-fuel car -- Reduction of specific energy consumption relative to 2015 E85 vehicle (%)</v>
      </c>
      <c r="V156" s="309" t="s">
        <v>84</v>
      </c>
      <c r="W156" s="309" t="s">
        <v>85</v>
      </c>
    </row>
    <row r="157" spans="2:23">
      <c r="B157" s="300"/>
      <c r="C157" s="300"/>
      <c r="D157" s="300"/>
      <c r="E157" s="300"/>
      <c r="F157" s="300"/>
      <c r="J157" t="str">
        <f t="shared" si="33"/>
        <v>\I:Trd_car_E85</v>
      </c>
      <c r="K157" t="str">
        <f t="shared" si="34"/>
        <v>\I:</v>
      </c>
      <c r="L157" t="str">
        <f t="shared" si="35"/>
        <v>\I:</v>
      </c>
      <c r="M157" s="306" t="str">
        <f t="shared" si="36"/>
        <v/>
      </c>
      <c r="N157" s="306" t="str">
        <f t="shared" si="37"/>
        <v/>
      </c>
      <c r="O157" s="306" t="str">
        <f t="shared" si="38"/>
        <v/>
      </c>
      <c r="P157" s="306" t="str">
        <f t="shared" si="39"/>
        <v/>
      </c>
      <c r="T157" t="str">
        <f t="shared" si="31"/>
        <v>\I:</v>
      </c>
      <c r="U157" t="str">
        <f ca="1" t="shared" si="32"/>
        <v>ICE medium size E85 flex-fuel car -- 00%</v>
      </c>
      <c r="V157" s="309" t="s">
        <v>84</v>
      </c>
      <c r="W157" s="309" t="s">
        <v>85</v>
      </c>
    </row>
    <row r="158" spans="2:23">
      <c r="B158" s="300"/>
      <c r="C158" s="300"/>
      <c r="D158" s="300"/>
      <c r="E158" s="300"/>
      <c r="F158" s="300"/>
      <c r="J158" t="str">
        <f t="shared" si="33"/>
        <v>\I:Trd_car_E85</v>
      </c>
      <c r="K158" t="str">
        <f t="shared" si="34"/>
        <v>\I:</v>
      </c>
      <c r="L158" t="str">
        <f t="shared" si="35"/>
        <v>\I:</v>
      </c>
      <c r="M158" s="306" t="str">
        <f t="shared" si="36"/>
        <v/>
      </c>
      <c r="N158" s="306" t="str">
        <f t="shared" si="37"/>
        <v/>
      </c>
      <c r="O158" s="306" t="str">
        <f t="shared" si="38"/>
        <v/>
      </c>
      <c r="P158" s="306" t="str">
        <f t="shared" si="39"/>
        <v/>
      </c>
      <c r="T158" t="str">
        <f t="shared" si="31"/>
        <v>\I:</v>
      </c>
      <c r="U158" t="str">
        <f ca="1" t="shared" si="32"/>
        <v>ICE medium size E85 flex-fuel car -- 00%</v>
      </c>
      <c r="V158" s="309" t="s">
        <v>84</v>
      </c>
      <c r="W158" s="309" t="s">
        <v>85</v>
      </c>
    </row>
    <row r="159" spans="2:23">
      <c r="B159" s="88"/>
      <c r="C159" s="50">
        <v>2020</v>
      </c>
      <c r="D159" s="50">
        <v>2030</v>
      </c>
      <c r="E159" s="50">
        <v>2040</v>
      </c>
      <c r="F159" s="50">
        <v>2050</v>
      </c>
      <c r="J159" t="str">
        <f t="shared" si="33"/>
        <v>\I:Trd_car_E85</v>
      </c>
      <c r="K159" t="str">
        <f t="shared" si="34"/>
        <v>\I:</v>
      </c>
      <c r="L159" t="str">
        <f t="shared" si="35"/>
        <v>\I:</v>
      </c>
      <c r="M159" s="306" t="str">
        <f t="shared" si="36"/>
        <v/>
      </c>
      <c r="N159" s="306" t="str">
        <f t="shared" si="37"/>
        <v/>
      </c>
      <c r="O159" s="306" t="str">
        <f t="shared" si="38"/>
        <v/>
      </c>
      <c r="P159" s="306" t="str">
        <f t="shared" si="39"/>
        <v/>
      </c>
      <c r="T159" t="str">
        <f t="shared" si="31"/>
        <v>\I:</v>
      </c>
      <c r="U159" t="str">
        <f ca="1" t="shared" si="32"/>
        <v>ICE medium size E85 flex-fuel car -- 00%</v>
      </c>
      <c r="V159" s="309" t="s">
        <v>84</v>
      </c>
      <c r="W159" s="309" t="s">
        <v>85</v>
      </c>
    </row>
    <row r="160" spans="2:23">
      <c r="B160" s="85">
        <v>0.133623958941972</v>
      </c>
      <c r="C160" s="86">
        <v>19851.2688184151</v>
      </c>
      <c r="D160" s="86">
        <v>19657.8934601988</v>
      </c>
      <c r="E160" s="86">
        <v>19657.8934601988</v>
      </c>
      <c r="F160" s="86">
        <v>19657.8934601988</v>
      </c>
      <c r="I160" s="77"/>
      <c r="J160" t="str">
        <f t="shared" si="33"/>
        <v>\I:Trd_car_E85</v>
      </c>
      <c r="K160" t="str">
        <f t="shared" si="34"/>
        <v>\I:Trd_car_E85_13</v>
      </c>
      <c r="L160" t="str">
        <f t="shared" si="35"/>
        <v>\I:Trd_</v>
      </c>
      <c r="M160" s="306">
        <f t="shared" si="36"/>
        <v>19851.2688184151</v>
      </c>
      <c r="N160" s="306">
        <f t="shared" si="37"/>
        <v>19657.8934601988</v>
      </c>
      <c r="O160" s="306">
        <f t="shared" si="38"/>
        <v>19657.8934601988</v>
      </c>
      <c r="P160" s="306">
        <f t="shared" si="39"/>
        <v>19657.8934601988</v>
      </c>
      <c r="T160" t="str">
        <f t="shared" si="31"/>
        <v>\I:Trd_car_E85_13</v>
      </c>
      <c r="U160" t="str">
        <f ca="1" t="shared" si="32"/>
        <v>ICE medium size E85 flex-fuel car -- 13%</v>
      </c>
      <c r="V160" s="309" t="s">
        <v>84</v>
      </c>
      <c r="W160" s="309" t="s">
        <v>85</v>
      </c>
    </row>
    <row r="161" spans="2:23">
      <c r="B161" s="85">
        <v>0.233623958941972</v>
      </c>
      <c r="C161" s="86">
        <v>20667.1160508183</v>
      </c>
      <c r="D161" s="86">
        <v>19918.845962835</v>
      </c>
      <c r="E161" s="86">
        <v>19918.845962835</v>
      </c>
      <c r="F161" s="86">
        <v>19918.845962835</v>
      </c>
      <c r="I161" s="77"/>
      <c r="J161" t="str">
        <f t="shared" si="33"/>
        <v>\I:Trd_car_E85</v>
      </c>
      <c r="K161" t="str">
        <f t="shared" si="34"/>
        <v>\I:Trd_car_E85_23</v>
      </c>
      <c r="L161" t="str">
        <f t="shared" si="35"/>
        <v>\I:Trd_</v>
      </c>
      <c r="M161" s="306">
        <f t="shared" si="36"/>
        <v>20667.1160508183</v>
      </c>
      <c r="N161" s="306">
        <f t="shared" si="37"/>
        <v>19918.845962835</v>
      </c>
      <c r="O161" s="306">
        <f t="shared" si="38"/>
        <v>19918.845962835</v>
      </c>
      <c r="P161" s="306">
        <f t="shared" si="39"/>
        <v>19918.845962835</v>
      </c>
      <c r="T161" t="str">
        <f t="shared" si="31"/>
        <v>\I:Trd_car_E85_23</v>
      </c>
      <c r="U161" t="str">
        <f ca="1" t="shared" si="32"/>
        <v>ICE medium size E85 flex-fuel car -- 23%</v>
      </c>
      <c r="V161" s="309" t="s">
        <v>84</v>
      </c>
      <c r="W161" s="309" t="s">
        <v>85</v>
      </c>
    </row>
    <row r="162" spans="2:23">
      <c r="B162" s="85">
        <v>0.333623958941972</v>
      </c>
      <c r="C162" s="86">
        <v>22430.2635818993</v>
      </c>
      <c r="D162" s="86">
        <v>20550.1451770178</v>
      </c>
      <c r="E162" s="86">
        <v>20550.1451770178</v>
      </c>
      <c r="F162" s="86">
        <v>20550.1451770178</v>
      </c>
      <c r="I162" s="77"/>
      <c r="J162" t="str">
        <f t="shared" si="33"/>
        <v>\I:Trd_car_E85</v>
      </c>
      <c r="K162" t="str">
        <f t="shared" si="34"/>
        <v>\I:Trd_car_E85_33</v>
      </c>
      <c r="L162" t="str">
        <f t="shared" si="35"/>
        <v>\I:Trd_</v>
      </c>
      <c r="M162" s="306">
        <f t="shared" si="36"/>
        <v>22430.2635818993</v>
      </c>
      <c r="N162" s="306">
        <f t="shared" si="37"/>
        <v>20550.1451770178</v>
      </c>
      <c r="O162" s="306">
        <f t="shared" si="38"/>
        <v>20550.1451770178</v>
      </c>
      <c r="P162" s="306">
        <f t="shared" si="39"/>
        <v>20550.1451770178</v>
      </c>
      <c r="T162" t="str">
        <f t="shared" si="31"/>
        <v>\I:Trd_car_E85_33</v>
      </c>
      <c r="U162" t="str">
        <f ca="1" t="shared" si="32"/>
        <v>ICE medium size E85 flex-fuel car -- 33%</v>
      </c>
      <c r="V162" s="309" t="s">
        <v>84</v>
      </c>
      <c r="W162" s="309" t="s">
        <v>85</v>
      </c>
    </row>
    <row r="163" spans="2:23">
      <c r="B163" s="85">
        <v>0.383623958941972</v>
      </c>
      <c r="C163" s="86">
        <v>24943.5882135329</v>
      </c>
      <c r="D163" s="86">
        <v>21283.2868906618</v>
      </c>
      <c r="E163" s="86">
        <v>21283.2868906618</v>
      </c>
      <c r="F163" s="86">
        <v>21283.2868906618</v>
      </c>
      <c r="I163" s="77"/>
      <c r="J163" t="str">
        <f t="shared" si="33"/>
        <v>\I:Trd_car_E85</v>
      </c>
      <c r="K163" t="str">
        <f t="shared" si="34"/>
        <v>\I:Trd_car_E85_38</v>
      </c>
      <c r="L163" t="str">
        <f t="shared" si="35"/>
        <v>\I:Trd_</v>
      </c>
      <c r="M163" s="306">
        <f t="shared" si="36"/>
        <v>24943.5882135329</v>
      </c>
      <c r="N163" s="306">
        <f t="shared" si="37"/>
        <v>21283.2868906618</v>
      </c>
      <c r="O163" s="306">
        <f t="shared" si="38"/>
        <v>21283.2868906618</v>
      </c>
      <c r="P163" s="306">
        <f t="shared" si="39"/>
        <v>21283.2868906618</v>
      </c>
      <c r="T163" t="str">
        <f t="shared" si="31"/>
        <v>\I:Trd_car_E85_38</v>
      </c>
      <c r="U163" t="str">
        <f ca="1" t="shared" si="32"/>
        <v>ICE medium size E85 flex-fuel car -- 38%</v>
      </c>
      <c r="V163" s="309" t="s">
        <v>84</v>
      </c>
      <c r="W163" s="309" t="s">
        <v>85</v>
      </c>
    </row>
    <row r="164" ht="15" customHeight="1" spans="2:23">
      <c r="B164" s="85">
        <v>0.433623958941972</v>
      </c>
      <c r="C164" s="86">
        <v>54212.7433847634</v>
      </c>
      <c r="D164" s="86">
        <v>23096.2010244043</v>
      </c>
      <c r="E164" s="86">
        <v>23096.2010244043</v>
      </c>
      <c r="F164" s="86">
        <v>23096.2010244043</v>
      </c>
      <c r="I164" s="77"/>
      <c r="J164" t="str">
        <f t="shared" si="33"/>
        <v>\I:Trd_car_E85</v>
      </c>
      <c r="K164" t="str">
        <f t="shared" si="34"/>
        <v>\I:Trd_car_E85_43</v>
      </c>
      <c r="L164" t="str">
        <f t="shared" si="35"/>
        <v>\I:Trd_</v>
      </c>
      <c r="M164" s="306">
        <f t="shared" si="36"/>
        <v>54212.7433847634</v>
      </c>
      <c r="N164" s="306">
        <f t="shared" si="37"/>
        <v>23096.2010244043</v>
      </c>
      <c r="O164" s="306">
        <f t="shared" si="38"/>
        <v>23096.2010244043</v>
      </c>
      <c r="P164" s="306">
        <f t="shared" si="39"/>
        <v>23096.2010244043</v>
      </c>
      <c r="T164" t="str">
        <f t="shared" si="31"/>
        <v>\I:Trd_car_E85_43</v>
      </c>
      <c r="U164" t="str">
        <f ca="1" t="shared" si="32"/>
        <v>ICE medium size E85 flex-fuel car -- 43%</v>
      </c>
      <c r="V164" s="309" t="s">
        <v>84</v>
      </c>
      <c r="W164" s="309" t="s">
        <v>85</v>
      </c>
    </row>
    <row r="165" spans="2:23">
      <c r="B165" s="85">
        <v>0.483623958941972</v>
      </c>
      <c r="C165" s="86">
        <v>119391.059928288</v>
      </c>
      <c r="D165" s="86">
        <v>41570.2454218915</v>
      </c>
      <c r="E165" s="86">
        <v>41570.2454218915</v>
      </c>
      <c r="F165" s="86">
        <v>41570.2454218915</v>
      </c>
      <c r="I165" s="77"/>
      <c r="J165" t="str">
        <f t="shared" si="33"/>
        <v>\I:Trd_car_E85</v>
      </c>
      <c r="K165" t="str">
        <f t="shared" si="34"/>
        <v>\I:Trd_car_E85_48</v>
      </c>
      <c r="L165" t="str">
        <f t="shared" si="35"/>
        <v>\I:Trd_</v>
      </c>
      <c r="M165" s="306">
        <f t="shared" si="36"/>
        <v>119391.059928288</v>
      </c>
      <c r="N165" s="306">
        <f t="shared" si="37"/>
        <v>41570.2454218915</v>
      </c>
      <c r="O165" s="306">
        <f t="shared" si="38"/>
        <v>41570.2454218915</v>
      </c>
      <c r="P165" s="306">
        <f t="shared" si="39"/>
        <v>41570.2454218915</v>
      </c>
      <c r="T165" t="str">
        <f t="shared" si="31"/>
        <v>\I:Trd_car_E85_48</v>
      </c>
      <c r="U165" t="str">
        <f ca="1" t="shared" si="32"/>
        <v>ICE medium size E85 flex-fuel car -- 48%</v>
      </c>
      <c r="V165" s="309" t="s">
        <v>84</v>
      </c>
      <c r="W165" s="309" t="s">
        <v>85</v>
      </c>
    </row>
    <row r="166" spans="3:23">
      <c r="C166" s="97"/>
      <c r="D166" s="97"/>
      <c r="E166" s="97"/>
      <c r="F166" s="97"/>
      <c r="J166" t="str">
        <f t="shared" si="33"/>
        <v>\I:Trd_car_E85</v>
      </c>
      <c r="K166" t="str">
        <f t="shared" si="34"/>
        <v>\I:</v>
      </c>
      <c r="L166" t="str">
        <f t="shared" si="35"/>
        <v>\I:</v>
      </c>
      <c r="M166" s="306" t="str">
        <f t="shared" si="36"/>
        <v/>
      </c>
      <c r="N166" s="306" t="str">
        <f t="shared" si="37"/>
        <v/>
      </c>
      <c r="O166" s="306" t="str">
        <f t="shared" si="38"/>
        <v/>
      </c>
      <c r="P166" s="306" t="str">
        <f t="shared" si="39"/>
        <v/>
      </c>
      <c r="T166" t="str">
        <f t="shared" si="31"/>
        <v>\I:</v>
      </c>
      <c r="U166" t="str">
        <f ca="1" t="shared" si="32"/>
        <v>ICE medium size E85 flex-fuel car -- 00%</v>
      </c>
      <c r="V166" s="309" t="s">
        <v>84</v>
      </c>
      <c r="W166" s="309" t="s">
        <v>85</v>
      </c>
    </row>
    <row r="167" spans="10:23">
      <c r="J167" t="str">
        <f t="shared" si="33"/>
        <v>\I:Trd_car_E85</v>
      </c>
      <c r="K167" t="str">
        <f t="shared" si="34"/>
        <v>\I:</v>
      </c>
      <c r="L167" t="str">
        <f t="shared" si="35"/>
        <v>\I:</v>
      </c>
      <c r="M167" s="306" t="str">
        <f t="shared" si="36"/>
        <v/>
      </c>
      <c r="N167" s="306" t="str">
        <f t="shared" si="37"/>
        <v/>
      </c>
      <c r="O167" s="306" t="str">
        <f t="shared" si="38"/>
        <v/>
      </c>
      <c r="P167" s="306" t="str">
        <f t="shared" si="39"/>
        <v/>
      </c>
      <c r="T167" t="str">
        <f t="shared" si="31"/>
        <v>\I:</v>
      </c>
      <c r="U167" t="str">
        <f ca="1" t="shared" si="32"/>
        <v>ICE medium size E85 flex-fuel car -- 00%</v>
      </c>
      <c r="V167" s="309" t="s">
        <v>84</v>
      </c>
      <c r="W167" s="309" t="s">
        <v>85</v>
      </c>
    </row>
    <row r="168" spans="10:23">
      <c r="J168" t="str">
        <f t="shared" si="33"/>
        <v>\I:Trd_car_E85</v>
      </c>
      <c r="K168" t="str">
        <f t="shared" si="34"/>
        <v>\I:</v>
      </c>
      <c r="L168" t="str">
        <f t="shared" si="35"/>
        <v>\I:</v>
      </c>
      <c r="M168" s="306" t="str">
        <f t="shared" si="36"/>
        <v/>
      </c>
      <c r="N168" s="306" t="str">
        <f t="shared" si="37"/>
        <v/>
      </c>
      <c r="O168" s="306" t="str">
        <f t="shared" si="38"/>
        <v/>
      </c>
      <c r="P168" s="306" t="str">
        <f t="shared" si="39"/>
        <v/>
      </c>
      <c r="T168" t="str">
        <f t="shared" si="31"/>
        <v>\I:</v>
      </c>
      <c r="U168" t="str">
        <f ca="1" t="shared" si="32"/>
        <v>ICE medium size E85 flex-fuel car -- 00%</v>
      </c>
      <c r="V168" s="309" t="s">
        <v>84</v>
      </c>
      <c r="W168" s="309" t="s">
        <v>85</v>
      </c>
    </row>
    <row r="169" spans="10:23">
      <c r="J169" t="str">
        <f t="shared" si="33"/>
        <v>\I:Trd_car_E85</v>
      </c>
      <c r="K169" t="str">
        <f t="shared" si="34"/>
        <v>\I:</v>
      </c>
      <c r="L169" t="str">
        <f t="shared" si="35"/>
        <v>\I:</v>
      </c>
      <c r="M169" s="306" t="str">
        <f t="shared" si="36"/>
        <v/>
      </c>
      <c r="N169" s="306" t="str">
        <f t="shared" si="37"/>
        <v/>
      </c>
      <c r="O169" s="306" t="str">
        <f t="shared" si="38"/>
        <v/>
      </c>
      <c r="P169" s="306" t="str">
        <f t="shared" si="39"/>
        <v/>
      </c>
      <c r="T169" t="str">
        <f t="shared" si="31"/>
        <v>\I:</v>
      </c>
      <c r="U169" t="str">
        <f ca="1" t="shared" si="32"/>
        <v>ICE medium size E85 flex-fuel car -- 00%</v>
      </c>
      <c r="V169" s="309" t="s">
        <v>84</v>
      </c>
      <c r="W169" s="309" t="s">
        <v>85</v>
      </c>
    </row>
    <row r="170" ht="15" customHeight="1" spans="2:23">
      <c r="B170" s="298">
        <v>2020</v>
      </c>
      <c r="C170" s="298"/>
      <c r="D170" s="298"/>
      <c r="J170" t="str">
        <f t="shared" si="33"/>
        <v>\I:Trd_car_E85</v>
      </c>
      <c r="K170" t="str">
        <f t="shared" si="34"/>
        <v>\I:</v>
      </c>
      <c r="L170" t="str">
        <f t="shared" si="35"/>
        <v>\I:</v>
      </c>
      <c r="M170" s="306" t="str">
        <f t="shared" si="36"/>
        <v/>
      </c>
      <c r="N170" s="306" t="str">
        <f t="shared" si="37"/>
        <v/>
      </c>
      <c r="O170" s="306" t="str">
        <f t="shared" si="38"/>
        <v/>
      </c>
      <c r="P170" s="306" t="str">
        <f t="shared" si="39"/>
        <v/>
      </c>
      <c r="T170" t="str">
        <f t="shared" si="31"/>
        <v>\I:</v>
      </c>
      <c r="U170" t="str">
        <f ca="1" t="shared" si="32"/>
        <v>ICE medium size E85 flex-fuel car -- 202000%</v>
      </c>
      <c r="V170" s="309" t="s">
        <v>84</v>
      </c>
      <c r="W170" s="309" t="s">
        <v>85</v>
      </c>
    </row>
    <row r="171" spans="2:23">
      <c r="B171" s="45" t="s">
        <v>94</v>
      </c>
      <c r="C171" s="46" t="s">
        <v>26</v>
      </c>
      <c r="D171" s="74">
        <v>0.15</v>
      </c>
      <c r="G171" s="77">
        <f>D171/3.6/100*10^9/10^6</f>
        <v>0.416666666666667</v>
      </c>
      <c r="H171" s="77"/>
      <c r="I171" s="338">
        <f>1/G171-0.4</f>
        <v>2</v>
      </c>
      <c r="J171" t="str">
        <f t="shared" si="33"/>
        <v>\I:Trd_car_E85</v>
      </c>
      <c r="K171" t="str">
        <f t="shared" si="34"/>
        <v>\I:</v>
      </c>
      <c r="L171" t="str">
        <f t="shared" si="35"/>
        <v>\I:</v>
      </c>
      <c r="M171" s="306" t="str">
        <f t="shared" si="36"/>
        <v/>
      </c>
      <c r="N171" s="306" t="str">
        <f t="shared" si="37"/>
        <v/>
      </c>
      <c r="O171" s="306" t="str">
        <f t="shared" si="38"/>
        <v/>
      </c>
      <c r="P171" s="306" t="str">
        <f t="shared" si="39"/>
        <v/>
      </c>
      <c r="T171" t="str">
        <f t="shared" si="31"/>
        <v>\I:</v>
      </c>
      <c r="U171" t="str">
        <f ca="1" t="shared" si="32"/>
        <v>ICE medium size E85 flex-fuel car -- Energy consumption οf Medium size battery electric car</v>
      </c>
      <c r="V171" s="309" t="s">
        <v>84</v>
      </c>
      <c r="W171" s="309" t="s">
        <v>85</v>
      </c>
    </row>
    <row r="172" spans="9:23">
      <c r="I172" s="311" t="s">
        <v>70</v>
      </c>
      <c r="J172" t="str">
        <f t="shared" si="33"/>
        <v>\I:Trd_car_E85</v>
      </c>
      <c r="K172" t="str">
        <f t="shared" si="34"/>
        <v>\I:</v>
      </c>
      <c r="L172" t="str">
        <f t="shared" si="35"/>
        <v>\I:</v>
      </c>
      <c r="M172" s="306" t="str">
        <f t="shared" si="36"/>
        <v/>
      </c>
      <c r="N172" s="306" t="str">
        <f t="shared" si="37"/>
        <v/>
      </c>
      <c r="O172" s="306" t="str">
        <f t="shared" si="38"/>
        <v/>
      </c>
      <c r="P172" s="306" t="str">
        <f t="shared" si="39"/>
        <v/>
      </c>
      <c r="T172" t="str">
        <f t="shared" si="31"/>
        <v>\I:</v>
      </c>
      <c r="U172" t="str">
        <f ca="1" t="shared" si="32"/>
        <v>ICE medium size E85 flex-fuel car -- 00%</v>
      </c>
      <c r="V172" s="309" t="s">
        <v>84</v>
      </c>
      <c r="W172" s="309" t="s">
        <v>85</v>
      </c>
    </row>
    <row r="173" ht="15" customHeight="1" spans="2:23">
      <c r="B173" s="300" t="s">
        <v>27</v>
      </c>
      <c r="C173" s="300" t="s">
        <v>67</v>
      </c>
      <c r="D173" s="300"/>
      <c r="E173" s="300"/>
      <c r="F173" s="300"/>
      <c r="J173" t="str">
        <f t="shared" si="33"/>
        <v>Trd_car_elc</v>
      </c>
      <c r="K173" t="str">
        <f t="shared" si="34"/>
        <v>\I:</v>
      </c>
      <c r="L173" t="str">
        <f t="shared" si="35"/>
        <v>\I:</v>
      </c>
      <c r="M173" s="306" t="str">
        <f t="shared" si="36"/>
        <v/>
      </c>
      <c r="N173" s="306" t="str">
        <f t="shared" si="37"/>
        <v/>
      </c>
      <c r="O173" s="306" t="str">
        <f t="shared" si="38"/>
        <v/>
      </c>
      <c r="P173" s="306" t="str">
        <f t="shared" si="39"/>
        <v/>
      </c>
      <c r="T173" t="str">
        <f t="shared" si="31"/>
        <v>\I:</v>
      </c>
      <c r="U173" t="str">
        <f ca="1" t="shared" si="32"/>
        <v>Medium size battery electric car -- Electric range (km)</v>
      </c>
      <c r="V173" s="309" t="s">
        <v>84</v>
      </c>
      <c r="W173" s="309" t="s">
        <v>85</v>
      </c>
    </row>
    <row r="174" spans="2:23">
      <c r="B174" s="300"/>
      <c r="C174" s="300"/>
      <c r="D174" s="300"/>
      <c r="E174" s="300"/>
      <c r="F174" s="300"/>
      <c r="J174" t="str">
        <f t="shared" si="33"/>
        <v>Trd_car_elc</v>
      </c>
      <c r="K174" t="str">
        <f t="shared" si="34"/>
        <v>\I:</v>
      </c>
      <c r="L174" t="str">
        <f t="shared" si="35"/>
        <v>\I:</v>
      </c>
      <c r="M174" s="306" t="str">
        <f t="shared" si="36"/>
        <v/>
      </c>
      <c r="N174" s="306" t="str">
        <f t="shared" si="37"/>
        <v/>
      </c>
      <c r="O174" s="306" t="str">
        <f t="shared" si="38"/>
        <v/>
      </c>
      <c r="P174" s="306" t="str">
        <f t="shared" si="39"/>
        <v/>
      </c>
      <c r="T174" t="str">
        <f t="shared" si="31"/>
        <v>\I:</v>
      </c>
      <c r="U174" t="str">
        <f ca="1" t="shared" si="32"/>
        <v>Medium size battery electric car -- 00%</v>
      </c>
      <c r="V174" s="309" t="s">
        <v>84</v>
      </c>
      <c r="W174" s="309" t="s">
        <v>85</v>
      </c>
    </row>
    <row r="175" spans="2:23">
      <c r="B175" s="300"/>
      <c r="C175" s="300"/>
      <c r="D175" s="300"/>
      <c r="E175" s="300"/>
      <c r="F175" s="300"/>
      <c r="J175" t="str">
        <f t="shared" si="33"/>
        <v>Trd_car_elc</v>
      </c>
      <c r="K175" t="str">
        <f t="shared" si="34"/>
        <v>\I:</v>
      </c>
      <c r="L175" t="str">
        <f t="shared" si="35"/>
        <v>\I:</v>
      </c>
      <c r="M175" s="306" t="str">
        <f t="shared" si="36"/>
        <v/>
      </c>
      <c r="N175" s="306" t="str">
        <f t="shared" si="37"/>
        <v/>
      </c>
      <c r="O175" s="306" t="str">
        <f t="shared" si="38"/>
        <v/>
      </c>
      <c r="P175" s="306" t="str">
        <f t="shared" si="39"/>
        <v/>
      </c>
      <c r="T175" t="str">
        <f t="shared" si="31"/>
        <v>\I:</v>
      </c>
      <c r="U175" t="str">
        <f ca="1" t="shared" si="32"/>
        <v>Medium size battery electric car -- 00%</v>
      </c>
      <c r="V175" s="309" t="s">
        <v>84</v>
      </c>
      <c r="W175" s="309" t="s">
        <v>85</v>
      </c>
    </row>
    <row r="176" spans="2:23">
      <c r="B176" s="88"/>
      <c r="C176" s="50">
        <v>2020</v>
      </c>
      <c r="D176" s="50">
        <v>2030</v>
      </c>
      <c r="E176" s="50">
        <v>2040</v>
      </c>
      <c r="F176" s="50">
        <v>2050</v>
      </c>
      <c r="J176" t="str">
        <f t="shared" si="33"/>
        <v>Trd_car_elc</v>
      </c>
      <c r="K176" t="str">
        <f t="shared" si="34"/>
        <v>\I:</v>
      </c>
      <c r="L176" t="str">
        <f t="shared" si="35"/>
        <v>\I:</v>
      </c>
      <c r="M176" s="306" t="str">
        <f t="shared" si="36"/>
        <v/>
      </c>
      <c r="N176" s="306" t="str">
        <f t="shared" si="37"/>
        <v/>
      </c>
      <c r="O176" s="306" t="str">
        <f t="shared" si="38"/>
        <v/>
      </c>
      <c r="P176" s="306" t="str">
        <f t="shared" si="39"/>
        <v/>
      </c>
      <c r="T176" t="str">
        <f t="shared" si="31"/>
        <v>\I:</v>
      </c>
      <c r="U176" t="str">
        <f ca="1" t="shared" si="32"/>
        <v>Medium size battery electric car -- 00%</v>
      </c>
      <c r="V176" s="309" t="s">
        <v>84</v>
      </c>
      <c r="W176" s="309" t="s">
        <v>85</v>
      </c>
    </row>
    <row r="177" spans="2:23">
      <c r="B177" s="66">
        <v>120</v>
      </c>
      <c r="C177" s="86">
        <v>23157.6575819394</v>
      </c>
      <c r="D177" s="86">
        <v>20751.720805376</v>
      </c>
      <c r="E177" s="86">
        <v>20217.5262772825</v>
      </c>
      <c r="F177" s="86">
        <v>20032.534537058</v>
      </c>
      <c r="I177" s="312">
        <f>$I$171/$I$12</f>
        <v>4.29135863605588</v>
      </c>
      <c r="J177" t="str">
        <f t="shared" si="33"/>
        <v>Trd_car_elc</v>
      </c>
      <c r="K177" t="str">
        <f>IFERROR(IF(VALUE(C177)&gt;2020,J177&amp;"_"&amp;TEXT(B177,"000"),"\I:"),"\I:")</f>
        <v>Trd_car_elc_120</v>
      </c>
      <c r="L177" t="str">
        <f t="shared" si="35"/>
        <v>Trd_car</v>
      </c>
      <c r="M177" s="306">
        <f t="shared" si="36"/>
        <v>23157.6575819394</v>
      </c>
      <c r="N177" s="306">
        <f t="shared" si="37"/>
        <v>20751.720805376</v>
      </c>
      <c r="O177" s="306">
        <f t="shared" si="38"/>
        <v>20217.5262772825</v>
      </c>
      <c r="P177" s="306">
        <f t="shared" si="39"/>
        <v>20032.534537058</v>
      </c>
      <c r="Q177" s="43">
        <v>0.05</v>
      </c>
      <c r="T177" t="str">
        <f t="shared" ref="T177:T199" si="40">K177</f>
        <v>Trd_car_elc_120</v>
      </c>
      <c r="U177" t="str">
        <f ca="1" t="shared" ref="U177:U184" si="41">OFFSET($S$1,MATCH(J177,$S$1:$S$11,0)-1,-1)&amp;" -- "&amp;TEXT(B177,"000")</f>
        <v>Medium size battery electric car -- 120</v>
      </c>
      <c r="V177" s="309" t="s">
        <v>84</v>
      </c>
      <c r="W177" s="309" t="s">
        <v>85</v>
      </c>
    </row>
    <row r="178" spans="2:23">
      <c r="B178" s="66">
        <v>160</v>
      </c>
      <c r="C178" s="86">
        <v>24797.3390883531</v>
      </c>
      <c r="D178" s="86">
        <v>20898.3261358183</v>
      </c>
      <c r="E178" s="86">
        <v>20316.3084785431</v>
      </c>
      <c r="F178" s="86">
        <v>20114.7555730032</v>
      </c>
      <c r="I178" s="312">
        <f t="shared" ref="I178:I184" si="42">$I$171/$I$12</f>
        <v>4.29135863605588</v>
      </c>
      <c r="J178" t="str">
        <f t="shared" si="33"/>
        <v>Trd_car_elc</v>
      </c>
      <c r="K178" t="str">
        <f t="shared" ref="K178:K184" si="43">IFERROR(IF(VALUE(C178)&gt;2020,J178&amp;"_"&amp;TEXT(B178,"000"),"\I:"),"\I:")</f>
        <v>Trd_car_elc_160</v>
      </c>
      <c r="L178" t="str">
        <f t="shared" si="35"/>
        <v>Trd_car</v>
      </c>
      <c r="M178" s="306">
        <f t="shared" si="36"/>
        <v>24797.3390883531</v>
      </c>
      <c r="N178" s="306">
        <f t="shared" si="37"/>
        <v>20898.3261358183</v>
      </c>
      <c r="O178" s="306">
        <f t="shared" si="38"/>
        <v>20316.3084785431</v>
      </c>
      <c r="P178" s="306">
        <f t="shared" si="39"/>
        <v>20114.7555730032</v>
      </c>
      <c r="Q178" s="43">
        <v>0.075</v>
      </c>
      <c r="T178" t="str">
        <f t="shared" si="40"/>
        <v>Trd_car_elc_160</v>
      </c>
      <c r="U178" t="str">
        <f ca="1" t="shared" si="41"/>
        <v>Medium size battery electric car -- 160</v>
      </c>
      <c r="V178" s="309" t="s">
        <v>84</v>
      </c>
      <c r="W178" s="309" t="s">
        <v>85</v>
      </c>
    </row>
    <row r="179" spans="2:23">
      <c r="B179" s="66">
        <v>200</v>
      </c>
      <c r="C179" s="86">
        <v>26437.0205947667</v>
      </c>
      <c r="D179" s="86">
        <v>21188.417534353</v>
      </c>
      <c r="E179" s="86">
        <v>20511.7711321012</v>
      </c>
      <c r="F179" s="86">
        <v>20277.4482611501</v>
      </c>
      <c r="I179" s="312">
        <f t="shared" si="42"/>
        <v>4.29135863605588</v>
      </c>
      <c r="J179" t="str">
        <f t="shared" si="33"/>
        <v>Trd_car_elc</v>
      </c>
      <c r="K179" t="str">
        <f t="shared" si="43"/>
        <v>Trd_car_elc_200</v>
      </c>
      <c r="L179" t="str">
        <f t="shared" si="35"/>
        <v>Trd_car</v>
      </c>
      <c r="M179" s="306">
        <f t="shared" si="36"/>
        <v>26437.0205947667</v>
      </c>
      <c r="N179" s="306">
        <f t="shared" si="37"/>
        <v>21188.417534353</v>
      </c>
      <c r="O179" s="306">
        <f t="shared" si="38"/>
        <v>20511.7711321012</v>
      </c>
      <c r="P179" s="306">
        <f t="shared" si="39"/>
        <v>20277.4482611501</v>
      </c>
      <c r="Q179" s="43">
        <v>0.1</v>
      </c>
      <c r="T179" t="str">
        <f t="shared" si="40"/>
        <v>Trd_car_elc_200</v>
      </c>
      <c r="U179" t="str">
        <f ca="1" t="shared" si="41"/>
        <v>Medium size battery electric car -- 200</v>
      </c>
      <c r="V179" s="309" t="s">
        <v>84</v>
      </c>
      <c r="W179" s="309" t="s">
        <v>85</v>
      </c>
    </row>
    <row r="180" spans="2:23">
      <c r="B180" s="66">
        <v>250</v>
      </c>
      <c r="C180" s="86">
        <v>28564.0109499813</v>
      </c>
      <c r="D180" s="86">
        <v>21785.3315089368</v>
      </c>
      <c r="E180" s="86">
        <v>20913.9698529438</v>
      </c>
      <c r="F180" s="86">
        <v>20612.2170257811</v>
      </c>
      <c r="I180" s="312">
        <f t="shared" si="42"/>
        <v>4.29135863605588</v>
      </c>
      <c r="J180" t="str">
        <f t="shared" si="33"/>
        <v>Trd_car_elc</v>
      </c>
      <c r="K180" t="str">
        <f t="shared" si="43"/>
        <v>Trd_car_elc_250</v>
      </c>
      <c r="L180" t="str">
        <f t="shared" si="35"/>
        <v>Trd_car</v>
      </c>
      <c r="M180" s="306">
        <f t="shared" si="36"/>
        <v>28564.0109499813</v>
      </c>
      <c r="N180" s="306">
        <f t="shared" si="37"/>
        <v>21785.3315089368</v>
      </c>
      <c r="O180" s="306">
        <f t="shared" si="38"/>
        <v>20913.9698529438</v>
      </c>
      <c r="P180" s="306">
        <f t="shared" si="39"/>
        <v>20612.2170257811</v>
      </c>
      <c r="Q180" s="43">
        <v>0.125</v>
      </c>
      <c r="T180" t="str">
        <f t="shared" si="40"/>
        <v>Trd_car_elc_250</v>
      </c>
      <c r="U180" t="str">
        <f ca="1" t="shared" si="41"/>
        <v>Medium size battery electric car -- 250</v>
      </c>
      <c r="V180" s="309" t="s">
        <v>84</v>
      </c>
      <c r="W180" s="309" t="s">
        <v>85</v>
      </c>
    </row>
    <row r="181" spans="2:23">
      <c r="B181" s="66">
        <v>300</v>
      </c>
      <c r="C181" s="86">
        <v>30691.0013051959</v>
      </c>
      <c r="D181" s="86">
        <v>22382.2454835207</v>
      </c>
      <c r="E181" s="86">
        <v>21316.1685737864</v>
      </c>
      <c r="F181" s="86">
        <v>20946.985790412</v>
      </c>
      <c r="I181" s="312">
        <f t="shared" si="42"/>
        <v>4.29135863605588</v>
      </c>
      <c r="J181" t="str">
        <f t="shared" si="33"/>
        <v>Trd_car_elc</v>
      </c>
      <c r="K181" t="str">
        <f t="shared" si="43"/>
        <v>Trd_car_elc_300</v>
      </c>
      <c r="L181" t="str">
        <f t="shared" si="35"/>
        <v>Trd_car</v>
      </c>
      <c r="M181" s="306">
        <f t="shared" si="36"/>
        <v>30691.0013051959</v>
      </c>
      <c r="N181" s="306">
        <f t="shared" si="37"/>
        <v>22382.2454835207</v>
      </c>
      <c r="O181" s="306">
        <f t="shared" si="38"/>
        <v>21316.1685737864</v>
      </c>
      <c r="P181" s="306">
        <f t="shared" si="39"/>
        <v>20946.985790412</v>
      </c>
      <c r="Q181" s="43">
        <v>0.15</v>
      </c>
      <c r="T181" t="str">
        <f t="shared" si="40"/>
        <v>Trd_car_elc_300</v>
      </c>
      <c r="U181" t="str">
        <f ca="1" t="shared" si="41"/>
        <v>Medium size battery electric car -- 300</v>
      </c>
      <c r="V181" s="309" t="s">
        <v>84</v>
      </c>
      <c r="W181" s="309" t="s">
        <v>85</v>
      </c>
    </row>
    <row r="182" spans="2:23">
      <c r="B182" s="66">
        <v>350</v>
      </c>
      <c r="C182" s="86">
        <v>33572.5229819496</v>
      </c>
      <c r="D182" s="86">
        <v>23101.8629366229</v>
      </c>
      <c r="E182" s="86">
        <v>21722.7842202962</v>
      </c>
      <c r="F182" s="86">
        <v>21285.4309683989</v>
      </c>
      <c r="I182" s="312">
        <f t="shared" si="42"/>
        <v>4.29135863605588</v>
      </c>
      <c r="J182" t="str">
        <f t="shared" si="33"/>
        <v>Trd_car_elc</v>
      </c>
      <c r="K182" t="str">
        <f t="shared" si="43"/>
        <v>Trd_car_elc_350</v>
      </c>
      <c r="L182" t="str">
        <f t="shared" si="35"/>
        <v>Trd_car</v>
      </c>
      <c r="M182" s="306">
        <f t="shared" si="36"/>
        <v>33572.5229819496</v>
      </c>
      <c r="N182" s="306">
        <f t="shared" si="37"/>
        <v>23101.8629366229</v>
      </c>
      <c r="O182" s="306">
        <f t="shared" si="38"/>
        <v>21722.7842202962</v>
      </c>
      <c r="P182" s="306">
        <f t="shared" si="39"/>
        <v>21285.4309683989</v>
      </c>
      <c r="Q182" s="43">
        <v>0.175</v>
      </c>
      <c r="T182" t="str">
        <f t="shared" si="40"/>
        <v>Trd_car_elc_350</v>
      </c>
      <c r="U182" t="str">
        <f ca="1" t="shared" si="41"/>
        <v>Medium size battery electric car -- 350</v>
      </c>
      <c r="V182" s="309" t="s">
        <v>84</v>
      </c>
      <c r="W182" s="309" t="s">
        <v>85</v>
      </c>
    </row>
    <row r="183" spans="2:23">
      <c r="B183" s="66">
        <v>400</v>
      </c>
      <c r="C183" s="86">
        <v>36673.347231568</v>
      </c>
      <c r="D183" s="86">
        <v>23857.6885449144</v>
      </c>
      <c r="E183" s="86">
        <v>22129.399866806</v>
      </c>
      <c r="F183" s="86">
        <v>21623.8761463858</v>
      </c>
      <c r="I183" s="312">
        <f t="shared" si="42"/>
        <v>4.29135863605588</v>
      </c>
      <c r="J183" t="str">
        <f t="shared" si="33"/>
        <v>Trd_car_elc</v>
      </c>
      <c r="K183" t="str">
        <f t="shared" si="43"/>
        <v>Trd_car_elc_400</v>
      </c>
      <c r="L183" t="str">
        <f t="shared" si="35"/>
        <v>Trd_car</v>
      </c>
      <c r="M183" s="306">
        <f t="shared" si="36"/>
        <v>36673.347231568</v>
      </c>
      <c r="N183" s="306">
        <f t="shared" si="37"/>
        <v>23857.6885449144</v>
      </c>
      <c r="O183" s="306">
        <f t="shared" si="38"/>
        <v>22129.399866806</v>
      </c>
      <c r="P183" s="306">
        <f t="shared" si="39"/>
        <v>21623.8761463858</v>
      </c>
      <c r="Q183" s="43">
        <v>0.2</v>
      </c>
      <c r="T183" t="str">
        <f t="shared" si="40"/>
        <v>Trd_car_elc_400</v>
      </c>
      <c r="U183" t="str">
        <f ca="1" t="shared" si="41"/>
        <v>Medium size battery electric car -- 400</v>
      </c>
      <c r="V183" s="309" t="s">
        <v>84</v>
      </c>
      <c r="W183" s="309" t="s">
        <v>85</v>
      </c>
    </row>
    <row r="184" spans="2:23">
      <c r="B184" s="66">
        <v>500</v>
      </c>
      <c r="C184" s="86">
        <v>43532.903449399</v>
      </c>
      <c r="D184" s="86">
        <v>25648.4246597977</v>
      </c>
      <c r="E184" s="86">
        <v>23095.7720833501</v>
      </c>
      <c r="F184" s="86">
        <v>22300.7665023597</v>
      </c>
      <c r="I184" s="312">
        <f t="shared" si="42"/>
        <v>4.29135863605588</v>
      </c>
      <c r="J184" t="str">
        <f t="shared" si="33"/>
        <v>Trd_car_elc</v>
      </c>
      <c r="K184" t="str">
        <f t="shared" si="43"/>
        <v>Trd_car_elc_500</v>
      </c>
      <c r="L184" t="str">
        <f t="shared" si="35"/>
        <v>Trd_car</v>
      </c>
      <c r="M184" s="306">
        <f t="shared" si="36"/>
        <v>43532.903449399</v>
      </c>
      <c r="N184" s="306">
        <f t="shared" si="37"/>
        <v>25648.4246597977</v>
      </c>
      <c r="O184" s="306">
        <f t="shared" si="38"/>
        <v>23095.7720833501</v>
      </c>
      <c r="P184" s="306">
        <f t="shared" si="39"/>
        <v>22300.7665023597</v>
      </c>
      <c r="T184" t="str">
        <f t="shared" si="40"/>
        <v>Trd_car_elc_500</v>
      </c>
      <c r="U184" t="str">
        <f ca="1" t="shared" si="41"/>
        <v>Medium size battery electric car -- 500</v>
      </c>
      <c r="V184" s="309" t="s">
        <v>84</v>
      </c>
      <c r="W184" s="309" t="s">
        <v>85</v>
      </c>
    </row>
    <row r="185" spans="10:23">
      <c r="J185" t="str">
        <f t="shared" si="33"/>
        <v>Trd_car_elc</v>
      </c>
      <c r="K185" t="str">
        <f t="shared" si="34"/>
        <v>\I:</v>
      </c>
      <c r="L185" t="str">
        <f t="shared" si="35"/>
        <v>\I:</v>
      </c>
      <c r="M185" s="306" t="str">
        <f t="shared" si="36"/>
        <v/>
      </c>
      <c r="N185" s="306" t="str">
        <f t="shared" si="37"/>
        <v/>
      </c>
      <c r="O185" s="306" t="str">
        <f t="shared" si="38"/>
        <v/>
      </c>
      <c r="P185" s="306" t="str">
        <f t="shared" si="39"/>
        <v/>
      </c>
      <c r="T185" t="str">
        <f t="shared" si="40"/>
        <v>\I:</v>
      </c>
      <c r="U185" t="str">
        <f ca="1" t="shared" ref="U185:U191" si="44">OFFSET($S$1,MATCH(J185,$S$1:$S$11,0)-1,-1)&amp;" -- "&amp;TEXT(B185,"00%")</f>
        <v>Medium size battery electric car -- 00%</v>
      </c>
      <c r="V185" s="309" t="s">
        <v>84</v>
      </c>
      <c r="W185" s="309" t="s">
        <v>85</v>
      </c>
    </row>
    <row r="186" spans="10:23">
      <c r="J186" t="str">
        <f t="shared" si="33"/>
        <v>Trd_car_elc</v>
      </c>
      <c r="K186" t="str">
        <f t="shared" si="34"/>
        <v>\I:</v>
      </c>
      <c r="L186" t="str">
        <f t="shared" si="35"/>
        <v>\I:</v>
      </c>
      <c r="M186" s="306" t="str">
        <f t="shared" si="36"/>
        <v/>
      </c>
      <c r="N186" s="306" t="str">
        <f t="shared" si="37"/>
        <v/>
      </c>
      <c r="O186" s="306" t="str">
        <f t="shared" si="38"/>
        <v/>
      </c>
      <c r="P186" s="306" t="str">
        <f t="shared" si="39"/>
        <v/>
      </c>
      <c r="T186" t="str">
        <f t="shared" si="40"/>
        <v>\I:</v>
      </c>
      <c r="U186" t="str">
        <f ca="1" t="shared" si="44"/>
        <v>Medium size battery electric car -- 00%</v>
      </c>
      <c r="V186" s="309" t="s">
        <v>84</v>
      </c>
      <c r="W186" s="309" t="s">
        <v>85</v>
      </c>
    </row>
    <row r="187" spans="10:23">
      <c r="J187" t="str">
        <f t="shared" si="33"/>
        <v>Trd_car_elc</v>
      </c>
      <c r="K187" t="str">
        <f t="shared" si="34"/>
        <v>\I:</v>
      </c>
      <c r="L187" t="str">
        <f t="shared" si="35"/>
        <v>\I:</v>
      </c>
      <c r="M187" s="306" t="str">
        <f t="shared" si="36"/>
        <v/>
      </c>
      <c r="N187" s="306" t="str">
        <f t="shared" si="37"/>
        <v/>
      </c>
      <c r="O187" s="306" t="str">
        <f t="shared" si="38"/>
        <v/>
      </c>
      <c r="P187" s="306" t="str">
        <f t="shared" si="39"/>
        <v/>
      </c>
      <c r="T187" t="str">
        <f t="shared" si="40"/>
        <v>\I:</v>
      </c>
      <c r="U187" t="str">
        <f ca="1" t="shared" si="44"/>
        <v>Medium size battery electric car -- 00%</v>
      </c>
      <c r="V187" s="309" t="s">
        <v>84</v>
      </c>
      <c r="W187" s="309" t="s">
        <v>85</v>
      </c>
    </row>
    <row r="188" ht="15" customHeight="1" spans="2:23">
      <c r="B188" s="300" t="s">
        <v>29</v>
      </c>
      <c r="C188" s="327" t="s">
        <v>69</v>
      </c>
      <c r="D188" s="350"/>
      <c r="E188" s="350"/>
      <c r="F188" s="351"/>
      <c r="J188" t="str">
        <f t="shared" si="33"/>
        <v>Trd_car_hh2</v>
      </c>
      <c r="K188" t="str">
        <f t="shared" si="34"/>
        <v>\I:</v>
      </c>
      <c r="L188" t="str">
        <f t="shared" si="35"/>
        <v>\I:</v>
      </c>
      <c r="M188" s="306" t="str">
        <f t="shared" si="36"/>
        <v/>
      </c>
      <c r="N188" s="306" t="str">
        <f t="shared" si="37"/>
        <v/>
      </c>
      <c r="O188" s="306" t="str">
        <f t="shared" si="38"/>
        <v/>
      </c>
      <c r="P188" s="306" t="str">
        <f t="shared" si="39"/>
        <v/>
      </c>
      <c r="T188" t="str">
        <f t="shared" si="40"/>
        <v>\I:</v>
      </c>
      <c r="U188" t="str">
        <f ca="1" t="shared" si="44"/>
        <v>Medium size hydrogen fuel cell -- Energy consumption (kg H2/100km)</v>
      </c>
      <c r="V188" s="309" t="s">
        <v>84</v>
      </c>
      <c r="W188" s="309" t="s">
        <v>85</v>
      </c>
    </row>
    <row r="189" ht="15.75" customHeight="1" spans="2:23">
      <c r="B189" s="300"/>
      <c r="C189" s="352"/>
      <c r="D189" s="353"/>
      <c r="E189" s="353"/>
      <c r="F189" s="354"/>
      <c r="J189" t="str">
        <f t="shared" si="33"/>
        <v>Trd_car_hh2</v>
      </c>
      <c r="K189" t="str">
        <f t="shared" si="34"/>
        <v>\I:</v>
      </c>
      <c r="L189" t="str">
        <f t="shared" si="35"/>
        <v>\I:</v>
      </c>
      <c r="M189" s="306" t="str">
        <f t="shared" si="36"/>
        <v/>
      </c>
      <c r="N189" s="306" t="str">
        <f t="shared" si="37"/>
        <v/>
      </c>
      <c r="O189" s="306" t="str">
        <f t="shared" si="38"/>
        <v/>
      </c>
      <c r="P189" s="306" t="str">
        <f t="shared" si="39"/>
        <v/>
      </c>
      <c r="T189" t="str">
        <f t="shared" si="40"/>
        <v>\I:</v>
      </c>
      <c r="U189" t="str">
        <f ca="1" t="shared" si="44"/>
        <v>Medium size hydrogen fuel cell -- 00%</v>
      </c>
      <c r="V189" s="309" t="s">
        <v>84</v>
      </c>
      <c r="W189" s="309" t="s">
        <v>85</v>
      </c>
    </row>
    <row r="190" ht="21.75" customHeight="1" spans="2:23">
      <c r="B190" s="300"/>
      <c r="C190" s="355"/>
      <c r="D190" s="356"/>
      <c r="E190" s="356"/>
      <c r="F190" s="357"/>
      <c r="J190" t="str">
        <f t="shared" si="33"/>
        <v>Trd_car_hh2</v>
      </c>
      <c r="K190" t="str">
        <f t="shared" si="34"/>
        <v>\I:</v>
      </c>
      <c r="L190" t="str">
        <f t="shared" si="35"/>
        <v>\I:</v>
      </c>
      <c r="M190" s="306" t="str">
        <f t="shared" si="36"/>
        <v/>
      </c>
      <c r="N190" s="306" t="str">
        <f t="shared" si="37"/>
        <v/>
      </c>
      <c r="O190" s="306" t="str">
        <f t="shared" si="38"/>
        <v/>
      </c>
      <c r="P190" s="306" t="str">
        <f t="shared" si="39"/>
        <v/>
      </c>
      <c r="T190" t="str">
        <f t="shared" si="40"/>
        <v>\I:</v>
      </c>
      <c r="U190" t="str">
        <f ca="1" t="shared" si="44"/>
        <v>Medium size hydrogen fuel cell -- 00%</v>
      </c>
      <c r="V190" s="309" t="s">
        <v>84</v>
      </c>
      <c r="W190" s="309" t="s">
        <v>85</v>
      </c>
    </row>
    <row r="191" ht="18" customHeight="1" spans="2:23">
      <c r="B191" s="88"/>
      <c r="C191" s="50">
        <v>2020</v>
      </c>
      <c r="D191" s="50">
        <v>2030</v>
      </c>
      <c r="E191" s="50">
        <v>2040</v>
      </c>
      <c r="F191" s="50">
        <v>2050</v>
      </c>
      <c r="J191" t="str">
        <f t="shared" si="33"/>
        <v>Trd_car_hh2</v>
      </c>
      <c r="K191" t="str">
        <f t="shared" si="34"/>
        <v>\I:</v>
      </c>
      <c r="L191" t="str">
        <f t="shared" si="35"/>
        <v>\I:</v>
      </c>
      <c r="M191" s="306" t="str">
        <f t="shared" si="36"/>
        <v/>
      </c>
      <c r="N191" s="306" t="str">
        <f t="shared" si="37"/>
        <v/>
      </c>
      <c r="O191" s="306" t="str">
        <f t="shared" si="38"/>
        <v/>
      </c>
      <c r="P191" s="306" t="str">
        <f t="shared" si="39"/>
        <v/>
      </c>
      <c r="T191" t="str">
        <f t="shared" si="40"/>
        <v>\I:</v>
      </c>
      <c r="U191" t="str">
        <f ca="1" t="shared" si="44"/>
        <v>Medium size hydrogen fuel cell -- 00%</v>
      </c>
      <c r="V191" s="309" t="s">
        <v>84</v>
      </c>
      <c r="W191" s="309" t="s">
        <v>85</v>
      </c>
    </row>
    <row r="192" spans="2:23">
      <c r="B192" s="346">
        <v>0.946734005829305</v>
      </c>
      <c r="C192" s="86">
        <v>51066.9838694536</v>
      </c>
      <c r="D192" s="86">
        <v>35844.8446280299</v>
      </c>
      <c r="E192" s="86">
        <v>29881.1465974715</v>
      </c>
      <c r="F192" s="86">
        <v>28412.9839870662</v>
      </c>
      <c r="G192" s="77">
        <f>B192*0.12/100*10^9/10^6</f>
        <v>1.13608080699517</v>
      </c>
      <c r="H192" s="77"/>
      <c r="I192" s="299">
        <f>1/G192/$I$12</f>
        <v>1.88866787011663</v>
      </c>
      <c r="J192" t="str">
        <f t="shared" si="33"/>
        <v>Trd_car_hh2</v>
      </c>
      <c r="K192" t="str">
        <f t="shared" si="34"/>
        <v>Trd_car_hh2_95</v>
      </c>
      <c r="L192" t="str">
        <f t="shared" si="35"/>
        <v>Trd_car</v>
      </c>
      <c r="M192" s="306">
        <f t="shared" si="36"/>
        <v>51066.9838694536</v>
      </c>
      <c r="N192" s="306">
        <f t="shared" si="37"/>
        <v>35844.8446280299</v>
      </c>
      <c r="O192" s="306">
        <f t="shared" si="38"/>
        <v>29881.1465974715</v>
      </c>
      <c r="P192" s="306">
        <f t="shared" si="39"/>
        <v>28412.9839870662</v>
      </c>
      <c r="T192" t="str">
        <f t="shared" si="40"/>
        <v>Trd_car_hh2_95</v>
      </c>
      <c r="U192" t="str">
        <f ca="1">OFFSET($S$1,MATCH(J192,$S$1:$S$11,0)-1,-1)&amp;" -- "&amp;TEXT(B192,"0.00")</f>
        <v>Medium size hydrogen fuel cell -- 0.95</v>
      </c>
      <c r="V192" s="309" t="s">
        <v>84</v>
      </c>
      <c r="W192" s="309" t="s">
        <v>85</v>
      </c>
    </row>
    <row r="193" spans="2:23">
      <c r="B193" s="346">
        <v>0.906159691293763</v>
      </c>
      <c r="C193" s="86">
        <v>51333.6668176655</v>
      </c>
      <c r="D193" s="86">
        <v>36060.4543841275</v>
      </c>
      <c r="E193" s="86">
        <v>30065.5019981684</v>
      </c>
      <c r="F193" s="86">
        <v>28592.3568093659</v>
      </c>
      <c r="G193" s="77">
        <f t="shared" ref="G193:G199" si="45">B193*0.12/100*10^9/10^6</f>
        <v>1.08739162955252</v>
      </c>
      <c r="H193" s="77"/>
      <c r="I193" s="299">
        <f t="shared" ref="I193:I199" si="46">1/G193/$I$12</f>
        <v>1.97323508818155</v>
      </c>
      <c r="J193" t="str">
        <f t="shared" si="33"/>
        <v>Trd_car_hh2</v>
      </c>
      <c r="K193" t="str">
        <f t="shared" si="34"/>
        <v>Trd_car_hh2_91</v>
      </c>
      <c r="L193" t="str">
        <f t="shared" si="35"/>
        <v>Trd_car</v>
      </c>
      <c r="M193" s="306">
        <f t="shared" si="36"/>
        <v>51333.6668176655</v>
      </c>
      <c r="N193" s="306">
        <f t="shared" si="37"/>
        <v>36060.4543841275</v>
      </c>
      <c r="O193" s="306">
        <f t="shared" si="38"/>
        <v>30065.5019981684</v>
      </c>
      <c r="P193" s="306">
        <f t="shared" si="39"/>
        <v>28592.3568093659</v>
      </c>
      <c r="T193" t="str">
        <f t="shared" si="40"/>
        <v>Trd_car_hh2_91</v>
      </c>
      <c r="U193" t="str">
        <f ca="1" t="shared" ref="U193:U199" si="47">OFFSET($S$1,MATCH(J193,$S$1:$S$11,0)-1,-1)&amp;" -- "&amp;TEXT(B193,"0.00")</f>
        <v>Medium size hydrogen fuel cell -- 0.91</v>
      </c>
      <c r="V193" s="309" t="s">
        <v>84</v>
      </c>
      <c r="W193" s="309" t="s">
        <v>85</v>
      </c>
    </row>
    <row r="194" spans="2:23">
      <c r="B194" s="346">
        <v>0.865585376758221</v>
      </c>
      <c r="C194" s="86">
        <v>51791.4017053404</v>
      </c>
      <c r="D194" s="86">
        <v>36276.064140225</v>
      </c>
      <c r="E194" s="86">
        <v>30249.8573988653</v>
      </c>
      <c r="F194" s="86">
        <v>28771.7296316655</v>
      </c>
      <c r="G194" s="77">
        <f t="shared" si="45"/>
        <v>1.03870245210987</v>
      </c>
      <c r="H194" s="77"/>
      <c r="I194" s="299">
        <f t="shared" si="46"/>
        <v>2.06573048294006</v>
      </c>
      <c r="J194" t="str">
        <f t="shared" si="33"/>
        <v>Trd_car_hh2</v>
      </c>
      <c r="K194" t="str">
        <f t="shared" si="34"/>
        <v>Trd_car_hh2_87</v>
      </c>
      <c r="L194" t="str">
        <f t="shared" si="35"/>
        <v>Trd_car</v>
      </c>
      <c r="M194" s="306">
        <f t="shared" si="36"/>
        <v>51791.4017053404</v>
      </c>
      <c r="N194" s="306">
        <f t="shared" si="37"/>
        <v>36276.064140225</v>
      </c>
      <c r="O194" s="306">
        <f t="shared" si="38"/>
        <v>30249.8573988653</v>
      </c>
      <c r="P194" s="306">
        <f t="shared" si="39"/>
        <v>28771.7296316655</v>
      </c>
      <c r="T194" t="str">
        <f t="shared" si="40"/>
        <v>Trd_car_hh2_87</v>
      </c>
      <c r="U194" t="str">
        <f ca="1" t="shared" si="47"/>
        <v>Medium size hydrogen fuel cell -- 0.87</v>
      </c>
      <c r="V194" s="309" t="s">
        <v>84</v>
      </c>
      <c r="W194" s="309" t="s">
        <v>85</v>
      </c>
    </row>
    <row r="195" spans="2:23">
      <c r="B195" s="346">
        <v>0.82501106222268</v>
      </c>
      <c r="C195" s="86">
        <v>54058.2346435814</v>
      </c>
      <c r="D195" s="86">
        <v>36491.6738963226</v>
      </c>
      <c r="E195" s="86">
        <v>30434.2127995621</v>
      </c>
      <c r="F195" s="86">
        <v>28951.1024539652</v>
      </c>
      <c r="G195" s="77">
        <f t="shared" si="45"/>
        <v>0.990013274667216</v>
      </c>
      <c r="H195" s="77"/>
      <c r="I195" s="299">
        <f t="shared" si="46"/>
        <v>2.16732378537974</v>
      </c>
      <c r="J195" t="str">
        <f t="shared" si="33"/>
        <v>Trd_car_hh2</v>
      </c>
      <c r="K195" t="str">
        <f t="shared" si="34"/>
        <v>Trd_car_hh2_83</v>
      </c>
      <c r="L195" t="str">
        <f t="shared" si="35"/>
        <v>Trd_car</v>
      </c>
      <c r="M195" s="306">
        <f t="shared" si="36"/>
        <v>54058.2346435814</v>
      </c>
      <c r="N195" s="306">
        <f t="shared" si="37"/>
        <v>36491.6738963226</v>
      </c>
      <c r="O195" s="306">
        <f t="shared" si="38"/>
        <v>30434.2127995621</v>
      </c>
      <c r="P195" s="306">
        <f t="shared" si="39"/>
        <v>28951.1024539652</v>
      </c>
      <c r="T195" t="str">
        <f t="shared" si="40"/>
        <v>Trd_car_hh2_83</v>
      </c>
      <c r="U195" t="str">
        <f ca="1" t="shared" si="47"/>
        <v>Medium size hydrogen fuel cell -- 0.83</v>
      </c>
      <c r="V195" s="309" t="s">
        <v>84</v>
      </c>
      <c r="W195" s="309" t="s">
        <v>85</v>
      </c>
    </row>
    <row r="196" spans="2:23">
      <c r="B196" s="346">
        <v>0.786871206559271</v>
      </c>
      <c r="C196" s="86">
        <v>54564.0905053834</v>
      </c>
      <c r="D196" s="86">
        <v>37995.8021232778</v>
      </c>
      <c r="E196" s="86">
        <v>30618.568200259</v>
      </c>
      <c r="F196" s="86">
        <v>29130.4752762648</v>
      </c>
      <c r="G196" s="77">
        <f t="shared" si="45"/>
        <v>0.944245447871125</v>
      </c>
      <c r="H196" s="77"/>
      <c r="I196" s="299">
        <f t="shared" si="46"/>
        <v>2.27237454293853</v>
      </c>
      <c r="J196" t="str">
        <f t="shared" si="33"/>
        <v>Trd_car_hh2</v>
      </c>
      <c r="K196" t="str">
        <f t="shared" si="34"/>
        <v>Trd_car_hh2_79</v>
      </c>
      <c r="L196" t="str">
        <f t="shared" si="35"/>
        <v>Trd_car</v>
      </c>
      <c r="M196" s="306">
        <f t="shared" si="36"/>
        <v>54564.0905053834</v>
      </c>
      <c r="N196" s="306">
        <f t="shared" si="37"/>
        <v>37995.8021232778</v>
      </c>
      <c r="O196" s="306">
        <f t="shared" si="38"/>
        <v>30618.568200259</v>
      </c>
      <c r="P196" s="306">
        <f t="shared" si="39"/>
        <v>29130.4752762648</v>
      </c>
      <c r="T196" t="str">
        <f t="shared" si="40"/>
        <v>Trd_car_hh2_79</v>
      </c>
      <c r="U196" t="str">
        <f ca="1" t="shared" si="47"/>
        <v>Medium size hydrogen fuel cell -- 0.79</v>
      </c>
      <c r="V196" s="309" t="s">
        <v>84</v>
      </c>
      <c r="W196" s="309" t="s">
        <v>85</v>
      </c>
    </row>
    <row r="197" spans="2:23">
      <c r="B197" s="346">
        <v>0.754006011785482</v>
      </c>
      <c r="C197" s="86">
        <v>54852.8037817166</v>
      </c>
      <c r="D197" s="86">
        <v>38223.0917586269</v>
      </c>
      <c r="E197" s="86">
        <v>30802.9236009559</v>
      </c>
      <c r="F197" s="86">
        <v>29309.8480985645</v>
      </c>
      <c r="G197" s="77">
        <f t="shared" si="45"/>
        <v>0.904807214142578</v>
      </c>
      <c r="H197" s="77"/>
      <c r="I197" s="299">
        <f t="shared" si="46"/>
        <v>2.37142154095361</v>
      </c>
      <c r="J197" t="str">
        <f t="shared" si="33"/>
        <v>Trd_car_hh2</v>
      </c>
      <c r="K197" t="str">
        <f t="shared" si="34"/>
        <v>Trd_car_hh2_75</v>
      </c>
      <c r="L197" t="str">
        <f t="shared" si="35"/>
        <v>Trd_car</v>
      </c>
      <c r="M197" s="306">
        <f t="shared" si="36"/>
        <v>54852.8037817166</v>
      </c>
      <c r="N197" s="306">
        <f t="shared" si="37"/>
        <v>38223.0917586269</v>
      </c>
      <c r="O197" s="306">
        <f t="shared" si="38"/>
        <v>30802.9236009559</v>
      </c>
      <c r="P197" s="306">
        <f t="shared" si="39"/>
        <v>29309.8480985645</v>
      </c>
      <c r="T197" t="str">
        <f t="shared" si="40"/>
        <v>Trd_car_hh2_75</v>
      </c>
      <c r="U197" t="str">
        <f ca="1" t="shared" si="47"/>
        <v>Medium size hydrogen fuel cell -- 0.75</v>
      </c>
      <c r="V197" s="309" t="s">
        <v>84</v>
      </c>
      <c r="W197" s="309" t="s">
        <v>85</v>
      </c>
    </row>
    <row r="198" spans="2:23">
      <c r="B198" s="346">
        <v>0.722222798732641</v>
      </c>
      <c r="C198" s="86">
        <v>55141.5170580497</v>
      </c>
      <c r="D198" s="86">
        <v>38450.381393976</v>
      </c>
      <c r="E198" s="86">
        <v>30987.2790016527</v>
      </c>
      <c r="F198" s="86">
        <v>29489.2209208641</v>
      </c>
      <c r="G198" s="77">
        <f t="shared" si="45"/>
        <v>0.866667358479169</v>
      </c>
      <c r="H198" s="77"/>
      <c r="I198" s="299">
        <f t="shared" si="46"/>
        <v>2.47578185221281</v>
      </c>
      <c r="J198" t="str">
        <f t="shared" si="33"/>
        <v>Trd_car_hh2</v>
      </c>
      <c r="K198" t="str">
        <f t="shared" si="34"/>
        <v>Trd_car_hh2_72</v>
      </c>
      <c r="L198" t="str">
        <f t="shared" si="35"/>
        <v>Trd_car</v>
      </c>
      <c r="M198" s="306">
        <f t="shared" si="36"/>
        <v>55141.5170580497</v>
      </c>
      <c r="N198" s="306">
        <f t="shared" si="37"/>
        <v>38450.381393976</v>
      </c>
      <c r="O198" s="306">
        <f t="shared" si="38"/>
        <v>30987.2790016527</v>
      </c>
      <c r="P198" s="306">
        <f t="shared" si="39"/>
        <v>29489.2209208641</v>
      </c>
      <c r="T198" t="str">
        <f t="shared" si="40"/>
        <v>Trd_car_hh2_72</v>
      </c>
      <c r="U198" t="str">
        <f ca="1" t="shared" si="47"/>
        <v>Medium size hydrogen fuel cell -- 0.72</v>
      </c>
      <c r="V198" s="309" t="s">
        <v>84</v>
      </c>
      <c r="W198" s="309" t="s">
        <v>85</v>
      </c>
    </row>
    <row r="199" spans="2:23">
      <c r="B199" s="346">
        <v>0.695849494284539</v>
      </c>
      <c r="C199" s="86">
        <v>55430.2303343829</v>
      </c>
      <c r="D199" s="86">
        <v>38677.6710293252</v>
      </c>
      <c r="E199" s="86">
        <v>31171.6344023496</v>
      </c>
      <c r="F199" s="86">
        <v>29668.5937431638</v>
      </c>
      <c r="G199" s="77">
        <f t="shared" si="45"/>
        <v>0.835019393141447</v>
      </c>
      <c r="H199" s="77"/>
      <c r="I199" s="299">
        <f t="shared" si="46"/>
        <v>2.56961614981854</v>
      </c>
      <c r="J199" t="str">
        <f t="shared" si="33"/>
        <v>Trd_car_hh2</v>
      </c>
      <c r="K199" t="str">
        <f t="shared" si="34"/>
        <v>Trd_car_hh2_70</v>
      </c>
      <c r="L199" t="str">
        <f t="shared" si="35"/>
        <v>Trd_car</v>
      </c>
      <c r="M199" s="306">
        <f t="shared" si="36"/>
        <v>55430.2303343829</v>
      </c>
      <c r="N199" s="306">
        <f t="shared" si="37"/>
        <v>38677.6710293252</v>
      </c>
      <c r="O199" s="306">
        <f t="shared" si="38"/>
        <v>31171.6344023496</v>
      </c>
      <c r="P199" s="306">
        <f t="shared" si="39"/>
        <v>29668.5937431638</v>
      </c>
      <c r="T199" t="str">
        <f t="shared" si="40"/>
        <v>Trd_car_hh2_70</v>
      </c>
      <c r="U199" t="str">
        <f ca="1" t="shared" si="47"/>
        <v>Medium size hydrogen fuel cell -- 0.70</v>
      </c>
      <c r="V199" s="309" t="s">
        <v>84</v>
      </c>
      <c r="W199" s="309" t="s">
        <v>85</v>
      </c>
    </row>
  </sheetData>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179"/>
  <sheetViews>
    <sheetView showGridLines="0" zoomScale="54" zoomScaleNormal="54" topLeftCell="L175" workbookViewId="0">
      <selection activeCell="H15" sqref="H15"/>
    </sheetView>
  </sheetViews>
  <sheetFormatPr defaultColWidth="9" defaultRowHeight="14.5"/>
  <cols>
    <col min="1" max="1" width="7.63636363636364" customWidth="1"/>
    <col min="2" max="2" width="38.2727272727273" style="97" customWidth="1"/>
    <col min="3" max="3" width="6.90909090909091" customWidth="1"/>
    <col min="4" max="6" width="6.36363636363636" customWidth="1"/>
    <col min="10" max="10" width="15" customWidth="1"/>
    <col min="11" max="11" width="18.0909090909091" customWidth="1"/>
    <col min="12" max="12" width="11.0909090909091" customWidth="1"/>
    <col min="13" max="13" width="7" customWidth="1"/>
    <col min="14" max="16" width="6" customWidth="1"/>
    <col min="18" max="18" width="51.3636363636364" customWidth="1"/>
    <col min="19" max="19" width="15" customWidth="1"/>
    <col min="20" max="20" width="18.0909090909091" customWidth="1"/>
    <col min="21" max="21" width="24" customWidth="1"/>
  </cols>
  <sheetData>
    <row r="1" ht="15.5" spans="2:19">
      <c r="B1" s="290" t="s">
        <v>10</v>
      </c>
      <c r="C1" s="291"/>
      <c r="D1" s="291"/>
      <c r="E1" s="291"/>
      <c r="F1" s="292"/>
      <c r="Q1" t="s">
        <v>42</v>
      </c>
      <c r="R1" t="s">
        <v>95</v>
      </c>
      <c r="S1" t="str">
        <f>"Trd_lcv_"&amp;Q1</f>
        <v>Trd_lcv_gsl</v>
      </c>
    </row>
    <row r="2" spans="2:19">
      <c r="B2" s="35" t="s">
        <v>9</v>
      </c>
      <c r="C2" s="36"/>
      <c r="D2" s="36"/>
      <c r="E2" s="36"/>
      <c r="F2" s="36"/>
      <c r="Q2" t="s">
        <v>45</v>
      </c>
      <c r="R2" t="s">
        <v>96</v>
      </c>
      <c r="S2" t="str">
        <f t="shared" ref="S2:S10" si="0">"Trd_lcv_"&amp;Q2</f>
        <v>Trd_lcv_gsl-hyb</v>
      </c>
    </row>
    <row r="3" spans="2:19">
      <c r="B3" s="339"/>
      <c r="C3" s="340"/>
      <c r="D3" s="339"/>
      <c r="E3" s="339"/>
      <c r="F3" s="339"/>
      <c r="Q3" t="s">
        <v>48</v>
      </c>
      <c r="R3" t="s">
        <v>97</v>
      </c>
      <c r="S3" t="str">
        <f t="shared" si="0"/>
        <v>Trd_lcv_gsl-pih</v>
      </c>
    </row>
    <row r="4" spans="2:19">
      <c r="B4" s="339"/>
      <c r="C4" s="340"/>
      <c r="D4" s="339"/>
      <c r="E4" s="339"/>
      <c r="F4" s="339"/>
      <c r="Q4" t="s">
        <v>51</v>
      </c>
      <c r="R4" t="s">
        <v>98</v>
      </c>
      <c r="S4" t="str">
        <f t="shared" si="0"/>
        <v>Trd_lcv_dsl</v>
      </c>
    </row>
    <row r="5" spans="2:19">
      <c r="B5" s="339"/>
      <c r="C5" s="340"/>
      <c r="D5" s="339"/>
      <c r="E5" s="339"/>
      <c r="F5" s="339"/>
      <c r="Q5" t="s">
        <v>54</v>
      </c>
      <c r="R5" t="s">
        <v>99</v>
      </c>
      <c r="S5" t="str">
        <f t="shared" si="0"/>
        <v>Trd_lcv_dsl-hyb</v>
      </c>
    </row>
    <row r="6" spans="2:19">
      <c r="B6" s="339"/>
      <c r="C6" s="340"/>
      <c r="D6" s="339"/>
      <c r="E6" s="339"/>
      <c r="F6" s="339"/>
      <c r="Q6" t="s">
        <v>57</v>
      </c>
      <c r="R6" t="s">
        <v>100</v>
      </c>
      <c r="S6" t="str">
        <f t="shared" si="0"/>
        <v>Trd_lcv_dsl-pih</v>
      </c>
    </row>
    <row r="7" spans="6:19">
      <c r="F7" s="316">
        <f>31536000/10^9</f>
        <v>0.031536</v>
      </c>
      <c r="G7" s="301" t="s">
        <v>47</v>
      </c>
      <c r="H7" s="301"/>
      <c r="Q7" t="s">
        <v>59</v>
      </c>
      <c r="R7" t="s">
        <v>101</v>
      </c>
      <c r="S7" t="str">
        <f t="shared" si="0"/>
        <v>Trd_lcv_cng</v>
      </c>
    </row>
    <row r="8" spans="6:19">
      <c r="F8" s="301">
        <v>0.038</v>
      </c>
      <c r="G8" s="301" t="s">
        <v>50</v>
      </c>
      <c r="H8" s="301"/>
      <c r="Q8" t="s">
        <v>61</v>
      </c>
      <c r="R8" t="s">
        <v>102</v>
      </c>
      <c r="S8" t="str">
        <f>"\I:Trd_lcv_"&amp;Q8</f>
        <v>\I:Trd_lcv_lpg</v>
      </c>
    </row>
    <row r="9" ht="15" customHeight="1" spans="2:19">
      <c r="B9" s="43" t="s">
        <v>103</v>
      </c>
      <c r="F9" s="302">
        <f>1.406/26.137</f>
        <v>0.053793472854574</v>
      </c>
      <c r="G9" s="301" t="s">
        <v>53</v>
      </c>
      <c r="H9" s="301"/>
      <c r="Q9" t="s">
        <v>66</v>
      </c>
      <c r="R9" t="s">
        <v>104</v>
      </c>
      <c r="S9" t="str">
        <f t="shared" si="0"/>
        <v>Trd_lcv_elc</v>
      </c>
    </row>
    <row r="10" spans="2:19">
      <c r="B10" s="44">
        <v>2015</v>
      </c>
      <c r="C10" s="298"/>
      <c r="D10" s="44"/>
      <c r="F10" s="302">
        <v>0.02559</v>
      </c>
      <c r="G10" s="301" t="s">
        <v>56</v>
      </c>
      <c r="H10" s="301"/>
      <c r="Q10" t="s">
        <v>68</v>
      </c>
      <c r="R10" t="s">
        <v>105</v>
      </c>
      <c r="S10" t="str">
        <f t="shared" si="0"/>
        <v>Trd_lcv_hh2</v>
      </c>
    </row>
    <row r="11" spans="2:10">
      <c r="B11" s="45" t="s">
        <v>12</v>
      </c>
      <c r="C11" s="46" t="s">
        <v>13</v>
      </c>
      <c r="D11" s="47">
        <v>8.50782554565738</v>
      </c>
      <c r="G11" s="77">
        <f>D11*$F$7/100*10^9/10^6</f>
        <v>2.68302786407851</v>
      </c>
      <c r="H11" s="77"/>
      <c r="I11" s="299">
        <f>1/G11</f>
        <v>0.372713236932204</v>
      </c>
      <c r="J11" s="299"/>
    </row>
    <row r="12" spans="2:10">
      <c r="B12" s="45" t="s">
        <v>14</v>
      </c>
      <c r="C12" s="46" t="s">
        <v>15</v>
      </c>
      <c r="D12" s="68">
        <v>17407.9785320185</v>
      </c>
      <c r="I12" s="311" t="s">
        <v>70</v>
      </c>
      <c r="J12" s="311"/>
    </row>
    <row r="13" spans="2:10">
      <c r="B13" s="323"/>
      <c r="C13" s="324"/>
      <c r="D13" s="325"/>
      <c r="I13" s="311"/>
      <c r="J13" s="311"/>
    </row>
    <row r="14" ht="15.25" spans="11:23">
      <c r="K14" s="304" t="s">
        <v>71</v>
      </c>
      <c r="S14" s="304" t="s">
        <v>72</v>
      </c>
      <c r="T14" s="308"/>
      <c r="U14" s="308"/>
      <c r="V14" s="308"/>
      <c r="W14" s="308"/>
    </row>
    <row r="15" spans="9:23">
      <c r="I15" t="s">
        <v>73</v>
      </c>
      <c r="J15" t="s">
        <v>74</v>
      </c>
      <c r="K15" t="s">
        <v>75</v>
      </c>
      <c r="L15" t="s">
        <v>76</v>
      </c>
      <c r="M15">
        <f>C19</f>
        <v>2020</v>
      </c>
      <c r="N15">
        <f>D19</f>
        <v>2030</v>
      </c>
      <c r="O15">
        <f>E19</f>
        <v>2040</v>
      </c>
      <c r="P15">
        <f>F19</f>
        <v>2050</v>
      </c>
      <c r="Q15" t="s">
        <v>77</v>
      </c>
      <c r="S15" s="308" t="s">
        <v>78</v>
      </c>
      <c r="T15" s="308" t="s">
        <v>79</v>
      </c>
      <c r="U15" s="308" t="s">
        <v>80</v>
      </c>
      <c r="V15" s="308" t="s">
        <v>81</v>
      </c>
      <c r="W15" s="308" t="s">
        <v>82</v>
      </c>
    </row>
    <row r="16" ht="15" customHeight="1" spans="2:23">
      <c r="B16" s="48" t="s">
        <v>16</v>
      </c>
      <c r="C16" s="300" t="s">
        <v>95</v>
      </c>
      <c r="D16" s="48"/>
      <c r="E16" s="48"/>
      <c r="F16" s="48"/>
      <c r="J16" t="str">
        <f>IFERROR(VLOOKUP(C16,$R$1:$S$10,2,FALSE),J14)</f>
        <v>Trd_lcv_gsl</v>
      </c>
      <c r="K16" t="str">
        <f>IFERROR(IF(VALUE(C16)&gt;2020,J16&amp;"_"&amp;TEXT(B16*100,"00"),"\I:"),"\I:")</f>
        <v>\I:</v>
      </c>
      <c r="L16" t="str">
        <f>LEFT(K16,7)</f>
        <v>\I:</v>
      </c>
      <c r="M16" s="306" t="str">
        <f>IF($K16="\I:","",C16)</f>
        <v/>
      </c>
      <c r="N16" s="306" t="str">
        <f>IF($K16="\I:","",D16)</f>
        <v/>
      </c>
      <c r="O16" s="306" t="str">
        <f>IF($K16="\I:","",E16)</f>
        <v/>
      </c>
      <c r="P16" s="306" t="str">
        <f>IF($K16="\I:","",F16)</f>
        <v/>
      </c>
      <c r="Q16" s="306"/>
      <c r="R16" s="345"/>
      <c r="S16" t="s">
        <v>83</v>
      </c>
      <c r="T16" t="str">
        <f t="shared" ref="T16:T47" si="1">K16</f>
        <v>\I:</v>
      </c>
      <c r="U16" t="str">
        <f ca="1" t="shared" ref="U16:U47" si="2">OFFSET($S$1,MATCH(J16,$S$1:$S$10,0)-1,-1)&amp;" -- "&amp;TEXT(B16,"00%")</f>
        <v>ICE gasoline LCV -- Reduction of specific energy consumption relative to 2015 gasoline vehicle (%)</v>
      </c>
      <c r="V16" s="309" t="s">
        <v>84</v>
      </c>
      <c r="W16" s="309" t="s">
        <v>85</v>
      </c>
    </row>
    <row r="17" spans="2:23">
      <c r="B17" s="48"/>
      <c r="C17" s="300"/>
      <c r="D17" s="48"/>
      <c r="E17" s="48"/>
      <c r="F17" s="48"/>
      <c r="J17" t="str">
        <f>IFERROR(VLOOKUP(C17,$R$1:$S$10,2,FALSE),J16)</f>
        <v>Trd_lcv_gsl</v>
      </c>
      <c r="K17" t="str">
        <f t="shared" ref="K17:K80" si="3">IFERROR(IF(VALUE(C17)&gt;2020,J17&amp;"_"&amp;TEXT(B17*100,"00"),"\I:"),"\I:")</f>
        <v>\I:</v>
      </c>
      <c r="L17" t="str">
        <f t="shared" ref="L17:L80" si="4">LEFT(K17,7)</f>
        <v>\I:</v>
      </c>
      <c r="M17" s="306" t="str">
        <f t="shared" ref="M17:M25" si="5">IF($K17="\I:","",C17)</f>
        <v/>
      </c>
      <c r="N17" s="306" t="str">
        <f t="shared" ref="N17:P18" si="6">IF($K17="\I:","",D17)</f>
        <v/>
      </c>
      <c r="O17" s="306" t="str">
        <f t="shared" si="6"/>
        <v/>
      </c>
      <c r="P17" s="306" t="str">
        <f t="shared" si="6"/>
        <v/>
      </c>
      <c r="Q17" s="306"/>
      <c r="R17" s="306"/>
      <c r="S17" t="s">
        <v>83</v>
      </c>
      <c r="T17" t="str">
        <f t="shared" si="1"/>
        <v>\I:</v>
      </c>
      <c r="U17" t="str">
        <f ca="1" t="shared" si="2"/>
        <v>ICE gasoline LCV -- 00%</v>
      </c>
      <c r="V17" s="309" t="s">
        <v>84</v>
      </c>
      <c r="W17" s="309" t="s">
        <v>85</v>
      </c>
    </row>
    <row r="18" spans="2:23">
      <c r="B18" s="48"/>
      <c r="C18" s="300"/>
      <c r="D18" s="48"/>
      <c r="E18" s="48"/>
      <c r="F18" s="48"/>
      <c r="J18" t="str">
        <f>IFERROR(VLOOKUP(C18,$R$1:$S$10,2,FALSE),J17)</f>
        <v>Trd_lcv_gsl</v>
      </c>
      <c r="K18" t="str">
        <f t="shared" si="3"/>
        <v>\I:</v>
      </c>
      <c r="L18" t="str">
        <f t="shared" si="4"/>
        <v>\I:</v>
      </c>
      <c r="M18" s="306" t="str">
        <f t="shared" si="5"/>
        <v/>
      </c>
      <c r="N18" s="306" t="str">
        <f t="shared" si="6"/>
        <v/>
      </c>
      <c r="O18" s="306" t="str">
        <f t="shared" si="6"/>
        <v/>
      </c>
      <c r="P18" s="306" t="str">
        <f t="shared" si="6"/>
        <v/>
      </c>
      <c r="Q18" s="306"/>
      <c r="R18" s="306"/>
      <c r="S18" t="s">
        <v>83</v>
      </c>
      <c r="T18" t="str">
        <f t="shared" si="1"/>
        <v>\I:</v>
      </c>
      <c r="U18" t="str">
        <f ca="1" t="shared" si="2"/>
        <v>ICE gasoline LCV -- 00%</v>
      </c>
      <c r="V18" s="309" t="s">
        <v>84</v>
      </c>
      <c r="W18" s="309" t="s">
        <v>85</v>
      </c>
    </row>
    <row r="19" spans="2:23">
      <c r="B19" s="88"/>
      <c r="C19" s="341">
        <v>2020</v>
      </c>
      <c r="D19" s="50">
        <v>2030</v>
      </c>
      <c r="E19" s="50">
        <v>2040</v>
      </c>
      <c r="F19" s="50">
        <v>2050</v>
      </c>
      <c r="I19" s="299">
        <v>1</v>
      </c>
      <c r="J19" s="43" t="str">
        <f t="shared" ref="J19" si="7">IFERROR(VLOOKUP(C19,$R$1:$S$11,2,FALSE),J18)</f>
        <v>Trd_lcv_gsl</v>
      </c>
      <c r="K19" s="43" t="str">
        <f>IFERROR(IF(VALUE(C19)&gt;200,J19&amp;"_"&amp;TEXT(B19*100,"00"),"\I:"),"\I:")</f>
        <v>Trd_lcv_gsl_00</v>
      </c>
      <c r="L19" t="str">
        <f t="shared" si="4"/>
        <v>Trd_lcv</v>
      </c>
      <c r="M19" s="344">
        <f>D12</f>
        <v>17407.9785320185</v>
      </c>
      <c r="N19" s="306"/>
      <c r="O19" s="306"/>
      <c r="P19" s="306"/>
      <c r="Q19" s="306"/>
      <c r="R19" s="306"/>
      <c r="S19" t="s">
        <v>83</v>
      </c>
      <c r="T19" t="str">
        <f t="shared" si="1"/>
        <v>Trd_lcv_gsl_00</v>
      </c>
      <c r="U19" t="str">
        <f ca="1" t="shared" si="2"/>
        <v>ICE gasoline LCV -- 00%</v>
      </c>
      <c r="V19" s="309" t="s">
        <v>84</v>
      </c>
      <c r="W19" s="309" t="s">
        <v>85</v>
      </c>
    </row>
    <row r="20" spans="2:23">
      <c r="B20" s="85">
        <v>0.145560583753408</v>
      </c>
      <c r="C20" s="342">
        <v>17878.5978132433</v>
      </c>
      <c r="D20" s="86">
        <v>17417.4266041105</v>
      </c>
      <c r="E20" s="86">
        <v>17417.4266041105</v>
      </c>
      <c r="F20" s="86">
        <v>17417.4266041105</v>
      </c>
      <c r="I20" s="77">
        <f>(1+B20)</f>
        <v>1.14556058375341</v>
      </c>
      <c r="J20" t="str">
        <f t="shared" ref="J20:J83" si="8">IFERROR(VLOOKUP(C20,$R$1:$S$10,2,FALSE),J19)</f>
        <v>Trd_lcv_gsl</v>
      </c>
      <c r="K20" t="str">
        <f t="shared" si="3"/>
        <v>Trd_lcv_gsl_15</v>
      </c>
      <c r="L20" t="str">
        <f t="shared" si="4"/>
        <v>Trd_lcv</v>
      </c>
      <c r="M20" s="306">
        <f t="shared" si="5"/>
        <v>17878.5978132433</v>
      </c>
      <c r="N20" s="306">
        <f t="shared" ref="N20:P25" si="9">IF($K20="\I:","",D20)</f>
        <v>17417.4266041105</v>
      </c>
      <c r="O20" s="306">
        <f t="shared" si="9"/>
        <v>17417.4266041105</v>
      </c>
      <c r="P20" s="306">
        <f t="shared" si="9"/>
        <v>17417.4266041105</v>
      </c>
      <c r="Q20" s="306"/>
      <c r="R20" s="306"/>
      <c r="S20" t="s">
        <v>83</v>
      </c>
      <c r="T20" t="str">
        <f t="shared" si="1"/>
        <v>Trd_lcv_gsl_15</v>
      </c>
      <c r="U20" t="str">
        <f ca="1" t="shared" si="2"/>
        <v>ICE gasoline LCV -- 15%</v>
      </c>
      <c r="V20" s="309" t="s">
        <v>84</v>
      </c>
      <c r="W20" s="309" t="s">
        <v>85</v>
      </c>
    </row>
    <row r="21" spans="2:23">
      <c r="B21" s="85">
        <v>0.245560583753408</v>
      </c>
      <c r="C21" s="342">
        <v>19243.4316461009</v>
      </c>
      <c r="D21" s="86">
        <v>17966.6005607638</v>
      </c>
      <c r="E21" s="86">
        <v>17966.6005607638</v>
      </c>
      <c r="F21" s="86">
        <v>17966.6005607638</v>
      </c>
      <c r="I21" s="77">
        <f t="shared" ref="I21:I25" si="10">(1+B21)</f>
        <v>1.24556058375341</v>
      </c>
      <c r="J21" t="str">
        <f t="shared" si="8"/>
        <v>Trd_lcv_gsl</v>
      </c>
      <c r="K21" t="str">
        <f t="shared" si="3"/>
        <v>Trd_lcv_gsl_25</v>
      </c>
      <c r="L21" t="str">
        <f t="shared" si="4"/>
        <v>Trd_lcv</v>
      </c>
      <c r="M21" s="306">
        <f t="shared" si="5"/>
        <v>19243.4316461009</v>
      </c>
      <c r="N21" s="306">
        <f t="shared" si="9"/>
        <v>17966.6005607638</v>
      </c>
      <c r="O21" s="306">
        <f t="shared" si="9"/>
        <v>17966.6005607638</v>
      </c>
      <c r="P21" s="306">
        <f t="shared" si="9"/>
        <v>17966.6005607638</v>
      </c>
      <c r="Q21" s="306"/>
      <c r="R21" s="306"/>
      <c r="S21" t="s">
        <v>83</v>
      </c>
      <c r="T21" t="str">
        <f t="shared" si="1"/>
        <v>Trd_lcv_gsl_25</v>
      </c>
      <c r="U21" t="str">
        <f ca="1" t="shared" si="2"/>
        <v>ICE gasoline LCV -- 25%</v>
      </c>
      <c r="V21" s="309" t="s">
        <v>84</v>
      </c>
      <c r="W21" s="309" t="s">
        <v>85</v>
      </c>
    </row>
    <row r="22" spans="2:23">
      <c r="B22" s="85">
        <v>0.345560583753408</v>
      </c>
      <c r="C22" s="342">
        <v>24327.6038120321</v>
      </c>
      <c r="D22" s="86">
        <v>19194.380760066</v>
      </c>
      <c r="E22" s="86">
        <v>19194.380760066</v>
      </c>
      <c r="F22" s="86">
        <v>19194.380760066</v>
      </c>
      <c r="I22" s="77">
        <f t="shared" si="10"/>
        <v>1.34556058375341</v>
      </c>
      <c r="J22" t="str">
        <f t="shared" si="8"/>
        <v>Trd_lcv_gsl</v>
      </c>
      <c r="K22" t="str">
        <f t="shared" si="3"/>
        <v>Trd_lcv_gsl_35</v>
      </c>
      <c r="L22" t="str">
        <f t="shared" si="4"/>
        <v>Trd_lcv</v>
      </c>
      <c r="M22" s="306">
        <f t="shared" si="5"/>
        <v>24327.6038120321</v>
      </c>
      <c r="N22" s="306">
        <f t="shared" si="9"/>
        <v>19194.380760066</v>
      </c>
      <c r="O22" s="306">
        <f t="shared" si="9"/>
        <v>19194.380760066</v>
      </c>
      <c r="P22" s="306">
        <f t="shared" si="9"/>
        <v>19194.380760066</v>
      </c>
      <c r="Q22" s="306"/>
      <c r="R22" s="306"/>
      <c r="S22" t="s">
        <v>83</v>
      </c>
      <c r="T22" t="str">
        <f t="shared" si="1"/>
        <v>Trd_lcv_gsl_35</v>
      </c>
      <c r="U22" t="str">
        <f ca="1" t="shared" si="2"/>
        <v>ICE gasoline LCV -- 35%</v>
      </c>
      <c r="V22" s="309" t="s">
        <v>84</v>
      </c>
      <c r="W22" s="309" t="s">
        <v>85</v>
      </c>
    </row>
    <row r="23" spans="2:23">
      <c r="B23" s="85">
        <v>0.395560583753408</v>
      </c>
      <c r="C23" s="342">
        <v>32775.022169116</v>
      </c>
      <c r="D23" s="86">
        <v>21558.4773052488</v>
      </c>
      <c r="E23" s="86">
        <v>21558.4773052488</v>
      </c>
      <c r="F23" s="86">
        <v>21558.4773052488</v>
      </c>
      <c r="I23" s="77">
        <f t="shared" si="10"/>
        <v>1.39556058375341</v>
      </c>
      <c r="J23" t="str">
        <f t="shared" si="8"/>
        <v>Trd_lcv_gsl</v>
      </c>
      <c r="K23" t="str">
        <f t="shared" si="3"/>
        <v>Trd_lcv_gsl_40</v>
      </c>
      <c r="L23" t="str">
        <f t="shared" si="4"/>
        <v>Trd_lcv</v>
      </c>
      <c r="M23" s="306">
        <f t="shared" si="5"/>
        <v>32775.022169116</v>
      </c>
      <c r="N23" s="306">
        <f t="shared" si="9"/>
        <v>21558.4773052488</v>
      </c>
      <c r="O23" s="306">
        <f t="shared" si="9"/>
        <v>21558.4773052488</v>
      </c>
      <c r="P23" s="306">
        <f t="shared" si="9"/>
        <v>21558.4773052488</v>
      </c>
      <c r="Q23" s="306"/>
      <c r="R23" s="306"/>
      <c r="S23" t="s">
        <v>83</v>
      </c>
      <c r="T23" t="str">
        <f t="shared" si="1"/>
        <v>Trd_lcv_gsl_40</v>
      </c>
      <c r="U23" t="str">
        <f ca="1" t="shared" si="2"/>
        <v>ICE gasoline LCV -- 40%</v>
      </c>
      <c r="V23" s="309" t="s">
        <v>84</v>
      </c>
      <c r="W23" s="309" t="s">
        <v>85</v>
      </c>
    </row>
    <row r="24" spans="2:23">
      <c r="B24" s="85">
        <v>0.445560583753408</v>
      </c>
      <c r="C24" s="342">
        <v>99589.7033153908</v>
      </c>
      <c r="D24" s="86">
        <v>26988.3309410172</v>
      </c>
      <c r="E24" s="86">
        <v>26988.3309410172</v>
      </c>
      <c r="F24" s="86">
        <v>26988.3309410172</v>
      </c>
      <c r="I24" s="77">
        <f t="shared" si="10"/>
        <v>1.44556058375341</v>
      </c>
      <c r="J24" t="str">
        <f t="shared" si="8"/>
        <v>Trd_lcv_gsl</v>
      </c>
      <c r="K24" t="str">
        <f t="shared" si="3"/>
        <v>Trd_lcv_gsl_45</v>
      </c>
      <c r="L24" t="str">
        <f t="shared" si="4"/>
        <v>Trd_lcv</v>
      </c>
      <c r="M24" s="306">
        <f t="shared" si="5"/>
        <v>99589.7033153908</v>
      </c>
      <c r="N24" s="306">
        <f t="shared" si="9"/>
        <v>26988.3309410172</v>
      </c>
      <c r="O24" s="306">
        <f t="shared" si="9"/>
        <v>26988.3309410172</v>
      </c>
      <c r="P24" s="306">
        <f t="shared" si="9"/>
        <v>26988.3309410172</v>
      </c>
      <c r="Q24" s="306"/>
      <c r="R24" s="306"/>
      <c r="S24" t="s">
        <v>83</v>
      </c>
      <c r="T24" t="str">
        <f t="shared" si="1"/>
        <v>Trd_lcv_gsl_45</v>
      </c>
      <c r="U24" t="str">
        <f ca="1" t="shared" si="2"/>
        <v>ICE gasoline LCV -- 45%</v>
      </c>
      <c r="V24" s="309" t="s">
        <v>84</v>
      </c>
      <c r="W24" s="309" t="s">
        <v>85</v>
      </c>
    </row>
    <row r="25" spans="2:23">
      <c r="B25" s="85">
        <v>0.495560583753408</v>
      </c>
      <c r="C25" s="342">
        <v>116875.343716562</v>
      </c>
      <c r="D25" s="86">
        <v>78477.0793321692</v>
      </c>
      <c r="E25" s="86">
        <v>78477.0793321692</v>
      </c>
      <c r="F25" s="86">
        <v>78477.0793321692</v>
      </c>
      <c r="I25" s="77">
        <f t="shared" si="10"/>
        <v>1.49556058375341</v>
      </c>
      <c r="J25" t="str">
        <f t="shared" si="8"/>
        <v>Trd_lcv_gsl</v>
      </c>
      <c r="K25" t="str">
        <f t="shared" si="3"/>
        <v>Trd_lcv_gsl_50</v>
      </c>
      <c r="L25" t="str">
        <f t="shared" si="4"/>
        <v>Trd_lcv</v>
      </c>
      <c r="M25" s="306">
        <f t="shared" si="5"/>
        <v>116875.343716562</v>
      </c>
      <c r="N25" s="306">
        <f t="shared" si="9"/>
        <v>78477.0793321692</v>
      </c>
      <c r="O25" s="306">
        <f t="shared" si="9"/>
        <v>78477.0793321692</v>
      </c>
      <c r="P25" s="306">
        <f t="shared" si="9"/>
        <v>78477.0793321692</v>
      </c>
      <c r="Q25" s="306"/>
      <c r="R25" s="306"/>
      <c r="S25" t="s">
        <v>83</v>
      </c>
      <c r="T25" t="str">
        <f t="shared" si="1"/>
        <v>Trd_lcv_gsl_50</v>
      </c>
      <c r="U25" t="str">
        <f ca="1" t="shared" si="2"/>
        <v>ICE gasoline LCV -- 50%</v>
      </c>
      <c r="V25" s="309" t="s">
        <v>84</v>
      </c>
      <c r="W25" s="309" t="s">
        <v>85</v>
      </c>
    </row>
    <row r="26" spans="4:23">
      <c r="D26" s="97"/>
      <c r="E26" s="97"/>
      <c r="F26" s="97"/>
      <c r="J26" t="str">
        <f t="shared" si="8"/>
        <v>Trd_lcv_gsl</v>
      </c>
      <c r="K26" t="str">
        <f t="shared" si="3"/>
        <v>\I:</v>
      </c>
      <c r="L26" t="str">
        <f t="shared" si="4"/>
        <v>\I:</v>
      </c>
      <c r="M26" s="306" t="str">
        <f t="shared" ref="M26:M89" si="11">IF($K26="\I:","",C26)</f>
        <v/>
      </c>
      <c r="N26" s="306" t="str">
        <f t="shared" ref="N26:N89" si="12">IF($K26="\I:","",D26)</f>
        <v/>
      </c>
      <c r="O26" s="306" t="str">
        <f t="shared" ref="O26:O89" si="13">IF($K26="\I:","",E26)</f>
        <v/>
      </c>
      <c r="P26" s="306" t="str">
        <f t="shared" ref="P26:P89" si="14">IF($K26="\I:","",F26)</f>
        <v/>
      </c>
      <c r="T26" t="str">
        <f t="shared" si="1"/>
        <v>\I:</v>
      </c>
      <c r="U26" t="str">
        <f ca="1" t="shared" si="2"/>
        <v>ICE gasoline LCV -- 00%</v>
      </c>
      <c r="V26" s="309" t="s">
        <v>84</v>
      </c>
      <c r="W26" s="309" t="s">
        <v>85</v>
      </c>
    </row>
    <row r="27" spans="10:23">
      <c r="J27" t="str">
        <f t="shared" si="8"/>
        <v>Trd_lcv_gsl</v>
      </c>
      <c r="K27" t="str">
        <f t="shared" si="3"/>
        <v>\I:</v>
      </c>
      <c r="L27" t="str">
        <f t="shared" si="4"/>
        <v>\I:</v>
      </c>
      <c r="M27" s="306" t="str">
        <f t="shared" si="11"/>
        <v/>
      </c>
      <c r="N27" s="306" t="str">
        <f t="shared" si="12"/>
        <v/>
      </c>
      <c r="O27" s="306" t="str">
        <f t="shared" si="13"/>
        <v/>
      </c>
      <c r="P27" s="306" t="str">
        <f t="shared" si="14"/>
        <v/>
      </c>
      <c r="T27" t="str">
        <f t="shared" si="1"/>
        <v>\I:</v>
      </c>
      <c r="U27" t="str">
        <f ca="1" t="shared" si="2"/>
        <v>ICE gasoline LCV -- 00%</v>
      </c>
      <c r="V27" s="309" t="s">
        <v>84</v>
      </c>
      <c r="W27" s="309" t="s">
        <v>85</v>
      </c>
    </row>
    <row r="28" spans="10:23">
      <c r="J28" t="str">
        <f t="shared" si="8"/>
        <v>Trd_lcv_gsl</v>
      </c>
      <c r="K28" t="str">
        <f t="shared" si="3"/>
        <v>\I:</v>
      </c>
      <c r="L28" t="str">
        <f t="shared" si="4"/>
        <v>\I:</v>
      </c>
      <c r="M28" s="306" t="str">
        <f t="shared" si="11"/>
        <v/>
      </c>
      <c r="N28" s="306" t="str">
        <f t="shared" si="12"/>
        <v/>
      </c>
      <c r="O28" s="306" t="str">
        <f t="shared" si="13"/>
        <v/>
      </c>
      <c r="P28" s="306" t="str">
        <f t="shared" si="14"/>
        <v/>
      </c>
      <c r="T28" t="str">
        <f t="shared" si="1"/>
        <v>\I:</v>
      </c>
      <c r="U28" t="str">
        <f ca="1" t="shared" si="2"/>
        <v>ICE gasoline LCV -- 00%</v>
      </c>
      <c r="V28" s="309" t="s">
        <v>84</v>
      </c>
      <c r="W28" s="309" t="s">
        <v>85</v>
      </c>
    </row>
    <row r="29" spans="10:23">
      <c r="J29" t="str">
        <f t="shared" si="8"/>
        <v>Trd_lcv_gsl</v>
      </c>
      <c r="K29" t="str">
        <f t="shared" si="3"/>
        <v>\I:</v>
      </c>
      <c r="L29" t="str">
        <f t="shared" si="4"/>
        <v>\I:</v>
      </c>
      <c r="M29" s="306" t="str">
        <f t="shared" si="11"/>
        <v/>
      </c>
      <c r="N29" s="306" t="str">
        <f t="shared" si="12"/>
        <v/>
      </c>
      <c r="O29" s="306" t="str">
        <f t="shared" si="13"/>
        <v/>
      </c>
      <c r="P29" s="306" t="str">
        <f t="shared" si="14"/>
        <v/>
      </c>
      <c r="T29" t="str">
        <f t="shared" si="1"/>
        <v>\I:</v>
      </c>
      <c r="U29" t="str">
        <f ca="1" t="shared" si="2"/>
        <v>ICE gasoline LCV -- 00%</v>
      </c>
      <c r="V29" s="309" t="s">
        <v>84</v>
      </c>
      <c r="W29" s="309" t="s">
        <v>85</v>
      </c>
    </row>
    <row r="30" ht="15" customHeight="1" spans="2:23">
      <c r="B30" s="48" t="s">
        <v>16</v>
      </c>
      <c r="C30" s="300" t="s">
        <v>96</v>
      </c>
      <c r="D30" s="48"/>
      <c r="E30" s="48"/>
      <c r="F30" s="48"/>
      <c r="J30" t="str">
        <f t="shared" si="8"/>
        <v>Trd_lcv_gsl-hyb</v>
      </c>
      <c r="K30" t="str">
        <f t="shared" si="3"/>
        <v>\I:</v>
      </c>
      <c r="L30" t="str">
        <f t="shared" si="4"/>
        <v>\I:</v>
      </c>
      <c r="M30" s="306" t="str">
        <f t="shared" si="11"/>
        <v/>
      </c>
      <c r="N30" s="306" t="str">
        <f t="shared" si="12"/>
        <v/>
      </c>
      <c r="O30" s="306" t="str">
        <f t="shared" si="13"/>
        <v/>
      </c>
      <c r="P30" s="306" t="str">
        <f t="shared" si="14"/>
        <v/>
      </c>
      <c r="T30" t="str">
        <f t="shared" si="1"/>
        <v>\I:</v>
      </c>
      <c r="U30" t="str">
        <f ca="1" t="shared" si="2"/>
        <v>ICE gasoline hybrid LCV -- Reduction of specific energy consumption relative to 2015 gasoline vehicle (%)</v>
      </c>
      <c r="V30" s="309" t="s">
        <v>84</v>
      </c>
      <c r="W30" s="309" t="s">
        <v>85</v>
      </c>
    </row>
    <row r="31" spans="2:23">
      <c r="B31" s="48"/>
      <c r="C31" s="300"/>
      <c r="D31" s="48"/>
      <c r="E31" s="48"/>
      <c r="F31" s="48"/>
      <c r="J31" t="str">
        <f t="shared" si="8"/>
        <v>Trd_lcv_gsl-hyb</v>
      </c>
      <c r="K31" t="str">
        <f t="shared" si="3"/>
        <v>\I:</v>
      </c>
      <c r="L31" t="str">
        <f t="shared" si="4"/>
        <v>\I:</v>
      </c>
      <c r="M31" s="306" t="str">
        <f t="shared" si="11"/>
        <v/>
      </c>
      <c r="N31" s="306" t="str">
        <f t="shared" si="12"/>
        <v/>
      </c>
      <c r="O31" s="306" t="str">
        <f t="shared" si="13"/>
        <v/>
      </c>
      <c r="P31" s="306" t="str">
        <f t="shared" si="14"/>
        <v/>
      </c>
      <c r="T31" t="str">
        <f t="shared" si="1"/>
        <v>\I:</v>
      </c>
      <c r="U31" t="str">
        <f ca="1" t="shared" si="2"/>
        <v>ICE gasoline hybrid LCV -- 00%</v>
      </c>
      <c r="V31" s="309" t="s">
        <v>84</v>
      </c>
      <c r="W31" s="309" t="s">
        <v>85</v>
      </c>
    </row>
    <row r="32" spans="2:23">
      <c r="B32" s="48"/>
      <c r="C32" s="300"/>
      <c r="D32" s="48"/>
      <c r="E32" s="48"/>
      <c r="F32" s="48"/>
      <c r="J32" t="str">
        <f t="shared" si="8"/>
        <v>Trd_lcv_gsl-hyb</v>
      </c>
      <c r="K32" t="str">
        <f t="shared" si="3"/>
        <v>\I:</v>
      </c>
      <c r="L32" t="str">
        <f t="shared" si="4"/>
        <v>\I:</v>
      </c>
      <c r="M32" s="306" t="str">
        <f t="shared" si="11"/>
        <v/>
      </c>
      <c r="N32" s="306" t="str">
        <f t="shared" si="12"/>
        <v/>
      </c>
      <c r="O32" s="306" t="str">
        <f t="shared" si="13"/>
        <v/>
      </c>
      <c r="P32" s="306" t="str">
        <f t="shared" si="14"/>
        <v/>
      </c>
      <c r="T32" t="str">
        <f t="shared" si="1"/>
        <v>\I:</v>
      </c>
      <c r="U32" t="str">
        <f ca="1" t="shared" si="2"/>
        <v>ICE gasoline hybrid LCV -- 00%</v>
      </c>
      <c r="V32" s="309" t="s">
        <v>84</v>
      </c>
      <c r="W32" s="309" t="s">
        <v>85</v>
      </c>
    </row>
    <row r="33" spans="2:23">
      <c r="B33" s="88"/>
      <c r="C33" s="341">
        <v>2020</v>
      </c>
      <c r="D33" s="50">
        <v>2030</v>
      </c>
      <c r="E33" s="50">
        <v>2040</v>
      </c>
      <c r="F33" s="50">
        <v>2050</v>
      </c>
      <c r="J33" t="str">
        <f t="shared" si="8"/>
        <v>Trd_lcv_gsl-hyb</v>
      </c>
      <c r="K33" t="str">
        <f t="shared" si="3"/>
        <v>\I:</v>
      </c>
      <c r="L33" t="str">
        <f t="shared" si="4"/>
        <v>\I:</v>
      </c>
      <c r="M33" s="306" t="str">
        <f t="shared" si="11"/>
        <v/>
      </c>
      <c r="N33" s="306" t="str">
        <f t="shared" si="12"/>
        <v/>
      </c>
      <c r="O33" s="306" t="str">
        <f t="shared" si="13"/>
        <v/>
      </c>
      <c r="P33" s="306" t="str">
        <f t="shared" si="14"/>
        <v/>
      </c>
      <c r="T33" t="str">
        <f t="shared" si="1"/>
        <v>\I:</v>
      </c>
      <c r="U33" t="str">
        <f ca="1" t="shared" si="2"/>
        <v>ICE gasoline hybrid LCV -- 00%</v>
      </c>
      <c r="V33" s="309" t="s">
        <v>84</v>
      </c>
      <c r="W33" s="309" t="s">
        <v>85</v>
      </c>
    </row>
    <row r="34" spans="2:23">
      <c r="B34" s="85">
        <v>0.141858664420856</v>
      </c>
      <c r="C34" s="342">
        <v>20504.4559655839</v>
      </c>
      <c r="D34" s="86">
        <v>19138.7491883351</v>
      </c>
      <c r="E34" s="86">
        <v>19138.7491883351</v>
      </c>
      <c r="F34" s="86">
        <v>19138.7491883351</v>
      </c>
      <c r="I34" s="77">
        <f t="shared" ref="I34:I40" si="15">(1+B34)</f>
        <v>1.14185866442086</v>
      </c>
      <c r="J34" t="str">
        <f t="shared" si="8"/>
        <v>Trd_lcv_gsl-hyb</v>
      </c>
      <c r="K34" t="str">
        <f t="shared" si="3"/>
        <v>Trd_lcv_gsl-hyb_14</v>
      </c>
      <c r="L34" t="str">
        <f t="shared" si="4"/>
        <v>Trd_lcv</v>
      </c>
      <c r="M34" s="306">
        <f t="shared" si="11"/>
        <v>20504.4559655839</v>
      </c>
      <c r="N34" s="306">
        <f t="shared" si="12"/>
        <v>19138.7491883351</v>
      </c>
      <c r="O34" s="306">
        <f t="shared" si="13"/>
        <v>19138.7491883351</v>
      </c>
      <c r="P34" s="306">
        <f t="shared" si="14"/>
        <v>19138.7491883351</v>
      </c>
      <c r="T34" t="str">
        <f t="shared" si="1"/>
        <v>Trd_lcv_gsl-hyb_14</v>
      </c>
      <c r="U34" t="str">
        <f ca="1" t="shared" si="2"/>
        <v>ICE gasoline hybrid LCV -- 14%</v>
      </c>
      <c r="V34" s="309" t="s">
        <v>84</v>
      </c>
      <c r="W34" s="309" t="s">
        <v>85</v>
      </c>
    </row>
    <row r="35" spans="2:23">
      <c r="B35" s="85">
        <v>0.241858664420856</v>
      </c>
      <c r="C35" s="342">
        <v>20722.2426519634</v>
      </c>
      <c r="D35" s="86">
        <v>19390.0828167076</v>
      </c>
      <c r="E35" s="86">
        <v>19390.0828167076</v>
      </c>
      <c r="F35" s="86">
        <v>19390.0828167076</v>
      </c>
      <c r="I35" s="77">
        <f t="shared" si="15"/>
        <v>1.24185866442086</v>
      </c>
      <c r="J35" t="str">
        <f t="shared" si="8"/>
        <v>Trd_lcv_gsl-hyb</v>
      </c>
      <c r="K35" t="str">
        <f t="shared" si="3"/>
        <v>Trd_lcv_gsl-hyb_24</v>
      </c>
      <c r="L35" t="str">
        <f t="shared" si="4"/>
        <v>Trd_lcv</v>
      </c>
      <c r="M35" s="306">
        <f t="shared" si="11"/>
        <v>20722.2426519634</v>
      </c>
      <c r="N35" s="306">
        <f t="shared" si="12"/>
        <v>19390.0828167076</v>
      </c>
      <c r="O35" s="306">
        <f t="shared" si="13"/>
        <v>19390.0828167076</v>
      </c>
      <c r="P35" s="306">
        <f t="shared" si="14"/>
        <v>19390.0828167076</v>
      </c>
      <c r="T35" t="str">
        <f t="shared" si="1"/>
        <v>Trd_lcv_gsl-hyb_24</v>
      </c>
      <c r="U35" t="str">
        <f ca="1" t="shared" si="2"/>
        <v>ICE gasoline hybrid LCV -- 24%</v>
      </c>
      <c r="V35" s="309" t="s">
        <v>84</v>
      </c>
      <c r="W35" s="309" t="s">
        <v>85</v>
      </c>
    </row>
    <row r="36" spans="2:23">
      <c r="B36" s="85">
        <v>0.291858664420856</v>
      </c>
      <c r="C36" s="342">
        <v>20967.6583697595</v>
      </c>
      <c r="D36" s="86">
        <v>19601.2088430076</v>
      </c>
      <c r="E36" s="86">
        <v>19601.2088430076</v>
      </c>
      <c r="F36" s="86">
        <v>19601.2088430076</v>
      </c>
      <c r="I36" s="77">
        <f t="shared" si="15"/>
        <v>1.29185866442086</v>
      </c>
      <c r="J36" t="str">
        <f t="shared" si="8"/>
        <v>Trd_lcv_gsl-hyb</v>
      </c>
      <c r="K36" t="str">
        <f t="shared" si="3"/>
        <v>Trd_lcv_gsl-hyb_29</v>
      </c>
      <c r="L36" t="str">
        <f t="shared" si="4"/>
        <v>Trd_lcv</v>
      </c>
      <c r="M36" s="306">
        <f t="shared" si="11"/>
        <v>20967.6583697595</v>
      </c>
      <c r="N36" s="306">
        <f t="shared" si="12"/>
        <v>19601.2088430076</v>
      </c>
      <c r="O36" s="306">
        <f t="shared" si="13"/>
        <v>19601.2088430076</v>
      </c>
      <c r="P36" s="306">
        <f t="shared" si="14"/>
        <v>19601.2088430076</v>
      </c>
      <c r="T36" t="str">
        <f t="shared" si="1"/>
        <v>Trd_lcv_gsl-hyb_29</v>
      </c>
      <c r="U36" t="str">
        <f ca="1" t="shared" si="2"/>
        <v>ICE gasoline hybrid LCV -- 29%</v>
      </c>
      <c r="V36" s="309" t="s">
        <v>84</v>
      </c>
      <c r="W36" s="309" t="s">
        <v>85</v>
      </c>
    </row>
    <row r="37" spans="2:23">
      <c r="B37" s="85">
        <v>0.341858664420856</v>
      </c>
      <c r="C37" s="342">
        <v>21437.6216583787</v>
      </c>
      <c r="D37" s="86">
        <v>19855.9040595789</v>
      </c>
      <c r="E37" s="86">
        <v>19855.9040595789</v>
      </c>
      <c r="F37" s="86">
        <v>19855.9040595789</v>
      </c>
      <c r="I37" s="77">
        <f t="shared" si="15"/>
        <v>1.34185866442086</v>
      </c>
      <c r="J37" t="str">
        <f t="shared" si="8"/>
        <v>Trd_lcv_gsl-hyb</v>
      </c>
      <c r="K37" t="str">
        <f t="shared" si="3"/>
        <v>Trd_lcv_gsl-hyb_34</v>
      </c>
      <c r="L37" t="str">
        <f t="shared" si="4"/>
        <v>Trd_lcv</v>
      </c>
      <c r="M37" s="306">
        <f t="shared" si="11"/>
        <v>21437.6216583787</v>
      </c>
      <c r="N37" s="306">
        <f t="shared" si="12"/>
        <v>19855.9040595789</v>
      </c>
      <c r="O37" s="306">
        <f t="shared" si="13"/>
        <v>19855.9040595789</v>
      </c>
      <c r="P37" s="306">
        <f t="shared" si="14"/>
        <v>19855.9040595789</v>
      </c>
      <c r="T37" t="str">
        <f t="shared" si="1"/>
        <v>Trd_lcv_gsl-hyb_34</v>
      </c>
      <c r="U37" t="str">
        <f ca="1" t="shared" si="2"/>
        <v>ICE gasoline hybrid LCV -- 34%</v>
      </c>
      <c r="V37" s="309" t="s">
        <v>84</v>
      </c>
      <c r="W37" s="309" t="s">
        <v>85</v>
      </c>
    </row>
    <row r="38" spans="2:23">
      <c r="B38" s="85">
        <v>0.391858664420856</v>
      </c>
      <c r="C38" s="342">
        <v>22211.0087034134</v>
      </c>
      <c r="D38" s="86">
        <v>20325.5630625639</v>
      </c>
      <c r="E38" s="86">
        <v>20325.5630625639</v>
      </c>
      <c r="F38" s="86">
        <v>20325.5630625639</v>
      </c>
      <c r="I38" s="77">
        <f t="shared" si="15"/>
        <v>1.39185866442086</v>
      </c>
      <c r="J38" t="str">
        <f t="shared" si="8"/>
        <v>Trd_lcv_gsl-hyb</v>
      </c>
      <c r="K38" t="str">
        <f t="shared" si="3"/>
        <v>Trd_lcv_gsl-hyb_39</v>
      </c>
      <c r="L38" t="str">
        <f t="shared" si="4"/>
        <v>Trd_lcv</v>
      </c>
      <c r="M38" s="306">
        <f t="shared" si="11"/>
        <v>22211.0087034134</v>
      </c>
      <c r="N38" s="306">
        <f t="shared" si="12"/>
        <v>20325.5630625639</v>
      </c>
      <c r="O38" s="306">
        <f t="shared" si="13"/>
        <v>20325.5630625639</v>
      </c>
      <c r="P38" s="306">
        <f t="shared" si="14"/>
        <v>20325.5630625639</v>
      </c>
      <c r="T38" t="str">
        <f t="shared" si="1"/>
        <v>Trd_lcv_gsl-hyb_39</v>
      </c>
      <c r="U38" t="str">
        <f ca="1" t="shared" si="2"/>
        <v>ICE gasoline hybrid LCV -- 39%</v>
      </c>
      <c r="V38" s="309" t="s">
        <v>84</v>
      </c>
      <c r="W38" s="309" t="s">
        <v>85</v>
      </c>
    </row>
    <row r="39" spans="2:23">
      <c r="B39" s="85">
        <v>0.441858664420856</v>
      </c>
      <c r="C39" s="342">
        <v>46471.148840111</v>
      </c>
      <c r="D39" s="86">
        <v>26131.898294073</v>
      </c>
      <c r="E39" s="86">
        <v>26131.898294073</v>
      </c>
      <c r="F39" s="86">
        <v>26131.898294073</v>
      </c>
      <c r="I39" s="77">
        <f t="shared" si="15"/>
        <v>1.44185866442086</v>
      </c>
      <c r="J39" t="str">
        <f t="shared" si="8"/>
        <v>Trd_lcv_gsl-hyb</v>
      </c>
      <c r="K39" t="str">
        <f t="shared" si="3"/>
        <v>Trd_lcv_gsl-hyb_44</v>
      </c>
      <c r="L39" t="str">
        <f t="shared" si="4"/>
        <v>Trd_lcv</v>
      </c>
      <c r="M39" s="306">
        <f t="shared" si="11"/>
        <v>46471.148840111</v>
      </c>
      <c r="N39" s="306">
        <f t="shared" si="12"/>
        <v>26131.898294073</v>
      </c>
      <c r="O39" s="306">
        <f t="shared" si="13"/>
        <v>26131.898294073</v>
      </c>
      <c r="P39" s="306">
        <f t="shared" si="14"/>
        <v>26131.898294073</v>
      </c>
      <c r="T39" t="str">
        <f t="shared" si="1"/>
        <v>Trd_lcv_gsl-hyb_44</v>
      </c>
      <c r="U39" t="str">
        <f ca="1" t="shared" si="2"/>
        <v>ICE gasoline hybrid LCV -- 44%</v>
      </c>
      <c r="V39" s="309" t="s">
        <v>84</v>
      </c>
      <c r="W39" s="309" t="s">
        <v>85</v>
      </c>
    </row>
    <row r="40" spans="2:23">
      <c r="B40" s="85">
        <v>0.491858664420856</v>
      </c>
      <c r="C40" s="342">
        <v>108265.756276503</v>
      </c>
      <c r="D40" s="86">
        <v>77485.5623662731</v>
      </c>
      <c r="E40" s="86">
        <v>77485.5623662731</v>
      </c>
      <c r="F40" s="86">
        <v>77485.5623662731</v>
      </c>
      <c r="I40" s="77">
        <f t="shared" si="15"/>
        <v>1.49185866442086</v>
      </c>
      <c r="J40" t="str">
        <f t="shared" si="8"/>
        <v>Trd_lcv_gsl-hyb</v>
      </c>
      <c r="K40" t="str">
        <f t="shared" si="3"/>
        <v>Trd_lcv_gsl-hyb_49</v>
      </c>
      <c r="L40" t="str">
        <f t="shared" si="4"/>
        <v>Trd_lcv</v>
      </c>
      <c r="M40" s="306">
        <f t="shared" si="11"/>
        <v>108265.756276503</v>
      </c>
      <c r="N40" s="306">
        <f t="shared" si="12"/>
        <v>77485.5623662731</v>
      </c>
      <c r="O40" s="306">
        <f t="shared" si="13"/>
        <v>77485.5623662731</v>
      </c>
      <c r="P40" s="306">
        <f t="shared" si="14"/>
        <v>77485.5623662731</v>
      </c>
      <c r="T40" t="str">
        <f t="shared" si="1"/>
        <v>Trd_lcv_gsl-hyb_49</v>
      </c>
      <c r="U40" t="str">
        <f ca="1" t="shared" si="2"/>
        <v>ICE gasoline hybrid LCV -- 49%</v>
      </c>
      <c r="V40" s="309" t="s">
        <v>84</v>
      </c>
      <c r="W40" s="309" t="s">
        <v>85</v>
      </c>
    </row>
    <row r="41" spans="4:23">
      <c r="D41" s="97"/>
      <c r="E41" s="97"/>
      <c r="F41" s="97"/>
      <c r="I41" s="77"/>
      <c r="J41" t="str">
        <f t="shared" si="8"/>
        <v>Trd_lcv_gsl-hyb</v>
      </c>
      <c r="K41" t="str">
        <f t="shared" si="3"/>
        <v>\I:</v>
      </c>
      <c r="L41" t="str">
        <f t="shared" si="4"/>
        <v>\I:</v>
      </c>
      <c r="M41" s="306" t="str">
        <f t="shared" si="11"/>
        <v/>
      </c>
      <c r="N41" s="306" t="str">
        <f t="shared" si="12"/>
        <v/>
      </c>
      <c r="O41" s="306" t="str">
        <f t="shared" si="13"/>
        <v/>
      </c>
      <c r="P41" s="306" t="str">
        <f t="shared" si="14"/>
        <v/>
      </c>
      <c r="T41" t="str">
        <f t="shared" si="1"/>
        <v>\I:</v>
      </c>
      <c r="U41" t="str">
        <f ca="1" t="shared" si="2"/>
        <v>ICE gasoline hybrid LCV -- 00%</v>
      </c>
      <c r="V41" s="309" t="s">
        <v>84</v>
      </c>
      <c r="W41" s="309" t="s">
        <v>85</v>
      </c>
    </row>
    <row r="42" spans="9:23">
      <c r="I42" s="77"/>
      <c r="J42" t="str">
        <f t="shared" si="8"/>
        <v>Trd_lcv_gsl-hyb</v>
      </c>
      <c r="K42" t="str">
        <f t="shared" si="3"/>
        <v>\I:</v>
      </c>
      <c r="L42" t="str">
        <f t="shared" si="4"/>
        <v>\I:</v>
      </c>
      <c r="M42" s="306" t="str">
        <f t="shared" si="11"/>
        <v/>
      </c>
      <c r="N42" s="306" t="str">
        <f t="shared" si="12"/>
        <v/>
      </c>
      <c r="O42" s="306" t="str">
        <f t="shared" si="13"/>
        <v/>
      </c>
      <c r="P42" s="306" t="str">
        <f t="shared" si="14"/>
        <v/>
      </c>
      <c r="T42" t="str">
        <f t="shared" si="1"/>
        <v>\I:</v>
      </c>
      <c r="U42" t="str">
        <f ca="1" t="shared" si="2"/>
        <v>ICE gasoline hybrid LCV -- 00%</v>
      </c>
      <c r="V42" s="309" t="s">
        <v>84</v>
      </c>
      <c r="W42" s="309" t="s">
        <v>85</v>
      </c>
    </row>
    <row r="43" spans="9:23">
      <c r="I43" s="77"/>
      <c r="J43" t="str">
        <f t="shared" si="8"/>
        <v>Trd_lcv_gsl-hyb</v>
      </c>
      <c r="K43" t="str">
        <f t="shared" si="3"/>
        <v>\I:</v>
      </c>
      <c r="L43" t="str">
        <f t="shared" si="4"/>
        <v>\I:</v>
      </c>
      <c r="M43" s="306" t="str">
        <f t="shared" si="11"/>
        <v/>
      </c>
      <c r="N43" s="306" t="str">
        <f t="shared" si="12"/>
        <v/>
      </c>
      <c r="O43" s="306" t="str">
        <f t="shared" si="13"/>
        <v/>
      </c>
      <c r="P43" s="306" t="str">
        <f t="shared" si="14"/>
        <v/>
      </c>
      <c r="T43" t="str">
        <f t="shared" si="1"/>
        <v>\I:</v>
      </c>
      <c r="U43" t="str">
        <f ca="1" t="shared" si="2"/>
        <v>ICE gasoline hybrid LCV -- 00%</v>
      </c>
      <c r="V43" s="309" t="s">
        <v>84</v>
      </c>
      <c r="W43" s="309" t="s">
        <v>85</v>
      </c>
    </row>
    <row r="44" spans="9:23">
      <c r="I44" s="77"/>
      <c r="J44" t="str">
        <f t="shared" si="8"/>
        <v>Trd_lcv_gsl-hyb</v>
      </c>
      <c r="K44" t="str">
        <f t="shared" si="3"/>
        <v>\I:</v>
      </c>
      <c r="L44" t="str">
        <f t="shared" si="4"/>
        <v>\I:</v>
      </c>
      <c r="M44" s="306" t="str">
        <f t="shared" si="11"/>
        <v/>
      </c>
      <c r="N44" s="306" t="str">
        <f t="shared" si="12"/>
        <v/>
      </c>
      <c r="O44" s="306" t="str">
        <f t="shared" si="13"/>
        <v/>
      </c>
      <c r="P44" s="306" t="str">
        <f t="shared" si="14"/>
        <v/>
      </c>
      <c r="T44" t="str">
        <f t="shared" si="1"/>
        <v>\I:</v>
      </c>
      <c r="U44" t="str">
        <f ca="1" t="shared" si="2"/>
        <v>ICE gasoline hybrid LCV -- 00%</v>
      </c>
      <c r="V44" s="309" t="s">
        <v>84</v>
      </c>
      <c r="W44" s="309" t="s">
        <v>85</v>
      </c>
    </row>
    <row r="45" ht="15" customHeight="1" spans="2:23">
      <c r="B45" s="48" t="s">
        <v>16</v>
      </c>
      <c r="C45" s="300" t="s">
        <v>97</v>
      </c>
      <c r="D45" s="48"/>
      <c r="E45" s="48"/>
      <c r="F45" s="48"/>
      <c r="I45" s="77"/>
      <c r="J45" t="str">
        <f t="shared" si="8"/>
        <v>Trd_lcv_gsl-pih</v>
      </c>
      <c r="K45" t="str">
        <f t="shared" si="3"/>
        <v>\I:</v>
      </c>
      <c r="L45" t="str">
        <f t="shared" si="4"/>
        <v>\I:</v>
      </c>
      <c r="M45" s="306" t="str">
        <f t="shared" si="11"/>
        <v/>
      </c>
      <c r="N45" s="306" t="str">
        <f t="shared" si="12"/>
        <v/>
      </c>
      <c r="O45" s="306" t="str">
        <f t="shared" si="13"/>
        <v/>
      </c>
      <c r="P45" s="306" t="str">
        <f t="shared" si="14"/>
        <v/>
      </c>
      <c r="T45" t="str">
        <f t="shared" si="1"/>
        <v>\I:</v>
      </c>
      <c r="U45" t="str">
        <f ca="1" t="shared" si="2"/>
        <v>ICE gasoline plug-in hybrid LCV -- Reduction of specific energy consumption relative to 2015 gasoline vehicle (%)</v>
      </c>
      <c r="V45" s="309" t="s">
        <v>84</v>
      </c>
      <c r="W45" s="309" t="s">
        <v>85</v>
      </c>
    </row>
    <row r="46" spans="2:23">
      <c r="B46" s="48"/>
      <c r="C46" s="300"/>
      <c r="D46" s="48"/>
      <c r="E46" s="48"/>
      <c r="F46" s="48"/>
      <c r="J46" t="str">
        <f t="shared" si="8"/>
        <v>Trd_lcv_gsl-pih</v>
      </c>
      <c r="K46" t="str">
        <f t="shared" si="3"/>
        <v>\I:</v>
      </c>
      <c r="L46" t="str">
        <f t="shared" si="4"/>
        <v>\I:</v>
      </c>
      <c r="M46" s="306" t="str">
        <f t="shared" si="11"/>
        <v/>
      </c>
      <c r="N46" s="306" t="str">
        <f t="shared" si="12"/>
        <v/>
      </c>
      <c r="O46" s="306" t="str">
        <f t="shared" si="13"/>
        <v/>
      </c>
      <c r="P46" s="306" t="str">
        <f t="shared" si="14"/>
        <v/>
      </c>
      <c r="T46" t="str">
        <f t="shared" si="1"/>
        <v>\I:</v>
      </c>
      <c r="U46" t="str">
        <f ca="1" t="shared" si="2"/>
        <v>ICE gasoline plug-in hybrid LCV -- 00%</v>
      </c>
      <c r="V46" s="309" t="s">
        <v>84</v>
      </c>
      <c r="W46" s="309" t="s">
        <v>85</v>
      </c>
    </row>
    <row r="47" spans="2:23">
      <c r="B47" s="48"/>
      <c r="C47" s="300"/>
      <c r="D47" s="48"/>
      <c r="E47" s="48"/>
      <c r="F47" s="48"/>
      <c r="J47" t="str">
        <f t="shared" si="8"/>
        <v>Trd_lcv_gsl-pih</v>
      </c>
      <c r="K47" t="str">
        <f t="shared" si="3"/>
        <v>\I:</v>
      </c>
      <c r="L47" t="str">
        <f t="shared" si="4"/>
        <v>\I:</v>
      </c>
      <c r="M47" s="306" t="str">
        <f t="shared" si="11"/>
        <v/>
      </c>
      <c r="N47" s="306" t="str">
        <f t="shared" si="12"/>
        <v/>
      </c>
      <c r="O47" s="306" t="str">
        <f t="shared" si="13"/>
        <v/>
      </c>
      <c r="P47" s="306" t="str">
        <f t="shared" si="14"/>
        <v/>
      </c>
      <c r="T47" t="str">
        <f t="shared" si="1"/>
        <v>\I:</v>
      </c>
      <c r="U47" t="str">
        <f ca="1" t="shared" si="2"/>
        <v>ICE gasoline plug-in hybrid LCV -- 00%</v>
      </c>
      <c r="V47" s="309" t="s">
        <v>84</v>
      </c>
      <c r="W47" s="309" t="s">
        <v>85</v>
      </c>
    </row>
    <row r="48" spans="2:23">
      <c r="B48" s="88"/>
      <c r="C48" s="341">
        <v>2020</v>
      </c>
      <c r="D48" s="50">
        <v>2030</v>
      </c>
      <c r="E48" s="50">
        <v>2040</v>
      </c>
      <c r="F48" s="50">
        <v>2050</v>
      </c>
      <c r="J48" t="str">
        <f t="shared" si="8"/>
        <v>Trd_lcv_gsl-pih</v>
      </c>
      <c r="K48" t="str">
        <f t="shared" si="3"/>
        <v>\I:</v>
      </c>
      <c r="L48" t="str">
        <f t="shared" si="4"/>
        <v>\I:</v>
      </c>
      <c r="M48" s="306" t="str">
        <f t="shared" si="11"/>
        <v/>
      </c>
      <c r="N48" s="306" t="str">
        <f t="shared" si="12"/>
        <v/>
      </c>
      <c r="O48" s="306" t="str">
        <f t="shared" si="13"/>
        <v/>
      </c>
      <c r="P48" s="306" t="str">
        <f t="shared" si="14"/>
        <v/>
      </c>
      <c r="T48" t="str">
        <f t="shared" ref="T48:T79" si="16">K48</f>
        <v>\I:</v>
      </c>
      <c r="U48" t="str">
        <f ca="1" t="shared" ref="U48:U79" si="17">OFFSET($S$1,MATCH(J48,$S$1:$S$10,0)-1,-1)&amp;" -- "&amp;TEXT(B48,"00%")</f>
        <v>ICE gasoline plug-in hybrid LCV -- 00%</v>
      </c>
      <c r="V48" s="309" t="s">
        <v>84</v>
      </c>
      <c r="W48" s="309" t="s">
        <v>85</v>
      </c>
    </row>
    <row r="49" spans="2:23">
      <c r="B49" s="343">
        <v>0.825</v>
      </c>
      <c r="C49" s="342">
        <v>25855.4162729033</v>
      </c>
      <c r="D49" s="86">
        <v>20946.0136101116</v>
      </c>
      <c r="E49" s="86">
        <v>19751.4795793658</v>
      </c>
      <c r="F49" s="86">
        <v>19403.0868687444</v>
      </c>
      <c r="I49" s="77">
        <f t="shared" ref="I49:I56" si="18">(1+B49)</f>
        <v>1.825</v>
      </c>
      <c r="J49" t="str">
        <f t="shared" si="8"/>
        <v>Trd_lcv_gsl-pih</v>
      </c>
      <c r="K49" t="str">
        <f t="shared" si="3"/>
        <v>Trd_lcv_gsl-pih_83</v>
      </c>
      <c r="L49" t="str">
        <f t="shared" si="4"/>
        <v>Trd_lcv</v>
      </c>
      <c r="M49" s="306">
        <f t="shared" si="11"/>
        <v>25855.4162729033</v>
      </c>
      <c r="N49" s="306">
        <f t="shared" si="12"/>
        <v>20946.0136101116</v>
      </c>
      <c r="O49" s="306">
        <f t="shared" si="13"/>
        <v>19751.4795793658</v>
      </c>
      <c r="P49" s="306">
        <f t="shared" si="14"/>
        <v>19403.0868687444</v>
      </c>
      <c r="T49" t="str">
        <f t="shared" si="16"/>
        <v>Trd_lcv_gsl-pih_83</v>
      </c>
      <c r="U49" t="str">
        <f ca="1" t="shared" si="17"/>
        <v>ICE gasoline plug-in hybrid LCV -- 83%</v>
      </c>
      <c r="V49" s="309" t="s">
        <v>84</v>
      </c>
      <c r="W49" s="309" t="s">
        <v>85</v>
      </c>
    </row>
    <row r="50" spans="2:23">
      <c r="B50" s="343">
        <v>0.835</v>
      </c>
      <c r="C50" s="342">
        <v>25936.7339540823</v>
      </c>
      <c r="D50" s="86">
        <v>20972.5685484446</v>
      </c>
      <c r="E50" s="86">
        <v>19766.6423788705</v>
      </c>
      <c r="F50" s="86">
        <v>19414.5742977407</v>
      </c>
      <c r="I50" s="77">
        <f t="shared" si="18"/>
        <v>1.835</v>
      </c>
      <c r="J50" t="str">
        <f t="shared" si="8"/>
        <v>Trd_lcv_gsl-pih</v>
      </c>
      <c r="K50" t="str">
        <f t="shared" si="3"/>
        <v>Trd_lcv_gsl-pih_84</v>
      </c>
      <c r="L50" t="str">
        <f t="shared" si="4"/>
        <v>Trd_lcv</v>
      </c>
      <c r="M50" s="306">
        <f t="shared" si="11"/>
        <v>25936.7339540823</v>
      </c>
      <c r="N50" s="306">
        <f t="shared" si="12"/>
        <v>20972.5685484446</v>
      </c>
      <c r="O50" s="306">
        <f t="shared" si="13"/>
        <v>19766.6423788705</v>
      </c>
      <c r="P50" s="306">
        <f t="shared" si="14"/>
        <v>19414.5742977407</v>
      </c>
      <c r="T50" t="str">
        <f t="shared" si="16"/>
        <v>Trd_lcv_gsl-pih_84</v>
      </c>
      <c r="U50" t="str">
        <f ca="1" t="shared" si="17"/>
        <v>ICE gasoline plug-in hybrid LCV -- 84%</v>
      </c>
      <c r="V50" s="309" t="s">
        <v>84</v>
      </c>
      <c r="W50" s="309" t="s">
        <v>85</v>
      </c>
    </row>
    <row r="51" spans="2:23">
      <c r="B51" s="343">
        <v>0.8475</v>
      </c>
      <c r="C51" s="342">
        <v>26068.0641465879</v>
      </c>
      <c r="D51" s="86">
        <v>20983.7357684659</v>
      </c>
      <c r="E51" s="86">
        <v>19772.1960204821</v>
      </c>
      <c r="F51" s="86">
        <v>19418.2617068886</v>
      </c>
      <c r="I51" s="77">
        <f t="shared" si="18"/>
        <v>1.8475</v>
      </c>
      <c r="J51" t="str">
        <f t="shared" si="8"/>
        <v>Trd_lcv_gsl-pih</v>
      </c>
      <c r="K51" t="str">
        <f t="shared" si="3"/>
        <v>Trd_lcv_gsl-pih_85</v>
      </c>
      <c r="L51" t="str">
        <f t="shared" si="4"/>
        <v>Trd_lcv</v>
      </c>
      <c r="M51" s="306">
        <f t="shared" si="11"/>
        <v>26068.0641465879</v>
      </c>
      <c r="N51" s="306">
        <f t="shared" si="12"/>
        <v>20983.7357684659</v>
      </c>
      <c r="O51" s="306">
        <f t="shared" si="13"/>
        <v>19772.1960204821</v>
      </c>
      <c r="P51" s="306">
        <f t="shared" si="14"/>
        <v>19418.2617068886</v>
      </c>
      <c r="T51" t="str">
        <f t="shared" si="16"/>
        <v>Trd_lcv_gsl-pih_85</v>
      </c>
      <c r="U51" t="str">
        <f ca="1" t="shared" si="17"/>
        <v>ICE gasoline plug-in hybrid LCV -- 85%</v>
      </c>
      <c r="V51" s="309" t="s">
        <v>84</v>
      </c>
      <c r="W51" s="309" t="s">
        <v>85</v>
      </c>
    </row>
    <row r="52" spans="2:23">
      <c r="B52" s="343">
        <v>0.8575</v>
      </c>
      <c r="C52" s="342">
        <v>29189.2099676658</v>
      </c>
      <c r="D52" s="86">
        <v>21014.1005815479</v>
      </c>
      <c r="E52" s="86">
        <v>19796.1968088197</v>
      </c>
      <c r="F52" s="86">
        <v>19440.6559656101</v>
      </c>
      <c r="I52" s="77">
        <f t="shared" si="18"/>
        <v>1.8575</v>
      </c>
      <c r="J52" t="str">
        <f t="shared" si="8"/>
        <v>Trd_lcv_gsl-pih</v>
      </c>
      <c r="K52" t="str">
        <f t="shared" si="3"/>
        <v>Trd_lcv_gsl-pih_86</v>
      </c>
      <c r="L52" t="str">
        <f t="shared" si="4"/>
        <v>Trd_lcv</v>
      </c>
      <c r="M52" s="306">
        <f t="shared" si="11"/>
        <v>29189.2099676658</v>
      </c>
      <c r="N52" s="306">
        <f t="shared" si="12"/>
        <v>21014.1005815479</v>
      </c>
      <c r="O52" s="306">
        <f t="shared" si="13"/>
        <v>19796.1968088197</v>
      </c>
      <c r="P52" s="306">
        <f t="shared" si="14"/>
        <v>19440.6559656101</v>
      </c>
      <c r="T52" t="str">
        <f t="shared" si="16"/>
        <v>Trd_lcv_gsl-pih_86</v>
      </c>
      <c r="U52" t="str">
        <f ca="1" t="shared" si="17"/>
        <v>ICE gasoline plug-in hybrid LCV -- 86%</v>
      </c>
      <c r="V52" s="309" t="s">
        <v>84</v>
      </c>
      <c r="W52" s="309" t="s">
        <v>85</v>
      </c>
    </row>
    <row r="53" spans="2:23">
      <c r="B53" s="343">
        <v>0.8675</v>
      </c>
      <c r="C53" s="342">
        <v>44989.8543167652</v>
      </c>
      <c r="D53" s="86">
        <v>21032.5204061794</v>
      </c>
      <c r="E53" s="86">
        <v>19824.2506796935</v>
      </c>
      <c r="F53" s="86">
        <v>19472.9936204524</v>
      </c>
      <c r="I53" s="77">
        <f t="shared" si="18"/>
        <v>1.8675</v>
      </c>
      <c r="J53" t="str">
        <f t="shared" si="8"/>
        <v>Trd_lcv_gsl-pih</v>
      </c>
      <c r="K53" t="str">
        <f t="shared" si="3"/>
        <v>Trd_lcv_gsl-pih_87</v>
      </c>
      <c r="L53" t="str">
        <f t="shared" si="4"/>
        <v>Trd_lcv</v>
      </c>
      <c r="M53" s="306">
        <f t="shared" si="11"/>
        <v>44989.8543167652</v>
      </c>
      <c r="N53" s="306">
        <f t="shared" si="12"/>
        <v>21032.5204061794</v>
      </c>
      <c r="O53" s="306">
        <f t="shared" si="13"/>
        <v>19824.2506796935</v>
      </c>
      <c r="P53" s="306">
        <f t="shared" si="14"/>
        <v>19472.9936204524</v>
      </c>
      <c r="T53" t="str">
        <f t="shared" si="16"/>
        <v>Trd_lcv_gsl-pih_87</v>
      </c>
      <c r="U53" t="str">
        <f ca="1" t="shared" si="17"/>
        <v>ICE gasoline plug-in hybrid LCV -- 87%</v>
      </c>
      <c r="V53" s="309" t="s">
        <v>84</v>
      </c>
      <c r="W53" s="309" t="s">
        <v>85</v>
      </c>
    </row>
    <row r="54" spans="2:23">
      <c r="B54" s="343">
        <v>0.915</v>
      </c>
      <c r="C54" s="342">
        <v>61078.7026089492</v>
      </c>
      <c r="D54" s="86">
        <v>24620.9228746061</v>
      </c>
      <c r="E54" s="86">
        <v>22831.7849053289</v>
      </c>
      <c r="F54" s="86">
        <v>22357.3877876521</v>
      </c>
      <c r="I54" s="77">
        <f t="shared" si="18"/>
        <v>1.915</v>
      </c>
      <c r="J54" t="str">
        <f t="shared" si="8"/>
        <v>Trd_lcv_gsl-pih</v>
      </c>
      <c r="K54" t="str">
        <f t="shared" si="3"/>
        <v>Trd_lcv_gsl-pih_92</v>
      </c>
      <c r="L54" t="str">
        <f t="shared" si="4"/>
        <v>Trd_lcv</v>
      </c>
      <c r="M54" s="306">
        <f t="shared" si="11"/>
        <v>61078.7026089492</v>
      </c>
      <c r="N54" s="306">
        <f t="shared" si="12"/>
        <v>24620.9228746061</v>
      </c>
      <c r="O54" s="306">
        <f t="shared" si="13"/>
        <v>22831.7849053289</v>
      </c>
      <c r="P54" s="306">
        <f t="shared" si="14"/>
        <v>22357.3877876521</v>
      </c>
      <c r="T54" t="str">
        <f t="shared" si="16"/>
        <v>Trd_lcv_gsl-pih_92</v>
      </c>
      <c r="U54" t="str">
        <f ca="1" t="shared" si="17"/>
        <v>ICE gasoline plug-in hybrid LCV -- 92%</v>
      </c>
      <c r="V54" s="309" t="s">
        <v>84</v>
      </c>
      <c r="W54" s="309" t="s">
        <v>85</v>
      </c>
    </row>
    <row r="55" spans="2:23">
      <c r="B55" s="343">
        <v>0.9225</v>
      </c>
      <c r="C55" s="342">
        <v>61658.5569109629</v>
      </c>
      <c r="D55" s="86">
        <v>36662.6858263954</v>
      </c>
      <c r="E55" s="86">
        <v>34512.2146444883</v>
      </c>
      <c r="F55" s="86">
        <v>34243.3411954732</v>
      </c>
      <c r="I55" s="77">
        <f t="shared" si="18"/>
        <v>1.9225</v>
      </c>
      <c r="J55" t="str">
        <f t="shared" si="8"/>
        <v>Trd_lcv_gsl-pih</v>
      </c>
      <c r="K55" t="str">
        <f t="shared" si="3"/>
        <v>Trd_lcv_gsl-pih_92</v>
      </c>
      <c r="L55" t="str">
        <f t="shared" si="4"/>
        <v>Trd_lcv</v>
      </c>
      <c r="M55" s="306">
        <f t="shared" si="11"/>
        <v>61658.5569109629</v>
      </c>
      <c r="N55" s="306">
        <f t="shared" si="12"/>
        <v>36662.6858263954</v>
      </c>
      <c r="O55" s="306">
        <f t="shared" si="13"/>
        <v>34512.2146444883</v>
      </c>
      <c r="P55" s="306">
        <f t="shared" si="14"/>
        <v>34243.3411954732</v>
      </c>
      <c r="T55" t="str">
        <f t="shared" si="16"/>
        <v>Trd_lcv_gsl-pih_92</v>
      </c>
      <c r="U55" t="str">
        <f ca="1" t="shared" si="17"/>
        <v>ICE gasoline plug-in hybrid LCV -- 92%</v>
      </c>
      <c r="V55" s="309" t="s">
        <v>84</v>
      </c>
      <c r="W55" s="309" t="s">
        <v>85</v>
      </c>
    </row>
    <row r="56" spans="2:23">
      <c r="B56" s="343">
        <v>0.93</v>
      </c>
      <c r="C56" s="342">
        <v>99213.7185822678</v>
      </c>
      <c r="D56" s="86">
        <v>52428.018226086</v>
      </c>
      <c r="E56" s="86">
        <v>50000.3633152236</v>
      </c>
      <c r="F56" s="86">
        <v>50076.8935124655</v>
      </c>
      <c r="I56" s="77">
        <f t="shared" si="18"/>
        <v>1.93</v>
      </c>
      <c r="J56" t="str">
        <f t="shared" si="8"/>
        <v>Trd_lcv_gsl-pih</v>
      </c>
      <c r="K56" t="str">
        <f t="shared" si="3"/>
        <v>Trd_lcv_gsl-pih_93</v>
      </c>
      <c r="L56" t="str">
        <f t="shared" si="4"/>
        <v>Trd_lcv</v>
      </c>
      <c r="M56" s="306">
        <f t="shared" si="11"/>
        <v>99213.7185822678</v>
      </c>
      <c r="N56" s="306">
        <f t="shared" si="12"/>
        <v>52428.018226086</v>
      </c>
      <c r="O56" s="306">
        <f t="shared" si="13"/>
        <v>50000.3633152236</v>
      </c>
      <c r="P56" s="306">
        <f t="shared" si="14"/>
        <v>50076.8935124655</v>
      </c>
      <c r="T56" t="str">
        <f t="shared" si="16"/>
        <v>Trd_lcv_gsl-pih_93</v>
      </c>
      <c r="U56" t="str">
        <f ca="1" t="shared" si="17"/>
        <v>ICE gasoline plug-in hybrid LCV -- 93%</v>
      </c>
      <c r="V56" s="309" t="s">
        <v>84</v>
      </c>
      <c r="W56" s="309" t="s">
        <v>85</v>
      </c>
    </row>
    <row r="57" spans="10:23">
      <c r="J57" t="str">
        <f t="shared" si="8"/>
        <v>Trd_lcv_gsl-pih</v>
      </c>
      <c r="K57" t="str">
        <f t="shared" si="3"/>
        <v>\I:</v>
      </c>
      <c r="L57" t="str">
        <f t="shared" si="4"/>
        <v>\I:</v>
      </c>
      <c r="M57" s="306" t="str">
        <f t="shared" si="11"/>
        <v/>
      </c>
      <c r="N57" s="306" t="str">
        <f t="shared" si="12"/>
        <v/>
      </c>
      <c r="O57" s="306" t="str">
        <f t="shared" si="13"/>
        <v/>
      </c>
      <c r="P57" s="306" t="str">
        <f t="shared" si="14"/>
        <v/>
      </c>
      <c r="T57" t="str">
        <f t="shared" si="16"/>
        <v>\I:</v>
      </c>
      <c r="U57" t="str">
        <f ca="1" t="shared" si="17"/>
        <v>ICE gasoline plug-in hybrid LCV -- 00%</v>
      </c>
      <c r="V57" s="309" t="s">
        <v>84</v>
      </c>
      <c r="W57" s="309" t="s">
        <v>85</v>
      </c>
    </row>
    <row r="58" spans="10:23">
      <c r="J58" t="str">
        <f t="shared" si="8"/>
        <v>Trd_lcv_gsl-pih</v>
      </c>
      <c r="K58" t="str">
        <f t="shared" si="3"/>
        <v>\I:</v>
      </c>
      <c r="L58" t="str">
        <f t="shared" si="4"/>
        <v>\I:</v>
      </c>
      <c r="M58" s="306" t="str">
        <f t="shared" si="11"/>
        <v/>
      </c>
      <c r="N58" s="306" t="str">
        <f t="shared" si="12"/>
        <v/>
      </c>
      <c r="O58" s="306" t="str">
        <f t="shared" si="13"/>
        <v/>
      </c>
      <c r="P58" s="306" t="str">
        <f t="shared" si="14"/>
        <v/>
      </c>
      <c r="T58" t="str">
        <f t="shared" si="16"/>
        <v>\I:</v>
      </c>
      <c r="U58" t="str">
        <f ca="1" t="shared" si="17"/>
        <v>ICE gasoline plug-in hybrid LCV -- 00%</v>
      </c>
      <c r="V58" s="309" t="s">
        <v>84</v>
      </c>
      <c r="W58" s="309" t="s">
        <v>85</v>
      </c>
    </row>
    <row r="59" spans="10:23">
      <c r="J59" t="str">
        <f t="shared" si="8"/>
        <v>Trd_lcv_gsl-pih</v>
      </c>
      <c r="K59" t="str">
        <f t="shared" si="3"/>
        <v>\I:</v>
      </c>
      <c r="L59" t="str">
        <f t="shared" si="4"/>
        <v>\I:</v>
      </c>
      <c r="M59" s="306" t="str">
        <f t="shared" si="11"/>
        <v/>
      </c>
      <c r="N59" s="306" t="str">
        <f t="shared" si="12"/>
        <v/>
      </c>
      <c r="O59" s="306" t="str">
        <f t="shared" si="13"/>
        <v/>
      </c>
      <c r="P59" s="306" t="str">
        <f t="shared" si="14"/>
        <v/>
      </c>
      <c r="T59" t="str">
        <f t="shared" si="16"/>
        <v>\I:</v>
      </c>
      <c r="U59" t="str">
        <f ca="1" t="shared" si="17"/>
        <v>ICE gasoline plug-in hybrid LCV -- 00%</v>
      </c>
      <c r="V59" s="309" t="s">
        <v>84</v>
      </c>
      <c r="W59" s="309" t="s">
        <v>85</v>
      </c>
    </row>
    <row r="60" spans="10:23">
      <c r="J60" t="str">
        <f t="shared" si="8"/>
        <v>Trd_lcv_gsl-pih</v>
      </c>
      <c r="K60" t="str">
        <f t="shared" si="3"/>
        <v>\I:</v>
      </c>
      <c r="L60" t="str">
        <f t="shared" si="4"/>
        <v>\I:</v>
      </c>
      <c r="M60" s="306" t="str">
        <f t="shared" si="11"/>
        <v/>
      </c>
      <c r="N60" s="306" t="str">
        <f t="shared" si="12"/>
        <v/>
      </c>
      <c r="O60" s="306" t="str">
        <f t="shared" si="13"/>
        <v/>
      </c>
      <c r="P60" s="306" t="str">
        <f t="shared" si="14"/>
        <v/>
      </c>
      <c r="T60" t="str">
        <f t="shared" si="16"/>
        <v>\I:</v>
      </c>
      <c r="U60" t="str">
        <f ca="1" t="shared" si="17"/>
        <v>ICE gasoline plug-in hybrid LCV -- 00%</v>
      </c>
      <c r="V60" s="309" t="s">
        <v>84</v>
      </c>
      <c r="W60" s="309" t="s">
        <v>85</v>
      </c>
    </row>
    <row r="61" spans="2:23">
      <c r="B61" s="43" t="s">
        <v>106</v>
      </c>
      <c r="J61" t="str">
        <f t="shared" si="8"/>
        <v>Trd_lcv_gsl-pih</v>
      </c>
      <c r="K61" t="str">
        <f t="shared" si="3"/>
        <v>\I:</v>
      </c>
      <c r="L61" t="str">
        <f t="shared" si="4"/>
        <v>\I:</v>
      </c>
      <c r="M61" s="306" t="str">
        <f t="shared" si="11"/>
        <v/>
      </c>
      <c r="N61" s="306" t="str">
        <f t="shared" si="12"/>
        <v/>
      </c>
      <c r="O61" s="306" t="str">
        <f t="shared" si="13"/>
        <v/>
      </c>
      <c r="P61" s="306" t="str">
        <f t="shared" si="14"/>
        <v/>
      </c>
      <c r="T61" t="str">
        <f t="shared" si="16"/>
        <v>\I:</v>
      </c>
      <c r="U61" t="str">
        <f ca="1" t="shared" si="17"/>
        <v>ICE gasoline plug-in hybrid LCV -- Reference values for diesel LCV</v>
      </c>
      <c r="V61" s="309" t="s">
        <v>84</v>
      </c>
      <c r="W61" s="309" t="s">
        <v>85</v>
      </c>
    </row>
    <row r="62" spans="2:23">
      <c r="B62" s="44">
        <v>2015</v>
      </c>
      <c r="C62" s="298"/>
      <c r="D62" s="44"/>
      <c r="J62" t="str">
        <f t="shared" si="8"/>
        <v>Trd_lcv_gsl-pih</v>
      </c>
      <c r="K62" t="str">
        <f t="shared" si="3"/>
        <v>\I:</v>
      </c>
      <c r="L62" t="str">
        <f t="shared" si="4"/>
        <v>\I:</v>
      </c>
      <c r="M62" s="306" t="str">
        <f t="shared" si="11"/>
        <v/>
      </c>
      <c r="N62" s="306" t="str">
        <f t="shared" si="12"/>
        <v/>
      </c>
      <c r="O62" s="306" t="str">
        <f t="shared" si="13"/>
        <v/>
      </c>
      <c r="P62" s="306" t="str">
        <f t="shared" si="14"/>
        <v/>
      </c>
      <c r="T62" t="str">
        <f t="shared" si="16"/>
        <v>\I:</v>
      </c>
      <c r="U62" t="str">
        <f ca="1" t="shared" si="17"/>
        <v>ICE gasoline plug-in hybrid LCV -- 201500%</v>
      </c>
      <c r="V62" s="309" t="s">
        <v>84</v>
      </c>
      <c r="W62" s="309" t="s">
        <v>85</v>
      </c>
    </row>
    <row r="63" spans="2:23">
      <c r="B63" s="45" t="s">
        <v>12</v>
      </c>
      <c r="C63" s="46" t="s">
        <v>13</v>
      </c>
      <c r="D63" s="47">
        <v>6.93202988379299</v>
      </c>
      <c r="G63" s="77">
        <f>D63*F8/100*10^9/10^6</f>
        <v>2.63417135584134</v>
      </c>
      <c r="H63" s="77"/>
      <c r="I63" s="299">
        <f>1/G63</f>
        <v>0.379626024625345</v>
      </c>
      <c r="J63" t="str">
        <f t="shared" si="8"/>
        <v>Trd_lcv_gsl-pih</v>
      </c>
      <c r="K63" t="str">
        <f t="shared" si="3"/>
        <v>\I:</v>
      </c>
      <c r="L63" t="str">
        <f t="shared" si="4"/>
        <v>\I:</v>
      </c>
      <c r="M63" s="306" t="str">
        <f t="shared" si="11"/>
        <v/>
      </c>
      <c r="N63" s="306" t="str">
        <f t="shared" si="12"/>
        <v/>
      </c>
      <c r="O63" s="306" t="str">
        <f t="shared" si="13"/>
        <v/>
      </c>
      <c r="P63" s="306" t="str">
        <f t="shared" si="14"/>
        <v/>
      </c>
      <c r="T63" t="str">
        <f t="shared" si="16"/>
        <v>\I:</v>
      </c>
      <c r="U63" t="str">
        <f ca="1" t="shared" si="17"/>
        <v>ICE gasoline plug-in hybrid LCV -- Energy consumption</v>
      </c>
      <c r="V63" s="309" t="s">
        <v>84</v>
      </c>
      <c r="W63" s="309" t="s">
        <v>85</v>
      </c>
    </row>
    <row r="64" spans="2:23">
      <c r="B64" s="45" t="s">
        <v>14</v>
      </c>
      <c r="C64" s="46" t="s">
        <v>15</v>
      </c>
      <c r="D64" s="68">
        <v>21231.3607830263</v>
      </c>
      <c r="I64" s="311" t="s">
        <v>70</v>
      </c>
      <c r="J64" t="str">
        <f t="shared" si="8"/>
        <v>Trd_lcv_gsl-pih</v>
      </c>
      <c r="K64" t="str">
        <f t="shared" si="3"/>
        <v>\I:</v>
      </c>
      <c r="L64" t="str">
        <f t="shared" si="4"/>
        <v>\I:</v>
      </c>
      <c r="M64" s="306" t="str">
        <f t="shared" si="11"/>
        <v/>
      </c>
      <c r="N64" s="306" t="str">
        <f t="shared" si="12"/>
        <v/>
      </c>
      <c r="O64" s="306" t="str">
        <f t="shared" si="13"/>
        <v/>
      </c>
      <c r="P64" s="306" t="str">
        <f t="shared" si="14"/>
        <v/>
      </c>
      <c r="T64" t="str">
        <f t="shared" si="16"/>
        <v>\I:</v>
      </c>
      <c r="U64" t="str">
        <f ca="1" t="shared" si="17"/>
        <v>ICE gasoline plug-in hybrid LCV -- Capital cost</v>
      </c>
      <c r="V64" s="309" t="s">
        <v>84</v>
      </c>
      <c r="W64" s="309" t="s">
        <v>85</v>
      </c>
    </row>
    <row r="65" spans="10:23">
      <c r="J65" t="str">
        <f t="shared" si="8"/>
        <v>Trd_lcv_gsl-pih</v>
      </c>
      <c r="K65" t="str">
        <f t="shared" si="3"/>
        <v>\I:</v>
      </c>
      <c r="L65" t="str">
        <f t="shared" si="4"/>
        <v>\I:</v>
      </c>
      <c r="M65" s="306" t="str">
        <f t="shared" si="11"/>
        <v/>
      </c>
      <c r="N65" s="306" t="str">
        <f t="shared" si="12"/>
        <v/>
      </c>
      <c r="O65" s="306" t="str">
        <f t="shared" si="13"/>
        <v/>
      </c>
      <c r="P65" s="306" t="str">
        <f t="shared" si="14"/>
        <v/>
      </c>
      <c r="T65" t="str">
        <f t="shared" si="16"/>
        <v>\I:</v>
      </c>
      <c r="U65" t="str">
        <f ca="1" t="shared" si="17"/>
        <v>ICE gasoline plug-in hybrid LCV -- 00%</v>
      </c>
      <c r="V65" s="309" t="s">
        <v>84</v>
      </c>
      <c r="W65" s="309" t="s">
        <v>85</v>
      </c>
    </row>
    <row r="66" ht="15" customHeight="1" spans="2:23">
      <c r="B66" s="48" t="s">
        <v>21</v>
      </c>
      <c r="C66" s="300" t="s">
        <v>98</v>
      </c>
      <c r="D66" s="48"/>
      <c r="E66" s="48"/>
      <c r="F66" s="48"/>
      <c r="J66" t="str">
        <f t="shared" si="8"/>
        <v>Trd_lcv_dsl</v>
      </c>
      <c r="K66" t="str">
        <f t="shared" si="3"/>
        <v>\I:</v>
      </c>
      <c r="L66" t="str">
        <f t="shared" si="4"/>
        <v>\I:</v>
      </c>
      <c r="M66" s="306" t="str">
        <f t="shared" si="11"/>
        <v/>
      </c>
      <c r="N66" s="306" t="str">
        <f t="shared" si="12"/>
        <v/>
      </c>
      <c r="O66" s="306" t="str">
        <f t="shared" si="13"/>
        <v/>
      </c>
      <c r="P66" s="306" t="str">
        <f t="shared" si="14"/>
        <v/>
      </c>
      <c r="T66" t="str">
        <f t="shared" si="16"/>
        <v>\I:</v>
      </c>
      <c r="U66" t="str">
        <f ca="1" t="shared" si="17"/>
        <v>ICE diesel LCV -- Reduction of specific energy consumption relative to 2015 diesel vehicle (%)</v>
      </c>
      <c r="V66" s="309" t="s">
        <v>84</v>
      </c>
      <c r="W66" s="309" t="s">
        <v>85</v>
      </c>
    </row>
    <row r="67" spans="2:23">
      <c r="B67" s="48"/>
      <c r="C67" s="300"/>
      <c r="D67" s="48"/>
      <c r="E67" s="48"/>
      <c r="F67" s="48"/>
      <c r="J67" t="str">
        <f t="shared" si="8"/>
        <v>Trd_lcv_dsl</v>
      </c>
      <c r="K67" t="str">
        <f t="shared" si="3"/>
        <v>\I:</v>
      </c>
      <c r="L67" t="str">
        <f t="shared" si="4"/>
        <v>\I:</v>
      </c>
      <c r="M67" s="306" t="str">
        <f t="shared" si="11"/>
        <v/>
      </c>
      <c r="N67" s="306" t="str">
        <f t="shared" si="12"/>
        <v/>
      </c>
      <c r="O67" s="306" t="str">
        <f t="shared" si="13"/>
        <v/>
      </c>
      <c r="P67" s="306" t="str">
        <f t="shared" si="14"/>
        <v/>
      </c>
      <c r="T67" t="str">
        <f t="shared" si="16"/>
        <v>\I:</v>
      </c>
      <c r="U67" t="str">
        <f ca="1" t="shared" si="17"/>
        <v>ICE diesel LCV -- 00%</v>
      </c>
      <c r="V67" s="309" t="s">
        <v>84</v>
      </c>
      <c r="W67" s="309" t="s">
        <v>85</v>
      </c>
    </row>
    <row r="68" spans="2:23">
      <c r="B68" s="48"/>
      <c r="C68" s="300"/>
      <c r="D68" s="48"/>
      <c r="E68" s="48"/>
      <c r="F68" s="48"/>
      <c r="J68" t="str">
        <f t="shared" si="8"/>
        <v>Trd_lcv_dsl</v>
      </c>
      <c r="K68" t="str">
        <f t="shared" si="3"/>
        <v>\I:</v>
      </c>
      <c r="L68" t="str">
        <f t="shared" si="4"/>
        <v>\I:</v>
      </c>
      <c r="M68" s="306" t="str">
        <f t="shared" si="11"/>
        <v/>
      </c>
      <c r="N68" s="306" t="str">
        <f t="shared" si="12"/>
        <v/>
      </c>
      <c r="O68" s="306" t="str">
        <f t="shared" si="13"/>
        <v/>
      </c>
      <c r="P68" s="306" t="str">
        <f t="shared" si="14"/>
        <v/>
      </c>
      <c r="T68" t="str">
        <f t="shared" si="16"/>
        <v>\I:</v>
      </c>
      <c r="U68" t="str">
        <f ca="1" t="shared" si="17"/>
        <v>ICE diesel LCV -- 00%</v>
      </c>
      <c r="V68" s="309" t="s">
        <v>84</v>
      </c>
      <c r="W68" s="309" t="s">
        <v>85</v>
      </c>
    </row>
    <row r="69" spans="2:23">
      <c r="B69" s="88"/>
      <c r="C69" s="341">
        <v>2020</v>
      </c>
      <c r="D69" s="50">
        <v>2030</v>
      </c>
      <c r="E69" s="50">
        <v>2040</v>
      </c>
      <c r="F69" s="50">
        <v>2050</v>
      </c>
      <c r="I69" s="299">
        <v>1</v>
      </c>
      <c r="J69" s="43" t="str">
        <f t="shared" ref="J69" si="19">IFERROR(VLOOKUP(C69,$R$1:$S$11,2,FALSE),J68)</f>
        <v>Trd_lcv_dsl</v>
      </c>
      <c r="K69" s="43" t="str">
        <f>IFERROR(IF(VALUE(C69)&gt;200,J69&amp;"_"&amp;TEXT(B69*100,"00"),"\I:"),"\I:")</f>
        <v>Trd_lcv_dsl_00</v>
      </c>
      <c r="L69" t="str">
        <f t="shared" si="4"/>
        <v>Trd_lcv</v>
      </c>
      <c r="M69" s="344">
        <f>D64</f>
        <v>21231.3607830263</v>
      </c>
      <c r="N69" s="306"/>
      <c r="O69" s="306"/>
      <c r="P69" s="306"/>
      <c r="T69" t="str">
        <f t="shared" si="16"/>
        <v>Trd_lcv_dsl_00</v>
      </c>
      <c r="U69" t="str">
        <f ca="1" t="shared" si="17"/>
        <v>ICE diesel LCV -- 00%</v>
      </c>
      <c r="V69" s="309" t="s">
        <v>84</v>
      </c>
      <c r="W69" s="309" t="s">
        <v>85</v>
      </c>
    </row>
    <row r="70" spans="2:23">
      <c r="B70" s="85">
        <v>0.26210919523592</v>
      </c>
      <c r="C70" s="342">
        <v>22474.2283094357</v>
      </c>
      <c r="D70" s="86">
        <v>21602.1923061418</v>
      </c>
      <c r="E70" s="86">
        <v>21602.1923061418</v>
      </c>
      <c r="F70" s="86">
        <v>21602.1923061418</v>
      </c>
      <c r="I70" s="77">
        <f>$I$63*(1+B70)/$I$11</f>
        <v>1.28551778942495</v>
      </c>
      <c r="J70" t="str">
        <f t="shared" si="8"/>
        <v>Trd_lcv_dsl</v>
      </c>
      <c r="K70" t="str">
        <f t="shared" si="3"/>
        <v>Trd_lcv_dsl_26</v>
      </c>
      <c r="L70" t="str">
        <f t="shared" si="4"/>
        <v>Trd_lcv</v>
      </c>
      <c r="M70" s="306">
        <f t="shared" si="11"/>
        <v>22474.2283094357</v>
      </c>
      <c r="N70" s="306">
        <f t="shared" si="12"/>
        <v>21602.1923061418</v>
      </c>
      <c r="O70" s="306">
        <f t="shared" si="13"/>
        <v>21602.1923061418</v>
      </c>
      <c r="P70" s="306">
        <f t="shared" si="14"/>
        <v>21602.1923061418</v>
      </c>
      <c r="T70" t="str">
        <f t="shared" si="16"/>
        <v>Trd_lcv_dsl_26</v>
      </c>
      <c r="U70" t="str">
        <f ca="1" t="shared" si="17"/>
        <v>ICE diesel LCV -- 26%</v>
      </c>
      <c r="V70" s="309" t="s">
        <v>84</v>
      </c>
      <c r="W70" s="309" t="s">
        <v>85</v>
      </c>
    </row>
    <row r="71" spans="2:23">
      <c r="B71" s="85">
        <v>0.36210919523592</v>
      </c>
      <c r="C71" s="342">
        <v>26916.5341573593</v>
      </c>
      <c r="D71" s="86">
        <v>22758.9400528979</v>
      </c>
      <c r="E71" s="86">
        <v>22758.9400528979</v>
      </c>
      <c r="F71" s="86">
        <v>22758.9400528979</v>
      </c>
      <c r="I71" s="77">
        <f>$I$63*(1+B71)/$I$11</f>
        <v>1.38737250962487</v>
      </c>
      <c r="J71" t="str">
        <f t="shared" si="8"/>
        <v>Trd_lcv_dsl</v>
      </c>
      <c r="K71" t="str">
        <f t="shared" si="3"/>
        <v>Trd_lcv_dsl_36</v>
      </c>
      <c r="L71" t="str">
        <f t="shared" si="4"/>
        <v>Trd_lcv</v>
      </c>
      <c r="M71" s="306">
        <f t="shared" si="11"/>
        <v>26916.5341573593</v>
      </c>
      <c r="N71" s="306">
        <f t="shared" si="12"/>
        <v>22758.9400528979</v>
      </c>
      <c r="O71" s="306">
        <f t="shared" si="13"/>
        <v>22758.9400528979</v>
      </c>
      <c r="P71" s="306">
        <f t="shared" si="14"/>
        <v>22758.9400528979</v>
      </c>
      <c r="T71" t="str">
        <f t="shared" si="16"/>
        <v>Trd_lcv_dsl_36</v>
      </c>
      <c r="U71" t="str">
        <f ca="1" t="shared" si="17"/>
        <v>ICE diesel LCV -- 36%</v>
      </c>
      <c r="V71" s="309" t="s">
        <v>84</v>
      </c>
      <c r="W71" s="309" t="s">
        <v>85</v>
      </c>
    </row>
    <row r="72" spans="2:23">
      <c r="B72" s="85">
        <v>0.41210919523592</v>
      </c>
      <c r="C72" s="342">
        <v>36866.5037549578</v>
      </c>
      <c r="D72" s="86">
        <v>24797.8982314302</v>
      </c>
      <c r="E72" s="86">
        <v>24797.8982314302</v>
      </c>
      <c r="F72" s="86">
        <v>24797.8982314302</v>
      </c>
      <c r="I72" s="77">
        <f>$I$63*(1+B72)/$I$11</f>
        <v>1.43829986972482</v>
      </c>
      <c r="J72" t="str">
        <f t="shared" si="8"/>
        <v>Trd_lcv_dsl</v>
      </c>
      <c r="K72" t="str">
        <f t="shared" si="3"/>
        <v>Trd_lcv_dsl_41</v>
      </c>
      <c r="L72" t="str">
        <f t="shared" si="4"/>
        <v>Trd_lcv</v>
      </c>
      <c r="M72" s="306">
        <f t="shared" si="11"/>
        <v>36866.5037549578</v>
      </c>
      <c r="N72" s="306">
        <f t="shared" si="12"/>
        <v>24797.8982314302</v>
      </c>
      <c r="O72" s="306">
        <f t="shared" si="13"/>
        <v>24797.8982314302</v>
      </c>
      <c r="P72" s="306">
        <f t="shared" si="14"/>
        <v>24797.8982314302</v>
      </c>
      <c r="T72" t="str">
        <f t="shared" si="16"/>
        <v>Trd_lcv_dsl_41</v>
      </c>
      <c r="U72" t="str">
        <f ca="1" t="shared" si="17"/>
        <v>ICE diesel LCV -- 41%</v>
      </c>
      <c r="V72" s="309" t="s">
        <v>84</v>
      </c>
      <c r="W72" s="309" t="s">
        <v>85</v>
      </c>
    </row>
    <row r="73" spans="2:23">
      <c r="B73" s="85">
        <v>0.46210919523592</v>
      </c>
      <c r="C73" s="342">
        <v>111418.876548986</v>
      </c>
      <c r="D73" s="86">
        <v>30833.7589860951</v>
      </c>
      <c r="E73" s="86">
        <v>30833.7589860951</v>
      </c>
      <c r="F73" s="86">
        <v>30833.7589860951</v>
      </c>
      <c r="I73" s="77">
        <f>$I$63*(1+B73)/$I$11</f>
        <v>1.48922722982478</v>
      </c>
      <c r="J73" t="str">
        <f t="shared" si="8"/>
        <v>Trd_lcv_dsl</v>
      </c>
      <c r="K73" t="str">
        <f t="shared" si="3"/>
        <v>Trd_lcv_dsl_46</v>
      </c>
      <c r="L73" t="str">
        <f t="shared" si="4"/>
        <v>Trd_lcv</v>
      </c>
      <c r="M73" s="306">
        <f t="shared" si="11"/>
        <v>111418.876548986</v>
      </c>
      <c r="N73" s="306">
        <f t="shared" si="12"/>
        <v>30833.7589860951</v>
      </c>
      <c r="O73" s="306">
        <f t="shared" si="13"/>
        <v>30833.7589860951</v>
      </c>
      <c r="P73" s="306">
        <f t="shared" si="14"/>
        <v>30833.7589860951</v>
      </c>
      <c r="T73" t="str">
        <f t="shared" si="16"/>
        <v>Trd_lcv_dsl_46</v>
      </c>
      <c r="U73" t="str">
        <f ca="1" t="shared" si="17"/>
        <v>ICE diesel LCV -- 46%</v>
      </c>
      <c r="V73" s="309" t="s">
        <v>84</v>
      </c>
      <c r="W73" s="309" t="s">
        <v>85</v>
      </c>
    </row>
    <row r="74" spans="2:23">
      <c r="B74" s="85">
        <v>0.51210919523592</v>
      </c>
      <c r="C74" s="342"/>
      <c r="D74" s="86">
        <v>86441.8011430764</v>
      </c>
      <c r="E74" s="86">
        <v>86441.8011430764</v>
      </c>
      <c r="F74" s="86">
        <v>86441.8011430764</v>
      </c>
      <c r="I74" s="77">
        <f>$I$63*(1+B74)/$I$11</f>
        <v>1.54015458992474</v>
      </c>
      <c r="J74" t="str">
        <f t="shared" si="8"/>
        <v>Trd_lcv_dsl</v>
      </c>
      <c r="K74" t="str">
        <f t="shared" si="3"/>
        <v>\I:</v>
      </c>
      <c r="L74" t="str">
        <f t="shared" si="4"/>
        <v>\I:</v>
      </c>
      <c r="M74" s="306" t="str">
        <f t="shared" si="11"/>
        <v/>
      </c>
      <c r="N74" s="306" t="str">
        <f t="shared" si="12"/>
        <v/>
      </c>
      <c r="O74" s="306" t="str">
        <f t="shared" si="13"/>
        <v/>
      </c>
      <c r="P74" s="306" t="str">
        <f t="shared" si="14"/>
        <v/>
      </c>
      <c r="T74" t="str">
        <f t="shared" si="16"/>
        <v>\I:</v>
      </c>
      <c r="U74" t="str">
        <f ca="1" t="shared" si="17"/>
        <v>ICE diesel LCV -- 51%</v>
      </c>
      <c r="V74" s="309" t="s">
        <v>84</v>
      </c>
      <c r="W74" s="309" t="s">
        <v>85</v>
      </c>
    </row>
    <row r="75" spans="4:23">
      <c r="D75" s="97"/>
      <c r="E75" s="97"/>
      <c r="F75" s="97"/>
      <c r="J75" t="str">
        <f t="shared" si="8"/>
        <v>Trd_lcv_dsl</v>
      </c>
      <c r="K75" t="str">
        <f t="shared" si="3"/>
        <v>\I:</v>
      </c>
      <c r="L75" t="str">
        <f t="shared" si="4"/>
        <v>\I:</v>
      </c>
      <c r="M75" s="306" t="str">
        <f t="shared" si="11"/>
        <v/>
      </c>
      <c r="N75" s="306" t="str">
        <f t="shared" si="12"/>
        <v/>
      </c>
      <c r="O75" s="306" t="str">
        <f t="shared" si="13"/>
        <v/>
      </c>
      <c r="P75" s="306" t="str">
        <f t="shared" si="14"/>
        <v/>
      </c>
      <c r="T75" t="str">
        <f t="shared" si="16"/>
        <v>\I:</v>
      </c>
      <c r="U75" t="str">
        <f ca="1" t="shared" si="17"/>
        <v>ICE diesel LCV -- 00%</v>
      </c>
      <c r="V75" s="309" t="s">
        <v>84</v>
      </c>
      <c r="W75" s="309" t="s">
        <v>85</v>
      </c>
    </row>
    <row r="76" spans="10:23">
      <c r="J76" t="str">
        <f t="shared" si="8"/>
        <v>Trd_lcv_dsl</v>
      </c>
      <c r="K76" t="str">
        <f t="shared" si="3"/>
        <v>\I:</v>
      </c>
      <c r="L76" t="str">
        <f t="shared" si="4"/>
        <v>\I:</v>
      </c>
      <c r="M76" s="306" t="str">
        <f t="shared" si="11"/>
        <v/>
      </c>
      <c r="N76" s="306" t="str">
        <f t="shared" si="12"/>
        <v/>
      </c>
      <c r="O76" s="306" t="str">
        <f t="shared" si="13"/>
        <v/>
      </c>
      <c r="P76" s="306" t="str">
        <f t="shared" si="14"/>
        <v/>
      </c>
      <c r="T76" t="str">
        <f t="shared" si="16"/>
        <v>\I:</v>
      </c>
      <c r="U76" t="str">
        <f ca="1" t="shared" si="17"/>
        <v>ICE diesel LCV -- 00%</v>
      </c>
      <c r="V76" s="309" t="s">
        <v>84</v>
      </c>
      <c r="W76" s="309" t="s">
        <v>85</v>
      </c>
    </row>
    <row r="77" spans="10:23">
      <c r="J77" t="str">
        <f t="shared" si="8"/>
        <v>Trd_lcv_dsl</v>
      </c>
      <c r="K77" t="str">
        <f t="shared" si="3"/>
        <v>\I:</v>
      </c>
      <c r="L77" t="str">
        <f t="shared" si="4"/>
        <v>\I:</v>
      </c>
      <c r="M77" s="306" t="str">
        <f t="shared" si="11"/>
        <v/>
      </c>
      <c r="N77" s="306" t="str">
        <f t="shared" si="12"/>
        <v/>
      </c>
      <c r="O77" s="306" t="str">
        <f t="shared" si="13"/>
        <v/>
      </c>
      <c r="P77" s="306" t="str">
        <f t="shared" si="14"/>
        <v/>
      </c>
      <c r="T77" t="str">
        <f t="shared" si="16"/>
        <v>\I:</v>
      </c>
      <c r="U77" t="str">
        <f ca="1" t="shared" si="17"/>
        <v>ICE diesel LCV -- 00%</v>
      </c>
      <c r="V77" s="309" t="s">
        <v>84</v>
      </c>
      <c r="W77" s="309" t="s">
        <v>85</v>
      </c>
    </row>
    <row r="78" spans="10:23">
      <c r="J78" t="str">
        <f t="shared" si="8"/>
        <v>Trd_lcv_dsl</v>
      </c>
      <c r="K78" t="str">
        <f t="shared" si="3"/>
        <v>\I:</v>
      </c>
      <c r="L78" t="str">
        <f t="shared" si="4"/>
        <v>\I:</v>
      </c>
      <c r="M78" s="306" t="str">
        <f t="shared" si="11"/>
        <v/>
      </c>
      <c r="N78" s="306" t="str">
        <f t="shared" si="12"/>
        <v/>
      </c>
      <c r="O78" s="306" t="str">
        <f t="shared" si="13"/>
        <v/>
      </c>
      <c r="P78" s="306" t="str">
        <f t="shared" si="14"/>
        <v/>
      </c>
      <c r="T78" t="str">
        <f t="shared" si="16"/>
        <v>\I:</v>
      </c>
      <c r="U78" t="str">
        <f ca="1" t="shared" si="17"/>
        <v>ICE diesel LCV -- 00%</v>
      </c>
      <c r="V78" s="309" t="s">
        <v>84</v>
      </c>
      <c r="W78" s="309" t="s">
        <v>85</v>
      </c>
    </row>
    <row r="79" ht="15" customHeight="1" spans="2:23">
      <c r="B79" s="48" t="s">
        <v>21</v>
      </c>
      <c r="C79" s="300" t="s">
        <v>99</v>
      </c>
      <c r="D79" s="48"/>
      <c r="E79" s="48"/>
      <c r="F79" s="48"/>
      <c r="J79" t="str">
        <f t="shared" si="8"/>
        <v>Trd_lcv_dsl-hyb</v>
      </c>
      <c r="K79" t="str">
        <f t="shared" si="3"/>
        <v>\I:</v>
      </c>
      <c r="L79" t="str">
        <f t="shared" si="4"/>
        <v>\I:</v>
      </c>
      <c r="M79" s="306" t="str">
        <f t="shared" si="11"/>
        <v/>
      </c>
      <c r="N79" s="306" t="str">
        <f t="shared" si="12"/>
        <v/>
      </c>
      <c r="O79" s="306" t="str">
        <f t="shared" si="13"/>
        <v/>
      </c>
      <c r="P79" s="306" t="str">
        <f t="shared" si="14"/>
        <v/>
      </c>
      <c r="T79" t="str">
        <f t="shared" si="16"/>
        <v>\I:</v>
      </c>
      <c r="U79" t="str">
        <f ca="1" t="shared" si="17"/>
        <v>ICE hybrid diesel LCV -- Reduction of specific energy consumption relative to 2015 diesel vehicle (%)</v>
      </c>
      <c r="V79" s="309" t="s">
        <v>84</v>
      </c>
      <c r="W79" s="309" t="s">
        <v>85</v>
      </c>
    </row>
    <row r="80" spans="2:23">
      <c r="B80" s="48"/>
      <c r="C80" s="300"/>
      <c r="D80" s="48"/>
      <c r="E80" s="48"/>
      <c r="F80" s="48"/>
      <c r="J80" t="str">
        <f t="shared" si="8"/>
        <v>Trd_lcv_dsl-hyb</v>
      </c>
      <c r="K80" t="str">
        <f t="shared" si="3"/>
        <v>\I:</v>
      </c>
      <c r="L80" t="str">
        <f t="shared" si="4"/>
        <v>\I:</v>
      </c>
      <c r="M80" s="306" t="str">
        <f t="shared" si="11"/>
        <v/>
      </c>
      <c r="N80" s="306" t="str">
        <f t="shared" si="12"/>
        <v/>
      </c>
      <c r="O80" s="306" t="str">
        <f t="shared" si="13"/>
        <v/>
      </c>
      <c r="P80" s="306" t="str">
        <f t="shared" si="14"/>
        <v/>
      </c>
      <c r="T80" t="str">
        <f t="shared" ref="T80:T111" si="20">K80</f>
        <v>\I:</v>
      </c>
      <c r="U80" t="str">
        <f ca="1" t="shared" ref="U80:U111" si="21">OFFSET($S$1,MATCH(J80,$S$1:$S$10,0)-1,-1)&amp;" -- "&amp;TEXT(B80,"00%")</f>
        <v>ICE hybrid diesel LCV -- 00%</v>
      </c>
      <c r="V80" s="309" t="s">
        <v>84</v>
      </c>
      <c r="W80" s="309" t="s">
        <v>85</v>
      </c>
    </row>
    <row r="81" spans="2:23">
      <c r="B81" s="48"/>
      <c r="C81" s="300"/>
      <c r="D81" s="48"/>
      <c r="E81" s="48"/>
      <c r="F81" s="48"/>
      <c r="J81" t="str">
        <f t="shared" si="8"/>
        <v>Trd_lcv_dsl-hyb</v>
      </c>
      <c r="K81" t="str">
        <f t="shared" ref="K81:K144" si="22">IFERROR(IF(VALUE(C81)&gt;2020,J81&amp;"_"&amp;TEXT(B81*100,"00"),"\I:"),"\I:")</f>
        <v>\I:</v>
      </c>
      <c r="L81" t="str">
        <f t="shared" ref="L81:L144" si="23">LEFT(K81,7)</f>
        <v>\I:</v>
      </c>
      <c r="M81" s="306" t="str">
        <f t="shared" si="11"/>
        <v/>
      </c>
      <c r="N81" s="306" t="str">
        <f t="shared" si="12"/>
        <v/>
      </c>
      <c r="O81" s="306" t="str">
        <f t="shared" si="13"/>
        <v/>
      </c>
      <c r="P81" s="306" t="str">
        <f t="shared" si="14"/>
        <v/>
      </c>
      <c r="T81" t="str">
        <f t="shared" si="20"/>
        <v>\I:</v>
      </c>
      <c r="U81" t="str">
        <f ca="1" t="shared" si="21"/>
        <v>ICE hybrid diesel LCV -- 00%</v>
      </c>
      <c r="V81" s="309" t="s">
        <v>84</v>
      </c>
      <c r="W81" s="309" t="s">
        <v>85</v>
      </c>
    </row>
    <row r="82" spans="2:23">
      <c r="B82" s="88"/>
      <c r="C82" s="341">
        <v>2020</v>
      </c>
      <c r="D82" s="50">
        <v>2030</v>
      </c>
      <c r="E82" s="50">
        <v>2040</v>
      </c>
      <c r="F82" s="50">
        <v>2050</v>
      </c>
      <c r="J82" t="str">
        <f t="shared" si="8"/>
        <v>Trd_lcv_dsl-hyb</v>
      </c>
      <c r="K82" t="str">
        <f t="shared" si="22"/>
        <v>\I:</v>
      </c>
      <c r="L82" t="str">
        <f t="shared" si="23"/>
        <v>\I:</v>
      </c>
      <c r="M82" s="306" t="str">
        <f t="shared" si="11"/>
        <v/>
      </c>
      <c r="N82" s="306" t="str">
        <f t="shared" si="12"/>
        <v/>
      </c>
      <c r="O82" s="306" t="str">
        <f t="shared" si="13"/>
        <v/>
      </c>
      <c r="P82" s="306" t="str">
        <f t="shared" si="14"/>
        <v/>
      </c>
      <c r="T82" t="str">
        <f t="shared" si="20"/>
        <v>\I:</v>
      </c>
      <c r="U82" t="str">
        <f ca="1" t="shared" si="21"/>
        <v>ICE hybrid diesel LCV -- 00%</v>
      </c>
      <c r="V82" s="309" t="s">
        <v>84</v>
      </c>
      <c r="W82" s="309" t="s">
        <v>85</v>
      </c>
    </row>
    <row r="83" spans="2:23">
      <c r="B83" s="85">
        <v>0.110724303558803</v>
      </c>
      <c r="C83" s="342">
        <v>24678.6668661833</v>
      </c>
      <c r="D83" s="86">
        <v>23366.0686001195</v>
      </c>
      <c r="E83" s="86">
        <v>23366.0686001195</v>
      </c>
      <c r="F83" s="86">
        <v>23366.0686001195</v>
      </c>
      <c r="I83" s="77">
        <f t="shared" ref="I83:I89" si="24">$I$63*(1+B83)/$I$11</f>
        <v>1.13132513158228</v>
      </c>
      <c r="J83" t="str">
        <f t="shared" si="8"/>
        <v>Trd_lcv_dsl-hyb</v>
      </c>
      <c r="K83" t="str">
        <f t="shared" si="22"/>
        <v>Trd_lcv_dsl-hyb_11</v>
      </c>
      <c r="L83" t="str">
        <f t="shared" si="23"/>
        <v>Trd_lcv</v>
      </c>
      <c r="M83" s="306">
        <f t="shared" si="11"/>
        <v>24678.6668661833</v>
      </c>
      <c r="N83" s="306">
        <f t="shared" si="12"/>
        <v>23366.0686001195</v>
      </c>
      <c r="O83" s="306">
        <f t="shared" si="13"/>
        <v>23366.0686001195</v>
      </c>
      <c r="P83" s="306">
        <f t="shared" si="14"/>
        <v>23366.0686001195</v>
      </c>
      <c r="T83" t="str">
        <f t="shared" si="20"/>
        <v>Trd_lcv_dsl-hyb_11</v>
      </c>
      <c r="U83" t="str">
        <f ca="1" t="shared" si="21"/>
        <v>ICE hybrid diesel LCV -- 11%</v>
      </c>
      <c r="V83" s="309" t="s">
        <v>84</v>
      </c>
      <c r="W83" s="309" t="s">
        <v>85</v>
      </c>
    </row>
    <row r="84" spans="2:23">
      <c r="B84" s="85">
        <v>0.210724303558803</v>
      </c>
      <c r="C84" s="342">
        <v>24878.6334447431</v>
      </c>
      <c r="D84" s="86">
        <v>23501.1217209491</v>
      </c>
      <c r="E84" s="86">
        <v>23501.1217209491</v>
      </c>
      <c r="F84" s="86">
        <v>23501.1217209491</v>
      </c>
      <c r="I84" s="77">
        <f t="shared" si="24"/>
        <v>1.23317985178219</v>
      </c>
      <c r="J84" t="str">
        <f t="shared" ref="J84:J147" si="25">IFERROR(VLOOKUP(C84,$R$1:$S$10,2,FALSE),J83)</f>
        <v>Trd_lcv_dsl-hyb</v>
      </c>
      <c r="K84" t="str">
        <f t="shared" si="22"/>
        <v>Trd_lcv_dsl-hyb_21</v>
      </c>
      <c r="L84" t="str">
        <f t="shared" si="23"/>
        <v>Trd_lcv</v>
      </c>
      <c r="M84" s="306">
        <f t="shared" si="11"/>
        <v>24878.6334447431</v>
      </c>
      <c r="N84" s="306">
        <f t="shared" si="12"/>
        <v>23501.1217209491</v>
      </c>
      <c r="O84" s="306">
        <f t="shared" si="13"/>
        <v>23501.1217209491</v>
      </c>
      <c r="P84" s="306">
        <f t="shared" si="14"/>
        <v>23501.1217209491</v>
      </c>
      <c r="T84" t="str">
        <f t="shared" si="20"/>
        <v>Trd_lcv_dsl-hyb_21</v>
      </c>
      <c r="U84" t="str">
        <f ca="1" t="shared" si="21"/>
        <v>ICE hybrid diesel LCV -- 21%</v>
      </c>
      <c r="V84" s="309" t="s">
        <v>84</v>
      </c>
      <c r="W84" s="309" t="s">
        <v>85</v>
      </c>
    </row>
    <row r="85" spans="2:23">
      <c r="B85" s="85">
        <v>0.260724303558803</v>
      </c>
      <c r="C85" s="342">
        <v>25028.9645658107</v>
      </c>
      <c r="D85" s="86">
        <v>23634.9946579313</v>
      </c>
      <c r="E85" s="86">
        <v>23634.9946579313</v>
      </c>
      <c r="F85" s="86">
        <v>23634.9946579313</v>
      </c>
      <c r="I85" s="77">
        <f t="shared" si="24"/>
        <v>1.28410721188215</v>
      </c>
      <c r="J85" t="str">
        <f t="shared" si="25"/>
        <v>Trd_lcv_dsl-hyb</v>
      </c>
      <c r="K85" t="str">
        <f t="shared" si="22"/>
        <v>Trd_lcv_dsl-hyb_26</v>
      </c>
      <c r="L85" t="str">
        <f t="shared" si="23"/>
        <v>Trd_lcv</v>
      </c>
      <c r="M85" s="306">
        <f t="shared" si="11"/>
        <v>25028.9645658107</v>
      </c>
      <c r="N85" s="306">
        <f t="shared" si="12"/>
        <v>23634.9946579313</v>
      </c>
      <c r="O85" s="306">
        <f t="shared" si="13"/>
        <v>23634.9946579313</v>
      </c>
      <c r="P85" s="306">
        <f t="shared" si="14"/>
        <v>23634.9946579313</v>
      </c>
      <c r="T85" t="str">
        <f t="shared" si="20"/>
        <v>Trd_lcv_dsl-hyb_26</v>
      </c>
      <c r="U85" t="str">
        <f ca="1" t="shared" si="21"/>
        <v>ICE hybrid diesel LCV -- 26%</v>
      </c>
      <c r="V85" s="309" t="s">
        <v>84</v>
      </c>
      <c r="W85" s="309" t="s">
        <v>85</v>
      </c>
    </row>
    <row r="86" spans="2:23">
      <c r="B86" s="85">
        <v>0.310724303558803</v>
      </c>
      <c r="C86" s="342">
        <v>25273.0292990968</v>
      </c>
      <c r="D86" s="86">
        <v>23801.0752115564</v>
      </c>
      <c r="E86" s="86">
        <v>23801.0752115564</v>
      </c>
      <c r="F86" s="86">
        <v>23801.0752115564</v>
      </c>
      <c r="I86" s="77">
        <f t="shared" si="24"/>
        <v>1.33503457198211</v>
      </c>
      <c r="J86" t="str">
        <f t="shared" si="25"/>
        <v>Trd_lcv_dsl-hyb</v>
      </c>
      <c r="K86" t="str">
        <f t="shared" si="22"/>
        <v>Trd_lcv_dsl-hyb_31</v>
      </c>
      <c r="L86" t="str">
        <f t="shared" si="23"/>
        <v>Trd_lcv</v>
      </c>
      <c r="M86" s="306">
        <f t="shared" si="11"/>
        <v>25273.0292990968</v>
      </c>
      <c r="N86" s="306">
        <f t="shared" si="12"/>
        <v>23801.0752115564</v>
      </c>
      <c r="O86" s="306">
        <f t="shared" si="13"/>
        <v>23801.0752115564</v>
      </c>
      <c r="P86" s="306">
        <f t="shared" si="14"/>
        <v>23801.0752115564</v>
      </c>
      <c r="T86" t="str">
        <f t="shared" si="20"/>
        <v>Trd_lcv_dsl-hyb_31</v>
      </c>
      <c r="U86" t="str">
        <f ca="1" t="shared" si="21"/>
        <v>ICE hybrid diesel LCV -- 31%</v>
      </c>
      <c r="V86" s="309" t="s">
        <v>84</v>
      </c>
      <c r="W86" s="309" t="s">
        <v>85</v>
      </c>
    </row>
    <row r="87" spans="2:23">
      <c r="B87" s="85">
        <v>0.360724303558803</v>
      </c>
      <c r="C87" s="342">
        <v>25690.6061397019</v>
      </c>
      <c r="D87" s="86">
        <v>24014.7586359106</v>
      </c>
      <c r="E87" s="86">
        <v>24014.7586359106</v>
      </c>
      <c r="F87" s="86">
        <v>24014.7586359106</v>
      </c>
      <c r="I87" s="77">
        <f t="shared" si="24"/>
        <v>1.38596193208207</v>
      </c>
      <c r="J87" t="str">
        <f t="shared" si="25"/>
        <v>Trd_lcv_dsl-hyb</v>
      </c>
      <c r="K87" t="str">
        <f t="shared" si="22"/>
        <v>Trd_lcv_dsl-hyb_36</v>
      </c>
      <c r="L87" t="str">
        <f t="shared" si="23"/>
        <v>Trd_lcv</v>
      </c>
      <c r="M87" s="306">
        <f t="shared" si="11"/>
        <v>25690.6061397019</v>
      </c>
      <c r="N87" s="306">
        <f t="shared" si="12"/>
        <v>24014.7586359106</v>
      </c>
      <c r="O87" s="306">
        <f t="shared" si="13"/>
        <v>24014.7586359106</v>
      </c>
      <c r="P87" s="306">
        <f t="shared" si="14"/>
        <v>24014.7586359106</v>
      </c>
      <c r="T87" t="str">
        <f t="shared" si="20"/>
        <v>Trd_lcv_dsl-hyb_36</v>
      </c>
      <c r="U87" t="str">
        <f ca="1" t="shared" si="21"/>
        <v>ICE hybrid diesel LCV -- 36%</v>
      </c>
      <c r="V87" s="309" t="s">
        <v>84</v>
      </c>
      <c r="W87" s="309" t="s">
        <v>85</v>
      </c>
    </row>
    <row r="88" spans="2:23">
      <c r="B88" s="85">
        <v>0.410724303558803</v>
      </c>
      <c r="C88" s="342">
        <v>35262.6550538041</v>
      </c>
      <c r="D88" s="86">
        <v>24332.1326255198</v>
      </c>
      <c r="E88" s="86">
        <v>24332.1326255198</v>
      </c>
      <c r="F88" s="86">
        <v>24332.1326255198</v>
      </c>
      <c r="I88" s="77">
        <f t="shared" si="24"/>
        <v>1.43688929218202</v>
      </c>
      <c r="J88" t="str">
        <f t="shared" si="25"/>
        <v>Trd_lcv_dsl-hyb</v>
      </c>
      <c r="K88" t="str">
        <f t="shared" si="22"/>
        <v>Trd_lcv_dsl-hyb_41</v>
      </c>
      <c r="L88" t="str">
        <f t="shared" si="23"/>
        <v>Trd_lcv</v>
      </c>
      <c r="M88" s="306">
        <f t="shared" si="11"/>
        <v>35262.6550538041</v>
      </c>
      <c r="N88" s="306">
        <f t="shared" si="12"/>
        <v>24332.1326255198</v>
      </c>
      <c r="O88" s="306">
        <f t="shared" si="13"/>
        <v>24332.1326255198</v>
      </c>
      <c r="P88" s="306">
        <f t="shared" si="14"/>
        <v>24332.1326255198</v>
      </c>
      <c r="T88" t="str">
        <f t="shared" si="20"/>
        <v>Trd_lcv_dsl-hyb_41</v>
      </c>
      <c r="U88" t="str">
        <f ca="1" t="shared" si="21"/>
        <v>ICE hybrid diesel LCV -- 41%</v>
      </c>
      <c r="V88" s="309" t="s">
        <v>84</v>
      </c>
      <c r="W88" s="309" t="s">
        <v>85</v>
      </c>
    </row>
    <row r="89" spans="2:23">
      <c r="B89" s="85">
        <v>0.460724303558803</v>
      </c>
      <c r="C89" s="342">
        <v>114071.886949746</v>
      </c>
      <c r="D89" s="86">
        <v>33470.3117976244</v>
      </c>
      <c r="E89" s="86">
        <v>33470.3117976244</v>
      </c>
      <c r="F89" s="86">
        <v>33470.3117976244</v>
      </c>
      <c r="I89" s="77">
        <f t="shared" si="24"/>
        <v>1.48781665228198</v>
      </c>
      <c r="J89" t="str">
        <f t="shared" si="25"/>
        <v>Trd_lcv_dsl-hyb</v>
      </c>
      <c r="K89" t="str">
        <f t="shared" si="22"/>
        <v>Trd_lcv_dsl-hyb_46</v>
      </c>
      <c r="L89" t="str">
        <f t="shared" si="23"/>
        <v>Trd_lcv</v>
      </c>
      <c r="M89" s="306">
        <f t="shared" si="11"/>
        <v>114071.886949746</v>
      </c>
      <c r="N89" s="306">
        <f t="shared" si="12"/>
        <v>33470.3117976244</v>
      </c>
      <c r="O89" s="306">
        <f t="shared" si="13"/>
        <v>33470.3117976244</v>
      </c>
      <c r="P89" s="306">
        <f t="shared" si="14"/>
        <v>33470.3117976244</v>
      </c>
      <c r="T89" t="str">
        <f t="shared" si="20"/>
        <v>Trd_lcv_dsl-hyb_46</v>
      </c>
      <c r="U89" t="str">
        <f ca="1" t="shared" si="21"/>
        <v>ICE hybrid diesel LCV -- 46%</v>
      </c>
      <c r="V89" s="309" t="s">
        <v>84</v>
      </c>
      <c r="W89" s="309" t="s">
        <v>85</v>
      </c>
    </row>
    <row r="90" spans="4:23">
      <c r="D90" s="97"/>
      <c r="E90" s="97"/>
      <c r="F90" s="97"/>
      <c r="I90" s="77"/>
      <c r="J90" t="str">
        <f t="shared" si="25"/>
        <v>Trd_lcv_dsl-hyb</v>
      </c>
      <c r="K90" t="str">
        <f t="shared" si="22"/>
        <v>\I:</v>
      </c>
      <c r="L90" t="str">
        <f t="shared" si="23"/>
        <v>\I:</v>
      </c>
      <c r="M90" s="306" t="str">
        <f t="shared" ref="M90:M153" si="26">IF($K90="\I:","",C90)</f>
        <v/>
      </c>
      <c r="N90" s="306" t="str">
        <f t="shared" ref="N90:N153" si="27">IF($K90="\I:","",D90)</f>
        <v/>
      </c>
      <c r="O90" s="306" t="str">
        <f t="shared" ref="O90:O153" si="28">IF($K90="\I:","",E90)</f>
        <v/>
      </c>
      <c r="P90" s="306" t="str">
        <f t="shared" ref="P90:P153" si="29">IF($K90="\I:","",F90)</f>
        <v/>
      </c>
      <c r="T90" t="str">
        <f t="shared" si="20"/>
        <v>\I:</v>
      </c>
      <c r="U90" t="str">
        <f ca="1" t="shared" si="21"/>
        <v>ICE hybrid diesel LCV -- 00%</v>
      </c>
      <c r="V90" s="309" t="s">
        <v>84</v>
      </c>
      <c r="W90" s="309" t="s">
        <v>85</v>
      </c>
    </row>
    <row r="91" spans="10:23">
      <c r="J91" t="str">
        <f t="shared" si="25"/>
        <v>Trd_lcv_dsl-hyb</v>
      </c>
      <c r="K91" t="str">
        <f t="shared" si="22"/>
        <v>\I:</v>
      </c>
      <c r="L91" t="str">
        <f t="shared" si="23"/>
        <v>\I:</v>
      </c>
      <c r="M91" s="306" t="str">
        <f t="shared" si="26"/>
        <v/>
      </c>
      <c r="N91" s="306" t="str">
        <f t="shared" si="27"/>
        <v/>
      </c>
      <c r="O91" s="306" t="str">
        <f t="shared" si="28"/>
        <v/>
      </c>
      <c r="P91" s="306" t="str">
        <f t="shared" si="29"/>
        <v/>
      </c>
      <c r="T91" t="str">
        <f t="shared" si="20"/>
        <v>\I:</v>
      </c>
      <c r="U91" t="str">
        <f ca="1" t="shared" si="21"/>
        <v>ICE hybrid diesel LCV -- 00%</v>
      </c>
      <c r="V91" s="309" t="s">
        <v>84</v>
      </c>
      <c r="W91" s="309" t="s">
        <v>85</v>
      </c>
    </row>
    <row r="92" spans="10:23">
      <c r="J92" t="str">
        <f t="shared" si="25"/>
        <v>Trd_lcv_dsl-hyb</v>
      </c>
      <c r="K92" t="str">
        <f t="shared" si="22"/>
        <v>\I:</v>
      </c>
      <c r="L92" t="str">
        <f t="shared" si="23"/>
        <v>\I:</v>
      </c>
      <c r="M92" s="306" t="str">
        <f t="shared" si="26"/>
        <v/>
      </c>
      <c r="N92" s="306" t="str">
        <f t="shared" si="27"/>
        <v/>
      </c>
      <c r="O92" s="306" t="str">
        <f t="shared" si="28"/>
        <v/>
      </c>
      <c r="P92" s="306" t="str">
        <f t="shared" si="29"/>
        <v/>
      </c>
      <c r="T92" t="str">
        <f t="shared" si="20"/>
        <v>\I:</v>
      </c>
      <c r="U92" t="str">
        <f ca="1" t="shared" si="21"/>
        <v>ICE hybrid diesel LCV -- 00%</v>
      </c>
      <c r="V92" s="309" t="s">
        <v>84</v>
      </c>
      <c r="W92" s="309" t="s">
        <v>85</v>
      </c>
    </row>
    <row r="93" spans="10:23">
      <c r="J93" t="str">
        <f t="shared" si="25"/>
        <v>Trd_lcv_dsl-hyb</v>
      </c>
      <c r="K93" t="str">
        <f t="shared" si="22"/>
        <v>\I:</v>
      </c>
      <c r="L93" t="str">
        <f t="shared" si="23"/>
        <v>\I:</v>
      </c>
      <c r="M93" s="306" t="str">
        <f t="shared" si="26"/>
        <v/>
      </c>
      <c r="N93" s="306" t="str">
        <f t="shared" si="27"/>
        <v/>
      </c>
      <c r="O93" s="306" t="str">
        <f t="shared" si="28"/>
        <v/>
      </c>
      <c r="P93" s="306" t="str">
        <f t="shared" si="29"/>
        <v/>
      </c>
      <c r="T93" t="str">
        <f t="shared" si="20"/>
        <v>\I:</v>
      </c>
      <c r="U93" t="str">
        <f ca="1" t="shared" si="21"/>
        <v>ICE hybrid diesel LCV -- 00%</v>
      </c>
      <c r="V93" s="309" t="s">
        <v>84</v>
      </c>
      <c r="W93" s="309" t="s">
        <v>85</v>
      </c>
    </row>
    <row r="94" ht="15" customHeight="1" spans="2:23">
      <c r="B94" s="48" t="s">
        <v>21</v>
      </c>
      <c r="C94" s="300" t="s">
        <v>100</v>
      </c>
      <c r="D94" s="48"/>
      <c r="E94" s="48"/>
      <c r="F94" s="48"/>
      <c r="J94" t="str">
        <f t="shared" si="25"/>
        <v>Trd_lcv_dsl-pih</v>
      </c>
      <c r="K94" t="str">
        <f t="shared" si="22"/>
        <v>\I:</v>
      </c>
      <c r="L94" t="str">
        <f t="shared" si="23"/>
        <v>\I:</v>
      </c>
      <c r="M94" s="306" t="str">
        <f t="shared" si="26"/>
        <v/>
      </c>
      <c r="N94" s="306" t="str">
        <f t="shared" si="27"/>
        <v/>
      </c>
      <c r="O94" s="306" t="str">
        <f t="shared" si="28"/>
        <v/>
      </c>
      <c r="P94" s="306" t="str">
        <f t="shared" si="29"/>
        <v/>
      </c>
      <c r="T94" t="str">
        <f t="shared" si="20"/>
        <v>\I:</v>
      </c>
      <c r="U94" t="str">
        <f ca="1" t="shared" si="21"/>
        <v>ICE plug-in hybrid diesel LCV -- Reduction of specific energy consumption relative to 2015 diesel vehicle (%)</v>
      </c>
      <c r="V94" s="309" t="s">
        <v>84</v>
      </c>
      <c r="W94" s="309" t="s">
        <v>85</v>
      </c>
    </row>
    <row r="95" spans="2:23">
      <c r="B95" s="48"/>
      <c r="C95" s="300"/>
      <c r="D95" s="48"/>
      <c r="E95" s="48"/>
      <c r="F95" s="48"/>
      <c r="J95" t="str">
        <f t="shared" si="25"/>
        <v>Trd_lcv_dsl-pih</v>
      </c>
      <c r="K95" t="str">
        <f t="shared" si="22"/>
        <v>\I:</v>
      </c>
      <c r="L95" t="str">
        <f t="shared" si="23"/>
        <v>\I:</v>
      </c>
      <c r="M95" s="306" t="str">
        <f t="shared" si="26"/>
        <v/>
      </c>
      <c r="N95" s="306" t="str">
        <f t="shared" si="27"/>
        <v/>
      </c>
      <c r="O95" s="306" t="str">
        <f t="shared" si="28"/>
        <v/>
      </c>
      <c r="P95" s="306" t="str">
        <f t="shared" si="29"/>
        <v/>
      </c>
      <c r="T95" t="str">
        <f t="shared" si="20"/>
        <v>\I:</v>
      </c>
      <c r="U95" t="str">
        <f ca="1" t="shared" si="21"/>
        <v>ICE plug-in hybrid diesel LCV -- 00%</v>
      </c>
      <c r="V95" s="309" t="s">
        <v>84</v>
      </c>
      <c r="W95" s="309" t="s">
        <v>85</v>
      </c>
    </row>
    <row r="96" spans="2:23">
      <c r="B96" s="48"/>
      <c r="C96" s="300"/>
      <c r="D96" s="48"/>
      <c r="E96" s="48"/>
      <c r="F96" s="48"/>
      <c r="J96" t="str">
        <f t="shared" si="25"/>
        <v>Trd_lcv_dsl-pih</v>
      </c>
      <c r="K96" t="str">
        <f t="shared" si="22"/>
        <v>\I:</v>
      </c>
      <c r="L96" t="str">
        <f t="shared" si="23"/>
        <v>\I:</v>
      </c>
      <c r="M96" s="306" t="str">
        <f t="shared" si="26"/>
        <v/>
      </c>
      <c r="N96" s="306" t="str">
        <f t="shared" si="27"/>
        <v/>
      </c>
      <c r="O96" s="306" t="str">
        <f t="shared" si="28"/>
        <v/>
      </c>
      <c r="P96" s="306" t="str">
        <f t="shared" si="29"/>
        <v/>
      </c>
      <c r="T96" t="str">
        <f t="shared" si="20"/>
        <v>\I:</v>
      </c>
      <c r="U96" t="str">
        <f ca="1" t="shared" si="21"/>
        <v>ICE plug-in hybrid diesel LCV -- 00%</v>
      </c>
      <c r="V96" s="309" t="s">
        <v>84</v>
      </c>
      <c r="W96" s="309" t="s">
        <v>85</v>
      </c>
    </row>
    <row r="97" spans="2:23">
      <c r="B97" s="88"/>
      <c r="C97" s="341">
        <v>2020</v>
      </c>
      <c r="D97" s="50">
        <v>2030</v>
      </c>
      <c r="E97" s="50">
        <v>2040</v>
      </c>
      <c r="F97" s="50">
        <v>2050</v>
      </c>
      <c r="J97" t="str">
        <f t="shared" si="25"/>
        <v>Trd_lcv_dsl-pih</v>
      </c>
      <c r="K97" t="str">
        <f t="shared" si="22"/>
        <v>\I:</v>
      </c>
      <c r="L97" t="str">
        <f t="shared" si="23"/>
        <v>\I:</v>
      </c>
      <c r="M97" s="306" t="str">
        <f t="shared" si="26"/>
        <v/>
      </c>
      <c r="N97" s="306" t="str">
        <f t="shared" si="27"/>
        <v/>
      </c>
      <c r="O97" s="306" t="str">
        <f t="shared" si="28"/>
        <v/>
      </c>
      <c r="P97" s="306" t="str">
        <f t="shared" si="29"/>
        <v/>
      </c>
      <c r="T97" t="str">
        <f t="shared" si="20"/>
        <v>\I:</v>
      </c>
      <c r="U97" t="str">
        <f ca="1" t="shared" si="21"/>
        <v>ICE plug-in hybrid diesel LCV -- 00%</v>
      </c>
      <c r="V97" s="309" t="s">
        <v>84</v>
      </c>
      <c r="W97" s="309" t="s">
        <v>85</v>
      </c>
    </row>
    <row r="98" spans="2:23">
      <c r="B98" s="343">
        <v>0.85</v>
      </c>
      <c r="C98" s="342">
        <v>29234.4869036876</v>
      </c>
      <c r="D98" s="86">
        <v>24721.6233975056</v>
      </c>
      <c r="E98" s="86">
        <v>23657.1536371324</v>
      </c>
      <c r="F98" s="86">
        <v>23346.6949179619</v>
      </c>
      <c r="I98" s="77">
        <f t="shared" ref="I98:I104" si="30">$I$63*(1+B98)/$I$11</f>
        <v>1.88431232369844</v>
      </c>
      <c r="J98" t="str">
        <f t="shared" si="25"/>
        <v>Trd_lcv_dsl-pih</v>
      </c>
      <c r="K98" t="str">
        <f t="shared" si="22"/>
        <v>Trd_lcv_dsl-pih_85</v>
      </c>
      <c r="L98" t="str">
        <f t="shared" si="23"/>
        <v>Trd_lcv</v>
      </c>
      <c r="M98" s="306">
        <f t="shared" si="26"/>
        <v>29234.4869036876</v>
      </c>
      <c r="N98" s="306">
        <f t="shared" si="27"/>
        <v>24721.6233975056</v>
      </c>
      <c r="O98" s="306">
        <f t="shared" si="28"/>
        <v>23657.1536371324</v>
      </c>
      <c r="P98" s="306">
        <f t="shared" si="29"/>
        <v>23346.6949179619</v>
      </c>
      <c r="T98" t="str">
        <f t="shared" si="20"/>
        <v>Trd_lcv_dsl-pih_85</v>
      </c>
      <c r="U98" t="str">
        <f ca="1" t="shared" si="21"/>
        <v>ICE plug-in hybrid diesel LCV -- 85%</v>
      </c>
      <c r="V98" s="309" t="s">
        <v>84</v>
      </c>
      <c r="W98" s="309" t="s">
        <v>85</v>
      </c>
    </row>
    <row r="99" spans="2:23">
      <c r="B99" s="343">
        <v>0.86</v>
      </c>
      <c r="C99" s="342">
        <v>29248.700988014</v>
      </c>
      <c r="D99" s="86">
        <v>24735.5644630519</v>
      </c>
      <c r="E99" s="86">
        <v>23661.3230310365</v>
      </c>
      <c r="F99" s="86">
        <v>23347.4576013673</v>
      </c>
      <c r="I99" s="77">
        <f t="shared" si="30"/>
        <v>1.89449779571843</v>
      </c>
      <c r="J99" t="str">
        <f t="shared" si="25"/>
        <v>Trd_lcv_dsl-pih</v>
      </c>
      <c r="K99" t="str">
        <f t="shared" si="22"/>
        <v>Trd_lcv_dsl-pih_86</v>
      </c>
      <c r="L99" t="str">
        <f t="shared" si="23"/>
        <v>Trd_lcv</v>
      </c>
      <c r="M99" s="306">
        <f t="shared" si="26"/>
        <v>29248.700988014</v>
      </c>
      <c r="N99" s="306">
        <f t="shared" si="27"/>
        <v>24735.5644630519</v>
      </c>
      <c r="O99" s="306">
        <f t="shared" si="28"/>
        <v>23661.3230310365</v>
      </c>
      <c r="P99" s="306">
        <f t="shared" si="29"/>
        <v>23347.4576013673</v>
      </c>
      <c r="T99" t="str">
        <f t="shared" si="20"/>
        <v>Trd_lcv_dsl-pih_86</v>
      </c>
      <c r="U99" t="str">
        <f ca="1" t="shared" si="21"/>
        <v>ICE plug-in hybrid diesel LCV -- 86%</v>
      </c>
      <c r="V99" s="309" t="s">
        <v>84</v>
      </c>
      <c r="W99" s="309" t="s">
        <v>85</v>
      </c>
    </row>
    <row r="100" spans="2:23">
      <c r="B100" s="343">
        <v>0.87</v>
      </c>
      <c r="C100" s="342">
        <v>29375.5183424242</v>
      </c>
      <c r="D100" s="86">
        <v>24752.5086854066</v>
      </c>
      <c r="E100" s="86">
        <v>23672.9915395907</v>
      </c>
      <c r="F100" s="86">
        <v>23357.5576776065</v>
      </c>
      <c r="I100" s="77">
        <f t="shared" si="30"/>
        <v>1.90468326773842</v>
      </c>
      <c r="J100" t="str">
        <f t="shared" si="25"/>
        <v>Trd_lcv_dsl-pih</v>
      </c>
      <c r="K100" t="str">
        <f t="shared" si="22"/>
        <v>Trd_lcv_dsl-pih_87</v>
      </c>
      <c r="L100" t="str">
        <f t="shared" si="23"/>
        <v>Trd_lcv</v>
      </c>
      <c r="M100" s="306">
        <f t="shared" si="26"/>
        <v>29375.5183424242</v>
      </c>
      <c r="N100" s="306">
        <f t="shared" si="27"/>
        <v>24752.5086854066</v>
      </c>
      <c r="O100" s="306">
        <f t="shared" si="28"/>
        <v>23672.9915395907</v>
      </c>
      <c r="P100" s="306">
        <f t="shared" si="29"/>
        <v>23357.5576776065</v>
      </c>
      <c r="T100" t="str">
        <f t="shared" si="20"/>
        <v>Trd_lcv_dsl-pih_87</v>
      </c>
      <c r="U100" t="str">
        <f ca="1" t="shared" si="21"/>
        <v>ICE plug-in hybrid diesel LCV -- 87%</v>
      </c>
      <c r="V100" s="309" t="s">
        <v>84</v>
      </c>
      <c r="W100" s="309" t="s">
        <v>85</v>
      </c>
    </row>
    <row r="101" spans="2:23">
      <c r="B101" s="343">
        <v>0.88</v>
      </c>
      <c r="C101" s="342">
        <v>29852.3977032646</v>
      </c>
      <c r="D101" s="86">
        <v>24778.2908929212</v>
      </c>
      <c r="E101" s="86">
        <v>23702.3792571154</v>
      </c>
      <c r="F101" s="86">
        <v>23389.0918257128</v>
      </c>
      <c r="I101" s="77">
        <f t="shared" si="30"/>
        <v>1.91486873975841</v>
      </c>
      <c r="J101" t="str">
        <f t="shared" si="25"/>
        <v>Trd_lcv_dsl-pih</v>
      </c>
      <c r="K101" t="str">
        <f t="shared" si="22"/>
        <v>Trd_lcv_dsl-pih_88</v>
      </c>
      <c r="L101" t="str">
        <f t="shared" si="23"/>
        <v>Trd_lcv</v>
      </c>
      <c r="M101" s="306">
        <f t="shared" si="26"/>
        <v>29852.3977032646</v>
      </c>
      <c r="N101" s="306">
        <f t="shared" si="27"/>
        <v>24778.2908929212</v>
      </c>
      <c r="O101" s="306">
        <f t="shared" si="28"/>
        <v>23702.3792571154</v>
      </c>
      <c r="P101" s="306">
        <f t="shared" si="29"/>
        <v>23389.0918257128</v>
      </c>
      <c r="T101" t="str">
        <f t="shared" si="20"/>
        <v>Trd_lcv_dsl-pih_88</v>
      </c>
      <c r="U101" t="str">
        <f ca="1" t="shared" si="21"/>
        <v>ICE plug-in hybrid diesel LCV -- 88%</v>
      </c>
      <c r="V101" s="309" t="s">
        <v>84</v>
      </c>
      <c r="W101" s="309" t="s">
        <v>85</v>
      </c>
    </row>
    <row r="102" spans="2:23">
      <c r="B102" s="343">
        <v>0.89</v>
      </c>
      <c r="C102" s="342">
        <v>34743.079083496</v>
      </c>
      <c r="D102" s="86">
        <v>24899.2147906171</v>
      </c>
      <c r="E102" s="86">
        <v>23827.8028677736</v>
      </c>
      <c r="F102" s="86">
        <v>23519.7465846992</v>
      </c>
      <c r="I102" s="77">
        <f t="shared" si="30"/>
        <v>1.9250542117784</v>
      </c>
      <c r="J102" t="str">
        <f t="shared" si="25"/>
        <v>Trd_lcv_dsl-pih</v>
      </c>
      <c r="K102" t="str">
        <f t="shared" si="22"/>
        <v>Trd_lcv_dsl-pih_89</v>
      </c>
      <c r="L102" t="str">
        <f t="shared" si="23"/>
        <v>Trd_lcv</v>
      </c>
      <c r="M102" s="306">
        <f t="shared" si="26"/>
        <v>34743.079083496</v>
      </c>
      <c r="N102" s="306">
        <f t="shared" si="27"/>
        <v>24899.2147906171</v>
      </c>
      <c r="O102" s="306">
        <f t="shared" si="28"/>
        <v>23827.8028677736</v>
      </c>
      <c r="P102" s="306">
        <f t="shared" si="29"/>
        <v>23519.7465846992</v>
      </c>
      <c r="T102" t="str">
        <f t="shared" si="20"/>
        <v>Trd_lcv_dsl-pih_89</v>
      </c>
      <c r="U102" t="str">
        <f ca="1" t="shared" si="21"/>
        <v>ICE plug-in hybrid diesel LCV -- 89%</v>
      </c>
      <c r="V102" s="309" t="s">
        <v>84</v>
      </c>
      <c r="W102" s="309" t="s">
        <v>85</v>
      </c>
    </row>
    <row r="103" spans="2:23">
      <c r="B103" s="343">
        <v>0.9325</v>
      </c>
      <c r="C103" s="342">
        <v>110252.595487286</v>
      </c>
      <c r="D103" s="86">
        <v>29030.4336706465</v>
      </c>
      <c r="E103" s="86">
        <v>27383.9399225882</v>
      </c>
      <c r="F103" s="86">
        <v>26970.6097618657</v>
      </c>
      <c r="I103" s="77">
        <f t="shared" si="30"/>
        <v>1.96834246786337</v>
      </c>
      <c r="J103" t="str">
        <f t="shared" si="25"/>
        <v>Trd_lcv_dsl-pih</v>
      </c>
      <c r="K103" t="str">
        <f t="shared" si="22"/>
        <v>Trd_lcv_dsl-pih_93</v>
      </c>
      <c r="L103" t="str">
        <f t="shared" si="23"/>
        <v>Trd_lcv</v>
      </c>
      <c r="M103" s="306">
        <f t="shared" si="26"/>
        <v>110252.595487286</v>
      </c>
      <c r="N103" s="306">
        <f t="shared" si="27"/>
        <v>29030.4336706465</v>
      </c>
      <c r="O103" s="306">
        <f t="shared" si="28"/>
        <v>27383.9399225882</v>
      </c>
      <c r="P103" s="306">
        <f t="shared" si="29"/>
        <v>26970.6097618657</v>
      </c>
      <c r="T103" t="str">
        <f t="shared" si="20"/>
        <v>Trd_lcv_dsl-pih_93</v>
      </c>
      <c r="U103" t="str">
        <f ca="1" t="shared" si="21"/>
        <v>ICE plug-in hybrid diesel LCV -- 93%</v>
      </c>
      <c r="V103" s="309" t="s">
        <v>84</v>
      </c>
      <c r="W103" s="309" t="s">
        <v>85</v>
      </c>
    </row>
    <row r="104" spans="2:23">
      <c r="B104" s="343">
        <v>0.9375</v>
      </c>
      <c r="C104" s="342"/>
      <c r="D104" s="86">
        <v>58730.6324989268</v>
      </c>
      <c r="E104" s="86">
        <v>56027.5236874505</v>
      </c>
      <c r="F104" s="86">
        <v>56056.649342681</v>
      </c>
      <c r="I104" s="77">
        <f t="shared" si="30"/>
        <v>1.97343520387336</v>
      </c>
      <c r="J104" t="str">
        <f t="shared" si="25"/>
        <v>Trd_lcv_dsl-pih</v>
      </c>
      <c r="K104" t="str">
        <f t="shared" si="22"/>
        <v>\I:</v>
      </c>
      <c r="L104" t="str">
        <f t="shared" si="23"/>
        <v>\I:</v>
      </c>
      <c r="M104" s="306" t="str">
        <f t="shared" si="26"/>
        <v/>
      </c>
      <c r="N104" s="306" t="str">
        <f t="shared" si="27"/>
        <v/>
      </c>
      <c r="O104" s="306" t="str">
        <f t="shared" si="28"/>
        <v/>
      </c>
      <c r="P104" s="306" t="str">
        <f t="shared" si="29"/>
        <v/>
      </c>
      <c r="T104" t="str">
        <f t="shared" si="20"/>
        <v>\I:</v>
      </c>
      <c r="U104" t="str">
        <f ca="1" t="shared" si="21"/>
        <v>ICE plug-in hybrid diesel LCV -- 94%</v>
      </c>
      <c r="V104" s="309" t="s">
        <v>84</v>
      </c>
      <c r="W104" s="309" t="s">
        <v>85</v>
      </c>
    </row>
    <row r="105" spans="4:23">
      <c r="D105" s="97"/>
      <c r="E105" s="97"/>
      <c r="F105" s="97"/>
      <c r="J105" t="str">
        <f t="shared" si="25"/>
        <v>Trd_lcv_dsl-pih</v>
      </c>
      <c r="K105" t="str">
        <f t="shared" si="22"/>
        <v>\I:</v>
      </c>
      <c r="L105" t="str">
        <f t="shared" si="23"/>
        <v>\I:</v>
      </c>
      <c r="M105" s="306" t="str">
        <f t="shared" si="26"/>
        <v/>
      </c>
      <c r="N105" s="306" t="str">
        <f t="shared" si="27"/>
        <v/>
      </c>
      <c r="O105" s="306" t="str">
        <f t="shared" si="28"/>
        <v/>
      </c>
      <c r="P105" s="306" t="str">
        <f t="shared" si="29"/>
        <v/>
      </c>
      <c r="T105" t="str">
        <f t="shared" si="20"/>
        <v>\I:</v>
      </c>
      <c r="U105" t="str">
        <f ca="1" t="shared" si="21"/>
        <v>ICE plug-in hybrid diesel LCV -- 00%</v>
      </c>
      <c r="V105" s="309" t="s">
        <v>84</v>
      </c>
      <c r="W105" s="309" t="s">
        <v>85</v>
      </c>
    </row>
    <row r="106" spans="10:23">
      <c r="J106" t="str">
        <f t="shared" si="25"/>
        <v>Trd_lcv_dsl-pih</v>
      </c>
      <c r="K106" t="str">
        <f t="shared" si="22"/>
        <v>\I:</v>
      </c>
      <c r="L106" t="str">
        <f t="shared" si="23"/>
        <v>\I:</v>
      </c>
      <c r="M106" s="306" t="str">
        <f t="shared" si="26"/>
        <v/>
      </c>
      <c r="N106" s="306" t="str">
        <f t="shared" si="27"/>
        <v/>
      </c>
      <c r="O106" s="306" t="str">
        <f t="shared" si="28"/>
        <v/>
      </c>
      <c r="P106" s="306" t="str">
        <f t="shared" si="29"/>
        <v/>
      </c>
      <c r="T106" t="str">
        <f t="shared" si="20"/>
        <v>\I:</v>
      </c>
      <c r="U106" t="str">
        <f ca="1" t="shared" si="21"/>
        <v>ICE plug-in hybrid diesel LCV -- 00%</v>
      </c>
      <c r="V106" s="309" t="s">
        <v>84</v>
      </c>
      <c r="W106" s="309" t="s">
        <v>85</v>
      </c>
    </row>
    <row r="107" spans="10:23">
      <c r="J107" t="str">
        <f t="shared" si="25"/>
        <v>Trd_lcv_dsl-pih</v>
      </c>
      <c r="K107" t="str">
        <f t="shared" si="22"/>
        <v>\I:</v>
      </c>
      <c r="L107" t="str">
        <f t="shared" si="23"/>
        <v>\I:</v>
      </c>
      <c r="M107" s="306" t="str">
        <f t="shared" si="26"/>
        <v/>
      </c>
      <c r="N107" s="306" t="str">
        <f t="shared" si="27"/>
        <v/>
      </c>
      <c r="O107" s="306" t="str">
        <f t="shared" si="28"/>
        <v/>
      </c>
      <c r="P107" s="306" t="str">
        <f t="shared" si="29"/>
        <v/>
      </c>
      <c r="T107" t="str">
        <f t="shared" si="20"/>
        <v>\I:</v>
      </c>
      <c r="U107" t="str">
        <f ca="1" t="shared" si="21"/>
        <v>ICE plug-in hybrid diesel LCV -- 00%</v>
      </c>
      <c r="V107" s="309" t="s">
        <v>84</v>
      </c>
      <c r="W107" s="309" t="s">
        <v>85</v>
      </c>
    </row>
    <row r="108" spans="10:23">
      <c r="J108" t="str">
        <f t="shared" si="25"/>
        <v>Trd_lcv_dsl-pih</v>
      </c>
      <c r="K108" t="str">
        <f t="shared" si="22"/>
        <v>\I:</v>
      </c>
      <c r="L108" t="str">
        <f t="shared" si="23"/>
        <v>\I:</v>
      </c>
      <c r="M108" s="306" t="str">
        <f t="shared" si="26"/>
        <v/>
      </c>
      <c r="N108" s="306" t="str">
        <f t="shared" si="27"/>
        <v/>
      </c>
      <c r="O108" s="306" t="str">
        <f t="shared" si="28"/>
        <v/>
      </c>
      <c r="P108" s="306" t="str">
        <f t="shared" si="29"/>
        <v/>
      </c>
      <c r="T108" t="str">
        <f t="shared" si="20"/>
        <v>\I:</v>
      </c>
      <c r="U108" t="str">
        <f ca="1" t="shared" si="21"/>
        <v>ICE plug-in hybrid diesel LCV -- 00%</v>
      </c>
      <c r="V108" s="309" t="s">
        <v>84</v>
      </c>
      <c r="W108" s="309" t="s">
        <v>85</v>
      </c>
    </row>
    <row r="109" spans="10:23">
      <c r="J109" t="str">
        <f t="shared" si="25"/>
        <v>Trd_lcv_dsl-pih</v>
      </c>
      <c r="K109" t="str">
        <f t="shared" si="22"/>
        <v>\I:</v>
      </c>
      <c r="L109" t="str">
        <f t="shared" si="23"/>
        <v>\I:</v>
      </c>
      <c r="M109" s="306" t="str">
        <f t="shared" si="26"/>
        <v/>
      </c>
      <c r="N109" s="306" t="str">
        <f t="shared" si="27"/>
        <v/>
      </c>
      <c r="O109" s="306" t="str">
        <f t="shared" si="28"/>
        <v/>
      </c>
      <c r="P109" s="306" t="str">
        <f t="shared" si="29"/>
        <v/>
      </c>
      <c r="T109" t="str">
        <f t="shared" si="20"/>
        <v>\I:</v>
      </c>
      <c r="U109" t="str">
        <f ca="1" t="shared" si="21"/>
        <v>ICE plug-in hybrid diesel LCV -- 00%</v>
      </c>
      <c r="V109" s="309" t="s">
        <v>84</v>
      </c>
      <c r="W109" s="309" t="s">
        <v>85</v>
      </c>
    </row>
    <row r="110" spans="2:23">
      <c r="B110" s="43" t="s">
        <v>107</v>
      </c>
      <c r="J110" t="str">
        <f t="shared" si="25"/>
        <v>Trd_lcv_dsl-pih</v>
      </c>
      <c r="K110" t="str">
        <f t="shared" si="22"/>
        <v>\I:</v>
      </c>
      <c r="L110" t="str">
        <f t="shared" si="23"/>
        <v>\I:</v>
      </c>
      <c r="M110" s="306" t="str">
        <f t="shared" si="26"/>
        <v/>
      </c>
      <c r="N110" s="306" t="str">
        <f t="shared" si="27"/>
        <v/>
      </c>
      <c r="O110" s="306" t="str">
        <f t="shared" si="28"/>
        <v/>
      </c>
      <c r="P110" s="306" t="str">
        <f t="shared" si="29"/>
        <v/>
      </c>
      <c r="T110" t="str">
        <f t="shared" si="20"/>
        <v>\I:</v>
      </c>
      <c r="U110" t="str">
        <f ca="1" t="shared" si="21"/>
        <v>ICE plug-in hybrid diesel LCV -- Reference values for CNG LCV</v>
      </c>
      <c r="V110" s="309" t="s">
        <v>84</v>
      </c>
      <c r="W110" s="309" t="s">
        <v>85</v>
      </c>
    </row>
    <row r="111" spans="2:23">
      <c r="B111" s="44">
        <v>2015</v>
      </c>
      <c r="C111" s="298"/>
      <c r="D111" s="44"/>
      <c r="J111" t="str">
        <f t="shared" si="25"/>
        <v>Trd_lcv_dsl-pih</v>
      </c>
      <c r="K111" t="str">
        <f t="shared" si="22"/>
        <v>\I:</v>
      </c>
      <c r="L111" t="str">
        <f t="shared" si="23"/>
        <v>\I:</v>
      </c>
      <c r="M111" s="306" t="str">
        <f t="shared" si="26"/>
        <v/>
      </c>
      <c r="N111" s="306" t="str">
        <f t="shared" si="27"/>
        <v/>
      </c>
      <c r="O111" s="306" t="str">
        <f t="shared" si="28"/>
        <v/>
      </c>
      <c r="P111" s="306" t="str">
        <f t="shared" si="29"/>
        <v/>
      </c>
      <c r="T111" t="str">
        <f t="shared" si="20"/>
        <v>\I:</v>
      </c>
      <c r="U111" t="str">
        <f ca="1" t="shared" si="21"/>
        <v>ICE plug-in hybrid diesel LCV -- 201500%</v>
      </c>
      <c r="V111" s="309" t="s">
        <v>84</v>
      </c>
      <c r="W111" s="309" t="s">
        <v>85</v>
      </c>
    </row>
    <row r="112" spans="2:23">
      <c r="B112" s="45" t="s">
        <v>12</v>
      </c>
      <c r="C112" s="46" t="s">
        <v>88</v>
      </c>
      <c r="D112" s="47">
        <v>5.64203167764647</v>
      </c>
      <c r="G112" s="77">
        <f>D112*$F$9/100*10^9/10^6</f>
        <v>3.03504477896122</v>
      </c>
      <c r="H112" s="77"/>
      <c r="I112" s="299">
        <f>1/G112</f>
        <v>0.329484430322726</v>
      </c>
      <c r="J112" t="str">
        <f t="shared" si="25"/>
        <v>Trd_lcv_dsl-pih</v>
      </c>
      <c r="K112" t="str">
        <f t="shared" si="22"/>
        <v>\I:</v>
      </c>
      <c r="L112" t="str">
        <f t="shared" si="23"/>
        <v>\I:</v>
      </c>
      <c r="M112" s="306" t="str">
        <f t="shared" si="26"/>
        <v/>
      </c>
      <c r="N112" s="306" t="str">
        <f t="shared" si="27"/>
        <v/>
      </c>
      <c r="O112" s="306" t="str">
        <f t="shared" si="28"/>
        <v/>
      </c>
      <c r="P112" s="306" t="str">
        <f t="shared" si="29"/>
        <v/>
      </c>
      <c r="T112" t="str">
        <f t="shared" ref="T112:T143" si="31">K112</f>
        <v>\I:</v>
      </c>
      <c r="U112" t="str">
        <f ca="1" t="shared" ref="U112:U143" si="32">OFFSET($S$1,MATCH(J112,$S$1:$S$10,0)-1,-1)&amp;" -- "&amp;TEXT(B112,"00%")</f>
        <v>ICE plug-in hybrid diesel LCV -- Energy consumption</v>
      </c>
      <c r="V112" s="309" t="s">
        <v>84</v>
      </c>
      <c r="W112" s="309" t="s">
        <v>85</v>
      </c>
    </row>
    <row r="113" spans="2:23">
      <c r="B113" s="45" t="s">
        <v>14</v>
      </c>
      <c r="C113" s="46" t="s">
        <v>15</v>
      </c>
      <c r="D113" s="68">
        <v>19499.3766980185</v>
      </c>
      <c r="I113" s="311" t="s">
        <v>70</v>
      </c>
      <c r="J113" t="str">
        <f t="shared" si="25"/>
        <v>Trd_lcv_dsl-pih</v>
      </c>
      <c r="K113" t="str">
        <f t="shared" si="22"/>
        <v>\I:</v>
      </c>
      <c r="L113" t="str">
        <f t="shared" si="23"/>
        <v>\I:</v>
      </c>
      <c r="M113" s="306" t="str">
        <f t="shared" si="26"/>
        <v/>
      </c>
      <c r="N113" s="306" t="str">
        <f t="shared" si="27"/>
        <v/>
      </c>
      <c r="O113" s="306" t="str">
        <f t="shared" si="28"/>
        <v/>
      </c>
      <c r="P113" s="306" t="str">
        <f t="shared" si="29"/>
        <v/>
      </c>
      <c r="T113" t="str">
        <f t="shared" si="31"/>
        <v>\I:</v>
      </c>
      <c r="U113" t="str">
        <f ca="1" t="shared" si="32"/>
        <v>ICE plug-in hybrid diesel LCV -- Capital cost</v>
      </c>
      <c r="V113" s="309" t="s">
        <v>84</v>
      </c>
      <c r="W113" s="309" t="s">
        <v>85</v>
      </c>
    </row>
    <row r="114" spans="10:23">
      <c r="J114" t="str">
        <f t="shared" si="25"/>
        <v>Trd_lcv_dsl-pih</v>
      </c>
      <c r="K114" t="str">
        <f t="shared" si="22"/>
        <v>\I:</v>
      </c>
      <c r="L114" t="str">
        <f t="shared" si="23"/>
        <v>\I:</v>
      </c>
      <c r="M114" s="306" t="str">
        <f t="shared" si="26"/>
        <v/>
      </c>
      <c r="N114" s="306" t="str">
        <f t="shared" si="27"/>
        <v/>
      </c>
      <c r="O114" s="306" t="str">
        <f t="shared" si="28"/>
        <v/>
      </c>
      <c r="P114" s="306" t="str">
        <f t="shared" si="29"/>
        <v/>
      </c>
      <c r="T114" t="str">
        <f t="shared" si="31"/>
        <v>\I:</v>
      </c>
      <c r="U114" t="str">
        <f ca="1" t="shared" si="32"/>
        <v>ICE plug-in hybrid diesel LCV -- 00%</v>
      </c>
      <c r="V114" s="309" t="s">
        <v>84</v>
      </c>
      <c r="W114" s="309" t="s">
        <v>85</v>
      </c>
    </row>
    <row r="115" ht="15" customHeight="1" spans="2:23">
      <c r="B115" s="48" t="s">
        <v>89</v>
      </c>
      <c r="C115" s="300" t="s">
        <v>101</v>
      </c>
      <c r="D115" s="48"/>
      <c r="E115" s="48"/>
      <c r="F115" s="48"/>
      <c r="J115" t="str">
        <f t="shared" si="25"/>
        <v>Trd_lcv_cng</v>
      </c>
      <c r="K115" t="str">
        <f t="shared" si="22"/>
        <v>\I:</v>
      </c>
      <c r="L115" t="str">
        <f t="shared" si="23"/>
        <v>\I:</v>
      </c>
      <c r="M115" s="306" t="str">
        <f t="shared" si="26"/>
        <v/>
      </c>
      <c r="N115" s="306" t="str">
        <f t="shared" si="27"/>
        <v/>
      </c>
      <c r="O115" s="306" t="str">
        <f t="shared" si="28"/>
        <v/>
      </c>
      <c r="P115" s="306" t="str">
        <f t="shared" si="29"/>
        <v/>
      </c>
      <c r="T115" t="str">
        <f t="shared" si="31"/>
        <v>\I:</v>
      </c>
      <c r="U115" t="str">
        <f ca="1" t="shared" si="32"/>
        <v>ICE CNG LCV -- Reduction of specific energy consumption relative to 2015 CNG vehicle (%)</v>
      </c>
      <c r="V115" s="309" t="s">
        <v>84</v>
      </c>
      <c r="W115" s="309" t="s">
        <v>85</v>
      </c>
    </row>
    <row r="116" spans="2:23">
      <c r="B116" s="48"/>
      <c r="C116" s="300"/>
      <c r="D116" s="48"/>
      <c r="E116" s="48"/>
      <c r="F116" s="48"/>
      <c r="J116" t="str">
        <f t="shared" si="25"/>
        <v>Trd_lcv_cng</v>
      </c>
      <c r="K116" t="str">
        <f t="shared" si="22"/>
        <v>\I:</v>
      </c>
      <c r="L116" t="str">
        <f t="shared" si="23"/>
        <v>\I:</v>
      </c>
      <c r="M116" s="306" t="str">
        <f t="shared" si="26"/>
        <v/>
      </c>
      <c r="N116" s="306" t="str">
        <f t="shared" si="27"/>
        <v/>
      </c>
      <c r="O116" s="306" t="str">
        <f t="shared" si="28"/>
        <v/>
      </c>
      <c r="P116" s="306" t="str">
        <f t="shared" si="29"/>
        <v/>
      </c>
      <c r="T116" t="str">
        <f t="shared" si="31"/>
        <v>\I:</v>
      </c>
      <c r="U116" t="str">
        <f ca="1" t="shared" si="32"/>
        <v>ICE CNG LCV -- 00%</v>
      </c>
      <c r="V116" s="309" t="s">
        <v>84</v>
      </c>
      <c r="W116" s="309" t="s">
        <v>85</v>
      </c>
    </row>
    <row r="117" spans="2:23">
      <c r="B117" s="48"/>
      <c r="C117" s="300"/>
      <c r="D117" s="48"/>
      <c r="E117" s="48"/>
      <c r="F117" s="48"/>
      <c r="J117" t="str">
        <f t="shared" si="25"/>
        <v>Trd_lcv_cng</v>
      </c>
      <c r="K117" t="str">
        <f t="shared" si="22"/>
        <v>\I:</v>
      </c>
      <c r="L117" t="str">
        <f t="shared" si="23"/>
        <v>\I:</v>
      </c>
      <c r="M117" s="306" t="str">
        <f t="shared" si="26"/>
        <v/>
      </c>
      <c r="N117" s="306" t="str">
        <f t="shared" si="27"/>
        <v/>
      </c>
      <c r="O117" s="306" t="str">
        <f t="shared" si="28"/>
        <v/>
      </c>
      <c r="P117" s="306" t="str">
        <f t="shared" si="29"/>
        <v/>
      </c>
      <c r="T117" t="str">
        <f t="shared" si="31"/>
        <v>\I:</v>
      </c>
      <c r="U117" t="str">
        <f ca="1" t="shared" si="32"/>
        <v>ICE CNG LCV -- 00%</v>
      </c>
      <c r="V117" s="309" t="s">
        <v>84</v>
      </c>
      <c r="W117" s="309" t="s">
        <v>85</v>
      </c>
    </row>
    <row r="118" spans="2:23">
      <c r="B118" s="88"/>
      <c r="C118" s="341">
        <v>2020</v>
      </c>
      <c r="D118" s="50">
        <v>2030</v>
      </c>
      <c r="E118" s="50">
        <v>2040</v>
      </c>
      <c r="F118" s="50">
        <v>2050</v>
      </c>
      <c r="I118" s="299">
        <v>1</v>
      </c>
      <c r="J118" s="43" t="str">
        <f t="shared" ref="J118" si="33">IFERROR(VLOOKUP(C118,$R$1:$S$11,2,FALSE),J117)</f>
        <v>Trd_lcv_cng</v>
      </c>
      <c r="K118" s="43" t="str">
        <f>IFERROR(IF(VALUE(C118)&gt;200,J118&amp;"_"&amp;TEXT(B118*100,"00"),"\I:"),"\I:")</f>
        <v>Trd_lcv_cng_00</v>
      </c>
      <c r="L118" t="str">
        <f t="shared" si="23"/>
        <v>Trd_lcv</v>
      </c>
      <c r="M118" s="344">
        <f>D113</f>
        <v>19499.3766980185</v>
      </c>
      <c r="N118" s="306"/>
      <c r="O118" s="306"/>
      <c r="P118" s="306"/>
      <c r="T118" t="str">
        <f t="shared" si="31"/>
        <v>Trd_lcv_cng_00</v>
      </c>
      <c r="U118" t="str">
        <f ca="1" t="shared" si="32"/>
        <v>ICE CNG LCV -- 00%</v>
      </c>
      <c r="V118" s="309" t="s">
        <v>84</v>
      </c>
      <c r="W118" s="309" t="s">
        <v>85</v>
      </c>
    </row>
    <row r="119" spans="2:23">
      <c r="B119" s="85">
        <v>0.145560583753408</v>
      </c>
      <c r="C119" s="342">
        <v>19969.9959792433</v>
      </c>
      <c r="D119" s="86">
        <v>19508.8247701105</v>
      </c>
      <c r="E119" s="86">
        <v>19508.8247701105</v>
      </c>
      <c r="F119" s="86">
        <v>19508.8247701105</v>
      </c>
      <c r="I119" s="77">
        <f>$I$112*(1+B119)/$I$11</f>
        <v>1.01269377885502</v>
      </c>
      <c r="J119" t="str">
        <f t="shared" si="25"/>
        <v>Trd_lcv_cng</v>
      </c>
      <c r="K119" t="str">
        <f t="shared" si="22"/>
        <v>Trd_lcv_cng_15</v>
      </c>
      <c r="L119" t="str">
        <f t="shared" si="23"/>
        <v>Trd_lcv</v>
      </c>
      <c r="M119" s="306">
        <f t="shared" si="26"/>
        <v>19969.9959792433</v>
      </c>
      <c r="N119" s="306">
        <f t="shared" si="27"/>
        <v>19508.8247701105</v>
      </c>
      <c r="O119" s="306">
        <f t="shared" si="28"/>
        <v>19508.8247701105</v>
      </c>
      <c r="P119" s="306">
        <f t="shared" si="29"/>
        <v>19508.8247701105</v>
      </c>
      <c r="T119" t="str">
        <f t="shared" si="31"/>
        <v>Trd_lcv_cng_15</v>
      </c>
      <c r="U119" t="str">
        <f ca="1" t="shared" si="32"/>
        <v>ICE CNG LCV -- 15%</v>
      </c>
      <c r="V119" s="309" t="s">
        <v>84</v>
      </c>
      <c r="W119" s="309" t="s">
        <v>85</v>
      </c>
    </row>
    <row r="120" spans="2:23">
      <c r="B120" s="85">
        <v>0.245560583753408</v>
      </c>
      <c r="C120" s="342">
        <v>21334.8298121009</v>
      </c>
      <c r="D120" s="86">
        <v>20057.9987267638</v>
      </c>
      <c r="E120" s="86">
        <v>20057.9987267638</v>
      </c>
      <c r="F120" s="86">
        <v>20057.9987267638</v>
      </c>
      <c r="I120" s="77">
        <f>$I$112*(1+B120)/$I$11</f>
        <v>1.10109536958861</v>
      </c>
      <c r="J120" t="str">
        <f t="shared" si="25"/>
        <v>Trd_lcv_cng</v>
      </c>
      <c r="K120" t="str">
        <f t="shared" si="22"/>
        <v>Trd_lcv_cng_25</v>
      </c>
      <c r="L120" t="str">
        <f t="shared" si="23"/>
        <v>Trd_lcv</v>
      </c>
      <c r="M120" s="306">
        <f t="shared" si="26"/>
        <v>21334.8298121009</v>
      </c>
      <c r="N120" s="306">
        <f t="shared" si="27"/>
        <v>20057.9987267638</v>
      </c>
      <c r="O120" s="306">
        <f t="shared" si="28"/>
        <v>20057.9987267638</v>
      </c>
      <c r="P120" s="306">
        <f t="shared" si="29"/>
        <v>20057.9987267638</v>
      </c>
      <c r="T120" t="str">
        <f t="shared" si="31"/>
        <v>Trd_lcv_cng_25</v>
      </c>
      <c r="U120" t="str">
        <f ca="1" t="shared" si="32"/>
        <v>ICE CNG LCV -- 25%</v>
      </c>
      <c r="V120" s="309" t="s">
        <v>84</v>
      </c>
      <c r="W120" s="309" t="s">
        <v>85</v>
      </c>
    </row>
    <row r="121" spans="2:23">
      <c r="B121" s="85">
        <v>0.345560583753408</v>
      </c>
      <c r="C121" s="342">
        <v>26419.0019780321</v>
      </c>
      <c r="D121" s="86">
        <v>21285.778926066</v>
      </c>
      <c r="E121" s="86">
        <v>21285.778926066</v>
      </c>
      <c r="F121" s="86">
        <v>21285.778926066</v>
      </c>
      <c r="I121" s="77">
        <f>$I$112*(1+B121)/$I$11</f>
        <v>1.1894969603222</v>
      </c>
      <c r="J121" t="str">
        <f t="shared" si="25"/>
        <v>Trd_lcv_cng</v>
      </c>
      <c r="K121" t="str">
        <f t="shared" si="22"/>
        <v>Trd_lcv_cng_35</v>
      </c>
      <c r="L121" t="str">
        <f t="shared" si="23"/>
        <v>Trd_lcv</v>
      </c>
      <c r="M121" s="306">
        <f t="shared" si="26"/>
        <v>26419.0019780321</v>
      </c>
      <c r="N121" s="306">
        <f t="shared" si="27"/>
        <v>21285.778926066</v>
      </c>
      <c r="O121" s="306">
        <f t="shared" si="28"/>
        <v>21285.778926066</v>
      </c>
      <c r="P121" s="306">
        <f t="shared" si="29"/>
        <v>21285.778926066</v>
      </c>
      <c r="T121" t="str">
        <f t="shared" si="31"/>
        <v>Trd_lcv_cng_35</v>
      </c>
      <c r="U121" t="str">
        <f ca="1" t="shared" si="32"/>
        <v>ICE CNG LCV -- 35%</v>
      </c>
      <c r="V121" s="309" t="s">
        <v>84</v>
      </c>
      <c r="W121" s="309" t="s">
        <v>85</v>
      </c>
    </row>
    <row r="122" spans="2:23">
      <c r="B122" s="85">
        <v>0.395560583753408</v>
      </c>
      <c r="C122" s="342">
        <v>34866.420335116</v>
      </c>
      <c r="D122" s="86">
        <v>23649.8754712488</v>
      </c>
      <c r="E122" s="86">
        <v>23649.8754712488</v>
      </c>
      <c r="F122" s="86">
        <v>23649.8754712488</v>
      </c>
      <c r="I122" s="77">
        <f>$I$112*(1+B122)/$I$11</f>
        <v>1.233697755689</v>
      </c>
      <c r="J122" t="str">
        <f t="shared" si="25"/>
        <v>Trd_lcv_cng</v>
      </c>
      <c r="K122" t="str">
        <f t="shared" si="22"/>
        <v>Trd_lcv_cng_40</v>
      </c>
      <c r="L122" t="str">
        <f t="shared" si="23"/>
        <v>Trd_lcv</v>
      </c>
      <c r="M122" s="306">
        <f t="shared" si="26"/>
        <v>34866.420335116</v>
      </c>
      <c r="N122" s="306">
        <f t="shared" si="27"/>
        <v>23649.8754712488</v>
      </c>
      <c r="O122" s="306">
        <f t="shared" si="28"/>
        <v>23649.8754712488</v>
      </c>
      <c r="P122" s="306">
        <f t="shared" si="29"/>
        <v>23649.8754712488</v>
      </c>
      <c r="T122" t="str">
        <f t="shared" si="31"/>
        <v>Trd_lcv_cng_40</v>
      </c>
      <c r="U122" t="str">
        <f ca="1" t="shared" si="32"/>
        <v>ICE CNG LCV -- 40%</v>
      </c>
      <c r="V122" s="309" t="s">
        <v>84</v>
      </c>
      <c r="W122" s="309" t="s">
        <v>85</v>
      </c>
    </row>
    <row r="123" spans="2:23">
      <c r="B123" s="85">
        <v>0.445560583753408</v>
      </c>
      <c r="C123" s="342">
        <v>101681.101481391</v>
      </c>
      <c r="D123" s="86">
        <v>29079.7291070172</v>
      </c>
      <c r="E123" s="86">
        <v>29079.7291070172</v>
      </c>
      <c r="F123" s="86">
        <v>29079.7291070172</v>
      </c>
      <c r="I123" s="77">
        <f>$I$112*(1+B123)/$I$11</f>
        <v>1.27789855105579</v>
      </c>
      <c r="J123" t="str">
        <f t="shared" si="25"/>
        <v>Trd_lcv_cng</v>
      </c>
      <c r="K123" t="str">
        <f t="shared" si="22"/>
        <v>Trd_lcv_cng_45</v>
      </c>
      <c r="L123" t="str">
        <f t="shared" si="23"/>
        <v>Trd_lcv</v>
      </c>
      <c r="M123" s="306">
        <f t="shared" si="26"/>
        <v>101681.101481391</v>
      </c>
      <c r="N123" s="306">
        <f t="shared" si="27"/>
        <v>29079.7291070172</v>
      </c>
      <c r="O123" s="306">
        <f t="shared" si="28"/>
        <v>29079.7291070172</v>
      </c>
      <c r="P123" s="306">
        <f t="shared" si="29"/>
        <v>29079.7291070172</v>
      </c>
      <c r="T123" t="str">
        <f t="shared" si="31"/>
        <v>Trd_lcv_cng_45</v>
      </c>
      <c r="U123" t="str">
        <f ca="1" t="shared" si="32"/>
        <v>ICE CNG LCV -- 45%</v>
      </c>
      <c r="V123" s="309" t="s">
        <v>84</v>
      </c>
      <c r="W123" s="309" t="s">
        <v>85</v>
      </c>
    </row>
    <row r="124" spans="4:23">
      <c r="D124" s="97"/>
      <c r="E124" s="97"/>
      <c r="F124" s="97"/>
      <c r="I124" s="77"/>
      <c r="J124" t="str">
        <f t="shared" si="25"/>
        <v>Trd_lcv_cng</v>
      </c>
      <c r="K124" t="str">
        <f t="shared" si="22"/>
        <v>\I:</v>
      </c>
      <c r="L124" t="str">
        <f t="shared" si="23"/>
        <v>\I:</v>
      </c>
      <c r="M124" s="306" t="str">
        <f t="shared" si="26"/>
        <v/>
      </c>
      <c r="N124" s="306" t="str">
        <f t="shared" si="27"/>
        <v/>
      </c>
      <c r="O124" s="306" t="str">
        <f t="shared" si="28"/>
        <v/>
      </c>
      <c r="P124" s="306" t="str">
        <f t="shared" si="29"/>
        <v/>
      </c>
      <c r="T124" t="str">
        <f t="shared" si="31"/>
        <v>\I:</v>
      </c>
      <c r="U124" t="str">
        <f ca="1" t="shared" si="32"/>
        <v>ICE CNG LCV -- 00%</v>
      </c>
      <c r="V124" s="309" t="s">
        <v>84</v>
      </c>
      <c r="W124" s="309" t="s">
        <v>85</v>
      </c>
    </row>
    <row r="125" spans="4:23">
      <c r="D125" s="97"/>
      <c r="E125" s="97"/>
      <c r="F125" s="97"/>
      <c r="I125" s="77"/>
      <c r="J125" t="str">
        <f t="shared" si="25"/>
        <v>Trd_lcv_cng</v>
      </c>
      <c r="K125" t="str">
        <f t="shared" si="22"/>
        <v>\I:</v>
      </c>
      <c r="L125" t="str">
        <f t="shared" si="23"/>
        <v>\I:</v>
      </c>
      <c r="M125" s="306" t="str">
        <f t="shared" si="26"/>
        <v/>
      </c>
      <c r="N125" s="306" t="str">
        <f t="shared" si="27"/>
        <v/>
      </c>
      <c r="O125" s="306" t="str">
        <f t="shared" si="28"/>
        <v/>
      </c>
      <c r="P125" s="306" t="str">
        <f t="shared" si="29"/>
        <v/>
      </c>
      <c r="T125" t="str">
        <f t="shared" si="31"/>
        <v>\I:</v>
      </c>
      <c r="U125" t="str">
        <f ca="1" t="shared" si="32"/>
        <v>ICE CNG LCV -- 00%</v>
      </c>
      <c r="V125" s="309" t="s">
        <v>84</v>
      </c>
      <c r="W125" s="309" t="s">
        <v>85</v>
      </c>
    </row>
    <row r="126" spans="10:23">
      <c r="J126" t="str">
        <f t="shared" si="25"/>
        <v>Trd_lcv_cng</v>
      </c>
      <c r="K126" t="str">
        <f t="shared" si="22"/>
        <v>\I:</v>
      </c>
      <c r="L126" t="str">
        <f t="shared" si="23"/>
        <v>\I:</v>
      </c>
      <c r="M126" s="306" t="str">
        <f t="shared" si="26"/>
        <v/>
      </c>
      <c r="N126" s="306" t="str">
        <f t="shared" si="27"/>
        <v/>
      </c>
      <c r="O126" s="306" t="str">
        <f t="shared" si="28"/>
        <v/>
      </c>
      <c r="P126" s="306" t="str">
        <f t="shared" si="29"/>
        <v/>
      </c>
      <c r="T126" t="str">
        <f t="shared" si="31"/>
        <v>\I:</v>
      </c>
      <c r="U126" t="str">
        <f ca="1" t="shared" si="32"/>
        <v>ICE CNG LCV -- 00%</v>
      </c>
      <c r="V126" s="309" t="s">
        <v>84</v>
      </c>
      <c r="W126" s="309" t="s">
        <v>85</v>
      </c>
    </row>
    <row r="127" spans="10:23">
      <c r="J127" t="str">
        <f t="shared" si="25"/>
        <v>Trd_lcv_cng</v>
      </c>
      <c r="K127" t="str">
        <f t="shared" si="22"/>
        <v>\I:</v>
      </c>
      <c r="L127" t="str">
        <f t="shared" si="23"/>
        <v>\I:</v>
      </c>
      <c r="M127" s="306" t="str">
        <f t="shared" si="26"/>
        <v/>
      </c>
      <c r="N127" s="306" t="str">
        <f t="shared" si="27"/>
        <v/>
      </c>
      <c r="O127" s="306" t="str">
        <f t="shared" si="28"/>
        <v/>
      </c>
      <c r="P127" s="306" t="str">
        <f t="shared" si="29"/>
        <v/>
      </c>
      <c r="T127" t="str">
        <f t="shared" si="31"/>
        <v>\I:</v>
      </c>
      <c r="U127" t="str">
        <f ca="1" t="shared" si="32"/>
        <v>ICE CNG LCV -- 00%</v>
      </c>
      <c r="V127" s="309" t="s">
        <v>84</v>
      </c>
      <c r="W127" s="309" t="s">
        <v>85</v>
      </c>
    </row>
    <row r="128" spans="10:23">
      <c r="J128" t="str">
        <f t="shared" si="25"/>
        <v>Trd_lcv_cng</v>
      </c>
      <c r="K128" t="str">
        <f t="shared" si="22"/>
        <v>\I:</v>
      </c>
      <c r="L128" t="str">
        <f t="shared" si="23"/>
        <v>\I:</v>
      </c>
      <c r="M128" s="306" t="str">
        <f t="shared" si="26"/>
        <v/>
      </c>
      <c r="N128" s="306" t="str">
        <f t="shared" si="27"/>
        <v/>
      </c>
      <c r="O128" s="306" t="str">
        <f t="shared" si="28"/>
        <v/>
      </c>
      <c r="P128" s="306" t="str">
        <f t="shared" si="29"/>
        <v/>
      </c>
      <c r="T128" t="str">
        <f t="shared" si="31"/>
        <v>\I:</v>
      </c>
      <c r="U128" t="str">
        <f ca="1" t="shared" si="32"/>
        <v>ICE CNG LCV -- 00%</v>
      </c>
      <c r="V128" s="309" t="s">
        <v>84</v>
      </c>
      <c r="W128" s="309" t="s">
        <v>85</v>
      </c>
    </row>
    <row r="129" spans="10:23">
      <c r="J129" t="str">
        <f t="shared" si="25"/>
        <v>Trd_lcv_cng</v>
      </c>
      <c r="K129" t="str">
        <f t="shared" si="22"/>
        <v>\I:</v>
      </c>
      <c r="L129" t="str">
        <f t="shared" si="23"/>
        <v>\I:</v>
      </c>
      <c r="M129" s="306" t="str">
        <f t="shared" si="26"/>
        <v/>
      </c>
      <c r="N129" s="306" t="str">
        <f t="shared" si="27"/>
        <v/>
      </c>
      <c r="O129" s="306" t="str">
        <f t="shared" si="28"/>
        <v/>
      </c>
      <c r="P129" s="306" t="str">
        <f t="shared" si="29"/>
        <v/>
      </c>
      <c r="T129" t="str">
        <f t="shared" si="31"/>
        <v>\I:</v>
      </c>
      <c r="U129" t="str">
        <f ca="1" t="shared" si="32"/>
        <v>ICE CNG LCV -- 00%</v>
      </c>
      <c r="V129" s="309" t="s">
        <v>84</v>
      </c>
      <c r="W129" s="309" t="s">
        <v>85</v>
      </c>
    </row>
    <row r="130" spans="2:23">
      <c r="B130" s="43" t="s">
        <v>108</v>
      </c>
      <c r="J130" t="str">
        <f t="shared" si="25"/>
        <v>Trd_lcv_cng</v>
      </c>
      <c r="K130" t="str">
        <f t="shared" si="22"/>
        <v>\I:</v>
      </c>
      <c r="L130" t="str">
        <f t="shared" si="23"/>
        <v>\I:</v>
      </c>
      <c r="M130" s="306" t="str">
        <f t="shared" si="26"/>
        <v/>
      </c>
      <c r="N130" s="306" t="str">
        <f t="shared" si="27"/>
        <v/>
      </c>
      <c r="O130" s="306" t="str">
        <f t="shared" si="28"/>
        <v/>
      </c>
      <c r="P130" s="306" t="str">
        <f t="shared" si="29"/>
        <v/>
      </c>
      <c r="T130" t="str">
        <f t="shared" si="31"/>
        <v>\I:</v>
      </c>
      <c r="U130" t="str">
        <f ca="1" t="shared" si="32"/>
        <v>ICE CNG LCV -- Reference values for LPG LCV</v>
      </c>
      <c r="V130" s="309" t="s">
        <v>84</v>
      </c>
      <c r="W130" s="309" t="s">
        <v>85</v>
      </c>
    </row>
    <row r="131" spans="2:23">
      <c r="B131" s="44">
        <v>2015</v>
      </c>
      <c r="C131" s="298"/>
      <c r="D131" s="44"/>
      <c r="J131" t="str">
        <f t="shared" si="25"/>
        <v>Trd_lcv_cng</v>
      </c>
      <c r="K131" t="str">
        <f t="shared" si="22"/>
        <v>\I:</v>
      </c>
      <c r="L131" t="str">
        <f t="shared" si="23"/>
        <v>\I:</v>
      </c>
      <c r="M131" s="306" t="str">
        <f t="shared" si="26"/>
        <v/>
      </c>
      <c r="N131" s="306" t="str">
        <f t="shared" si="27"/>
        <v/>
      </c>
      <c r="O131" s="306" t="str">
        <f t="shared" si="28"/>
        <v/>
      </c>
      <c r="P131" s="306" t="str">
        <f t="shared" si="29"/>
        <v/>
      </c>
      <c r="T131" t="str">
        <f t="shared" si="31"/>
        <v>\I:</v>
      </c>
      <c r="U131" t="str">
        <f ca="1" t="shared" si="32"/>
        <v>ICE CNG LCV -- 201500%</v>
      </c>
      <c r="V131" s="309" t="s">
        <v>84</v>
      </c>
      <c r="W131" s="309" t="s">
        <v>85</v>
      </c>
    </row>
    <row r="132" spans="2:23">
      <c r="B132" s="45" t="s">
        <v>12</v>
      </c>
      <c r="C132" s="46" t="s">
        <v>13</v>
      </c>
      <c r="D132" s="47">
        <v>8.86604977915874</v>
      </c>
      <c r="G132" s="77">
        <f>D132*$F$10/100*10^9/10^6</f>
        <v>2.26882213848672</v>
      </c>
      <c r="H132" s="77"/>
      <c r="I132" s="299">
        <f>1/G132</f>
        <v>0.440757335287194</v>
      </c>
      <c r="J132" t="str">
        <f t="shared" si="25"/>
        <v>Trd_lcv_cng</v>
      </c>
      <c r="K132" t="str">
        <f t="shared" si="22"/>
        <v>\I:</v>
      </c>
      <c r="L132" t="str">
        <f t="shared" si="23"/>
        <v>\I:</v>
      </c>
      <c r="M132" s="306" t="str">
        <f t="shared" si="26"/>
        <v/>
      </c>
      <c r="N132" s="306" t="str">
        <f t="shared" si="27"/>
        <v/>
      </c>
      <c r="O132" s="306" t="str">
        <f t="shared" si="28"/>
        <v/>
      </c>
      <c r="P132" s="306" t="str">
        <f t="shared" si="29"/>
        <v/>
      </c>
      <c r="T132" t="str">
        <f t="shared" si="31"/>
        <v>\I:</v>
      </c>
      <c r="U132" t="str">
        <f ca="1" t="shared" si="32"/>
        <v>ICE CNG LCV -- Energy consumption</v>
      </c>
      <c r="V132" s="309" t="s">
        <v>84</v>
      </c>
      <c r="W132" s="309" t="s">
        <v>85</v>
      </c>
    </row>
    <row r="133" spans="2:23">
      <c r="B133" s="45" t="s">
        <v>14</v>
      </c>
      <c r="C133" s="46" t="s">
        <v>15</v>
      </c>
      <c r="D133" s="68">
        <v>18928.9953800185</v>
      </c>
      <c r="I133" s="311" t="s">
        <v>70</v>
      </c>
      <c r="J133" t="str">
        <f t="shared" si="25"/>
        <v>Trd_lcv_cng</v>
      </c>
      <c r="K133" t="str">
        <f t="shared" si="22"/>
        <v>\I:</v>
      </c>
      <c r="L133" t="str">
        <f t="shared" si="23"/>
        <v>\I:</v>
      </c>
      <c r="M133" s="306" t="str">
        <f t="shared" si="26"/>
        <v/>
      </c>
      <c r="N133" s="306" t="str">
        <f t="shared" si="27"/>
        <v/>
      </c>
      <c r="O133" s="306" t="str">
        <f t="shared" si="28"/>
        <v/>
      </c>
      <c r="P133" s="306" t="str">
        <f t="shared" si="29"/>
        <v/>
      </c>
      <c r="T133" t="str">
        <f t="shared" si="31"/>
        <v>\I:</v>
      </c>
      <c r="U133" t="str">
        <f ca="1" t="shared" si="32"/>
        <v>ICE CNG LCV -- Capital cost</v>
      </c>
      <c r="V133" s="309" t="s">
        <v>84</v>
      </c>
      <c r="W133" s="309" t="s">
        <v>85</v>
      </c>
    </row>
    <row r="134" spans="10:23">
      <c r="J134" t="str">
        <f t="shared" si="25"/>
        <v>Trd_lcv_cng</v>
      </c>
      <c r="K134" t="str">
        <f t="shared" si="22"/>
        <v>\I:</v>
      </c>
      <c r="L134" t="str">
        <f t="shared" si="23"/>
        <v>\I:</v>
      </c>
      <c r="M134" s="306" t="str">
        <f t="shared" si="26"/>
        <v/>
      </c>
      <c r="N134" s="306" t="str">
        <f t="shared" si="27"/>
        <v/>
      </c>
      <c r="O134" s="306" t="str">
        <f t="shared" si="28"/>
        <v/>
      </c>
      <c r="P134" s="306" t="str">
        <f t="shared" si="29"/>
        <v/>
      </c>
      <c r="T134" t="str">
        <f t="shared" si="31"/>
        <v>\I:</v>
      </c>
      <c r="U134" t="str">
        <f ca="1" t="shared" si="32"/>
        <v>ICE CNG LCV -- 00%</v>
      </c>
      <c r="V134" s="309" t="s">
        <v>84</v>
      </c>
      <c r="W134" s="309" t="s">
        <v>85</v>
      </c>
    </row>
    <row r="135" ht="15" customHeight="1" spans="2:23">
      <c r="B135" s="48" t="s">
        <v>91</v>
      </c>
      <c r="C135" s="300" t="s">
        <v>102</v>
      </c>
      <c r="D135" s="48"/>
      <c r="E135" s="48"/>
      <c r="F135" s="48"/>
      <c r="J135" t="str">
        <f t="shared" si="25"/>
        <v>\I:Trd_lcv_lpg</v>
      </c>
      <c r="K135" t="str">
        <f t="shared" si="22"/>
        <v>\I:</v>
      </c>
      <c r="L135" t="str">
        <f t="shared" si="23"/>
        <v>\I:</v>
      </c>
      <c r="M135" s="306" t="str">
        <f t="shared" si="26"/>
        <v/>
      </c>
      <c r="N135" s="306" t="str">
        <f t="shared" si="27"/>
        <v/>
      </c>
      <c r="O135" s="306" t="str">
        <f t="shared" si="28"/>
        <v/>
      </c>
      <c r="P135" s="306" t="str">
        <f t="shared" si="29"/>
        <v/>
      </c>
      <c r="T135" t="str">
        <f t="shared" si="31"/>
        <v>\I:</v>
      </c>
      <c r="U135" t="str">
        <f ca="1" t="shared" si="32"/>
        <v>ICE LPG LCV -- Reduction of specific energy consumption relative to 2015 LPG vehicle (%)</v>
      </c>
      <c r="V135" s="309" t="s">
        <v>84</v>
      </c>
      <c r="W135" s="309" t="s">
        <v>85</v>
      </c>
    </row>
    <row r="136" spans="2:23">
      <c r="B136" s="48"/>
      <c r="C136" s="300"/>
      <c r="D136" s="48"/>
      <c r="E136" s="48"/>
      <c r="F136" s="48"/>
      <c r="J136" t="str">
        <f t="shared" si="25"/>
        <v>\I:Trd_lcv_lpg</v>
      </c>
      <c r="K136" t="str">
        <f t="shared" si="22"/>
        <v>\I:</v>
      </c>
      <c r="L136" t="str">
        <f t="shared" si="23"/>
        <v>\I:</v>
      </c>
      <c r="M136" s="306" t="str">
        <f t="shared" si="26"/>
        <v/>
      </c>
      <c r="N136" s="306" t="str">
        <f t="shared" si="27"/>
        <v/>
      </c>
      <c r="O136" s="306" t="str">
        <f t="shared" si="28"/>
        <v/>
      </c>
      <c r="P136" s="306" t="str">
        <f t="shared" si="29"/>
        <v/>
      </c>
      <c r="T136" t="str">
        <f t="shared" si="31"/>
        <v>\I:</v>
      </c>
      <c r="U136" t="str">
        <f ca="1" t="shared" si="32"/>
        <v>ICE LPG LCV -- 00%</v>
      </c>
      <c r="V136" s="309" t="s">
        <v>84</v>
      </c>
      <c r="W136" s="309" t="s">
        <v>85</v>
      </c>
    </row>
    <row r="137" spans="2:23">
      <c r="B137" s="48"/>
      <c r="C137" s="300"/>
      <c r="D137" s="48"/>
      <c r="E137" s="48"/>
      <c r="F137" s="48"/>
      <c r="J137" t="str">
        <f t="shared" si="25"/>
        <v>\I:Trd_lcv_lpg</v>
      </c>
      <c r="K137" t="str">
        <f t="shared" si="22"/>
        <v>\I:</v>
      </c>
      <c r="L137" t="str">
        <f t="shared" si="23"/>
        <v>\I:</v>
      </c>
      <c r="M137" s="306" t="str">
        <f t="shared" si="26"/>
        <v/>
      </c>
      <c r="N137" s="306" t="str">
        <f t="shared" si="27"/>
        <v/>
      </c>
      <c r="O137" s="306" t="str">
        <f t="shared" si="28"/>
        <v/>
      </c>
      <c r="P137" s="306" t="str">
        <f t="shared" si="29"/>
        <v/>
      </c>
      <c r="T137" t="str">
        <f t="shared" si="31"/>
        <v>\I:</v>
      </c>
      <c r="U137" t="str">
        <f ca="1" t="shared" si="32"/>
        <v>ICE LPG LCV -- 00%</v>
      </c>
      <c r="V137" s="309" t="s">
        <v>84</v>
      </c>
      <c r="W137" s="309" t="s">
        <v>85</v>
      </c>
    </row>
    <row r="138" spans="2:23">
      <c r="B138" s="88"/>
      <c r="C138" s="341">
        <v>2020</v>
      </c>
      <c r="D138" s="50">
        <v>2030</v>
      </c>
      <c r="E138" s="50">
        <v>2040</v>
      </c>
      <c r="F138" s="50">
        <v>2050</v>
      </c>
      <c r="J138" t="str">
        <f t="shared" si="25"/>
        <v>\I:Trd_lcv_lpg</v>
      </c>
      <c r="K138" t="str">
        <f t="shared" si="22"/>
        <v>\I:</v>
      </c>
      <c r="L138" t="str">
        <f t="shared" si="23"/>
        <v>\I:</v>
      </c>
      <c r="M138" s="306" t="str">
        <f t="shared" si="26"/>
        <v/>
      </c>
      <c r="N138" s="306" t="str">
        <f t="shared" si="27"/>
        <v/>
      </c>
      <c r="O138" s="306" t="str">
        <f t="shared" si="28"/>
        <v/>
      </c>
      <c r="P138" s="306" t="str">
        <f t="shared" si="29"/>
        <v/>
      </c>
      <c r="T138" t="str">
        <f t="shared" si="31"/>
        <v>\I:</v>
      </c>
      <c r="U138" t="str">
        <f ca="1" t="shared" si="32"/>
        <v>ICE LPG LCV -- 00%</v>
      </c>
      <c r="V138" s="309" t="s">
        <v>84</v>
      </c>
      <c r="W138" s="309" t="s">
        <v>85</v>
      </c>
    </row>
    <row r="139" spans="2:23">
      <c r="B139" s="85">
        <v>0.145560583753408</v>
      </c>
      <c r="C139" s="342">
        <v>19399.6146612433</v>
      </c>
      <c r="D139" s="86">
        <v>18938.4434521105</v>
      </c>
      <c r="E139" s="86">
        <v>18938.4434521105</v>
      </c>
      <c r="F139" s="86">
        <v>18938.4434521105</v>
      </c>
      <c r="I139" s="77">
        <f>$I$132*(1+B139)/$I$11</f>
        <v>1.35469894887859</v>
      </c>
      <c r="J139" t="str">
        <f t="shared" si="25"/>
        <v>\I:Trd_lcv_lpg</v>
      </c>
      <c r="K139" t="str">
        <f t="shared" si="22"/>
        <v>\I:Trd_lcv_lpg_15</v>
      </c>
      <c r="L139" t="str">
        <f t="shared" si="23"/>
        <v>\I:Trd_</v>
      </c>
      <c r="M139" s="306">
        <f t="shared" si="26"/>
        <v>19399.6146612433</v>
      </c>
      <c r="N139" s="306">
        <f t="shared" si="27"/>
        <v>18938.4434521105</v>
      </c>
      <c r="O139" s="306">
        <f t="shared" si="28"/>
        <v>18938.4434521105</v>
      </c>
      <c r="P139" s="306">
        <f t="shared" si="29"/>
        <v>18938.4434521105</v>
      </c>
      <c r="T139" t="str">
        <f t="shared" si="31"/>
        <v>\I:Trd_lcv_lpg_15</v>
      </c>
      <c r="U139" t="str">
        <f ca="1" t="shared" si="32"/>
        <v>ICE LPG LCV -- 15%</v>
      </c>
      <c r="V139" s="309" t="s">
        <v>84</v>
      </c>
      <c r="W139" s="309" t="s">
        <v>85</v>
      </c>
    </row>
    <row r="140" spans="2:23">
      <c r="B140" s="85">
        <v>0.245560583753408</v>
      </c>
      <c r="C140" s="342">
        <v>20764.4484941009</v>
      </c>
      <c r="D140" s="86">
        <v>19487.6174087638</v>
      </c>
      <c r="E140" s="86">
        <v>19487.6174087638</v>
      </c>
      <c r="F140" s="86">
        <v>19487.6174087638</v>
      </c>
      <c r="I140" s="77">
        <f>$I$132*(1+B140)/$I$11</f>
        <v>1.47295537006584</v>
      </c>
      <c r="J140" t="str">
        <f t="shared" si="25"/>
        <v>\I:Trd_lcv_lpg</v>
      </c>
      <c r="K140" t="str">
        <f t="shared" si="22"/>
        <v>\I:Trd_lcv_lpg_25</v>
      </c>
      <c r="L140" t="str">
        <f t="shared" si="23"/>
        <v>\I:Trd_</v>
      </c>
      <c r="M140" s="306">
        <f t="shared" si="26"/>
        <v>20764.4484941009</v>
      </c>
      <c r="N140" s="306">
        <f t="shared" si="27"/>
        <v>19487.6174087638</v>
      </c>
      <c r="O140" s="306">
        <f t="shared" si="28"/>
        <v>19487.6174087638</v>
      </c>
      <c r="P140" s="306">
        <f t="shared" si="29"/>
        <v>19487.6174087638</v>
      </c>
      <c r="T140" t="str">
        <f t="shared" si="31"/>
        <v>\I:Trd_lcv_lpg_25</v>
      </c>
      <c r="U140" t="str">
        <f ca="1" t="shared" si="32"/>
        <v>ICE LPG LCV -- 25%</v>
      </c>
      <c r="V140" s="309" t="s">
        <v>84</v>
      </c>
      <c r="W140" s="309" t="s">
        <v>85</v>
      </c>
    </row>
    <row r="141" spans="2:23">
      <c r="B141" s="85">
        <v>0.345560583753408</v>
      </c>
      <c r="C141" s="342">
        <v>25848.6206600321</v>
      </c>
      <c r="D141" s="86">
        <v>20715.397608066</v>
      </c>
      <c r="E141" s="86">
        <v>20715.397608066</v>
      </c>
      <c r="F141" s="86">
        <v>20715.397608066</v>
      </c>
      <c r="I141" s="77">
        <f>$I$132*(1+B141)/$I$11</f>
        <v>1.5912117912531</v>
      </c>
      <c r="J141" t="str">
        <f t="shared" si="25"/>
        <v>\I:Trd_lcv_lpg</v>
      </c>
      <c r="K141" t="str">
        <f t="shared" si="22"/>
        <v>\I:Trd_lcv_lpg_35</v>
      </c>
      <c r="L141" t="str">
        <f t="shared" si="23"/>
        <v>\I:Trd_</v>
      </c>
      <c r="M141" s="306">
        <f t="shared" si="26"/>
        <v>25848.6206600321</v>
      </c>
      <c r="N141" s="306">
        <f t="shared" si="27"/>
        <v>20715.397608066</v>
      </c>
      <c r="O141" s="306">
        <f t="shared" si="28"/>
        <v>20715.397608066</v>
      </c>
      <c r="P141" s="306">
        <f t="shared" si="29"/>
        <v>20715.397608066</v>
      </c>
      <c r="T141" t="str">
        <f t="shared" si="31"/>
        <v>\I:Trd_lcv_lpg_35</v>
      </c>
      <c r="U141" t="str">
        <f ca="1" t="shared" si="32"/>
        <v>ICE LPG LCV -- 35%</v>
      </c>
      <c r="V141" s="309" t="s">
        <v>84</v>
      </c>
      <c r="W141" s="309" t="s">
        <v>85</v>
      </c>
    </row>
    <row r="142" spans="2:23">
      <c r="B142" s="85">
        <v>0.395560583753408</v>
      </c>
      <c r="C142" s="342">
        <v>34296.039017116</v>
      </c>
      <c r="D142" s="86">
        <v>23079.4941532488</v>
      </c>
      <c r="E142" s="86">
        <v>23079.4941532488</v>
      </c>
      <c r="F142" s="86">
        <v>23079.4941532488</v>
      </c>
      <c r="I142" s="77">
        <f>$I$132*(1+B142)/$I$11</f>
        <v>1.65034000184672</v>
      </c>
      <c r="J142" t="str">
        <f t="shared" si="25"/>
        <v>\I:Trd_lcv_lpg</v>
      </c>
      <c r="K142" t="str">
        <f t="shared" si="22"/>
        <v>\I:Trd_lcv_lpg_40</v>
      </c>
      <c r="L142" t="str">
        <f t="shared" si="23"/>
        <v>\I:Trd_</v>
      </c>
      <c r="M142" s="306">
        <f t="shared" si="26"/>
        <v>34296.039017116</v>
      </c>
      <c r="N142" s="306">
        <f t="shared" si="27"/>
        <v>23079.4941532488</v>
      </c>
      <c r="O142" s="306">
        <f t="shared" si="28"/>
        <v>23079.4941532488</v>
      </c>
      <c r="P142" s="306">
        <f t="shared" si="29"/>
        <v>23079.4941532488</v>
      </c>
      <c r="T142" t="str">
        <f t="shared" si="31"/>
        <v>\I:Trd_lcv_lpg_40</v>
      </c>
      <c r="U142" t="str">
        <f ca="1" t="shared" si="32"/>
        <v>ICE LPG LCV -- 40%</v>
      </c>
      <c r="V142" s="309" t="s">
        <v>84</v>
      </c>
      <c r="W142" s="309" t="s">
        <v>85</v>
      </c>
    </row>
    <row r="143" spans="2:23">
      <c r="B143" s="85">
        <v>0.445560583753408</v>
      </c>
      <c r="C143" s="342">
        <v>101110.720163391</v>
      </c>
      <c r="D143" s="86">
        <v>28509.3477890172</v>
      </c>
      <c r="E143" s="86">
        <v>28509.3477890172</v>
      </c>
      <c r="F143" s="86">
        <v>28509.3477890172</v>
      </c>
      <c r="I143" s="77">
        <f>$I$132*(1+B143)/$I$11</f>
        <v>1.70946821244035</v>
      </c>
      <c r="J143" t="str">
        <f t="shared" si="25"/>
        <v>\I:Trd_lcv_lpg</v>
      </c>
      <c r="K143" t="str">
        <f t="shared" si="22"/>
        <v>\I:Trd_lcv_lpg_45</v>
      </c>
      <c r="L143" t="str">
        <f t="shared" si="23"/>
        <v>\I:Trd_</v>
      </c>
      <c r="M143" s="306">
        <f t="shared" si="26"/>
        <v>101110.720163391</v>
      </c>
      <c r="N143" s="306">
        <f t="shared" si="27"/>
        <v>28509.3477890172</v>
      </c>
      <c r="O143" s="306">
        <f t="shared" si="28"/>
        <v>28509.3477890172</v>
      </c>
      <c r="P143" s="306">
        <f t="shared" si="29"/>
        <v>28509.3477890172</v>
      </c>
      <c r="T143" t="str">
        <f t="shared" si="31"/>
        <v>\I:Trd_lcv_lpg_45</v>
      </c>
      <c r="U143" t="str">
        <f ca="1" t="shared" si="32"/>
        <v>ICE LPG LCV -- 45%</v>
      </c>
      <c r="V143" s="309" t="s">
        <v>84</v>
      </c>
      <c r="W143" s="309" t="s">
        <v>85</v>
      </c>
    </row>
    <row r="144" spans="4:23">
      <c r="D144" s="97"/>
      <c r="E144" s="97"/>
      <c r="F144" s="97"/>
      <c r="J144" t="str">
        <f t="shared" si="25"/>
        <v>\I:Trd_lcv_lpg</v>
      </c>
      <c r="K144" t="str">
        <f t="shared" si="22"/>
        <v>\I:</v>
      </c>
      <c r="L144" t="str">
        <f t="shared" si="23"/>
        <v>\I:</v>
      </c>
      <c r="M144" s="306" t="str">
        <f t="shared" si="26"/>
        <v/>
      </c>
      <c r="N144" s="306" t="str">
        <f t="shared" si="27"/>
        <v/>
      </c>
      <c r="O144" s="306" t="str">
        <f t="shared" si="28"/>
        <v/>
      </c>
      <c r="P144" s="306" t="str">
        <f t="shared" si="29"/>
        <v/>
      </c>
      <c r="T144" t="str">
        <f t="shared" ref="T144:T178" si="34">K144</f>
        <v>\I:</v>
      </c>
      <c r="U144" t="str">
        <f ca="1" t="shared" ref="U144:U155" si="35">OFFSET($S$1,MATCH(J144,$S$1:$S$10,0)-1,-1)&amp;" -- "&amp;TEXT(B144,"00%")</f>
        <v>ICE LPG LCV -- 00%</v>
      </c>
      <c r="V144" s="309" t="s">
        <v>84</v>
      </c>
      <c r="W144" s="309" t="s">
        <v>85</v>
      </c>
    </row>
    <row r="145" spans="4:23">
      <c r="D145" s="97"/>
      <c r="E145" s="97"/>
      <c r="F145" s="97"/>
      <c r="J145" t="str">
        <f t="shared" si="25"/>
        <v>\I:Trd_lcv_lpg</v>
      </c>
      <c r="K145" t="str">
        <f t="shared" ref="K145:K170" si="36">IFERROR(IF(VALUE(C145)&gt;2020,J145&amp;"_"&amp;TEXT(B145*100,"00"),"\I:"),"\I:")</f>
        <v>\I:</v>
      </c>
      <c r="L145" t="str">
        <f t="shared" ref="L145:L178" si="37">LEFT(K145,7)</f>
        <v>\I:</v>
      </c>
      <c r="M145" s="306" t="str">
        <f t="shared" si="26"/>
        <v/>
      </c>
      <c r="N145" s="306" t="str">
        <f t="shared" si="27"/>
        <v/>
      </c>
      <c r="O145" s="306" t="str">
        <f t="shared" si="28"/>
        <v/>
      </c>
      <c r="P145" s="306" t="str">
        <f t="shared" si="29"/>
        <v/>
      </c>
      <c r="T145" t="str">
        <f t="shared" si="34"/>
        <v>\I:</v>
      </c>
      <c r="U145" t="str">
        <f ca="1" t="shared" si="35"/>
        <v>ICE LPG LCV -- 00%</v>
      </c>
      <c r="V145" s="309" t="s">
        <v>84</v>
      </c>
      <c r="W145" s="309" t="s">
        <v>85</v>
      </c>
    </row>
    <row r="146" spans="10:23">
      <c r="J146" t="str">
        <f t="shared" si="25"/>
        <v>\I:Trd_lcv_lpg</v>
      </c>
      <c r="K146" t="str">
        <f t="shared" si="36"/>
        <v>\I:</v>
      </c>
      <c r="L146" t="str">
        <f t="shared" si="37"/>
        <v>\I:</v>
      </c>
      <c r="M146" s="306" t="str">
        <f t="shared" si="26"/>
        <v/>
      </c>
      <c r="N146" s="306" t="str">
        <f t="shared" si="27"/>
        <v/>
      </c>
      <c r="O146" s="306" t="str">
        <f t="shared" si="28"/>
        <v/>
      </c>
      <c r="P146" s="306" t="str">
        <f t="shared" si="29"/>
        <v/>
      </c>
      <c r="T146" t="str">
        <f t="shared" si="34"/>
        <v>\I:</v>
      </c>
      <c r="U146" t="str">
        <f ca="1" t="shared" si="35"/>
        <v>ICE LPG LCV -- 00%</v>
      </c>
      <c r="V146" s="309" t="s">
        <v>84</v>
      </c>
      <c r="W146" s="309" t="s">
        <v>85</v>
      </c>
    </row>
    <row r="147" spans="10:23">
      <c r="J147" t="str">
        <f t="shared" si="25"/>
        <v>\I:Trd_lcv_lpg</v>
      </c>
      <c r="K147" t="str">
        <f t="shared" si="36"/>
        <v>\I:</v>
      </c>
      <c r="L147" t="str">
        <f t="shared" si="37"/>
        <v>\I:</v>
      </c>
      <c r="M147" s="306" t="str">
        <f t="shared" si="26"/>
        <v/>
      </c>
      <c r="N147" s="306" t="str">
        <f t="shared" si="27"/>
        <v/>
      </c>
      <c r="O147" s="306" t="str">
        <f t="shared" si="28"/>
        <v/>
      </c>
      <c r="P147" s="306" t="str">
        <f t="shared" si="29"/>
        <v/>
      </c>
      <c r="T147" t="str">
        <f t="shared" si="34"/>
        <v>\I:</v>
      </c>
      <c r="U147" t="str">
        <f ca="1" t="shared" si="35"/>
        <v>ICE LPG LCV -- 00%</v>
      </c>
      <c r="V147" s="309" t="s">
        <v>84</v>
      </c>
      <c r="W147" s="309" t="s">
        <v>85</v>
      </c>
    </row>
    <row r="148" spans="10:23">
      <c r="J148" t="str">
        <f t="shared" ref="J148:J178" si="38">IFERROR(VLOOKUP(C148,$R$1:$S$10,2,FALSE),J147)</f>
        <v>\I:Trd_lcv_lpg</v>
      </c>
      <c r="K148" t="str">
        <f t="shared" si="36"/>
        <v>\I:</v>
      </c>
      <c r="L148" t="str">
        <f t="shared" si="37"/>
        <v>\I:</v>
      </c>
      <c r="M148" s="306" t="str">
        <f t="shared" si="26"/>
        <v/>
      </c>
      <c r="N148" s="306" t="str">
        <f t="shared" si="27"/>
        <v/>
      </c>
      <c r="O148" s="306" t="str">
        <f t="shared" si="28"/>
        <v/>
      </c>
      <c r="P148" s="306" t="str">
        <f t="shared" si="29"/>
        <v/>
      </c>
      <c r="T148" t="str">
        <f t="shared" si="34"/>
        <v>\I:</v>
      </c>
      <c r="U148" t="str">
        <f ca="1" t="shared" si="35"/>
        <v>ICE LPG LCV -- 00%</v>
      </c>
      <c r="V148" s="309" t="s">
        <v>84</v>
      </c>
      <c r="W148" s="309" t="s">
        <v>85</v>
      </c>
    </row>
    <row r="149" spans="2:23">
      <c r="B149" s="44">
        <v>2020</v>
      </c>
      <c r="C149" s="298"/>
      <c r="D149" s="44"/>
      <c r="J149" t="str">
        <f t="shared" si="38"/>
        <v>\I:Trd_lcv_lpg</v>
      </c>
      <c r="K149" t="str">
        <f t="shared" si="36"/>
        <v>\I:</v>
      </c>
      <c r="L149" t="str">
        <f t="shared" si="37"/>
        <v>\I:</v>
      </c>
      <c r="M149" s="306" t="str">
        <f t="shared" si="26"/>
        <v/>
      </c>
      <c r="N149" s="306" t="str">
        <f t="shared" si="27"/>
        <v/>
      </c>
      <c r="O149" s="306" t="str">
        <f t="shared" si="28"/>
        <v/>
      </c>
      <c r="P149" s="306" t="str">
        <f t="shared" si="29"/>
        <v/>
      </c>
      <c r="T149" t="str">
        <f t="shared" si="34"/>
        <v>\I:</v>
      </c>
      <c r="U149" t="str">
        <f ca="1" t="shared" si="35"/>
        <v>ICE LPG LCV -- 202000%</v>
      </c>
      <c r="V149" s="309" t="s">
        <v>84</v>
      </c>
      <c r="W149" s="309" t="s">
        <v>85</v>
      </c>
    </row>
    <row r="150" spans="2:23">
      <c r="B150" s="45" t="s">
        <v>109</v>
      </c>
      <c r="C150" s="46" t="s">
        <v>26</v>
      </c>
      <c r="D150" s="74">
        <v>0.17</v>
      </c>
      <c r="G150" s="77">
        <f>D150/3.6/100*10^9/10^6</f>
        <v>0.472222222222222</v>
      </c>
      <c r="H150" s="77"/>
      <c r="I150" s="338">
        <f>1/G150-1</f>
        <v>1.11764705882353</v>
      </c>
      <c r="J150" t="str">
        <f t="shared" si="38"/>
        <v>\I:Trd_lcv_lpg</v>
      </c>
      <c r="K150" t="str">
        <f t="shared" si="36"/>
        <v>\I:</v>
      </c>
      <c r="L150" t="str">
        <f t="shared" si="37"/>
        <v>\I:</v>
      </c>
      <c r="M150" s="306" t="str">
        <f t="shared" si="26"/>
        <v/>
      </c>
      <c r="N150" s="306" t="str">
        <f t="shared" si="27"/>
        <v/>
      </c>
      <c r="O150" s="306" t="str">
        <f t="shared" si="28"/>
        <v/>
      </c>
      <c r="P150" s="306" t="str">
        <f t="shared" si="29"/>
        <v/>
      </c>
      <c r="T150" t="str">
        <f t="shared" si="34"/>
        <v>\I:</v>
      </c>
      <c r="U150" t="str">
        <f ca="1" t="shared" si="35"/>
        <v>ICE LPG LCV -- Energy consumption of Battery electric LCV</v>
      </c>
      <c r="V150" s="309" t="s">
        <v>84</v>
      </c>
      <c r="W150" s="309" t="s">
        <v>85</v>
      </c>
    </row>
    <row r="151" spans="9:23">
      <c r="I151" s="311" t="s">
        <v>70</v>
      </c>
      <c r="J151" t="str">
        <f t="shared" si="38"/>
        <v>\I:Trd_lcv_lpg</v>
      </c>
      <c r="K151" t="str">
        <f t="shared" si="36"/>
        <v>\I:</v>
      </c>
      <c r="L151" t="str">
        <f t="shared" si="37"/>
        <v>\I:</v>
      </c>
      <c r="M151" s="306" t="str">
        <f t="shared" si="26"/>
        <v/>
      </c>
      <c r="N151" s="306" t="str">
        <f t="shared" si="27"/>
        <v/>
      </c>
      <c r="O151" s="306" t="str">
        <f t="shared" si="28"/>
        <v/>
      </c>
      <c r="P151" s="306" t="str">
        <f t="shared" si="29"/>
        <v/>
      </c>
      <c r="T151" t="str">
        <f t="shared" si="34"/>
        <v>\I:</v>
      </c>
      <c r="U151" t="str">
        <f ca="1" t="shared" si="35"/>
        <v>ICE LPG LCV -- 00%</v>
      </c>
      <c r="V151" s="309" t="s">
        <v>84</v>
      </c>
      <c r="W151" s="309" t="s">
        <v>85</v>
      </c>
    </row>
    <row r="152" ht="15" customHeight="1" spans="2:23">
      <c r="B152" s="48" t="s">
        <v>27</v>
      </c>
      <c r="C152" s="300" t="s">
        <v>104</v>
      </c>
      <c r="D152" s="48"/>
      <c r="E152" s="48"/>
      <c r="F152" s="48"/>
      <c r="J152" t="str">
        <f t="shared" si="38"/>
        <v>Trd_lcv_elc</v>
      </c>
      <c r="K152" t="str">
        <f t="shared" si="36"/>
        <v>\I:</v>
      </c>
      <c r="L152" t="str">
        <f t="shared" si="37"/>
        <v>\I:</v>
      </c>
      <c r="M152" s="306" t="str">
        <f t="shared" si="26"/>
        <v/>
      </c>
      <c r="N152" s="306" t="str">
        <f t="shared" si="27"/>
        <v/>
      </c>
      <c r="O152" s="306" t="str">
        <f t="shared" si="28"/>
        <v/>
      </c>
      <c r="P152" s="306" t="str">
        <f t="shared" si="29"/>
        <v/>
      </c>
      <c r="T152" t="str">
        <f t="shared" si="34"/>
        <v>\I:</v>
      </c>
      <c r="U152" t="str">
        <f ca="1" t="shared" si="35"/>
        <v>Battery electric LCV -- Electric range (km)</v>
      </c>
      <c r="V152" s="309" t="s">
        <v>84</v>
      </c>
      <c r="W152" s="309" t="s">
        <v>85</v>
      </c>
    </row>
    <row r="153" spans="2:23">
      <c r="B153" s="48"/>
      <c r="C153" s="300"/>
      <c r="D153" s="48"/>
      <c r="E153" s="48"/>
      <c r="F153" s="48"/>
      <c r="J153" t="str">
        <f t="shared" si="38"/>
        <v>Trd_lcv_elc</v>
      </c>
      <c r="K153" t="str">
        <f t="shared" si="36"/>
        <v>\I:</v>
      </c>
      <c r="L153" t="str">
        <f t="shared" si="37"/>
        <v>\I:</v>
      </c>
      <c r="M153" s="306" t="str">
        <f t="shared" si="26"/>
        <v/>
      </c>
      <c r="N153" s="306" t="str">
        <f t="shared" si="27"/>
        <v/>
      </c>
      <c r="O153" s="306" t="str">
        <f t="shared" si="28"/>
        <v/>
      </c>
      <c r="P153" s="306" t="str">
        <f t="shared" si="29"/>
        <v/>
      </c>
      <c r="T153" t="str">
        <f t="shared" si="34"/>
        <v>\I:</v>
      </c>
      <c r="U153" t="str">
        <f ca="1" t="shared" si="35"/>
        <v>Battery electric LCV -- 00%</v>
      </c>
      <c r="V153" s="309" t="s">
        <v>84</v>
      </c>
      <c r="W153" s="309" t="s">
        <v>85</v>
      </c>
    </row>
    <row r="154" spans="2:23">
      <c r="B154" s="48"/>
      <c r="C154" s="300"/>
      <c r="D154" s="48"/>
      <c r="E154" s="48"/>
      <c r="F154" s="48"/>
      <c r="J154" t="str">
        <f t="shared" si="38"/>
        <v>Trd_lcv_elc</v>
      </c>
      <c r="K154" t="str">
        <f t="shared" si="36"/>
        <v>\I:</v>
      </c>
      <c r="L154" t="str">
        <f t="shared" si="37"/>
        <v>\I:</v>
      </c>
      <c r="M154" s="306" t="str">
        <f t="shared" ref="M154:M178" si="39">IF($K154="\I:","",C154)</f>
        <v/>
      </c>
      <c r="N154" s="306" t="str">
        <f t="shared" ref="N154:N178" si="40">IF($K154="\I:","",D154)</f>
        <v/>
      </c>
      <c r="O154" s="306" t="str">
        <f t="shared" ref="O154:O178" si="41">IF($K154="\I:","",E154)</f>
        <v/>
      </c>
      <c r="P154" s="306" t="str">
        <f t="shared" ref="P154:P178" si="42">IF($K154="\I:","",F154)</f>
        <v/>
      </c>
      <c r="T154" t="str">
        <f t="shared" si="34"/>
        <v>\I:</v>
      </c>
      <c r="U154" t="str">
        <f ca="1" t="shared" si="35"/>
        <v>Battery electric LCV -- 00%</v>
      </c>
      <c r="V154" s="309" t="s">
        <v>84</v>
      </c>
      <c r="W154" s="309" t="s">
        <v>85</v>
      </c>
    </row>
    <row r="155" spans="2:23">
      <c r="B155" s="88"/>
      <c r="C155" s="341">
        <v>2020</v>
      </c>
      <c r="D155" s="50">
        <v>2030</v>
      </c>
      <c r="E155" s="50">
        <v>2040</v>
      </c>
      <c r="F155" s="50">
        <v>2050</v>
      </c>
      <c r="J155" t="str">
        <f t="shared" si="38"/>
        <v>Trd_lcv_elc</v>
      </c>
      <c r="K155" t="str">
        <f t="shared" si="36"/>
        <v>\I:</v>
      </c>
      <c r="L155" t="str">
        <f t="shared" si="37"/>
        <v>\I:</v>
      </c>
      <c r="M155" s="306" t="str">
        <f t="shared" si="39"/>
        <v/>
      </c>
      <c r="N155" s="306" t="str">
        <f t="shared" si="40"/>
        <v/>
      </c>
      <c r="O155" s="306" t="str">
        <f t="shared" si="41"/>
        <v/>
      </c>
      <c r="P155" s="306" t="str">
        <f t="shared" si="42"/>
        <v/>
      </c>
      <c r="T155" t="str">
        <f t="shared" si="34"/>
        <v>\I:</v>
      </c>
      <c r="U155" t="str">
        <f ca="1" t="shared" si="35"/>
        <v>Battery electric LCV -- 00%</v>
      </c>
      <c r="V155" s="309" t="s">
        <v>84</v>
      </c>
      <c r="W155" s="309" t="s">
        <v>85</v>
      </c>
    </row>
    <row r="156" ht="15" customHeight="1" spans="2:23">
      <c r="B156" s="66">
        <v>120</v>
      </c>
      <c r="C156" s="342">
        <v>22060.8898906779</v>
      </c>
      <c r="D156" s="86">
        <v>18978.0198753824</v>
      </c>
      <c r="E156" s="86">
        <v>18465.8673516113</v>
      </c>
      <c r="F156" s="86">
        <v>18288.5087647105</v>
      </c>
      <c r="I156" s="312">
        <f>$I$150/$I$11</f>
        <v>2.99867820102892</v>
      </c>
      <c r="J156" t="str">
        <f t="shared" si="38"/>
        <v>Trd_lcv_elc</v>
      </c>
      <c r="K156" t="str">
        <f>IFERROR(IF(VALUE(C156)&gt;2020,J156&amp;"_"&amp;TEXT(B156,"000"),"\I:"),"\I:")</f>
        <v>Trd_lcv_elc_120</v>
      </c>
      <c r="L156" t="str">
        <f t="shared" si="37"/>
        <v>Trd_lcv</v>
      </c>
      <c r="M156" s="306">
        <f t="shared" si="39"/>
        <v>22060.8898906779</v>
      </c>
      <c r="N156" s="306">
        <f t="shared" si="40"/>
        <v>18978.0198753824</v>
      </c>
      <c r="O156" s="306">
        <f t="shared" si="41"/>
        <v>18465.8673516113</v>
      </c>
      <c r="P156" s="306">
        <f t="shared" si="42"/>
        <v>18288.5087647105</v>
      </c>
      <c r="Q156" s="43">
        <v>0.05</v>
      </c>
      <c r="T156" t="str">
        <f t="shared" si="34"/>
        <v>Trd_lcv_elc_120</v>
      </c>
      <c r="U156" t="str">
        <f ca="1" t="shared" ref="U156:U163" si="43">OFFSET($S$1,MATCH(J156,$S$1:$S$10,0)-1,-1)&amp;" -- "&amp;TEXT(B156,"000")</f>
        <v>Battery electric LCV -- 120</v>
      </c>
      <c r="V156" s="309" t="s">
        <v>84</v>
      </c>
      <c r="W156" s="309" t="s">
        <v>85</v>
      </c>
    </row>
    <row r="157" spans="2:23">
      <c r="B157" s="66">
        <v>160</v>
      </c>
      <c r="C157" s="342">
        <v>23847.6536151786</v>
      </c>
      <c r="D157" s="86">
        <v>20088.9351310926</v>
      </c>
      <c r="E157" s="86">
        <v>19214.3984864749</v>
      </c>
      <c r="F157" s="86">
        <v>18911.5461597104</v>
      </c>
      <c r="I157" s="312">
        <f t="shared" ref="I157:I163" si="44">$I$150/$I$11</f>
        <v>2.99867820102892</v>
      </c>
      <c r="J157" t="str">
        <f t="shared" si="38"/>
        <v>Trd_lcv_elc</v>
      </c>
      <c r="K157" t="str">
        <f t="shared" ref="K157:K163" si="45">IFERROR(IF(VALUE(C157)&gt;2020,J157&amp;"_"&amp;TEXT(B157,"000"),"\I:"),"\I:")</f>
        <v>Trd_lcv_elc_160</v>
      </c>
      <c r="L157" t="str">
        <f t="shared" si="37"/>
        <v>Trd_lcv</v>
      </c>
      <c r="M157" s="306">
        <f t="shared" si="39"/>
        <v>23847.6536151786</v>
      </c>
      <c r="N157" s="306">
        <f t="shared" si="40"/>
        <v>20088.9351310926</v>
      </c>
      <c r="O157" s="306">
        <f t="shared" si="41"/>
        <v>19214.3984864749</v>
      </c>
      <c r="P157" s="306">
        <f t="shared" si="42"/>
        <v>18911.5461597104</v>
      </c>
      <c r="Q157" s="43">
        <v>0.05</v>
      </c>
      <c r="T157" t="str">
        <f t="shared" si="34"/>
        <v>Trd_lcv_elc_160</v>
      </c>
      <c r="U157" t="str">
        <f ca="1" t="shared" si="43"/>
        <v>Battery electric LCV -- 160</v>
      </c>
      <c r="V157" s="309" t="s">
        <v>84</v>
      </c>
      <c r="W157" s="309" t="s">
        <v>85</v>
      </c>
    </row>
    <row r="158" spans="2:23">
      <c r="B158" s="66">
        <v>200</v>
      </c>
      <c r="C158" s="342">
        <v>25634.4173396793</v>
      </c>
      <c r="D158" s="86">
        <v>20759.4262694129</v>
      </c>
      <c r="E158" s="86">
        <v>19666.1732641666</v>
      </c>
      <c r="F158" s="86">
        <v>19287.5793900062</v>
      </c>
      <c r="I158" s="312">
        <f t="shared" si="44"/>
        <v>2.99867820102892</v>
      </c>
      <c r="J158" t="str">
        <f t="shared" si="38"/>
        <v>Trd_lcv_elc</v>
      </c>
      <c r="K158" t="str">
        <f t="shared" si="45"/>
        <v>Trd_lcv_elc_200</v>
      </c>
      <c r="L158" t="str">
        <f t="shared" si="37"/>
        <v>Trd_lcv</v>
      </c>
      <c r="M158" s="306">
        <f t="shared" si="39"/>
        <v>25634.4173396793</v>
      </c>
      <c r="N158" s="306">
        <f t="shared" si="40"/>
        <v>20759.4262694129</v>
      </c>
      <c r="O158" s="306">
        <f t="shared" si="41"/>
        <v>19666.1732641666</v>
      </c>
      <c r="P158" s="306">
        <f t="shared" si="42"/>
        <v>19287.5793900062</v>
      </c>
      <c r="Q158" s="43">
        <v>0.05</v>
      </c>
      <c r="T158" t="str">
        <f t="shared" si="34"/>
        <v>Trd_lcv_elc_200</v>
      </c>
      <c r="U158" t="str">
        <f ca="1" t="shared" si="43"/>
        <v>Battery electric LCV -- 200</v>
      </c>
      <c r="V158" s="309" t="s">
        <v>84</v>
      </c>
      <c r="W158" s="309" t="s">
        <v>85</v>
      </c>
    </row>
    <row r="159" spans="2:23">
      <c r="B159" s="66">
        <v>250</v>
      </c>
      <c r="C159" s="342">
        <v>27948.3523689399</v>
      </c>
      <c r="D159" s="86">
        <v>21676.7267933811</v>
      </c>
      <c r="E159" s="86">
        <v>20284.2474140061</v>
      </c>
      <c r="F159" s="86">
        <v>19802.031348378</v>
      </c>
      <c r="I159" s="312">
        <f t="shared" si="44"/>
        <v>2.99867820102892</v>
      </c>
      <c r="J159" t="str">
        <f t="shared" si="38"/>
        <v>Trd_lcv_elc</v>
      </c>
      <c r="K159" t="str">
        <f t="shared" si="45"/>
        <v>Trd_lcv_elc_250</v>
      </c>
      <c r="L159" t="str">
        <f t="shared" si="37"/>
        <v>Trd_lcv</v>
      </c>
      <c r="M159" s="306">
        <f t="shared" si="39"/>
        <v>27948.3523689399</v>
      </c>
      <c r="N159" s="306">
        <f t="shared" si="40"/>
        <v>21676.7267933811</v>
      </c>
      <c r="O159" s="306">
        <f t="shared" si="41"/>
        <v>20284.2474140061</v>
      </c>
      <c r="P159" s="306">
        <f t="shared" si="42"/>
        <v>19802.031348378</v>
      </c>
      <c r="Q159" s="43">
        <v>0.125</v>
      </c>
      <c r="T159" t="str">
        <f t="shared" si="34"/>
        <v>Trd_lcv_elc_250</v>
      </c>
      <c r="U159" t="str">
        <f ca="1" t="shared" si="43"/>
        <v>Battery electric LCV -- 250</v>
      </c>
      <c r="V159" s="309" t="s">
        <v>84</v>
      </c>
      <c r="W159" s="309" t="s">
        <v>85</v>
      </c>
    </row>
    <row r="160" spans="2:23">
      <c r="B160" s="66">
        <v>300</v>
      </c>
      <c r="C160" s="342">
        <v>30262.2873982005</v>
      </c>
      <c r="D160" s="86">
        <v>22594.0273173494</v>
      </c>
      <c r="E160" s="86">
        <v>20902.3215638457</v>
      </c>
      <c r="F160" s="86">
        <v>20316.4833067498</v>
      </c>
      <c r="I160" s="312">
        <f t="shared" si="44"/>
        <v>2.99867820102892</v>
      </c>
      <c r="J160" t="str">
        <f t="shared" si="38"/>
        <v>Trd_lcv_elc</v>
      </c>
      <c r="K160" t="str">
        <f t="shared" si="45"/>
        <v>Trd_lcv_elc_300</v>
      </c>
      <c r="L160" t="str">
        <f t="shared" si="37"/>
        <v>Trd_lcv</v>
      </c>
      <c r="M160" s="306">
        <f t="shared" si="39"/>
        <v>30262.2873982005</v>
      </c>
      <c r="N160" s="306">
        <f t="shared" si="40"/>
        <v>22594.0273173494</v>
      </c>
      <c r="O160" s="306">
        <f t="shared" si="41"/>
        <v>20902.3215638457</v>
      </c>
      <c r="P160" s="306">
        <f t="shared" si="42"/>
        <v>20316.4833067498</v>
      </c>
      <c r="Q160" s="43">
        <v>0.15</v>
      </c>
      <c r="T160" t="str">
        <f t="shared" si="34"/>
        <v>Trd_lcv_elc_300</v>
      </c>
      <c r="U160" t="str">
        <f ca="1" t="shared" si="43"/>
        <v>Battery electric LCV -- 300</v>
      </c>
      <c r="V160" s="309" t="s">
        <v>84</v>
      </c>
      <c r="W160" s="309" t="s">
        <v>85</v>
      </c>
    </row>
    <row r="161" spans="2:23">
      <c r="B161" s="66">
        <v>350</v>
      </c>
      <c r="C161" s="342">
        <v>33408.2814289264</v>
      </c>
      <c r="D161" s="86">
        <v>23702.9684508776</v>
      </c>
      <c r="E161" s="86">
        <v>21525.9824247356</v>
      </c>
      <c r="F161" s="86">
        <v>20835.585345442</v>
      </c>
      <c r="I161" s="312">
        <f t="shared" si="44"/>
        <v>2.99867820102892</v>
      </c>
      <c r="J161" t="str">
        <f t="shared" si="38"/>
        <v>Trd_lcv_elc</v>
      </c>
      <c r="K161" t="str">
        <f t="shared" si="45"/>
        <v>Trd_lcv_elc_350</v>
      </c>
      <c r="L161" t="str">
        <f t="shared" si="37"/>
        <v>Trd_lcv</v>
      </c>
      <c r="M161" s="306">
        <f t="shared" si="39"/>
        <v>33408.2814289264</v>
      </c>
      <c r="N161" s="306">
        <f t="shared" si="40"/>
        <v>23702.9684508776</v>
      </c>
      <c r="O161" s="306">
        <f t="shared" si="41"/>
        <v>21525.9824247356</v>
      </c>
      <c r="P161" s="306">
        <f t="shared" si="42"/>
        <v>20835.585345442</v>
      </c>
      <c r="Q161" s="43">
        <v>0.175</v>
      </c>
      <c r="T161" t="str">
        <f t="shared" si="34"/>
        <v>Trd_lcv_elc_350</v>
      </c>
      <c r="U161" t="str">
        <f ca="1" t="shared" si="43"/>
        <v>Battery electric LCV -- 350</v>
      </c>
      <c r="V161" s="309" t="s">
        <v>84</v>
      </c>
      <c r="W161" s="309" t="s">
        <v>85</v>
      </c>
    </row>
    <row r="162" spans="2:23">
      <c r="B162" s="66">
        <v>400</v>
      </c>
      <c r="C162" s="342">
        <v>36792.6829441682</v>
      </c>
      <c r="D162" s="86">
        <v>24867.4450991613</v>
      </c>
      <c r="E162" s="86">
        <v>22149.6432856255</v>
      </c>
      <c r="F162" s="86">
        <v>21354.6873841341</v>
      </c>
      <c r="I162" s="312">
        <f t="shared" si="44"/>
        <v>2.99867820102892</v>
      </c>
      <c r="J162" t="str">
        <f t="shared" si="38"/>
        <v>Trd_lcv_elc</v>
      </c>
      <c r="K162" t="str">
        <f t="shared" si="45"/>
        <v>Trd_lcv_elc_400</v>
      </c>
      <c r="L162" t="str">
        <f t="shared" si="37"/>
        <v>Trd_lcv</v>
      </c>
      <c r="M162" s="306">
        <f t="shared" si="39"/>
        <v>36792.6829441682</v>
      </c>
      <c r="N162" s="306">
        <f t="shared" si="40"/>
        <v>24867.4450991613</v>
      </c>
      <c r="O162" s="306">
        <f t="shared" si="41"/>
        <v>22149.6432856255</v>
      </c>
      <c r="P162" s="306">
        <f t="shared" si="42"/>
        <v>21354.6873841341</v>
      </c>
      <c r="Q162" s="43">
        <v>0.2</v>
      </c>
      <c r="T162" t="str">
        <f t="shared" si="34"/>
        <v>Trd_lcv_elc_400</v>
      </c>
      <c r="U162" t="str">
        <f ca="1" t="shared" si="43"/>
        <v>Battery electric LCV -- 400</v>
      </c>
      <c r="V162" s="309" t="s">
        <v>84</v>
      </c>
      <c r="W162" s="309" t="s">
        <v>85</v>
      </c>
    </row>
    <row r="163" spans="2:23">
      <c r="B163" s="66">
        <v>500</v>
      </c>
      <c r="C163" s="342">
        <v>44276.7084281994</v>
      </c>
      <c r="D163" s="86">
        <v>27629.6574330657</v>
      </c>
      <c r="E163" s="86">
        <v>23636.5244664208</v>
      </c>
      <c r="F163" s="86">
        <v>22392.8914615185</v>
      </c>
      <c r="I163" s="312">
        <f t="shared" si="44"/>
        <v>2.99867820102892</v>
      </c>
      <c r="J163" t="str">
        <f t="shared" si="38"/>
        <v>Trd_lcv_elc</v>
      </c>
      <c r="K163" t="str">
        <f t="shared" si="45"/>
        <v>Trd_lcv_elc_500</v>
      </c>
      <c r="L163" t="str">
        <f t="shared" si="37"/>
        <v>Trd_lcv</v>
      </c>
      <c r="M163" s="306">
        <f t="shared" si="39"/>
        <v>44276.7084281994</v>
      </c>
      <c r="N163" s="306">
        <f t="shared" si="40"/>
        <v>27629.6574330657</v>
      </c>
      <c r="O163" s="306">
        <f t="shared" si="41"/>
        <v>23636.5244664208</v>
      </c>
      <c r="P163" s="306">
        <f t="shared" si="42"/>
        <v>22392.8914615185</v>
      </c>
      <c r="T163" t="str">
        <f t="shared" si="34"/>
        <v>Trd_lcv_elc_500</v>
      </c>
      <c r="U163" t="str">
        <f ca="1" t="shared" si="43"/>
        <v>Battery electric LCV -- 500</v>
      </c>
      <c r="V163" s="309" t="s">
        <v>84</v>
      </c>
      <c r="W163" s="309" t="s">
        <v>85</v>
      </c>
    </row>
    <row r="164" spans="10:23">
      <c r="J164" t="str">
        <f t="shared" si="38"/>
        <v>Trd_lcv_elc</v>
      </c>
      <c r="K164" t="str">
        <f t="shared" si="36"/>
        <v>\I:</v>
      </c>
      <c r="L164" t="str">
        <f t="shared" si="37"/>
        <v>\I:</v>
      </c>
      <c r="M164" s="306" t="str">
        <f t="shared" si="39"/>
        <v/>
      </c>
      <c r="N164" s="306" t="str">
        <f t="shared" si="40"/>
        <v/>
      </c>
      <c r="O164" s="306" t="str">
        <f t="shared" si="41"/>
        <v/>
      </c>
      <c r="P164" s="306" t="str">
        <f t="shared" si="42"/>
        <v/>
      </c>
      <c r="T164" t="str">
        <f t="shared" si="34"/>
        <v>\I:</v>
      </c>
      <c r="U164" t="str">
        <f ca="1" t="shared" ref="U164:U170" si="46">OFFSET($S$1,MATCH(J164,$S$1:$S$10,0)-1,-1)&amp;" -- "&amp;TEXT(B164,"00%")</f>
        <v>Battery electric LCV -- 00%</v>
      </c>
      <c r="V164" s="309" t="s">
        <v>84</v>
      </c>
      <c r="W164" s="309" t="s">
        <v>85</v>
      </c>
    </row>
    <row r="165" spans="10:23">
      <c r="J165" t="str">
        <f t="shared" si="38"/>
        <v>Trd_lcv_elc</v>
      </c>
      <c r="K165" t="str">
        <f t="shared" si="36"/>
        <v>\I:</v>
      </c>
      <c r="L165" t="str">
        <f t="shared" si="37"/>
        <v>\I:</v>
      </c>
      <c r="M165" s="306" t="str">
        <f t="shared" si="39"/>
        <v/>
      </c>
      <c r="N165" s="306" t="str">
        <f t="shared" si="40"/>
        <v/>
      </c>
      <c r="O165" s="306" t="str">
        <f t="shared" si="41"/>
        <v/>
      </c>
      <c r="P165" s="306" t="str">
        <f t="shared" si="42"/>
        <v/>
      </c>
      <c r="T165" t="str">
        <f t="shared" si="34"/>
        <v>\I:</v>
      </c>
      <c r="U165" t="str">
        <f ca="1" t="shared" si="46"/>
        <v>Battery electric LCV -- 00%</v>
      </c>
      <c r="V165" s="309" t="s">
        <v>84</v>
      </c>
      <c r="W165" s="309" t="s">
        <v>85</v>
      </c>
    </row>
    <row r="166" spans="10:23">
      <c r="J166" t="str">
        <f t="shared" si="38"/>
        <v>Trd_lcv_elc</v>
      </c>
      <c r="K166" t="str">
        <f t="shared" si="36"/>
        <v>\I:</v>
      </c>
      <c r="L166" t="str">
        <f t="shared" si="37"/>
        <v>\I:</v>
      </c>
      <c r="M166" s="306" t="str">
        <f t="shared" si="39"/>
        <v/>
      </c>
      <c r="N166" s="306" t="str">
        <f t="shared" si="40"/>
        <v/>
      </c>
      <c r="O166" s="306" t="str">
        <f t="shared" si="41"/>
        <v/>
      </c>
      <c r="P166" s="306" t="str">
        <f t="shared" si="42"/>
        <v/>
      </c>
      <c r="T166" t="str">
        <f t="shared" si="34"/>
        <v>\I:</v>
      </c>
      <c r="U166" t="str">
        <f ca="1" t="shared" si="46"/>
        <v>Battery electric LCV -- 00%</v>
      </c>
      <c r="V166" s="309" t="s">
        <v>84</v>
      </c>
      <c r="W166" s="309" t="s">
        <v>85</v>
      </c>
    </row>
    <row r="167" ht="15" customHeight="1" spans="2:23">
      <c r="B167" s="48" t="s">
        <v>29</v>
      </c>
      <c r="C167" s="300" t="s">
        <v>105</v>
      </c>
      <c r="D167" s="48"/>
      <c r="E167" s="48"/>
      <c r="F167" s="48"/>
      <c r="J167" t="str">
        <f t="shared" si="38"/>
        <v>Trd_lcv_hh2</v>
      </c>
      <c r="K167" t="str">
        <f t="shared" si="36"/>
        <v>\I:</v>
      </c>
      <c r="L167" t="str">
        <f t="shared" si="37"/>
        <v>\I:</v>
      </c>
      <c r="M167" s="306" t="str">
        <f t="shared" si="39"/>
        <v/>
      </c>
      <c r="N167" s="306" t="str">
        <f t="shared" si="40"/>
        <v/>
      </c>
      <c r="O167" s="306" t="str">
        <f t="shared" si="41"/>
        <v/>
      </c>
      <c r="P167" s="306" t="str">
        <f t="shared" si="42"/>
        <v/>
      </c>
      <c r="T167" t="str">
        <f t="shared" si="34"/>
        <v>\I:</v>
      </c>
      <c r="U167" t="str">
        <f ca="1" t="shared" si="46"/>
        <v>Hydrogen fuel cell LCV -- Energy consumption (kg H2/100km)</v>
      </c>
      <c r="V167" s="309" t="s">
        <v>84</v>
      </c>
      <c r="W167" s="309" t="s">
        <v>85</v>
      </c>
    </row>
    <row r="168" spans="2:23">
      <c r="B168" s="48"/>
      <c r="C168" s="300"/>
      <c r="D168" s="48"/>
      <c r="E168" s="48"/>
      <c r="F168" s="48"/>
      <c r="J168" t="str">
        <f t="shared" si="38"/>
        <v>Trd_lcv_hh2</v>
      </c>
      <c r="K168" t="str">
        <f t="shared" si="36"/>
        <v>\I:</v>
      </c>
      <c r="L168" t="str">
        <f t="shared" si="37"/>
        <v>\I:</v>
      </c>
      <c r="M168" s="306" t="str">
        <f t="shared" si="39"/>
        <v/>
      </c>
      <c r="N168" s="306" t="str">
        <f t="shared" si="40"/>
        <v/>
      </c>
      <c r="O168" s="306" t="str">
        <f t="shared" si="41"/>
        <v/>
      </c>
      <c r="P168" s="306" t="str">
        <f t="shared" si="42"/>
        <v/>
      </c>
      <c r="T168" t="str">
        <f t="shared" si="34"/>
        <v>\I:</v>
      </c>
      <c r="U168" t="str">
        <f ca="1" t="shared" si="46"/>
        <v>Hydrogen fuel cell LCV -- 00%</v>
      </c>
      <c r="V168" s="309" t="s">
        <v>84</v>
      </c>
      <c r="W168" s="309" t="s">
        <v>85</v>
      </c>
    </row>
    <row r="169" spans="2:23">
      <c r="B169" s="48"/>
      <c r="C169" s="300"/>
      <c r="D169" s="48"/>
      <c r="E169" s="48"/>
      <c r="F169" s="48"/>
      <c r="J169" t="str">
        <f t="shared" si="38"/>
        <v>Trd_lcv_hh2</v>
      </c>
      <c r="K169" t="str">
        <f t="shared" si="36"/>
        <v>\I:</v>
      </c>
      <c r="L169" t="str">
        <f t="shared" si="37"/>
        <v>\I:</v>
      </c>
      <c r="M169" s="306" t="str">
        <f t="shared" si="39"/>
        <v/>
      </c>
      <c r="N169" s="306" t="str">
        <f t="shared" si="40"/>
        <v/>
      </c>
      <c r="O169" s="306" t="str">
        <f t="shared" si="41"/>
        <v/>
      </c>
      <c r="P169" s="306" t="str">
        <f t="shared" si="42"/>
        <v/>
      </c>
      <c r="T169" t="str">
        <f t="shared" si="34"/>
        <v>\I:</v>
      </c>
      <c r="U169" t="str">
        <f ca="1" t="shared" si="46"/>
        <v>Hydrogen fuel cell LCV -- 00%</v>
      </c>
      <c r="V169" s="309" t="s">
        <v>84</v>
      </c>
      <c r="W169" s="309" t="s">
        <v>85</v>
      </c>
    </row>
    <row r="170" spans="2:23">
      <c r="B170" s="88"/>
      <c r="C170" s="341">
        <v>2020</v>
      </c>
      <c r="D170" s="50">
        <v>2030</v>
      </c>
      <c r="E170" s="50">
        <v>2040</v>
      </c>
      <c r="F170" s="50">
        <v>2050</v>
      </c>
      <c r="J170" t="str">
        <f t="shared" si="38"/>
        <v>Trd_lcv_hh2</v>
      </c>
      <c r="K170" t="str">
        <f t="shared" si="36"/>
        <v>\I:</v>
      </c>
      <c r="L170" t="str">
        <f t="shared" si="37"/>
        <v>\I:</v>
      </c>
      <c r="M170" s="306" t="str">
        <f t="shared" si="39"/>
        <v/>
      </c>
      <c r="N170" s="306" t="str">
        <f t="shared" si="40"/>
        <v/>
      </c>
      <c r="O170" s="306" t="str">
        <f t="shared" si="41"/>
        <v/>
      </c>
      <c r="P170" s="306" t="str">
        <f t="shared" si="42"/>
        <v/>
      </c>
      <c r="T170" t="str">
        <f t="shared" si="34"/>
        <v>\I:</v>
      </c>
      <c r="U170" t="str">
        <f ca="1" t="shared" si="46"/>
        <v>Hydrogen fuel cell LCV -- 00%</v>
      </c>
      <c r="V170" s="309" t="s">
        <v>84</v>
      </c>
      <c r="W170" s="309" t="s">
        <v>85</v>
      </c>
    </row>
    <row r="171" spans="1:23">
      <c r="A171" s="77"/>
      <c r="B171" s="346">
        <v>1.20554299239837</v>
      </c>
      <c r="C171" s="342">
        <v>45848.1660768927</v>
      </c>
      <c r="D171" s="86">
        <v>33512.2985132785</v>
      </c>
      <c r="E171" s="86">
        <v>27771.8876812487</v>
      </c>
      <c r="F171" s="86">
        <v>26358.6946408287</v>
      </c>
      <c r="G171" s="77">
        <f>B171*0.12/100*10^9/10^6</f>
        <v>1.44665159087804</v>
      </c>
      <c r="H171" s="77"/>
      <c r="I171" s="299">
        <f>1/G171/$I$11</f>
        <v>1.85464688318633</v>
      </c>
      <c r="J171" t="str">
        <f t="shared" si="38"/>
        <v>Trd_lcv_hh2</v>
      </c>
      <c r="K171" t="str">
        <f>IFERROR(IF(VALUE(C171)&gt;2020,J171&amp;"_"&amp;TEXT(1/B171*100,"00"),"\I:"),"\I:")</f>
        <v>Trd_lcv_hh2_83</v>
      </c>
      <c r="L171" t="str">
        <f t="shared" si="37"/>
        <v>Trd_lcv</v>
      </c>
      <c r="M171" s="306">
        <f t="shared" si="39"/>
        <v>45848.1660768927</v>
      </c>
      <c r="N171" s="306">
        <f t="shared" si="40"/>
        <v>33512.2985132785</v>
      </c>
      <c r="O171" s="306">
        <f t="shared" si="41"/>
        <v>27771.8876812487</v>
      </c>
      <c r="P171" s="306">
        <f t="shared" si="42"/>
        <v>26358.6946408287</v>
      </c>
      <c r="T171" t="str">
        <f t="shared" si="34"/>
        <v>Trd_lcv_hh2_83</v>
      </c>
      <c r="U171" t="str">
        <f ca="1">OFFSET($S$1,MATCH(J171,$S$1:$S$10,0)-1,-1)&amp;" -- "&amp;TEXT(B171,"0.0")</f>
        <v>Hydrogen fuel cell LCV -- 1.2</v>
      </c>
      <c r="V171" s="309" t="s">
        <v>84</v>
      </c>
      <c r="W171" s="309" t="s">
        <v>85</v>
      </c>
    </row>
    <row r="172" spans="1:23">
      <c r="A172" s="77"/>
      <c r="B172" s="346">
        <v>1.15387686415272</v>
      </c>
      <c r="C172" s="342">
        <v>46326.8277788115</v>
      </c>
      <c r="D172" s="86">
        <v>33899.2903831972</v>
      </c>
      <c r="E172" s="86">
        <v>28102.7819901918</v>
      </c>
      <c r="F172" s="86">
        <v>26680.6458603409</v>
      </c>
      <c r="G172" s="77">
        <f t="shared" ref="G172:G178" si="47">B172*0.12/100*10^9/10^6</f>
        <v>1.38465223698326</v>
      </c>
      <c r="H172" s="77"/>
      <c r="I172" s="299">
        <f t="shared" ref="I172:I178" si="48">1/G172/$I$11</f>
        <v>1.93769077347827</v>
      </c>
      <c r="J172" t="str">
        <f t="shared" si="38"/>
        <v>Trd_lcv_hh2</v>
      </c>
      <c r="K172" t="str">
        <f t="shared" ref="K172:K178" si="49">IFERROR(IF(VALUE(C172)&gt;2020,J172&amp;"_"&amp;TEXT(1/B172*100,"00"),"\I:"),"\I:")</f>
        <v>Trd_lcv_hh2_87</v>
      </c>
      <c r="L172" t="str">
        <f t="shared" si="37"/>
        <v>Trd_lcv</v>
      </c>
      <c r="M172" s="306">
        <f t="shared" si="39"/>
        <v>46326.8277788115</v>
      </c>
      <c r="N172" s="306">
        <f t="shared" si="40"/>
        <v>33899.2903831972</v>
      </c>
      <c r="O172" s="306">
        <f t="shared" si="41"/>
        <v>28102.7819901918</v>
      </c>
      <c r="P172" s="306">
        <f t="shared" si="42"/>
        <v>26680.6458603409</v>
      </c>
      <c r="T172" t="str">
        <f t="shared" si="34"/>
        <v>Trd_lcv_hh2_87</v>
      </c>
      <c r="U172" t="str">
        <f ca="1" t="shared" ref="U172:U178" si="50">OFFSET($S$1,MATCH(J172,$S$1:$S$10,0)-1,-1)&amp;" -- "&amp;TEXT(B172,"0.0")</f>
        <v>Hydrogen fuel cell LCV -- 1.2</v>
      </c>
      <c r="V172" s="309" t="s">
        <v>84</v>
      </c>
      <c r="W172" s="309" t="s">
        <v>85</v>
      </c>
    </row>
    <row r="173" spans="1:23">
      <c r="A173" s="77"/>
      <c r="B173" s="346">
        <v>1.10221073590708</v>
      </c>
      <c r="C173" s="342">
        <v>47015.1741892966</v>
      </c>
      <c r="D173" s="86">
        <v>34286.2822531159</v>
      </c>
      <c r="E173" s="86">
        <v>28433.6762991349</v>
      </c>
      <c r="F173" s="86">
        <v>27002.5970798531</v>
      </c>
      <c r="G173" s="77">
        <f t="shared" si="47"/>
        <v>1.3226528830885</v>
      </c>
      <c r="H173" s="77"/>
      <c r="I173" s="299">
        <f t="shared" si="48"/>
        <v>2.02852002848505</v>
      </c>
      <c r="J173" t="str">
        <f t="shared" si="38"/>
        <v>Trd_lcv_hh2</v>
      </c>
      <c r="K173" t="str">
        <f t="shared" si="49"/>
        <v>Trd_lcv_hh2_91</v>
      </c>
      <c r="L173" t="str">
        <f t="shared" si="37"/>
        <v>Trd_lcv</v>
      </c>
      <c r="M173" s="306">
        <f t="shared" si="39"/>
        <v>47015.1741892966</v>
      </c>
      <c r="N173" s="306">
        <f t="shared" si="40"/>
        <v>34286.2822531159</v>
      </c>
      <c r="O173" s="306">
        <f t="shared" si="41"/>
        <v>28433.6762991349</v>
      </c>
      <c r="P173" s="306">
        <f t="shared" si="42"/>
        <v>27002.5970798531</v>
      </c>
      <c r="T173" t="str">
        <f t="shared" si="34"/>
        <v>Trd_lcv_hh2_91</v>
      </c>
      <c r="U173" t="str">
        <f ca="1" t="shared" si="50"/>
        <v>Hydrogen fuel cell LCV -- 1.1</v>
      </c>
      <c r="V173" s="309" t="s">
        <v>84</v>
      </c>
      <c r="W173" s="309" t="s">
        <v>85</v>
      </c>
    </row>
    <row r="174" spans="1:23">
      <c r="A174" s="77"/>
      <c r="B174" s="346">
        <v>1.05054460766144</v>
      </c>
      <c r="C174" s="342">
        <v>49703.0325829883</v>
      </c>
      <c r="D174" s="86">
        <v>34673.2741230346</v>
      </c>
      <c r="E174" s="86">
        <v>28764.570608078</v>
      </c>
      <c r="F174" s="86">
        <v>27324.5482993653</v>
      </c>
      <c r="G174" s="77">
        <f t="shared" si="47"/>
        <v>1.26065352919373</v>
      </c>
      <c r="H174" s="77"/>
      <c r="I174" s="299">
        <f t="shared" si="48"/>
        <v>2.12828330857447</v>
      </c>
      <c r="J174" t="str">
        <f t="shared" si="38"/>
        <v>Trd_lcv_hh2</v>
      </c>
      <c r="K174" t="str">
        <f t="shared" si="49"/>
        <v>Trd_lcv_hh2_95</v>
      </c>
      <c r="L174" t="str">
        <f t="shared" si="37"/>
        <v>Trd_lcv</v>
      </c>
      <c r="M174" s="306">
        <f t="shared" si="39"/>
        <v>49703.0325829883</v>
      </c>
      <c r="N174" s="306">
        <f t="shared" si="40"/>
        <v>34673.2741230346</v>
      </c>
      <c r="O174" s="306">
        <f t="shared" si="41"/>
        <v>28764.570608078</v>
      </c>
      <c r="P174" s="306">
        <f t="shared" si="42"/>
        <v>27324.5482993653</v>
      </c>
      <c r="T174" t="str">
        <f t="shared" si="34"/>
        <v>Trd_lcv_hh2_95</v>
      </c>
      <c r="U174" t="str">
        <f ca="1" t="shared" si="50"/>
        <v>Hydrogen fuel cell LCV -- 1.1</v>
      </c>
      <c r="V174" s="309" t="s">
        <v>84</v>
      </c>
      <c r="W174" s="309" t="s">
        <v>85</v>
      </c>
    </row>
    <row r="175" spans="1:23">
      <c r="A175" s="77"/>
      <c r="B175" s="346">
        <v>0.998878479415791</v>
      </c>
      <c r="C175" s="342">
        <v>50460.9409463544</v>
      </c>
      <c r="D175" s="86">
        <v>36490.73991933</v>
      </c>
      <c r="E175" s="86">
        <v>29095.4649170211</v>
      </c>
      <c r="F175" s="86">
        <v>27646.4995188775</v>
      </c>
      <c r="G175" s="77">
        <f t="shared" si="47"/>
        <v>1.19865417529895</v>
      </c>
      <c r="H175" s="77"/>
      <c r="I175" s="299">
        <f t="shared" si="48"/>
        <v>2.23836692798351</v>
      </c>
      <c r="J175" t="str">
        <f t="shared" si="38"/>
        <v>Trd_lcv_hh2</v>
      </c>
      <c r="K175" t="str">
        <f t="shared" si="49"/>
        <v>Trd_lcv_hh2_100</v>
      </c>
      <c r="L175" t="str">
        <f t="shared" si="37"/>
        <v>Trd_lcv</v>
      </c>
      <c r="M175" s="306">
        <f t="shared" si="39"/>
        <v>50460.9409463544</v>
      </c>
      <c r="N175" s="306">
        <f t="shared" si="40"/>
        <v>36490.73991933</v>
      </c>
      <c r="O175" s="306">
        <f t="shared" si="41"/>
        <v>29095.4649170211</v>
      </c>
      <c r="P175" s="306">
        <f t="shared" si="42"/>
        <v>27646.4995188775</v>
      </c>
      <c r="T175" t="str">
        <f t="shared" si="34"/>
        <v>Trd_lcv_hh2_100</v>
      </c>
      <c r="U175" t="str">
        <f ca="1" t="shared" si="50"/>
        <v>Hydrogen fuel cell LCV -- 1.0</v>
      </c>
      <c r="V175" s="309" t="s">
        <v>84</v>
      </c>
      <c r="W175" s="309" t="s">
        <v>85</v>
      </c>
    </row>
    <row r="176" spans="1:23">
      <c r="A176" s="77"/>
      <c r="B176" s="346">
        <v>0.947212351170146</v>
      </c>
      <c r="C176" s="342">
        <v>50979.1442628498</v>
      </c>
      <c r="D176" s="86">
        <v>36898.6956750849</v>
      </c>
      <c r="E176" s="86">
        <v>29426.3592259642</v>
      </c>
      <c r="F176" s="86">
        <v>27968.4507383897</v>
      </c>
      <c r="G176" s="77">
        <f t="shared" si="47"/>
        <v>1.13665482140418</v>
      </c>
      <c r="H176" s="77"/>
      <c r="I176" s="299">
        <f t="shared" si="48"/>
        <v>2.36045966950988</v>
      </c>
      <c r="J176" t="str">
        <f t="shared" si="38"/>
        <v>Trd_lcv_hh2</v>
      </c>
      <c r="K176" t="str">
        <f t="shared" si="49"/>
        <v>Trd_lcv_hh2_106</v>
      </c>
      <c r="L176" t="str">
        <f t="shared" si="37"/>
        <v>Trd_lcv</v>
      </c>
      <c r="M176" s="306">
        <f t="shared" si="39"/>
        <v>50979.1442628498</v>
      </c>
      <c r="N176" s="306">
        <f t="shared" si="40"/>
        <v>36898.6956750849</v>
      </c>
      <c r="O176" s="306">
        <f t="shared" si="41"/>
        <v>29426.3592259642</v>
      </c>
      <c r="P176" s="306">
        <f t="shared" si="42"/>
        <v>27968.4507383897</v>
      </c>
      <c r="T176" t="str">
        <f t="shared" si="34"/>
        <v>Trd_lcv_hh2_106</v>
      </c>
      <c r="U176" t="str">
        <f ca="1" t="shared" si="50"/>
        <v>Hydrogen fuel cell LCV -- 0.9</v>
      </c>
      <c r="V176" s="309" t="s">
        <v>84</v>
      </c>
      <c r="W176" s="309" t="s">
        <v>85</v>
      </c>
    </row>
    <row r="177" ht="15.75" customHeight="1" spans="1:23">
      <c r="A177" s="77"/>
      <c r="B177" s="346">
        <v>0.895546222924502</v>
      </c>
      <c r="C177" s="342">
        <v>51497.3475793452</v>
      </c>
      <c r="D177" s="86">
        <v>37306.6514308397</v>
      </c>
      <c r="E177" s="86">
        <v>29757.2535349073</v>
      </c>
      <c r="F177" s="86">
        <v>28290.4019579018</v>
      </c>
      <c r="G177" s="77">
        <f t="shared" si="47"/>
        <v>1.0746554675094</v>
      </c>
      <c r="H177" s="77"/>
      <c r="I177" s="299">
        <f t="shared" si="48"/>
        <v>2.49664003505853</v>
      </c>
      <c r="J177" t="str">
        <f t="shared" si="38"/>
        <v>Trd_lcv_hh2</v>
      </c>
      <c r="K177" t="str">
        <f t="shared" si="49"/>
        <v>Trd_lcv_hh2_112</v>
      </c>
      <c r="L177" t="str">
        <f t="shared" si="37"/>
        <v>Trd_lcv</v>
      </c>
      <c r="M177" s="306">
        <f t="shared" si="39"/>
        <v>51497.3475793452</v>
      </c>
      <c r="N177" s="306">
        <f t="shared" si="40"/>
        <v>37306.6514308397</v>
      </c>
      <c r="O177" s="306">
        <f t="shared" si="41"/>
        <v>29757.2535349073</v>
      </c>
      <c r="P177" s="306">
        <f t="shared" si="42"/>
        <v>28290.4019579018</v>
      </c>
      <c r="T177" t="str">
        <f t="shared" si="34"/>
        <v>Trd_lcv_hh2_112</v>
      </c>
      <c r="U177" t="str">
        <f ca="1" t="shared" si="50"/>
        <v>Hydrogen fuel cell LCV -- 0.9</v>
      </c>
      <c r="V177" s="309" t="s">
        <v>84</v>
      </c>
      <c r="W177" s="309" t="s">
        <v>85</v>
      </c>
    </row>
    <row r="178" ht="15.75" customHeight="1" spans="1:23">
      <c r="A178" s="77"/>
      <c r="B178" s="346">
        <v>0.843880094678858</v>
      </c>
      <c r="C178" s="342">
        <v>52015.5508958406</v>
      </c>
      <c r="D178" s="86">
        <v>37714.6071865946</v>
      </c>
      <c r="E178" s="86">
        <v>30088.1478438504</v>
      </c>
      <c r="F178" s="86">
        <v>28612.3531774141</v>
      </c>
      <c r="G178" s="77">
        <f t="shared" si="47"/>
        <v>1.01265611361463</v>
      </c>
      <c r="H178" s="77"/>
      <c r="I178" s="299">
        <f t="shared" si="48"/>
        <v>2.64949554740905</v>
      </c>
      <c r="J178" t="str">
        <f t="shared" si="38"/>
        <v>Trd_lcv_hh2</v>
      </c>
      <c r="K178" t="str">
        <f t="shared" si="49"/>
        <v>Trd_lcv_hh2_119</v>
      </c>
      <c r="L178" t="str">
        <f t="shared" si="37"/>
        <v>Trd_lcv</v>
      </c>
      <c r="M178" s="306">
        <f t="shared" si="39"/>
        <v>52015.5508958406</v>
      </c>
      <c r="N178" s="306">
        <f t="shared" si="40"/>
        <v>37714.6071865946</v>
      </c>
      <c r="O178" s="306">
        <f t="shared" si="41"/>
        <v>30088.1478438504</v>
      </c>
      <c r="P178" s="306">
        <f t="shared" si="42"/>
        <v>28612.3531774141</v>
      </c>
      <c r="T178" t="str">
        <f t="shared" si="34"/>
        <v>Trd_lcv_hh2_119</v>
      </c>
      <c r="U178" t="str">
        <f ca="1" t="shared" si="50"/>
        <v>Hydrogen fuel cell LCV -- 0.8</v>
      </c>
      <c r="V178" s="309" t="s">
        <v>84</v>
      </c>
      <c r="W178" s="309" t="s">
        <v>85</v>
      </c>
    </row>
    <row r="179" ht="24.75" customHeight="1"/>
  </sheetData>
  <mergeCells count="1">
    <mergeCell ref="B2:F2"/>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344"/>
  <sheetViews>
    <sheetView showGridLines="0" zoomScale="57" zoomScaleNormal="57" topLeftCell="A114" workbookViewId="0">
      <selection activeCell="H11" sqref="H11"/>
    </sheetView>
  </sheetViews>
  <sheetFormatPr defaultColWidth="9" defaultRowHeight="14.5"/>
  <cols>
    <col min="1" max="1" width="7.63636363636364" customWidth="1"/>
    <col min="2" max="2" width="38.2727272727273" style="97" customWidth="1"/>
    <col min="3" max="6" width="7.09090909090909" customWidth="1"/>
    <col min="10" max="10" width="15.6363636363636" customWidth="1"/>
    <col min="11" max="11" width="18.7272727272727" customWidth="1"/>
    <col min="12" max="12" width="11.0909090909091" customWidth="1"/>
    <col min="13" max="16" width="7" customWidth="1"/>
    <col min="18" max="18" width="51.7272727272727" customWidth="1"/>
  </cols>
  <sheetData>
    <row r="1" ht="15.5" spans="2:19">
      <c r="B1" s="290" t="s">
        <v>10</v>
      </c>
      <c r="C1" s="291"/>
      <c r="D1" s="320"/>
      <c r="E1" s="320"/>
      <c r="F1" s="321"/>
      <c r="Q1" t="s">
        <v>51</v>
      </c>
      <c r="R1" t="s">
        <v>110</v>
      </c>
      <c r="S1" t="str">
        <f>"Trd_hdt_"&amp;Q1</f>
        <v>Trd_hdt_dsl</v>
      </c>
    </row>
    <row r="2" ht="15.75" customHeight="1" spans="2:19">
      <c r="B2" s="293" t="s">
        <v>9</v>
      </c>
      <c r="C2" s="294"/>
      <c r="D2" s="294"/>
      <c r="E2" s="294"/>
      <c r="F2" s="294"/>
      <c r="I2" s="302">
        <v>0.0520099378899987</v>
      </c>
      <c r="J2" s="301" t="s">
        <v>44</v>
      </c>
      <c r="Q2" t="s">
        <v>54</v>
      </c>
      <c r="R2" t="s">
        <v>111</v>
      </c>
      <c r="S2" t="str">
        <f t="shared" ref="S2:S6" si="0">"Trd_hdt_"&amp;Q2</f>
        <v>Trd_hdt_dsl-hyb</v>
      </c>
    </row>
    <row r="3" ht="18.5" spans="2:19">
      <c r="B3" s="322" t="s">
        <v>112</v>
      </c>
      <c r="C3" s="296"/>
      <c r="D3" s="296"/>
      <c r="E3" s="296"/>
      <c r="F3" s="297"/>
      <c r="I3" s="316">
        <f>31536000/10^9</f>
        <v>0.031536</v>
      </c>
      <c r="J3" s="301" t="s">
        <v>47</v>
      </c>
      <c r="M3" s="89"/>
      <c r="Q3" t="s">
        <v>113</v>
      </c>
      <c r="R3" t="s">
        <v>114</v>
      </c>
      <c r="S3" t="str">
        <f t="shared" si="0"/>
        <v>Trd_hdt_lng</v>
      </c>
    </row>
    <row r="4" spans="9:19">
      <c r="I4" s="301">
        <v>0.038</v>
      </c>
      <c r="J4" s="301" t="s">
        <v>50</v>
      </c>
      <c r="M4" s="89"/>
      <c r="Q4" t="s">
        <v>61</v>
      </c>
      <c r="R4" t="s">
        <v>115</v>
      </c>
      <c r="S4" t="str">
        <f>"\I:Trd_hdt_"&amp;Q4</f>
        <v>\I:Trd_hdt_lpg</v>
      </c>
    </row>
    <row r="5" spans="2:19">
      <c r="B5" s="43" t="s">
        <v>116</v>
      </c>
      <c r="I5" s="302">
        <f>1.406/26.137</f>
        <v>0.053793472854574</v>
      </c>
      <c r="J5" s="301" t="s">
        <v>53</v>
      </c>
      <c r="Q5" t="s">
        <v>66</v>
      </c>
      <c r="R5" t="s">
        <v>117</v>
      </c>
      <c r="S5" t="str">
        <f t="shared" si="0"/>
        <v>Trd_hdt_elc</v>
      </c>
    </row>
    <row r="6" ht="15" customHeight="1" spans="2:19">
      <c r="B6" s="298">
        <v>2015</v>
      </c>
      <c r="C6" s="298"/>
      <c r="D6" s="298"/>
      <c r="I6" s="302">
        <v>0.02559</v>
      </c>
      <c r="J6" s="301" t="s">
        <v>56</v>
      </c>
      <c r="Q6" t="s">
        <v>68</v>
      </c>
      <c r="R6" t="s">
        <v>118</v>
      </c>
      <c r="S6" t="str">
        <f t="shared" si="0"/>
        <v>Trd_hdt_hh2</v>
      </c>
    </row>
    <row r="7" spans="2:9">
      <c r="B7" s="45" t="s">
        <v>12</v>
      </c>
      <c r="C7" s="46" t="s">
        <v>13</v>
      </c>
      <c r="D7" s="47">
        <v>18.8825162842906</v>
      </c>
      <c r="G7" s="299">
        <f>D7*$I$4/100*10^9/10^6</f>
        <v>7.17535618803043</v>
      </c>
      <c r="H7" s="299"/>
      <c r="I7" s="299">
        <f>1/G7</f>
        <v>0.139365903767697</v>
      </c>
    </row>
    <row r="8" spans="2:9">
      <c r="B8" s="45" t="s">
        <v>14</v>
      </c>
      <c r="C8" s="46" t="s">
        <v>15</v>
      </c>
      <c r="D8" s="68">
        <v>79045.0684591355</v>
      </c>
      <c r="I8" s="43" t="s">
        <v>70</v>
      </c>
    </row>
    <row r="9" spans="2:9">
      <c r="B9" s="323"/>
      <c r="C9" s="324"/>
      <c r="D9" s="325"/>
      <c r="I9" s="43"/>
    </row>
    <row r="10" ht="15.25" spans="11:23">
      <c r="K10" s="304" t="s">
        <v>71</v>
      </c>
      <c r="S10" s="304" t="s">
        <v>72</v>
      </c>
      <c r="T10" s="308"/>
      <c r="U10" s="308"/>
      <c r="V10" s="308"/>
      <c r="W10" s="308"/>
    </row>
    <row r="11" spans="9:23">
      <c r="I11" t="s">
        <v>73</v>
      </c>
      <c r="J11" t="s">
        <v>74</v>
      </c>
      <c r="K11" t="s">
        <v>75</v>
      </c>
      <c r="L11" t="s">
        <v>76</v>
      </c>
      <c r="M11">
        <f>C15</f>
        <v>2020</v>
      </c>
      <c r="N11">
        <f>D15</f>
        <v>2030</v>
      </c>
      <c r="O11">
        <f>E15</f>
        <v>2040</v>
      </c>
      <c r="P11">
        <f>F15</f>
        <v>2050</v>
      </c>
      <c r="Q11" t="s">
        <v>77</v>
      </c>
      <c r="S11" s="308" t="s">
        <v>78</v>
      </c>
      <c r="T11" s="308" t="s">
        <v>79</v>
      </c>
      <c r="U11" s="308" t="s">
        <v>80</v>
      </c>
      <c r="V11" s="308" t="s">
        <v>81</v>
      </c>
      <c r="W11" s="308" t="s">
        <v>82</v>
      </c>
    </row>
    <row r="12" ht="15" customHeight="1" spans="2:23">
      <c r="B12" s="315" t="s">
        <v>119</v>
      </c>
      <c r="C12" s="300" t="s">
        <v>110</v>
      </c>
      <c r="D12" s="315"/>
      <c r="E12" s="315"/>
      <c r="F12" s="315"/>
      <c r="J12" t="str">
        <f>IFERROR(VLOOKUP(C12,$R$1:$S$7,2,FALSE),J10)</f>
        <v>Trd_hdt_dsl</v>
      </c>
      <c r="K12" t="str">
        <f>IFERROR(IF(VALUE(C12)&gt;2020,J12&amp;"_"&amp;TEXT(B12*100,"00"),"\I:"),"\I:")</f>
        <v>\I:</v>
      </c>
      <c r="L12" t="str">
        <f>LEFT(K12,7)</f>
        <v>\I:</v>
      </c>
      <c r="M12" t="str">
        <f>IF($K12="\I:","",C12)</f>
        <v/>
      </c>
      <c r="N12" t="str">
        <f>IF($K12="\I:","",D12)</f>
        <v/>
      </c>
      <c r="O12" t="str">
        <f>IF($K12="\I:","",E12)</f>
        <v/>
      </c>
      <c r="P12" t="str">
        <f>IF($K12="\I:","",F12)</f>
        <v/>
      </c>
      <c r="S12" t="s">
        <v>83</v>
      </c>
      <c r="T12" t="str">
        <f>K12</f>
        <v>\I:</v>
      </c>
      <c r="U12" t="str">
        <f ca="1">OFFSET($S$1,MATCH(J12,$S$1:$S$11,0)-1,-1)&amp;" -- "&amp;TEXT(B12,"00%")</f>
        <v>7.5-16t diesel truck -- Reduction of specific energy consumption relative to 2015 diesel vehicle(%)</v>
      </c>
      <c r="V12" s="309" t="s">
        <v>84</v>
      </c>
      <c r="W12" s="309" t="s">
        <v>85</v>
      </c>
    </row>
    <row r="13" spans="2:23">
      <c r="B13" s="315"/>
      <c r="C13" s="300"/>
      <c r="D13" s="315"/>
      <c r="E13" s="315"/>
      <c r="F13" s="315"/>
      <c r="J13" t="str">
        <f t="shared" ref="J13:J16" si="1">IFERROR(VLOOKUP(C13,$R$1:$S$7,2,FALSE),J12)</f>
        <v>Trd_hdt_dsl</v>
      </c>
      <c r="K13" t="str">
        <f t="shared" ref="K13:K16" si="2">IFERROR(IF(VALUE(C13)&gt;2020,J13&amp;"_"&amp;TEXT(B13*100,"00"),"\I:"),"\I:")</f>
        <v>\I:</v>
      </c>
      <c r="L13" t="str">
        <f t="shared" ref="L13:L76" si="3">LEFT(K13,7)</f>
        <v>\I:</v>
      </c>
      <c r="M13" t="str">
        <f t="shared" ref="M13:M16" si="4">IF($K13="\I:","",C13)</f>
        <v/>
      </c>
      <c r="N13" t="str">
        <f t="shared" ref="N13:P16" si="5">IF($K13="\I:","",D13)</f>
        <v/>
      </c>
      <c r="O13" t="str">
        <f t="shared" si="5"/>
        <v/>
      </c>
      <c r="P13" t="str">
        <f t="shared" si="5"/>
        <v/>
      </c>
      <c r="S13" t="s">
        <v>83</v>
      </c>
      <c r="T13" t="str">
        <f>K13</f>
        <v>\I:</v>
      </c>
      <c r="U13" t="str">
        <f ca="1">OFFSET($S$1,MATCH(J13,$S$1:$S$11,0)-1,-1)&amp;" -- "&amp;TEXT(B13,"00%")</f>
        <v>7.5-16t diesel truck -- 00%</v>
      </c>
      <c r="V13" s="309" t="s">
        <v>84</v>
      </c>
      <c r="W13" s="309" t="s">
        <v>85</v>
      </c>
    </row>
    <row r="14" spans="2:23">
      <c r="B14" s="315"/>
      <c r="C14" s="300"/>
      <c r="D14" s="315"/>
      <c r="E14" s="315"/>
      <c r="F14" s="315"/>
      <c r="J14" t="str">
        <f t="shared" si="1"/>
        <v>Trd_hdt_dsl</v>
      </c>
      <c r="K14" t="str">
        <f t="shared" si="2"/>
        <v>\I:</v>
      </c>
      <c r="L14" t="str">
        <f t="shared" si="3"/>
        <v>\I:</v>
      </c>
      <c r="M14" t="str">
        <f t="shared" si="4"/>
        <v/>
      </c>
      <c r="N14" t="str">
        <f t="shared" si="5"/>
        <v/>
      </c>
      <c r="O14" t="str">
        <f t="shared" si="5"/>
        <v/>
      </c>
      <c r="P14" t="str">
        <f t="shared" si="5"/>
        <v/>
      </c>
      <c r="S14" t="s">
        <v>83</v>
      </c>
      <c r="T14" t="str">
        <f>K14</f>
        <v>\I:</v>
      </c>
      <c r="U14" t="str">
        <f ca="1">OFFSET($S$1,MATCH(J14,$S$1:$S$11,0)-1,-1)&amp;" -- "&amp;TEXT(B14,"00%")</f>
        <v>7.5-16t diesel truck -- 00%</v>
      </c>
      <c r="V14" s="309" t="s">
        <v>84</v>
      </c>
      <c r="W14" s="309" t="s">
        <v>85</v>
      </c>
    </row>
    <row r="15" spans="2:23">
      <c r="B15" s="88"/>
      <c r="C15" s="50">
        <v>2020</v>
      </c>
      <c r="D15" s="50">
        <v>2030</v>
      </c>
      <c r="E15" s="50">
        <v>2040</v>
      </c>
      <c r="F15" s="50">
        <v>2050</v>
      </c>
      <c r="J15" t="str">
        <f t="shared" si="1"/>
        <v>Trd_hdt_dsl</v>
      </c>
      <c r="K15" t="str">
        <f t="shared" si="2"/>
        <v>\I:</v>
      </c>
      <c r="L15" t="str">
        <f t="shared" si="3"/>
        <v>\I:</v>
      </c>
      <c r="M15" t="str">
        <f t="shared" si="4"/>
        <v/>
      </c>
      <c r="N15" t="str">
        <f t="shared" si="5"/>
        <v/>
      </c>
      <c r="O15" t="str">
        <f t="shared" si="5"/>
        <v/>
      </c>
      <c r="P15" t="str">
        <f t="shared" si="5"/>
        <v/>
      </c>
      <c r="S15" t="s">
        <v>83</v>
      </c>
      <c r="T15" t="str">
        <f t="shared" ref="T15:T78" si="6">K15</f>
        <v>\I:</v>
      </c>
      <c r="U15" t="str">
        <f ca="1" t="shared" ref="U15:U78" si="7">OFFSET($S$1,MATCH(J15,$S$1:$S$11,0)-1,-1)&amp;" -- "&amp;TEXT(B15,"00%")</f>
        <v>7.5-16t diesel truck -- 00%</v>
      </c>
      <c r="V15" s="309" t="s">
        <v>84</v>
      </c>
      <c r="W15" s="309" t="s">
        <v>85</v>
      </c>
    </row>
    <row r="16" spans="2:23">
      <c r="B16" s="85">
        <v>0.0441258142145298</v>
      </c>
      <c r="C16" s="86">
        <v>79927.7536460642</v>
      </c>
      <c r="D16" s="86">
        <v>79927.7536460642</v>
      </c>
      <c r="E16" s="86">
        <v>79927.7536460642</v>
      </c>
      <c r="F16" s="86">
        <v>79927.7536460642</v>
      </c>
      <c r="I16" s="305">
        <f>(1+B16)</f>
        <v>1.04412581421453</v>
      </c>
      <c r="J16" t="str">
        <f t="shared" si="1"/>
        <v>Trd_hdt_dsl</v>
      </c>
      <c r="K16" t="str">
        <f t="shared" si="2"/>
        <v>Trd_hdt_dsl_04</v>
      </c>
      <c r="L16" t="str">
        <f t="shared" si="3"/>
        <v>Trd_hdt</v>
      </c>
      <c r="M16" s="306">
        <f t="shared" si="4"/>
        <v>79927.7536460642</v>
      </c>
      <c r="N16" s="306">
        <f t="shared" si="5"/>
        <v>79927.7536460642</v>
      </c>
      <c r="O16" s="306">
        <f t="shared" si="5"/>
        <v>79927.7536460642</v>
      </c>
      <c r="P16" s="306">
        <f t="shared" si="5"/>
        <v>79927.7536460642</v>
      </c>
      <c r="S16" t="s">
        <v>83</v>
      </c>
      <c r="T16" t="str">
        <f t="shared" si="6"/>
        <v>Trd_hdt_dsl_04</v>
      </c>
      <c r="U16" t="str">
        <f ca="1" t="shared" si="7"/>
        <v>7.5-16t diesel truck -- 04%</v>
      </c>
      <c r="V16" s="309" t="s">
        <v>84</v>
      </c>
      <c r="W16" s="309" t="s">
        <v>85</v>
      </c>
    </row>
    <row r="17" spans="2:23">
      <c r="B17" s="85">
        <v>0.0941258142145298</v>
      </c>
      <c r="C17" s="86">
        <v>81360.1864067572</v>
      </c>
      <c r="D17" s="86">
        <v>80873.2378673953</v>
      </c>
      <c r="E17" s="86">
        <v>80873.2378673953</v>
      </c>
      <c r="F17" s="86">
        <v>80873.2378673953</v>
      </c>
      <c r="I17" s="305">
        <f t="shared" ref="I17:I22" si="8">(1+B17)</f>
        <v>1.09412581421453</v>
      </c>
      <c r="J17" t="str">
        <f t="shared" ref="J17:J37" si="9">IFERROR(VLOOKUP(C17,$R$1:$S$7,2,FALSE),J16)</f>
        <v>Trd_hdt_dsl</v>
      </c>
      <c r="K17" t="str">
        <f t="shared" ref="K17:K37" si="10">IFERROR(IF(VALUE(C17)&gt;2020,J17&amp;"_"&amp;TEXT(B17*100,"00"),"\I:"),"\I:")</f>
        <v>Trd_hdt_dsl_09</v>
      </c>
      <c r="L17" t="str">
        <f t="shared" si="3"/>
        <v>Trd_hdt</v>
      </c>
      <c r="M17" s="306">
        <f t="shared" ref="M17:M37" si="11">IF($K17="\I:","",C17)</f>
        <v>81360.1864067572</v>
      </c>
      <c r="N17" s="306">
        <f t="shared" ref="N17:N37" si="12">IF($K17="\I:","",D17)</f>
        <v>80873.2378673953</v>
      </c>
      <c r="O17" s="306">
        <f t="shared" ref="O17:O37" si="13">IF($K17="\I:","",E17)</f>
        <v>80873.2378673953</v>
      </c>
      <c r="P17" s="306">
        <f t="shared" ref="P17:P37" si="14">IF($K17="\I:","",F17)</f>
        <v>80873.2378673953</v>
      </c>
      <c r="S17" t="s">
        <v>83</v>
      </c>
      <c r="T17" t="str">
        <f t="shared" si="6"/>
        <v>Trd_hdt_dsl_09</v>
      </c>
      <c r="U17" t="str">
        <f ca="1" t="shared" si="7"/>
        <v>7.5-16t diesel truck -- 09%</v>
      </c>
      <c r="V17" s="309" t="s">
        <v>84</v>
      </c>
      <c r="W17" s="309" t="s">
        <v>85</v>
      </c>
    </row>
    <row r="18" spans="2:23">
      <c r="B18" s="85">
        <v>0.14412581421453</v>
      </c>
      <c r="C18" s="86">
        <v>82659.1626483237</v>
      </c>
      <c r="D18" s="86">
        <v>82265.6067669513</v>
      </c>
      <c r="E18" s="86">
        <v>82265.6067669513</v>
      </c>
      <c r="F18" s="86">
        <v>82265.6067669513</v>
      </c>
      <c r="I18" s="305">
        <f t="shared" si="8"/>
        <v>1.14412581421453</v>
      </c>
      <c r="J18" t="str">
        <f t="shared" si="9"/>
        <v>Trd_hdt_dsl</v>
      </c>
      <c r="K18" t="str">
        <f t="shared" si="10"/>
        <v>Trd_hdt_dsl_14</v>
      </c>
      <c r="L18" t="str">
        <f t="shared" si="3"/>
        <v>Trd_hdt</v>
      </c>
      <c r="M18" s="306">
        <f t="shared" si="11"/>
        <v>82659.1626483237</v>
      </c>
      <c r="N18" s="306">
        <f t="shared" si="12"/>
        <v>82265.6067669513</v>
      </c>
      <c r="O18" s="306">
        <f t="shared" si="13"/>
        <v>82265.6067669513</v>
      </c>
      <c r="P18" s="306">
        <f t="shared" si="14"/>
        <v>82265.6067669513</v>
      </c>
      <c r="S18" t="s">
        <v>83</v>
      </c>
      <c r="T18" t="str">
        <f t="shared" si="6"/>
        <v>Trd_hdt_dsl_14</v>
      </c>
      <c r="U18" t="str">
        <f ca="1" t="shared" si="7"/>
        <v>7.5-16t diesel truck -- 14%</v>
      </c>
      <c r="V18" s="309" t="s">
        <v>84</v>
      </c>
      <c r="W18" s="309" t="s">
        <v>85</v>
      </c>
    </row>
    <row r="19" spans="2:23">
      <c r="B19" s="85">
        <v>0.19412581421453</v>
      </c>
      <c r="C19" s="86">
        <v>88191.0297712466</v>
      </c>
      <c r="D19" s="86">
        <v>84316.0811257105</v>
      </c>
      <c r="E19" s="86">
        <v>84316.0811257105</v>
      </c>
      <c r="F19" s="86">
        <v>84316.0811257105</v>
      </c>
      <c r="I19" s="305">
        <f t="shared" si="8"/>
        <v>1.19412581421453</v>
      </c>
      <c r="J19" t="str">
        <f t="shared" si="9"/>
        <v>Trd_hdt_dsl</v>
      </c>
      <c r="K19" t="str">
        <f t="shared" si="10"/>
        <v>Trd_hdt_dsl_19</v>
      </c>
      <c r="L19" t="str">
        <f t="shared" si="3"/>
        <v>Trd_hdt</v>
      </c>
      <c r="M19" s="306">
        <f t="shared" si="11"/>
        <v>88191.0297712466</v>
      </c>
      <c r="N19" s="306">
        <f t="shared" si="12"/>
        <v>84316.0811257105</v>
      </c>
      <c r="O19" s="306">
        <f t="shared" si="13"/>
        <v>84316.0811257105</v>
      </c>
      <c r="P19" s="306">
        <f t="shared" si="14"/>
        <v>84316.0811257105</v>
      </c>
      <c r="S19" t="s">
        <v>83</v>
      </c>
      <c r="T19" t="str">
        <f t="shared" si="6"/>
        <v>Trd_hdt_dsl_19</v>
      </c>
      <c r="U19" t="str">
        <f ca="1" t="shared" si="7"/>
        <v>7.5-16t diesel truck -- 19%</v>
      </c>
      <c r="V19" s="309" t="s">
        <v>84</v>
      </c>
      <c r="W19" s="309" t="s">
        <v>85</v>
      </c>
    </row>
    <row r="20" spans="2:23">
      <c r="B20" s="85">
        <v>0.24412581421453</v>
      </c>
      <c r="C20" s="86">
        <v>92499.1246257596</v>
      </c>
      <c r="D20" s="86">
        <v>87335.7155755103</v>
      </c>
      <c r="E20" s="86">
        <v>87335.7155755103</v>
      </c>
      <c r="F20" s="86">
        <v>87335.7155755103</v>
      </c>
      <c r="I20" s="305">
        <f t="shared" si="8"/>
        <v>1.24412581421453</v>
      </c>
      <c r="J20" t="str">
        <f t="shared" si="9"/>
        <v>Trd_hdt_dsl</v>
      </c>
      <c r="K20" t="str">
        <f t="shared" si="10"/>
        <v>Trd_hdt_dsl_24</v>
      </c>
      <c r="L20" t="str">
        <f t="shared" si="3"/>
        <v>Trd_hdt</v>
      </c>
      <c r="M20" s="306">
        <f t="shared" si="11"/>
        <v>92499.1246257596</v>
      </c>
      <c r="N20" s="306">
        <f t="shared" si="12"/>
        <v>87335.7155755103</v>
      </c>
      <c r="O20" s="306">
        <f t="shared" si="13"/>
        <v>87335.7155755103</v>
      </c>
      <c r="P20" s="306">
        <f t="shared" si="14"/>
        <v>87335.7155755103</v>
      </c>
      <c r="S20" t="s">
        <v>83</v>
      </c>
      <c r="T20" t="str">
        <f t="shared" si="6"/>
        <v>Trd_hdt_dsl_24</v>
      </c>
      <c r="U20" t="str">
        <f ca="1" t="shared" si="7"/>
        <v>7.5-16t diesel truck -- 24%</v>
      </c>
      <c r="V20" s="309" t="s">
        <v>84</v>
      </c>
      <c r="W20" s="309" t="s">
        <v>85</v>
      </c>
    </row>
    <row r="21" spans="2:23">
      <c r="B21" s="85">
        <v>0.26412581421453</v>
      </c>
      <c r="C21" s="86">
        <v>115400.251045956</v>
      </c>
      <c r="D21" s="86">
        <v>91896.6101429967</v>
      </c>
      <c r="E21" s="86">
        <v>91782.585233483</v>
      </c>
      <c r="F21" s="86">
        <v>91782.585233483</v>
      </c>
      <c r="I21" s="305">
        <f t="shared" si="8"/>
        <v>1.26412581421453</v>
      </c>
      <c r="J21" t="str">
        <f t="shared" si="9"/>
        <v>Trd_hdt_dsl</v>
      </c>
      <c r="K21" t="str">
        <f t="shared" si="10"/>
        <v>Trd_hdt_dsl_26</v>
      </c>
      <c r="L21" t="str">
        <f t="shared" si="3"/>
        <v>Trd_hdt</v>
      </c>
      <c r="M21" s="306">
        <f t="shared" si="11"/>
        <v>115400.251045956</v>
      </c>
      <c r="N21" s="306">
        <f t="shared" si="12"/>
        <v>91896.6101429967</v>
      </c>
      <c r="O21" s="306">
        <f t="shared" si="13"/>
        <v>91782.585233483</v>
      </c>
      <c r="P21" s="306">
        <f t="shared" si="14"/>
        <v>91782.585233483</v>
      </c>
      <c r="S21" t="s">
        <v>83</v>
      </c>
      <c r="T21" t="str">
        <f t="shared" si="6"/>
        <v>Trd_hdt_dsl_26</v>
      </c>
      <c r="U21" t="str">
        <f ca="1" t="shared" si="7"/>
        <v>7.5-16t diesel truck -- 26%</v>
      </c>
      <c r="V21" s="309" t="s">
        <v>84</v>
      </c>
      <c r="W21" s="309" t="s">
        <v>85</v>
      </c>
    </row>
    <row r="22" spans="2:23">
      <c r="B22" s="85">
        <v>0.29412581421453</v>
      </c>
      <c r="C22" s="86">
        <v>189775.230098575</v>
      </c>
      <c r="D22" s="86">
        <v>105837.452091052</v>
      </c>
      <c r="E22" s="86">
        <v>98331.2751771647</v>
      </c>
      <c r="F22" s="86">
        <v>98331.2751771647</v>
      </c>
      <c r="I22" s="305">
        <f t="shared" si="8"/>
        <v>1.29412581421453</v>
      </c>
      <c r="J22" t="str">
        <f t="shared" si="9"/>
        <v>Trd_hdt_dsl</v>
      </c>
      <c r="K22" t="str">
        <f t="shared" si="10"/>
        <v>Trd_hdt_dsl_29</v>
      </c>
      <c r="L22" t="str">
        <f t="shared" si="3"/>
        <v>Trd_hdt</v>
      </c>
      <c r="M22" s="306">
        <f t="shared" si="11"/>
        <v>189775.230098575</v>
      </c>
      <c r="N22" s="306">
        <f t="shared" si="12"/>
        <v>105837.452091052</v>
      </c>
      <c r="O22" s="306">
        <f t="shared" si="13"/>
        <v>98331.2751771647</v>
      </c>
      <c r="P22" s="306">
        <f t="shared" si="14"/>
        <v>98331.2751771647</v>
      </c>
      <c r="S22" t="s">
        <v>83</v>
      </c>
      <c r="T22" t="str">
        <f t="shared" si="6"/>
        <v>Trd_hdt_dsl_29</v>
      </c>
      <c r="U22" t="str">
        <f ca="1" t="shared" si="7"/>
        <v>7.5-16t diesel truck -- 29%</v>
      </c>
      <c r="V22" s="309" t="s">
        <v>84</v>
      </c>
      <c r="W22" s="309" t="s">
        <v>85</v>
      </c>
    </row>
    <row r="23" spans="9:23">
      <c r="I23" s="305"/>
      <c r="J23" t="str">
        <f t="shared" si="9"/>
        <v>Trd_hdt_dsl</v>
      </c>
      <c r="K23" t="str">
        <f t="shared" si="10"/>
        <v>\I:</v>
      </c>
      <c r="L23" t="str">
        <f t="shared" si="3"/>
        <v>\I:</v>
      </c>
      <c r="M23" s="306" t="str">
        <f t="shared" si="11"/>
        <v/>
      </c>
      <c r="N23" s="306" t="str">
        <f t="shared" si="12"/>
        <v/>
      </c>
      <c r="O23" s="306" t="str">
        <f t="shared" si="13"/>
        <v/>
      </c>
      <c r="P23" s="306" t="str">
        <f t="shared" si="14"/>
        <v/>
      </c>
      <c r="T23" t="str">
        <f t="shared" si="6"/>
        <v>\I:</v>
      </c>
      <c r="U23" t="str">
        <f ca="1" t="shared" si="7"/>
        <v>7.5-16t diesel truck -- 00%</v>
      </c>
      <c r="V23" s="309" t="s">
        <v>84</v>
      </c>
      <c r="W23" s="309" t="s">
        <v>85</v>
      </c>
    </row>
    <row r="24" spans="9:23">
      <c r="I24" s="305"/>
      <c r="J24" t="str">
        <f t="shared" si="9"/>
        <v>Trd_hdt_dsl</v>
      </c>
      <c r="K24" t="str">
        <f t="shared" si="10"/>
        <v>\I:</v>
      </c>
      <c r="L24" t="str">
        <f t="shared" si="3"/>
        <v>\I:</v>
      </c>
      <c r="M24" s="306" t="str">
        <f t="shared" si="11"/>
        <v/>
      </c>
      <c r="N24" s="306" t="str">
        <f t="shared" si="12"/>
        <v/>
      </c>
      <c r="O24" s="306" t="str">
        <f t="shared" si="13"/>
        <v/>
      </c>
      <c r="P24" s="306" t="str">
        <f t="shared" si="14"/>
        <v/>
      </c>
      <c r="T24" t="str">
        <f t="shared" si="6"/>
        <v>\I:</v>
      </c>
      <c r="U24" t="str">
        <f ca="1" t="shared" si="7"/>
        <v>7.5-16t diesel truck -- 00%</v>
      </c>
      <c r="V24" s="309" t="s">
        <v>84</v>
      </c>
      <c r="W24" s="309" t="s">
        <v>85</v>
      </c>
    </row>
    <row r="25" spans="9:23">
      <c r="I25" s="305"/>
      <c r="J25" t="str">
        <f t="shared" si="9"/>
        <v>Trd_hdt_dsl</v>
      </c>
      <c r="K25" t="str">
        <f t="shared" si="10"/>
        <v>\I:</v>
      </c>
      <c r="L25" t="str">
        <f t="shared" si="3"/>
        <v>\I:</v>
      </c>
      <c r="M25" s="306" t="str">
        <f t="shared" si="11"/>
        <v/>
      </c>
      <c r="N25" s="306" t="str">
        <f t="shared" si="12"/>
        <v/>
      </c>
      <c r="O25" s="306" t="str">
        <f t="shared" si="13"/>
        <v/>
      </c>
      <c r="P25" s="306" t="str">
        <f t="shared" si="14"/>
        <v/>
      </c>
      <c r="T25" t="str">
        <f t="shared" si="6"/>
        <v>\I:</v>
      </c>
      <c r="U25" t="str">
        <f ca="1" t="shared" si="7"/>
        <v>7.5-16t diesel truck -- 00%</v>
      </c>
      <c r="V25" s="309" t="s">
        <v>84</v>
      </c>
      <c r="W25" s="309" t="s">
        <v>85</v>
      </c>
    </row>
    <row r="26" ht="15" customHeight="1" spans="2:23">
      <c r="B26" s="315" t="s">
        <v>119</v>
      </c>
      <c r="C26" s="300" t="s">
        <v>111</v>
      </c>
      <c r="D26" s="315"/>
      <c r="E26" s="315"/>
      <c r="F26" s="315"/>
      <c r="I26" s="305"/>
      <c r="J26" t="str">
        <f t="shared" si="9"/>
        <v>Trd_hdt_dsl-hyb</v>
      </c>
      <c r="K26" t="str">
        <f t="shared" si="10"/>
        <v>\I:</v>
      </c>
      <c r="L26" t="str">
        <f t="shared" si="3"/>
        <v>\I:</v>
      </c>
      <c r="M26" s="306" t="str">
        <f t="shared" si="11"/>
        <v/>
      </c>
      <c r="N26" s="306" t="str">
        <f t="shared" si="12"/>
        <v/>
      </c>
      <c r="O26" s="306" t="str">
        <f t="shared" si="13"/>
        <v/>
      </c>
      <c r="P26" s="306" t="str">
        <f t="shared" si="14"/>
        <v/>
      </c>
      <c r="T26" t="str">
        <f t="shared" si="6"/>
        <v>\I:</v>
      </c>
      <c r="U26" t="str">
        <f ca="1" t="shared" si="7"/>
        <v>7.5-16t diesel hybrid truck -- Reduction of specific energy consumption relative to 2015 diesel vehicle(%)</v>
      </c>
      <c r="V26" s="309" t="s">
        <v>84</v>
      </c>
      <c r="W26" s="309" t="s">
        <v>85</v>
      </c>
    </row>
    <row r="27" spans="2:23">
      <c r="B27" s="315"/>
      <c r="C27" s="300"/>
      <c r="D27" s="315"/>
      <c r="E27" s="315"/>
      <c r="F27" s="315"/>
      <c r="I27" s="305"/>
      <c r="J27" t="str">
        <f t="shared" si="9"/>
        <v>Trd_hdt_dsl-hyb</v>
      </c>
      <c r="K27" t="str">
        <f t="shared" si="10"/>
        <v>\I:</v>
      </c>
      <c r="L27" t="str">
        <f t="shared" si="3"/>
        <v>\I:</v>
      </c>
      <c r="M27" s="306" t="str">
        <f t="shared" si="11"/>
        <v/>
      </c>
      <c r="N27" s="306" t="str">
        <f t="shared" si="12"/>
        <v/>
      </c>
      <c r="O27" s="306" t="str">
        <f t="shared" si="13"/>
        <v/>
      </c>
      <c r="P27" s="306" t="str">
        <f t="shared" si="14"/>
        <v/>
      </c>
      <c r="T27" t="str">
        <f t="shared" si="6"/>
        <v>\I:</v>
      </c>
      <c r="U27" t="str">
        <f ca="1" t="shared" si="7"/>
        <v>7.5-16t diesel hybrid truck -- 00%</v>
      </c>
      <c r="V27" s="309" t="s">
        <v>84</v>
      </c>
      <c r="W27" s="309" t="s">
        <v>85</v>
      </c>
    </row>
    <row r="28" spans="2:23">
      <c r="B28" s="315"/>
      <c r="C28" s="300"/>
      <c r="D28" s="315"/>
      <c r="E28" s="315"/>
      <c r="F28" s="315"/>
      <c r="I28" s="305"/>
      <c r="J28" t="str">
        <f t="shared" si="9"/>
        <v>Trd_hdt_dsl-hyb</v>
      </c>
      <c r="K28" t="str">
        <f t="shared" si="10"/>
        <v>\I:</v>
      </c>
      <c r="L28" t="str">
        <f t="shared" si="3"/>
        <v>\I:</v>
      </c>
      <c r="M28" s="306" t="str">
        <f t="shared" si="11"/>
        <v/>
      </c>
      <c r="N28" s="306" t="str">
        <f t="shared" si="12"/>
        <v/>
      </c>
      <c r="O28" s="306" t="str">
        <f t="shared" si="13"/>
        <v/>
      </c>
      <c r="P28" s="306" t="str">
        <f t="shared" si="14"/>
        <v/>
      </c>
      <c r="T28" t="str">
        <f t="shared" si="6"/>
        <v>\I:</v>
      </c>
      <c r="U28" t="str">
        <f ca="1" t="shared" si="7"/>
        <v>7.5-16t diesel hybrid truck -- 00%</v>
      </c>
      <c r="V28" s="309" t="s">
        <v>84</v>
      </c>
      <c r="W28" s="309" t="s">
        <v>85</v>
      </c>
    </row>
    <row r="29" spans="2:23">
      <c r="B29" s="88"/>
      <c r="C29" s="50">
        <v>2020</v>
      </c>
      <c r="D29" s="50">
        <v>2030</v>
      </c>
      <c r="E29" s="50">
        <v>2040</v>
      </c>
      <c r="F29" s="50">
        <v>2050</v>
      </c>
      <c r="I29" s="305"/>
      <c r="J29" t="str">
        <f t="shared" si="9"/>
        <v>Trd_hdt_dsl-hyb</v>
      </c>
      <c r="K29" t="str">
        <f t="shared" si="10"/>
        <v>\I:</v>
      </c>
      <c r="L29" t="str">
        <f t="shared" si="3"/>
        <v>\I:</v>
      </c>
      <c r="M29" s="306" t="str">
        <f t="shared" si="11"/>
        <v/>
      </c>
      <c r="N29" s="306" t="str">
        <f t="shared" si="12"/>
        <v/>
      </c>
      <c r="O29" s="306" t="str">
        <f t="shared" si="13"/>
        <v/>
      </c>
      <c r="P29" s="306" t="str">
        <f t="shared" si="14"/>
        <v/>
      </c>
      <c r="T29" t="str">
        <f t="shared" si="6"/>
        <v>\I:</v>
      </c>
      <c r="U29" t="str">
        <f ca="1" t="shared" si="7"/>
        <v>7.5-16t diesel hybrid truck -- 00%</v>
      </c>
      <c r="V29" s="309" t="s">
        <v>84</v>
      </c>
      <c r="W29" s="309" t="s">
        <v>85</v>
      </c>
    </row>
    <row r="30" spans="2:23">
      <c r="B30" s="85">
        <v>0.1</v>
      </c>
      <c r="C30" s="86">
        <v>88920.6651098532</v>
      </c>
      <c r="D30" s="86">
        <v>85723.7072151163</v>
      </c>
      <c r="E30" s="86">
        <v>84520.5888443088</v>
      </c>
      <c r="F30" s="86">
        <v>83595.636305435</v>
      </c>
      <c r="I30" s="305">
        <f t="shared" ref="I30:I37" si="15">(1+B30)</f>
        <v>1.1</v>
      </c>
      <c r="J30" t="str">
        <f t="shared" si="9"/>
        <v>Trd_hdt_dsl-hyb</v>
      </c>
      <c r="K30" t="str">
        <f t="shared" si="10"/>
        <v>Trd_hdt_dsl-hyb_10</v>
      </c>
      <c r="L30" t="str">
        <f t="shared" si="3"/>
        <v>Trd_hdt</v>
      </c>
      <c r="M30" s="306">
        <f t="shared" si="11"/>
        <v>88920.6651098532</v>
      </c>
      <c r="N30" s="306">
        <f t="shared" si="12"/>
        <v>85723.7072151163</v>
      </c>
      <c r="O30" s="306">
        <f t="shared" si="13"/>
        <v>84520.5888443088</v>
      </c>
      <c r="P30" s="306">
        <f t="shared" si="14"/>
        <v>83595.636305435</v>
      </c>
      <c r="T30" t="str">
        <f t="shared" si="6"/>
        <v>Trd_hdt_dsl-hyb_10</v>
      </c>
      <c r="U30" t="str">
        <f ca="1" t="shared" si="7"/>
        <v>7.5-16t diesel hybrid truck -- 10%</v>
      </c>
      <c r="V30" s="309" t="s">
        <v>84</v>
      </c>
      <c r="W30" s="309" t="s">
        <v>85</v>
      </c>
    </row>
    <row r="31" spans="2:23">
      <c r="B31" s="85">
        <v>0.15</v>
      </c>
      <c r="C31" s="86">
        <v>90395.0204926283</v>
      </c>
      <c r="D31" s="86">
        <v>85866.8890332981</v>
      </c>
      <c r="E31" s="86">
        <v>84742.0752039553</v>
      </c>
      <c r="F31" s="86">
        <v>83858.3785974444</v>
      </c>
      <c r="I31" s="305">
        <f t="shared" si="15"/>
        <v>1.15</v>
      </c>
      <c r="J31" t="str">
        <f t="shared" si="9"/>
        <v>Trd_hdt_dsl-hyb</v>
      </c>
      <c r="K31" t="str">
        <f t="shared" si="10"/>
        <v>Trd_hdt_dsl-hyb_15</v>
      </c>
      <c r="L31" t="str">
        <f t="shared" si="3"/>
        <v>Trd_hdt</v>
      </c>
      <c r="M31" s="306">
        <f t="shared" si="11"/>
        <v>90395.0204926283</v>
      </c>
      <c r="N31" s="306">
        <f t="shared" si="12"/>
        <v>85866.8890332981</v>
      </c>
      <c r="O31" s="306">
        <f t="shared" si="13"/>
        <v>84742.0752039553</v>
      </c>
      <c r="P31" s="306">
        <f t="shared" si="14"/>
        <v>83858.3785974444</v>
      </c>
      <c r="T31" t="str">
        <f t="shared" si="6"/>
        <v>Trd_hdt_dsl-hyb_15</v>
      </c>
      <c r="U31" t="str">
        <f ca="1" t="shared" si="7"/>
        <v>7.5-16t diesel hybrid truck -- 15%</v>
      </c>
      <c r="V31" s="309" t="s">
        <v>84</v>
      </c>
      <c r="W31" s="309" t="s">
        <v>85</v>
      </c>
    </row>
    <row r="32" spans="2:23">
      <c r="B32" s="85">
        <v>0.2</v>
      </c>
      <c r="C32" s="86">
        <v>91869.3758754034</v>
      </c>
      <c r="D32" s="86">
        <v>86041.5708514799</v>
      </c>
      <c r="E32" s="86">
        <v>84996.5031128271</v>
      </c>
      <c r="F32" s="86">
        <v>84156.751475997</v>
      </c>
      <c r="I32" s="305">
        <f t="shared" si="15"/>
        <v>1.2</v>
      </c>
      <c r="J32" t="str">
        <f t="shared" si="9"/>
        <v>Trd_hdt_dsl-hyb</v>
      </c>
      <c r="K32" t="str">
        <f t="shared" si="10"/>
        <v>Trd_hdt_dsl-hyb_20</v>
      </c>
      <c r="L32" t="str">
        <f t="shared" si="3"/>
        <v>Trd_hdt</v>
      </c>
      <c r="M32" s="306">
        <f t="shared" si="11"/>
        <v>91869.3758754034</v>
      </c>
      <c r="N32" s="306">
        <f t="shared" si="12"/>
        <v>86041.5708514799</v>
      </c>
      <c r="O32" s="306">
        <f t="shared" si="13"/>
        <v>84996.5031128271</v>
      </c>
      <c r="P32" s="306">
        <f t="shared" si="14"/>
        <v>84156.751475997</v>
      </c>
      <c r="T32" t="str">
        <f t="shared" si="6"/>
        <v>Trd_hdt_dsl-hyb_20</v>
      </c>
      <c r="U32" t="str">
        <f ca="1" t="shared" si="7"/>
        <v>7.5-16t diesel hybrid truck -- 20%</v>
      </c>
      <c r="V32" s="309" t="s">
        <v>84</v>
      </c>
      <c r="W32" s="309" t="s">
        <v>85</v>
      </c>
    </row>
    <row r="33" spans="2:23">
      <c r="B33" s="85">
        <v>0.25</v>
      </c>
      <c r="C33" s="86">
        <v>93343.7312581785</v>
      </c>
      <c r="D33" s="86">
        <v>86487.4440572216</v>
      </c>
      <c r="E33" s="86">
        <v>85493.1691287208</v>
      </c>
      <c r="F33" s="86">
        <v>84675.0560982984</v>
      </c>
      <c r="I33" s="305">
        <f t="shared" si="15"/>
        <v>1.25</v>
      </c>
      <c r="J33" t="str">
        <f t="shared" si="9"/>
        <v>Trd_hdt_dsl-hyb</v>
      </c>
      <c r="K33" t="str">
        <f t="shared" si="10"/>
        <v>Trd_hdt_dsl-hyb_25</v>
      </c>
      <c r="L33" t="str">
        <f t="shared" si="3"/>
        <v>Trd_hdt</v>
      </c>
      <c r="M33" s="306">
        <f t="shared" si="11"/>
        <v>93343.7312581785</v>
      </c>
      <c r="N33" s="306">
        <f t="shared" si="12"/>
        <v>86487.4440572216</v>
      </c>
      <c r="O33" s="306">
        <f t="shared" si="13"/>
        <v>85493.1691287208</v>
      </c>
      <c r="P33" s="306">
        <f t="shared" si="14"/>
        <v>84675.0560982984</v>
      </c>
      <c r="T33" t="str">
        <f t="shared" si="6"/>
        <v>Trd_hdt_dsl-hyb_25</v>
      </c>
      <c r="U33" t="str">
        <f ca="1" t="shared" si="7"/>
        <v>7.5-16t diesel hybrid truck -- 25%</v>
      </c>
      <c r="V33" s="309" t="s">
        <v>84</v>
      </c>
      <c r="W33" s="309" t="s">
        <v>85</v>
      </c>
    </row>
    <row r="34" spans="2:23">
      <c r="B34" s="85">
        <v>0.3</v>
      </c>
      <c r="C34" s="86">
        <v>94818.0866409536</v>
      </c>
      <c r="D34" s="86">
        <v>87242.4966888005</v>
      </c>
      <c r="E34" s="86">
        <v>86278.8059816227</v>
      </c>
      <c r="F34" s="86">
        <v>85465.4384699798</v>
      </c>
      <c r="I34" s="305">
        <f t="shared" si="15"/>
        <v>1.3</v>
      </c>
      <c r="J34" t="str">
        <f t="shared" si="9"/>
        <v>Trd_hdt_dsl-hyb</v>
      </c>
      <c r="K34" t="str">
        <f t="shared" si="10"/>
        <v>Trd_hdt_dsl-hyb_30</v>
      </c>
      <c r="L34" t="str">
        <f t="shared" si="3"/>
        <v>Trd_hdt</v>
      </c>
      <c r="M34" s="306">
        <f t="shared" si="11"/>
        <v>94818.0866409536</v>
      </c>
      <c r="N34" s="306">
        <f t="shared" si="12"/>
        <v>87242.4966888005</v>
      </c>
      <c r="O34" s="306">
        <f t="shared" si="13"/>
        <v>86278.8059816227</v>
      </c>
      <c r="P34" s="306">
        <f t="shared" si="14"/>
        <v>85465.4384699798</v>
      </c>
      <c r="T34" t="str">
        <f t="shared" si="6"/>
        <v>Trd_hdt_dsl-hyb_30</v>
      </c>
      <c r="U34" t="str">
        <f ca="1" t="shared" si="7"/>
        <v>7.5-16t diesel hybrid truck -- 30%</v>
      </c>
      <c r="V34" s="309" t="s">
        <v>84</v>
      </c>
      <c r="W34" s="309" t="s">
        <v>85</v>
      </c>
    </row>
    <row r="35" spans="2:23">
      <c r="B35" s="85">
        <v>0.35</v>
      </c>
      <c r="C35" s="86">
        <v>96915.1446564834</v>
      </c>
      <c r="D35" s="86">
        <v>88296.0206122455</v>
      </c>
      <c r="E35" s="86">
        <v>87359.2952176801</v>
      </c>
      <c r="F35" s="86">
        <v>86546.2415338802</v>
      </c>
      <c r="I35" s="305">
        <f t="shared" si="15"/>
        <v>1.35</v>
      </c>
      <c r="J35" t="str">
        <f t="shared" si="9"/>
        <v>Trd_hdt_dsl-hyb</v>
      </c>
      <c r="K35" t="str">
        <f t="shared" si="10"/>
        <v>Trd_hdt_dsl-hyb_35</v>
      </c>
      <c r="L35" t="str">
        <f t="shared" si="3"/>
        <v>Trd_hdt</v>
      </c>
      <c r="M35" s="306">
        <f t="shared" si="11"/>
        <v>96915.1446564834</v>
      </c>
      <c r="N35" s="306">
        <f t="shared" si="12"/>
        <v>88296.0206122455</v>
      </c>
      <c r="O35" s="306">
        <f t="shared" si="13"/>
        <v>87359.2952176801</v>
      </c>
      <c r="P35" s="306">
        <f t="shared" si="14"/>
        <v>86546.2415338802</v>
      </c>
      <c r="T35" t="str">
        <f t="shared" si="6"/>
        <v>Trd_hdt_dsl-hyb_35</v>
      </c>
      <c r="U35" t="str">
        <f ca="1" t="shared" si="7"/>
        <v>7.5-16t diesel hybrid truck -- 35%</v>
      </c>
      <c r="V35" s="309" t="s">
        <v>84</v>
      </c>
      <c r="W35" s="309" t="s">
        <v>85</v>
      </c>
    </row>
    <row r="36" spans="2:23">
      <c r="B36" s="85">
        <v>0.4</v>
      </c>
      <c r="C36" s="86">
        <v>98758.1767482286</v>
      </c>
      <c r="D36" s="86">
        <v>91896.2574543508</v>
      </c>
      <c r="E36" s="86">
        <v>90807.9713158337</v>
      </c>
      <c r="F36" s="86">
        <v>89832.5535866655</v>
      </c>
      <c r="I36" s="305">
        <f t="shared" si="15"/>
        <v>1.4</v>
      </c>
      <c r="J36" t="str">
        <f t="shared" si="9"/>
        <v>Trd_hdt_dsl-hyb</v>
      </c>
      <c r="K36" t="str">
        <f t="shared" si="10"/>
        <v>Trd_hdt_dsl-hyb_40</v>
      </c>
      <c r="L36" t="str">
        <f t="shared" si="3"/>
        <v>Trd_hdt</v>
      </c>
      <c r="M36" s="306">
        <f t="shared" si="11"/>
        <v>98758.1767482286</v>
      </c>
      <c r="N36" s="306">
        <f t="shared" si="12"/>
        <v>91896.2574543508</v>
      </c>
      <c r="O36" s="306">
        <f t="shared" si="13"/>
        <v>90807.9713158337</v>
      </c>
      <c r="P36" s="306">
        <f t="shared" si="14"/>
        <v>89832.5535866655</v>
      </c>
      <c r="T36" t="str">
        <f t="shared" si="6"/>
        <v>Trd_hdt_dsl-hyb_40</v>
      </c>
      <c r="U36" t="str">
        <f ca="1" t="shared" si="7"/>
        <v>7.5-16t diesel hybrid truck -- 40%</v>
      </c>
      <c r="V36" s="309" t="s">
        <v>84</v>
      </c>
      <c r="W36" s="309" t="s">
        <v>85</v>
      </c>
    </row>
    <row r="37" spans="2:23">
      <c r="B37" s="85">
        <v>0.45</v>
      </c>
      <c r="C37" s="86">
        <v>104720.410736048</v>
      </c>
      <c r="D37" s="86">
        <v>97691.6617605709</v>
      </c>
      <c r="E37" s="86">
        <v>96426.7577972023</v>
      </c>
      <c r="F37" s="86">
        <v>95247.6594290264</v>
      </c>
      <c r="I37" s="305">
        <f t="shared" si="15"/>
        <v>1.45</v>
      </c>
      <c r="J37" t="str">
        <f t="shared" si="9"/>
        <v>Trd_hdt_dsl-hyb</v>
      </c>
      <c r="K37" t="str">
        <f t="shared" si="10"/>
        <v>Trd_hdt_dsl-hyb_45</v>
      </c>
      <c r="L37" t="str">
        <f t="shared" si="3"/>
        <v>Trd_hdt</v>
      </c>
      <c r="M37" s="306">
        <f t="shared" si="11"/>
        <v>104720.410736048</v>
      </c>
      <c r="N37" s="306">
        <f t="shared" si="12"/>
        <v>97691.6617605709</v>
      </c>
      <c r="O37" s="306">
        <f t="shared" si="13"/>
        <v>96426.7577972023</v>
      </c>
      <c r="P37" s="306">
        <f t="shared" si="14"/>
        <v>95247.6594290264</v>
      </c>
      <c r="T37" t="str">
        <f t="shared" si="6"/>
        <v>Trd_hdt_dsl-hyb_45</v>
      </c>
      <c r="U37" t="str">
        <f ca="1" t="shared" si="7"/>
        <v>7.5-16t diesel hybrid truck -- 45%</v>
      </c>
      <c r="V37" s="309" t="s">
        <v>84</v>
      </c>
      <c r="W37" s="309" t="s">
        <v>85</v>
      </c>
    </row>
    <row r="38" spans="10:23">
      <c r="J38" t="str">
        <f t="shared" ref="J38:J57" si="16">IFERROR(VLOOKUP(C38,$R$1:$S$7,2,FALSE),J37)</f>
        <v>Trd_hdt_dsl-hyb</v>
      </c>
      <c r="K38" t="str">
        <f t="shared" ref="K38:K57" si="17">IFERROR(IF(VALUE(C38)&gt;2020,J38&amp;"_"&amp;TEXT(B38*100,"00"),"\I:"),"\I:")</f>
        <v>\I:</v>
      </c>
      <c r="L38" t="str">
        <f t="shared" si="3"/>
        <v>\I:</v>
      </c>
      <c r="M38" s="306" t="str">
        <f t="shared" ref="M38:M57" si="18">IF($K38="\I:","",C38)</f>
        <v/>
      </c>
      <c r="N38" s="306" t="str">
        <f t="shared" ref="N38:N57" si="19">IF($K38="\I:","",D38)</f>
        <v/>
      </c>
      <c r="O38" s="306" t="str">
        <f t="shared" ref="O38:O57" si="20">IF($K38="\I:","",E38)</f>
        <v/>
      </c>
      <c r="P38" s="306" t="str">
        <f t="shared" ref="P38:P57" si="21">IF($K38="\I:","",F38)</f>
        <v/>
      </c>
      <c r="T38" t="str">
        <f t="shared" si="6"/>
        <v>\I:</v>
      </c>
      <c r="U38" t="str">
        <f ca="1" t="shared" si="7"/>
        <v>7.5-16t diesel hybrid truck -- 00%</v>
      </c>
      <c r="V38" s="309" t="s">
        <v>84</v>
      </c>
      <c r="W38" s="309" t="s">
        <v>85</v>
      </c>
    </row>
    <row r="39" spans="10:23">
      <c r="J39" t="str">
        <f t="shared" si="16"/>
        <v>Trd_hdt_dsl-hyb</v>
      </c>
      <c r="K39" t="str">
        <f t="shared" si="17"/>
        <v>\I:</v>
      </c>
      <c r="L39" t="str">
        <f t="shared" si="3"/>
        <v>\I:</v>
      </c>
      <c r="M39" s="306" t="str">
        <f t="shared" si="18"/>
        <v/>
      </c>
      <c r="N39" s="306" t="str">
        <f t="shared" si="19"/>
        <v/>
      </c>
      <c r="O39" s="306" t="str">
        <f t="shared" si="20"/>
        <v/>
      </c>
      <c r="P39" s="306" t="str">
        <f t="shared" si="21"/>
        <v/>
      </c>
      <c r="T39" t="str">
        <f t="shared" si="6"/>
        <v>\I:</v>
      </c>
      <c r="U39" t="str">
        <f ca="1" t="shared" si="7"/>
        <v>7.5-16t diesel hybrid truck -- 00%</v>
      </c>
      <c r="V39" s="309" t="s">
        <v>84</v>
      </c>
      <c r="W39" s="309" t="s">
        <v>85</v>
      </c>
    </row>
    <row r="40" spans="10:23">
      <c r="J40" t="str">
        <f t="shared" si="16"/>
        <v>Trd_hdt_dsl-hyb</v>
      </c>
      <c r="K40" t="str">
        <f t="shared" si="17"/>
        <v>\I:</v>
      </c>
      <c r="L40" t="str">
        <f t="shared" si="3"/>
        <v>\I:</v>
      </c>
      <c r="M40" s="306" t="str">
        <f t="shared" si="18"/>
        <v/>
      </c>
      <c r="N40" s="306" t="str">
        <f t="shared" si="19"/>
        <v/>
      </c>
      <c r="O40" s="306" t="str">
        <f t="shared" si="20"/>
        <v/>
      </c>
      <c r="P40" s="306" t="str">
        <f t="shared" si="21"/>
        <v/>
      </c>
      <c r="T40" t="str">
        <f t="shared" si="6"/>
        <v>\I:</v>
      </c>
      <c r="U40" t="str">
        <f ca="1" t="shared" si="7"/>
        <v>7.5-16t diesel hybrid truck -- 00%</v>
      </c>
      <c r="V40" s="309" t="s">
        <v>84</v>
      </c>
      <c r="W40" s="309" t="s">
        <v>85</v>
      </c>
    </row>
    <row r="41" spans="10:23">
      <c r="J41" t="str">
        <f t="shared" si="16"/>
        <v>Trd_hdt_dsl-hyb</v>
      </c>
      <c r="K41" t="str">
        <f t="shared" si="17"/>
        <v>\I:</v>
      </c>
      <c r="L41" t="str">
        <f t="shared" si="3"/>
        <v>\I:</v>
      </c>
      <c r="M41" s="306" t="str">
        <f t="shared" si="18"/>
        <v/>
      </c>
      <c r="N41" s="306" t="str">
        <f t="shared" si="19"/>
        <v/>
      </c>
      <c r="O41" s="306" t="str">
        <f t="shared" si="20"/>
        <v/>
      </c>
      <c r="P41" s="306" t="str">
        <f t="shared" si="21"/>
        <v/>
      </c>
      <c r="T41" t="str">
        <f t="shared" si="6"/>
        <v>\I:</v>
      </c>
      <c r="U41" t="str">
        <f ca="1" t="shared" si="7"/>
        <v>7.5-16t diesel hybrid truck -- 00%</v>
      </c>
      <c r="V41" s="309" t="s">
        <v>84</v>
      </c>
      <c r="W41" s="309" t="s">
        <v>85</v>
      </c>
    </row>
    <row r="42" spans="2:23">
      <c r="B42" s="43" t="s">
        <v>120</v>
      </c>
      <c r="J42" t="str">
        <f t="shared" si="16"/>
        <v>Trd_hdt_dsl-hyb</v>
      </c>
      <c r="K42" t="str">
        <f t="shared" si="17"/>
        <v>\I:</v>
      </c>
      <c r="L42" t="str">
        <f t="shared" si="3"/>
        <v>\I:</v>
      </c>
      <c r="M42" s="306" t="str">
        <f t="shared" si="18"/>
        <v/>
      </c>
      <c r="N42" s="306" t="str">
        <f t="shared" si="19"/>
        <v/>
      </c>
      <c r="O42" s="306" t="str">
        <f t="shared" si="20"/>
        <v/>
      </c>
      <c r="P42" s="306" t="str">
        <f t="shared" si="21"/>
        <v/>
      </c>
      <c r="T42" t="str">
        <f t="shared" si="6"/>
        <v>\I:</v>
      </c>
      <c r="U42" t="str">
        <f ca="1" t="shared" si="7"/>
        <v>7.5-16t diesel hybrid truck -- Reference values for LNG truck 7.5-16t</v>
      </c>
      <c r="V42" s="309" t="s">
        <v>84</v>
      </c>
      <c r="W42" s="309" t="s">
        <v>85</v>
      </c>
    </row>
    <row r="43" spans="2:23">
      <c r="B43" s="298">
        <v>2015</v>
      </c>
      <c r="C43" s="298"/>
      <c r="D43" s="298"/>
      <c r="J43" t="str">
        <f t="shared" si="16"/>
        <v>Trd_hdt_dsl-hyb</v>
      </c>
      <c r="K43" t="str">
        <f t="shared" si="17"/>
        <v>\I:</v>
      </c>
      <c r="L43" t="str">
        <f t="shared" si="3"/>
        <v>\I:</v>
      </c>
      <c r="M43" s="306" t="str">
        <f t="shared" si="18"/>
        <v/>
      </c>
      <c r="N43" s="306" t="str">
        <f t="shared" si="19"/>
        <v/>
      </c>
      <c r="O43" s="306" t="str">
        <f t="shared" si="20"/>
        <v/>
      </c>
      <c r="P43" s="306" t="str">
        <f t="shared" si="21"/>
        <v/>
      </c>
      <c r="T43" t="str">
        <f t="shared" si="6"/>
        <v>\I:</v>
      </c>
      <c r="U43" t="str">
        <f ca="1" t="shared" si="7"/>
        <v>7.5-16t diesel hybrid truck -- 201500%</v>
      </c>
      <c r="V43" s="309" t="s">
        <v>84</v>
      </c>
      <c r="W43" s="309" t="s">
        <v>85</v>
      </c>
    </row>
    <row r="44" spans="2:23">
      <c r="B44" s="45" t="s">
        <v>12</v>
      </c>
      <c r="C44" s="46" t="s">
        <v>88</v>
      </c>
      <c r="D44" s="47">
        <v>15.6724885159612</v>
      </c>
      <c r="G44" s="299">
        <f>D44*$I$2/100*10^9/10^6</f>
        <v>8.1512515429686</v>
      </c>
      <c r="H44" s="299"/>
      <c r="I44" s="299">
        <f>1/G44</f>
        <v>0.122680547242174</v>
      </c>
      <c r="J44" t="str">
        <f t="shared" si="16"/>
        <v>Trd_hdt_dsl-hyb</v>
      </c>
      <c r="K44" t="str">
        <f t="shared" si="17"/>
        <v>\I:</v>
      </c>
      <c r="L44" t="str">
        <f t="shared" si="3"/>
        <v>\I:</v>
      </c>
      <c r="M44" s="306" t="str">
        <f t="shared" si="18"/>
        <v/>
      </c>
      <c r="N44" s="306" t="str">
        <f t="shared" si="19"/>
        <v/>
      </c>
      <c r="O44" s="306" t="str">
        <f t="shared" si="20"/>
        <v/>
      </c>
      <c r="P44" s="306" t="str">
        <f t="shared" si="21"/>
        <v/>
      </c>
      <c r="T44" t="str">
        <f t="shared" si="6"/>
        <v>\I:</v>
      </c>
      <c r="U44" t="str">
        <f ca="1" t="shared" si="7"/>
        <v>7.5-16t diesel hybrid truck -- Energy consumption</v>
      </c>
      <c r="V44" s="309" t="s">
        <v>84</v>
      </c>
      <c r="W44" s="309" t="s">
        <v>85</v>
      </c>
    </row>
    <row r="45" spans="2:23">
      <c r="B45" s="45" t="s">
        <v>14</v>
      </c>
      <c r="C45" s="46" t="s">
        <v>15</v>
      </c>
      <c r="D45" s="68">
        <v>97834.8667075987</v>
      </c>
      <c r="I45" s="43" t="s">
        <v>70</v>
      </c>
      <c r="J45" t="str">
        <f t="shared" si="16"/>
        <v>Trd_hdt_dsl-hyb</v>
      </c>
      <c r="K45" t="str">
        <f t="shared" si="17"/>
        <v>\I:</v>
      </c>
      <c r="L45" t="str">
        <f t="shared" si="3"/>
        <v>\I:</v>
      </c>
      <c r="M45" s="306" t="str">
        <f t="shared" si="18"/>
        <v/>
      </c>
      <c r="N45" s="306" t="str">
        <f t="shared" si="19"/>
        <v/>
      </c>
      <c r="O45" s="306" t="str">
        <f t="shared" si="20"/>
        <v/>
      </c>
      <c r="P45" s="306" t="str">
        <f t="shared" si="21"/>
        <v/>
      </c>
      <c r="T45" t="str">
        <f t="shared" si="6"/>
        <v>\I:</v>
      </c>
      <c r="U45" t="str">
        <f ca="1" t="shared" si="7"/>
        <v>7.5-16t diesel hybrid truck -- Capital cost</v>
      </c>
      <c r="V45" s="309" t="s">
        <v>84</v>
      </c>
      <c r="W45" s="309" t="s">
        <v>85</v>
      </c>
    </row>
    <row r="46" ht="15" customHeight="1" spans="10:23">
      <c r="J46" t="str">
        <f t="shared" si="16"/>
        <v>Trd_hdt_dsl-hyb</v>
      </c>
      <c r="K46" t="str">
        <f t="shared" si="17"/>
        <v>\I:</v>
      </c>
      <c r="L46" t="str">
        <f t="shared" si="3"/>
        <v>\I:</v>
      </c>
      <c r="M46" s="306" t="str">
        <f t="shared" si="18"/>
        <v/>
      </c>
      <c r="N46" s="306" t="str">
        <f t="shared" si="19"/>
        <v/>
      </c>
      <c r="O46" s="306" t="str">
        <f t="shared" si="20"/>
        <v/>
      </c>
      <c r="P46" s="306" t="str">
        <f t="shared" si="21"/>
        <v/>
      </c>
      <c r="T46" t="str">
        <f t="shared" si="6"/>
        <v>\I:</v>
      </c>
      <c r="U46" t="str">
        <f ca="1" t="shared" si="7"/>
        <v>7.5-16t diesel hybrid truck -- 00%</v>
      </c>
      <c r="V46" s="309" t="s">
        <v>84</v>
      </c>
      <c r="W46" s="309" t="s">
        <v>85</v>
      </c>
    </row>
    <row r="47" ht="15" customHeight="1" spans="2:23">
      <c r="B47" s="315" t="s">
        <v>121</v>
      </c>
      <c r="C47" s="300" t="s">
        <v>114</v>
      </c>
      <c r="D47" s="315"/>
      <c r="E47" s="315"/>
      <c r="F47" s="315"/>
      <c r="J47" t="str">
        <f t="shared" si="16"/>
        <v>Trd_hdt_lng</v>
      </c>
      <c r="K47" t="str">
        <f t="shared" si="17"/>
        <v>\I:</v>
      </c>
      <c r="L47" t="str">
        <f t="shared" si="3"/>
        <v>\I:</v>
      </c>
      <c r="M47" s="306" t="str">
        <f t="shared" si="18"/>
        <v/>
      </c>
      <c r="N47" s="306" t="str">
        <f t="shared" si="19"/>
        <v/>
      </c>
      <c r="O47" s="306" t="str">
        <f t="shared" si="20"/>
        <v/>
      </c>
      <c r="P47" s="306" t="str">
        <f t="shared" si="21"/>
        <v/>
      </c>
      <c r="T47" t="str">
        <f t="shared" si="6"/>
        <v>\I:</v>
      </c>
      <c r="U47" t="str">
        <f ca="1" t="shared" si="7"/>
        <v>7.5-16t LNG truck -- Reduction of specific energy consumption relative to 2015 LNG vehicle (%)</v>
      </c>
      <c r="V47" s="309" t="s">
        <v>84</v>
      </c>
      <c r="W47" s="309" t="s">
        <v>85</v>
      </c>
    </row>
    <row r="48" spans="2:23">
      <c r="B48" s="315"/>
      <c r="C48" s="300"/>
      <c r="D48" s="315"/>
      <c r="E48" s="315"/>
      <c r="F48" s="315"/>
      <c r="J48" t="str">
        <f t="shared" si="16"/>
        <v>Trd_hdt_lng</v>
      </c>
      <c r="K48" t="str">
        <f t="shared" si="17"/>
        <v>\I:</v>
      </c>
      <c r="L48" t="str">
        <f t="shared" si="3"/>
        <v>\I:</v>
      </c>
      <c r="M48" s="306" t="str">
        <f t="shared" si="18"/>
        <v/>
      </c>
      <c r="N48" s="306" t="str">
        <f t="shared" si="19"/>
        <v/>
      </c>
      <c r="O48" s="306" t="str">
        <f t="shared" si="20"/>
        <v/>
      </c>
      <c r="P48" s="306" t="str">
        <f t="shared" si="21"/>
        <v/>
      </c>
      <c r="T48" t="str">
        <f t="shared" si="6"/>
        <v>\I:</v>
      </c>
      <c r="U48" t="str">
        <f ca="1" t="shared" si="7"/>
        <v>7.5-16t LNG truck -- 00%</v>
      </c>
      <c r="V48" s="309" t="s">
        <v>84</v>
      </c>
      <c r="W48" s="309" t="s">
        <v>85</v>
      </c>
    </row>
    <row r="49" spans="2:23">
      <c r="B49" s="315"/>
      <c r="C49" s="300"/>
      <c r="D49" s="315"/>
      <c r="E49" s="315"/>
      <c r="F49" s="315"/>
      <c r="J49" t="str">
        <f t="shared" si="16"/>
        <v>Trd_hdt_lng</v>
      </c>
      <c r="K49" t="str">
        <f t="shared" si="17"/>
        <v>\I:</v>
      </c>
      <c r="L49" t="str">
        <f t="shared" si="3"/>
        <v>\I:</v>
      </c>
      <c r="M49" s="306" t="str">
        <f t="shared" si="18"/>
        <v/>
      </c>
      <c r="N49" s="306" t="str">
        <f t="shared" si="19"/>
        <v/>
      </c>
      <c r="O49" s="306" t="str">
        <f t="shared" si="20"/>
        <v/>
      </c>
      <c r="P49" s="306" t="str">
        <f t="shared" si="21"/>
        <v/>
      </c>
      <c r="T49" t="str">
        <f t="shared" si="6"/>
        <v>\I:</v>
      </c>
      <c r="U49" t="str">
        <f ca="1" t="shared" si="7"/>
        <v>7.5-16t LNG truck -- 00%</v>
      </c>
      <c r="V49" s="309" t="s">
        <v>84</v>
      </c>
      <c r="W49" s="309" t="s">
        <v>85</v>
      </c>
    </row>
    <row r="50" spans="2:23">
      <c r="B50" s="88"/>
      <c r="C50" s="50">
        <v>2020</v>
      </c>
      <c r="D50" s="50">
        <v>2030</v>
      </c>
      <c r="E50" s="50">
        <v>2040</v>
      </c>
      <c r="F50" s="50">
        <v>2050</v>
      </c>
      <c r="J50" t="str">
        <f t="shared" si="16"/>
        <v>Trd_hdt_lng</v>
      </c>
      <c r="K50" t="str">
        <f t="shared" si="17"/>
        <v>\I:</v>
      </c>
      <c r="L50" t="str">
        <f t="shared" si="3"/>
        <v>\I:</v>
      </c>
      <c r="M50" s="306" t="str">
        <f t="shared" si="18"/>
        <v/>
      </c>
      <c r="N50" s="306" t="str">
        <f t="shared" si="19"/>
        <v/>
      </c>
      <c r="O50" s="306" t="str">
        <f t="shared" si="20"/>
        <v/>
      </c>
      <c r="P50" s="306" t="str">
        <f t="shared" si="21"/>
        <v/>
      </c>
      <c r="T50" t="str">
        <f t="shared" si="6"/>
        <v>\I:</v>
      </c>
      <c r="U50" t="str">
        <f ca="1" t="shared" si="7"/>
        <v>7.5-16t LNG truck -- 00%</v>
      </c>
      <c r="V50" s="309" t="s">
        <v>84</v>
      </c>
      <c r="W50" s="309" t="s">
        <v>85</v>
      </c>
    </row>
    <row r="51" spans="2:23">
      <c r="B51" s="85">
        <v>0.0441258142145298</v>
      </c>
      <c r="C51" s="86">
        <v>98717.5518945274</v>
      </c>
      <c r="D51" s="86">
        <v>98717.5518945274</v>
      </c>
      <c r="E51" s="86">
        <v>98717.5518945274</v>
      </c>
      <c r="F51" s="86">
        <v>98717.5518945274</v>
      </c>
      <c r="I51" s="305">
        <f t="shared" ref="I51:I57" si="22">$I$44*(1+B51)/$I$7</f>
        <v>0.919119546564507</v>
      </c>
      <c r="J51" t="str">
        <f t="shared" si="16"/>
        <v>Trd_hdt_lng</v>
      </c>
      <c r="K51" t="str">
        <f t="shared" si="17"/>
        <v>Trd_hdt_lng_04</v>
      </c>
      <c r="L51" t="str">
        <f t="shared" si="3"/>
        <v>Trd_hdt</v>
      </c>
      <c r="M51" s="306">
        <f t="shared" si="18"/>
        <v>98717.5518945274</v>
      </c>
      <c r="N51" s="306">
        <f t="shared" si="19"/>
        <v>98717.5518945274</v>
      </c>
      <c r="O51" s="306">
        <f t="shared" si="20"/>
        <v>98717.5518945274</v>
      </c>
      <c r="P51" s="306">
        <f t="shared" si="21"/>
        <v>98717.5518945274</v>
      </c>
      <c r="T51" t="str">
        <f t="shared" si="6"/>
        <v>Trd_hdt_lng_04</v>
      </c>
      <c r="U51" t="str">
        <f ca="1" t="shared" si="7"/>
        <v>7.5-16t LNG truck -- 04%</v>
      </c>
      <c r="V51" s="309" t="s">
        <v>84</v>
      </c>
      <c r="W51" s="309" t="s">
        <v>85</v>
      </c>
    </row>
    <row r="52" spans="2:23">
      <c r="B52" s="85">
        <v>0.0941258142145298</v>
      </c>
      <c r="C52" s="86">
        <v>100149.98465522</v>
      </c>
      <c r="D52" s="86">
        <v>99663.0361158585</v>
      </c>
      <c r="E52" s="86">
        <v>99663.0361158585</v>
      </c>
      <c r="F52" s="86">
        <v>99663.0361158585</v>
      </c>
      <c r="I52" s="305">
        <f t="shared" si="22"/>
        <v>0.963133377754761</v>
      </c>
      <c r="J52" t="str">
        <f t="shared" si="16"/>
        <v>Trd_hdt_lng</v>
      </c>
      <c r="K52" t="str">
        <f t="shared" si="17"/>
        <v>Trd_hdt_lng_09</v>
      </c>
      <c r="L52" t="str">
        <f t="shared" si="3"/>
        <v>Trd_hdt</v>
      </c>
      <c r="M52" s="306">
        <f t="shared" si="18"/>
        <v>100149.98465522</v>
      </c>
      <c r="N52" s="306">
        <f t="shared" si="19"/>
        <v>99663.0361158585</v>
      </c>
      <c r="O52" s="306">
        <f t="shared" si="20"/>
        <v>99663.0361158585</v>
      </c>
      <c r="P52" s="306">
        <f t="shared" si="21"/>
        <v>99663.0361158585</v>
      </c>
      <c r="T52" t="str">
        <f t="shared" si="6"/>
        <v>Trd_hdt_lng_09</v>
      </c>
      <c r="U52" t="str">
        <f ca="1" t="shared" si="7"/>
        <v>7.5-16t LNG truck -- 09%</v>
      </c>
      <c r="V52" s="309" t="s">
        <v>84</v>
      </c>
      <c r="W52" s="309" t="s">
        <v>85</v>
      </c>
    </row>
    <row r="53" spans="2:23">
      <c r="B53" s="85">
        <v>0.14412581421453</v>
      </c>
      <c r="C53" s="86">
        <v>101448.960896787</v>
      </c>
      <c r="D53" s="86">
        <v>101055.405015415</v>
      </c>
      <c r="E53" s="86">
        <v>101055.405015415</v>
      </c>
      <c r="F53" s="86">
        <v>101055.405015415</v>
      </c>
      <c r="I53" s="305">
        <f t="shared" si="22"/>
        <v>1.00714720894502</v>
      </c>
      <c r="J53" t="str">
        <f t="shared" si="16"/>
        <v>Trd_hdt_lng</v>
      </c>
      <c r="K53" t="str">
        <f t="shared" si="17"/>
        <v>Trd_hdt_lng_14</v>
      </c>
      <c r="L53" t="str">
        <f t="shared" si="3"/>
        <v>Trd_hdt</v>
      </c>
      <c r="M53" s="306">
        <f t="shared" si="18"/>
        <v>101448.960896787</v>
      </c>
      <c r="N53" s="306">
        <f t="shared" si="19"/>
        <v>101055.405015415</v>
      </c>
      <c r="O53" s="306">
        <f t="shared" si="20"/>
        <v>101055.405015415</v>
      </c>
      <c r="P53" s="306">
        <f t="shared" si="21"/>
        <v>101055.405015415</v>
      </c>
      <c r="T53" t="str">
        <f t="shared" si="6"/>
        <v>Trd_hdt_lng_14</v>
      </c>
      <c r="U53" t="str">
        <f ca="1" t="shared" si="7"/>
        <v>7.5-16t LNG truck -- 14%</v>
      </c>
      <c r="V53" s="309" t="s">
        <v>84</v>
      </c>
      <c r="W53" s="309" t="s">
        <v>85</v>
      </c>
    </row>
    <row r="54" spans="2:23">
      <c r="B54" s="85">
        <v>0.19412581421453</v>
      </c>
      <c r="C54" s="86">
        <v>106980.82801971</v>
      </c>
      <c r="D54" s="86">
        <v>103105.879374174</v>
      </c>
      <c r="E54" s="86">
        <v>103105.879374174</v>
      </c>
      <c r="F54" s="86">
        <v>103105.879374174</v>
      </c>
      <c r="I54" s="305">
        <f t="shared" si="22"/>
        <v>1.05116104013527</v>
      </c>
      <c r="J54" t="str">
        <f t="shared" si="16"/>
        <v>Trd_hdt_lng</v>
      </c>
      <c r="K54" t="str">
        <f t="shared" si="17"/>
        <v>Trd_hdt_lng_19</v>
      </c>
      <c r="L54" t="str">
        <f t="shared" si="3"/>
        <v>Trd_hdt</v>
      </c>
      <c r="M54" s="306">
        <f t="shared" si="18"/>
        <v>106980.82801971</v>
      </c>
      <c r="N54" s="306">
        <f t="shared" si="19"/>
        <v>103105.879374174</v>
      </c>
      <c r="O54" s="306">
        <f t="shared" si="20"/>
        <v>103105.879374174</v>
      </c>
      <c r="P54" s="306">
        <f t="shared" si="21"/>
        <v>103105.879374174</v>
      </c>
      <c r="T54" t="str">
        <f t="shared" si="6"/>
        <v>Trd_hdt_lng_19</v>
      </c>
      <c r="U54" t="str">
        <f ca="1" t="shared" si="7"/>
        <v>7.5-16t LNG truck -- 19%</v>
      </c>
      <c r="V54" s="309" t="s">
        <v>84</v>
      </c>
      <c r="W54" s="309" t="s">
        <v>85</v>
      </c>
    </row>
    <row r="55" spans="2:23">
      <c r="B55" s="85">
        <v>0.24412581421453</v>
      </c>
      <c r="C55" s="86">
        <v>111288.922874223</v>
      </c>
      <c r="D55" s="86">
        <v>106125.513823974</v>
      </c>
      <c r="E55" s="86">
        <v>106125.513823974</v>
      </c>
      <c r="F55" s="86">
        <v>106125.513823974</v>
      </c>
      <c r="I55" s="305">
        <f t="shared" si="22"/>
        <v>1.09517487132553</v>
      </c>
      <c r="J55" t="str">
        <f t="shared" si="16"/>
        <v>Trd_hdt_lng</v>
      </c>
      <c r="K55" t="str">
        <f t="shared" si="17"/>
        <v>Trd_hdt_lng_24</v>
      </c>
      <c r="L55" t="str">
        <f t="shared" si="3"/>
        <v>Trd_hdt</v>
      </c>
      <c r="M55" s="306">
        <f t="shared" si="18"/>
        <v>111288.922874223</v>
      </c>
      <c r="N55" s="306">
        <f t="shared" si="19"/>
        <v>106125.513823974</v>
      </c>
      <c r="O55" s="306">
        <f t="shared" si="20"/>
        <v>106125.513823974</v>
      </c>
      <c r="P55" s="306">
        <f t="shared" si="21"/>
        <v>106125.513823974</v>
      </c>
      <c r="T55" t="str">
        <f t="shared" si="6"/>
        <v>Trd_hdt_lng_24</v>
      </c>
      <c r="U55" t="str">
        <f ca="1" t="shared" si="7"/>
        <v>7.5-16t LNG truck -- 24%</v>
      </c>
      <c r="V55" s="309" t="s">
        <v>84</v>
      </c>
      <c r="W55" s="309" t="s">
        <v>85</v>
      </c>
    </row>
    <row r="56" spans="2:23">
      <c r="B56" s="85">
        <v>0.26412581421453</v>
      </c>
      <c r="C56" s="86">
        <v>134190.049294419</v>
      </c>
      <c r="D56" s="86">
        <v>110686.40839146</v>
      </c>
      <c r="E56" s="86">
        <v>110572.383481946</v>
      </c>
      <c r="F56" s="86">
        <v>110572.383481946</v>
      </c>
      <c r="I56" s="305">
        <f t="shared" si="22"/>
        <v>1.11278040380163</v>
      </c>
      <c r="J56" t="str">
        <f t="shared" si="16"/>
        <v>Trd_hdt_lng</v>
      </c>
      <c r="K56" t="str">
        <f t="shared" si="17"/>
        <v>Trd_hdt_lng_26</v>
      </c>
      <c r="L56" t="str">
        <f t="shared" si="3"/>
        <v>Trd_hdt</v>
      </c>
      <c r="M56" s="306">
        <f t="shared" si="18"/>
        <v>134190.049294419</v>
      </c>
      <c r="N56" s="306">
        <f t="shared" si="19"/>
        <v>110686.40839146</v>
      </c>
      <c r="O56" s="306">
        <f t="shared" si="20"/>
        <v>110572.383481946</v>
      </c>
      <c r="P56" s="306">
        <f t="shared" si="21"/>
        <v>110572.383481946</v>
      </c>
      <c r="T56" t="str">
        <f t="shared" si="6"/>
        <v>Trd_hdt_lng_26</v>
      </c>
      <c r="U56" t="str">
        <f ca="1" t="shared" si="7"/>
        <v>7.5-16t LNG truck -- 26%</v>
      </c>
      <c r="V56" s="309" t="s">
        <v>84</v>
      </c>
      <c r="W56" s="309" t="s">
        <v>85</v>
      </c>
    </row>
    <row r="57" spans="2:23">
      <c r="B57" s="85">
        <v>0.29412581421453</v>
      </c>
      <c r="C57" s="86">
        <v>208565.028347038</v>
      </c>
      <c r="D57" s="86">
        <v>124627.250339516</v>
      </c>
      <c r="E57" s="86">
        <v>117121.073425628</v>
      </c>
      <c r="F57" s="86">
        <v>117121.073425628</v>
      </c>
      <c r="I57" s="305">
        <f t="shared" si="22"/>
        <v>1.13918870251578</v>
      </c>
      <c r="J57" t="str">
        <f t="shared" si="16"/>
        <v>Trd_hdt_lng</v>
      </c>
      <c r="K57" t="str">
        <f t="shared" si="17"/>
        <v>Trd_hdt_lng_29</v>
      </c>
      <c r="L57" t="str">
        <f t="shared" si="3"/>
        <v>Trd_hdt</v>
      </c>
      <c r="M57" s="306">
        <f t="shared" si="18"/>
        <v>208565.028347038</v>
      </c>
      <c r="N57" s="306">
        <f t="shared" si="19"/>
        <v>124627.250339516</v>
      </c>
      <c r="O57" s="306">
        <f t="shared" si="20"/>
        <v>117121.073425628</v>
      </c>
      <c r="P57" s="306">
        <f t="shared" si="21"/>
        <v>117121.073425628</v>
      </c>
      <c r="T57" t="str">
        <f t="shared" si="6"/>
        <v>Trd_hdt_lng_29</v>
      </c>
      <c r="U57" t="str">
        <f ca="1" t="shared" si="7"/>
        <v>7.5-16t LNG truck -- 29%</v>
      </c>
      <c r="V57" s="309" t="s">
        <v>84</v>
      </c>
      <c r="W57" s="309" t="s">
        <v>85</v>
      </c>
    </row>
    <row r="58" spans="10:23">
      <c r="J58" t="str">
        <f t="shared" ref="J58:J111" si="23">IFERROR(VLOOKUP(C58,$R$1:$S$7,2,FALSE),J57)</f>
        <v>Trd_hdt_lng</v>
      </c>
      <c r="K58" t="str">
        <f t="shared" ref="K58:K103" si="24">IFERROR(IF(VALUE(C58)&gt;2020,J58&amp;"_"&amp;TEXT(B58*100,"00"),"\I:"),"\I:")</f>
        <v>\I:</v>
      </c>
      <c r="L58" t="str">
        <f t="shared" si="3"/>
        <v>\I:</v>
      </c>
      <c r="M58" s="306" t="str">
        <f t="shared" ref="M58:M111" si="25">IF($K58="\I:","",C58)</f>
        <v/>
      </c>
      <c r="N58" s="306" t="str">
        <f t="shared" ref="N58:N111" si="26">IF($K58="\I:","",D58)</f>
        <v/>
      </c>
      <c r="O58" s="306" t="str">
        <f t="shared" ref="O58:O111" si="27">IF($K58="\I:","",E58)</f>
        <v/>
      </c>
      <c r="P58" s="306" t="str">
        <f t="shared" ref="P58:P111" si="28">IF($K58="\I:","",F58)</f>
        <v/>
      </c>
      <c r="T58" t="str">
        <f t="shared" si="6"/>
        <v>\I:</v>
      </c>
      <c r="U58" t="str">
        <f ca="1" t="shared" si="7"/>
        <v>7.5-16t LNG truck -- 00%</v>
      </c>
      <c r="V58" s="309" t="s">
        <v>84</v>
      </c>
      <c r="W58" s="309" t="s">
        <v>85</v>
      </c>
    </row>
    <row r="59" spans="10:23">
      <c r="J59" t="str">
        <f t="shared" si="23"/>
        <v>Trd_hdt_lng</v>
      </c>
      <c r="K59" t="str">
        <f t="shared" si="24"/>
        <v>\I:</v>
      </c>
      <c r="L59" t="str">
        <f t="shared" si="3"/>
        <v>\I:</v>
      </c>
      <c r="M59" s="306" t="str">
        <f t="shared" si="25"/>
        <v/>
      </c>
      <c r="N59" s="306" t="str">
        <f t="shared" si="26"/>
        <v/>
      </c>
      <c r="O59" s="306" t="str">
        <f t="shared" si="27"/>
        <v/>
      </c>
      <c r="P59" s="306" t="str">
        <f t="shared" si="28"/>
        <v/>
      </c>
      <c r="T59" t="str">
        <f t="shared" si="6"/>
        <v>\I:</v>
      </c>
      <c r="U59" t="str">
        <f ca="1" t="shared" si="7"/>
        <v>7.5-16t LNG truck -- 00%</v>
      </c>
      <c r="V59" s="309" t="s">
        <v>84</v>
      </c>
      <c r="W59" s="309" t="s">
        <v>85</v>
      </c>
    </row>
    <row r="60" spans="10:23">
      <c r="J60" t="str">
        <f t="shared" si="23"/>
        <v>Trd_hdt_lng</v>
      </c>
      <c r="K60" t="str">
        <f t="shared" si="24"/>
        <v>\I:</v>
      </c>
      <c r="L60" t="str">
        <f t="shared" si="3"/>
        <v>\I:</v>
      </c>
      <c r="M60" s="306" t="str">
        <f t="shared" si="25"/>
        <v/>
      </c>
      <c r="N60" s="306" t="str">
        <f t="shared" si="26"/>
        <v/>
      </c>
      <c r="O60" s="306" t="str">
        <f t="shared" si="27"/>
        <v/>
      </c>
      <c r="P60" s="306" t="str">
        <f t="shared" si="28"/>
        <v/>
      </c>
      <c r="T60" t="str">
        <f t="shared" si="6"/>
        <v>\I:</v>
      </c>
      <c r="U60" t="str">
        <f ca="1" t="shared" si="7"/>
        <v>7.5-16t LNG truck -- 00%</v>
      </c>
      <c r="V60" s="309" t="s">
        <v>84</v>
      </c>
      <c r="W60" s="309" t="s">
        <v>85</v>
      </c>
    </row>
    <row r="61" spans="10:23">
      <c r="J61" t="str">
        <f t="shared" si="23"/>
        <v>Trd_hdt_lng</v>
      </c>
      <c r="K61" t="str">
        <f t="shared" si="24"/>
        <v>\I:</v>
      </c>
      <c r="L61" t="str">
        <f t="shared" si="3"/>
        <v>\I:</v>
      </c>
      <c r="M61" s="306" t="str">
        <f t="shared" si="25"/>
        <v/>
      </c>
      <c r="N61" s="306" t="str">
        <f t="shared" si="26"/>
        <v/>
      </c>
      <c r="O61" s="306" t="str">
        <f t="shared" si="27"/>
        <v/>
      </c>
      <c r="P61" s="306" t="str">
        <f t="shared" si="28"/>
        <v/>
      </c>
      <c r="T61" t="str">
        <f t="shared" si="6"/>
        <v>\I:</v>
      </c>
      <c r="U61" t="str">
        <f ca="1" t="shared" si="7"/>
        <v>7.5-16t LNG truck -- 00%</v>
      </c>
      <c r="V61" s="309" t="s">
        <v>84</v>
      </c>
      <c r="W61" s="309" t="s">
        <v>85</v>
      </c>
    </row>
    <row r="62" spans="2:23">
      <c r="B62" s="43" t="s">
        <v>122</v>
      </c>
      <c r="J62" t="str">
        <f t="shared" si="23"/>
        <v>Trd_hdt_lng</v>
      </c>
      <c r="K62" t="str">
        <f t="shared" si="24"/>
        <v>\I:</v>
      </c>
      <c r="L62" t="str">
        <f t="shared" si="3"/>
        <v>\I:</v>
      </c>
      <c r="M62" s="306" t="str">
        <f t="shared" si="25"/>
        <v/>
      </c>
      <c r="N62" s="306" t="str">
        <f t="shared" si="26"/>
        <v/>
      </c>
      <c r="O62" s="306" t="str">
        <f t="shared" si="27"/>
        <v/>
      </c>
      <c r="P62" s="306" t="str">
        <f t="shared" si="28"/>
        <v/>
      </c>
      <c r="T62" t="str">
        <f t="shared" si="6"/>
        <v>\I:</v>
      </c>
      <c r="U62" t="str">
        <f ca="1" t="shared" si="7"/>
        <v>7.5-16t LNG truck -- Reference values for LPG truck 7.5-16t</v>
      </c>
      <c r="V62" s="309" t="s">
        <v>84</v>
      </c>
      <c r="W62" s="309" t="s">
        <v>85</v>
      </c>
    </row>
    <row r="63" spans="2:23">
      <c r="B63" s="298">
        <v>2015</v>
      </c>
      <c r="C63" s="298"/>
      <c r="D63" s="298"/>
      <c r="J63" t="str">
        <f t="shared" si="23"/>
        <v>Trd_hdt_lng</v>
      </c>
      <c r="K63" t="str">
        <f t="shared" si="24"/>
        <v>\I:</v>
      </c>
      <c r="L63" t="str">
        <f t="shared" si="3"/>
        <v>\I:</v>
      </c>
      <c r="M63" s="306" t="str">
        <f t="shared" si="25"/>
        <v/>
      </c>
      <c r="N63" s="306" t="str">
        <f t="shared" si="26"/>
        <v/>
      </c>
      <c r="O63" s="306" t="str">
        <f t="shared" si="27"/>
        <v/>
      </c>
      <c r="P63" s="306" t="str">
        <f t="shared" si="28"/>
        <v/>
      </c>
      <c r="T63" t="str">
        <f t="shared" si="6"/>
        <v>\I:</v>
      </c>
      <c r="U63" t="str">
        <f ca="1" t="shared" si="7"/>
        <v>7.5-16t LNG truck -- 201500%</v>
      </c>
      <c r="V63" s="309" t="s">
        <v>84</v>
      </c>
      <c r="W63" s="309" t="s">
        <v>85</v>
      </c>
    </row>
    <row r="64" spans="2:23">
      <c r="B64" s="45" t="s">
        <v>12</v>
      </c>
      <c r="C64" s="46" t="s">
        <v>13</v>
      </c>
      <c r="D64" s="47">
        <v>23.0366698668345</v>
      </c>
      <c r="G64" s="299">
        <f>D64*$I$6/100*10^9/10^6</f>
        <v>5.89508381892295</v>
      </c>
      <c r="H64" s="299"/>
      <c r="I64" s="299">
        <f>1/G64</f>
        <v>0.169632872189204</v>
      </c>
      <c r="J64" t="str">
        <f t="shared" si="23"/>
        <v>Trd_hdt_lng</v>
      </c>
      <c r="K64" t="str">
        <f t="shared" si="24"/>
        <v>\I:</v>
      </c>
      <c r="L64" t="str">
        <f t="shared" si="3"/>
        <v>\I:</v>
      </c>
      <c r="M64" s="306" t="str">
        <f t="shared" si="25"/>
        <v/>
      </c>
      <c r="N64" s="306" t="str">
        <f t="shared" si="26"/>
        <v/>
      </c>
      <c r="O64" s="306" t="str">
        <f t="shared" si="27"/>
        <v/>
      </c>
      <c r="P64" s="306" t="str">
        <f t="shared" si="28"/>
        <v/>
      </c>
      <c r="T64" t="str">
        <f t="shared" si="6"/>
        <v>\I:</v>
      </c>
      <c r="U64" t="str">
        <f ca="1" t="shared" si="7"/>
        <v>7.5-16t LNG truck -- Energy consumption</v>
      </c>
      <c r="V64" s="309" t="s">
        <v>84</v>
      </c>
      <c r="W64" s="309" t="s">
        <v>85</v>
      </c>
    </row>
    <row r="65" ht="15.75" customHeight="1" spans="2:23">
      <c r="B65" s="45" t="s">
        <v>14</v>
      </c>
      <c r="C65" s="46" t="s">
        <v>15</v>
      </c>
      <c r="D65" s="68">
        <v>87115.9084188155</v>
      </c>
      <c r="I65" s="43" t="s">
        <v>70</v>
      </c>
      <c r="J65" t="str">
        <f t="shared" si="23"/>
        <v>Trd_hdt_lng</v>
      </c>
      <c r="K65" t="str">
        <f t="shared" si="24"/>
        <v>\I:</v>
      </c>
      <c r="L65" t="str">
        <f t="shared" si="3"/>
        <v>\I:</v>
      </c>
      <c r="M65" s="306" t="str">
        <f t="shared" si="25"/>
        <v/>
      </c>
      <c r="N65" s="306" t="str">
        <f t="shared" si="26"/>
        <v/>
      </c>
      <c r="O65" s="306" t="str">
        <f t="shared" si="27"/>
        <v/>
      </c>
      <c r="P65" s="306" t="str">
        <f t="shared" si="28"/>
        <v/>
      </c>
      <c r="T65" t="str">
        <f t="shared" si="6"/>
        <v>\I:</v>
      </c>
      <c r="U65" t="str">
        <f ca="1" t="shared" si="7"/>
        <v>7.5-16t LNG truck -- Capital cost</v>
      </c>
      <c r="V65" s="309" t="s">
        <v>84</v>
      </c>
      <c r="W65" s="309" t="s">
        <v>85</v>
      </c>
    </row>
    <row r="66" ht="15.75" customHeight="1" spans="2:23">
      <c r="B66"/>
      <c r="J66" t="str">
        <f t="shared" si="23"/>
        <v>Trd_hdt_lng</v>
      </c>
      <c r="K66" t="str">
        <f t="shared" si="24"/>
        <v>\I:</v>
      </c>
      <c r="L66" t="str">
        <f t="shared" si="3"/>
        <v>\I:</v>
      </c>
      <c r="M66" s="306" t="str">
        <f t="shared" si="25"/>
        <v/>
      </c>
      <c r="N66" s="306" t="str">
        <f t="shared" si="26"/>
        <v/>
      </c>
      <c r="O66" s="306" t="str">
        <f t="shared" si="27"/>
        <v/>
      </c>
      <c r="P66" s="306" t="str">
        <f t="shared" si="28"/>
        <v/>
      </c>
      <c r="T66" t="str">
        <f t="shared" si="6"/>
        <v>\I:</v>
      </c>
      <c r="U66" t="str">
        <f ca="1" t="shared" si="7"/>
        <v>7.5-16t LNG truck -- 00%</v>
      </c>
      <c r="V66" s="309" t="s">
        <v>84</v>
      </c>
      <c r="W66" s="309" t="s">
        <v>85</v>
      </c>
    </row>
    <row r="67" ht="15.75" customHeight="1" spans="2:23">
      <c r="B67" s="315" t="s">
        <v>123</v>
      </c>
      <c r="C67" s="300" t="s">
        <v>115</v>
      </c>
      <c r="D67" s="315"/>
      <c r="E67" s="315"/>
      <c r="F67" s="315"/>
      <c r="J67" t="str">
        <f t="shared" si="23"/>
        <v>\I:Trd_hdt_lpg</v>
      </c>
      <c r="K67" t="str">
        <f t="shared" si="24"/>
        <v>\I:</v>
      </c>
      <c r="L67" t="str">
        <f t="shared" si="3"/>
        <v>\I:</v>
      </c>
      <c r="M67" s="306" t="str">
        <f t="shared" si="25"/>
        <v/>
      </c>
      <c r="N67" s="306" t="str">
        <f t="shared" si="26"/>
        <v/>
      </c>
      <c r="O67" s="306" t="str">
        <f t="shared" si="27"/>
        <v/>
      </c>
      <c r="P67" s="306" t="str">
        <f t="shared" si="28"/>
        <v/>
      </c>
      <c r="T67" t="str">
        <f t="shared" si="6"/>
        <v>\I:</v>
      </c>
      <c r="U67" t="str">
        <f ca="1" t="shared" si="7"/>
        <v>7.5-16t LPG truck -- Reduction of specific energy consumption relative to 2015  LPG vehicle(%)</v>
      </c>
      <c r="V67" s="309" t="s">
        <v>84</v>
      </c>
      <c r="W67" s="309" t="s">
        <v>85</v>
      </c>
    </row>
    <row r="68" spans="2:23">
      <c r="B68" s="315"/>
      <c r="C68" s="300"/>
      <c r="D68" s="315"/>
      <c r="E68" s="315"/>
      <c r="F68" s="315"/>
      <c r="J68" t="str">
        <f t="shared" si="23"/>
        <v>\I:Trd_hdt_lpg</v>
      </c>
      <c r="K68" t="str">
        <f t="shared" si="24"/>
        <v>\I:</v>
      </c>
      <c r="L68" t="str">
        <f t="shared" si="3"/>
        <v>\I:</v>
      </c>
      <c r="M68" s="306" t="str">
        <f t="shared" si="25"/>
        <v/>
      </c>
      <c r="N68" s="306" t="str">
        <f t="shared" si="26"/>
        <v/>
      </c>
      <c r="O68" s="306" t="str">
        <f t="shared" si="27"/>
        <v/>
      </c>
      <c r="P68" s="306" t="str">
        <f t="shared" si="28"/>
        <v/>
      </c>
      <c r="T68" t="str">
        <f t="shared" si="6"/>
        <v>\I:</v>
      </c>
      <c r="U68" t="str">
        <f ca="1" t="shared" si="7"/>
        <v>7.5-16t LPG truck -- 00%</v>
      </c>
      <c r="V68" s="309" t="s">
        <v>84</v>
      </c>
      <c r="W68" s="309" t="s">
        <v>85</v>
      </c>
    </row>
    <row r="69" spans="2:23">
      <c r="B69" s="315"/>
      <c r="C69" s="300"/>
      <c r="D69" s="315"/>
      <c r="E69" s="315"/>
      <c r="F69" s="315"/>
      <c r="J69" t="str">
        <f t="shared" si="23"/>
        <v>\I:Trd_hdt_lpg</v>
      </c>
      <c r="K69" t="str">
        <f t="shared" si="24"/>
        <v>\I:</v>
      </c>
      <c r="L69" t="str">
        <f t="shared" si="3"/>
        <v>\I:</v>
      </c>
      <c r="M69" s="306" t="str">
        <f t="shared" si="25"/>
        <v/>
      </c>
      <c r="N69" s="306" t="str">
        <f t="shared" si="26"/>
        <v/>
      </c>
      <c r="O69" s="306" t="str">
        <f t="shared" si="27"/>
        <v/>
      </c>
      <c r="P69" s="306" t="str">
        <f t="shared" si="28"/>
        <v/>
      </c>
      <c r="T69" t="str">
        <f t="shared" si="6"/>
        <v>\I:</v>
      </c>
      <c r="U69" t="str">
        <f ca="1" t="shared" si="7"/>
        <v>7.5-16t LPG truck -- 00%</v>
      </c>
      <c r="V69" s="309" t="s">
        <v>84</v>
      </c>
      <c r="W69" s="309" t="s">
        <v>85</v>
      </c>
    </row>
    <row r="70" spans="2:23">
      <c r="B70" s="88"/>
      <c r="C70" s="50">
        <v>2020</v>
      </c>
      <c r="D70" s="50">
        <v>2030</v>
      </c>
      <c r="E70" s="50">
        <v>2040</v>
      </c>
      <c r="F70" s="50">
        <v>2050</v>
      </c>
      <c r="J70" t="str">
        <f t="shared" si="23"/>
        <v>\I:Trd_hdt_lpg</v>
      </c>
      <c r="K70" t="str">
        <f t="shared" si="24"/>
        <v>\I:</v>
      </c>
      <c r="L70" t="str">
        <f t="shared" si="3"/>
        <v>\I:</v>
      </c>
      <c r="M70" s="306" t="str">
        <f t="shared" si="25"/>
        <v/>
      </c>
      <c r="N70" s="306" t="str">
        <f t="shared" si="26"/>
        <v/>
      </c>
      <c r="O70" s="306" t="str">
        <f t="shared" si="27"/>
        <v/>
      </c>
      <c r="P70" s="306" t="str">
        <f t="shared" si="28"/>
        <v/>
      </c>
      <c r="T70" t="str">
        <f t="shared" si="6"/>
        <v>\I:</v>
      </c>
      <c r="U70" t="str">
        <f ca="1" t="shared" si="7"/>
        <v>7.5-16t LPG truck -- 00%</v>
      </c>
      <c r="V70" s="309" t="s">
        <v>84</v>
      </c>
      <c r="W70" s="309" t="s">
        <v>85</v>
      </c>
    </row>
    <row r="71" spans="2:23">
      <c r="B71" s="85">
        <v>0.0441258142145298</v>
      </c>
      <c r="C71" s="86">
        <v>87998.5936057443</v>
      </c>
      <c r="D71" s="86">
        <v>87998.5936057443</v>
      </c>
      <c r="E71" s="86">
        <v>87998.5936057443</v>
      </c>
      <c r="F71" s="86">
        <v>87998.5936057443</v>
      </c>
      <c r="I71" s="305">
        <f t="shared" ref="I71:I77" si="29">$I$64*(1+B71)/$I$7</f>
        <v>1.27088517351656</v>
      </c>
      <c r="J71" t="str">
        <f t="shared" si="23"/>
        <v>\I:Trd_hdt_lpg</v>
      </c>
      <c r="K71" t="str">
        <f t="shared" si="24"/>
        <v>\I:Trd_hdt_lpg_04</v>
      </c>
      <c r="L71" t="str">
        <f t="shared" si="3"/>
        <v>\I:Trd_</v>
      </c>
      <c r="M71" s="306">
        <f t="shared" si="25"/>
        <v>87998.5936057443</v>
      </c>
      <c r="N71" s="306">
        <f t="shared" si="26"/>
        <v>87998.5936057443</v>
      </c>
      <c r="O71" s="306">
        <f t="shared" si="27"/>
        <v>87998.5936057443</v>
      </c>
      <c r="P71" s="306">
        <f t="shared" si="28"/>
        <v>87998.5936057443</v>
      </c>
      <c r="T71" t="str">
        <f t="shared" si="6"/>
        <v>\I:Trd_hdt_lpg_04</v>
      </c>
      <c r="U71" t="str">
        <f ca="1" t="shared" si="7"/>
        <v>7.5-16t LPG truck -- 04%</v>
      </c>
      <c r="V71" s="309" t="s">
        <v>84</v>
      </c>
      <c r="W71" s="309" t="s">
        <v>85</v>
      </c>
    </row>
    <row r="72" spans="2:23">
      <c r="B72" s="85">
        <v>0.0941258142145298</v>
      </c>
      <c r="C72" s="86">
        <v>89431.0263664373</v>
      </c>
      <c r="D72" s="86">
        <v>88944.0778270753</v>
      </c>
      <c r="E72" s="86">
        <v>88944.0778270753</v>
      </c>
      <c r="F72" s="86">
        <v>88944.0778270753</v>
      </c>
      <c r="I72" s="305">
        <f t="shared" si="29"/>
        <v>1.33174398747437</v>
      </c>
      <c r="J72" t="str">
        <f t="shared" si="23"/>
        <v>\I:Trd_hdt_lpg</v>
      </c>
      <c r="K72" t="str">
        <f t="shared" si="24"/>
        <v>\I:Trd_hdt_lpg_09</v>
      </c>
      <c r="L72" t="str">
        <f t="shared" si="3"/>
        <v>\I:Trd_</v>
      </c>
      <c r="M72" s="306">
        <f t="shared" si="25"/>
        <v>89431.0263664373</v>
      </c>
      <c r="N72" s="306">
        <f t="shared" si="26"/>
        <v>88944.0778270753</v>
      </c>
      <c r="O72" s="306">
        <f t="shared" si="27"/>
        <v>88944.0778270753</v>
      </c>
      <c r="P72" s="306">
        <f t="shared" si="28"/>
        <v>88944.0778270753</v>
      </c>
      <c r="T72" t="str">
        <f t="shared" si="6"/>
        <v>\I:Trd_hdt_lpg_09</v>
      </c>
      <c r="U72" t="str">
        <f ca="1" t="shared" si="7"/>
        <v>7.5-16t LPG truck -- 09%</v>
      </c>
      <c r="V72" s="309" t="s">
        <v>84</v>
      </c>
      <c r="W72" s="309" t="s">
        <v>85</v>
      </c>
    </row>
    <row r="73" spans="2:23">
      <c r="B73" s="85">
        <v>0.14412581421453</v>
      </c>
      <c r="C73" s="86">
        <v>90730.0026080037</v>
      </c>
      <c r="D73" s="86">
        <v>90336.4467266314</v>
      </c>
      <c r="E73" s="86">
        <v>90336.4467266314</v>
      </c>
      <c r="F73" s="86">
        <v>90336.4467266314</v>
      </c>
      <c r="I73" s="305">
        <f t="shared" si="29"/>
        <v>1.39260280143217</v>
      </c>
      <c r="J73" t="str">
        <f t="shared" si="23"/>
        <v>\I:Trd_hdt_lpg</v>
      </c>
      <c r="K73" t="str">
        <f t="shared" si="24"/>
        <v>\I:Trd_hdt_lpg_14</v>
      </c>
      <c r="L73" t="str">
        <f t="shared" si="3"/>
        <v>\I:Trd_</v>
      </c>
      <c r="M73" s="306">
        <f t="shared" si="25"/>
        <v>90730.0026080037</v>
      </c>
      <c r="N73" s="306">
        <f t="shared" si="26"/>
        <v>90336.4467266314</v>
      </c>
      <c r="O73" s="306">
        <f t="shared" si="27"/>
        <v>90336.4467266314</v>
      </c>
      <c r="P73" s="306">
        <f t="shared" si="28"/>
        <v>90336.4467266314</v>
      </c>
      <c r="T73" t="str">
        <f t="shared" si="6"/>
        <v>\I:Trd_hdt_lpg_14</v>
      </c>
      <c r="U73" t="str">
        <f ca="1" t="shared" si="7"/>
        <v>7.5-16t LPG truck -- 14%</v>
      </c>
      <c r="V73" s="309" t="s">
        <v>84</v>
      </c>
      <c r="W73" s="309" t="s">
        <v>85</v>
      </c>
    </row>
    <row r="74" spans="2:23">
      <c r="B74" s="85">
        <v>0.19412581421453</v>
      </c>
      <c r="C74" s="86">
        <v>96261.8697309267</v>
      </c>
      <c r="D74" s="86">
        <v>92386.9210853906</v>
      </c>
      <c r="E74" s="86">
        <v>92386.9210853906</v>
      </c>
      <c r="F74" s="86">
        <v>92386.9210853906</v>
      </c>
      <c r="I74" s="305">
        <f t="shared" si="29"/>
        <v>1.45346161538998</v>
      </c>
      <c r="J74" t="str">
        <f t="shared" si="23"/>
        <v>\I:Trd_hdt_lpg</v>
      </c>
      <c r="K74" t="str">
        <f t="shared" si="24"/>
        <v>\I:Trd_hdt_lpg_19</v>
      </c>
      <c r="L74" t="str">
        <f t="shared" si="3"/>
        <v>\I:Trd_</v>
      </c>
      <c r="M74" s="306">
        <f t="shared" si="25"/>
        <v>96261.8697309267</v>
      </c>
      <c r="N74" s="306">
        <f t="shared" si="26"/>
        <v>92386.9210853906</v>
      </c>
      <c r="O74" s="306">
        <f t="shared" si="27"/>
        <v>92386.9210853906</v>
      </c>
      <c r="P74" s="306">
        <f t="shared" si="28"/>
        <v>92386.9210853906</v>
      </c>
      <c r="T74" t="str">
        <f t="shared" si="6"/>
        <v>\I:Trd_hdt_lpg_19</v>
      </c>
      <c r="U74" t="str">
        <f ca="1" t="shared" si="7"/>
        <v>7.5-16t LPG truck -- 19%</v>
      </c>
      <c r="V74" s="309" t="s">
        <v>84</v>
      </c>
      <c r="W74" s="309" t="s">
        <v>85</v>
      </c>
    </row>
    <row r="75" spans="2:23">
      <c r="B75" s="85">
        <v>0.24412581421453</v>
      </c>
      <c r="C75" s="86">
        <v>100569.96458544</v>
      </c>
      <c r="D75" s="86">
        <v>95406.5555351904</v>
      </c>
      <c r="E75" s="86">
        <v>95406.5555351904</v>
      </c>
      <c r="F75" s="86">
        <v>95406.5555351904</v>
      </c>
      <c r="I75" s="305">
        <f t="shared" si="29"/>
        <v>1.51432042934779</v>
      </c>
      <c r="J75" t="str">
        <f t="shared" si="23"/>
        <v>\I:Trd_hdt_lpg</v>
      </c>
      <c r="K75" t="str">
        <f t="shared" si="24"/>
        <v>\I:Trd_hdt_lpg_24</v>
      </c>
      <c r="L75" t="str">
        <f t="shared" si="3"/>
        <v>\I:Trd_</v>
      </c>
      <c r="M75" s="306">
        <f t="shared" si="25"/>
        <v>100569.96458544</v>
      </c>
      <c r="N75" s="306">
        <f t="shared" si="26"/>
        <v>95406.5555351904</v>
      </c>
      <c r="O75" s="306">
        <f t="shared" si="27"/>
        <v>95406.5555351904</v>
      </c>
      <c r="P75" s="306">
        <f t="shared" si="28"/>
        <v>95406.5555351904</v>
      </c>
      <c r="T75" t="str">
        <f t="shared" si="6"/>
        <v>\I:Trd_hdt_lpg_24</v>
      </c>
      <c r="U75" t="str">
        <f ca="1" t="shared" si="7"/>
        <v>7.5-16t LPG truck -- 24%</v>
      </c>
      <c r="V75" s="309" t="s">
        <v>84</v>
      </c>
      <c r="W75" s="309" t="s">
        <v>85</v>
      </c>
    </row>
    <row r="76" spans="2:23">
      <c r="B76" s="85">
        <v>0.26412581421453</v>
      </c>
      <c r="C76" s="86">
        <v>123471.091005636</v>
      </c>
      <c r="D76" s="86">
        <v>99967.4501026767</v>
      </c>
      <c r="E76" s="86">
        <v>99853.4251931631</v>
      </c>
      <c r="F76" s="86">
        <v>99853.4251931631</v>
      </c>
      <c r="I76" s="305">
        <f t="shared" si="29"/>
        <v>1.53866395493092</v>
      </c>
      <c r="J76" t="str">
        <f t="shared" si="23"/>
        <v>\I:Trd_hdt_lpg</v>
      </c>
      <c r="K76" t="str">
        <f t="shared" si="24"/>
        <v>\I:Trd_hdt_lpg_26</v>
      </c>
      <c r="L76" t="str">
        <f t="shared" si="3"/>
        <v>\I:Trd_</v>
      </c>
      <c r="M76" s="306">
        <f t="shared" si="25"/>
        <v>123471.091005636</v>
      </c>
      <c r="N76" s="306">
        <f t="shared" si="26"/>
        <v>99967.4501026767</v>
      </c>
      <c r="O76" s="306">
        <f t="shared" si="27"/>
        <v>99853.4251931631</v>
      </c>
      <c r="P76" s="306">
        <f t="shared" si="28"/>
        <v>99853.4251931631</v>
      </c>
      <c r="T76" t="str">
        <f t="shared" si="6"/>
        <v>\I:Trd_hdt_lpg_26</v>
      </c>
      <c r="U76" t="str">
        <f ca="1" t="shared" si="7"/>
        <v>7.5-16t LPG truck -- 26%</v>
      </c>
      <c r="V76" s="309" t="s">
        <v>84</v>
      </c>
      <c r="W76" s="309" t="s">
        <v>85</v>
      </c>
    </row>
    <row r="77" spans="2:23">
      <c r="B77" s="85">
        <v>0.29412581421453</v>
      </c>
      <c r="C77" s="86">
        <v>197846.070058255</v>
      </c>
      <c r="D77" s="86">
        <v>113908.292050733</v>
      </c>
      <c r="E77" s="86">
        <v>106402.115136845</v>
      </c>
      <c r="F77" s="86">
        <v>106402.115136845</v>
      </c>
      <c r="I77" s="305">
        <f t="shared" si="29"/>
        <v>1.5751792433056</v>
      </c>
      <c r="J77" t="str">
        <f t="shared" si="23"/>
        <v>\I:Trd_hdt_lpg</v>
      </c>
      <c r="K77" t="str">
        <f t="shared" si="24"/>
        <v>\I:Trd_hdt_lpg_29</v>
      </c>
      <c r="L77" t="str">
        <f t="shared" ref="L77:L111" si="30">LEFT(K77,7)</f>
        <v>\I:Trd_</v>
      </c>
      <c r="M77" s="306">
        <f t="shared" si="25"/>
        <v>197846.070058255</v>
      </c>
      <c r="N77" s="306">
        <f t="shared" si="26"/>
        <v>113908.292050733</v>
      </c>
      <c r="O77" s="306">
        <f t="shared" si="27"/>
        <v>106402.115136845</v>
      </c>
      <c r="P77" s="306">
        <f t="shared" si="28"/>
        <v>106402.115136845</v>
      </c>
      <c r="T77" t="str">
        <f t="shared" si="6"/>
        <v>\I:Trd_hdt_lpg_29</v>
      </c>
      <c r="U77" t="str">
        <f ca="1" t="shared" si="7"/>
        <v>7.5-16t LPG truck -- 29%</v>
      </c>
      <c r="V77" s="309" t="s">
        <v>84</v>
      </c>
      <c r="W77" s="309" t="s">
        <v>85</v>
      </c>
    </row>
    <row r="78" spans="10:23">
      <c r="J78" t="str">
        <f t="shared" si="23"/>
        <v>\I:Trd_hdt_lpg</v>
      </c>
      <c r="K78" t="str">
        <f t="shared" si="24"/>
        <v>\I:</v>
      </c>
      <c r="L78" t="str">
        <f t="shared" si="30"/>
        <v>\I:</v>
      </c>
      <c r="M78" s="306" t="str">
        <f t="shared" si="25"/>
        <v/>
      </c>
      <c r="N78" s="306" t="str">
        <f t="shared" si="26"/>
        <v/>
      </c>
      <c r="O78" s="306" t="str">
        <f t="shared" si="27"/>
        <v/>
      </c>
      <c r="P78" s="306" t="str">
        <f t="shared" si="28"/>
        <v/>
      </c>
      <c r="T78" t="str">
        <f t="shared" si="6"/>
        <v>\I:</v>
      </c>
      <c r="U78" t="str">
        <f ca="1" t="shared" si="7"/>
        <v>7.5-16t LPG truck -- 00%</v>
      </c>
      <c r="V78" s="309" t="s">
        <v>84</v>
      </c>
      <c r="W78" s="309" t="s">
        <v>85</v>
      </c>
    </row>
    <row r="79" spans="10:23">
      <c r="J79" t="str">
        <f t="shared" si="23"/>
        <v>\I:Trd_hdt_lpg</v>
      </c>
      <c r="K79" t="str">
        <f t="shared" si="24"/>
        <v>\I:</v>
      </c>
      <c r="L79" t="str">
        <f t="shared" si="30"/>
        <v>\I:</v>
      </c>
      <c r="M79" s="306" t="str">
        <f t="shared" si="25"/>
        <v/>
      </c>
      <c r="N79" s="306" t="str">
        <f t="shared" si="26"/>
        <v/>
      </c>
      <c r="O79" s="306" t="str">
        <f t="shared" si="27"/>
        <v/>
      </c>
      <c r="P79" s="306" t="str">
        <f t="shared" si="28"/>
        <v/>
      </c>
      <c r="T79" t="str">
        <f t="shared" ref="T79:T111" si="31">K79</f>
        <v>\I:</v>
      </c>
      <c r="U79" t="str">
        <f ca="1" t="shared" ref="U79:U103" si="32">OFFSET($S$1,MATCH(J79,$S$1:$S$11,0)-1,-1)&amp;" -- "&amp;TEXT(B79,"00%")</f>
        <v>7.5-16t LPG truck -- 00%</v>
      </c>
      <c r="V79" s="309" t="s">
        <v>84</v>
      </c>
      <c r="W79" s="309" t="s">
        <v>85</v>
      </c>
    </row>
    <row r="80" spans="10:23">
      <c r="J80" t="str">
        <f t="shared" si="23"/>
        <v>\I:Trd_hdt_lpg</v>
      </c>
      <c r="K80" t="str">
        <f t="shared" si="24"/>
        <v>\I:</v>
      </c>
      <c r="L80" t="str">
        <f t="shared" si="30"/>
        <v>\I:</v>
      </c>
      <c r="M80" s="306" t="str">
        <f t="shared" si="25"/>
        <v/>
      </c>
      <c r="N80" s="306" t="str">
        <f t="shared" si="26"/>
        <v/>
      </c>
      <c r="O80" s="306" t="str">
        <f t="shared" si="27"/>
        <v/>
      </c>
      <c r="P80" s="306" t="str">
        <f t="shared" si="28"/>
        <v/>
      </c>
      <c r="T80" t="str">
        <f t="shared" si="31"/>
        <v>\I:</v>
      </c>
      <c r="U80" t="str">
        <f ca="1" t="shared" si="32"/>
        <v>7.5-16t LPG truck -- 00%</v>
      </c>
      <c r="V80" s="309" t="s">
        <v>84</v>
      </c>
      <c r="W80" s="309" t="s">
        <v>85</v>
      </c>
    </row>
    <row r="81" spans="2:23">
      <c r="B81" s="298">
        <v>2020</v>
      </c>
      <c r="C81" s="298"/>
      <c r="D81" s="298"/>
      <c r="J81" t="str">
        <f t="shared" si="23"/>
        <v>\I:Trd_hdt_lpg</v>
      </c>
      <c r="K81" t="str">
        <f t="shared" si="24"/>
        <v>\I:</v>
      </c>
      <c r="L81" t="str">
        <f t="shared" si="30"/>
        <v>\I:</v>
      </c>
      <c r="M81" s="306" t="str">
        <f t="shared" si="25"/>
        <v/>
      </c>
      <c r="N81" s="306" t="str">
        <f t="shared" si="26"/>
        <v/>
      </c>
      <c r="O81" s="306" t="str">
        <f t="shared" si="27"/>
        <v/>
      </c>
      <c r="P81" s="306" t="str">
        <f t="shared" si="28"/>
        <v/>
      </c>
      <c r="T81" t="str">
        <f t="shared" si="31"/>
        <v>\I:</v>
      </c>
      <c r="U81" t="str">
        <f ca="1" t="shared" si="32"/>
        <v>7.5-16t LPG truck -- 202000%</v>
      </c>
      <c r="V81" s="309" t="s">
        <v>84</v>
      </c>
      <c r="W81" s="309" t="s">
        <v>85</v>
      </c>
    </row>
    <row r="82" spans="2:23">
      <c r="B82" s="45" t="s">
        <v>124</v>
      </c>
      <c r="C82" s="46" t="s">
        <v>26</v>
      </c>
      <c r="D82" s="74">
        <v>0.74</v>
      </c>
      <c r="G82" s="77">
        <f>D82/3.6/100*10^9/10^6</f>
        <v>2.05555555555556</v>
      </c>
      <c r="H82" s="77"/>
      <c r="I82" s="338">
        <f>1/G82-0.15</f>
        <v>0.336486486486486</v>
      </c>
      <c r="J82" t="str">
        <f t="shared" si="23"/>
        <v>\I:Trd_hdt_lpg</v>
      </c>
      <c r="K82" t="str">
        <f t="shared" si="24"/>
        <v>\I:</v>
      </c>
      <c r="L82" t="str">
        <f t="shared" si="30"/>
        <v>\I:</v>
      </c>
      <c r="M82" s="306" t="str">
        <f t="shared" si="25"/>
        <v/>
      </c>
      <c r="N82" s="306" t="str">
        <f t="shared" si="26"/>
        <v/>
      </c>
      <c r="O82" s="306" t="str">
        <f t="shared" si="27"/>
        <v/>
      </c>
      <c r="P82" s="306" t="str">
        <f t="shared" si="28"/>
        <v/>
      </c>
      <c r="T82" t="str">
        <f t="shared" si="31"/>
        <v>\I:</v>
      </c>
      <c r="U82" t="str">
        <f ca="1" t="shared" si="32"/>
        <v>7.5-16t LPG truck -- Energy consumption of 7.5-16t battery electric truck</v>
      </c>
      <c r="V82" s="309" t="s">
        <v>84</v>
      </c>
      <c r="W82" s="309" t="s">
        <v>85</v>
      </c>
    </row>
    <row r="83" spans="9:23">
      <c r="I83" s="311" t="s">
        <v>70</v>
      </c>
      <c r="J83" t="str">
        <f t="shared" si="23"/>
        <v>\I:Trd_hdt_lpg</v>
      </c>
      <c r="K83" t="str">
        <f t="shared" si="24"/>
        <v>\I:</v>
      </c>
      <c r="L83" t="str">
        <f t="shared" si="30"/>
        <v>\I:</v>
      </c>
      <c r="M83" s="306" t="str">
        <f t="shared" si="25"/>
        <v/>
      </c>
      <c r="N83" s="306" t="str">
        <f t="shared" si="26"/>
        <v/>
      </c>
      <c r="O83" s="306" t="str">
        <f t="shared" si="27"/>
        <v/>
      </c>
      <c r="P83" s="306" t="str">
        <f t="shared" si="28"/>
        <v/>
      </c>
      <c r="T83" t="str">
        <f t="shared" si="31"/>
        <v>\I:</v>
      </c>
      <c r="U83" t="str">
        <f ca="1" t="shared" si="32"/>
        <v>7.5-16t LPG truck -- 00%</v>
      </c>
      <c r="V83" s="309" t="s">
        <v>84</v>
      </c>
      <c r="W83" s="309" t="s">
        <v>85</v>
      </c>
    </row>
    <row r="84" spans="10:23">
      <c r="J84" t="str">
        <f t="shared" si="23"/>
        <v>\I:Trd_hdt_lpg</v>
      </c>
      <c r="K84" t="str">
        <f t="shared" si="24"/>
        <v>\I:</v>
      </c>
      <c r="L84" t="str">
        <f t="shared" si="30"/>
        <v>\I:</v>
      </c>
      <c r="M84" s="306" t="str">
        <f t="shared" si="25"/>
        <v/>
      </c>
      <c r="N84" s="306" t="str">
        <f t="shared" si="26"/>
        <v/>
      </c>
      <c r="O84" s="306" t="str">
        <f t="shared" si="27"/>
        <v/>
      </c>
      <c r="P84" s="306" t="str">
        <f t="shared" si="28"/>
        <v/>
      </c>
      <c r="T84" t="str">
        <f t="shared" si="31"/>
        <v>\I:</v>
      </c>
      <c r="U84" t="str">
        <f ca="1" t="shared" si="32"/>
        <v>7.5-16t LPG truck -- 00%</v>
      </c>
      <c r="V84" s="309" t="s">
        <v>84</v>
      </c>
      <c r="W84" s="309" t="s">
        <v>85</v>
      </c>
    </row>
    <row r="85" ht="15" customHeight="1" spans="2:23">
      <c r="B85" s="315" t="s">
        <v>27</v>
      </c>
      <c r="C85" s="300" t="s">
        <v>117</v>
      </c>
      <c r="D85" s="315"/>
      <c r="E85" s="315"/>
      <c r="F85" s="315"/>
      <c r="J85" t="str">
        <f t="shared" si="23"/>
        <v>Trd_hdt_elc</v>
      </c>
      <c r="K85" t="str">
        <f t="shared" si="24"/>
        <v>\I:</v>
      </c>
      <c r="L85" t="str">
        <f t="shared" si="30"/>
        <v>\I:</v>
      </c>
      <c r="M85" s="306" t="str">
        <f t="shared" si="25"/>
        <v/>
      </c>
      <c r="N85" s="306" t="str">
        <f t="shared" si="26"/>
        <v/>
      </c>
      <c r="O85" s="306" t="str">
        <f t="shared" si="27"/>
        <v/>
      </c>
      <c r="P85" s="306" t="str">
        <f t="shared" si="28"/>
        <v/>
      </c>
      <c r="T85" t="str">
        <f t="shared" si="31"/>
        <v>\I:</v>
      </c>
      <c r="U85" t="str">
        <f ca="1" t="shared" si="32"/>
        <v>7.5-16t battery electric truck -- Electric range (km)</v>
      </c>
      <c r="V85" s="309" t="s">
        <v>84</v>
      </c>
      <c r="W85" s="309" t="s">
        <v>85</v>
      </c>
    </row>
    <row r="86" spans="2:23">
      <c r="B86" s="315"/>
      <c r="C86" s="300"/>
      <c r="D86" s="315"/>
      <c r="E86" s="315"/>
      <c r="F86" s="315"/>
      <c r="J86" t="str">
        <f t="shared" si="23"/>
        <v>Trd_hdt_elc</v>
      </c>
      <c r="K86" t="str">
        <f t="shared" si="24"/>
        <v>\I:</v>
      </c>
      <c r="L86" t="str">
        <f t="shared" si="30"/>
        <v>\I:</v>
      </c>
      <c r="M86" s="306" t="str">
        <f t="shared" si="25"/>
        <v/>
      </c>
      <c r="N86" s="306" t="str">
        <f t="shared" si="26"/>
        <v/>
      </c>
      <c r="O86" s="306" t="str">
        <f t="shared" si="27"/>
        <v/>
      </c>
      <c r="P86" s="306" t="str">
        <f t="shared" si="28"/>
        <v/>
      </c>
      <c r="T86" t="str">
        <f t="shared" si="31"/>
        <v>\I:</v>
      </c>
      <c r="U86" t="str">
        <f ca="1" t="shared" si="32"/>
        <v>7.5-16t battery electric truck -- 00%</v>
      </c>
      <c r="V86" s="309" t="s">
        <v>84</v>
      </c>
      <c r="W86" s="309" t="s">
        <v>85</v>
      </c>
    </row>
    <row r="87" spans="2:23">
      <c r="B87" s="315"/>
      <c r="C87" s="300"/>
      <c r="D87" s="315"/>
      <c r="E87" s="315"/>
      <c r="F87" s="315"/>
      <c r="J87" t="str">
        <f t="shared" si="23"/>
        <v>Trd_hdt_elc</v>
      </c>
      <c r="K87" t="str">
        <f t="shared" si="24"/>
        <v>\I:</v>
      </c>
      <c r="L87" t="str">
        <f t="shared" si="30"/>
        <v>\I:</v>
      </c>
      <c r="M87" s="306" t="str">
        <f t="shared" si="25"/>
        <v/>
      </c>
      <c r="N87" s="306" t="str">
        <f t="shared" si="26"/>
        <v/>
      </c>
      <c r="O87" s="306" t="str">
        <f t="shared" si="27"/>
        <v/>
      </c>
      <c r="P87" s="306" t="str">
        <f t="shared" si="28"/>
        <v/>
      </c>
      <c r="T87" t="str">
        <f t="shared" si="31"/>
        <v>\I:</v>
      </c>
      <c r="U87" t="str">
        <f ca="1" t="shared" si="32"/>
        <v>7.5-16t battery electric truck -- 00%</v>
      </c>
      <c r="V87" s="309" t="s">
        <v>84</v>
      </c>
      <c r="W87" s="309" t="s">
        <v>85</v>
      </c>
    </row>
    <row r="88" spans="2:23">
      <c r="B88" s="88"/>
      <c r="C88" s="50">
        <v>2020</v>
      </c>
      <c r="D88" s="50">
        <v>2030</v>
      </c>
      <c r="E88" s="50">
        <v>2040</v>
      </c>
      <c r="F88" s="50">
        <v>2050</v>
      </c>
      <c r="J88" t="str">
        <f t="shared" si="23"/>
        <v>Trd_hdt_elc</v>
      </c>
      <c r="K88" t="str">
        <f t="shared" si="24"/>
        <v>\I:</v>
      </c>
      <c r="L88" t="str">
        <f t="shared" si="30"/>
        <v>\I:</v>
      </c>
      <c r="M88" s="306" t="str">
        <f t="shared" si="25"/>
        <v/>
      </c>
      <c r="N88" s="306" t="str">
        <f t="shared" si="26"/>
        <v/>
      </c>
      <c r="O88" s="306" t="str">
        <f t="shared" si="27"/>
        <v/>
      </c>
      <c r="P88" s="306" t="str">
        <f t="shared" si="28"/>
        <v/>
      </c>
      <c r="T88" t="str">
        <f t="shared" si="31"/>
        <v>\I:</v>
      </c>
      <c r="U88" t="str">
        <f ca="1" t="shared" si="32"/>
        <v>7.5-16t battery electric truck -- 00%</v>
      </c>
      <c r="V88" s="309" t="s">
        <v>84</v>
      </c>
      <c r="W88" s="309" t="s">
        <v>85</v>
      </c>
    </row>
    <row r="89" spans="2:23">
      <c r="B89" s="66">
        <v>150</v>
      </c>
      <c r="C89" s="86">
        <v>144373.905423467</v>
      </c>
      <c r="D89" s="86">
        <v>95780.7302979094</v>
      </c>
      <c r="E89" s="86">
        <v>90629.9070208589</v>
      </c>
      <c r="F89" s="86">
        <v>88752.5161176525</v>
      </c>
      <c r="I89" s="312">
        <f t="shared" ref="I89:I96" si="33">$I$82/$I$7</f>
        <v>2.41441039299943</v>
      </c>
      <c r="J89" t="str">
        <f t="shared" si="23"/>
        <v>Trd_hdt_elc</v>
      </c>
      <c r="K89" t="str">
        <f>IFERROR(IF(VALUE(C89)&gt;2020,J89&amp;"_"&amp;TEXT(B89,"00"),"\I:"),"\I:")</f>
        <v>Trd_hdt_elc_150</v>
      </c>
      <c r="L89" t="str">
        <f t="shared" si="30"/>
        <v>Trd_hdt</v>
      </c>
      <c r="M89" s="306">
        <f t="shared" si="25"/>
        <v>144373.905423467</v>
      </c>
      <c r="N89" s="306">
        <f t="shared" si="26"/>
        <v>95780.7302979094</v>
      </c>
      <c r="O89" s="306">
        <f t="shared" si="27"/>
        <v>90629.9070208589</v>
      </c>
      <c r="P89" s="306">
        <f t="shared" si="28"/>
        <v>88752.5161176525</v>
      </c>
      <c r="Q89" s="43">
        <v>0.01</v>
      </c>
      <c r="T89" t="str">
        <f t="shared" si="31"/>
        <v>Trd_hdt_elc_150</v>
      </c>
      <c r="U89" t="str">
        <f ca="1">OFFSET($S$1,MATCH(J89,$S$1:$S$11,0)-1,-1)&amp;" -- "&amp;TEXT(B89,"000")</f>
        <v>7.5-16t battery electric truck -- 150</v>
      </c>
      <c r="V89" s="309" t="s">
        <v>84</v>
      </c>
      <c r="W89" s="309" t="s">
        <v>85</v>
      </c>
    </row>
    <row r="90" spans="2:23">
      <c r="B90" s="66">
        <v>178.571428571429</v>
      </c>
      <c r="C90" s="86">
        <v>147802.362213157</v>
      </c>
      <c r="D90" s="86">
        <v>97793.4993710964</v>
      </c>
      <c r="E90" s="86">
        <v>92046.7492662401</v>
      </c>
      <c r="F90" s="86">
        <v>89776.9226508232</v>
      </c>
      <c r="I90" s="312">
        <f t="shared" si="33"/>
        <v>2.41441039299943</v>
      </c>
      <c r="J90" t="str">
        <f t="shared" si="23"/>
        <v>Trd_hdt_elc</v>
      </c>
      <c r="K90" t="str">
        <f t="shared" ref="K90:K96" si="34">IFERROR(IF(VALUE(C90)&gt;2020,J90&amp;"_"&amp;TEXT(B90,"00"),"\I:"),"\I:")</f>
        <v>Trd_hdt_elc_179</v>
      </c>
      <c r="L90" t="str">
        <f t="shared" si="30"/>
        <v>Trd_hdt</v>
      </c>
      <c r="M90" s="306">
        <f t="shared" si="25"/>
        <v>147802.362213157</v>
      </c>
      <c r="N90" s="306">
        <f t="shared" si="26"/>
        <v>97793.4993710964</v>
      </c>
      <c r="O90" s="306">
        <f t="shared" si="27"/>
        <v>92046.7492662401</v>
      </c>
      <c r="P90" s="306">
        <f t="shared" si="28"/>
        <v>89776.9226508232</v>
      </c>
      <c r="Q90" s="43">
        <v>0.01</v>
      </c>
      <c r="T90" t="str">
        <f t="shared" si="31"/>
        <v>Trd_hdt_elc_179</v>
      </c>
      <c r="U90" t="str">
        <f ca="1" t="shared" ref="U90:U96" si="35">OFFSET($S$1,MATCH(J90,$S$1:$S$11,0)-1,-1)&amp;" -- "&amp;TEXT(B90,"000")</f>
        <v>7.5-16t battery electric truck -- 179</v>
      </c>
      <c r="V90" s="309" t="s">
        <v>84</v>
      </c>
      <c r="W90" s="309" t="s">
        <v>85</v>
      </c>
    </row>
    <row r="91" spans="2:23">
      <c r="B91" s="66">
        <v>207.142857142857</v>
      </c>
      <c r="C91" s="86">
        <v>149288.810561655</v>
      </c>
      <c r="D91" s="86">
        <v>100585.833714969</v>
      </c>
      <c r="E91" s="86">
        <v>93658.4385500626</v>
      </c>
      <c r="F91" s="86">
        <v>90964.2849465796</v>
      </c>
      <c r="I91" s="312">
        <f t="shared" si="33"/>
        <v>2.41441039299943</v>
      </c>
      <c r="J91" t="str">
        <f t="shared" si="23"/>
        <v>Trd_hdt_elc</v>
      </c>
      <c r="K91" t="str">
        <f t="shared" si="34"/>
        <v>Trd_hdt_elc_207</v>
      </c>
      <c r="L91" t="str">
        <f t="shared" si="30"/>
        <v>Trd_hdt</v>
      </c>
      <c r="M91" s="306">
        <f t="shared" si="25"/>
        <v>149288.810561655</v>
      </c>
      <c r="N91" s="306">
        <f t="shared" si="26"/>
        <v>100585.833714969</v>
      </c>
      <c r="O91" s="306">
        <f t="shared" si="27"/>
        <v>93658.4385500626</v>
      </c>
      <c r="P91" s="306">
        <f t="shared" si="28"/>
        <v>90964.2849465796</v>
      </c>
      <c r="Q91" s="43">
        <v>0.01</v>
      </c>
      <c r="T91" t="str">
        <f t="shared" si="31"/>
        <v>Trd_hdt_elc_207</v>
      </c>
      <c r="U91" t="str">
        <f ca="1" t="shared" si="35"/>
        <v>7.5-16t battery electric truck -- 207</v>
      </c>
      <c r="V91" s="309" t="s">
        <v>84</v>
      </c>
      <c r="W91" s="309" t="s">
        <v>85</v>
      </c>
    </row>
    <row r="92" spans="2:23">
      <c r="B92" s="66">
        <v>235.714285714286</v>
      </c>
      <c r="C92" s="86">
        <v>152494.108762408</v>
      </c>
      <c r="D92" s="86">
        <v>102554.343444586</v>
      </c>
      <c r="E92" s="86">
        <v>94660.0138665998</v>
      </c>
      <c r="F92" s="86">
        <v>92014.5204906916</v>
      </c>
      <c r="I92" s="312">
        <f t="shared" si="33"/>
        <v>2.41441039299943</v>
      </c>
      <c r="J92" t="str">
        <f t="shared" si="23"/>
        <v>Trd_hdt_elc</v>
      </c>
      <c r="K92" t="str">
        <f t="shared" si="34"/>
        <v>Trd_hdt_elc_236</v>
      </c>
      <c r="L92" t="str">
        <f t="shared" si="30"/>
        <v>Trd_hdt</v>
      </c>
      <c r="M92" s="306">
        <f t="shared" si="25"/>
        <v>152494.108762408</v>
      </c>
      <c r="N92" s="306">
        <f t="shared" si="26"/>
        <v>102554.343444586</v>
      </c>
      <c r="O92" s="306">
        <f t="shared" si="27"/>
        <v>94660.0138665998</v>
      </c>
      <c r="P92" s="306">
        <f t="shared" si="28"/>
        <v>92014.5204906916</v>
      </c>
      <c r="Q92" s="43">
        <v>0.01</v>
      </c>
      <c r="T92" t="str">
        <f t="shared" si="31"/>
        <v>Trd_hdt_elc_236</v>
      </c>
      <c r="U92" t="str">
        <f ca="1" t="shared" si="35"/>
        <v>7.5-16t battery electric truck -- 236</v>
      </c>
      <c r="V92" s="309" t="s">
        <v>84</v>
      </c>
      <c r="W92" s="309" t="s">
        <v>85</v>
      </c>
    </row>
    <row r="93" spans="2:23">
      <c r="B93" s="66">
        <v>264.285714285714</v>
      </c>
      <c r="C93" s="86">
        <v>155632.353081546</v>
      </c>
      <c r="D93" s="86">
        <v>104580.228913704</v>
      </c>
      <c r="E93" s="86">
        <v>95569.8225134195</v>
      </c>
      <c r="F93" s="86">
        <v>92930.9045082581</v>
      </c>
      <c r="I93" s="312">
        <f t="shared" si="33"/>
        <v>2.41441039299943</v>
      </c>
      <c r="J93" t="str">
        <f t="shared" si="23"/>
        <v>Trd_hdt_elc</v>
      </c>
      <c r="K93" t="str">
        <f t="shared" si="34"/>
        <v>Trd_hdt_elc_264</v>
      </c>
      <c r="L93" t="str">
        <f t="shared" si="30"/>
        <v>Trd_hdt</v>
      </c>
      <c r="M93" s="306">
        <f t="shared" si="25"/>
        <v>155632.353081546</v>
      </c>
      <c r="N93" s="306">
        <f t="shared" si="26"/>
        <v>104580.228913704</v>
      </c>
      <c r="O93" s="306">
        <f t="shared" si="27"/>
        <v>95569.8225134195</v>
      </c>
      <c r="P93" s="306">
        <f t="shared" si="28"/>
        <v>92930.9045082581</v>
      </c>
      <c r="Q93" s="43">
        <v>0.05</v>
      </c>
      <c r="T93" t="str">
        <f t="shared" si="31"/>
        <v>Trd_hdt_elc_264</v>
      </c>
      <c r="U93" t="str">
        <f ca="1" t="shared" si="35"/>
        <v>7.5-16t battery electric truck -- 264</v>
      </c>
      <c r="V93" s="309" t="s">
        <v>84</v>
      </c>
      <c r="W93" s="309" t="s">
        <v>85</v>
      </c>
    </row>
    <row r="94" spans="2:23">
      <c r="B94" s="66">
        <v>350</v>
      </c>
      <c r="C94" s="86">
        <v>159704.765843061</v>
      </c>
      <c r="D94" s="86">
        <v>107786.20577947</v>
      </c>
      <c r="E94" s="86">
        <v>98254.3480327816</v>
      </c>
      <c r="F94" s="86">
        <v>95331.8317326809</v>
      </c>
      <c r="I94" s="312">
        <f t="shared" si="33"/>
        <v>2.41441039299943</v>
      </c>
      <c r="J94" t="str">
        <f t="shared" si="23"/>
        <v>Trd_hdt_elc</v>
      </c>
      <c r="K94" t="str">
        <f t="shared" si="34"/>
        <v>Trd_hdt_elc_350</v>
      </c>
      <c r="L94" t="str">
        <f t="shared" si="30"/>
        <v>Trd_hdt</v>
      </c>
      <c r="M94" s="306">
        <f t="shared" si="25"/>
        <v>159704.765843061</v>
      </c>
      <c r="N94" s="306">
        <f t="shared" si="26"/>
        <v>107786.20577947</v>
      </c>
      <c r="O94" s="306">
        <f t="shared" si="27"/>
        <v>98254.3480327816</v>
      </c>
      <c r="P94" s="306">
        <f t="shared" si="28"/>
        <v>95331.8317326809</v>
      </c>
      <c r="Q94" s="43">
        <v>0.1</v>
      </c>
      <c r="T94" t="str">
        <f t="shared" si="31"/>
        <v>Trd_hdt_elc_350</v>
      </c>
      <c r="U94" t="str">
        <f ca="1" t="shared" si="35"/>
        <v>7.5-16t battery electric truck -- 350</v>
      </c>
      <c r="V94" s="309" t="s">
        <v>84</v>
      </c>
      <c r="W94" s="309" t="s">
        <v>85</v>
      </c>
    </row>
    <row r="95" spans="2:23">
      <c r="B95" s="66">
        <v>500</v>
      </c>
      <c r="C95" s="86">
        <v>179612.758472383</v>
      </c>
      <c r="D95" s="86">
        <v>119565.16497781</v>
      </c>
      <c r="E95" s="86">
        <v>104086.944839593</v>
      </c>
      <c r="F95" s="86">
        <v>100030.341013554</v>
      </c>
      <c r="I95" s="312">
        <f t="shared" si="33"/>
        <v>2.41441039299943</v>
      </c>
      <c r="J95" t="str">
        <f t="shared" si="23"/>
        <v>Trd_hdt_elc</v>
      </c>
      <c r="K95" t="str">
        <f t="shared" si="34"/>
        <v>Trd_hdt_elc_500</v>
      </c>
      <c r="L95" t="str">
        <f t="shared" si="30"/>
        <v>Trd_hdt</v>
      </c>
      <c r="M95" s="306">
        <f t="shared" si="25"/>
        <v>179612.758472383</v>
      </c>
      <c r="N95" s="306">
        <f t="shared" si="26"/>
        <v>119565.16497781</v>
      </c>
      <c r="O95" s="306">
        <f t="shared" si="27"/>
        <v>104086.944839593</v>
      </c>
      <c r="P95" s="306">
        <f t="shared" si="28"/>
        <v>100030.341013554</v>
      </c>
      <c r="Q95" s="43">
        <v>0.2</v>
      </c>
      <c r="T95" t="str">
        <f t="shared" si="31"/>
        <v>Trd_hdt_elc_500</v>
      </c>
      <c r="U95" t="str">
        <f ca="1" t="shared" si="35"/>
        <v>7.5-16t battery electric truck -- 500</v>
      </c>
      <c r="V95" s="309" t="s">
        <v>84</v>
      </c>
      <c r="W95" s="309" t="s">
        <v>85</v>
      </c>
    </row>
    <row r="96" spans="2:23">
      <c r="B96" s="66">
        <v>600</v>
      </c>
      <c r="C96" s="86">
        <v>193069.495161372</v>
      </c>
      <c r="D96" s="86">
        <v>125556.819841456</v>
      </c>
      <c r="E96" s="86">
        <v>111128.241503766</v>
      </c>
      <c r="F96" s="86">
        <v>104587.124680729</v>
      </c>
      <c r="I96" s="312">
        <f t="shared" si="33"/>
        <v>2.41441039299943</v>
      </c>
      <c r="J96" t="str">
        <f t="shared" si="23"/>
        <v>Trd_hdt_elc</v>
      </c>
      <c r="K96" t="str">
        <f t="shared" si="34"/>
        <v>Trd_hdt_elc_600</v>
      </c>
      <c r="L96" t="str">
        <f t="shared" si="30"/>
        <v>Trd_hdt</v>
      </c>
      <c r="M96" s="306">
        <f t="shared" si="25"/>
        <v>193069.495161372</v>
      </c>
      <c r="N96" s="306">
        <f t="shared" si="26"/>
        <v>125556.819841456</v>
      </c>
      <c r="O96" s="306">
        <f t="shared" si="27"/>
        <v>111128.241503766</v>
      </c>
      <c r="P96" s="306">
        <f t="shared" si="28"/>
        <v>104587.124680729</v>
      </c>
      <c r="T96" t="str">
        <f t="shared" si="31"/>
        <v>Trd_hdt_elc_600</v>
      </c>
      <c r="U96" t="str">
        <f ca="1" t="shared" si="35"/>
        <v>7.5-16t battery electric truck -- 600</v>
      </c>
      <c r="V96" s="309" t="s">
        <v>84</v>
      </c>
      <c r="W96" s="309" t="s">
        <v>85</v>
      </c>
    </row>
    <row r="97" spans="10:23">
      <c r="J97" t="str">
        <f t="shared" si="23"/>
        <v>Trd_hdt_elc</v>
      </c>
      <c r="K97" t="str">
        <f t="shared" si="24"/>
        <v>\I:</v>
      </c>
      <c r="L97" t="str">
        <f t="shared" si="30"/>
        <v>\I:</v>
      </c>
      <c r="M97" s="306" t="str">
        <f t="shared" si="25"/>
        <v/>
      </c>
      <c r="N97" s="306" t="str">
        <f t="shared" si="26"/>
        <v/>
      </c>
      <c r="O97" s="306" t="str">
        <f t="shared" si="27"/>
        <v/>
      </c>
      <c r="P97" s="306" t="str">
        <f t="shared" si="28"/>
        <v/>
      </c>
      <c r="T97" t="str">
        <f t="shared" si="31"/>
        <v>\I:</v>
      </c>
      <c r="U97" t="str">
        <f ca="1" t="shared" si="32"/>
        <v>7.5-16t battery electric truck -- 00%</v>
      </c>
      <c r="V97" s="309" t="s">
        <v>84</v>
      </c>
      <c r="W97" s="309" t="s">
        <v>85</v>
      </c>
    </row>
    <row r="98" spans="10:23">
      <c r="J98" t="str">
        <f t="shared" si="23"/>
        <v>Trd_hdt_elc</v>
      </c>
      <c r="K98" t="str">
        <f t="shared" si="24"/>
        <v>\I:</v>
      </c>
      <c r="L98" t="str">
        <f t="shared" si="30"/>
        <v>\I:</v>
      </c>
      <c r="M98" s="306" t="str">
        <f t="shared" si="25"/>
        <v/>
      </c>
      <c r="N98" s="306" t="str">
        <f t="shared" si="26"/>
        <v/>
      </c>
      <c r="O98" s="306" t="str">
        <f t="shared" si="27"/>
        <v/>
      </c>
      <c r="P98" s="306" t="str">
        <f t="shared" si="28"/>
        <v/>
      </c>
      <c r="T98" t="str">
        <f t="shared" si="31"/>
        <v>\I:</v>
      </c>
      <c r="U98" t="str">
        <f ca="1" t="shared" si="32"/>
        <v>7.5-16t battery electric truck -- 00%</v>
      </c>
      <c r="V98" s="309" t="s">
        <v>84</v>
      </c>
      <c r="W98" s="309" t="s">
        <v>85</v>
      </c>
    </row>
    <row r="99" ht="15.75" customHeight="1" spans="10:23">
      <c r="J99" t="str">
        <f t="shared" si="23"/>
        <v>Trd_hdt_elc</v>
      </c>
      <c r="K99" t="str">
        <f t="shared" si="24"/>
        <v>\I:</v>
      </c>
      <c r="L99" t="str">
        <f t="shared" si="30"/>
        <v>\I:</v>
      </c>
      <c r="M99" s="306" t="str">
        <f t="shared" si="25"/>
        <v/>
      </c>
      <c r="N99" s="306" t="str">
        <f t="shared" si="26"/>
        <v/>
      </c>
      <c r="O99" s="306" t="str">
        <f t="shared" si="27"/>
        <v/>
      </c>
      <c r="P99" s="306" t="str">
        <f t="shared" si="28"/>
        <v/>
      </c>
      <c r="T99" t="str">
        <f t="shared" si="31"/>
        <v>\I:</v>
      </c>
      <c r="U99" t="str">
        <f ca="1" t="shared" si="32"/>
        <v>7.5-16t battery electric truck -- 00%</v>
      </c>
      <c r="V99" s="309" t="s">
        <v>84</v>
      </c>
      <c r="W99" s="309" t="s">
        <v>85</v>
      </c>
    </row>
    <row r="100" spans="2:23">
      <c r="B100" s="326" t="s">
        <v>29</v>
      </c>
      <c r="C100" s="327" t="s">
        <v>118</v>
      </c>
      <c r="D100" s="328"/>
      <c r="E100" s="328"/>
      <c r="F100" s="329"/>
      <c r="J100" t="str">
        <f t="shared" si="23"/>
        <v>Trd_hdt_hh2</v>
      </c>
      <c r="K100" t="str">
        <f t="shared" si="24"/>
        <v>\I:</v>
      </c>
      <c r="L100" t="str">
        <f t="shared" si="30"/>
        <v>\I:</v>
      </c>
      <c r="M100" s="306" t="str">
        <f t="shared" si="25"/>
        <v/>
      </c>
      <c r="N100" s="306" t="str">
        <f t="shared" si="26"/>
        <v/>
      </c>
      <c r="O100" s="306" t="str">
        <f t="shared" si="27"/>
        <v/>
      </c>
      <c r="P100" s="306" t="str">
        <f t="shared" si="28"/>
        <v/>
      </c>
      <c r="T100" t="str">
        <f t="shared" si="31"/>
        <v>\I:</v>
      </c>
      <c r="U100" t="str">
        <f ca="1" t="shared" si="32"/>
        <v>7.5-16t Hydrogen fuel cell truck -- Energy consumption (kg H2/100km)</v>
      </c>
      <c r="V100" s="309" t="s">
        <v>84</v>
      </c>
      <c r="W100" s="309" t="s">
        <v>85</v>
      </c>
    </row>
    <row r="101" spans="2:23">
      <c r="B101" s="330"/>
      <c r="C101" s="331"/>
      <c r="D101" s="332"/>
      <c r="E101" s="332"/>
      <c r="F101" s="333"/>
      <c r="J101" t="str">
        <f t="shared" si="23"/>
        <v>Trd_hdt_hh2</v>
      </c>
      <c r="K101" t="str">
        <f t="shared" si="24"/>
        <v>\I:</v>
      </c>
      <c r="L101" t="str">
        <f t="shared" si="30"/>
        <v>\I:</v>
      </c>
      <c r="M101" s="306" t="str">
        <f t="shared" si="25"/>
        <v/>
      </c>
      <c r="N101" s="306" t="str">
        <f t="shared" si="26"/>
        <v/>
      </c>
      <c r="O101" s="306" t="str">
        <f t="shared" si="27"/>
        <v/>
      </c>
      <c r="P101" s="306" t="str">
        <f t="shared" si="28"/>
        <v/>
      </c>
      <c r="T101" t="str">
        <f t="shared" si="31"/>
        <v>\I:</v>
      </c>
      <c r="U101" t="str">
        <f ca="1" t="shared" si="32"/>
        <v>7.5-16t Hydrogen fuel cell truck -- 00%</v>
      </c>
      <c r="V101" s="309" t="s">
        <v>84</v>
      </c>
      <c r="W101" s="309" t="s">
        <v>85</v>
      </c>
    </row>
    <row r="102" spans="2:23">
      <c r="B102" s="334"/>
      <c r="C102" s="335"/>
      <c r="D102" s="336"/>
      <c r="E102" s="336"/>
      <c r="F102" s="337"/>
      <c r="J102" t="str">
        <f t="shared" si="23"/>
        <v>Trd_hdt_hh2</v>
      </c>
      <c r="K102" t="str">
        <f t="shared" si="24"/>
        <v>\I:</v>
      </c>
      <c r="L102" t="str">
        <f t="shared" si="30"/>
        <v>\I:</v>
      </c>
      <c r="M102" s="306" t="str">
        <f t="shared" si="25"/>
        <v/>
      </c>
      <c r="N102" s="306" t="str">
        <f t="shared" si="26"/>
        <v/>
      </c>
      <c r="O102" s="306" t="str">
        <f t="shared" si="27"/>
        <v/>
      </c>
      <c r="P102" s="306" t="str">
        <f t="shared" si="28"/>
        <v/>
      </c>
      <c r="T102" t="str">
        <f t="shared" si="31"/>
        <v>\I:</v>
      </c>
      <c r="U102" t="str">
        <f ca="1" t="shared" si="32"/>
        <v>7.5-16t Hydrogen fuel cell truck -- 00%</v>
      </c>
      <c r="V102" s="309" t="s">
        <v>84</v>
      </c>
      <c r="W102" s="309" t="s">
        <v>85</v>
      </c>
    </row>
    <row r="103" spans="2:23">
      <c r="B103" s="88"/>
      <c r="C103" s="50">
        <v>2020</v>
      </c>
      <c r="D103" s="50">
        <v>2030</v>
      </c>
      <c r="E103" s="50">
        <v>2040</v>
      </c>
      <c r="F103" s="50">
        <v>2050</v>
      </c>
      <c r="J103" t="str">
        <f t="shared" si="23"/>
        <v>Trd_hdt_hh2</v>
      </c>
      <c r="K103" t="str">
        <f t="shared" si="24"/>
        <v>\I:</v>
      </c>
      <c r="L103" t="str">
        <f t="shared" si="30"/>
        <v>\I:</v>
      </c>
      <c r="M103" s="306" t="str">
        <f t="shared" si="25"/>
        <v/>
      </c>
      <c r="N103" s="306" t="str">
        <f t="shared" si="26"/>
        <v/>
      </c>
      <c r="O103" s="306" t="str">
        <f t="shared" si="27"/>
        <v/>
      </c>
      <c r="P103" s="306" t="str">
        <f t="shared" si="28"/>
        <v/>
      </c>
      <c r="T103" t="str">
        <f t="shared" si="31"/>
        <v>\I:</v>
      </c>
      <c r="U103" t="str">
        <f ca="1" t="shared" si="32"/>
        <v>7.5-16t Hydrogen fuel cell truck -- 00%</v>
      </c>
      <c r="V103" s="309" t="s">
        <v>84</v>
      </c>
      <c r="W103" s="309" t="s">
        <v>85</v>
      </c>
    </row>
    <row r="104" spans="2:23">
      <c r="B104" s="67">
        <v>3.6</v>
      </c>
      <c r="C104" s="86">
        <v>289239.360061222</v>
      </c>
      <c r="D104" s="86">
        <v>165331.416739842</v>
      </c>
      <c r="E104" s="86">
        <v>126641.731543009</v>
      </c>
      <c r="F104" s="86">
        <v>113300.500205988</v>
      </c>
      <c r="G104" s="77">
        <f>B104*0.12/100*10^9/10^6</f>
        <v>4.32</v>
      </c>
      <c r="H104" s="77"/>
      <c r="I104" s="299">
        <f>1/G104/$I$7</f>
        <v>1.6609620805626</v>
      </c>
      <c r="J104" t="str">
        <f t="shared" si="23"/>
        <v>Trd_hdt_hh2</v>
      </c>
      <c r="K104" t="str">
        <f>IFERROR(IF(VALUE(C104)&gt;2020,J104&amp;"_"&amp;TEXT(B104,"0.0"),"\I:"),"\I:")</f>
        <v>Trd_hdt_hh2_3.6</v>
      </c>
      <c r="L104" t="str">
        <f t="shared" si="30"/>
        <v>Trd_hdt</v>
      </c>
      <c r="M104" s="306">
        <f t="shared" si="25"/>
        <v>289239.360061222</v>
      </c>
      <c r="N104" s="306">
        <f t="shared" si="26"/>
        <v>165331.416739842</v>
      </c>
      <c r="O104" s="306">
        <f t="shared" si="27"/>
        <v>126641.731543009</v>
      </c>
      <c r="P104" s="306">
        <f t="shared" si="28"/>
        <v>113300.500205988</v>
      </c>
      <c r="T104" t="str">
        <f t="shared" si="31"/>
        <v>Trd_hdt_hh2_3.6</v>
      </c>
      <c r="U104" t="str">
        <f ca="1">OFFSET($S$1,MATCH(J104,$S$1:$S$11,0)-1,-1)&amp;" -- "&amp;TEXT(B104,"0.0")</f>
        <v>7.5-16t Hydrogen fuel cell truck -- 3.6</v>
      </c>
      <c r="V104" s="309" t="s">
        <v>84</v>
      </c>
      <c r="W104" s="309" t="s">
        <v>85</v>
      </c>
    </row>
    <row r="105" spans="2:23">
      <c r="B105" s="67">
        <v>3.49104438941274</v>
      </c>
      <c r="C105" s="86">
        <v>290124.884209772</v>
      </c>
      <c r="D105" s="86">
        <v>165775.115926834</v>
      </c>
      <c r="E105" s="86">
        <v>127085.430730001</v>
      </c>
      <c r="F105" s="86">
        <v>113744.19939298</v>
      </c>
      <c r="G105" s="77">
        <f t="shared" ref="G105:G111" si="36">B105*0.12/100*10^9/10^6</f>
        <v>4.18925326729529</v>
      </c>
      <c r="H105" s="77"/>
      <c r="I105" s="299">
        <f t="shared" ref="I105:I111" si="37">1/G105/$I$7</f>
        <v>1.71280076190358</v>
      </c>
      <c r="J105" t="str">
        <f t="shared" si="23"/>
        <v>Trd_hdt_hh2</v>
      </c>
      <c r="K105" t="str">
        <f t="shared" ref="K105:K111" si="38">IFERROR(IF(VALUE(C105)&gt;2020,J105&amp;"_"&amp;TEXT(B105,"0.0"),"\I:"),"\I:")</f>
        <v>Trd_hdt_hh2_3.5</v>
      </c>
      <c r="L105" t="str">
        <f t="shared" si="30"/>
        <v>Trd_hdt</v>
      </c>
      <c r="M105" s="306">
        <f t="shared" si="25"/>
        <v>290124.884209772</v>
      </c>
      <c r="N105" s="306">
        <f t="shared" si="26"/>
        <v>165775.115926834</v>
      </c>
      <c r="O105" s="306">
        <f t="shared" si="27"/>
        <v>127085.430730001</v>
      </c>
      <c r="P105" s="306">
        <f t="shared" si="28"/>
        <v>113744.19939298</v>
      </c>
      <c r="T105" t="str">
        <f t="shared" si="31"/>
        <v>Trd_hdt_hh2_3.5</v>
      </c>
      <c r="U105" t="str">
        <f ca="1" t="shared" ref="U105:U111" si="39">OFFSET($S$1,MATCH(J105,$S$1:$S$11,0)-1,-1)&amp;" -- "&amp;TEXT(B105,"0.0")</f>
        <v>7.5-16t Hydrogen fuel cell truck -- 3.5</v>
      </c>
      <c r="V105" s="309" t="s">
        <v>84</v>
      </c>
      <c r="W105" s="309" t="s">
        <v>85</v>
      </c>
    </row>
    <row r="106" spans="2:23">
      <c r="B106" s="67">
        <v>3.38208877882548</v>
      </c>
      <c r="C106" s="86">
        <v>291607.78759882</v>
      </c>
      <c r="D106" s="86">
        <v>169260.356312954</v>
      </c>
      <c r="E106" s="86">
        <v>127529.129916993</v>
      </c>
      <c r="F106" s="86">
        <v>114187.898579971</v>
      </c>
      <c r="G106" s="77">
        <f t="shared" si="36"/>
        <v>4.05850653459058</v>
      </c>
      <c r="H106" s="77"/>
      <c r="I106" s="299">
        <f t="shared" si="37"/>
        <v>1.76797945916189</v>
      </c>
      <c r="J106" t="str">
        <f t="shared" si="23"/>
        <v>Trd_hdt_hh2</v>
      </c>
      <c r="K106" t="str">
        <f t="shared" si="38"/>
        <v>Trd_hdt_hh2_3.4</v>
      </c>
      <c r="L106" t="str">
        <f t="shared" si="30"/>
        <v>Trd_hdt</v>
      </c>
      <c r="M106" s="306">
        <f t="shared" si="25"/>
        <v>291607.78759882</v>
      </c>
      <c r="N106" s="306">
        <f t="shared" si="26"/>
        <v>169260.356312954</v>
      </c>
      <c r="O106" s="306">
        <f t="shared" si="27"/>
        <v>127529.129916993</v>
      </c>
      <c r="P106" s="306">
        <f t="shared" si="28"/>
        <v>114187.898579971</v>
      </c>
      <c r="T106" t="str">
        <f t="shared" si="31"/>
        <v>Trd_hdt_hh2_3.4</v>
      </c>
      <c r="U106" t="str">
        <f ca="1" t="shared" si="39"/>
        <v>7.5-16t Hydrogen fuel cell truck -- 3.4</v>
      </c>
      <c r="V106" s="309" t="s">
        <v>84</v>
      </c>
      <c r="W106" s="309" t="s">
        <v>85</v>
      </c>
    </row>
    <row r="107" spans="2:23">
      <c r="B107" s="67">
        <v>3.27313316823822</v>
      </c>
      <c r="C107" s="86">
        <v>298751.243165772</v>
      </c>
      <c r="D107" s="86">
        <v>172972.418760191</v>
      </c>
      <c r="E107" s="86">
        <v>127972.829103985</v>
      </c>
      <c r="F107" s="86">
        <v>114631.597766963</v>
      </c>
      <c r="G107" s="77">
        <f t="shared" si="36"/>
        <v>3.92775980188586</v>
      </c>
      <c r="H107" s="77"/>
      <c r="I107" s="299">
        <f t="shared" si="37"/>
        <v>1.82683171832078</v>
      </c>
      <c r="J107" t="str">
        <f t="shared" si="23"/>
        <v>Trd_hdt_hh2</v>
      </c>
      <c r="K107" t="str">
        <f t="shared" si="38"/>
        <v>Trd_hdt_hh2_3.3</v>
      </c>
      <c r="L107" t="str">
        <f t="shared" si="30"/>
        <v>Trd_hdt</v>
      </c>
      <c r="M107" s="306">
        <f t="shared" si="25"/>
        <v>298751.243165772</v>
      </c>
      <c r="N107" s="306">
        <f t="shared" si="26"/>
        <v>172972.418760191</v>
      </c>
      <c r="O107" s="306">
        <f t="shared" si="27"/>
        <v>127972.829103985</v>
      </c>
      <c r="P107" s="306">
        <f t="shared" si="28"/>
        <v>114631.597766963</v>
      </c>
      <c r="T107" t="str">
        <f t="shared" si="31"/>
        <v>Trd_hdt_hh2_3.3</v>
      </c>
      <c r="U107" t="str">
        <f ca="1" t="shared" si="39"/>
        <v>7.5-16t Hydrogen fuel cell truck -- 3.3</v>
      </c>
      <c r="V107" s="309" t="s">
        <v>84</v>
      </c>
      <c r="W107" s="309" t="s">
        <v>85</v>
      </c>
    </row>
    <row r="108" spans="2:23">
      <c r="B108" s="67">
        <v>3.16417755765097</v>
      </c>
      <c r="C108" s="86">
        <v>300389.263299954</v>
      </c>
      <c r="D108" s="86">
        <v>179433.095982914</v>
      </c>
      <c r="E108" s="86">
        <v>128416.528290977</v>
      </c>
      <c r="F108" s="86">
        <v>115075.296953955</v>
      </c>
      <c r="G108" s="77">
        <f t="shared" si="36"/>
        <v>3.79701306918116</v>
      </c>
      <c r="H108" s="77"/>
      <c r="I108" s="299">
        <f t="shared" si="37"/>
        <v>1.88973702678822</v>
      </c>
      <c r="J108" t="str">
        <f t="shared" si="23"/>
        <v>Trd_hdt_hh2</v>
      </c>
      <c r="K108" t="str">
        <f t="shared" si="38"/>
        <v>Trd_hdt_hh2_3.2</v>
      </c>
      <c r="L108" t="str">
        <f t="shared" si="30"/>
        <v>Trd_hdt</v>
      </c>
      <c r="M108" s="306">
        <f t="shared" si="25"/>
        <v>300389.263299954</v>
      </c>
      <c r="N108" s="306">
        <f t="shared" si="26"/>
        <v>179433.095982914</v>
      </c>
      <c r="O108" s="306">
        <f t="shared" si="27"/>
        <v>128416.528290977</v>
      </c>
      <c r="P108" s="306">
        <f t="shared" si="28"/>
        <v>115075.296953955</v>
      </c>
      <c r="T108" t="str">
        <f t="shared" si="31"/>
        <v>Trd_hdt_hh2_3.2</v>
      </c>
      <c r="U108" t="str">
        <f ca="1" t="shared" si="39"/>
        <v>7.5-16t Hydrogen fuel cell truck -- 3.2</v>
      </c>
      <c r="V108" s="309" t="s">
        <v>84</v>
      </c>
      <c r="W108" s="309" t="s">
        <v>85</v>
      </c>
    </row>
    <row r="109" spans="2:23">
      <c r="B109" s="67">
        <v>3.05522194706371</v>
      </c>
      <c r="C109" s="86">
        <v>301347.939435471</v>
      </c>
      <c r="D109" s="86">
        <v>179995.322886205</v>
      </c>
      <c r="E109" s="86">
        <v>128860.227477969</v>
      </c>
      <c r="F109" s="86">
        <v>115518.996140947</v>
      </c>
      <c r="G109" s="77">
        <f t="shared" si="36"/>
        <v>3.66626633647645</v>
      </c>
      <c r="H109" s="77"/>
      <c r="I109" s="299">
        <f t="shared" si="37"/>
        <v>1.95712900523383</v>
      </c>
      <c r="J109" t="str">
        <f t="shared" si="23"/>
        <v>Trd_hdt_hh2</v>
      </c>
      <c r="K109" t="str">
        <f t="shared" si="38"/>
        <v>Trd_hdt_hh2_3.1</v>
      </c>
      <c r="L109" t="str">
        <f t="shared" si="30"/>
        <v>Trd_hdt</v>
      </c>
      <c r="M109" s="306">
        <f t="shared" si="25"/>
        <v>301347.939435471</v>
      </c>
      <c r="N109" s="306">
        <f t="shared" si="26"/>
        <v>179995.322886205</v>
      </c>
      <c r="O109" s="306">
        <f t="shared" si="27"/>
        <v>128860.227477969</v>
      </c>
      <c r="P109" s="306">
        <f t="shared" si="28"/>
        <v>115518.996140947</v>
      </c>
      <c r="T109" t="str">
        <f t="shared" si="31"/>
        <v>Trd_hdt_hh2_3.1</v>
      </c>
      <c r="U109" t="str">
        <f ca="1" t="shared" si="39"/>
        <v>7.5-16t Hydrogen fuel cell truck -- 3.1</v>
      </c>
      <c r="V109" s="309" t="s">
        <v>84</v>
      </c>
      <c r="W109" s="309" t="s">
        <v>85</v>
      </c>
    </row>
    <row r="110" spans="2:23">
      <c r="B110" s="67">
        <v>2.94626633647645</v>
      </c>
      <c r="C110" s="86">
        <v>302306.615570987</v>
      </c>
      <c r="D110" s="86">
        <v>180557.549789496</v>
      </c>
      <c r="E110" s="86">
        <v>129303.92666496</v>
      </c>
      <c r="F110" s="86">
        <v>115962.695327939</v>
      </c>
      <c r="G110" s="77">
        <f t="shared" si="36"/>
        <v>3.53551960377174</v>
      </c>
      <c r="H110" s="77"/>
      <c r="I110" s="299">
        <f t="shared" si="37"/>
        <v>2.02950541707523</v>
      </c>
      <c r="J110" t="str">
        <f t="shared" si="23"/>
        <v>Trd_hdt_hh2</v>
      </c>
      <c r="K110" t="str">
        <f t="shared" si="38"/>
        <v>Trd_hdt_hh2_2.9</v>
      </c>
      <c r="L110" t="str">
        <f t="shared" si="30"/>
        <v>Trd_hdt</v>
      </c>
      <c r="M110" s="306">
        <f t="shared" si="25"/>
        <v>302306.615570987</v>
      </c>
      <c r="N110" s="306">
        <f t="shared" si="26"/>
        <v>180557.549789496</v>
      </c>
      <c r="O110" s="306">
        <f t="shared" si="27"/>
        <v>129303.92666496</v>
      </c>
      <c r="P110" s="306">
        <f t="shared" si="28"/>
        <v>115962.695327939</v>
      </c>
      <c r="T110" t="str">
        <f t="shared" si="31"/>
        <v>Trd_hdt_hh2_2.9</v>
      </c>
      <c r="U110" t="str">
        <f ca="1" t="shared" si="39"/>
        <v>7.5-16t Hydrogen fuel cell truck -- 2.9</v>
      </c>
      <c r="V110" s="309" t="s">
        <v>84</v>
      </c>
      <c r="W110" s="309" t="s">
        <v>85</v>
      </c>
    </row>
    <row r="111" spans="2:23">
      <c r="B111" s="67">
        <v>2.83731072588919</v>
      </c>
      <c r="C111" s="86">
        <v>303265.291706504</v>
      </c>
      <c r="D111" s="86">
        <v>181119.776692787</v>
      </c>
      <c r="E111" s="86">
        <v>129747.625851952</v>
      </c>
      <c r="F111" s="86">
        <v>116406.394514931</v>
      </c>
      <c r="G111" s="77">
        <f t="shared" si="36"/>
        <v>3.40477287106703</v>
      </c>
      <c r="H111" s="77"/>
      <c r="I111" s="299">
        <f t="shared" si="37"/>
        <v>2.10744048421113</v>
      </c>
      <c r="J111" t="str">
        <f t="shared" si="23"/>
        <v>Trd_hdt_hh2</v>
      </c>
      <c r="K111" t="str">
        <f t="shared" si="38"/>
        <v>Trd_hdt_hh2_2.8</v>
      </c>
      <c r="L111" t="str">
        <f t="shared" si="30"/>
        <v>Trd_hdt</v>
      </c>
      <c r="M111" s="306">
        <f t="shared" si="25"/>
        <v>303265.291706504</v>
      </c>
      <c r="N111" s="306">
        <f t="shared" si="26"/>
        <v>181119.776692787</v>
      </c>
      <c r="O111" s="306">
        <f t="shared" si="27"/>
        <v>129747.625851952</v>
      </c>
      <c r="P111" s="306">
        <f t="shared" si="28"/>
        <v>116406.394514931</v>
      </c>
      <c r="T111" t="str">
        <f t="shared" si="31"/>
        <v>Trd_hdt_hh2_2.8</v>
      </c>
      <c r="U111" t="str">
        <f ca="1" t="shared" si="39"/>
        <v>7.5-16t Hydrogen fuel cell truck -- 2.8</v>
      </c>
      <c r="V111" s="309" t="s">
        <v>84</v>
      </c>
      <c r="W111" s="309" t="s">
        <v>85</v>
      </c>
    </row>
    <row r="142" s="97" customFormat="1" ht="15" customHeight="1" spans="1:6">
      <c r="A142"/>
      <c r="C142"/>
      <c r="D142"/>
      <c r="E142"/>
      <c r="F142"/>
    </row>
    <row r="162" s="97" customFormat="1" ht="15" customHeight="1" spans="1:6">
      <c r="A162"/>
      <c r="C162"/>
      <c r="D162"/>
      <c r="E162"/>
      <c r="F162"/>
    </row>
    <row r="221" s="97" customFormat="1" ht="21.75" customHeight="1" spans="1:6">
      <c r="A221"/>
      <c r="C221"/>
      <c r="D221"/>
      <c r="E221"/>
      <c r="F221"/>
    </row>
    <row r="222" s="97" customFormat="1" ht="21.75" customHeight="1" spans="1:6">
      <c r="A222"/>
      <c r="C222"/>
      <c r="D222"/>
      <c r="E222"/>
      <c r="F222"/>
    </row>
    <row r="223" s="97" customFormat="1" ht="21.75" customHeight="1" spans="1:6">
      <c r="A223"/>
      <c r="C223"/>
      <c r="D223"/>
      <c r="E223"/>
      <c r="F223"/>
    </row>
    <row r="342" s="97" customFormat="1" ht="21.75" customHeight="1" spans="1:6">
      <c r="A342"/>
      <c r="C342"/>
      <c r="D342"/>
      <c r="E342"/>
      <c r="F342"/>
    </row>
    <row r="343" s="97" customFormat="1" ht="21.75" customHeight="1" spans="1:6">
      <c r="A343"/>
      <c r="C343"/>
      <c r="D343"/>
      <c r="E343"/>
      <c r="F343"/>
    </row>
    <row r="344" s="97" customFormat="1" ht="21.75" customHeight="1" spans="1:6">
      <c r="A344"/>
      <c r="C344"/>
      <c r="D344"/>
      <c r="E344"/>
      <c r="F344"/>
    </row>
  </sheetData>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55"/>
  <sheetViews>
    <sheetView showGridLines="0" zoomScale="73" zoomScaleNormal="73" workbookViewId="0">
      <selection activeCell="H11" sqref="H11"/>
    </sheetView>
  </sheetViews>
  <sheetFormatPr defaultColWidth="9" defaultRowHeight="14.5"/>
  <cols>
    <col min="1" max="1" width="7.63636363636364" customWidth="1"/>
    <col min="2" max="2" width="38.2727272727273" customWidth="1"/>
    <col min="3" max="6" width="13.7272727272727" customWidth="1"/>
    <col min="10" max="10" width="14.0909090909091" customWidth="1"/>
    <col min="11" max="11" width="18.2727272727273" customWidth="1"/>
    <col min="12" max="12" width="11.0909090909091" customWidth="1"/>
    <col min="13" max="16" width="6" customWidth="1"/>
    <col min="18" max="18" width="31.6363636363636" customWidth="1"/>
  </cols>
  <sheetData>
    <row r="1" ht="15.5" spans="2:19">
      <c r="B1" s="290" t="s">
        <v>10</v>
      </c>
      <c r="C1" s="291"/>
      <c r="D1" s="291"/>
      <c r="E1" s="291"/>
      <c r="F1" s="292"/>
      <c r="Q1" t="s">
        <v>125</v>
      </c>
      <c r="R1" t="s">
        <v>126</v>
      </c>
      <c r="S1" t="str">
        <f>"Trd_2w_"&amp;Q1</f>
        <v>Trd_2w_gsl150</v>
      </c>
    </row>
    <row r="2" spans="2:19">
      <c r="B2" s="313" t="s">
        <v>9</v>
      </c>
      <c r="C2" s="314"/>
      <c r="D2" s="314"/>
      <c r="E2" s="314"/>
      <c r="F2" s="314"/>
      <c r="Q2" t="s">
        <v>127</v>
      </c>
      <c r="R2" t="s">
        <v>128</v>
      </c>
      <c r="S2" t="str">
        <f t="shared" ref="S2:S8" si="0">"Trd_2w_"&amp;Q2</f>
        <v>Trd_2w_gsl500</v>
      </c>
    </row>
    <row r="3" spans="17:19">
      <c r="Q3" t="s">
        <v>42</v>
      </c>
      <c r="R3" t="s">
        <v>129</v>
      </c>
      <c r="S3" t="str">
        <f>"Trd_3w_"&amp;Q3</f>
        <v>Trd_3w_gsl</v>
      </c>
    </row>
    <row r="4" spans="9:19">
      <c r="I4" s="316">
        <f>31536000/10^9</f>
        <v>0.031536</v>
      </c>
      <c r="J4" s="301" t="s">
        <v>47</v>
      </c>
      <c r="Q4" t="s">
        <v>130</v>
      </c>
      <c r="R4" t="s">
        <v>131</v>
      </c>
      <c r="S4" t="str">
        <f t="shared" si="0"/>
        <v>Trd_2w_gsl50</v>
      </c>
    </row>
    <row r="5" spans="2:19">
      <c r="B5" s="43" t="s">
        <v>132</v>
      </c>
      <c r="Q5" t="s">
        <v>133</v>
      </c>
      <c r="R5" t="s">
        <v>134</v>
      </c>
      <c r="S5" t="str">
        <f t="shared" si="0"/>
        <v>Trd_2w_elc150</v>
      </c>
    </row>
    <row r="6" ht="15" customHeight="1" spans="2:19">
      <c r="B6" s="298">
        <v>2015</v>
      </c>
      <c r="C6" s="298"/>
      <c r="D6" s="298"/>
      <c r="Q6" t="s">
        <v>135</v>
      </c>
      <c r="R6" t="s">
        <v>136</v>
      </c>
      <c r="S6" t="str">
        <f t="shared" si="0"/>
        <v>Trd_2w_elc500</v>
      </c>
    </row>
    <row r="7" spans="2:19">
      <c r="B7" s="45" t="s">
        <v>12</v>
      </c>
      <c r="C7" s="46" t="s">
        <v>13</v>
      </c>
      <c r="D7" s="47">
        <v>3.2040038477468</v>
      </c>
      <c r="G7" s="299">
        <f>D7*$I$4/100*10^9/10^6</f>
        <v>1.01041465342543</v>
      </c>
      <c r="H7" s="299"/>
      <c r="I7" s="299">
        <f>1/G7</f>
        <v>0.989692693598491</v>
      </c>
      <c r="Q7" t="s">
        <v>66</v>
      </c>
      <c r="R7" t="s">
        <v>137</v>
      </c>
      <c r="S7" t="str">
        <f>"Trd_3w_"&amp;Q7</f>
        <v>Trd_3w_elc</v>
      </c>
    </row>
    <row r="8" spans="2:19">
      <c r="B8" s="45" t="s">
        <v>14</v>
      </c>
      <c r="C8" s="46" t="s">
        <v>15</v>
      </c>
      <c r="D8" s="68">
        <v>2532.96733489852</v>
      </c>
      <c r="I8" s="43" t="s">
        <v>70</v>
      </c>
      <c r="Q8" t="s">
        <v>138</v>
      </c>
      <c r="R8" t="s">
        <v>139</v>
      </c>
      <c r="S8" t="str">
        <f t="shared" si="0"/>
        <v>Trd_2w_elc50</v>
      </c>
    </row>
    <row r="10" ht="15.25" spans="11:23">
      <c r="K10" s="304" t="s">
        <v>71</v>
      </c>
      <c r="S10" s="304" t="s">
        <v>72</v>
      </c>
      <c r="T10" s="308"/>
      <c r="U10" s="308"/>
      <c r="V10" s="308"/>
      <c r="W10" s="308"/>
    </row>
    <row r="11" spans="9:23">
      <c r="I11" t="s">
        <v>73</v>
      </c>
      <c r="J11" t="s">
        <v>74</v>
      </c>
      <c r="K11" t="s">
        <v>75</v>
      </c>
      <c r="L11" t="s">
        <v>76</v>
      </c>
      <c r="M11">
        <f>C15</f>
        <v>2020</v>
      </c>
      <c r="N11">
        <f>D15</f>
        <v>2030</v>
      </c>
      <c r="O11">
        <f>E15</f>
        <v>2040</v>
      </c>
      <c r="P11">
        <f>F15</f>
        <v>2050</v>
      </c>
      <c r="Q11" t="s">
        <v>77</v>
      </c>
      <c r="S11" s="308" t="s">
        <v>78</v>
      </c>
      <c r="T11" s="308" t="s">
        <v>79</v>
      </c>
      <c r="U11" s="308" t="s">
        <v>80</v>
      </c>
      <c r="V11" s="308" t="s">
        <v>81</v>
      </c>
      <c r="W11" s="308" t="s">
        <v>82</v>
      </c>
    </row>
    <row r="12" ht="15" customHeight="1" spans="2:23">
      <c r="B12" s="315" t="s">
        <v>140</v>
      </c>
      <c r="C12" s="315" t="s">
        <v>126</v>
      </c>
      <c r="D12" s="315"/>
      <c r="E12" s="315"/>
      <c r="F12" s="315"/>
      <c r="J12" t="str">
        <f>IFERROR(VLOOKUP(C12,$R$1:$S$8,2,FALSE),J11)</f>
        <v>Trd_2w_gsl150</v>
      </c>
      <c r="K12" t="str">
        <f>IFERROR(IF(VALUE(C12)&gt;2020,J12&amp;"_"&amp;TEXT(B12*100,"00"),"\I:"),"\I:")</f>
        <v>\I:</v>
      </c>
      <c r="L12" t="str">
        <f>LEFT(K12,6)</f>
        <v>\I:</v>
      </c>
      <c r="M12" t="str">
        <f>IF($K12="\I:","",C12)</f>
        <v/>
      </c>
      <c r="N12" t="str">
        <f>IF($K12="\I:","",D12)</f>
        <v/>
      </c>
      <c r="O12" t="str">
        <f>IF($K12="\I:","",E12)</f>
        <v/>
      </c>
      <c r="P12" t="str">
        <f>IF($K12="\I:","",F12)</f>
        <v/>
      </c>
      <c r="S12" t="s">
        <v>83</v>
      </c>
      <c r="T12" t="str">
        <f>K12</f>
        <v>\I:</v>
      </c>
      <c r="U12" t="str">
        <f ca="1">OFFSET($S$1,MATCH(J12,$S$1:$S$11,0)-1,-1)&amp;" -- "&amp;TEXT(B12,"00%")</f>
        <v>4-stroke MC 50-250 cc motorcycle -- Reduction of specific energy consumption relative to 2015 (%)</v>
      </c>
      <c r="V12" s="309" t="s">
        <v>84</v>
      </c>
      <c r="W12" s="309" t="s">
        <v>85</v>
      </c>
    </row>
    <row r="13" spans="2:23">
      <c r="B13" s="315"/>
      <c r="C13" s="315"/>
      <c r="D13" s="315"/>
      <c r="E13" s="315"/>
      <c r="F13" s="315"/>
      <c r="J13" t="str">
        <f t="shared" ref="J13:J76" si="1">IFERROR(VLOOKUP(C13,$R$1:$S$8,2,FALSE),J12)</f>
        <v>Trd_2w_gsl150</v>
      </c>
      <c r="K13" t="str">
        <f t="shared" ref="K13:K19" si="2">IFERROR(IF(VALUE(C13)&gt;2020,J13&amp;"_"&amp;TEXT(B13*100,"00"),"\I:"),"\I:")</f>
        <v>\I:</v>
      </c>
      <c r="L13" t="str">
        <f t="shared" ref="L13:L76" si="3">LEFT(K13,6)</f>
        <v>\I:</v>
      </c>
      <c r="M13" t="str">
        <f t="shared" ref="M13:M19" si="4">IF($K13="\I:","",C13)</f>
        <v/>
      </c>
      <c r="N13" t="str">
        <f t="shared" ref="N13:P19" si="5">IF($K13="\I:","",D13)</f>
        <v/>
      </c>
      <c r="O13" t="str">
        <f t="shared" si="5"/>
        <v/>
      </c>
      <c r="P13" t="str">
        <f t="shared" si="5"/>
        <v/>
      </c>
      <c r="S13" t="s">
        <v>83</v>
      </c>
      <c r="T13" t="str">
        <f t="shared" ref="T13:T23" si="6">K13</f>
        <v>\I:</v>
      </c>
      <c r="U13" t="str">
        <f ca="1" t="shared" ref="U13:U23" si="7">OFFSET($S$1,MATCH(J13,$S$1:$S$11,0)-1,-1)&amp;" -- "&amp;TEXT(B13,"00%")</f>
        <v>4-stroke MC 50-250 cc motorcycle -- 00%</v>
      </c>
      <c r="V13" s="309" t="s">
        <v>84</v>
      </c>
      <c r="W13" s="309" t="s">
        <v>85</v>
      </c>
    </row>
    <row r="14" spans="2:23">
      <c r="B14" s="315"/>
      <c r="C14" s="315"/>
      <c r="D14" s="315"/>
      <c r="E14" s="315"/>
      <c r="F14" s="315"/>
      <c r="J14" t="str">
        <f t="shared" si="1"/>
        <v>Trd_2w_gsl150</v>
      </c>
      <c r="K14" t="str">
        <f t="shared" si="2"/>
        <v>\I:</v>
      </c>
      <c r="L14" t="str">
        <f t="shared" si="3"/>
        <v>\I:</v>
      </c>
      <c r="M14" t="str">
        <f t="shared" si="4"/>
        <v/>
      </c>
      <c r="N14" t="str">
        <f t="shared" si="5"/>
        <v/>
      </c>
      <c r="O14" t="str">
        <f t="shared" si="5"/>
        <v/>
      </c>
      <c r="P14" t="str">
        <f t="shared" si="5"/>
        <v/>
      </c>
      <c r="S14" t="s">
        <v>83</v>
      </c>
      <c r="T14" t="str">
        <f t="shared" si="6"/>
        <v>\I:</v>
      </c>
      <c r="U14" t="str">
        <f ca="1" t="shared" si="7"/>
        <v>4-stroke MC 50-250 cc motorcycle -- 00%</v>
      </c>
      <c r="V14" s="309" t="s">
        <v>84</v>
      </c>
      <c r="W14" s="309" t="s">
        <v>85</v>
      </c>
    </row>
    <row r="15" spans="2:23">
      <c r="B15" s="49"/>
      <c r="C15" s="50">
        <v>2020</v>
      </c>
      <c r="D15" s="50">
        <v>2030</v>
      </c>
      <c r="E15" s="50">
        <v>2040</v>
      </c>
      <c r="F15" s="50">
        <v>2050</v>
      </c>
      <c r="J15" t="str">
        <f t="shared" si="1"/>
        <v>Trd_2w_gsl150</v>
      </c>
      <c r="K15" t="str">
        <f t="shared" si="2"/>
        <v>\I:</v>
      </c>
      <c r="L15" t="str">
        <f t="shared" si="3"/>
        <v>\I:</v>
      </c>
      <c r="M15" t="str">
        <f t="shared" si="4"/>
        <v/>
      </c>
      <c r="N15" t="str">
        <f t="shared" si="5"/>
        <v/>
      </c>
      <c r="O15" t="str">
        <f t="shared" si="5"/>
        <v/>
      </c>
      <c r="P15" t="str">
        <f t="shared" si="5"/>
        <v/>
      </c>
      <c r="S15" t="s">
        <v>83</v>
      </c>
      <c r="T15" t="str">
        <f t="shared" si="6"/>
        <v>\I:</v>
      </c>
      <c r="U15" t="str">
        <f ca="1" t="shared" si="7"/>
        <v>4-stroke MC 50-250 cc motorcycle -- 00%</v>
      </c>
      <c r="V15" s="309" t="s">
        <v>84</v>
      </c>
      <c r="W15" s="309" t="s">
        <v>85</v>
      </c>
    </row>
    <row r="16" spans="2:23">
      <c r="B16" s="85">
        <v>0.0154296707848</v>
      </c>
      <c r="C16" s="86">
        <v>2548.39995873036</v>
      </c>
      <c r="D16" s="86">
        <v>2548.39995873036</v>
      </c>
      <c r="E16" s="86">
        <v>2548.39995873036</v>
      </c>
      <c r="F16" s="86">
        <v>2548.39995873036</v>
      </c>
      <c r="I16" s="305">
        <f>(1+B16)</f>
        <v>1.0154296707848</v>
      </c>
      <c r="J16" t="str">
        <f t="shared" si="1"/>
        <v>Trd_2w_gsl150</v>
      </c>
      <c r="K16" t="str">
        <f t="shared" si="2"/>
        <v>Trd_2w_gsl150_02</v>
      </c>
      <c r="L16" t="str">
        <f t="shared" si="3"/>
        <v>Trd_2w</v>
      </c>
      <c r="M16" s="306">
        <f t="shared" si="4"/>
        <v>2548.39995873036</v>
      </c>
      <c r="N16" s="306">
        <f t="shared" si="5"/>
        <v>2548.39995873036</v>
      </c>
      <c r="O16" s="306">
        <f t="shared" si="5"/>
        <v>2548.39995873036</v>
      </c>
      <c r="P16" s="306">
        <f t="shared" si="5"/>
        <v>2548.39995873036</v>
      </c>
      <c r="S16" t="s">
        <v>83</v>
      </c>
      <c r="T16" t="str">
        <f t="shared" si="6"/>
        <v>Trd_2w_gsl150_02</v>
      </c>
      <c r="U16" t="str">
        <f ca="1" t="shared" si="7"/>
        <v>4-stroke MC 50-250 cc motorcycle -- 02%</v>
      </c>
      <c r="V16" s="309" t="s">
        <v>84</v>
      </c>
      <c r="W16" s="309" t="s">
        <v>85</v>
      </c>
    </row>
    <row r="17" spans="2:23">
      <c r="B17" s="85">
        <v>0.0654296707848</v>
      </c>
      <c r="C17" s="86">
        <v>2623.20910676422</v>
      </c>
      <c r="D17" s="86">
        <v>2598.40952810835</v>
      </c>
      <c r="E17" s="86">
        <v>2598.40952810835</v>
      </c>
      <c r="F17" s="86">
        <v>2598.40952810835</v>
      </c>
      <c r="I17" s="305">
        <f t="shared" ref="I17:I19" si="8">(1+B17)</f>
        <v>1.0654296707848</v>
      </c>
      <c r="J17" t="str">
        <f t="shared" si="1"/>
        <v>Trd_2w_gsl150</v>
      </c>
      <c r="K17" t="str">
        <f t="shared" si="2"/>
        <v>Trd_2w_gsl150_07</v>
      </c>
      <c r="L17" t="str">
        <f t="shared" si="3"/>
        <v>Trd_2w</v>
      </c>
      <c r="M17" s="306">
        <f t="shared" si="4"/>
        <v>2623.20910676422</v>
      </c>
      <c r="N17" s="306">
        <f t="shared" si="5"/>
        <v>2598.40952810835</v>
      </c>
      <c r="O17" s="306">
        <f t="shared" si="5"/>
        <v>2598.40952810835</v>
      </c>
      <c r="P17" s="306">
        <f t="shared" si="5"/>
        <v>2598.40952810835</v>
      </c>
      <c r="S17" t="s">
        <v>83</v>
      </c>
      <c r="T17" t="str">
        <f t="shared" si="6"/>
        <v>Trd_2w_gsl150_07</v>
      </c>
      <c r="U17" t="str">
        <f ca="1" t="shared" si="7"/>
        <v>4-stroke MC 50-250 cc motorcycle -- 07%</v>
      </c>
      <c r="V17" s="309" t="s">
        <v>84</v>
      </c>
      <c r="W17" s="309" t="s">
        <v>85</v>
      </c>
    </row>
    <row r="18" spans="2:23">
      <c r="B18" s="85">
        <v>0.1154296707848</v>
      </c>
      <c r="C18" s="86">
        <v>2666.56616060177</v>
      </c>
      <c r="D18" s="86">
        <v>2648.41909748634</v>
      </c>
      <c r="E18" s="86">
        <v>2648.41909748634</v>
      </c>
      <c r="F18" s="86">
        <v>2648.41909748634</v>
      </c>
      <c r="I18" s="305">
        <f t="shared" si="8"/>
        <v>1.1154296707848</v>
      </c>
      <c r="J18" t="str">
        <f t="shared" si="1"/>
        <v>Trd_2w_gsl150</v>
      </c>
      <c r="K18" t="str">
        <f t="shared" si="2"/>
        <v>Trd_2w_gsl150_12</v>
      </c>
      <c r="L18" t="str">
        <f t="shared" si="3"/>
        <v>Trd_2w</v>
      </c>
      <c r="M18" s="306">
        <f t="shared" si="4"/>
        <v>2666.56616060177</v>
      </c>
      <c r="N18" s="306">
        <f t="shared" si="5"/>
        <v>2648.41909748634</v>
      </c>
      <c r="O18" s="306">
        <f t="shared" si="5"/>
        <v>2648.41909748634</v>
      </c>
      <c r="P18" s="306">
        <f t="shared" si="5"/>
        <v>2648.41909748634</v>
      </c>
      <c r="S18" t="s">
        <v>83</v>
      </c>
      <c r="T18" t="str">
        <f t="shared" si="6"/>
        <v>Trd_2w_gsl150_12</v>
      </c>
      <c r="U18" t="str">
        <f ca="1" t="shared" si="7"/>
        <v>4-stroke MC 50-250 cc motorcycle -- 12%</v>
      </c>
      <c r="V18" s="309" t="s">
        <v>84</v>
      </c>
      <c r="W18" s="309" t="s">
        <v>85</v>
      </c>
    </row>
    <row r="19" spans="2:23">
      <c r="B19" s="85">
        <v>0.1654296707848</v>
      </c>
      <c r="C19" s="86">
        <v>2850.09035239822</v>
      </c>
      <c r="D19" s="86">
        <v>2698.42866686434</v>
      </c>
      <c r="E19" s="86">
        <v>2698.42866686434</v>
      </c>
      <c r="F19" s="86">
        <v>2698.42866686434</v>
      </c>
      <c r="I19" s="305">
        <f t="shared" si="8"/>
        <v>1.1654296707848</v>
      </c>
      <c r="J19" t="str">
        <f t="shared" si="1"/>
        <v>Trd_2w_gsl150</v>
      </c>
      <c r="K19" t="str">
        <f t="shared" si="2"/>
        <v>Trd_2w_gsl150_17</v>
      </c>
      <c r="L19" t="str">
        <f t="shared" si="3"/>
        <v>Trd_2w</v>
      </c>
      <c r="M19" s="306">
        <f t="shared" si="4"/>
        <v>2850.09035239822</v>
      </c>
      <c r="N19" s="306">
        <f t="shared" si="5"/>
        <v>2698.42866686434</v>
      </c>
      <c r="O19" s="306">
        <f t="shared" si="5"/>
        <v>2698.42866686434</v>
      </c>
      <c r="P19" s="306">
        <f t="shared" si="5"/>
        <v>2698.42866686434</v>
      </c>
      <c r="S19" t="s">
        <v>83</v>
      </c>
      <c r="T19" t="str">
        <f t="shared" si="6"/>
        <v>Trd_2w_gsl150_17</v>
      </c>
      <c r="U19" t="str">
        <f ca="1" t="shared" si="7"/>
        <v>4-stroke MC 50-250 cc motorcycle -- 17%</v>
      </c>
      <c r="V19" s="309" t="s">
        <v>84</v>
      </c>
      <c r="W19" s="309" t="s">
        <v>85</v>
      </c>
    </row>
    <row r="20" spans="2:23">
      <c r="B20" s="85">
        <v>0.2154296707848</v>
      </c>
      <c r="C20" s="86">
        <v>2913.11323778648</v>
      </c>
      <c r="D20" s="86">
        <v>2748.43823624233</v>
      </c>
      <c r="E20" s="86">
        <v>2748.43823624233</v>
      </c>
      <c r="F20" s="86">
        <v>2748.43823624233</v>
      </c>
      <c r="J20" t="str">
        <f t="shared" si="1"/>
        <v>Trd_2w_gsl150</v>
      </c>
      <c r="K20" t="str">
        <f t="shared" ref="K20:K83" si="9">IFERROR(IF(VALUE(C20)&gt;2020,J20&amp;"_"&amp;TEXT(B20*100,"00"),"\I:"),"\I:")</f>
        <v>Trd_2w_gsl150_22</v>
      </c>
      <c r="L20" t="str">
        <f t="shared" si="3"/>
        <v>Trd_2w</v>
      </c>
      <c r="M20" s="306">
        <f t="shared" ref="M20:M83" si="10">IF($K20="\I:","",C20)</f>
        <v>2913.11323778648</v>
      </c>
      <c r="N20" s="306">
        <f t="shared" ref="N20:N83" si="11">IF($K20="\I:","",D20)</f>
        <v>2748.43823624233</v>
      </c>
      <c r="O20" s="306">
        <f t="shared" ref="O20:O83" si="12">IF($K20="\I:","",E20)</f>
        <v>2748.43823624233</v>
      </c>
      <c r="P20" s="306">
        <f t="shared" ref="P20:P83" si="13">IF($K20="\I:","",F20)</f>
        <v>2748.43823624233</v>
      </c>
      <c r="S20" t="s">
        <v>83</v>
      </c>
      <c r="T20" t="str">
        <f t="shared" si="6"/>
        <v>Trd_2w_gsl150_22</v>
      </c>
      <c r="U20" t="str">
        <f ca="1" t="shared" si="7"/>
        <v>4-stroke MC 50-250 cc motorcycle -- 22%</v>
      </c>
      <c r="V20" s="309" t="s">
        <v>84</v>
      </c>
      <c r="W20" s="309" t="s">
        <v>85</v>
      </c>
    </row>
    <row r="21" spans="2:23">
      <c r="B21" s="85">
        <v>0.2654296707848</v>
      </c>
      <c r="C21" s="86">
        <v>3395.17369254124</v>
      </c>
      <c r="D21" s="86">
        <v>2801.32876836239</v>
      </c>
      <c r="E21" s="86">
        <v>2798.44780562032</v>
      </c>
      <c r="F21" s="86">
        <v>2798.44780562032</v>
      </c>
      <c r="J21" t="str">
        <f t="shared" si="1"/>
        <v>Trd_2w_gsl150</v>
      </c>
      <c r="K21" t="str">
        <f t="shared" si="9"/>
        <v>Trd_2w_gsl150_27</v>
      </c>
      <c r="L21" t="str">
        <f t="shared" si="3"/>
        <v>Trd_2w</v>
      </c>
      <c r="M21" s="306">
        <f t="shared" si="10"/>
        <v>3395.17369254124</v>
      </c>
      <c r="N21" s="306">
        <f t="shared" si="11"/>
        <v>2801.32876836239</v>
      </c>
      <c r="O21" s="306">
        <f t="shared" si="12"/>
        <v>2798.44780562032</v>
      </c>
      <c r="P21" s="306">
        <f t="shared" si="13"/>
        <v>2798.44780562032</v>
      </c>
      <c r="S21" t="s">
        <v>83</v>
      </c>
      <c r="T21" t="str">
        <f t="shared" si="6"/>
        <v>Trd_2w_gsl150_27</v>
      </c>
      <c r="U21" t="str">
        <f ca="1" t="shared" si="7"/>
        <v>4-stroke MC 50-250 cc motorcycle -- 27%</v>
      </c>
      <c r="V21" s="309" t="s">
        <v>84</v>
      </c>
      <c r="W21" s="309" t="s">
        <v>85</v>
      </c>
    </row>
    <row r="22" spans="2:23">
      <c r="B22" s="85">
        <v>0.3154296707848</v>
      </c>
      <c r="C22" s="86">
        <v>4641.47609894753</v>
      </c>
      <c r="D22" s="86">
        <v>2995.6373144863</v>
      </c>
      <c r="E22" s="86">
        <v>2848.45737499831</v>
      </c>
      <c r="F22" s="86">
        <v>2848.45737499831</v>
      </c>
      <c r="J22" t="str">
        <f t="shared" si="1"/>
        <v>Trd_2w_gsl150</v>
      </c>
      <c r="K22" t="str">
        <f t="shared" si="9"/>
        <v>Trd_2w_gsl150_32</v>
      </c>
      <c r="L22" t="str">
        <f t="shared" si="3"/>
        <v>Trd_2w</v>
      </c>
      <c r="M22" s="306">
        <f t="shared" si="10"/>
        <v>4641.47609894753</v>
      </c>
      <c r="N22" s="306">
        <f t="shared" si="11"/>
        <v>2995.6373144863</v>
      </c>
      <c r="O22" s="306">
        <f t="shared" si="12"/>
        <v>2848.45737499831</v>
      </c>
      <c r="P22" s="306">
        <f t="shared" si="13"/>
        <v>2848.45737499831</v>
      </c>
      <c r="S22" t="s">
        <v>83</v>
      </c>
      <c r="T22" t="str">
        <f t="shared" si="6"/>
        <v>Trd_2w_gsl150_32</v>
      </c>
      <c r="U22" t="str">
        <f ca="1" t="shared" si="7"/>
        <v>4-stroke MC 50-250 cc motorcycle -- 32%</v>
      </c>
      <c r="V22" s="309" t="s">
        <v>84</v>
      </c>
      <c r="W22" s="309" t="s">
        <v>85</v>
      </c>
    </row>
    <row r="23" spans="10:23">
      <c r="J23" t="str">
        <f t="shared" si="1"/>
        <v>Trd_2w_gsl150</v>
      </c>
      <c r="K23" t="str">
        <f t="shared" si="9"/>
        <v>\I:</v>
      </c>
      <c r="L23" t="str">
        <f t="shared" si="3"/>
        <v>\I:</v>
      </c>
      <c r="M23" s="306" t="str">
        <f t="shared" si="10"/>
        <v/>
      </c>
      <c r="N23" s="306" t="str">
        <f t="shared" si="11"/>
        <v/>
      </c>
      <c r="O23" s="306" t="str">
        <f t="shared" si="12"/>
        <v/>
      </c>
      <c r="P23" s="306" t="str">
        <f t="shared" si="13"/>
        <v/>
      </c>
      <c r="S23" t="s">
        <v>83</v>
      </c>
      <c r="T23" t="str">
        <f t="shared" si="6"/>
        <v>\I:</v>
      </c>
      <c r="U23" t="str">
        <f ca="1" t="shared" si="7"/>
        <v>4-stroke MC 50-250 cc motorcycle -- 00%</v>
      </c>
      <c r="V23" s="309" t="s">
        <v>84</v>
      </c>
      <c r="W23" s="309" t="s">
        <v>85</v>
      </c>
    </row>
    <row r="24" spans="10:23">
      <c r="J24" t="str">
        <f t="shared" si="1"/>
        <v>Trd_2w_gsl150</v>
      </c>
      <c r="K24" t="str">
        <f t="shared" si="9"/>
        <v>\I:</v>
      </c>
      <c r="L24" t="str">
        <f t="shared" si="3"/>
        <v>\I:</v>
      </c>
      <c r="M24" s="306" t="str">
        <f t="shared" si="10"/>
        <v/>
      </c>
      <c r="N24" s="306" t="str">
        <f t="shared" si="11"/>
        <v/>
      </c>
      <c r="O24" s="306" t="str">
        <f t="shared" si="12"/>
        <v/>
      </c>
      <c r="P24" s="306" t="str">
        <f t="shared" si="13"/>
        <v/>
      </c>
      <c r="T24" t="str">
        <f t="shared" ref="T24:T87" si="14">K24</f>
        <v>\I:</v>
      </c>
      <c r="U24" t="str">
        <f ca="1" t="shared" ref="U24:U87" si="15">OFFSET($S$1,MATCH(J24,$S$1:$S$11,0)-1,-1)&amp;" -- "&amp;TEXT(B24,"00%")</f>
        <v>4-stroke MC 50-250 cc motorcycle -- 00%</v>
      </c>
      <c r="V24" s="309" t="s">
        <v>84</v>
      </c>
      <c r="W24" s="309" t="s">
        <v>85</v>
      </c>
    </row>
    <row r="25" spans="10:23">
      <c r="J25" t="str">
        <f t="shared" si="1"/>
        <v>Trd_2w_gsl150</v>
      </c>
      <c r="K25" t="str">
        <f t="shared" si="9"/>
        <v>\I:</v>
      </c>
      <c r="L25" t="str">
        <f t="shared" si="3"/>
        <v>\I:</v>
      </c>
      <c r="M25" s="306" t="str">
        <f t="shared" si="10"/>
        <v/>
      </c>
      <c r="N25" s="306" t="str">
        <f t="shared" si="11"/>
        <v/>
      </c>
      <c r="O25" s="306" t="str">
        <f t="shared" si="12"/>
        <v/>
      </c>
      <c r="P25" s="306" t="str">
        <f t="shared" si="13"/>
        <v/>
      </c>
      <c r="T25" t="str">
        <f t="shared" si="14"/>
        <v>\I:</v>
      </c>
      <c r="U25" t="str">
        <f ca="1" t="shared" si="15"/>
        <v>4-stroke MC 50-250 cc motorcycle -- 00%</v>
      </c>
      <c r="V25" s="309" t="s">
        <v>84</v>
      </c>
      <c r="W25" s="309" t="s">
        <v>85</v>
      </c>
    </row>
    <row r="26" spans="10:23">
      <c r="J26" t="str">
        <f t="shared" si="1"/>
        <v>Trd_2w_gsl150</v>
      </c>
      <c r="K26" t="str">
        <f t="shared" si="9"/>
        <v>\I:</v>
      </c>
      <c r="L26" t="str">
        <f t="shared" si="3"/>
        <v>\I:</v>
      </c>
      <c r="M26" s="306" t="str">
        <f t="shared" si="10"/>
        <v/>
      </c>
      <c r="N26" s="306" t="str">
        <f t="shared" si="11"/>
        <v/>
      </c>
      <c r="O26" s="306" t="str">
        <f t="shared" si="12"/>
        <v/>
      </c>
      <c r="P26" s="306" t="str">
        <f t="shared" si="13"/>
        <v/>
      </c>
      <c r="T26" t="str">
        <f t="shared" si="14"/>
        <v>\I:</v>
      </c>
      <c r="U26" t="str">
        <f ca="1" t="shared" si="15"/>
        <v>4-stroke MC 50-250 cc motorcycle -- 00%</v>
      </c>
      <c r="V26" s="309" t="s">
        <v>84</v>
      </c>
      <c r="W26" s="309" t="s">
        <v>85</v>
      </c>
    </row>
    <row r="27" spans="2:23">
      <c r="B27" s="43" t="s">
        <v>141</v>
      </c>
      <c r="J27" t="str">
        <f t="shared" si="1"/>
        <v>Trd_2w_gsl150</v>
      </c>
      <c r="K27" t="str">
        <f t="shared" si="9"/>
        <v>\I:</v>
      </c>
      <c r="L27" t="str">
        <f t="shared" si="3"/>
        <v>\I:</v>
      </c>
      <c r="M27" s="306" t="str">
        <f t="shared" si="10"/>
        <v/>
      </c>
      <c r="N27" s="306" t="str">
        <f t="shared" si="11"/>
        <v/>
      </c>
      <c r="O27" s="306" t="str">
        <f t="shared" si="12"/>
        <v/>
      </c>
      <c r="P27" s="306" t="str">
        <f t="shared" si="13"/>
        <v/>
      </c>
      <c r="T27" t="str">
        <f t="shared" si="14"/>
        <v>\I:</v>
      </c>
      <c r="U27" t="str">
        <f ca="1" t="shared" si="15"/>
        <v>4-stroke MC 50-250 cc motorcycle -- Reference values for 4-stroke MC 250-750 cc motorcycle</v>
      </c>
      <c r="V27" s="309" t="s">
        <v>84</v>
      </c>
      <c r="W27" s="309" t="s">
        <v>85</v>
      </c>
    </row>
    <row r="28" ht="15" customHeight="1" spans="2:23">
      <c r="B28" s="298">
        <v>2015</v>
      </c>
      <c r="C28" s="298"/>
      <c r="D28" s="298"/>
      <c r="J28" t="str">
        <f t="shared" si="1"/>
        <v>Trd_2w_gsl150</v>
      </c>
      <c r="K28" t="str">
        <f t="shared" si="9"/>
        <v>\I:</v>
      </c>
      <c r="L28" t="str">
        <f t="shared" si="3"/>
        <v>\I:</v>
      </c>
      <c r="M28" s="306" t="str">
        <f t="shared" si="10"/>
        <v/>
      </c>
      <c r="N28" s="306" t="str">
        <f t="shared" si="11"/>
        <v/>
      </c>
      <c r="O28" s="306" t="str">
        <f t="shared" si="12"/>
        <v/>
      </c>
      <c r="P28" s="306" t="str">
        <f t="shared" si="13"/>
        <v/>
      </c>
      <c r="T28" t="str">
        <f t="shared" si="14"/>
        <v>\I:</v>
      </c>
      <c r="U28" t="str">
        <f ca="1" t="shared" si="15"/>
        <v>4-stroke MC 50-250 cc motorcycle -- 201500%</v>
      </c>
      <c r="V28" s="309" t="s">
        <v>84</v>
      </c>
      <c r="W28" s="309" t="s">
        <v>85</v>
      </c>
    </row>
    <row r="29" spans="2:23">
      <c r="B29" s="45" t="s">
        <v>12</v>
      </c>
      <c r="C29" s="46" t="s">
        <v>13</v>
      </c>
      <c r="D29" s="47">
        <v>4.40705451685865</v>
      </c>
      <c r="G29" s="299">
        <f>D29*$I$4/100*10^9/10^6</f>
        <v>1.38980871243654</v>
      </c>
      <c r="H29" s="299"/>
      <c r="I29" s="299">
        <f>1/G29</f>
        <v>0.719523479059827</v>
      </c>
      <c r="J29" t="str">
        <f t="shared" si="1"/>
        <v>Trd_2w_gsl150</v>
      </c>
      <c r="K29" t="str">
        <f t="shared" si="9"/>
        <v>\I:</v>
      </c>
      <c r="L29" t="str">
        <f t="shared" si="3"/>
        <v>\I:</v>
      </c>
      <c r="M29" s="306" t="str">
        <f t="shared" si="10"/>
        <v/>
      </c>
      <c r="N29" s="306" t="str">
        <f t="shared" si="11"/>
        <v/>
      </c>
      <c r="O29" s="306" t="str">
        <f t="shared" si="12"/>
        <v/>
      </c>
      <c r="P29" s="306" t="str">
        <f t="shared" si="13"/>
        <v/>
      </c>
      <c r="T29" t="str">
        <f t="shared" si="14"/>
        <v>\I:</v>
      </c>
      <c r="U29" t="str">
        <f ca="1" t="shared" si="15"/>
        <v>4-stroke MC 50-250 cc motorcycle -- Energy consumption</v>
      </c>
      <c r="V29" s="309" t="s">
        <v>84</v>
      </c>
      <c r="W29" s="309" t="s">
        <v>85</v>
      </c>
    </row>
    <row r="30" spans="2:23">
      <c r="B30" s="45" t="s">
        <v>14</v>
      </c>
      <c r="C30" s="46" t="s">
        <v>15</v>
      </c>
      <c r="D30" s="68">
        <v>6006.1537284368</v>
      </c>
      <c r="I30" s="43" t="s">
        <v>70</v>
      </c>
      <c r="J30" t="str">
        <f t="shared" si="1"/>
        <v>Trd_2w_gsl150</v>
      </c>
      <c r="K30" t="str">
        <f t="shared" si="9"/>
        <v>\I:</v>
      </c>
      <c r="L30" t="str">
        <f t="shared" si="3"/>
        <v>\I:</v>
      </c>
      <c r="M30" s="306" t="str">
        <f t="shared" si="10"/>
        <v/>
      </c>
      <c r="N30" s="306" t="str">
        <f t="shared" si="11"/>
        <v/>
      </c>
      <c r="O30" s="306" t="str">
        <f t="shared" si="12"/>
        <v/>
      </c>
      <c r="P30" s="306" t="str">
        <f t="shared" si="13"/>
        <v/>
      </c>
      <c r="T30" t="str">
        <f t="shared" si="14"/>
        <v>\I:</v>
      </c>
      <c r="U30" t="str">
        <f ca="1" t="shared" si="15"/>
        <v>4-stroke MC 50-250 cc motorcycle -- Capital cost</v>
      </c>
      <c r="V30" s="309" t="s">
        <v>84</v>
      </c>
      <c r="W30" s="309" t="s">
        <v>85</v>
      </c>
    </row>
    <row r="31" spans="10:23">
      <c r="J31" t="str">
        <f t="shared" si="1"/>
        <v>Trd_2w_gsl150</v>
      </c>
      <c r="K31" t="str">
        <f t="shared" si="9"/>
        <v>\I:</v>
      </c>
      <c r="L31" t="str">
        <f t="shared" si="3"/>
        <v>\I:</v>
      </c>
      <c r="M31" s="306" t="str">
        <f t="shared" si="10"/>
        <v/>
      </c>
      <c r="N31" s="306" t="str">
        <f t="shared" si="11"/>
        <v/>
      </c>
      <c r="O31" s="306" t="str">
        <f t="shared" si="12"/>
        <v/>
      </c>
      <c r="P31" s="306" t="str">
        <f t="shared" si="13"/>
        <v/>
      </c>
      <c r="T31" t="str">
        <f t="shared" si="14"/>
        <v>\I:</v>
      </c>
      <c r="U31" t="str">
        <f ca="1" t="shared" si="15"/>
        <v>4-stroke MC 50-250 cc motorcycle -- 00%</v>
      </c>
      <c r="V31" s="309" t="s">
        <v>84</v>
      </c>
      <c r="W31" s="309" t="s">
        <v>85</v>
      </c>
    </row>
    <row r="32" ht="15" customHeight="1" spans="2:23">
      <c r="B32" s="315" t="s">
        <v>140</v>
      </c>
      <c r="C32" s="315" t="s">
        <v>128</v>
      </c>
      <c r="D32" s="315"/>
      <c r="E32" s="315"/>
      <c r="F32" s="315"/>
      <c r="J32" t="str">
        <f t="shared" si="1"/>
        <v>Trd_2w_gsl500</v>
      </c>
      <c r="K32" t="str">
        <f t="shared" si="9"/>
        <v>\I:</v>
      </c>
      <c r="L32" t="str">
        <f t="shared" si="3"/>
        <v>\I:</v>
      </c>
      <c r="M32" s="306" t="str">
        <f t="shared" si="10"/>
        <v/>
      </c>
      <c r="N32" s="306" t="str">
        <f t="shared" si="11"/>
        <v/>
      </c>
      <c r="O32" s="306" t="str">
        <f t="shared" si="12"/>
        <v/>
      </c>
      <c r="P32" s="306" t="str">
        <f t="shared" si="13"/>
        <v/>
      </c>
      <c r="T32" t="str">
        <f t="shared" si="14"/>
        <v>\I:</v>
      </c>
      <c r="U32" t="str">
        <f ca="1" t="shared" si="15"/>
        <v>4-stroke MC 250-750 cc motorcycle -- Reduction of specific energy consumption relative to 2015 (%)</v>
      </c>
      <c r="V32" s="309" t="s">
        <v>84</v>
      </c>
      <c r="W32" s="309" t="s">
        <v>85</v>
      </c>
    </row>
    <row r="33" spans="2:23">
      <c r="B33" s="315"/>
      <c r="C33" s="315"/>
      <c r="D33" s="315"/>
      <c r="E33" s="315"/>
      <c r="F33" s="315"/>
      <c r="J33" t="str">
        <f t="shared" si="1"/>
        <v>Trd_2w_gsl500</v>
      </c>
      <c r="K33" t="str">
        <f t="shared" si="9"/>
        <v>\I:</v>
      </c>
      <c r="L33" t="str">
        <f t="shared" si="3"/>
        <v>\I:</v>
      </c>
      <c r="M33" s="306" t="str">
        <f t="shared" si="10"/>
        <v/>
      </c>
      <c r="N33" s="306" t="str">
        <f t="shared" si="11"/>
        <v/>
      </c>
      <c r="O33" s="306" t="str">
        <f t="shared" si="12"/>
        <v/>
      </c>
      <c r="P33" s="306" t="str">
        <f t="shared" si="13"/>
        <v/>
      </c>
      <c r="T33" t="str">
        <f t="shared" si="14"/>
        <v>\I:</v>
      </c>
      <c r="U33" t="str">
        <f ca="1" t="shared" si="15"/>
        <v>4-stroke MC 250-750 cc motorcycle -- 00%</v>
      </c>
      <c r="V33" s="309" t="s">
        <v>84</v>
      </c>
      <c r="W33" s="309" t="s">
        <v>85</v>
      </c>
    </row>
    <row r="34" spans="2:23">
      <c r="B34" s="315"/>
      <c r="C34" s="315"/>
      <c r="D34" s="315"/>
      <c r="E34" s="315"/>
      <c r="F34" s="315"/>
      <c r="J34" t="str">
        <f t="shared" si="1"/>
        <v>Trd_2w_gsl500</v>
      </c>
      <c r="K34" t="str">
        <f t="shared" si="9"/>
        <v>\I:</v>
      </c>
      <c r="L34" t="str">
        <f t="shared" si="3"/>
        <v>\I:</v>
      </c>
      <c r="M34" s="306" t="str">
        <f t="shared" si="10"/>
        <v/>
      </c>
      <c r="N34" s="306" t="str">
        <f t="shared" si="11"/>
        <v/>
      </c>
      <c r="O34" s="306" t="str">
        <f t="shared" si="12"/>
        <v/>
      </c>
      <c r="P34" s="306" t="str">
        <f t="shared" si="13"/>
        <v/>
      </c>
      <c r="T34" t="str">
        <f t="shared" si="14"/>
        <v>\I:</v>
      </c>
      <c r="U34" t="str">
        <f ca="1" t="shared" si="15"/>
        <v>4-stroke MC 250-750 cc motorcycle -- 00%</v>
      </c>
      <c r="V34" s="309" t="s">
        <v>84</v>
      </c>
      <c r="W34" s="309" t="s">
        <v>85</v>
      </c>
    </row>
    <row r="35" spans="2:23">
      <c r="B35" s="49"/>
      <c r="C35" s="50">
        <v>2020</v>
      </c>
      <c r="D35" s="50">
        <v>2030</v>
      </c>
      <c r="E35" s="50">
        <v>2040</v>
      </c>
      <c r="F35" s="50">
        <v>2050</v>
      </c>
      <c r="J35" t="str">
        <f t="shared" si="1"/>
        <v>Trd_2w_gsl500</v>
      </c>
      <c r="K35" t="str">
        <f t="shared" si="9"/>
        <v>\I:</v>
      </c>
      <c r="L35" t="str">
        <f t="shared" si="3"/>
        <v>\I:</v>
      </c>
      <c r="M35" s="306" t="str">
        <f t="shared" si="10"/>
        <v/>
      </c>
      <c r="N35" s="306" t="str">
        <f t="shared" si="11"/>
        <v/>
      </c>
      <c r="O35" s="306" t="str">
        <f t="shared" si="12"/>
        <v/>
      </c>
      <c r="P35" s="306" t="str">
        <f t="shared" si="13"/>
        <v/>
      </c>
      <c r="T35" t="str">
        <f t="shared" si="14"/>
        <v>\I:</v>
      </c>
      <c r="U35" t="str">
        <f ca="1" t="shared" si="15"/>
        <v>4-stroke MC 250-750 cc motorcycle -- 00%</v>
      </c>
      <c r="V35" s="309" t="s">
        <v>84</v>
      </c>
      <c r="W35" s="309" t="s">
        <v>85</v>
      </c>
    </row>
    <row r="36" spans="2:23">
      <c r="B36" s="85">
        <v>0.0181363576788854</v>
      </c>
      <c r="C36" s="86">
        <v>6040.16590734703</v>
      </c>
      <c r="D36" s="86">
        <v>6040.16590734703</v>
      </c>
      <c r="E36" s="86">
        <v>6040.16590734703</v>
      </c>
      <c r="F36" s="86">
        <v>6040.16590734703</v>
      </c>
      <c r="I36" s="305">
        <f>$I$29/$I$7*(1+B36)</f>
        <v>0.740202508286486</v>
      </c>
      <c r="J36" t="str">
        <f t="shared" si="1"/>
        <v>Trd_2w_gsl500</v>
      </c>
      <c r="K36" t="str">
        <f t="shared" si="9"/>
        <v>Trd_2w_gsl500_02</v>
      </c>
      <c r="L36" t="str">
        <f t="shared" si="3"/>
        <v>Trd_2w</v>
      </c>
      <c r="M36" s="306">
        <f t="shared" si="10"/>
        <v>6040.16590734703</v>
      </c>
      <c r="N36" s="306">
        <f t="shared" si="11"/>
        <v>6040.16590734703</v>
      </c>
      <c r="O36" s="306">
        <f t="shared" si="12"/>
        <v>6040.16590734703</v>
      </c>
      <c r="P36" s="306">
        <f t="shared" si="13"/>
        <v>6040.16590734703</v>
      </c>
      <c r="T36" t="str">
        <f t="shared" si="14"/>
        <v>Trd_2w_gsl500_02</v>
      </c>
      <c r="U36" t="str">
        <f ca="1" t="shared" si="15"/>
        <v>4-stroke MC 250-750 cc motorcycle -- 02%</v>
      </c>
      <c r="V36" s="309" t="s">
        <v>84</v>
      </c>
      <c r="W36" s="309" t="s">
        <v>85</v>
      </c>
    </row>
    <row r="37" spans="2:23">
      <c r="B37" s="85">
        <v>0.0681363576788853</v>
      </c>
      <c r="C37" s="86">
        <v>6180.43305991052</v>
      </c>
      <c r="D37" s="86">
        <v>6133.93384993077</v>
      </c>
      <c r="E37" s="86">
        <v>6133.93384993077</v>
      </c>
      <c r="F37" s="86">
        <v>6133.93384993077</v>
      </c>
      <c r="I37" s="305">
        <f t="shared" ref="I37:I42" si="16">$I$29/$I$7*(1+B37)</f>
        <v>0.776553361622771</v>
      </c>
      <c r="J37" t="str">
        <f t="shared" si="1"/>
        <v>Trd_2w_gsl500</v>
      </c>
      <c r="K37" t="str">
        <f t="shared" si="9"/>
        <v>Trd_2w_gsl500_07</v>
      </c>
      <c r="L37" t="str">
        <f t="shared" si="3"/>
        <v>Trd_2w</v>
      </c>
      <c r="M37" s="306">
        <f t="shared" si="10"/>
        <v>6180.43305991052</v>
      </c>
      <c r="N37" s="306">
        <f t="shared" si="11"/>
        <v>6133.93384993077</v>
      </c>
      <c r="O37" s="306">
        <f t="shared" si="12"/>
        <v>6133.93384993077</v>
      </c>
      <c r="P37" s="306">
        <f t="shared" si="13"/>
        <v>6133.93384993077</v>
      </c>
      <c r="T37" t="str">
        <f t="shared" si="14"/>
        <v>Trd_2w_gsl500_07</v>
      </c>
      <c r="U37" t="str">
        <f ca="1" t="shared" si="15"/>
        <v>4-stroke MC 250-750 cc motorcycle -- 07%</v>
      </c>
      <c r="V37" s="309" t="s">
        <v>84</v>
      </c>
      <c r="W37" s="309" t="s">
        <v>85</v>
      </c>
    </row>
    <row r="38" spans="2:23">
      <c r="B38" s="85">
        <v>0.118136357678885</v>
      </c>
      <c r="C38" s="86">
        <v>6261.72753585592</v>
      </c>
      <c r="D38" s="86">
        <v>6227.7017925145</v>
      </c>
      <c r="E38" s="86">
        <v>6227.7017925145</v>
      </c>
      <c r="F38" s="86">
        <v>6227.7017925145</v>
      </c>
      <c r="I38" s="305">
        <f t="shared" si="16"/>
        <v>0.812904214959055</v>
      </c>
      <c r="J38" t="str">
        <f t="shared" si="1"/>
        <v>Trd_2w_gsl500</v>
      </c>
      <c r="K38" t="str">
        <f t="shared" si="9"/>
        <v>Trd_2w_gsl500_12</v>
      </c>
      <c r="L38" t="str">
        <f t="shared" si="3"/>
        <v>Trd_2w</v>
      </c>
      <c r="M38" s="306">
        <f t="shared" si="10"/>
        <v>6261.72753585592</v>
      </c>
      <c r="N38" s="306">
        <f t="shared" si="11"/>
        <v>6227.7017925145</v>
      </c>
      <c r="O38" s="306">
        <f t="shared" si="12"/>
        <v>6227.7017925145</v>
      </c>
      <c r="P38" s="306">
        <f t="shared" si="13"/>
        <v>6227.7017925145</v>
      </c>
      <c r="T38" t="str">
        <f t="shared" si="14"/>
        <v>Trd_2w_gsl500_12</v>
      </c>
      <c r="U38" t="str">
        <f ca="1" t="shared" si="15"/>
        <v>4-stroke MC 250-750 cc motorcycle -- 12%</v>
      </c>
      <c r="V38" s="309" t="s">
        <v>84</v>
      </c>
      <c r="W38" s="309" t="s">
        <v>85</v>
      </c>
    </row>
    <row r="39" spans="2:23">
      <c r="B39" s="85">
        <v>0.168136357678885</v>
      </c>
      <c r="C39" s="86">
        <v>6605.83539547427</v>
      </c>
      <c r="D39" s="86">
        <v>6321.46973509823</v>
      </c>
      <c r="E39" s="86">
        <v>6321.46973509823</v>
      </c>
      <c r="F39" s="86">
        <v>6321.46973509823</v>
      </c>
      <c r="I39" s="305">
        <f t="shared" si="16"/>
        <v>0.84925506829534</v>
      </c>
      <c r="J39" t="str">
        <f t="shared" si="1"/>
        <v>Trd_2w_gsl500</v>
      </c>
      <c r="K39" t="str">
        <f t="shared" si="9"/>
        <v>Trd_2w_gsl500_17</v>
      </c>
      <c r="L39" t="str">
        <f t="shared" si="3"/>
        <v>Trd_2w</v>
      </c>
      <c r="M39" s="306">
        <f t="shared" si="10"/>
        <v>6605.83539547427</v>
      </c>
      <c r="N39" s="306">
        <f t="shared" si="11"/>
        <v>6321.46973509823</v>
      </c>
      <c r="O39" s="306">
        <f t="shared" si="12"/>
        <v>6321.46973509823</v>
      </c>
      <c r="P39" s="306">
        <f t="shared" si="13"/>
        <v>6321.46973509823</v>
      </c>
      <c r="T39" t="str">
        <f t="shared" si="14"/>
        <v>Trd_2w_gsl500_17</v>
      </c>
      <c r="U39" t="str">
        <f ca="1" t="shared" si="15"/>
        <v>4-stroke MC 250-750 cc motorcycle -- 17%</v>
      </c>
      <c r="V39" s="309" t="s">
        <v>84</v>
      </c>
      <c r="W39" s="309" t="s">
        <v>85</v>
      </c>
    </row>
    <row r="40" spans="2:23">
      <c r="B40" s="85">
        <v>0.218136357678885</v>
      </c>
      <c r="C40" s="86">
        <v>6724.00330557725</v>
      </c>
      <c r="D40" s="86">
        <v>6415.23767768196</v>
      </c>
      <c r="E40" s="86">
        <v>6415.23767768196</v>
      </c>
      <c r="F40" s="86">
        <v>6415.23767768196</v>
      </c>
      <c r="I40" s="305">
        <f t="shared" si="16"/>
        <v>0.885605921631625</v>
      </c>
      <c r="J40" t="str">
        <f t="shared" si="1"/>
        <v>Trd_2w_gsl500</v>
      </c>
      <c r="K40" t="str">
        <f t="shared" si="9"/>
        <v>Trd_2w_gsl500_22</v>
      </c>
      <c r="L40" t="str">
        <f t="shared" si="3"/>
        <v>Trd_2w</v>
      </c>
      <c r="M40" s="306">
        <f t="shared" si="10"/>
        <v>6724.00330557725</v>
      </c>
      <c r="N40" s="306">
        <f t="shared" si="11"/>
        <v>6415.23767768196</v>
      </c>
      <c r="O40" s="306">
        <f t="shared" si="12"/>
        <v>6415.23767768196</v>
      </c>
      <c r="P40" s="306">
        <f t="shared" si="13"/>
        <v>6415.23767768196</v>
      </c>
      <c r="T40" t="str">
        <f t="shared" si="14"/>
        <v>Trd_2w_gsl500_22</v>
      </c>
      <c r="U40" t="str">
        <f ca="1" t="shared" si="15"/>
        <v>4-stroke MC 250-750 cc motorcycle -- 22%</v>
      </c>
      <c r="V40" s="309" t="s">
        <v>84</v>
      </c>
      <c r="W40" s="309" t="s">
        <v>85</v>
      </c>
    </row>
    <row r="41" spans="2:23">
      <c r="B41" s="85">
        <v>0.268136357678885</v>
      </c>
      <c r="C41" s="86">
        <v>7627.86665824243</v>
      </c>
      <c r="D41" s="86">
        <v>6514.40742540709</v>
      </c>
      <c r="E41" s="86">
        <v>6509.00562026569</v>
      </c>
      <c r="F41" s="86">
        <v>6509.00562026569</v>
      </c>
      <c r="I41" s="305">
        <f t="shared" si="16"/>
        <v>0.92195677496791</v>
      </c>
      <c r="J41" t="str">
        <f t="shared" si="1"/>
        <v>Trd_2w_gsl500</v>
      </c>
      <c r="K41" t="str">
        <f t="shared" si="9"/>
        <v>Trd_2w_gsl500_27</v>
      </c>
      <c r="L41" t="str">
        <f t="shared" si="3"/>
        <v>Trd_2w</v>
      </c>
      <c r="M41" s="306">
        <f t="shared" si="10"/>
        <v>7627.86665824243</v>
      </c>
      <c r="N41" s="306">
        <f t="shared" si="11"/>
        <v>6514.40742540709</v>
      </c>
      <c r="O41" s="306">
        <f t="shared" si="12"/>
        <v>6509.00562026569</v>
      </c>
      <c r="P41" s="306">
        <f t="shared" si="13"/>
        <v>6509.00562026569</v>
      </c>
      <c r="T41" t="str">
        <f t="shared" si="14"/>
        <v>Trd_2w_gsl500_27</v>
      </c>
      <c r="U41" t="str">
        <f ca="1" t="shared" si="15"/>
        <v>4-stroke MC 250-750 cc motorcycle -- 27%</v>
      </c>
      <c r="V41" s="309" t="s">
        <v>84</v>
      </c>
      <c r="W41" s="309" t="s">
        <v>85</v>
      </c>
    </row>
    <row r="42" spans="2:23">
      <c r="B42" s="85">
        <v>0.318136357678885</v>
      </c>
      <c r="C42" s="86">
        <v>9964.68367025422</v>
      </c>
      <c r="D42" s="86">
        <v>6878.73594938942</v>
      </c>
      <c r="E42" s="86">
        <v>6602.77356284943</v>
      </c>
      <c r="F42" s="86">
        <v>6602.77356284943</v>
      </c>
      <c r="I42" s="305">
        <f t="shared" si="16"/>
        <v>0.958307628304194</v>
      </c>
      <c r="J42" t="str">
        <f t="shared" si="1"/>
        <v>Trd_2w_gsl500</v>
      </c>
      <c r="K42" t="str">
        <f t="shared" si="9"/>
        <v>Trd_2w_gsl500_32</v>
      </c>
      <c r="L42" t="str">
        <f t="shared" si="3"/>
        <v>Trd_2w</v>
      </c>
      <c r="M42" s="306">
        <f t="shared" si="10"/>
        <v>9964.68367025422</v>
      </c>
      <c r="N42" s="306">
        <f t="shared" si="11"/>
        <v>6878.73594938942</v>
      </c>
      <c r="O42" s="306">
        <f t="shared" si="12"/>
        <v>6602.77356284943</v>
      </c>
      <c r="P42" s="306">
        <f t="shared" si="13"/>
        <v>6602.77356284943</v>
      </c>
      <c r="T42" t="str">
        <f t="shared" si="14"/>
        <v>Trd_2w_gsl500_32</v>
      </c>
      <c r="U42" t="str">
        <f ca="1" t="shared" si="15"/>
        <v>4-stroke MC 250-750 cc motorcycle -- 32%</v>
      </c>
      <c r="V42" s="309" t="s">
        <v>84</v>
      </c>
      <c r="W42" s="309" t="s">
        <v>85</v>
      </c>
    </row>
    <row r="43" spans="10:23">
      <c r="J43" t="str">
        <f t="shared" si="1"/>
        <v>Trd_2w_gsl500</v>
      </c>
      <c r="K43" t="str">
        <f t="shared" si="9"/>
        <v>\I:</v>
      </c>
      <c r="L43" t="str">
        <f t="shared" si="3"/>
        <v>\I:</v>
      </c>
      <c r="M43" s="306" t="str">
        <f t="shared" si="10"/>
        <v/>
      </c>
      <c r="N43" s="306" t="str">
        <f t="shared" si="11"/>
        <v/>
      </c>
      <c r="O43" s="306" t="str">
        <f t="shared" si="12"/>
        <v/>
      </c>
      <c r="P43" s="306" t="str">
        <f t="shared" si="13"/>
        <v/>
      </c>
      <c r="T43" t="str">
        <f t="shared" si="14"/>
        <v>\I:</v>
      </c>
      <c r="U43" t="str">
        <f ca="1" t="shared" si="15"/>
        <v>4-stroke MC 250-750 cc motorcycle -- 00%</v>
      </c>
      <c r="V43" s="309" t="s">
        <v>84</v>
      </c>
      <c r="W43" s="309" t="s">
        <v>85</v>
      </c>
    </row>
    <row r="44" spans="10:23">
      <c r="J44" t="str">
        <f t="shared" si="1"/>
        <v>Trd_2w_gsl500</v>
      </c>
      <c r="K44" t="str">
        <f t="shared" si="9"/>
        <v>\I:</v>
      </c>
      <c r="L44" t="str">
        <f t="shared" si="3"/>
        <v>\I:</v>
      </c>
      <c r="M44" s="306" t="str">
        <f t="shared" si="10"/>
        <v/>
      </c>
      <c r="N44" s="306" t="str">
        <f t="shared" si="11"/>
        <v/>
      </c>
      <c r="O44" s="306" t="str">
        <f t="shared" si="12"/>
        <v/>
      </c>
      <c r="P44" s="306" t="str">
        <f t="shared" si="13"/>
        <v/>
      </c>
      <c r="T44" t="str">
        <f t="shared" si="14"/>
        <v>\I:</v>
      </c>
      <c r="U44" t="str">
        <f ca="1" t="shared" si="15"/>
        <v>4-stroke MC 250-750 cc motorcycle -- 00%</v>
      </c>
      <c r="V44" s="309" t="s">
        <v>84</v>
      </c>
      <c r="W44" s="309" t="s">
        <v>85</v>
      </c>
    </row>
    <row r="45" spans="10:23">
      <c r="J45" t="str">
        <f t="shared" si="1"/>
        <v>Trd_2w_gsl500</v>
      </c>
      <c r="K45" t="str">
        <f t="shared" si="9"/>
        <v>\I:</v>
      </c>
      <c r="L45" t="str">
        <f t="shared" si="3"/>
        <v>\I:</v>
      </c>
      <c r="M45" s="306" t="str">
        <f t="shared" si="10"/>
        <v/>
      </c>
      <c r="N45" s="306" t="str">
        <f t="shared" si="11"/>
        <v/>
      </c>
      <c r="O45" s="306" t="str">
        <f t="shared" si="12"/>
        <v/>
      </c>
      <c r="P45" s="306" t="str">
        <f t="shared" si="13"/>
        <v/>
      </c>
      <c r="T45" t="str">
        <f t="shared" si="14"/>
        <v>\I:</v>
      </c>
      <c r="U45" t="str">
        <f ca="1" t="shared" si="15"/>
        <v>4-stroke MC 250-750 cc motorcycle -- 00%</v>
      </c>
      <c r="V45" s="309" t="s">
        <v>84</v>
      </c>
      <c r="W45" s="309" t="s">
        <v>85</v>
      </c>
    </row>
    <row r="46" spans="10:23">
      <c r="J46" t="str">
        <f t="shared" si="1"/>
        <v>Trd_2w_gsl500</v>
      </c>
      <c r="K46" t="str">
        <f t="shared" si="9"/>
        <v>\I:</v>
      </c>
      <c r="L46" t="str">
        <f t="shared" si="3"/>
        <v>\I:</v>
      </c>
      <c r="M46" s="306" t="str">
        <f t="shared" si="10"/>
        <v/>
      </c>
      <c r="N46" s="306" t="str">
        <f t="shared" si="11"/>
        <v/>
      </c>
      <c r="O46" s="306" t="str">
        <f t="shared" si="12"/>
        <v/>
      </c>
      <c r="P46" s="306" t="str">
        <f t="shared" si="13"/>
        <v/>
      </c>
      <c r="T46" t="str">
        <f t="shared" si="14"/>
        <v>\I:</v>
      </c>
      <c r="U46" t="str">
        <f ca="1" t="shared" si="15"/>
        <v>4-stroke MC 250-750 cc motorcycle -- 00%</v>
      </c>
      <c r="V46" s="309" t="s">
        <v>84</v>
      </c>
      <c r="W46" s="309" t="s">
        <v>85</v>
      </c>
    </row>
    <row r="47" spans="2:23">
      <c r="B47" s="43" t="s">
        <v>142</v>
      </c>
      <c r="J47" t="str">
        <f t="shared" si="1"/>
        <v>Trd_2w_gsl500</v>
      </c>
      <c r="K47" t="str">
        <f t="shared" si="9"/>
        <v>\I:</v>
      </c>
      <c r="L47" t="str">
        <f t="shared" si="3"/>
        <v>\I:</v>
      </c>
      <c r="M47" s="306" t="str">
        <f t="shared" si="10"/>
        <v/>
      </c>
      <c r="N47" s="306" t="str">
        <f t="shared" si="11"/>
        <v/>
      </c>
      <c r="O47" s="306" t="str">
        <f t="shared" si="12"/>
        <v/>
      </c>
      <c r="P47" s="306" t="str">
        <f t="shared" si="13"/>
        <v/>
      </c>
      <c r="T47" t="str">
        <f t="shared" si="14"/>
        <v>\I:</v>
      </c>
      <c r="U47" t="str">
        <f ca="1" t="shared" si="15"/>
        <v>4-stroke MC 250-750 cc motorcycle -- Reference values for 4-stroke MC &gt;750 cc motorcycle</v>
      </c>
      <c r="V47" s="309" t="s">
        <v>84</v>
      </c>
      <c r="W47" s="309" t="s">
        <v>85</v>
      </c>
    </row>
    <row r="48" ht="15" customHeight="1" spans="2:23">
      <c r="B48" s="298">
        <v>2015</v>
      </c>
      <c r="C48" s="298"/>
      <c r="D48" s="298"/>
      <c r="J48" t="str">
        <f t="shared" si="1"/>
        <v>Trd_2w_gsl500</v>
      </c>
      <c r="K48" t="str">
        <f t="shared" si="9"/>
        <v>\I:</v>
      </c>
      <c r="L48" t="str">
        <f t="shared" si="3"/>
        <v>\I:</v>
      </c>
      <c r="M48" s="306" t="str">
        <f t="shared" si="10"/>
        <v/>
      </c>
      <c r="N48" s="306" t="str">
        <f t="shared" si="11"/>
        <v/>
      </c>
      <c r="O48" s="306" t="str">
        <f t="shared" si="12"/>
        <v/>
      </c>
      <c r="P48" s="306" t="str">
        <f t="shared" si="13"/>
        <v/>
      </c>
      <c r="T48" t="str">
        <f t="shared" si="14"/>
        <v>\I:</v>
      </c>
      <c r="U48" t="str">
        <f ca="1" t="shared" si="15"/>
        <v>4-stroke MC 250-750 cc motorcycle -- 201500%</v>
      </c>
      <c r="V48" s="309" t="s">
        <v>84</v>
      </c>
      <c r="W48" s="309" t="s">
        <v>85</v>
      </c>
    </row>
    <row r="49" spans="2:23">
      <c r="B49" s="45" t="s">
        <v>12</v>
      </c>
      <c r="C49" s="46" t="s">
        <v>13</v>
      </c>
      <c r="D49" s="47">
        <v>5.40232952265944</v>
      </c>
      <c r="G49" s="299">
        <f>D49*$I$4/100*10^9/10^6</f>
        <v>1.70367863826588</v>
      </c>
      <c r="H49" s="299"/>
      <c r="I49" s="303">
        <f>1/G49</f>
        <v>0.586965157359646</v>
      </c>
      <c r="J49" t="str">
        <f t="shared" si="1"/>
        <v>Trd_2w_gsl500</v>
      </c>
      <c r="K49" t="str">
        <f t="shared" si="9"/>
        <v>\I:</v>
      </c>
      <c r="L49" t="str">
        <f t="shared" si="3"/>
        <v>\I:</v>
      </c>
      <c r="M49" s="306" t="str">
        <f t="shared" si="10"/>
        <v/>
      </c>
      <c r="N49" s="306" t="str">
        <f t="shared" si="11"/>
        <v/>
      </c>
      <c r="O49" s="306" t="str">
        <f t="shared" si="12"/>
        <v/>
      </c>
      <c r="P49" s="306" t="str">
        <f t="shared" si="13"/>
        <v/>
      </c>
      <c r="T49" t="str">
        <f t="shared" si="14"/>
        <v>\I:</v>
      </c>
      <c r="U49" t="str">
        <f ca="1" t="shared" si="15"/>
        <v>4-stroke MC 250-750 cc motorcycle -- Energy consumption</v>
      </c>
      <c r="V49" s="309" t="s">
        <v>84</v>
      </c>
      <c r="W49" s="309" t="s">
        <v>85</v>
      </c>
    </row>
    <row r="50" spans="2:23">
      <c r="B50" s="45" t="s">
        <v>14</v>
      </c>
      <c r="C50" s="46" t="s">
        <v>15</v>
      </c>
      <c r="D50" s="68">
        <v>11061.5651294592</v>
      </c>
      <c r="I50" s="43" t="s">
        <v>70</v>
      </c>
      <c r="J50" t="str">
        <f t="shared" si="1"/>
        <v>Trd_2w_gsl500</v>
      </c>
      <c r="K50" t="str">
        <f t="shared" si="9"/>
        <v>\I:</v>
      </c>
      <c r="L50" t="str">
        <f t="shared" si="3"/>
        <v>\I:</v>
      </c>
      <c r="M50" s="306" t="str">
        <f t="shared" si="10"/>
        <v/>
      </c>
      <c r="N50" s="306" t="str">
        <f t="shared" si="11"/>
        <v/>
      </c>
      <c r="O50" s="306" t="str">
        <f t="shared" si="12"/>
        <v/>
      </c>
      <c r="P50" s="306" t="str">
        <f t="shared" si="13"/>
        <v/>
      </c>
      <c r="T50" t="str">
        <f t="shared" si="14"/>
        <v>\I:</v>
      </c>
      <c r="U50" t="str">
        <f ca="1" t="shared" si="15"/>
        <v>4-stroke MC 250-750 cc motorcycle -- Capital cost</v>
      </c>
      <c r="V50" s="309" t="s">
        <v>84</v>
      </c>
      <c r="W50" s="309" t="s">
        <v>85</v>
      </c>
    </row>
    <row r="51" spans="10:23">
      <c r="J51" t="str">
        <f t="shared" si="1"/>
        <v>Trd_2w_gsl500</v>
      </c>
      <c r="K51" t="str">
        <f t="shared" si="9"/>
        <v>\I:</v>
      </c>
      <c r="L51" t="str">
        <f t="shared" si="3"/>
        <v>\I:</v>
      </c>
      <c r="M51" s="306" t="str">
        <f t="shared" si="10"/>
        <v/>
      </c>
      <c r="N51" s="306" t="str">
        <f t="shared" si="11"/>
        <v/>
      </c>
      <c r="O51" s="306" t="str">
        <f t="shared" si="12"/>
        <v/>
      </c>
      <c r="P51" s="306" t="str">
        <f t="shared" si="13"/>
        <v/>
      </c>
      <c r="T51" t="str">
        <f t="shared" si="14"/>
        <v>\I:</v>
      </c>
      <c r="U51" t="str">
        <f ca="1" t="shared" si="15"/>
        <v>4-stroke MC 250-750 cc motorcycle -- 00%</v>
      </c>
      <c r="V51" s="309" t="s">
        <v>84</v>
      </c>
      <c r="W51" s="309" t="s">
        <v>85</v>
      </c>
    </row>
    <row r="52" ht="15" customHeight="1" spans="2:23">
      <c r="B52" s="315" t="s">
        <v>140</v>
      </c>
      <c r="C52" s="315" t="s">
        <v>129</v>
      </c>
      <c r="D52" s="315"/>
      <c r="E52" s="315"/>
      <c r="F52" s="315"/>
      <c r="J52" t="str">
        <f t="shared" si="1"/>
        <v>Trd_3w_gsl</v>
      </c>
      <c r="K52" t="str">
        <f t="shared" si="9"/>
        <v>\I:</v>
      </c>
      <c r="L52" t="str">
        <f t="shared" si="3"/>
        <v>\I:</v>
      </c>
      <c r="M52" s="306" t="str">
        <f t="shared" si="10"/>
        <v/>
      </c>
      <c r="N52" s="306" t="str">
        <f t="shared" si="11"/>
        <v/>
      </c>
      <c r="O52" s="306" t="str">
        <f t="shared" si="12"/>
        <v/>
      </c>
      <c r="P52" s="306" t="str">
        <f t="shared" si="13"/>
        <v/>
      </c>
      <c r="T52" t="str">
        <f t="shared" si="14"/>
        <v>\I:</v>
      </c>
      <c r="U52" t="str">
        <f ca="1" t="shared" si="15"/>
        <v>4-stroke MC &gt;750 cc motorcycle -- Reduction of specific energy consumption relative to 2015 (%)</v>
      </c>
      <c r="V52" s="309" t="s">
        <v>84</v>
      </c>
      <c r="W52" s="309" t="s">
        <v>85</v>
      </c>
    </row>
    <row r="53" spans="2:23">
      <c r="B53" s="315"/>
      <c r="C53" s="315"/>
      <c r="D53" s="315"/>
      <c r="E53" s="315"/>
      <c r="F53" s="315"/>
      <c r="J53" t="str">
        <f t="shared" si="1"/>
        <v>Trd_3w_gsl</v>
      </c>
      <c r="K53" t="str">
        <f t="shared" si="9"/>
        <v>\I:</v>
      </c>
      <c r="L53" t="str">
        <f t="shared" si="3"/>
        <v>\I:</v>
      </c>
      <c r="M53" s="306" t="str">
        <f t="shared" si="10"/>
        <v/>
      </c>
      <c r="N53" s="306" t="str">
        <f t="shared" si="11"/>
        <v/>
      </c>
      <c r="O53" s="306" t="str">
        <f t="shared" si="12"/>
        <v/>
      </c>
      <c r="P53" s="306" t="str">
        <f t="shared" si="13"/>
        <v/>
      </c>
      <c r="T53" t="str">
        <f t="shared" si="14"/>
        <v>\I:</v>
      </c>
      <c r="U53" t="str">
        <f ca="1" t="shared" si="15"/>
        <v>4-stroke MC &gt;750 cc motorcycle -- 00%</v>
      </c>
      <c r="V53" s="309" t="s">
        <v>84</v>
      </c>
      <c r="W53" s="309" t="s">
        <v>85</v>
      </c>
    </row>
    <row r="54" spans="2:23">
      <c r="B54" s="315"/>
      <c r="C54" s="315"/>
      <c r="D54" s="315"/>
      <c r="E54" s="315"/>
      <c r="F54" s="315"/>
      <c r="J54" t="str">
        <f t="shared" si="1"/>
        <v>Trd_3w_gsl</v>
      </c>
      <c r="K54" t="str">
        <f t="shared" si="9"/>
        <v>\I:</v>
      </c>
      <c r="L54" t="str">
        <f t="shared" si="3"/>
        <v>\I:</v>
      </c>
      <c r="M54" s="306" t="str">
        <f t="shared" si="10"/>
        <v/>
      </c>
      <c r="N54" s="306" t="str">
        <f t="shared" si="11"/>
        <v/>
      </c>
      <c r="O54" s="306" t="str">
        <f t="shared" si="12"/>
        <v/>
      </c>
      <c r="P54" s="306" t="str">
        <f t="shared" si="13"/>
        <v/>
      </c>
      <c r="T54" t="str">
        <f t="shared" si="14"/>
        <v>\I:</v>
      </c>
      <c r="U54" t="str">
        <f ca="1" t="shared" si="15"/>
        <v>4-stroke MC &gt;750 cc motorcycle -- 00%</v>
      </c>
      <c r="V54" s="309" t="s">
        <v>84</v>
      </c>
      <c r="W54" s="309" t="s">
        <v>85</v>
      </c>
    </row>
    <row r="55" spans="2:23">
      <c r="B55" s="49"/>
      <c r="C55" s="50">
        <v>2020</v>
      </c>
      <c r="D55" s="50">
        <v>2030</v>
      </c>
      <c r="E55" s="50">
        <v>2040</v>
      </c>
      <c r="F55" s="50">
        <v>2050</v>
      </c>
      <c r="J55" t="str">
        <f t="shared" si="1"/>
        <v>Trd_3w_gsl</v>
      </c>
      <c r="K55" t="str">
        <f t="shared" si="9"/>
        <v>\I:</v>
      </c>
      <c r="L55" t="str">
        <f t="shared" si="3"/>
        <v>\I:</v>
      </c>
      <c r="M55" s="306" t="str">
        <f t="shared" si="10"/>
        <v/>
      </c>
      <c r="N55" s="306" t="str">
        <f t="shared" si="11"/>
        <v/>
      </c>
      <c r="O55" s="306" t="str">
        <f t="shared" si="12"/>
        <v/>
      </c>
      <c r="P55" s="306" t="str">
        <f t="shared" si="13"/>
        <v/>
      </c>
      <c r="T55" t="str">
        <f t="shared" si="14"/>
        <v>\I:</v>
      </c>
      <c r="U55" t="str">
        <f ca="1" t="shared" si="15"/>
        <v>4-stroke MC &gt;750 cc motorcycle -- 00%</v>
      </c>
      <c r="V55" s="309" t="s">
        <v>84</v>
      </c>
      <c r="W55" s="309" t="s">
        <v>85</v>
      </c>
    </row>
    <row r="56" spans="2:23">
      <c r="B56" s="85">
        <v>0.0156490716371927</v>
      </c>
      <c r="C56" s="86">
        <v>11100.6952961463</v>
      </c>
      <c r="D56" s="86">
        <v>11100.6952961463</v>
      </c>
      <c r="E56" s="86">
        <v>11100.6952961463</v>
      </c>
      <c r="F56" s="86">
        <v>11100.6952961463</v>
      </c>
      <c r="I56" s="77">
        <f>(1+B56)</f>
        <v>1.01564907163719</v>
      </c>
      <c r="J56" t="str">
        <f t="shared" si="1"/>
        <v>Trd_3w_gsl</v>
      </c>
      <c r="K56" t="str">
        <f t="shared" si="9"/>
        <v>Trd_3w_gsl_02</v>
      </c>
      <c r="L56" t="str">
        <f t="shared" si="3"/>
        <v>Trd_3w</v>
      </c>
      <c r="M56" s="306">
        <f t="shared" si="10"/>
        <v>11100.6952961463</v>
      </c>
      <c r="N56" s="306">
        <f t="shared" si="11"/>
        <v>11100.6952961463</v>
      </c>
      <c r="O56" s="306">
        <f t="shared" si="12"/>
        <v>11100.6952961463</v>
      </c>
      <c r="P56" s="306">
        <f t="shared" si="13"/>
        <v>11100.6952961463</v>
      </c>
      <c r="T56" t="str">
        <f t="shared" si="14"/>
        <v>Trd_3w_gsl_02</v>
      </c>
      <c r="U56" t="str">
        <f ca="1" t="shared" si="15"/>
        <v>4-stroke MC &gt;750 cc motorcycle -- 02%</v>
      </c>
      <c r="V56" s="309" t="s">
        <v>84</v>
      </c>
      <c r="W56" s="309" t="s">
        <v>85</v>
      </c>
    </row>
    <row r="57" spans="2:23">
      <c r="B57" s="85">
        <v>0.0656490716371927</v>
      </c>
      <c r="C57" s="86">
        <v>11287.7181662309</v>
      </c>
      <c r="D57" s="86">
        <v>11225.7192195912</v>
      </c>
      <c r="E57" s="86">
        <v>11225.7192195912</v>
      </c>
      <c r="F57" s="86">
        <v>11225.7192195912</v>
      </c>
      <c r="I57" s="77">
        <f t="shared" ref="I57:I62" si="17">(1+B57)</f>
        <v>1.06564907163719</v>
      </c>
      <c r="J57" t="str">
        <f t="shared" si="1"/>
        <v>Trd_3w_gsl</v>
      </c>
      <c r="K57" t="str">
        <f t="shared" si="9"/>
        <v>Trd_3w_gsl_07</v>
      </c>
      <c r="L57" t="str">
        <f t="shared" si="3"/>
        <v>Trd_3w</v>
      </c>
      <c r="M57" s="306">
        <f t="shared" si="10"/>
        <v>11287.7181662309</v>
      </c>
      <c r="N57" s="306">
        <f t="shared" si="11"/>
        <v>11225.7192195912</v>
      </c>
      <c r="O57" s="306">
        <f t="shared" si="12"/>
        <v>11225.7192195912</v>
      </c>
      <c r="P57" s="306">
        <f t="shared" si="13"/>
        <v>11225.7192195912</v>
      </c>
      <c r="T57" t="str">
        <f t="shared" si="14"/>
        <v>Trd_3w_gsl_07</v>
      </c>
      <c r="U57" t="str">
        <f ca="1" t="shared" si="15"/>
        <v>4-stroke MC &gt;750 cc motorcycle -- 07%</v>
      </c>
      <c r="V57" s="309" t="s">
        <v>84</v>
      </c>
      <c r="W57" s="309" t="s">
        <v>85</v>
      </c>
    </row>
    <row r="58" spans="2:23">
      <c r="B58" s="85">
        <v>0.115649071637193</v>
      </c>
      <c r="C58" s="86">
        <v>11396.1108008248</v>
      </c>
      <c r="D58" s="86">
        <v>11350.7431430362</v>
      </c>
      <c r="E58" s="86">
        <v>11350.7431430362</v>
      </c>
      <c r="F58" s="86">
        <v>11350.7431430362</v>
      </c>
      <c r="I58" s="77">
        <f t="shared" si="17"/>
        <v>1.11564907163719</v>
      </c>
      <c r="J58" t="str">
        <f t="shared" si="1"/>
        <v>Trd_3w_gsl</v>
      </c>
      <c r="K58" t="str">
        <f t="shared" si="9"/>
        <v>Trd_3w_gsl_12</v>
      </c>
      <c r="L58" t="str">
        <f t="shared" si="3"/>
        <v>Trd_3w</v>
      </c>
      <c r="M58" s="306">
        <f t="shared" si="10"/>
        <v>11396.1108008248</v>
      </c>
      <c r="N58" s="306">
        <f t="shared" si="11"/>
        <v>11350.7431430362</v>
      </c>
      <c r="O58" s="306">
        <f t="shared" si="12"/>
        <v>11350.7431430362</v>
      </c>
      <c r="P58" s="306">
        <f t="shared" si="13"/>
        <v>11350.7431430362</v>
      </c>
      <c r="T58" t="str">
        <f t="shared" si="14"/>
        <v>Trd_3w_gsl_12</v>
      </c>
      <c r="U58" t="str">
        <f ca="1" t="shared" si="15"/>
        <v>4-stroke MC &gt;750 cc motorcycle -- 12%</v>
      </c>
      <c r="V58" s="309" t="s">
        <v>84</v>
      </c>
      <c r="W58" s="309" t="s">
        <v>85</v>
      </c>
    </row>
    <row r="59" spans="2:23">
      <c r="B59" s="85">
        <v>0.165649071637193</v>
      </c>
      <c r="C59" s="86">
        <v>11854.9212803159</v>
      </c>
      <c r="D59" s="86">
        <v>11475.7670664812</v>
      </c>
      <c r="E59" s="86">
        <v>11475.7670664812</v>
      </c>
      <c r="F59" s="86">
        <v>11475.7670664812</v>
      </c>
      <c r="I59" s="77">
        <f t="shared" si="17"/>
        <v>1.16564907163719</v>
      </c>
      <c r="J59" t="str">
        <f t="shared" si="1"/>
        <v>Trd_3w_gsl</v>
      </c>
      <c r="K59" t="str">
        <f t="shared" si="9"/>
        <v>Trd_3w_gsl_17</v>
      </c>
      <c r="L59" t="str">
        <f t="shared" si="3"/>
        <v>Trd_3w</v>
      </c>
      <c r="M59" s="306">
        <f t="shared" si="10"/>
        <v>11854.9212803159</v>
      </c>
      <c r="N59" s="306">
        <f t="shared" si="11"/>
        <v>11475.7670664812</v>
      </c>
      <c r="O59" s="306">
        <f t="shared" si="12"/>
        <v>11475.7670664812</v>
      </c>
      <c r="P59" s="306">
        <f t="shared" si="13"/>
        <v>11475.7670664812</v>
      </c>
      <c r="T59" t="str">
        <f t="shared" si="14"/>
        <v>Trd_3w_gsl_17</v>
      </c>
      <c r="U59" t="str">
        <f ca="1" t="shared" si="15"/>
        <v>4-stroke MC &gt;750 cc motorcycle -- 17%</v>
      </c>
      <c r="V59" s="309" t="s">
        <v>84</v>
      </c>
      <c r="W59" s="309" t="s">
        <v>85</v>
      </c>
    </row>
    <row r="60" spans="2:23">
      <c r="B60" s="85">
        <v>0.215649071637193</v>
      </c>
      <c r="C60" s="86">
        <v>12012.4784937866</v>
      </c>
      <c r="D60" s="86">
        <v>11600.7909899262</v>
      </c>
      <c r="E60" s="86">
        <v>11600.7909899262</v>
      </c>
      <c r="F60" s="86">
        <v>11600.7909899262</v>
      </c>
      <c r="I60" s="77">
        <f t="shared" si="17"/>
        <v>1.21564907163719</v>
      </c>
      <c r="J60" t="str">
        <f t="shared" si="1"/>
        <v>Trd_3w_gsl</v>
      </c>
      <c r="K60" t="str">
        <f t="shared" si="9"/>
        <v>Trd_3w_gsl_22</v>
      </c>
      <c r="L60" t="str">
        <f t="shared" si="3"/>
        <v>Trd_3w</v>
      </c>
      <c r="M60" s="306">
        <f t="shared" si="10"/>
        <v>12012.4784937866</v>
      </c>
      <c r="N60" s="306">
        <f t="shared" si="11"/>
        <v>11600.7909899262</v>
      </c>
      <c r="O60" s="306">
        <f t="shared" si="12"/>
        <v>11600.7909899262</v>
      </c>
      <c r="P60" s="306">
        <f t="shared" si="13"/>
        <v>11600.7909899262</v>
      </c>
      <c r="T60" t="str">
        <f t="shared" si="14"/>
        <v>Trd_3w_gsl_22</v>
      </c>
      <c r="U60" t="str">
        <f ca="1" t="shared" si="15"/>
        <v>4-stroke MC &gt;750 cc motorcycle -- 22%</v>
      </c>
      <c r="V60" s="309" t="s">
        <v>84</v>
      </c>
      <c r="W60" s="309" t="s">
        <v>85</v>
      </c>
    </row>
    <row r="61" spans="2:23">
      <c r="B61" s="85">
        <v>0.265649071637193</v>
      </c>
      <c r="C61" s="86">
        <v>13217.6296306735</v>
      </c>
      <c r="D61" s="86">
        <v>11733.0173202263</v>
      </c>
      <c r="E61" s="86">
        <v>11725.8149133712</v>
      </c>
      <c r="F61" s="86">
        <v>11725.8149133712</v>
      </c>
      <c r="I61" s="77">
        <f t="shared" si="17"/>
        <v>1.26564907163719</v>
      </c>
      <c r="J61" t="str">
        <f t="shared" si="1"/>
        <v>Trd_3w_gsl</v>
      </c>
      <c r="K61" t="str">
        <f t="shared" si="9"/>
        <v>Trd_3w_gsl_27</v>
      </c>
      <c r="L61" t="str">
        <f t="shared" si="3"/>
        <v>Trd_3w</v>
      </c>
      <c r="M61" s="306">
        <f t="shared" si="10"/>
        <v>13217.6296306735</v>
      </c>
      <c r="N61" s="306">
        <f t="shared" si="11"/>
        <v>11733.0173202263</v>
      </c>
      <c r="O61" s="306">
        <f t="shared" si="12"/>
        <v>11725.8149133712</v>
      </c>
      <c r="P61" s="306">
        <f t="shared" si="13"/>
        <v>11725.8149133712</v>
      </c>
      <c r="T61" t="str">
        <f t="shared" si="14"/>
        <v>Trd_3w_gsl_27</v>
      </c>
      <c r="U61" t="str">
        <f ca="1" t="shared" si="15"/>
        <v>4-stroke MC &gt;750 cc motorcycle -- 27%</v>
      </c>
      <c r="V61" s="309" t="s">
        <v>84</v>
      </c>
      <c r="W61" s="309" t="s">
        <v>85</v>
      </c>
    </row>
    <row r="62" spans="2:23">
      <c r="B62" s="85">
        <v>0.315649071637193</v>
      </c>
      <c r="C62" s="86">
        <v>16333.3856466892</v>
      </c>
      <c r="D62" s="86">
        <v>12218.7886855361</v>
      </c>
      <c r="E62" s="86">
        <v>11850.8388368161</v>
      </c>
      <c r="F62" s="86">
        <v>11850.8388368161</v>
      </c>
      <c r="I62" s="77">
        <f t="shared" si="17"/>
        <v>1.31564907163719</v>
      </c>
      <c r="J62" t="str">
        <f t="shared" si="1"/>
        <v>Trd_3w_gsl</v>
      </c>
      <c r="K62" t="str">
        <f t="shared" si="9"/>
        <v>Trd_3w_gsl_32</v>
      </c>
      <c r="L62" t="str">
        <f t="shared" si="3"/>
        <v>Trd_3w</v>
      </c>
      <c r="M62" s="306">
        <f t="shared" si="10"/>
        <v>16333.3856466892</v>
      </c>
      <c r="N62" s="306">
        <f t="shared" si="11"/>
        <v>12218.7886855361</v>
      </c>
      <c r="O62" s="306">
        <f t="shared" si="12"/>
        <v>11850.8388368161</v>
      </c>
      <c r="P62" s="306">
        <f t="shared" si="13"/>
        <v>11850.8388368161</v>
      </c>
      <c r="T62" t="str">
        <f t="shared" si="14"/>
        <v>Trd_3w_gsl_32</v>
      </c>
      <c r="U62" t="str">
        <f ca="1" t="shared" si="15"/>
        <v>4-stroke MC &gt;750 cc motorcycle -- 32%</v>
      </c>
      <c r="V62" s="309" t="s">
        <v>84</v>
      </c>
      <c r="W62" s="309" t="s">
        <v>85</v>
      </c>
    </row>
    <row r="63" spans="10:23">
      <c r="J63" t="str">
        <f t="shared" si="1"/>
        <v>Trd_3w_gsl</v>
      </c>
      <c r="K63" t="str">
        <f t="shared" si="9"/>
        <v>\I:</v>
      </c>
      <c r="L63" t="str">
        <f t="shared" si="3"/>
        <v>\I:</v>
      </c>
      <c r="M63" s="306" t="str">
        <f t="shared" si="10"/>
        <v/>
      </c>
      <c r="N63" s="306" t="str">
        <f t="shared" si="11"/>
        <v/>
      </c>
      <c r="O63" s="306" t="str">
        <f t="shared" si="12"/>
        <v/>
      </c>
      <c r="P63" s="306" t="str">
        <f t="shared" si="13"/>
        <v/>
      </c>
      <c r="T63" t="str">
        <f t="shared" si="14"/>
        <v>\I:</v>
      </c>
      <c r="U63" t="str">
        <f ca="1" t="shared" si="15"/>
        <v>4-stroke MC &gt;750 cc motorcycle -- 00%</v>
      </c>
      <c r="V63" s="309" t="s">
        <v>84</v>
      </c>
      <c r="W63" s="309" t="s">
        <v>85</v>
      </c>
    </row>
    <row r="64" spans="10:23">
      <c r="J64" t="str">
        <f t="shared" si="1"/>
        <v>Trd_3w_gsl</v>
      </c>
      <c r="K64" t="str">
        <f t="shared" si="9"/>
        <v>\I:</v>
      </c>
      <c r="L64" t="str">
        <f t="shared" si="3"/>
        <v>\I:</v>
      </c>
      <c r="M64" s="306" t="str">
        <f t="shared" si="10"/>
        <v/>
      </c>
      <c r="N64" s="306" t="str">
        <f t="shared" si="11"/>
        <v/>
      </c>
      <c r="O64" s="306" t="str">
        <f t="shared" si="12"/>
        <v/>
      </c>
      <c r="P64" s="306" t="str">
        <f t="shared" si="13"/>
        <v/>
      </c>
      <c r="T64" t="str">
        <f t="shared" si="14"/>
        <v>\I:</v>
      </c>
      <c r="U64" t="str">
        <f ca="1" t="shared" si="15"/>
        <v>4-stroke MC &gt;750 cc motorcycle -- 00%</v>
      </c>
      <c r="V64" s="309" t="s">
        <v>84</v>
      </c>
      <c r="W64" s="309" t="s">
        <v>85</v>
      </c>
    </row>
    <row r="65" spans="10:23">
      <c r="J65" t="str">
        <f t="shared" si="1"/>
        <v>Trd_3w_gsl</v>
      </c>
      <c r="K65" t="str">
        <f t="shared" si="9"/>
        <v>\I:</v>
      </c>
      <c r="L65" t="str">
        <f t="shared" si="3"/>
        <v>\I:</v>
      </c>
      <c r="M65" s="306" t="str">
        <f t="shared" si="10"/>
        <v/>
      </c>
      <c r="N65" s="306" t="str">
        <f t="shared" si="11"/>
        <v/>
      </c>
      <c r="O65" s="306" t="str">
        <f t="shared" si="12"/>
        <v/>
      </c>
      <c r="P65" s="306" t="str">
        <f t="shared" si="13"/>
        <v/>
      </c>
      <c r="T65" t="str">
        <f t="shared" si="14"/>
        <v>\I:</v>
      </c>
      <c r="U65" t="str">
        <f ca="1" t="shared" si="15"/>
        <v>4-stroke MC &gt;750 cc motorcycle -- 00%</v>
      </c>
      <c r="V65" s="309" t="s">
        <v>84</v>
      </c>
      <c r="W65" s="309" t="s">
        <v>85</v>
      </c>
    </row>
    <row r="66" spans="10:23">
      <c r="J66" t="str">
        <f t="shared" si="1"/>
        <v>Trd_3w_gsl</v>
      </c>
      <c r="K66" t="str">
        <f t="shared" si="9"/>
        <v>\I:</v>
      </c>
      <c r="L66" t="str">
        <f t="shared" si="3"/>
        <v>\I:</v>
      </c>
      <c r="M66" s="306" t="str">
        <f t="shared" si="10"/>
        <v/>
      </c>
      <c r="N66" s="306" t="str">
        <f t="shared" si="11"/>
        <v/>
      </c>
      <c r="O66" s="306" t="str">
        <f t="shared" si="12"/>
        <v/>
      </c>
      <c r="P66" s="306" t="str">
        <f t="shared" si="13"/>
        <v/>
      </c>
      <c r="T66" t="str">
        <f t="shared" si="14"/>
        <v>\I:</v>
      </c>
      <c r="U66" t="str">
        <f ca="1" t="shared" si="15"/>
        <v>4-stroke MC &gt;750 cc motorcycle -- 00%</v>
      </c>
      <c r="V66" s="309" t="s">
        <v>84</v>
      </c>
      <c r="W66" s="309" t="s">
        <v>85</v>
      </c>
    </row>
    <row r="67" spans="2:23">
      <c r="B67" s="43" t="s">
        <v>143</v>
      </c>
      <c r="J67" t="str">
        <f t="shared" si="1"/>
        <v>Trd_3w_gsl</v>
      </c>
      <c r="K67" t="str">
        <f t="shared" si="9"/>
        <v>\I:</v>
      </c>
      <c r="L67" t="str">
        <f t="shared" si="3"/>
        <v>\I:</v>
      </c>
      <c r="M67" s="306" t="str">
        <f t="shared" si="10"/>
        <v/>
      </c>
      <c r="N67" s="306" t="str">
        <f t="shared" si="11"/>
        <v/>
      </c>
      <c r="O67" s="306" t="str">
        <f t="shared" si="12"/>
        <v/>
      </c>
      <c r="P67" s="306" t="str">
        <f t="shared" si="13"/>
        <v/>
      </c>
      <c r="T67" t="str">
        <f t="shared" si="14"/>
        <v>\I:</v>
      </c>
      <c r="U67" t="str">
        <f ca="1" t="shared" si="15"/>
        <v>4-stroke MC &gt;750 cc motorcycle -- Reference values for moped</v>
      </c>
      <c r="V67" s="309" t="s">
        <v>84</v>
      </c>
      <c r="W67" s="309" t="s">
        <v>85</v>
      </c>
    </row>
    <row r="68" ht="15" customHeight="1" spans="2:23">
      <c r="B68" s="298">
        <v>2015</v>
      </c>
      <c r="C68" s="298"/>
      <c r="D68" s="298"/>
      <c r="J68" t="str">
        <f t="shared" si="1"/>
        <v>Trd_3w_gsl</v>
      </c>
      <c r="K68" t="str">
        <f t="shared" si="9"/>
        <v>\I:</v>
      </c>
      <c r="L68" t="str">
        <f t="shared" si="3"/>
        <v>\I:</v>
      </c>
      <c r="M68" s="306" t="str">
        <f t="shared" si="10"/>
        <v/>
      </c>
      <c r="N68" s="306" t="str">
        <f t="shared" si="11"/>
        <v/>
      </c>
      <c r="O68" s="306" t="str">
        <f t="shared" si="12"/>
        <v/>
      </c>
      <c r="P68" s="306" t="str">
        <f t="shared" si="13"/>
        <v/>
      </c>
      <c r="T68" t="str">
        <f t="shared" si="14"/>
        <v>\I:</v>
      </c>
      <c r="U68" t="str">
        <f ca="1" t="shared" si="15"/>
        <v>4-stroke MC &gt;750 cc motorcycle -- 201500%</v>
      </c>
      <c r="V68" s="309" t="s">
        <v>84</v>
      </c>
      <c r="W68" s="309" t="s">
        <v>85</v>
      </c>
    </row>
    <row r="69" spans="2:23">
      <c r="B69" s="45" t="s">
        <v>12</v>
      </c>
      <c r="C69" s="46" t="s">
        <v>13</v>
      </c>
      <c r="D69" s="47">
        <v>2.89822960633191</v>
      </c>
      <c r="G69" s="299">
        <f>D69*$I$4/100*10^9/10^6</f>
        <v>0.913985688652831</v>
      </c>
      <c r="H69" s="299"/>
      <c r="I69" s="299">
        <f>1/G69</f>
        <v>1.09410903520158</v>
      </c>
      <c r="J69" t="str">
        <f t="shared" si="1"/>
        <v>Trd_3w_gsl</v>
      </c>
      <c r="K69" t="str">
        <f t="shared" si="9"/>
        <v>\I:</v>
      </c>
      <c r="L69" t="str">
        <f t="shared" si="3"/>
        <v>\I:</v>
      </c>
      <c r="M69" s="306" t="str">
        <f t="shared" si="10"/>
        <v/>
      </c>
      <c r="N69" s="306" t="str">
        <f t="shared" si="11"/>
        <v/>
      </c>
      <c r="O69" s="306" t="str">
        <f t="shared" si="12"/>
        <v/>
      </c>
      <c r="P69" s="306" t="str">
        <f t="shared" si="13"/>
        <v/>
      </c>
      <c r="T69" t="str">
        <f t="shared" si="14"/>
        <v>\I:</v>
      </c>
      <c r="U69" t="str">
        <f ca="1" t="shared" si="15"/>
        <v>4-stroke MC &gt;750 cc motorcycle -- Energy consumption</v>
      </c>
      <c r="V69" s="309" t="s">
        <v>84</v>
      </c>
      <c r="W69" s="309" t="s">
        <v>85</v>
      </c>
    </row>
    <row r="70" spans="2:23">
      <c r="B70" s="45" t="s">
        <v>14</v>
      </c>
      <c r="C70" s="46" t="s">
        <v>15</v>
      </c>
      <c r="D70" s="68">
        <v>1789.17324177336</v>
      </c>
      <c r="I70" s="43" t="s">
        <v>70</v>
      </c>
      <c r="J70" t="str">
        <f t="shared" si="1"/>
        <v>Trd_3w_gsl</v>
      </c>
      <c r="K70" t="str">
        <f t="shared" si="9"/>
        <v>\I:</v>
      </c>
      <c r="L70" t="str">
        <f t="shared" si="3"/>
        <v>\I:</v>
      </c>
      <c r="M70" s="306" t="str">
        <f t="shared" si="10"/>
        <v/>
      </c>
      <c r="N70" s="306" t="str">
        <f t="shared" si="11"/>
        <v/>
      </c>
      <c r="O70" s="306" t="str">
        <f t="shared" si="12"/>
        <v/>
      </c>
      <c r="P70" s="306" t="str">
        <f t="shared" si="13"/>
        <v/>
      </c>
      <c r="T70" t="str">
        <f t="shared" si="14"/>
        <v>\I:</v>
      </c>
      <c r="U70" t="str">
        <f ca="1" t="shared" si="15"/>
        <v>4-stroke MC &gt;750 cc motorcycle -- Capital cost</v>
      </c>
      <c r="V70" s="309" t="s">
        <v>84</v>
      </c>
      <c r="W70" s="309" t="s">
        <v>85</v>
      </c>
    </row>
    <row r="71" spans="10:23">
      <c r="J71" t="str">
        <f t="shared" si="1"/>
        <v>Trd_3w_gsl</v>
      </c>
      <c r="K71" t="str">
        <f t="shared" si="9"/>
        <v>\I:</v>
      </c>
      <c r="L71" t="str">
        <f t="shared" si="3"/>
        <v>\I:</v>
      </c>
      <c r="M71" s="306" t="str">
        <f t="shared" si="10"/>
        <v/>
      </c>
      <c r="N71" s="306" t="str">
        <f t="shared" si="11"/>
        <v/>
      </c>
      <c r="O71" s="306" t="str">
        <f t="shared" si="12"/>
        <v/>
      </c>
      <c r="P71" s="306" t="str">
        <f t="shared" si="13"/>
        <v/>
      </c>
      <c r="T71" t="str">
        <f t="shared" si="14"/>
        <v>\I:</v>
      </c>
      <c r="U71" t="str">
        <f ca="1" t="shared" si="15"/>
        <v>4-stroke MC &gt;750 cc motorcycle -- 00%</v>
      </c>
      <c r="V71" s="309" t="s">
        <v>84</v>
      </c>
      <c r="W71" s="309" t="s">
        <v>85</v>
      </c>
    </row>
    <row r="72" ht="15" customHeight="1" spans="2:23">
      <c r="B72" s="315" t="s">
        <v>140</v>
      </c>
      <c r="C72" s="315" t="s">
        <v>131</v>
      </c>
      <c r="D72" s="315"/>
      <c r="E72" s="315"/>
      <c r="F72" s="315"/>
      <c r="J72" t="str">
        <f t="shared" si="1"/>
        <v>Trd_2w_gsl50</v>
      </c>
      <c r="K72" t="str">
        <f t="shared" si="9"/>
        <v>\I:</v>
      </c>
      <c r="L72" t="str">
        <f t="shared" si="3"/>
        <v>\I:</v>
      </c>
      <c r="M72" s="306" t="str">
        <f t="shared" si="10"/>
        <v/>
      </c>
      <c r="N72" s="306" t="str">
        <f t="shared" si="11"/>
        <v/>
      </c>
      <c r="O72" s="306" t="str">
        <f t="shared" si="12"/>
        <v/>
      </c>
      <c r="P72" s="306" t="str">
        <f t="shared" si="13"/>
        <v/>
      </c>
      <c r="T72" t="str">
        <f t="shared" si="14"/>
        <v>\I:</v>
      </c>
      <c r="U72" t="str">
        <f ca="1" t="shared" si="15"/>
        <v>Moped -- Reduction of specific energy consumption relative to 2015 (%)</v>
      </c>
      <c r="V72" s="309" t="s">
        <v>84</v>
      </c>
      <c r="W72" s="309" t="s">
        <v>85</v>
      </c>
    </row>
    <row r="73" spans="2:23">
      <c r="B73" s="315"/>
      <c r="C73" s="315"/>
      <c r="D73" s="315"/>
      <c r="E73" s="315"/>
      <c r="F73" s="315"/>
      <c r="J73" t="str">
        <f t="shared" si="1"/>
        <v>Trd_2w_gsl50</v>
      </c>
      <c r="K73" t="str">
        <f t="shared" si="9"/>
        <v>\I:</v>
      </c>
      <c r="L73" t="str">
        <f t="shared" si="3"/>
        <v>\I:</v>
      </c>
      <c r="M73" s="306" t="str">
        <f t="shared" si="10"/>
        <v/>
      </c>
      <c r="N73" s="306" t="str">
        <f t="shared" si="11"/>
        <v/>
      </c>
      <c r="O73" s="306" t="str">
        <f t="shared" si="12"/>
        <v/>
      </c>
      <c r="P73" s="306" t="str">
        <f t="shared" si="13"/>
        <v/>
      </c>
      <c r="T73" t="str">
        <f t="shared" si="14"/>
        <v>\I:</v>
      </c>
      <c r="U73" t="str">
        <f ca="1" t="shared" si="15"/>
        <v>Moped -- 00%</v>
      </c>
      <c r="V73" s="309" t="s">
        <v>84</v>
      </c>
      <c r="W73" s="309" t="s">
        <v>85</v>
      </c>
    </row>
    <row r="74" spans="2:23">
      <c r="B74" s="315"/>
      <c r="C74" s="315"/>
      <c r="D74" s="315"/>
      <c r="E74" s="315"/>
      <c r="F74" s="315"/>
      <c r="J74" t="str">
        <f t="shared" si="1"/>
        <v>Trd_2w_gsl50</v>
      </c>
      <c r="K74" t="str">
        <f t="shared" si="9"/>
        <v>\I:</v>
      </c>
      <c r="L74" t="str">
        <f t="shared" si="3"/>
        <v>\I:</v>
      </c>
      <c r="M74" s="306" t="str">
        <f t="shared" si="10"/>
        <v/>
      </c>
      <c r="N74" s="306" t="str">
        <f t="shared" si="11"/>
        <v/>
      </c>
      <c r="O74" s="306" t="str">
        <f t="shared" si="12"/>
        <v/>
      </c>
      <c r="P74" s="306" t="str">
        <f t="shared" si="13"/>
        <v/>
      </c>
      <c r="T74" t="str">
        <f t="shared" si="14"/>
        <v>\I:</v>
      </c>
      <c r="U74" t="str">
        <f ca="1" t="shared" si="15"/>
        <v>Moped -- 00%</v>
      </c>
      <c r="V74" s="309" t="s">
        <v>84</v>
      </c>
      <c r="W74" s="309" t="s">
        <v>85</v>
      </c>
    </row>
    <row r="75" spans="2:23">
      <c r="B75" s="49"/>
      <c r="C75" s="50">
        <v>2020</v>
      </c>
      <c r="D75" s="50">
        <v>2030</v>
      </c>
      <c r="E75" s="50">
        <v>2040</v>
      </c>
      <c r="F75" s="50">
        <v>2050</v>
      </c>
      <c r="J75" t="str">
        <f t="shared" si="1"/>
        <v>Trd_2w_gsl50</v>
      </c>
      <c r="K75" t="str">
        <f t="shared" si="9"/>
        <v>\I:</v>
      </c>
      <c r="L75" t="str">
        <f t="shared" si="3"/>
        <v>\I:</v>
      </c>
      <c r="M75" s="306" t="str">
        <f t="shared" si="10"/>
        <v/>
      </c>
      <c r="N75" s="306" t="str">
        <f t="shared" si="11"/>
        <v/>
      </c>
      <c r="O75" s="306" t="str">
        <f t="shared" si="12"/>
        <v/>
      </c>
      <c r="P75" s="306" t="str">
        <f t="shared" si="13"/>
        <v/>
      </c>
      <c r="T75" t="str">
        <f t="shared" si="14"/>
        <v>\I:</v>
      </c>
      <c r="U75" t="str">
        <f ca="1" t="shared" si="15"/>
        <v>Moped -- 00%</v>
      </c>
      <c r="V75" s="309" t="s">
        <v>84</v>
      </c>
      <c r="W75" s="309" t="s">
        <v>85</v>
      </c>
    </row>
    <row r="76" spans="2:23">
      <c r="B76" s="85">
        <v>0.0160765354439701</v>
      </c>
      <c r="C76" s="317">
        <v>1805.25285406622</v>
      </c>
      <c r="D76" s="86">
        <v>1805.25285406622</v>
      </c>
      <c r="E76" s="86">
        <v>1805.25285406622</v>
      </c>
      <c r="F76" s="86">
        <v>1805.25285406622</v>
      </c>
      <c r="I76" s="305">
        <f>$I$69/$I$7*(1+B76)</f>
        <v>1.12327647266291</v>
      </c>
      <c r="J76" t="str">
        <f t="shared" si="1"/>
        <v>Trd_2w_gsl50</v>
      </c>
      <c r="K76" s="318" t="str">
        <f>IFERROR(IF(VALUE(C76)&gt;202,J76&amp;"_"&amp;TEXT(B76*100,"00"),"\I:"),"\I:")</f>
        <v>Trd_2w_gsl50_02</v>
      </c>
      <c r="L76" t="str">
        <f t="shared" si="3"/>
        <v>Trd_2w</v>
      </c>
      <c r="M76" s="306">
        <f t="shared" si="10"/>
        <v>1805.25285406622</v>
      </c>
      <c r="N76" s="306">
        <f t="shared" si="11"/>
        <v>1805.25285406622</v>
      </c>
      <c r="O76" s="306">
        <f t="shared" si="12"/>
        <v>1805.25285406622</v>
      </c>
      <c r="P76" s="306">
        <f t="shared" si="13"/>
        <v>1805.25285406622</v>
      </c>
      <c r="T76" t="str">
        <f t="shared" si="14"/>
        <v>Trd_2w_gsl50_02</v>
      </c>
      <c r="U76" t="str">
        <f ca="1" t="shared" si="15"/>
        <v>Moped -- 02%</v>
      </c>
      <c r="V76" s="309" t="s">
        <v>84</v>
      </c>
      <c r="W76" s="309" t="s">
        <v>85</v>
      </c>
    </row>
    <row r="77" spans="2:23">
      <c r="B77" s="85">
        <v>0.0660765354439701</v>
      </c>
      <c r="C77" s="317">
        <v>1855.26242344421</v>
      </c>
      <c r="D77" s="86">
        <v>1855.26242344421</v>
      </c>
      <c r="E77" s="86">
        <v>1855.26242344421</v>
      </c>
      <c r="F77" s="86">
        <v>1855.26242344421</v>
      </c>
      <c r="I77" s="305">
        <f t="shared" ref="I77:I83" si="18">$I$69/$I$7*(1+B77)</f>
        <v>1.17855166274355</v>
      </c>
      <c r="J77" t="str">
        <f t="shared" ref="J77:J140" si="19">IFERROR(VLOOKUP(C77,$R$1:$S$8,2,FALSE),J76)</f>
        <v>Trd_2w_gsl50</v>
      </c>
      <c r="K77" s="318" t="str">
        <f t="shared" ref="K77:K79" si="20">IFERROR(IF(VALUE(C77)&gt;202,J77&amp;"_"&amp;TEXT(B77*100,"00"),"\I:"),"\I:")</f>
        <v>Trd_2w_gsl50_07</v>
      </c>
      <c r="L77" t="str">
        <f t="shared" ref="L77:L140" si="21">LEFT(K77,6)</f>
        <v>Trd_2w</v>
      </c>
      <c r="M77" s="306">
        <f t="shared" si="10"/>
        <v>1855.26242344421</v>
      </c>
      <c r="N77" s="306">
        <f t="shared" si="11"/>
        <v>1855.26242344421</v>
      </c>
      <c r="O77" s="306">
        <f t="shared" si="12"/>
        <v>1855.26242344421</v>
      </c>
      <c r="P77" s="306">
        <f t="shared" si="13"/>
        <v>1855.26242344421</v>
      </c>
      <c r="T77" t="str">
        <f t="shared" si="14"/>
        <v>Trd_2w_gsl50_07</v>
      </c>
      <c r="U77" t="str">
        <f ca="1" t="shared" si="15"/>
        <v>Moped -- 07%</v>
      </c>
      <c r="V77" s="309" t="s">
        <v>84</v>
      </c>
      <c r="W77" s="309" t="s">
        <v>85</v>
      </c>
    </row>
    <row r="78" spans="2:23">
      <c r="B78" s="85">
        <v>0.11607653544397</v>
      </c>
      <c r="C78" s="317">
        <v>1930.07157147807</v>
      </c>
      <c r="D78" s="86">
        <v>1905.2719928222</v>
      </c>
      <c r="E78" s="86">
        <v>1905.2719928222</v>
      </c>
      <c r="F78" s="86">
        <v>1905.2719928222</v>
      </c>
      <c r="I78" s="305">
        <f t="shared" si="18"/>
        <v>1.23382685282419</v>
      </c>
      <c r="J78" t="str">
        <f t="shared" si="19"/>
        <v>Trd_2w_gsl50</v>
      </c>
      <c r="K78" s="318" t="str">
        <f t="shared" si="20"/>
        <v>Trd_2w_gsl50_12</v>
      </c>
      <c r="L78" t="str">
        <f t="shared" si="21"/>
        <v>Trd_2w</v>
      </c>
      <c r="M78" s="306">
        <f t="shared" si="10"/>
        <v>1930.07157147807</v>
      </c>
      <c r="N78" s="306">
        <f t="shared" si="11"/>
        <v>1905.2719928222</v>
      </c>
      <c r="O78" s="306">
        <f t="shared" si="12"/>
        <v>1905.2719928222</v>
      </c>
      <c r="P78" s="306">
        <f t="shared" si="13"/>
        <v>1905.2719928222</v>
      </c>
      <c r="T78" t="str">
        <f t="shared" si="14"/>
        <v>Trd_2w_gsl50_12</v>
      </c>
      <c r="U78" t="str">
        <f ca="1" t="shared" si="15"/>
        <v>Moped -- 12%</v>
      </c>
      <c r="V78" s="309" t="s">
        <v>84</v>
      </c>
      <c r="W78" s="309" t="s">
        <v>85</v>
      </c>
    </row>
    <row r="79" spans="2:23">
      <c r="B79" s="85">
        <v>0.16607653544397</v>
      </c>
      <c r="C79" s="317">
        <v>1973.42862531562</v>
      </c>
      <c r="D79" s="86">
        <v>1955.28156220019</v>
      </c>
      <c r="E79" s="86">
        <v>1955.28156220019</v>
      </c>
      <c r="F79" s="86">
        <v>1955.28156220019</v>
      </c>
      <c r="I79" s="305">
        <f t="shared" si="18"/>
        <v>1.28910204290483</v>
      </c>
      <c r="J79" t="str">
        <f t="shared" si="19"/>
        <v>Trd_2w_gsl50</v>
      </c>
      <c r="K79" s="318" t="str">
        <f t="shared" si="20"/>
        <v>Trd_2w_gsl50_17</v>
      </c>
      <c r="L79" t="str">
        <f t="shared" si="21"/>
        <v>Trd_2w</v>
      </c>
      <c r="M79" s="306">
        <f t="shared" si="10"/>
        <v>1973.42862531562</v>
      </c>
      <c r="N79" s="306">
        <f t="shared" si="11"/>
        <v>1955.28156220019</v>
      </c>
      <c r="O79" s="306">
        <f t="shared" si="12"/>
        <v>1955.28156220019</v>
      </c>
      <c r="P79" s="306">
        <f t="shared" si="13"/>
        <v>1955.28156220019</v>
      </c>
      <c r="T79" t="str">
        <f t="shared" si="14"/>
        <v>Trd_2w_gsl50_17</v>
      </c>
      <c r="U79" t="str">
        <f ca="1" t="shared" si="15"/>
        <v>Moped -- 17%</v>
      </c>
      <c r="V79" s="309" t="s">
        <v>84</v>
      </c>
      <c r="W79" s="309" t="s">
        <v>85</v>
      </c>
    </row>
    <row r="80" spans="2:23">
      <c r="B80" s="85">
        <v>0.21607653544397</v>
      </c>
      <c r="C80" s="86">
        <v>2156.95281711207</v>
      </c>
      <c r="D80" s="86">
        <v>2005.29113157818</v>
      </c>
      <c r="E80" s="86">
        <v>2005.29113157818</v>
      </c>
      <c r="F80" s="86">
        <v>2005.29113157818</v>
      </c>
      <c r="I80" s="305">
        <f t="shared" si="18"/>
        <v>1.34437723298548</v>
      </c>
      <c r="J80" t="str">
        <f t="shared" si="19"/>
        <v>Trd_2w_gsl50</v>
      </c>
      <c r="K80" t="str">
        <f t="shared" si="9"/>
        <v>Trd_2w_gsl50_22</v>
      </c>
      <c r="L80" t="str">
        <f t="shared" si="21"/>
        <v>Trd_2w</v>
      </c>
      <c r="M80" s="306">
        <f t="shared" si="10"/>
        <v>2156.95281711207</v>
      </c>
      <c r="N80" s="306">
        <f t="shared" si="11"/>
        <v>2005.29113157818</v>
      </c>
      <c r="O80" s="306">
        <f t="shared" si="12"/>
        <v>2005.29113157818</v>
      </c>
      <c r="P80" s="306">
        <f t="shared" si="13"/>
        <v>2005.29113157818</v>
      </c>
      <c r="T80" t="str">
        <f t="shared" si="14"/>
        <v>Trd_2w_gsl50_22</v>
      </c>
      <c r="U80" t="str">
        <f ca="1" t="shared" si="15"/>
        <v>Moped -- 22%</v>
      </c>
      <c r="V80" s="309" t="s">
        <v>84</v>
      </c>
      <c r="W80" s="309" t="s">
        <v>85</v>
      </c>
    </row>
    <row r="81" spans="2:23">
      <c r="B81" s="85">
        <v>0.26607653544397</v>
      </c>
      <c r="C81" s="86">
        <v>2219.97570250033</v>
      </c>
      <c r="D81" s="86">
        <v>2055.30070095617</v>
      </c>
      <c r="E81" s="86">
        <v>2055.30070095617</v>
      </c>
      <c r="F81" s="86">
        <v>2055.30070095617</v>
      </c>
      <c r="I81" s="305">
        <f t="shared" si="18"/>
        <v>1.39965242306612</v>
      </c>
      <c r="J81" t="str">
        <f t="shared" si="19"/>
        <v>Trd_2w_gsl50</v>
      </c>
      <c r="K81" t="str">
        <f t="shared" si="9"/>
        <v>Trd_2w_gsl50_27</v>
      </c>
      <c r="L81" t="str">
        <f t="shared" si="21"/>
        <v>Trd_2w</v>
      </c>
      <c r="M81" s="306">
        <f t="shared" si="10"/>
        <v>2219.97570250033</v>
      </c>
      <c r="N81" s="306">
        <f t="shared" si="11"/>
        <v>2055.30070095617</v>
      </c>
      <c r="O81" s="306">
        <f t="shared" si="12"/>
        <v>2055.30070095617</v>
      </c>
      <c r="P81" s="306">
        <f t="shared" si="13"/>
        <v>2055.30070095617</v>
      </c>
      <c r="T81" t="str">
        <f t="shared" si="14"/>
        <v>Trd_2w_gsl50_27</v>
      </c>
      <c r="U81" t="str">
        <f ca="1" t="shared" si="15"/>
        <v>Moped -- 27%</v>
      </c>
      <c r="V81" s="309" t="s">
        <v>84</v>
      </c>
      <c r="W81" s="309" t="s">
        <v>85</v>
      </c>
    </row>
    <row r="82" spans="2:23">
      <c r="B82" s="85">
        <v>0.31607653544397</v>
      </c>
      <c r="C82" s="86">
        <v>2702.03615725509</v>
      </c>
      <c r="D82" s="86">
        <v>2108.19123307624</v>
      </c>
      <c r="E82" s="86">
        <v>2105.31027033416</v>
      </c>
      <c r="F82" s="86">
        <v>2105.31027033416</v>
      </c>
      <c r="I82" s="305">
        <f t="shared" si="18"/>
        <v>1.45492761314676</v>
      </c>
      <c r="J82" t="str">
        <f t="shared" si="19"/>
        <v>Trd_2w_gsl50</v>
      </c>
      <c r="K82" t="str">
        <f t="shared" si="9"/>
        <v>Trd_2w_gsl50_32</v>
      </c>
      <c r="L82" t="str">
        <f t="shared" si="21"/>
        <v>Trd_2w</v>
      </c>
      <c r="M82" s="306">
        <f t="shared" si="10"/>
        <v>2702.03615725509</v>
      </c>
      <c r="N82" s="306">
        <f t="shared" si="11"/>
        <v>2108.19123307624</v>
      </c>
      <c r="O82" s="306">
        <f t="shared" si="12"/>
        <v>2105.31027033416</v>
      </c>
      <c r="P82" s="306">
        <f t="shared" si="13"/>
        <v>2105.31027033416</v>
      </c>
      <c r="T82" t="str">
        <f t="shared" si="14"/>
        <v>Trd_2w_gsl50_32</v>
      </c>
      <c r="U82" t="str">
        <f ca="1" t="shared" si="15"/>
        <v>Moped -- 32%</v>
      </c>
      <c r="V82" s="309" t="s">
        <v>84</v>
      </c>
      <c r="W82" s="309" t="s">
        <v>85</v>
      </c>
    </row>
    <row r="83" spans="2:23">
      <c r="B83" s="85">
        <v>0.36607653544397</v>
      </c>
      <c r="C83" s="86">
        <v>3948.33856366138</v>
      </c>
      <c r="D83" s="86">
        <v>2302.49977920015</v>
      </c>
      <c r="E83" s="86">
        <v>2155.31983971215</v>
      </c>
      <c r="F83" s="86">
        <v>2155.31983971215</v>
      </c>
      <c r="I83" s="305">
        <f t="shared" si="18"/>
        <v>1.5102028032274</v>
      </c>
      <c r="J83" t="str">
        <f t="shared" si="19"/>
        <v>Trd_2w_gsl50</v>
      </c>
      <c r="K83" t="str">
        <f t="shared" si="9"/>
        <v>Trd_2w_gsl50_37</v>
      </c>
      <c r="L83" t="str">
        <f t="shared" si="21"/>
        <v>Trd_2w</v>
      </c>
      <c r="M83" s="306">
        <f t="shared" si="10"/>
        <v>3948.33856366138</v>
      </c>
      <c r="N83" s="306">
        <f t="shared" si="11"/>
        <v>2302.49977920015</v>
      </c>
      <c r="O83" s="306">
        <f t="shared" si="12"/>
        <v>2155.31983971215</v>
      </c>
      <c r="P83" s="306">
        <f t="shared" si="13"/>
        <v>2155.31983971215</v>
      </c>
      <c r="T83" t="str">
        <f t="shared" si="14"/>
        <v>Trd_2w_gsl50_37</v>
      </c>
      <c r="U83" t="str">
        <f ca="1" t="shared" si="15"/>
        <v>Moped -- 37%</v>
      </c>
      <c r="V83" s="309" t="s">
        <v>84</v>
      </c>
      <c r="W83" s="309" t="s">
        <v>85</v>
      </c>
    </row>
    <row r="84" spans="10:23">
      <c r="J84" t="str">
        <f t="shared" si="19"/>
        <v>Trd_2w_gsl50</v>
      </c>
      <c r="K84" t="str">
        <f t="shared" ref="K84:K93" si="22">IFERROR(IF(VALUE(C84)&gt;2020,J84&amp;"_"&amp;TEXT(B84*100,"00"),"\I:"),"\I:")</f>
        <v>\I:</v>
      </c>
      <c r="L84" t="str">
        <f t="shared" si="21"/>
        <v>\I:</v>
      </c>
      <c r="M84" s="306" t="str">
        <f t="shared" ref="M84:M147" si="23">IF($K84="\I:","",C84)</f>
        <v/>
      </c>
      <c r="N84" s="306" t="str">
        <f t="shared" ref="N84:N147" si="24">IF($K84="\I:","",D84)</f>
        <v/>
      </c>
      <c r="O84" s="306" t="str">
        <f t="shared" ref="O84:O147" si="25">IF($K84="\I:","",E84)</f>
        <v/>
      </c>
      <c r="P84" s="306" t="str">
        <f t="shared" ref="P84:P147" si="26">IF($K84="\I:","",F84)</f>
        <v/>
      </c>
      <c r="T84" t="str">
        <f t="shared" si="14"/>
        <v>\I:</v>
      </c>
      <c r="U84" t="str">
        <f ca="1" t="shared" si="15"/>
        <v>Moped -- 00%</v>
      </c>
      <c r="V84" s="309" t="s">
        <v>84</v>
      </c>
      <c r="W84" s="309" t="s">
        <v>85</v>
      </c>
    </row>
    <row r="85" spans="10:23">
      <c r="J85" t="str">
        <f t="shared" si="19"/>
        <v>Trd_2w_gsl50</v>
      </c>
      <c r="K85" t="str">
        <f t="shared" si="22"/>
        <v>\I:</v>
      </c>
      <c r="L85" t="str">
        <f t="shared" si="21"/>
        <v>\I:</v>
      </c>
      <c r="M85" s="306" t="str">
        <f t="shared" si="23"/>
        <v/>
      </c>
      <c r="N85" s="306" t="str">
        <f t="shared" si="24"/>
        <v/>
      </c>
      <c r="O85" s="306" t="str">
        <f t="shared" si="25"/>
        <v/>
      </c>
      <c r="P85" s="306" t="str">
        <f t="shared" si="26"/>
        <v/>
      </c>
      <c r="T85" t="str">
        <f t="shared" si="14"/>
        <v>\I:</v>
      </c>
      <c r="U85" t="str">
        <f ca="1" t="shared" si="15"/>
        <v>Moped -- 00%</v>
      </c>
      <c r="V85" s="309" t="s">
        <v>84</v>
      </c>
      <c r="W85" s="309" t="s">
        <v>85</v>
      </c>
    </row>
    <row r="86" spans="10:23">
      <c r="J86" t="str">
        <f t="shared" si="19"/>
        <v>Trd_2w_gsl50</v>
      </c>
      <c r="K86" t="str">
        <f t="shared" si="22"/>
        <v>\I:</v>
      </c>
      <c r="L86" t="str">
        <f t="shared" si="21"/>
        <v>\I:</v>
      </c>
      <c r="M86" s="306" t="str">
        <f t="shared" si="23"/>
        <v/>
      </c>
      <c r="N86" s="306" t="str">
        <f t="shared" si="24"/>
        <v/>
      </c>
      <c r="O86" s="306" t="str">
        <f t="shared" si="25"/>
        <v/>
      </c>
      <c r="P86" s="306" t="str">
        <f t="shared" si="26"/>
        <v/>
      </c>
      <c r="T86" t="str">
        <f t="shared" si="14"/>
        <v>\I:</v>
      </c>
      <c r="U86" t="str">
        <f ca="1" t="shared" si="15"/>
        <v>Moped -- 00%</v>
      </c>
      <c r="V86" s="309" t="s">
        <v>84</v>
      </c>
      <c r="W86" s="309" t="s">
        <v>85</v>
      </c>
    </row>
    <row r="87" spans="2:23">
      <c r="B87" s="298">
        <v>2020</v>
      </c>
      <c r="C87" s="298"/>
      <c r="D87" s="298"/>
      <c r="J87" t="str">
        <f t="shared" si="19"/>
        <v>Trd_2w_gsl50</v>
      </c>
      <c r="K87" t="str">
        <f t="shared" si="22"/>
        <v>\I:</v>
      </c>
      <c r="L87" t="str">
        <f t="shared" si="21"/>
        <v>\I:</v>
      </c>
      <c r="M87" s="306" t="str">
        <f t="shared" si="23"/>
        <v/>
      </c>
      <c r="N87" s="306" t="str">
        <f t="shared" si="24"/>
        <v/>
      </c>
      <c r="O87" s="306" t="str">
        <f t="shared" si="25"/>
        <v/>
      </c>
      <c r="P87" s="306" t="str">
        <f t="shared" si="26"/>
        <v/>
      </c>
      <c r="T87" t="str">
        <f t="shared" si="14"/>
        <v>\I:</v>
      </c>
      <c r="U87" t="str">
        <f ca="1" t="shared" si="15"/>
        <v>Moped -- 202000%</v>
      </c>
      <c r="V87" s="309" t="s">
        <v>84</v>
      </c>
      <c r="W87" s="309" t="s">
        <v>85</v>
      </c>
    </row>
    <row r="88" spans="2:23">
      <c r="B88" s="45" t="s">
        <v>144</v>
      </c>
      <c r="C88" s="46" t="s">
        <v>26</v>
      </c>
      <c r="D88" s="74">
        <v>0.049</v>
      </c>
      <c r="G88" s="77">
        <f>D88/3.6/100*10^9/10^6</f>
        <v>0.136111111111111</v>
      </c>
      <c r="H88" s="77"/>
      <c r="I88" s="299">
        <f>1/G88</f>
        <v>7.3469387755102</v>
      </c>
      <c r="J88" t="str">
        <f t="shared" si="19"/>
        <v>Trd_2w_gsl50</v>
      </c>
      <c r="K88" t="str">
        <f t="shared" si="22"/>
        <v>\I:</v>
      </c>
      <c r="L88" t="str">
        <f t="shared" si="21"/>
        <v>\I:</v>
      </c>
      <c r="M88" s="306" t="str">
        <f t="shared" si="23"/>
        <v/>
      </c>
      <c r="N88" s="306" t="str">
        <f t="shared" si="24"/>
        <v/>
      </c>
      <c r="O88" s="306" t="str">
        <f t="shared" si="25"/>
        <v/>
      </c>
      <c r="P88" s="306" t="str">
        <f t="shared" si="26"/>
        <v/>
      </c>
      <c r="T88" t="str">
        <f t="shared" ref="T88:T151" si="27">K88</f>
        <v>\I:</v>
      </c>
      <c r="U88" t="str">
        <f ca="1" t="shared" ref="U88:U151" si="28">OFFSET($S$1,MATCH(J88,$S$1:$S$11,0)-1,-1)&amp;" -- "&amp;TEXT(B88,"00%")</f>
        <v>Moped -- Energy consumption of Battery electric motorcycle (equivalent to 50-250 cc motorcycle)</v>
      </c>
      <c r="V88" s="309" t="s">
        <v>84</v>
      </c>
      <c r="W88" s="309" t="s">
        <v>85</v>
      </c>
    </row>
    <row r="89" spans="9:23">
      <c r="I89" s="311" t="s">
        <v>70</v>
      </c>
      <c r="J89" t="str">
        <f t="shared" si="19"/>
        <v>Trd_2w_gsl50</v>
      </c>
      <c r="K89" t="str">
        <f t="shared" si="22"/>
        <v>\I:</v>
      </c>
      <c r="L89" t="str">
        <f t="shared" si="21"/>
        <v>\I:</v>
      </c>
      <c r="M89" s="306" t="str">
        <f t="shared" si="23"/>
        <v/>
      </c>
      <c r="N89" s="306" t="str">
        <f t="shared" si="24"/>
        <v/>
      </c>
      <c r="O89" s="306" t="str">
        <f t="shared" si="25"/>
        <v/>
      </c>
      <c r="P89" s="306" t="str">
        <f t="shared" si="26"/>
        <v/>
      </c>
      <c r="T89" t="str">
        <f t="shared" si="27"/>
        <v>\I:</v>
      </c>
      <c r="U89" t="str">
        <f ca="1" t="shared" si="28"/>
        <v>Moped -- 00%</v>
      </c>
      <c r="V89" s="309" t="s">
        <v>84</v>
      </c>
      <c r="W89" s="309" t="s">
        <v>85</v>
      </c>
    </row>
    <row r="90" ht="15" customHeight="1" spans="2:23">
      <c r="B90" s="315" t="s">
        <v>27</v>
      </c>
      <c r="C90" s="315" t="s">
        <v>134</v>
      </c>
      <c r="D90" s="315"/>
      <c r="E90" s="315"/>
      <c r="F90" s="315"/>
      <c r="J90" t="str">
        <f t="shared" si="19"/>
        <v>Trd_2w_elc150</v>
      </c>
      <c r="K90" t="str">
        <f t="shared" si="22"/>
        <v>\I:</v>
      </c>
      <c r="L90" t="str">
        <f t="shared" si="21"/>
        <v>\I:</v>
      </c>
      <c r="M90" s="306" t="str">
        <f t="shared" si="23"/>
        <v/>
      </c>
      <c r="N90" s="306" t="str">
        <f t="shared" si="24"/>
        <v/>
      </c>
      <c r="O90" s="306" t="str">
        <f t="shared" si="25"/>
        <v/>
      </c>
      <c r="P90" s="306" t="str">
        <f t="shared" si="26"/>
        <v/>
      </c>
      <c r="T90" t="str">
        <f t="shared" si="27"/>
        <v>\I:</v>
      </c>
      <c r="U90" t="str">
        <f ca="1" t="shared" si="28"/>
        <v>Battery electric motorcycle (equivalent to 50-250 cc motorcycle) -- Electric range (km)</v>
      </c>
      <c r="V90" s="309" t="s">
        <v>84</v>
      </c>
      <c r="W90" s="309" t="s">
        <v>85</v>
      </c>
    </row>
    <row r="91" spans="2:23">
      <c r="B91" s="315"/>
      <c r="C91" s="315"/>
      <c r="D91" s="315"/>
      <c r="E91" s="315"/>
      <c r="F91" s="315"/>
      <c r="J91" t="str">
        <f t="shared" si="19"/>
        <v>Trd_2w_elc150</v>
      </c>
      <c r="K91" t="str">
        <f t="shared" si="22"/>
        <v>\I:</v>
      </c>
      <c r="L91" t="str">
        <f t="shared" si="21"/>
        <v>\I:</v>
      </c>
      <c r="M91" s="306" t="str">
        <f t="shared" si="23"/>
        <v/>
      </c>
      <c r="N91" s="306" t="str">
        <f t="shared" si="24"/>
        <v/>
      </c>
      <c r="O91" s="306" t="str">
        <f t="shared" si="25"/>
        <v/>
      </c>
      <c r="P91" s="306" t="str">
        <f t="shared" si="26"/>
        <v/>
      </c>
      <c r="T91" t="str">
        <f t="shared" si="27"/>
        <v>\I:</v>
      </c>
      <c r="U91" t="str">
        <f ca="1" t="shared" si="28"/>
        <v>Battery electric motorcycle (equivalent to 50-250 cc motorcycle) -- 00%</v>
      </c>
      <c r="V91" s="309" t="s">
        <v>84</v>
      </c>
      <c r="W91" s="309" t="s">
        <v>85</v>
      </c>
    </row>
    <row r="92" spans="2:23">
      <c r="B92" s="315"/>
      <c r="C92" s="315"/>
      <c r="D92" s="315"/>
      <c r="E92" s="315"/>
      <c r="F92" s="315"/>
      <c r="J92" t="str">
        <f t="shared" si="19"/>
        <v>Trd_2w_elc150</v>
      </c>
      <c r="K92" t="str">
        <f t="shared" si="22"/>
        <v>\I:</v>
      </c>
      <c r="L92" t="str">
        <f t="shared" si="21"/>
        <v>\I:</v>
      </c>
      <c r="M92" s="306" t="str">
        <f t="shared" si="23"/>
        <v/>
      </c>
      <c r="N92" s="306" t="str">
        <f t="shared" si="24"/>
        <v/>
      </c>
      <c r="O92" s="306" t="str">
        <f t="shared" si="25"/>
        <v/>
      </c>
      <c r="P92" s="306" t="str">
        <f t="shared" si="26"/>
        <v/>
      </c>
      <c r="T92" t="str">
        <f t="shared" si="27"/>
        <v>\I:</v>
      </c>
      <c r="U92" t="str">
        <f ca="1" t="shared" si="28"/>
        <v>Battery electric motorcycle (equivalent to 50-250 cc motorcycle) -- 00%</v>
      </c>
      <c r="V92" s="309" t="s">
        <v>84</v>
      </c>
      <c r="W92" s="309" t="s">
        <v>85</v>
      </c>
    </row>
    <row r="93" spans="2:23">
      <c r="B93" s="49"/>
      <c r="C93" s="50">
        <v>2020</v>
      </c>
      <c r="D93" s="50">
        <v>2030</v>
      </c>
      <c r="E93" s="50">
        <v>2040</v>
      </c>
      <c r="F93" s="50">
        <v>2050</v>
      </c>
      <c r="J93" t="str">
        <f t="shared" si="19"/>
        <v>Trd_2w_elc150</v>
      </c>
      <c r="K93" t="str">
        <f t="shared" si="22"/>
        <v>\I:</v>
      </c>
      <c r="L93" t="str">
        <f t="shared" si="21"/>
        <v>\I:</v>
      </c>
      <c r="M93" s="306" t="str">
        <f t="shared" si="23"/>
        <v/>
      </c>
      <c r="N93" s="306" t="str">
        <f t="shared" si="24"/>
        <v/>
      </c>
      <c r="O93" s="306" t="str">
        <f t="shared" si="25"/>
        <v/>
      </c>
      <c r="P93" s="306" t="str">
        <f t="shared" si="26"/>
        <v/>
      </c>
      <c r="T93" t="str">
        <f t="shared" si="27"/>
        <v>\I:</v>
      </c>
      <c r="U93" t="str">
        <f ca="1" t="shared" si="28"/>
        <v>Battery electric motorcycle (equivalent to 50-250 cc motorcycle) -- 00%</v>
      </c>
      <c r="V93" s="309" t="s">
        <v>84</v>
      </c>
      <c r="W93" s="309" t="s">
        <v>85</v>
      </c>
    </row>
    <row r="94" spans="2:23">
      <c r="B94" s="66">
        <v>120</v>
      </c>
      <c r="C94" s="86">
        <v>5018.464761349</v>
      </c>
      <c r="D94" s="86">
        <v>3932.02158644446</v>
      </c>
      <c r="E94" s="86">
        <v>3377.5952597276</v>
      </c>
      <c r="F94" s="86">
        <v>3216.18278317439</v>
      </c>
      <c r="I94" s="77">
        <f>$I$88</f>
        <v>7.3469387755102</v>
      </c>
      <c r="J94" t="str">
        <f t="shared" si="19"/>
        <v>Trd_2w_elc150</v>
      </c>
      <c r="K94" t="str">
        <f>IFERROR(IF(VALUE(C94)&gt;2020,J94&amp;"_"&amp;TEXT(B94,"00"),"\I:"),"\I:")</f>
        <v>Trd_2w_elc150_120</v>
      </c>
      <c r="L94" t="str">
        <f t="shared" si="21"/>
        <v>Trd_2w</v>
      </c>
      <c r="M94" s="306">
        <f t="shared" si="23"/>
        <v>5018.464761349</v>
      </c>
      <c r="N94" s="306">
        <f t="shared" si="24"/>
        <v>3932.02158644446</v>
      </c>
      <c r="O94" s="306">
        <f t="shared" si="25"/>
        <v>3377.5952597276</v>
      </c>
      <c r="P94" s="306">
        <f t="shared" si="26"/>
        <v>3216.18278317439</v>
      </c>
      <c r="Q94" s="43">
        <v>0.05</v>
      </c>
      <c r="T94" t="str">
        <f t="shared" si="27"/>
        <v>Trd_2w_elc150_120</v>
      </c>
      <c r="U94" t="str">
        <f ca="1" t="shared" si="28"/>
        <v>Battery electric motorcycle (equivalent to 50-250 cc motorcycle) -- 12000%</v>
      </c>
      <c r="V94" s="309" t="s">
        <v>84</v>
      </c>
      <c r="W94" s="309" t="s">
        <v>85</v>
      </c>
    </row>
    <row r="95" spans="2:23">
      <c r="B95" s="66">
        <v>131.428571428571</v>
      </c>
      <c r="C95" s="86">
        <v>5255.17880196333</v>
      </c>
      <c r="D95" s="86">
        <v>4065.26484849646</v>
      </c>
      <c r="E95" s="86">
        <v>3458.03601447322</v>
      </c>
      <c r="F95" s="86">
        <v>3281.25092110542</v>
      </c>
      <c r="I95" s="77">
        <f t="shared" ref="I95:I101" si="29">$I$88</f>
        <v>7.3469387755102</v>
      </c>
      <c r="J95" t="str">
        <f t="shared" si="19"/>
        <v>Trd_2w_elc150</v>
      </c>
      <c r="K95" t="str">
        <f t="shared" ref="K95:K155" si="30">IFERROR(IF(VALUE(C95)&gt;2020,J95&amp;"_"&amp;TEXT(B95,"00"),"\I:"),"\I:")</f>
        <v>Trd_2w_elc150_131</v>
      </c>
      <c r="L95" t="str">
        <f t="shared" si="21"/>
        <v>Trd_2w</v>
      </c>
      <c r="M95" s="306">
        <f t="shared" si="23"/>
        <v>5255.17880196333</v>
      </c>
      <c r="N95" s="306">
        <f t="shared" si="24"/>
        <v>4065.26484849646</v>
      </c>
      <c r="O95" s="306">
        <f t="shared" si="25"/>
        <v>3458.03601447322</v>
      </c>
      <c r="P95" s="306">
        <f t="shared" si="26"/>
        <v>3281.25092110542</v>
      </c>
      <c r="Q95" s="43">
        <v>0.075</v>
      </c>
      <c r="T95" t="str">
        <f t="shared" si="27"/>
        <v>Trd_2w_elc150_131</v>
      </c>
      <c r="U95" t="str">
        <f ca="1" t="shared" si="28"/>
        <v>Battery electric motorcycle (equivalent to 50-250 cc motorcycle) -- 13143%</v>
      </c>
      <c r="V95" s="309" t="s">
        <v>84</v>
      </c>
      <c r="W95" s="309" t="s">
        <v>85</v>
      </c>
    </row>
    <row r="96" spans="2:23">
      <c r="B96" s="66">
        <v>142.857142857143</v>
      </c>
      <c r="C96" s="86">
        <v>5368.6042797577</v>
      </c>
      <c r="D96" s="86">
        <v>4129.11057822971</v>
      </c>
      <c r="E96" s="86">
        <v>3496.58054278884</v>
      </c>
      <c r="F96" s="86">
        <v>3312.42940386404</v>
      </c>
      <c r="I96" s="77">
        <f t="shared" si="29"/>
        <v>7.3469387755102</v>
      </c>
      <c r="J96" t="str">
        <f t="shared" si="19"/>
        <v>Trd_2w_elc150</v>
      </c>
      <c r="K96" t="str">
        <f t="shared" si="30"/>
        <v>Trd_2w_elc150_143</v>
      </c>
      <c r="L96" t="str">
        <f t="shared" si="21"/>
        <v>Trd_2w</v>
      </c>
      <c r="M96" s="306">
        <f t="shared" si="23"/>
        <v>5368.6042797577</v>
      </c>
      <c r="N96" s="306">
        <f t="shared" si="24"/>
        <v>4129.11057822971</v>
      </c>
      <c r="O96" s="306">
        <f t="shared" si="25"/>
        <v>3496.58054278884</v>
      </c>
      <c r="P96" s="306">
        <f t="shared" si="26"/>
        <v>3312.42940386404</v>
      </c>
      <c r="Q96" s="43">
        <v>0.1</v>
      </c>
      <c r="T96" t="str">
        <f t="shared" si="27"/>
        <v>Trd_2w_elc150_143</v>
      </c>
      <c r="U96" t="str">
        <f ca="1" t="shared" si="28"/>
        <v>Battery electric motorcycle (equivalent to 50-250 cc motorcycle) -- 14286%</v>
      </c>
      <c r="V96" s="309" t="s">
        <v>84</v>
      </c>
      <c r="W96" s="309" t="s">
        <v>85</v>
      </c>
    </row>
    <row r="97" spans="2:23">
      <c r="B97" s="66">
        <v>154.285714285714</v>
      </c>
      <c r="C97" s="86">
        <v>5409.04292836265</v>
      </c>
      <c r="D97" s="86">
        <v>4151.87296883025</v>
      </c>
      <c r="E97" s="86">
        <v>3510.32250505788</v>
      </c>
      <c r="F97" s="86">
        <v>3323.54521076059</v>
      </c>
      <c r="I97" s="77">
        <f t="shared" si="29"/>
        <v>7.3469387755102</v>
      </c>
      <c r="J97" t="str">
        <f t="shared" si="19"/>
        <v>Trd_2w_elc150</v>
      </c>
      <c r="K97" t="str">
        <f t="shared" si="30"/>
        <v>Trd_2w_elc150_154</v>
      </c>
      <c r="L97" t="str">
        <f t="shared" si="21"/>
        <v>Trd_2w</v>
      </c>
      <c r="M97" s="306">
        <f t="shared" si="23"/>
        <v>5409.04292836265</v>
      </c>
      <c r="N97" s="306">
        <f t="shared" si="24"/>
        <v>4151.87296883025</v>
      </c>
      <c r="O97" s="306">
        <f t="shared" si="25"/>
        <v>3510.32250505788</v>
      </c>
      <c r="P97" s="306">
        <f t="shared" si="26"/>
        <v>3323.54521076059</v>
      </c>
      <c r="Q97" s="43">
        <v>0.125</v>
      </c>
      <c r="T97" t="str">
        <f t="shared" si="27"/>
        <v>Trd_2w_elc150_154</v>
      </c>
      <c r="U97" t="str">
        <f ca="1" t="shared" si="28"/>
        <v>Battery electric motorcycle (equivalent to 50-250 cc motorcycle) -- 15429%</v>
      </c>
      <c r="V97" s="309" t="s">
        <v>84</v>
      </c>
      <c r="W97" s="309" t="s">
        <v>85</v>
      </c>
    </row>
    <row r="98" spans="2:23">
      <c r="B98" s="66">
        <v>165.714285714286</v>
      </c>
      <c r="C98" s="86">
        <v>5536.27672519285</v>
      </c>
      <c r="D98" s="86">
        <v>4223.4912221832</v>
      </c>
      <c r="E98" s="86">
        <v>3553.55941073366</v>
      </c>
      <c r="F98" s="86">
        <v>3358.51933489852</v>
      </c>
      <c r="I98" s="77">
        <f t="shared" si="29"/>
        <v>7.3469387755102</v>
      </c>
      <c r="J98" t="str">
        <f t="shared" si="19"/>
        <v>Trd_2w_elc150</v>
      </c>
      <c r="K98" t="str">
        <f t="shared" si="30"/>
        <v>Trd_2w_elc150_166</v>
      </c>
      <c r="L98" t="str">
        <f t="shared" si="21"/>
        <v>Trd_2w</v>
      </c>
      <c r="M98" s="306">
        <f t="shared" si="23"/>
        <v>5536.27672519285</v>
      </c>
      <c r="N98" s="306">
        <f t="shared" si="24"/>
        <v>4223.4912221832</v>
      </c>
      <c r="O98" s="306">
        <f t="shared" si="25"/>
        <v>3553.55941073366</v>
      </c>
      <c r="P98" s="306">
        <f t="shared" si="26"/>
        <v>3358.51933489852</v>
      </c>
      <c r="Q98" s="43">
        <v>0.15</v>
      </c>
      <c r="T98" t="str">
        <f t="shared" si="27"/>
        <v>Trd_2w_elc150_166</v>
      </c>
      <c r="U98" t="str">
        <f ca="1" t="shared" si="28"/>
        <v>Battery electric motorcycle (equivalent to 50-250 cc motorcycle) -- 16571%</v>
      </c>
      <c r="V98" s="309" t="s">
        <v>84</v>
      </c>
      <c r="W98" s="309" t="s">
        <v>85</v>
      </c>
    </row>
    <row r="99" spans="2:23">
      <c r="B99" s="66">
        <v>177.142857142857</v>
      </c>
      <c r="C99" s="86">
        <v>5651.67481999234</v>
      </c>
      <c r="D99" s="86">
        <v>4288.44731243355</v>
      </c>
      <c r="E99" s="86">
        <v>3592.77427867215</v>
      </c>
      <c r="F99" s="86">
        <v>3390.2400521399</v>
      </c>
      <c r="I99" s="77">
        <f t="shared" si="29"/>
        <v>7.3469387755102</v>
      </c>
      <c r="J99" t="str">
        <f t="shared" si="19"/>
        <v>Trd_2w_elc150</v>
      </c>
      <c r="K99" t="str">
        <f t="shared" si="30"/>
        <v>Trd_2w_elc150_177</v>
      </c>
      <c r="L99" t="str">
        <f t="shared" si="21"/>
        <v>Trd_2w</v>
      </c>
      <c r="M99" s="306">
        <f t="shared" si="23"/>
        <v>5651.67481999234</v>
      </c>
      <c r="N99" s="306">
        <f t="shared" si="24"/>
        <v>4288.44731243355</v>
      </c>
      <c r="O99" s="306">
        <f t="shared" si="25"/>
        <v>3592.77427867215</v>
      </c>
      <c r="P99" s="306">
        <f t="shared" si="26"/>
        <v>3390.2400521399</v>
      </c>
      <c r="Q99" s="43">
        <v>0.175</v>
      </c>
      <c r="T99" t="str">
        <f t="shared" si="27"/>
        <v>Trd_2w_elc150_177</v>
      </c>
      <c r="U99" t="str">
        <f ca="1" t="shared" si="28"/>
        <v>Battery electric motorcycle (equivalent to 50-250 cc motorcycle) -- 17714%</v>
      </c>
      <c r="V99" s="309" t="s">
        <v>84</v>
      </c>
      <c r="W99" s="309" t="s">
        <v>85</v>
      </c>
    </row>
    <row r="100" spans="2:23">
      <c r="B100" s="66">
        <v>188.571428571428</v>
      </c>
      <c r="C100" s="86">
        <v>5820.33357393005</v>
      </c>
      <c r="D100" s="86">
        <v>4383.38313664559</v>
      </c>
      <c r="E100" s="86">
        <v>3650.08831642841</v>
      </c>
      <c r="F100" s="86">
        <v>3436.60110041577</v>
      </c>
      <c r="I100" s="77">
        <f t="shared" si="29"/>
        <v>7.3469387755102</v>
      </c>
      <c r="J100" t="str">
        <f t="shared" si="19"/>
        <v>Trd_2w_elc150</v>
      </c>
      <c r="K100" t="str">
        <f t="shared" si="30"/>
        <v>Trd_2w_elc150_189</v>
      </c>
      <c r="L100" t="str">
        <f t="shared" si="21"/>
        <v>Trd_2w</v>
      </c>
      <c r="M100" s="306">
        <f t="shared" si="23"/>
        <v>5820.33357393005</v>
      </c>
      <c r="N100" s="306">
        <f t="shared" si="24"/>
        <v>4383.38313664559</v>
      </c>
      <c r="O100" s="306">
        <f t="shared" si="25"/>
        <v>3650.08831642841</v>
      </c>
      <c r="P100" s="306">
        <f t="shared" si="26"/>
        <v>3436.60110041577</v>
      </c>
      <c r="Q100" s="43">
        <v>0.2</v>
      </c>
      <c r="T100" t="str">
        <f t="shared" si="27"/>
        <v>Trd_2w_elc150_189</v>
      </c>
      <c r="U100" t="str">
        <f ca="1" t="shared" si="28"/>
        <v>Battery electric motorcycle (equivalent to 50-250 cc motorcycle) -- 18857%</v>
      </c>
      <c r="V100" s="309" t="s">
        <v>84</v>
      </c>
      <c r="W100" s="309" t="s">
        <v>85</v>
      </c>
    </row>
    <row r="101" spans="2:23">
      <c r="B101" s="66">
        <v>200</v>
      </c>
      <c r="C101" s="86">
        <v>5985.04709385752</v>
      </c>
      <c r="D101" s="86">
        <v>4476.09823982344</v>
      </c>
      <c r="E101" s="86">
        <v>3706.06167493891</v>
      </c>
      <c r="F101" s="86">
        <v>3481.87767972611</v>
      </c>
      <c r="I101" s="77">
        <f t="shared" si="29"/>
        <v>7.3469387755102</v>
      </c>
      <c r="J101" t="str">
        <f t="shared" si="19"/>
        <v>Trd_2w_elc150</v>
      </c>
      <c r="K101" t="str">
        <f t="shared" si="30"/>
        <v>Trd_2w_elc150_200</v>
      </c>
      <c r="L101" t="str">
        <f t="shared" si="21"/>
        <v>Trd_2w</v>
      </c>
      <c r="M101" s="306">
        <f t="shared" si="23"/>
        <v>5985.04709385752</v>
      </c>
      <c r="N101" s="306">
        <f t="shared" si="24"/>
        <v>4476.09823982344</v>
      </c>
      <c r="O101" s="306">
        <f t="shared" si="25"/>
        <v>3706.06167493891</v>
      </c>
      <c r="P101" s="306">
        <f t="shared" si="26"/>
        <v>3481.87767972611</v>
      </c>
      <c r="T101" t="str">
        <f t="shared" si="27"/>
        <v>Trd_2w_elc150_200</v>
      </c>
      <c r="U101" t="str">
        <f ca="1" t="shared" si="28"/>
        <v>Battery electric motorcycle (equivalent to 50-250 cc motorcycle) -- 20000%</v>
      </c>
      <c r="V101" s="309" t="s">
        <v>84</v>
      </c>
      <c r="W101" s="309" t="s">
        <v>85</v>
      </c>
    </row>
    <row r="102" spans="10:23">
      <c r="J102" t="str">
        <f t="shared" si="19"/>
        <v>Trd_2w_elc150</v>
      </c>
      <c r="K102" t="str">
        <f t="shared" si="30"/>
        <v>\I:</v>
      </c>
      <c r="L102" t="str">
        <f t="shared" si="21"/>
        <v>\I:</v>
      </c>
      <c r="M102" s="306" t="str">
        <f t="shared" si="23"/>
        <v/>
      </c>
      <c r="N102" s="306" t="str">
        <f t="shared" si="24"/>
        <v/>
      </c>
      <c r="O102" s="306" t="str">
        <f t="shared" si="25"/>
        <v/>
      </c>
      <c r="P102" s="306" t="str">
        <f t="shared" si="26"/>
        <v/>
      </c>
      <c r="T102" t="str">
        <f t="shared" si="27"/>
        <v>\I:</v>
      </c>
      <c r="U102" t="str">
        <f ca="1" t="shared" si="28"/>
        <v>Battery electric motorcycle (equivalent to 50-250 cc motorcycle) -- 00%</v>
      </c>
      <c r="V102" s="309" t="s">
        <v>84</v>
      </c>
      <c r="W102" s="309" t="s">
        <v>85</v>
      </c>
    </row>
    <row r="103" spans="10:23">
      <c r="J103" t="str">
        <f t="shared" si="19"/>
        <v>Trd_2w_elc150</v>
      </c>
      <c r="K103" t="str">
        <f t="shared" si="30"/>
        <v>\I:</v>
      </c>
      <c r="L103" t="str">
        <f t="shared" si="21"/>
        <v>\I:</v>
      </c>
      <c r="M103" s="306" t="str">
        <f t="shared" si="23"/>
        <v/>
      </c>
      <c r="N103" s="306" t="str">
        <f t="shared" si="24"/>
        <v/>
      </c>
      <c r="O103" s="306" t="str">
        <f t="shared" si="25"/>
        <v/>
      </c>
      <c r="P103" s="306" t="str">
        <f t="shared" si="26"/>
        <v/>
      </c>
      <c r="T103" t="str">
        <f t="shared" si="27"/>
        <v>\I:</v>
      </c>
      <c r="U103" t="str">
        <f ca="1" t="shared" si="28"/>
        <v>Battery electric motorcycle (equivalent to 50-250 cc motorcycle) -- 00%</v>
      </c>
      <c r="V103" s="309" t="s">
        <v>84</v>
      </c>
      <c r="W103" s="309" t="s">
        <v>85</v>
      </c>
    </row>
    <row r="104" spans="10:23">
      <c r="J104" t="str">
        <f t="shared" si="19"/>
        <v>Trd_2w_elc150</v>
      </c>
      <c r="K104" t="str">
        <f t="shared" si="30"/>
        <v>\I:</v>
      </c>
      <c r="L104" t="str">
        <f t="shared" si="21"/>
        <v>\I:</v>
      </c>
      <c r="M104" s="306" t="str">
        <f t="shared" si="23"/>
        <v/>
      </c>
      <c r="N104" s="306" t="str">
        <f t="shared" si="24"/>
        <v/>
      </c>
      <c r="O104" s="306" t="str">
        <f t="shared" si="25"/>
        <v/>
      </c>
      <c r="P104" s="306" t="str">
        <f t="shared" si="26"/>
        <v/>
      </c>
      <c r="T104" t="str">
        <f t="shared" si="27"/>
        <v>\I:</v>
      </c>
      <c r="U104" t="str">
        <f ca="1" t="shared" si="28"/>
        <v>Battery electric motorcycle (equivalent to 50-250 cc motorcycle) -- 00%</v>
      </c>
      <c r="V104" s="309" t="s">
        <v>84</v>
      </c>
      <c r="W104" s="309" t="s">
        <v>85</v>
      </c>
    </row>
    <row r="105" spans="2:23">
      <c r="B105" s="298">
        <v>2020</v>
      </c>
      <c r="C105" s="298"/>
      <c r="D105" s="298"/>
      <c r="J105" t="str">
        <f t="shared" si="19"/>
        <v>Trd_2w_elc150</v>
      </c>
      <c r="K105" t="str">
        <f t="shared" si="30"/>
        <v>\I:</v>
      </c>
      <c r="L105" t="str">
        <f t="shared" si="21"/>
        <v>\I:</v>
      </c>
      <c r="M105" s="306" t="str">
        <f t="shared" si="23"/>
        <v/>
      </c>
      <c r="N105" s="306" t="str">
        <f t="shared" si="24"/>
        <v/>
      </c>
      <c r="O105" s="306" t="str">
        <f t="shared" si="25"/>
        <v/>
      </c>
      <c r="P105" s="306" t="str">
        <f t="shared" si="26"/>
        <v/>
      </c>
      <c r="T105" t="str">
        <f t="shared" si="27"/>
        <v>\I:</v>
      </c>
      <c r="U105" t="str">
        <f ca="1" t="shared" si="28"/>
        <v>Battery electric motorcycle (equivalent to 50-250 cc motorcycle) -- 202000%</v>
      </c>
      <c r="V105" s="309" t="s">
        <v>84</v>
      </c>
      <c r="W105" s="309" t="s">
        <v>85</v>
      </c>
    </row>
    <row r="106" spans="2:23">
      <c r="B106" s="45" t="s">
        <v>145</v>
      </c>
      <c r="C106" s="46" t="s">
        <v>26</v>
      </c>
      <c r="D106" s="74">
        <v>0.0574</v>
      </c>
      <c r="G106" s="77">
        <f>D106/3.6/100*10^9/10^6</f>
        <v>0.159444444444444</v>
      </c>
      <c r="H106" s="77"/>
      <c r="I106" s="299">
        <f>1/G106</f>
        <v>6.27177700348432</v>
      </c>
      <c r="J106" t="str">
        <f t="shared" si="19"/>
        <v>Trd_2w_elc150</v>
      </c>
      <c r="K106" t="str">
        <f t="shared" si="30"/>
        <v>\I:</v>
      </c>
      <c r="L106" t="str">
        <f t="shared" si="21"/>
        <v>\I:</v>
      </c>
      <c r="M106" s="306" t="str">
        <f t="shared" si="23"/>
        <v/>
      </c>
      <c r="N106" s="306" t="str">
        <f t="shared" si="24"/>
        <v/>
      </c>
      <c r="O106" s="306" t="str">
        <f t="shared" si="25"/>
        <v/>
      </c>
      <c r="P106" s="306" t="str">
        <f t="shared" si="26"/>
        <v/>
      </c>
      <c r="T106" t="str">
        <f t="shared" si="27"/>
        <v>\I:</v>
      </c>
      <c r="U106" t="str">
        <f ca="1" t="shared" si="28"/>
        <v>Battery electric motorcycle (equivalent to 50-250 cc motorcycle) -- Energy consumption of Battery electric motorcycle (equivalent to 250-750 cc motorcycle) </v>
      </c>
      <c r="V106" s="309" t="s">
        <v>84</v>
      </c>
      <c r="W106" s="309" t="s">
        <v>85</v>
      </c>
    </row>
    <row r="107" spans="9:23">
      <c r="I107" s="311" t="s">
        <v>70</v>
      </c>
      <c r="J107" t="str">
        <f t="shared" si="19"/>
        <v>Trd_2w_elc150</v>
      </c>
      <c r="K107" t="str">
        <f t="shared" si="30"/>
        <v>\I:</v>
      </c>
      <c r="L107" t="str">
        <f t="shared" si="21"/>
        <v>\I:</v>
      </c>
      <c r="M107" s="306" t="str">
        <f t="shared" si="23"/>
        <v/>
      </c>
      <c r="N107" s="306" t="str">
        <f t="shared" si="24"/>
        <v/>
      </c>
      <c r="O107" s="306" t="str">
        <f t="shared" si="25"/>
        <v/>
      </c>
      <c r="P107" s="306" t="str">
        <f t="shared" si="26"/>
        <v/>
      </c>
      <c r="T107" t="str">
        <f t="shared" si="27"/>
        <v>\I:</v>
      </c>
      <c r="U107" t="str">
        <f ca="1" t="shared" si="28"/>
        <v>Battery electric motorcycle (equivalent to 50-250 cc motorcycle) -- 00%</v>
      </c>
      <c r="V107" s="309" t="s">
        <v>84</v>
      </c>
      <c r="W107" s="309" t="s">
        <v>85</v>
      </c>
    </row>
    <row r="108" ht="15" customHeight="1" spans="2:23">
      <c r="B108" s="315" t="s">
        <v>27</v>
      </c>
      <c r="C108" s="315" t="s">
        <v>136</v>
      </c>
      <c r="D108" s="315"/>
      <c r="E108" s="315"/>
      <c r="F108" s="315"/>
      <c r="J108" t="str">
        <f t="shared" si="19"/>
        <v>Trd_2w_elc500</v>
      </c>
      <c r="K108" t="str">
        <f t="shared" si="30"/>
        <v>\I:</v>
      </c>
      <c r="L108" t="str">
        <f t="shared" si="21"/>
        <v>\I:</v>
      </c>
      <c r="M108" s="306" t="str">
        <f t="shared" si="23"/>
        <v/>
      </c>
      <c r="N108" s="306" t="str">
        <f t="shared" si="24"/>
        <v/>
      </c>
      <c r="O108" s="306" t="str">
        <f t="shared" si="25"/>
        <v/>
      </c>
      <c r="P108" s="306" t="str">
        <f t="shared" si="26"/>
        <v/>
      </c>
      <c r="T108" t="str">
        <f t="shared" si="27"/>
        <v>\I:</v>
      </c>
      <c r="U108" t="str">
        <f ca="1" t="shared" si="28"/>
        <v>Battery electric motorcycle (equivalent to 250-750 cc motorcycle) -- Electric range (km)</v>
      </c>
      <c r="V108" s="309" t="s">
        <v>84</v>
      </c>
      <c r="W108" s="309" t="s">
        <v>85</v>
      </c>
    </row>
    <row r="109" spans="2:23">
      <c r="B109" s="315"/>
      <c r="C109" s="315"/>
      <c r="D109" s="315"/>
      <c r="E109" s="315"/>
      <c r="F109" s="315"/>
      <c r="J109" t="str">
        <f t="shared" si="19"/>
        <v>Trd_2w_elc500</v>
      </c>
      <c r="K109" t="str">
        <f t="shared" si="30"/>
        <v>\I:</v>
      </c>
      <c r="L109" t="str">
        <f t="shared" si="21"/>
        <v>\I:</v>
      </c>
      <c r="M109" s="306" t="str">
        <f t="shared" si="23"/>
        <v/>
      </c>
      <c r="N109" s="306" t="str">
        <f t="shared" si="24"/>
        <v/>
      </c>
      <c r="O109" s="306" t="str">
        <f t="shared" si="25"/>
        <v/>
      </c>
      <c r="P109" s="306" t="str">
        <f t="shared" si="26"/>
        <v/>
      </c>
      <c r="T109" t="str">
        <f t="shared" si="27"/>
        <v>\I:</v>
      </c>
      <c r="U109" t="str">
        <f ca="1" t="shared" si="28"/>
        <v>Battery electric motorcycle (equivalent to 250-750 cc motorcycle) -- 00%</v>
      </c>
      <c r="V109" s="309" t="s">
        <v>84</v>
      </c>
      <c r="W109" s="309" t="s">
        <v>85</v>
      </c>
    </row>
    <row r="110" spans="2:23">
      <c r="B110" s="315"/>
      <c r="C110" s="315"/>
      <c r="D110" s="315"/>
      <c r="E110" s="315"/>
      <c r="F110" s="315"/>
      <c r="J110" t="str">
        <f t="shared" si="19"/>
        <v>Trd_2w_elc500</v>
      </c>
      <c r="K110" t="str">
        <f t="shared" si="30"/>
        <v>\I:</v>
      </c>
      <c r="L110" t="str">
        <f t="shared" si="21"/>
        <v>\I:</v>
      </c>
      <c r="M110" s="306" t="str">
        <f t="shared" si="23"/>
        <v/>
      </c>
      <c r="N110" s="306" t="str">
        <f t="shared" si="24"/>
        <v/>
      </c>
      <c r="O110" s="306" t="str">
        <f t="shared" si="25"/>
        <v/>
      </c>
      <c r="P110" s="306" t="str">
        <f t="shared" si="26"/>
        <v/>
      </c>
      <c r="T110" t="str">
        <f t="shared" si="27"/>
        <v>\I:</v>
      </c>
      <c r="U110" t="str">
        <f ca="1" t="shared" si="28"/>
        <v>Battery electric motorcycle (equivalent to 250-750 cc motorcycle) -- 00%</v>
      </c>
      <c r="V110" s="309" t="s">
        <v>84</v>
      </c>
      <c r="W110" s="309" t="s">
        <v>85</v>
      </c>
    </row>
    <row r="111" spans="2:23">
      <c r="B111" s="49"/>
      <c r="C111" s="50">
        <v>2020</v>
      </c>
      <c r="D111" s="50">
        <v>2030</v>
      </c>
      <c r="E111" s="50">
        <v>2040</v>
      </c>
      <c r="F111" s="50">
        <v>2050</v>
      </c>
      <c r="J111" t="str">
        <f t="shared" si="19"/>
        <v>Trd_2w_elc500</v>
      </c>
      <c r="K111" t="str">
        <f t="shared" si="30"/>
        <v>\I:</v>
      </c>
      <c r="L111" t="str">
        <f t="shared" si="21"/>
        <v>\I:</v>
      </c>
      <c r="M111" s="306" t="str">
        <f t="shared" si="23"/>
        <v/>
      </c>
      <c r="N111" s="306" t="str">
        <f t="shared" si="24"/>
        <v/>
      </c>
      <c r="O111" s="306" t="str">
        <f t="shared" si="25"/>
        <v/>
      </c>
      <c r="P111" s="306" t="str">
        <f t="shared" si="26"/>
        <v/>
      </c>
      <c r="T111" t="str">
        <f t="shared" si="27"/>
        <v>\I:</v>
      </c>
      <c r="U111" t="str">
        <f ca="1" t="shared" si="28"/>
        <v>Battery electric motorcycle (equivalent to 250-750 cc motorcycle) -- 00%</v>
      </c>
      <c r="V111" s="309" t="s">
        <v>84</v>
      </c>
      <c r="W111" s="309" t="s">
        <v>85</v>
      </c>
    </row>
    <row r="112" spans="2:23">
      <c r="B112" s="66">
        <v>120</v>
      </c>
      <c r="C112" s="86">
        <v>9005.08390897976</v>
      </c>
      <c r="D112" s="86">
        <v>7694.21261537352</v>
      </c>
      <c r="E112" s="86">
        <v>7025.25765030914</v>
      </c>
      <c r="F112" s="86">
        <v>6830.50196788507</v>
      </c>
      <c r="I112" s="77">
        <f>$I$106</f>
        <v>6.27177700348432</v>
      </c>
      <c r="J112" t="str">
        <f t="shared" si="19"/>
        <v>Trd_2w_elc500</v>
      </c>
      <c r="K112" t="str">
        <f t="shared" si="30"/>
        <v>Trd_2w_elc500_120</v>
      </c>
      <c r="L112" t="str">
        <f t="shared" si="21"/>
        <v>Trd_2w</v>
      </c>
      <c r="M112" s="306">
        <f t="shared" si="23"/>
        <v>9005.08390897976</v>
      </c>
      <c r="N112" s="306">
        <f t="shared" si="24"/>
        <v>7694.21261537352</v>
      </c>
      <c r="O112" s="306">
        <f t="shared" si="25"/>
        <v>7025.25765030914</v>
      </c>
      <c r="P112" s="306">
        <f t="shared" si="26"/>
        <v>6830.50196788507</v>
      </c>
      <c r="Q112" s="43">
        <v>0.05</v>
      </c>
      <c r="T112" t="str">
        <f t="shared" si="27"/>
        <v>Trd_2w_elc500_120</v>
      </c>
      <c r="U112" t="str">
        <f ca="1" t="shared" si="28"/>
        <v>Battery electric motorcycle (equivalent to 250-750 cc motorcycle) -- 12000%</v>
      </c>
      <c r="V112" s="309" t="s">
        <v>84</v>
      </c>
      <c r="W112" s="309" t="s">
        <v>85</v>
      </c>
    </row>
    <row r="113" spans="2:23">
      <c r="B113" s="66">
        <v>131.428571428571</v>
      </c>
      <c r="C113" s="86">
        <v>9279.25190789782</v>
      </c>
      <c r="D113" s="86">
        <v>7848.53822458243</v>
      </c>
      <c r="E113" s="86">
        <v>7118.42610243319</v>
      </c>
      <c r="F113" s="86">
        <v>6905.86547874222</v>
      </c>
      <c r="I113" s="77">
        <f t="shared" ref="I113:I119" si="31">$I$106</f>
        <v>6.27177700348432</v>
      </c>
      <c r="J113" t="str">
        <f t="shared" si="19"/>
        <v>Trd_2w_elc500</v>
      </c>
      <c r="K113" t="str">
        <f t="shared" si="30"/>
        <v>Trd_2w_elc500_131</v>
      </c>
      <c r="L113" t="str">
        <f t="shared" si="21"/>
        <v>Trd_2w</v>
      </c>
      <c r="M113" s="306">
        <f t="shared" si="23"/>
        <v>9279.25190789782</v>
      </c>
      <c r="N113" s="306">
        <f t="shared" si="24"/>
        <v>7848.53822458243</v>
      </c>
      <c r="O113" s="306">
        <f t="shared" si="25"/>
        <v>7118.42610243319</v>
      </c>
      <c r="P113" s="306">
        <f t="shared" si="26"/>
        <v>6905.86547874222</v>
      </c>
      <c r="Q113" s="43">
        <v>0.075</v>
      </c>
      <c r="T113" t="str">
        <f t="shared" si="27"/>
        <v>Trd_2w_elc500_131</v>
      </c>
      <c r="U113" t="str">
        <f ca="1" t="shared" si="28"/>
        <v>Battery electric motorcycle (equivalent to 250-750 cc motorcycle) -- 13143%</v>
      </c>
      <c r="V113" s="309" t="s">
        <v>84</v>
      </c>
      <c r="W113" s="309" t="s">
        <v>85</v>
      </c>
    </row>
    <row r="114" spans="2:23">
      <c r="B114" s="66">
        <v>142.857142857143</v>
      </c>
      <c r="C114" s="86">
        <v>9403.70974951194</v>
      </c>
      <c r="D114" s="86">
        <v>7918.59392876279</v>
      </c>
      <c r="E114" s="86">
        <v>7160.71967609476</v>
      </c>
      <c r="F114" s="86">
        <v>6940.07654617079</v>
      </c>
      <c r="I114" s="77">
        <f t="shared" si="31"/>
        <v>6.27177700348432</v>
      </c>
      <c r="J114" t="str">
        <f t="shared" si="19"/>
        <v>Trd_2w_elc500</v>
      </c>
      <c r="K114" t="str">
        <f t="shared" si="30"/>
        <v>Trd_2w_elc500_143</v>
      </c>
      <c r="L114" t="str">
        <f t="shared" si="21"/>
        <v>Trd_2w</v>
      </c>
      <c r="M114" s="306">
        <f t="shared" si="23"/>
        <v>9403.70974951194</v>
      </c>
      <c r="N114" s="306">
        <f t="shared" si="24"/>
        <v>7918.59392876279</v>
      </c>
      <c r="O114" s="306">
        <f t="shared" si="25"/>
        <v>7160.71967609476</v>
      </c>
      <c r="P114" s="306">
        <f t="shared" si="26"/>
        <v>6940.07654617079</v>
      </c>
      <c r="Q114" s="43">
        <v>0.1</v>
      </c>
      <c r="T114" t="str">
        <f t="shared" si="27"/>
        <v>Trd_2w_elc500_143</v>
      </c>
      <c r="U114" t="str">
        <f ca="1" t="shared" si="28"/>
        <v>Battery electric motorcycle (equivalent to 250-750 cc motorcycle) -- 14286%</v>
      </c>
      <c r="V114" s="309" t="s">
        <v>84</v>
      </c>
      <c r="W114" s="309" t="s">
        <v>85</v>
      </c>
    </row>
    <row r="115" spans="2:23">
      <c r="B115" s="66">
        <v>154.285714285714</v>
      </c>
      <c r="C115" s="86">
        <v>9440.07059619241</v>
      </c>
      <c r="D115" s="86">
        <v>7939.06097757031</v>
      </c>
      <c r="E115" s="86">
        <v>7173.07590955931</v>
      </c>
      <c r="F115" s="86">
        <v>6950.07144373138</v>
      </c>
      <c r="I115" s="77">
        <f t="shared" si="31"/>
        <v>6.27177700348432</v>
      </c>
      <c r="J115" t="str">
        <f t="shared" si="19"/>
        <v>Trd_2w_elc500</v>
      </c>
      <c r="K115" t="str">
        <f t="shared" si="30"/>
        <v>Trd_2w_elc500_154</v>
      </c>
      <c r="L115" t="str">
        <f t="shared" si="21"/>
        <v>Trd_2w</v>
      </c>
      <c r="M115" s="306">
        <f t="shared" si="23"/>
        <v>9440.07059619241</v>
      </c>
      <c r="N115" s="306">
        <f t="shared" si="24"/>
        <v>7939.06097757031</v>
      </c>
      <c r="O115" s="306">
        <f t="shared" si="25"/>
        <v>7173.07590955931</v>
      </c>
      <c r="P115" s="306">
        <f t="shared" si="26"/>
        <v>6950.07144373138</v>
      </c>
      <c r="Q115" s="43">
        <v>0.125</v>
      </c>
      <c r="T115" t="str">
        <f t="shared" si="27"/>
        <v>Trd_2w_elc500_154</v>
      </c>
      <c r="U115" t="str">
        <f ca="1" t="shared" si="28"/>
        <v>Battery electric motorcycle (equivalent to 250-750 cc motorcycle) -- 15429%</v>
      </c>
      <c r="V115" s="309" t="s">
        <v>84</v>
      </c>
      <c r="W115" s="309" t="s">
        <v>85</v>
      </c>
    </row>
    <row r="116" spans="2:23">
      <c r="B116" s="66">
        <v>165.714285714286</v>
      </c>
      <c r="C116" s="86">
        <v>9579.35639854656</v>
      </c>
      <c r="D116" s="86">
        <v>8017.46314845562</v>
      </c>
      <c r="E116" s="86">
        <v>7220.40835776407</v>
      </c>
      <c r="F116" s="86">
        <v>6988.3584324368</v>
      </c>
      <c r="I116" s="77">
        <f t="shared" si="31"/>
        <v>6.27177700348432</v>
      </c>
      <c r="J116" t="str">
        <f t="shared" si="19"/>
        <v>Trd_2w_elc500</v>
      </c>
      <c r="K116" t="str">
        <f t="shared" si="30"/>
        <v>Trd_2w_elc500_166</v>
      </c>
      <c r="L116" t="str">
        <f t="shared" si="21"/>
        <v>Trd_2w</v>
      </c>
      <c r="M116" s="306">
        <f t="shared" si="23"/>
        <v>9579.35639854656</v>
      </c>
      <c r="N116" s="306">
        <f t="shared" si="24"/>
        <v>8017.46314845562</v>
      </c>
      <c r="O116" s="306">
        <f t="shared" si="25"/>
        <v>7220.40835776407</v>
      </c>
      <c r="P116" s="306">
        <f t="shared" si="26"/>
        <v>6988.3584324368</v>
      </c>
      <c r="Q116" s="43">
        <v>0.15</v>
      </c>
      <c r="T116" t="str">
        <f t="shared" si="27"/>
        <v>Trd_2w_elc500_166</v>
      </c>
      <c r="U116" t="str">
        <f ca="1" t="shared" si="28"/>
        <v>Battery electric motorcycle (equivalent to 250-750 cc motorcycle) -- 16571%</v>
      </c>
      <c r="V116" s="309" t="s">
        <v>84</v>
      </c>
      <c r="W116" s="309" t="s">
        <v>85</v>
      </c>
    </row>
    <row r="117" spans="2:23">
      <c r="B117" s="66">
        <v>177.142857142857</v>
      </c>
      <c r="C117" s="86">
        <v>9703.54056974434</v>
      </c>
      <c r="D117" s="86">
        <v>8087.36480710955</v>
      </c>
      <c r="E117" s="86">
        <v>7262.60893206328</v>
      </c>
      <c r="F117" s="86">
        <v>7022.49427313039</v>
      </c>
      <c r="I117" s="77">
        <f t="shared" si="31"/>
        <v>6.27177700348432</v>
      </c>
      <c r="J117" t="str">
        <f t="shared" si="19"/>
        <v>Trd_2w_elc500</v>
      </c>
      <c r="K117" t="str">
        <f t="shared" si="30"/>
        <v>Trd_2w_elc500_177</v>
      </c>
      <c r="L117" t="str">
        <f t="shared" si="21"/>
        <v>Trd_2w</v>
      </c>
      <c r="M117" s="306">
        <f t="shared" si="23"/>
        <v>9703.54056974434</v>
      </c>
      <c r="N117" s="306">
        <f t="shared" si="24"/>
        <v>8087.36480710955</v>
      </c>
      <c r="O117" s="306">
        <f t="shared" si="25"/>
        <v>7262.60893206328</v>
      </c>
      <c r="P117" s="306">
        <f t="shared" si="26"/>
        <v>7022.49427313039</v>
      </c>
      <c r="Q117" s="43">
        <v>0.175</v>
      </c>
      <c r="T117" t="str">
        <f t="shared" si="27"/>
        <v>Trd_2w_elc500_177</v>
      </c>
      <c r="U117" t="str">
        <f ca="1" t="shared" si="28"/>
        <v>Battery electric motorcycle (equivalent to 250-750 cc motorcycle) -- 17714%</v>
      </c>
      <c r="V117" s="309" t="s">
        <v>84</v>
      </c>
      <c r="W117" s="309" t="s">
        <v>85</v>
      </c>
    </row>
    <row r="118" ht="15" customHeight="1" spans="2:23">
      <c r="B118" s="66">
        <v>188.571428571428</v>
      </c>
      <c r="C118" s="86">
        <v>9889.67377155065</v>
      </c>
      <c r="D118" s="86">
        <v>8192.13677129253</v>
      </c>
      <c r="E118" s="86">
        <v>7325.86118020902</v>
      </c>
      <c r="F118" s="86">
        <v>7073.65871110478</v>
      </c>
      <c r="I118" s="77">
        <f t="shared" si="31"/>
        <v>6.27177700348432</v>
      </c>
      <c r="J118" t="str">
        <f t="shared" si="19"/>
        <v>Trd_2w_elc500</v>
      </c>
      <c r="K118" t="str">
        <f t="shared" si="30"/>
        <v>Trd_2w_elc500_189</v>
      </c>
      <c r="L118" t="str">
        <f t="shared" si="21"/>
        <v>Trd_2w</v>
      </c>
      <c r="M118" s="306">
        <f t="shared" si="23"/>
        <v>9889.67377155065</v>
      </c>
      <c r="N118" s="306">
        <f t="shared" si="24"/>
        <v>8192.13677129253</v>
      </c>
      <c r="O118" s="306">
        <f t="shared" si="25"/>
        <v>7325.86118020902</v>
      </c>
      <c r="P118" s="306">
        <f t="shared" si="26"/>
        <v>7073.65871110478</v>
      </c>
      <c r="Q118" s="43">
        <v>0.2</v>
      </c>
      <c r="T118" t="str">
        <f t="shared" si="27"/>
        <v>Trd_2w_elc500_189</v>
      </c>
      <c r="U118" t="str">
        <f ca="1" t="shared" si="28"/>
        <v>Battery electric motorcycle (equivalent to 250-750 cc motorcycle) -- 18857%</v>
      </c>
      <c r="V118" s="309" t="s">
        <v>84</v>
      </c>
      <c r="W118" s="309" t="s">
        <v>85</v>
      </c>
    </row>
    <row r="119" spans="2:23">
      <c r="B119" s="66">
        <v>200</v>
      </c>
      <c r="C119" s="86">
        <v>10069.7447589828</v>
      </c>
      <c r="D119" s="86">
        <v>8293.4963936627</v>
      </c>
      <c r="E119" s="86">
        <v>7387.05335157005</v>
      </c>
      <c r="F119" s="86">
        <v>7123.15676291956</v>
      </c>
      <c r="I119" s="77">
        <f t="shared" si="31"/>
        <v>6.27177700348432</v>
      </c>
      <c r="J119" t="str">
        <f t="shared" si="19"/>
        <v>Trd_2w_elc500</v>
      </c>
      <c r="K119" t="str">
        <f t="shared" si="30"/>
        <v>Trd_2w_elc500_200</v>
      </c>
      <c r="L119" t="str">
        <f t="shared" si="21"/>
        <v>Trd_2w</v>
      </c>
      <c r="M119" s="306">
        <f t="shared" si="23"/>
        <v>10069.7447589828</v>
      </c>
      <c r="N119" s="306">
        <f t="shared" si="24"/>
        <v>8293.4963936627</v>
      </c>
      <c r="O119" s="306">
        <f t="shared" si="25"/>
        <v>7387.05335157005</v>
      </c>
      <c r="P119" s="306">
        <f t="shared" si="26"/>
        <v>7123.15676291956</v>
      </c>
      <c r="T119" t="str">
        <f t="shared" si="27"/>
        <v>Trd_2w_elc500_200</v>
      </c>
      <c r="U119" t="str">
        <f ca="1" t="shared" si="28"/>
        <v>Battery electric motorcycle (equivalent to 250-750 cc motorcycle) -- 20000%</v>
      </c>
      <c r="V119" s="309" t="s">
        <v>84</v>
      </c>
      <c r="W119" s="309" t="s">
        <v>85</v>
      </c>
    </row>
    <row r="120" spans="10:23">
      <c r="J120" t="str">
        <f t="shared" si="19"/>
        <v>Trd_2w_elc500</v>
      </c>
      <c r="K120" t="str">
        <f t="shared" si="30"/>
        <v>\I:</v>
      </c>
      <c r="L120" t="str">
        <f t="shared" si="21"/>
        <v>\I:</v>
      </c>
      <c r="M120" s="306" t="str">
        <f t="shared" si="23"/>
        <v/>
      </c>
      <c r="N120" s="306" t="str">
        <f t="shared" si="24"/>
        <v/>
      </c>
      <c r="O120" s="306" t="str">
        <f t="shared" si="25"/>
        <v/>
      </c>
      <c r="P120" s="306" t="str">
        <f t="shared" si="26"/>
        <v/>
      </c>
      <c r="T120" t="str">
        <f t="shared" si="27"/>
        <v>\I:</v>
      </c>
      <c r="U120" t="str">
        <f ca="1" t="shared" si="28"/>
        <v>Battery electric motorcycle (equivalent to 250-750 cc motorcycle) -- 00%</v>
      </c>
      <c r="V120" s="309" t="s">
        <v>84</v>
      </c>
      <c r="W120" s="309" t="s">
        <v>85</v>
      </c>
    </row>
    <row r="121" spans="10:23">
      <c r="J121" t="str">
        <f t="shared" si="19"/>
        <v>Trd_2w_elc500</v>
      </c>
      <c r="K121" t="str">
        <f t="shared" si="30"/>
        <v>\I:</v>
      </c>
      <c r="L121" t="str">
        <f t="shared" si="21"/>
        <v>\I:</v>
      </c>
      <c r="M121" s="306" t="str">
        <f t="shared" si="23"/>
        <v/>
      </c>
      <c r="N121" s="306" t="str">
        <f t="shared" si="24"/>
        <v/>
      </c>
      <c r="O121" s="306" t="str">
        <f t="shared" si="25"/>
        <v/>
      </c>
      <c r="P121" s="306" t="str">
        <f t="shared" si="26"/>
        <v/>
      </c>
      <c r="T121" t="str">
        <f t="shared" si="27"/>
        <v>\I:</v>
      </c>
      <c r="U121" t="str">
        <f ca="1" t="shared" si="28"/>
        <v>Battery electric motorcycle (equivalent to 250-750 cc motorcycle) -- 00%</v>
      </c>
      <c r="V121" s="309" t="s">
        <v>84</v>
      </c>
      <c r="W121" s="309" t="s">
        <v>85</v>
      </c>
    </row>
    <row r="122" spans="10:23">
      <c r="J122" t="str">
        <f t="shared" si="19"/>
        <v>Trd_2w_elc500</v>
      </c>
      <c r="K122" t="str">
        <f t="shared" si="30"/>
        <v>\I:</v>
      </c>
      <c r="L122" t="str">
        <f t="shared" si="21"/>
        <v>\I:</v>
      </c>
      <c r="M122" s="306" t="str">
        <f t="shared" si="23"/>
        <v/>
      </c>
      <c r="N122" s="306" t="str">
        <f t="shared" si="24"/>
        <v/>
      </c>
      <c r="O122" s="306" t="str">
        <f t="shared" si="25"/>
        <v/>
      </c>
      <c r="P122" s="306" t="str">
        <f t="shared" si="26"/>
        <v/>
      </c>
      <c r="T122" t="str">
        <f t="shared" si="27"/>
        <v>\I:</v>
      </c>
      <c r="U122" t="str">
        <f ca="1" t="shared" si="28"/>
        <v>Battery electric motorcycle (equivalent to 250-750 cc motorcycle) -- 00%</v>
      </c>
      <c r="V122" s="309" t="s">
        <v>84</v>
      </c>
      <c r="W122" s="309" t="s">
        <v>85</v>
      </c>
    </row>
    <row r="123" spans="2:23">
      <c r="B123" s="298">
        <v>2020</v>
      </c>
      <c r="C123" s="298"/>
      <c r="D123" s="298"/>
      <c r="J123" t="str">
        <f t="shared" si="19"/>
        <v>Trd_2w_elc500</v>
      </c>
      <c r="K123" t="str">
        <f t="shared" si="30"/>
        <v>\I:</v>
      </c>
      <c r="L123" t="str">
        <f t="shared" si="21"/>
        <v>\I:</v>
      </c>
      <c r="M123" s="306" t="str">
        <f t="shared" si="23"/>
        <v/>
      </c>
      <c r="N123" s="306" t="str">
        <f t="shared" si="24"/>
        <v/>
      </c>
      <c r="O123" s="306" t="str">
        <f t="shared" si="25"/>
        <v/>
      </c>
      <c r="P123" s="306" t="str">
        <f t="shared" si="26"/>
        <v/>
      </c>
      <c r="T123" t="str">
        <f t="shared" si="27"/>
        <v>\I:</v>
      </c>
      <c r="U123" t="str">
        <f ca="1" t="shared" si="28"/>
        <v>Battery electric motorcycle (equivalent to 250-750 cc motorcycle) -- 202000%</v>
      </c>
      <c r="V123" s="309" t="s">
        <v>84</v>
      </c>
      <c r="W123" s="309" t="s">
        <v>85</v>
      </c>
    </row>
    <row r="124" spans="2:23">
      <c r="B124" s="45" t="s">
        <v>146</v>
      </c>
      <c r="C124" s="46" t="s">
        <v>26</v>
      </c>
      <c r="D124" s="74">
        <v>0.063</v>
      </c>
      <c r="G124" s="77">
        <f>D124/3.6/100*10^9/10^6</f>
        <v>0.175</v>
      </c>
      <c r="H124" s="77"/>
      <c r="I124" s="299">
        <f>1/G124</f>
        <v>5.71428571428572</v>
      </c>
      <c r="J124" t="str">
        <f t="shared" si="19"/>
        <v>Trd_2w_elc500</v>
      </c>
      <c r="K124" t="str">
        <f t="shared" si="30"/>
        <v>\I:</v>
      </c>
      <c r="L124" t="str">
        <f t="shared" si="21"/>
        <v>\I:</v>
      </c>
      <c r="M124" s="306" t="str">
        <f t="shared" si="23"/>
        <v/>
      </c>
      <c r="N124" s="306" t="str">
        <f t="shared" si="24"/>
        <v/>
      </c>
      <c r="O124" s="306" t="str">
        <f t="shared" si="25"/>
        <v/>
      </c>
      <c r="P124" s="306" t="str">
        <f t="shared" si="26"/>
        <v/>
      </c>
      <c r="T124" t="str">
        <f t="shared" si="27"/>
        <v>\I:</v>
      </c>
      <c r="U124" t="str">
        <f ca="1" t="shared" si="28"/>
        <v>Battery electric motorcycle (equivalent to 250-750 cc motorcycle) -- Energy consumption of Battery electric motorcycle (equivalent to &gt;750 cc motorcycle)</v>
      </c>
      <c r="V124" s="309" t="s">
        <v>84</v>
      </c>
      <c r="W124" s="309" t="s">
        <v>85</v>
      </c>
    </row>
    <row r="125" spans="9:23">
      <c r="I125" s="311" t="s">
        <v>70</v>
      </c>
      <c r="J125" t="str">
        <f t="shared" si="19"/>
        <v>Trd_2w_elc500</v>
      </c>
      <c r="K125" t="str">
        <f t="shared" si="30"/>
        <v>\I:</v>
      </c>
      <c r="L125" t="str">
        <f t="shared" si="21"/>
        <v>\I:</v>
      </c>
      <c r="M125" s="306" t="str">
        <f t="shared" si="23"/>
        <v/>
      </c>
      <c r="N125" s="306" t="str">
        <f t="shared" si="24"/>
        <v/>
      </c>
      <c r="O125" s="306" t="str">
        <f t="shared" si="25"/>
        <v/>
      </c>
      <c r="P125" s="306" t="str">
        <f t="shared" si="26"/>
        <v/>
      </c>
      <c r="T125" t="str">
        <f t="shared" si="27"/>
        <v>\I:</v>
      </c>
      <c r="U125" t="str">
        <f ca="1" t="shared" si="28"/>
        <v>Battery electric motorcycle (equivalent to 250-750 cc motorcycle) -- 00%</v>
      </c>
      <c r="V125" s="309" t="s">
        <v>84</v>
      </c>
      <c r="W125" s="309" t="s">
        <v>85</v>
      </c>
    </row>
    <row r="126" ht="15" customHeight="1" spans="2:23">
      <c r="B126" s="315" t="s">
        <v>27</v>
      </c>
      <c r="C126" s="315" t="s">
        <v>137</v>
      </c>
      <c r="D126" s="315"/>
      <c r="E126" s="315"/>
      <c r="F126" s="315"/>
      <c r="J126" t="str">
        <f t="shared" si="19"/>
        <v>Trd_3w_elc</v>
      </c>
      <c r="K126" t="str">
        <f t="shared" si="30"/>
        <v>\I:</v>
      </c>
      <c r="L126" t="str">
        <f t="shared" si="21"/>
        <v>\I:</v>
      </c>
      <c r="M126" s="306" t="str">
        <f t="shared" si="23"/>
        <v/>
      </c>
      <c r="N126" s="306" t="str">
        <f t="shared" si="24"/>
        <v/>
      </c>
      <c r="O126" s="306" t="str">
        <f t="shared" si="25"/>
        <v/>
      </c>
      <c r="P126" s="306" t="str">
        <f t="shared" si="26"/>
        <v/>
      </c>
      <c r="T126" t="str">
        <f t="shared" si="27"/>
        <v>\I:</v>
      </c>
      <c r="U126" t="str">
        <f ca="1" t="shared" si="28"/>
        <v>Battery electric motorcycle (equivalent to &gt;750 cc motorcycle) -- Electric range (km)</v>
      </c>
      <c r="V126" s="309" t="s">
        <v>84</v>
      </c>
      <c r="W126" s="309" t="s">
        <v>85</v>
      </c>
    </row>
    <row r="127" spans="2:23">
      <c r="B127" s="315"/>
      <c r="C127" s="315"/>
      <c r="D127" s="315"/>
      <c r="E127" s="315"/>
      <c r="F127" s="315"/>
      <c r="J127" t="str">
        <f t="shared" si="19"/>
        <v>Trd_3w_elc</v>
      </c>
      <c r="K127" t="str">
        <f t="shared" si="30"/>
        <v>\I:</v>
      </c>
      <c r="L127" t="str">
        <f t="shared" si="21"/>
        <v>\I:</v>
      </c>
      <c r="M127" s="306" t="str">
        <f t="shared" si="23"/>
        <v/>
      </c>
      <c r="N127" s="306" t="str">
        <f t="shared" si="24"/>
        <v/>
      </c>
      <c r="O127" s="306" t="str">
        <f t="shared" si="25"/>
        <v/>
      </c>
      <c r="P127" s="306" t="str">
        <f t="shared" si="26"/>
        <v/>
      </c>
      <c r="T127" t="str">
        <f t="shared" si="27"/>
        <v>\I:</v>
      </c>
      <c r="U127" t="str">
        <f ca="1" t="shared" si="28"/>
        <v>Battery electric motorcycle (equivalent to &gt;750 cc motorcycle) -- 00%</v>
      </c>
      <c r="V127" s="309" t="s">
        <v>84</v>
      </c>
      <c r="W127" s="309" t="s">
        <v>85</v>
      </c>
    </row>
    <row r="128" spans="2:23">
      <c r="B128" s="315"/>
      <c r="C128" s="315"/>
      <c r="D128" s="315"/>
      <c r="E128" s="315"/>
      <c r="F128" s="315"/>
      <c r="J128" t="str">
        <f t="shared" si="19"/>
        <v>Trd_3w_elc</v>
      </c>
      <c r="K128" t="str">
        <f t="shared" si="30"/>
        <v>\I:</v>
      </c>
      <c r="L128" t="str">
        <f t="shared" si="21"/>
        <v>\I:</v>
      </c>
      <c r="M128" s="306" t="str">
        <f t="shared" si="23"/>
        <v/>
      </c>
      <c r="N128" s="306" t="str">
        <f t="shared" si="24"/>
        <v/>
      </c>
      <c r="O128" s="306" t="str">
        <f t="shared" si="25"/>
        <v/>
      </c>
      <c r="P128" s="306" t="str">
        <f t="shared" si="26"/>
        <v/>
      </c>
      <c r="T128" t="str">
        <f t="shared" si="27"/>
        <v>\I:</v>
      </c>
      <c r="U128" t="str">
        <f ca="1" t="shared" si="28"/>
        <v>Battery electric motorcycle (equivalent to &gt;750 cc motorcycle) -- 00%</v>
      </c>
      <c r="V128" s="309" t="s">
        <v>84</v>
      </c>
      <c r="W128" s="309" t="s">
        <v>85</v>
      </c>
    </row>
    <row r="129" spans="2:23">
      <c r="B129" s="49"/>
      <c r="C129" s="50">
        <v>2020</v>
      </c>
      <c r="D129" s="50">
        <v>2030</v>
      </c>
      <c r="E129" s="50">
        <v>2040</v>
      </c>
      <c r="F129" s="50">
        <v>2050</v>
      </c>
      <c r="J129" t="str">
        <f t="shared" si="19"/>
        <v>Trd_3w_elc</v>
      </c>
      <c r="K129" t="str">
        <f t="shared" si="30"/>
        <v>\I:</v>
      </c>
      <c r="L129" t="str">
        <f t="shared" si="21"/>
        <v>\I:</v>
      </c>
      <c r="M129" s="306" t="str">
        <f t="shared" si="23"/>
        <v/>
      </c>
      <c r="N129" s="306" t="str">
        <f t="shared" si="24"/>
        <v/>
      </c>
      <c r="O129" s="306" t="str">
        <f t="shared" si="25"/>
        <v/>
      </c>
      <c r="P129" s="306" t="str">
        <f t="shared" si="26"/>
        <v/>
      </c>
      <c r="T129" t="str">
        <f t="shared" si="27"/>
        <v>\I:</v>
      </c>
      <c r="U129" t="str">
        <f ca="1" t="shared" si="28"/>
        <v>Battery electric motorcycle (equivalent to &gt;750 cc motorcycle) -- 00%</v>
      </c>
      <c r="V129" s="309" t="s">
        <v>84</v>
      </c>
      <c r="W129" s="309" t="s">
        <v>85</v>
      </c>
    </row>
    <row r="130" spans="2:23">
      <c r="B130" s="66">
        <v>120</v>
      </c>
      <c r="C130" s="86">
        <v>14416.9866551673</v>
      </c>
      <c r="D130" s="86">
        <v>12950.2883690462</v>
      </c>
      <c r="E130" s="86">
        <v>12201.8128279785</v>
      </c>
      <c r="F130" s="86">
        <v>11983.9059846316</v>
      </c>
      <c r="I130" s="319">
        <f>$I$124/$I$49</f>
        <v>9.73530650437647</v>
      </c>
      <c r="J130" t="str">
        <f t="shared" si="19"/>
        <v>Trd_3w_elc</v>
      </c>
      <c r="K130" t="str">
        <f t="shared" si="30"/>
        <v>Trd_3w_elc_120</v>
      </c>
      <c r="L130" t="str">
        <f t="shared" si="21"/>
        <v>Trd_3w</v>
      </c>
      <c r="M130" s="306">
        <f t="shared" si="23"/>
        <v>14416.9866551673</v>
      </c>
      <c r="N130" s="306">
        <f t="shared" si="24"/>
        <v>12950.2883690462</v>
      </c>
      <c r="O130" s="306">
        <f t="shared" si="25"/>
        <v>12201.8128279785</v>
      </c>
      <c r="P130" s="306">
        <f t="shared" si="26"/>
        <v>11983.9059846316</v>
      </c>
      <c r="Q130" s="43">
        <v>0.05</v>
      </c>
      <c r="T130" t="str">
        <f t="shared" si="27"/>
        <v>Trd_3w_elc_120</v>
      </c>
      <c r="U130" t="str">
        <f ca="1" t="shared" si="28"/>
        <v>Battery electric motorcycle (equivalent to &gt;750 cc motorcycle) -- 12000%</v>
      </c>
      <c r="V130" s="309" t="s">
        <v>84</v>
      </c>
      <c r="W130" s="309" t="s">
        <v>85</v>
      </c>
    </row>
    <row r="131" spans="2:23">
      <c r="B131" s="66">
        <v>131.428571428571</v>
      </c>
      <c r="C131" s="86">
        <v>14724.8839894236</v>
      </c>
      <c r="D131" s="86">
        <v>13123.5997834724</v>
      </c>
      <c r="E131" s="86">
        <v>12306.4432668297</v>
      </c>
      <c r="F131" s="86">
        <v>12068.5410411833</v>
      </c>
      <c r="I131" s="319">
        <f t="shared" ref="I131:I137" si="32">$I$124/$I$49</f>
        <v>9.73530650437647</v>
      </c>
      <c r="J131" t="str">
        <f t="shared" si="19"/>
        <v>Trd_3w_elc</v>
      </c>
      <c r="K131" t="str">
        <f t="shared" si="30"/>
        <v>Trd_3w_elc_131</v>
      </c>
      <c r="L131" t="str">
        <f t="shared" si="21"/>
        <v>Trd_3w</v>
      </c>
      <c r="M131" s="306">
        <f t="shared" si="23"/>
        <v>14724.8839894236</v>
      </c>
      <c r="N131" s="306">
        <f t="shared" si="24"/>
        <v>13123.5997834724</v>
      </c>
      <c r="O131" s="306">
        <f t="shared" si="25"/>
        <v>12306.4432668297</v>
      </c>
      <c r="P131" s="306">
        <f t="shared" si="26"/>
        <v>12068.5410411833</v>
      </c>
      <c r="Q131" s="43">
        <v>0.05</v>
      </c>
      <c r="T131" t="str">
        <f t="shared" si="27"/>
        <v>Trd_3w_elc_131</v>
      </c>
      <c r="U131" t="str">
        <f ca="1" t="shared" si="28"/>
        <v>Battery electric motorcycle (equivalent to &gt;750 cc motorcycle) -- 13143%</v>
      </c>
      <c r="V131" s="309" t="s">
        <v>84</v>
      </c>
      <c r="W131" s="309" t="s">
        <v>85</v>
      </c>
    </row>
    <row r="132" spans="2:23">
      <c r="B132" s="66">
        <v>142.857142857143</v>
      </c>
      <c r="C132" s="86">
        <v>14865.3695454917</v>
      </c>
      <c r="D132" s="86">
        <v>13202.6772801563</v>
      </c>
      <c r="E132" s="86">
        <v>12354.1834183292</v>
      </c>
      <c r="F132" s="86">
        <v>12107.1578191144</v>
      </c>
      <c r="I132" s="319">
        <f t="shared" si="32"/>
        <v>9.73530650437647</v>
      </c>
      <c r="J132" t="str">
        <f t="shared" si="19"/>
        <v>Trd_3w_elc</v>
      </c>
      <c r="K132" t="str">
        <f t="shared" si="30"/>
        <v>Trd_3w_elc_143</v>
      </c>
      <c r="L132" t="str">
        <f t="shared" si="21"/>
        <v>Trd_3w</v>
      </c>
      <c r="M132" s="306">
        <f t="shared" si="23"/>
        <v>14865.3695454917</v>
      </c>
      <c r="N132" s="306">
        <f t="shared" si="24"/>
        <v>13202.6772801563</v>
      </c>
      <c r="O132" s="306">
        <f t="shared" si="25"/>
        <v>12354.1834183292</v>
      </c>
      <c r="P132" s="306">
        <f t="shared" si="26"/>
        <v>12107.1578191144</v>
      </c>
      <c r="Q132" s="43">
        <v>0.05</v>
      </c>
      <c r="T132" t="str">
        <f t="shared" si="27"/>
        <v>Trd_3w_elc_143</v>
      </c>
      <c r="U132" t="str">
        <f ca="1" t="shared" si="28"/>
        <v>Battery electric motorcycle (equivalent to &gt;750 cc motorcycle) -- 14286%</v>
      </c>
      <c r="V132" s="309" t="s">
        <v>84</v>
      </c>
      <c r="W132" s="309" t="s">
        <v>85</v>
      </c>
    </row>
    <row r="133" spans="2:23">
      <c r="B133" s="66">
        <v>154.285714285714</v>
      </c>
      <c r="C133" s="86">
        <v>14907.2890658627</v>
      </c>
      <c r="D133" s="86">
        <v>13226.2732342593</v>
      </c>
      <c r="E133" s="86">
        <v>12368.4286141294</v>
      </c>
      <c r="F133" s="86">
        <v>12118.6806891833</v>
      </c>
      <c r="I133" s="319">
        <f t="shared" si="32"/>
        <v>9.73530650437647</v>
      </c>
      <c r="J133" t="str">
        <f t="shared" si="19"/>
        <v>Trd_3w_elc</v>
      </c>
      <c r="K133" t="str">
        <f t="shared" si="30"/>
        <v>Trd_3w_elc_154</v>
      </c>
      <c r="L133" t="str">
        <f t="shared" si="21"/>
        <v>Trd_3w</v>
      </c>
      <c r="M133" s="306">
        <f t="shared" si="23"/>
        <v>14907.2890658627</v>
      </c>
      <c r="N133" s="306">
        <f t="shared" si="24"/>
        <v>13226.2732342593</v>
      </c>
      <c r="O133" s="306">
        <f t="shared" si="25"/>
        <v>12368.4286141294</v>
      </c>
      <c r="P133" s="306">
        <f t="shared" si="26"/>
        <v>12118.6806891833</v>
      </c>
      <c r="Q133" s="43">
        <v>0.05</v>
      </c>
      <c r="T133" t="str">
        <f t="shared" si="27"/>
        <v>Trd_3w_elc_154</v>
      </c>
      <c r="U133" t="str">
        <f ca="1" t="shared" si="28"/>
        <v>Battery electric motorcycle (equivalent to &gt;750 cc motorcycle) -- 15429%</v>
      </c>
      <c r="V133" s="309" t="s">
        <v>84</v>
      </c>
      <c r="W133" s="309" t="s">
        <v>85</v>
      </c>
    </row>
    <row r="134" spans="2:23">
      <c r="B134" s="66">
        <v>165.714285714286</v>
      </c>
      <c r="C134" s="86">
        <v>15064.5475025229</v>
      </c>
      <c r="D134" s="86">
        <v>13314.7919677972</v>
      </c>
      <c r="E134" s="86">
        <v>12421.8685676795</v>
      </c>
      <c r="F134" s="86">
        <v>12161.9080094592</v>
      </c>
      <c r="I134" s="319">
        <f t="shared" si="32"/>
        <v>9.73530650437647</v>
      </c>
      <c r="J134" t="str">
        <f t="shared" si="19"/>
        <v>Trd_3w_elc</v>
      </c>
      <c r="K134" t="str">
        <f t="shared" si="30"/>
        <v>Trd_3w_elc_166</v>
      </c>
      <c r="L134" t="str">
        <f t="shared" si="21"/>
        <v>Trd_3w</v>
      </c>
      <c r="M134" s="306">
        <f t="shared" si="23"/>
        <v>15064.5475025229</v>
      </c>
      <c r="N134" s="306">
        <f t="shared" si="24"/>
        <v>13314.7919677972</v>
      </c>
      <c r="O134" s="306">
        <f t="shared" si="25"/>
        <v>12421.8685676795</v>
      </c>
      <c r="P134" s="306">
        <f t="shared" si="26"/>
        <v>12161.9080094592</v>
      </c>
      <c r="Q134" s="43">
        <v>0.15</v>
      </c>
      <c r="T134" t="str">
        <f t="shared" si="27"/>
        <v>Trd_3w_elc_166</v>
      </c>
      <c r="U134" t="str">
        <f ca="1" t="shared" si="28"/>
        <v>Battery electric motorcycle (equivalent to &gt;750 cc motorcycle) -- 16571%</v>
      </c>
      <c r="V134" s="309" t="s">
        <v>84</v>
      </c>
      <c r="W134" s="309" t="s">
        <v>85</v>
      </c>
    </row>
    <row r="135" spans="2:23">
      <c r="B135" s="66">
        <v>177.142857142857</v>
      </c>
      <c r="C135" s="86">
        <v>15204.9907882267</v>
      </c>
      <c r="D135" s="86">
        <v>13393.8456710415</v>
      </c>
      <c r="E135" s="86">
        <v>12469.5943547585</v>
      </c>
      <c r="F135" s="86">
        <v>12200.5131680799</v>
      </c>
      <c r="I135" s="319">
        <f t="shared" si="32"/>
        <v>9.73530650437647</v>
      </c>
      <c r="J135" t="str">
        <f t="shared" si="19"/>
        <v>Trd_3w_elc</v>
      </c>
      <c r="K135" t="str">
        <f t="shared" si="30"/>
        <v>Trd_3w_elc_177</v>
      </c>
      <c r="L135" t="str">
        <f t="shared" si="21"/>
        <v>Trd_3w</v>
      </c>
      <c r="M135" s="306">
        <f t="shared" si="23"/>
        <v>15204.9907882267</v>
      </c>
      <c r="N135" s="306">
        <f t="shared" si="24"/>
        <v>13393.8456710415</v>
      </c>
      <c r="O135" s="306">
        <f t="shared" si="25"/>
        <v>12469.5943547585</v>
      </c>
      <c r="P135" s="306">
        <f t="shared" si="26"/>
        <v>12200.5131680799</v>
      </c>
      <c r="Q135" s="43">
        <v>0.175</v>
      </c>
      <c r="T135" t="str">
        <f t="shared" si="27"/>
        <v>Trd_3w_elc_177</v>
      </c>
      <c r="U135" t="str">
        <f ca="1" t="shared" si="28"/>
        <v>Battery electric motorcycle (equivalent to &gt;750 cc motorcycle) -- 17714%</v>
      </c>
      <c r="V135" s="309" t="s">
        <v>84</v>
      </c>
      <c r="W135" s="309" t="s">
        <v>85</v>
      </c>
    </row>
    <row r="136" ht="15" customHeight="1" spans="2:23">
      <c r="B136" s="66">
        <v>188.571428571428</v>
      </c>
      <c r="C136" s="86">
        <v>15414.9772774338</v>
      </c>
      <c r="D136" s="86">
        <v>13512.0443412014</v>
      </c>
      <c r="E136" s="86">
        <v>12540.9524864281</v>
      </c>
      <c r="F136" s="86">
        <v>12258.2344160799</v>
      </c>
      <c r="I136" s="319">
        <f t="shared" si="32"/>
        <v>9.73530650437647</v>
      </c>
      <c r="J136" t="str">
        <f t="shared" si="19"/>
        <v>Trd_3w_elc</v>
      </c>
      <c r="K136" t="str">
        <f t="shared" si="30"/>
        <v>Trd_3w_elc_189</v>
      </c>
      <c r="L136" t="str">
        <f t="shared" si="21"/>
        <v>Trd_3w</v>
      </c>
      <c r="M136" s="306">
        <f t="shared" si="23"/>
        <v>15414.9772774338</v>
      </c>
      <c r="N136" s="306">
        <f t="shared" si="24"/>
        <v>13512.0443412014</v>
      </c>
      <c r="O136" s="306">
        <f t="shared" si="25"/>
        <v>12540.9524864281</v>
      </c>
      <c r="P136" s="306">
        <f t="shared" si="26"/>
        <v>12258.2344160799</v>
      </c>
      <c r="Q136" s="43">
        <v>0.2</v>
      </c>
      <c r="T136" t="str">
        <f t="shared" si="27"/>
        <v>Trd_3w_elc_189</v>
      </c>
      <c r="U136" t="str">
        <f ca="1" t="shared" si="28"/>
        <v>Battery electric motorcycle (equivalent to &gt;750 cc motorcycle) -- 18857%</v>
      </c>
      <c r="V136" s="309" t="s">
        <v>84</v>
      </c>
      <c r="W136" s="309" t="s">
        <v>85</v>
      </c>
    </row>
    <row r="137" spans="2:23">
      <c r="B137" s="66">
        <v>200</v>
      </c>
      <c r="C137" s="86">
        <v>15618.3104112851</v>
      </c>
      <c r="D137" s="86">
        <v>13626.4979239601</v>
      </c>
      <c r="E137" s="86">
        <v>12610.0496583125</v>
      </c>
      <c r="F137" s="86">
        <v>12314.1267846316</v>
      </c>
      <c r="I137" s="319">
        <f t="shared" si="32"/>
        <v>9.73530650437647</v>
      </c>
      <c r="J137" t="str">
        <f t="shared" si="19"/>
        <v>Trd_3w_elc</v>
      </c>
      <c r="K137" t="str">
        <f t="shared" si="30"/>
        <v>Trd_3w_elc_200</v>
      </c>
      <c r="L137" t="str">
        <f t="shared" si="21"/>
        <v>Trd_3w</v>
      </c>
      <c r="M137" s="306">
        <f t="shared" si="23"/>
        <v>15618.3104112851</v>
      </c>
      <c r="N137" s="306">
        <f t="shared" si="24"/>
        <v>13626.4979239601</v>
      </c>
      <c r="O137" s="306">
        <f t="shared" si="25"/>
        <v>12610.0496583125</v>
      </c>
      <c r="P137" s="306">
        <f t="shared" si="26"/>
        <v>12314.1267846316</v>
      </c>
      <c r="T137" t="str">
        <f t="shared" si="27"/>
        <v>Trd_3w_elc_200</v>
      </c>
      <c r="U137" t="str">
        <f ca="1" t="shared" si="28"/>
        <v>Battery electric motorcycle (equivalent to &gt;750 cc motorcycle) -- 20000%</v>
      </c>
      <c r="V137" s="309" t="s">
        <v>84</v>
      </c>
      <c r="W137" s="309" t="s">
        <v>85</v>
      </c>
    </row>
    <row r="138" spans="10:23">
      <c r="J138" t="str">
        <f t="shared" si="19"/>
        <v>Trd_3w_elc</v>
      </c>
      <c r="K138" t="str">
        <f t="shared" si="30"/>
        <v>\I:</v>
      </c>
      <c r="L138" t="str">
        <f t="shared" si="21"/>
        <v>\I:</v>
      </c>
      <c r="M138" s="306" t="str">
        <f t="shared" si="23"/>
        <v/>
      </c>
      <c r="N138" s="306" t="str">
        <f t="shared" si="24"/>
        <v/>
      </c>
      <c r="O138" s="306" t="str">
        <f t="shared" si="25"/>
        <v/>
      </c>
      <c r="P138" s="306" t="str">
        <f t="shared" si="26"/>
        <v/>
      </c>
      <c r="T138" t="str">
        <f t="shared" si="27"/>
        <v>\I:</v>
      </c>
      <c r="U138" t="str">
        <f ca="1" t="shared" si="28"/>
        <v>Battery electric motorcycle (equivalent to &gt;750 cc motorcycle) -- 00%</v>
      </c>
      <c r="V138" s="309" t="s">
        <v>84</v>
      </c>
      <c r="W138" s="309" t="s">
        <v>85</v>
      </c>
    </row>
    <row r="139" spans="10:23">
      <c r="J139" t="str">
        <f t="shared" si="19"/>
        <v>Trd_3w_elc</v>
      </c>
      <c r="K139" t="str">
        <f t="shared" si="30"/>
        <v>\I:</v>
      </c>
      <c r="L139" t="str">
        <f t="shared" si="21"/>
        <v>\I:</v>
      </c>
      <c r="M139" s="306" t="str">
        <f t="shared" si="23"/>
        <v/>
      </c>
      <c r="N139" s="306" t="str">
        <f t="shared" si="24"/>
        <v/>
      </c>
      <c r="O139" s="306" t="str">
        <f t="shared" si="25"/>
        <v/>
      </c>
      <c r="P139" s="306" t="str">
        <f t="shared" si="26"/>
        <v/>
      </c>
      <c r="T139" t="str">
        <f t="shared" si="27"/>
        <v>\I:</v>
      </c>
      <c r="U139" t="str">
        <f ca="1" t="shared" si="28"/>
        <v>Battery electric motorcycle (equivalent to &gt;750 cc motorcycle) -- 00%</v>
      </c>
      <c r="V139" s="309" t="s">
        <v>84</v>
      </c>
      <c r="W139" s="309" t="s">
        <v>85</v>
      </c>
    </row>
    <row r="140" spans="10:23">
      <c r="J140" t="str">
        <f t="shared" si="19"/>
        <v>Trd_3w_elc</v>
      </c>
      <c r="K140" t="str">
        <f t="shared" si="30"/>
        <v>\I:</v>
      </c>
      <c r="L140" t="str">
        <f t="shared" si="21"/>
        <v>\I:</v>
      </c>
      <c r="M140" s="306" t="str">
        <f t="shared" si="23"/>
        <v/>
      </c>
      <c r="N140" s="306" t="str">
        <f t="shared" si="24"/>
        <v/>
      </c>
      <c r="O140" s="306" t="str">
        <f t="shared" si="25"/>
        <v/>
      </c>
      <c r="P140" s="306" t="str">
        <f t="shared" si="26"/>
        <v/>
      </c>
      <c r="T140" t="str">
        <f t="shared" si="27"/>
        <v>\I:</v>
      </c>
      <c r="U140" t="str">
        <f ca="1" t="shared" si="28"/>
        <v>Battery electric motorcycle (equivalent to &gt;750 cc motorcycle) -- 00%</v>
      </c>
      <c r="V140" s="309" t="s">
        <v>84</v>
      </c>
      <c r="W140" s="309" t="s">
        <v>85</v>
      </c>
    </row>
    <row r="141" spans="2:23">
      <c r="B141" s="298">
        <v>2020</v>
      </c>
      <c r="C141" s="298"/>
      <c r="D141" s="298"/>
      <c r="J141" t="str">
        <f t="shared" ref="J141:J155" si="33">IFERROR(VLOOKUP(C141,$R$1:$S$8,2,FALSE),J140)</f>
        <v>Trd_3w_elc</v>
      </c>
      <c r="K141" t="str">
        <f t="shared" si="30"/>
        <v>\I:</v>
      </c>
      <c r="L141" t="str">
        <f t="shared" ref="L141:L155" si="34">LEFT(K141,6)</f>
        <v>\I:</v>
      </c>
      <c r="M141" s="306" t="str">
        <f t="shared" si="23"/>
        <v/>
      </c>
      <c r="N141" s="306" t="str">
        <f t="shared" si="24"/>
        <v/>
      </c>
      <c r="O141" s="306" t="str">
        <f t="shared" si="25"/>
        <v/>
      </c>
      <c r="P141" s="306" t="str">
        <f t="shared" si="26"/>
        <v/>
      </c>
      <c r="T141" t="str">
        <f t="shared" si="27"/>
        <v>\I:</v>
      </c>
      <c r="U141" t="str">
        <f ca="1" t="shared" si="28"/>
        <v>Battery electric motorcycle (equivalent to &gt;750 cc motorcycle) -- 202000%</v>
      </c>
      <c r="V141" s="309" t="s">
        <v>84</v>
      </c>
      <c r="W141" s="309" t="s">
        <v>85</v>
      </c>
    </row>
    <row r="142" spans="2:23">
      <c r="B142" s="45" t="s">
        <v>147</v>
      </c>
      <c r="C142" s="46" t="s">
        <v>26</v>
      </c>
      <c r="D142" s="74">
        <v>0.0448</v>
      </c>
      <c r="G142" s="77">
        <f>D142/3.6/100*10^9/10^6</f>
        <v>0.124444444444444</v>
      </c>
      <c r="H142" s="77"/>
      <c r="I142" s="299">
        <f>1/G142</f>
        <v>8.03571428571429</v>
      </c>
      <c r="J142" t="str">
        <f t="shared" si="33"/>
        <v>Trd_3w_elc</v>
      </c>
      <c r="K142" t="str">
        <f t="shared" si="30"/>
        <v>\I:</v>
      </c>
      <c r="L142" t="str">
        <f t="shared" si="34"/>
        <v>\I:</v>
      </c>
      <c r="M142" s="306" t="str">
        <f t="shared" si="23"/>
        <v/>
      </c>
      <c r="N142" s="306" t="str">
        <f t="shared" si="24"/>
        <v/>
      </c>
      <c r="O142" s="306" t="str">
        <f t="shared" si="25"/>
        <v/>
      </c>
      <c r="P142" s="306" t="str">
        <f t="shared" si="26"/>
        <v/>
      </c>
      <c r="T142" t="str">
        <f t="shared" si="27"/>
        <v>\I:</v>
      </c>
      <c r="U142" t="str">
        <f ca="1" t="shared" si="28"/>
        <v>Battery electric motorcycle (equivalent to &gt;750 cc motorcycle) -- Energy consumption of Battery electric moped </v>
      </c>
      <c r="V142" s="309" t="s">
        <v>84</v>
      </c>
      <c r="W142" s="309" t="s">
        <v>85</v>
      </c>
    </row>
    <row r="143" spans="9:23">
      <c r="I143" s="311" t="s">
        <v>70</v>
      </c>
      <c r="J143" t="str">
        <f t="shared" si="33"/>
        <v>Trd_3w_elc</v>
      </c>
      <c r="K143" t="str">
        <f t="shared" si="30"/>
        <v>\I:</v>
      </c>
      <c r="L143" t="str">
        <f t="shared" si="34"/>
        <v>\I:</v>
      </c>
      <c r="M143" s="306" t="str">
        <f t="shared" si="23"/>
        <v/>
      </c>
      <c r="N143" s="306" t="str">
        <f t="shared" si="24"/>
        <v/>
      </c>
      <c r="O143" s="306" t="str">
        <f t="shared" si="25"/>
        <v/>
      </c>
      <c r="P143" s="306" t="str">
        <f t="shared" si="26"/>
        <v/>
      </c>
      <c r="T143" t="str">
        <f t="shared" si="27"/>
        <v>\I:</v>
      </c>
      <c r="U143" t="str">
        <f ca="1" t="shared" si="28"/>
        <v>Battery electric motorcycle (equivalent to &gt;750 cc motorcycle) -- 00%</v>
      </c>
      <c r="V143" s="309" t="s">
        <v>84</v>
      </c>
      <c r="W143" s="309" t="s">
        <v>85</v>
      </c>
    </row>
    <row r="144" ht="15" customHeight="1" spans="2:23">
      <c r="B144" s="315" t="s">
        <v>27</v>
      </c>
      <c r="C144" s="315" t="s">
        <v>139</v>
      </c>
      <c r="D144" s="315"/>
      <c r="E144" s="315"/>
      <c r="F144" s="315"/>
      <c r="J144" t="str">
        <f t="shared" si="33"/>
        <v>Trd_2w_elc50</v>
      </c>
      <c r="K144" t="str">
        <f t="shared" si="30"/>
        <v>\I:</v>
      </c>
      <c r="L144" t="str">
        <f t="shared" si="34"/>
        <v>\I:</v>
      </c>
      <c r="M144" s="306" t="str">
        <f t="shared" si="23"/>
        <v/>
      </c>
      <c r="N144" s="306" t="str">
        <f t="shared" si="24"/>
        <v/>
      </c>
      <c r="O144" s="306" t="str">
        <f t="shared" si="25"/>
        <v/>
      </c>
      <c r="P144" s="306" t="str">
        <f t="shared" si="26"/>
        <v/>
      </c>
      <c r="T144" t="str">
        <f t="shared" si="27"/>
        <v>\I:</v>
      </c>
      <c r="U144" t="str">
        <f ca="1" t="shared" si="28"/>
        <v>Battery electric moped -- Electric range (km)</v>
      </c>
      <c r="V144" s="309" t="s">
        <v>84</v>
      </c>
      <c r="W144" s="309" t="s">
        <v>85</v>
      </c>
    </row>
    <row r="145" spans="2:23">
      <c r="B145" s="315"/>
      <c r="C145" s="315"/>
      <c r="D145" s="315"/>
      <c r="E145" s="315"/>
      <c r="F145" s="315"/>
      <c r="J145" t="str">
        <f t="shared" si="33"/>
        <v>Trd_2w_elc50</v>
      </c>
      <c r="K145" t="str">
        <f t="shared" si="30"/>
        <v>\I:</v>
      </c>
      <c r="L145" t="str">
        <f t="shared" si="34"/>
        <v>\I:</v>
      </c>
      <c r="M145" s="306" t="str">
        <f t="shared" si="23"/>
        <v/>
      </c>
      <c r="N145" s="306" t="str">
        <f t="shared" si="24"/>
        <v/>
      </c>
      <c r="O145" s="306" t="str">
        <f t="shared" si="25"/>
        <v/>
      </c>
      <c r="P145" s="306" t="str">
        <f t="shared" si="26"/>
        <v/>
      </c>
      <c r="T145" t="str">
        <f t="shared" si="27"/>
        <v>\I:</v>
      </c>
      <c r="U145" t="str">
        <f ca="1" t="shared" si="28"/>
        <v>Battery electric moped -- 00%</v>
      </c>
      <c r="V145" s="309" t="s">
        <v>84</v>
      </c>
      <c r="W145" s="309" t="s">
        <v>85</v>
      </c>
    </row>
    <row r="146" spans="2:23">
      <c r="B146" s="315"/>
      <c r="C146" s="315"/>
      <c r="D146" s="315"/>
      <c r="E146" s="315"/>
      <c r="F146" s="315"/>
      <c r="J146" t="str">
        <f t="shared" si="33"/>
        <v>Trd_2w_elc50</v>
      </c>
      <c r="K146" t="str">
        <f t="shared" si="30"/>
        <v>\I:</v>
      </c>
      <c r="L146" t="str">
        <f t="shared" si="34"/>
        <v>\I:</v>
      </c>
      <c r="M146" s="306" t="str">
        <f t="shared" si="23"/>
        <v/>
      </c>
      <c r="N146" s="306" t="str">
        <f t="shared" si="24"/>
        <v/>
      </c>
      <c r="O146" s="306" t="str">
        <f t="shared" si="25"/>
        <v/>
      </c>
      <c r="P146" s="306" t="str">
        <f t="shared" si="26"/>
        <v/>
      </c>
      <c r="T146" t="str">
        <f t="shared" si="27"/>
        <v>\I:</v>
      </c>
      <c r="U146" t="str">
        <f ca="1" t="shared" si="28"/>
        <v>Battery electric moped -- 00%</v>
      </c>
      <c r="V146" s="309" t="s">
        <v>84</v>
      </c>
      <c r="W146" s="309" t="s">
        <v>85</v>
      </c>
    </row>
    <row r="147" spans="2:23">
      <c r="B147" s="49"/>
      <c r="C147" s="50">
        <v>2020</v>
      </c>
      <c r="D147" s="50">
        <v>2030</v>
      </c>
      <c r="E147" s="50">
        <v>2040</v>
      </c>
      <c r="F147" s="50">
        <v>2050</v>
      </c>
      <c r="J147" t="str">
        <f t="shared" si="33"/>
        <v>Trd_2w_elc50</v>
      </c>
      <c r="K147" t="str">
        <f t="shared" si="30"/>
        <v>\I:</v>
      </c>
      <c r="L147" t="str">
        <f t="shared" si="34"/>
        <v>\I:</v>
      </c>
      <c r="M147" s="306" t="str">
        <f t="shared" si="23"/>
        <v/>
      </c>
      <c r="N147" s="306" t="str">
        <f t="shared" si="24"/>
        <v/>
      </c>
      <c r="O147" s="306" t="str">
        <f t="shared" si="25"/>
        <v/>
      </c>
      <c r="P147" s="306" t="str">
        <f t="shared" si="26"/>
        <v/>
      </c>
      <c r="T147" t="str">
        <f t="shared" si="27"/>
        <v>\I:</v>
      </c>
      <c r="U147" t="str">
        <f ca="1" t="shared" si="28"/>
        <v>Battery electric moped -- 00%</v>
      </c>
      <c r="V147" s="309" t="s">
        <v>84</v>
      </c>
      <c r="W147" s="309" t="s">
        <v>85</v>
      </c>
    </row>
    <row r="148" spans="2:23">
      <c r="B148" s="66">
        <v>100</v>
      </c>
      <c r="C148" s="86">
        <v>4598.92933933434</v>
      </c>
      <c r="D148" s="86">
        <v>3005.76958807794</v>
      </c>
      <c r="E148" s="86">
        <v>2743.99155568645</v>
      </c>
      <c r="F148" s="86">
        <v>2561.52116348593</v>
      </c>
      <c r="I148" s="77">
        <f>$I$142</f>
        <v>8.03571428571429</v>
      </c>
      <c r="J148" t="str">
        <f t="shared" si="33"/>
        <v>Trd_2w_elc50</v>
      </c>
      <c r="K148" t="str">
        <f t="shared" si="30"/>
        <v>Trd_2w_elc50_100</v>
      </c>
      <c r="L148" t="str">
        <f t="shared" si="34"/>
        <v>Trd_2w</v>
      </c>
      <c r="M148" s="306">
        <f t="shared" ref="M148:M155" si="35">IF($K148="\I:","",C148)</f>
        <v>4598.92933933434</v>
      </c>
      <c r="N148" s="306">
        <f t="shared" ref="N148:N155" si="36">IF($K148="\I:","",D148)</f>
        <v>3005.76958807794</v>
      </c>
      <c r="O148" s="306">
        <f t="shared" ref="O148:O155" si="37">IF($K148="\I:","",E148)</f>
        <v>2743.99155568645</v>
      </c>
      <c r="P148" s="306">
        <f t="shared" ref="P148:P155" si="38">IF($K148="\I:","",F148)</f>
        <v>2561.52116348593</v>
      </c>
      <c r="Q148" s="43">
        <v>0.05</v>
      </c>
      <c r="T148" t="str">
        <f t="shared" si="27"/>
        <v>Trd_2w_elc50_100</v>
      </c>
      <c r="U148" t="str">
        <f ca="1" t="shared" si="28"/>
        <v>Battery electric moped -- 10000%</v>
      </c>
      <c r="V148" s="309" t="s">
        <v>84</v>
      </c>
      <c r="W148" s="309" t="s">
        <v>85</v>
      </c>
    </row>
    <row r="149" spans="2:23">
      <c r="B149" s="66">
        <v>108.571428571429</v>
      </c>
      <c r="C149" s="86">
        <v>4826.14686048914</v>
      </c>
      <c r="D149" s="86">
        <v>3104.152506899</v>
      </c>
      <c r="E149" s="86">
        <v>2821.20517954116</v>
      </c>
      <c r="F149" s="86">
        <v>2623.9788908285</v>
      </c>
      <c r="I149" s="77">
        <f t="shared" ref="I149:I155" si="39">$I$142</f>
        <v>8.03571428571429</v>
      </c>
      <c r="J149" t="str">
        <f t="shared" si="33"/>
        <v>Trd_2w_elc50</v>
      </c>
      <c r="K149" t="str">
        <f t="shared" si="30"/>
        <v>Trd_2w_elc50_109</v>
      </c>
      <c r="L149" t="str">
        <f t="shared" si="34"/>
        <v>Trd_2w</v>
      </c>
      <c r="M149" s="306">
        <f t="shared" si="35"/>
        <v>4826.14686048914</v>
      </c>
      <c r="N149" s="306">
        <f t="shared" si="36"/>
        <v>3104.152506899</v>
      </c>
      <c r="O149" s="306">
        <f t="shared" si="37"/>
        <v>2821.20517954116</v>
      </c>
      <c r="P149" s="306">
        <f t="shared" si="38"/>
        <v>2623.9788908285</v>
      </c>
      <c r="Q149" s="43">
        <v>0.075</v>
      </c>
      <c r="T149" t="str">
        <f t="shared" si="27"/>
        <v>Trd_2w_elc50_109</v>
      </c>
      <c r="U149" t="str">
        <f ca="1" t="shared" si="28"/>
        <v>Battery electric moped -- 10857%</v>
      </c>
      <c r="V149" s="309" t="s">
        <v>84</v>
      </c>
      <c r="W149" s="309" t="s">
        <v>85</v>
      </c>
    </row>
    <row r="150" spans="2:23">
      <c r="B150" s="66">
        <v>117.142857142857</v>
      </c>
      <c r="C150" s="86">
        <v>4915.29569075295</v>
      </c>
      <c r="D150" s="86">
        <v>3142.75306061625</v>
      </c>
      <c r="E150" s="86">
        <v>2851.49995703936</v>
      </c>
      <c r="F150" s="86">
        <v>2648.48419000273</v>
      </c>
      <c r="I150" s="77">
        <f t="shared" si="39"/>
        <v>8.03571428571429</v>
      </c>
      <c r="J150" t="str">
        <f t="shared" si="33"/>
        <v>Trd_2w_elc50</v>
      </c>
      <c r="K150" t="str">
        <f t="shared" si="30"/>
        <v>Trd_2w_elc50_117</v>
      </c>
      <c r="L150" t="str">
        <f t="shared" si="34"/>
        <v>Trd_2w</v>
      </c>
      <c r="M150" s="306">
        <f t="shared" si="35"/>
        <v>4915.29569075295</v>
      </c>
      <c r="N150" s="306">
        <f t="shared" si="36"/>
        <v>3142.75306061625</v>
      </c>
      <c r="O150" s="306">
        <f t="shared" si="37"/>
        <v>2851.49995703936</v>
      </c>
      <c r="P150" s="306">
        <f t="shared" si="38"/>
        <v>2648.48419000273</v>
      </c>
      <c r="Q150" s="43">
        <v>0.1</v>
      </c>
      <c r="T150" t="str">
        <f t="shared" si="27"/>
        <v>Trd_2w_elc50_117</v>
      </c>
      <c r="U150" t="str">
        <f ca="1" t="shared" si="28"/>
        <v>Battery electric moped -- 11714%</v>
      </c>
      <c r="V150" s="309" t="s">
        <v>84</v>
      </c>
      <c r="W150" s="309" t="s">
        <v>85</v>
      </c>
    </row>
    <row r="151" spans="2:23">
      <c r="B151" s="66">
        <v>125.714285714286</v>
      </c>
      <c r="C151" s="86">
        <v>4925.63516312727</v>
      </c>
      <c r="D151" s="86">
        <v>3147.22994895693</v>
      </c>
      <c r="E151" s="86">
        <v>2855.0135422889</v>
      </c>
      <c r="F151" s="86">
        <v>2651.32631213812</v>
      </c>
      <c r="I151" s="77">
        <f t="shared" si="39"/>
        <v>8.03571428571429</v>
      </c>
      <c r="J151" t="str">
        <f t="shared" si="33"/>
        <v>Trd_2w_elc50</v>
      </c>
      <c r="K151" t="str">
        <f t="shared" si="30"/>
        <v>Trd_2w_elc50_126</v>
      </c>
      <c r="L151" t="str">
        <f t="shared" si="34"/>
        <v>Trd_2w</v>
      </c>
      <c r="M151" s="306">
        <f t="shared" si="35"/>
        <v>4925.63516312727</v>
      </c>
      <c r="N151" s="306">
        <f t="shared" si="36"/>
        <v>3147.22994895693</v>
      </c>
      <c r="O151" s="306">
        <f t="shared" si="37"/>
        <v>2855.0135422889</v>
      </c>
      <c r="P151" s="306">
        <f t="shared" si="38"/>
        <v>2651.32631213812</v>
      </c>
      <c r="Q151" s="43">
        <v>0.125</v>
      </c>
      <c r="T151" t="str">
        <f t="shared" si="27"/>
        <v>Trd_2w_elc50_126</v>
      </c>
      <c r="U151" t="str">
        <f ca="1" t="shared" si="28"/>
        <v>Battery electric moped -- 12571%</v>
      </c>
      <c r="V151" s="309" t="s">
        <v>84</v>
      </c>
      <c r="W151" s="309" t="s">
        <v>85</v>
      </c>
    </row>
    <row r="152" spans="2:23">
      <c r="B152" s="66">
        <v>134.285714285714</v>
      </c>
      <c r="C152" s="86">
        <v>5031.68195257476</v>
      </c>
      <c r="D152" s="86">
        <v>3193.1471503436</v>
      </c>
      <c r="E152" s="86">
        <v>2891.0506263561</v>
      </c>
      <c r="F152" s="86">
        <v>2680.47653535684</v>
      </c>
      <c r="I152" s="77">
        <f t="shared" si="39"/>
        <v>8.03571428571429</v>
      </c>
      <c r="J152" t="str">
        <f t="shared" si="33"/>
        <v>Trd_2w_elc50</v>
      </c>
      <c r="K152" t="str">
        <f t="shared" si="30"/>
        <v>Trd_2w_elc50_134</v>
      </c>
      <c r="L152" t="str">
        <f t="shared" si="34"/>
        <v>Trd_2w</v>
      </c>
      <c r="M152" s="306">
        <f t="shared" si="35"/>
        <v>5031.68195257476</v>
      </c>
      <c r="N152" s="306">
        <f t="shared" si="36"/>
        <v>3193.1471503436</v>
      </c>
      <c r="O152" s="306">
        <f t="shared" si="37"/>
        <v>2891.0506263561</v>
      </c>
      <c r="P152" s="306">
        <f t="shared" si="38"/>
        <v>2680.47653535684</v>
      </c>
      <c r="Q152" s="43">
        <v>0.15</v>
      </c>
      <c r="T152" t="str">
        <f t="shared" ref="T152:T155" si="40">K152</f>
        <v>Trd_2w_elc50_134</v>
      </c>
      <c r="U152" t="str">
        <f ca="1" t="shared" ref="U152:U155" si="41">OFFSET($S$1,MATCH(J152,$S$1:$S$11,0)-1,-1)&amp;" -- "&amp;TEXT(B152,"00%")</f>
        <v>Battery electric moped -- 13429%</v>
      </c>
      <c r="V152" s="309" t="s">
        <v>84</v>
      </c>
      <c r="W152" s="309" t="s">
        <v>85</v>
      </c>
    </row>
    <row r="153" spans="2:23">
      <c r="B153" s="66">
        <v>142.857142857143</v>
      </c>
      <c r="C153" s="86">
        <v>5124.86263948367</v>
      </c>
      <c r="D153" s="86">
        <v>3233.49345774656</v>
      </c>
      <c r="E153" s="86">
        <v>2922.71551941954</v>
      </c>
      <c r="F153" s="86">
        <v>2706.09011439322</v>
      </c>
      <c r="I153" s="77">
        <f t="shared" si="39"/>
        <v>8.03571428571429</v>
      </c>
      <c r="J153" t="str">
        <f t="shared" si="33"/>
        <v>Trd_2w_elc50</v>
      </c>
      <c r="K153" t="str">
        <f t="shared" si="30"/>
        <v>Trd_2w_elc50_143</v>
      </c>
      <c r="L153" t="str">
        <f t="shared" si="34"/>
        <v>Trd_2w</v>
      </c>
      <c r="M153" s="306">
        <f t="shared" si="35"/>
        <v>5124.86263948367</v>
      </c>
      <c r="N153" s="306">
        <f t="shared" si="36"/>
        <v>3233.49345774656</v>
      </c>
      <c r="O153" s="306">
        <f t="shared" si="37"/>
        <v>2922.71551941954</v>
      </c>
      <c r="P153" s="306">
        <f t="shared" si="38"/>
        <v>2706.09011439322</v>
      </c>
      <c r="Q153" s="43">
        <v>0.175</v>
      </c>
      <c r="T153" t="str">
        <f t="shared" si="40"/>
        <v>Trd_2w_elc50_143</v>
      </c>
      <c r="U153" t="str">
        <f ca="1" t="shared" si="41"/>
        <v>Battery electric moped -- 14286%</v>
      </c>
      <c r="V153" s="309" t="s">
        <v>84</v>
      </c>
      <c r="W153" s="309" t="s">
        <v>85</v>
      </c>
    </row>
    <row r="154" spans="2:23">
      <c r="B154" s="66">
        <v>151.428571428571</v>
      </c>
      <c r="C154" s="86">
        <v>5274.35193764196</v>
      </c>
      <c r="D154" s="86">
        <v>3298.22083180899</v>
      </c>
      <c r="E154" s="86">
        <v>2973.51534497716</v>
      </c>
      <c r="F154" s="86">
        <v>2747.18184788961</v>
      </c>
      <c r="I154" s="77">
        <f t="shared" si="39"/>
        <v>8.03571428571429</v>
      </c>
      <c r="J154" t="str">
        <f t="shared" si="33"/>
        <v>Trd_2w_elc50</v>
      </c>
      <c r="K154" t="str">
        <f t="shared" si="30"/>
        <v>Trd_2w_elc50_151</v>
      </c>
      <c r="L154" t="str">
        <f t="shared" si="34"/>
        <v>Trd_2w</v>
      </c>
      <c r="M154" s="306">
        <f t="shared" si="35"/>
        <v>5274.35193764196</v>
      </c>
      <c r="N154" s="306">
        <f t="shared" si="36"/>
        <v>3298.22083180899</v>
      </c>
      <c r="O154" s="306">
        <f t="shared" si="37"/>
        <v>2973.51534497716</v>
      </c>
      <c r="P154" s="306">
        <f t="shared" si="38"/>
        <v>2747.18184788961</v>
      </c>
      <c r="Q154" s="43">
        <v>0.2</v>
      </c>
      <c r="T154" t="str">
        <f t="shared" si="40"/>
        <v>Trd_2w_elc50_151</v>
      </c>
      <c r="U154" t="str">
        <f ca="1" t="shared" si="41"/>
        <v>Battery electric moped -- 15143%</v>
      </c>
      <c r="V154" s="309" t="s">
        <v>84</v>
      </c>
      <c r="W154" s="309" t="s">
        <v>85</v>
      </c>
    </row>
    <row r="155" spans="2:23">
      <c r="B155" s="66">
        <v>160</v>
      </c>
      <c r="C155" s="86">
        <v>5418.44153445629</v>
      </c>
      <c r="D155" s="86">
        <v>3360.61018908344</v>
      </c>
      <c r="E155" s="86">
        <v>3022.48023057777</v>
      </c>
      <c r="F155" s="86">
        <v>2786.78930731876</v>
      </c>
      <c r="I155" s="77">
        <f t="shared" si="39"/>
        <v>8.03571428571429</v>
      </c>
      <c r="J155" t="str">
        <f t="shared" si="33"/>
        <v>Trd_2w_elc50</v>
      </c>
      <c r="K155" t="str">
        <f t="shared" si="30"/>
        <v>Trd_2w_elc50_160</v>
      </c>
      <c r="L155" t="str">
        <f t="shared" si="34"/>
        <v>Trd_2w</v>
      </c>
      <c r="M155" s="306">
        <f t="shared" si="35"/>
        <v>5418.44153445629</v>
      </c>
      <c r="N155" s="306">
        <f t="shared" si="36"/>
        <v>3360.61018908344</v>
      </c>
      <c r="O155" s="306">
        <f t="shared" si="37"/>
        <v>3022.48023057777</v>
      </c>
      <c r="P155" s="306">
        <f t="shared" si="38"/>
        <v>2786.78930731876</v>
      </c>
      <c r="T155" t="str">
        <f t="shared" si="40"/>
        <v>Trd_2w_elc50_160</v>
      </c>
      <c r="U155" t="str">
        <f ca="1" t="shared" si="41"/>
        <v>Battery electric moped -- 16000%</v>
      </c>
      <c r="V155" s="309" t="s">
        <v>84</v>
      </c>
      <c r="W155" s="309" t="s">
        <v>85</v>
      </c>
    </row>
  </sheetData>
  <pageMargins left="0.7" right="0.7" top="0.75" bottom="0.75" header="0.3" footer="0.3"/>
  <pageSetup paperSize="9" orientation="portrait"/>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219"/>
  <sheetViews>
    <sheetView showGridLines="0" zoomScale="70" zoomScaleNormal="70" topLeftCell="K2" workbookViewId="0">
      <selection activeCell="P1" sqref="P$1:P$1048576"/>
    </sheetView>
  </sheetViews>
  <sheetFormatPr defaultColWidth="9" defaultRowHeight="14.5"/>
  <cols>
    <col min="1" max="1" width="7.63636363636364" customWidth="1"/>
    <col min="2" max="2" width="38.2727272727273" customWidth="1"/>
    <col min="3" max="6" width="13.7272727272727" customWidth="1"/>
    <col min="10" max="10" width="15.7272727272727" customWidth="1"/>
    <col min="11" max="11" width="25" customWidth="1"/>
    <col min="12" max="12" width="11.0909090909091" customWidth="1"/>
    <col min="13" max="16" width="7" customWidth="1"/>
    <col min="18" max="18" width="21" customWidth="1"/>
    <col min="19" max="19" width="15.7272727272727" customWidth="1"/>
  </cols>
  <sheetData>
    <row r="1" ht="15.5" spans="2:19">
      <c r="B1" s="290" t="s">
        <v>10</v>
      </c>
      <c r="C1" s="291"/>
      <c r="D1" s="291"/>
      <c r="E1" s="291"/>
      <c r="F1" s="292"/>
      <c r="Q1" t="s">
        <v>51</v>
      </c>
      <c r="R1" t="s">
        <v>148</v>
      </c>
      <c r="S1" t="str">
        <f>"Trd_bus_"&amp;Q1</f>
        <v>Trd_bus_dsl</v>
      </c>
    </row>
    <row r="2" spans="2:19">
      <c r="B2" s="293" t="s">
        <v>9</v>
      </c>
      <c r="C2" s="294"/>
      <c r="D2" s="294"/>
      <c r="E2" s="294"/>
      <c r="F2" s="294"/>
      <c r="Q2" t="s">
        <v>54</v>
      </c>
      <c r="R2" t="s">
        <v>149</v>
      </c>
      <c r="S2" t="str">
        <f t="shared" ref="S2:S6" si="0">"Trd_bus_"&amp;Q2</f>
        <v>Trd_bus_dsl-hyb</v>
      </c>
    </row>
    <row r="3" ht="18.5" spans="2:19">
      <c r="B3" s="295" t="s">
        <v>150</v>
      </c>
      <c r="C3" s="296"/>
      <c r="D3" s="296"/>
      <c r="E3" s="296"/>
      <c r="F3" s="297"/>
      <c r="Q3" t="s">
        <v>59</v>
      </c>
      <c r="R3" t="s">
        <v>151</v>
      </c>
      <c r="S3" t="str">
        <f t="shared" si="0"/>
        <v>Trd_bus_cng</v>
      </c>
    </row>
    <row r="4" spans="9:19">
      <c r="I4" s="301">
        <v>0.038</v>
      </c>
      <c r="J4" s="301" t="s">
        <v>50</v>
      </c>
      <c r="Q4" t="s">
        <v>61</v>
      </c>
      <c r="R4" t="s">
        <v>152</v>
      </c>
      <c r="S4" t="str">
        <f>"\I:Trd_bus_"&amp;Q4</f>
        <v>\I:Trd_bus_lpg</v>
      </c>
    </row>
    <row r="5" ht="15" customHeight="1" spans="2:19">
      <c r="B5" s="43" t="s">
        <v>153</v>
      </c>
      <c r="I5" s="302">
        <f>1.406/26.137</f>
        <v>0.053793472854574</v>
      </c>
      <c r="J5" s="301" t="s">
        <v>53</v>
      </c>
      <c r="Q5" t="s">
        <v>66</v>
      </c>
      <c r="R5" t="s">
        <v>154</v>
      </c>
      <c r="S5" t="str">
        <f t="shared" si="0"/>
        <v>Trd_bus_elc</v>
      </c>
    </row>
    <row r="6" spans="2:19">
      <c r="B6" s="298">
        <v>2015</v>
      </c>
      <c r="C6" s="298"/>
      <c r="D6" s="298"/>
      <c r="Q6" t="s">
        <v>68</v>
      </c>
      <c r="R6" t="s">
        <v>155</v>
      </c>
      <c r="S6" t="str">
        <f t="shared" si="0"/>
        <v>Trd_bus_hh2</v>
      </c>
    </row>
    <row r="7" spans="2:19">
      <c r="B7" s="45" t="s">
        <v>12</v>
      </c>
      <c r="C7" s="46" t="s">
        <v>13</v>
      </c>
      <c r="D7" s="47">
        <v>36.5156473019872</v>
      </c>
      <c r="G7" s="299">
        <f>D7*$I$4/100*10^9/10^6</f>
        <v>13.8759459747551</v>
      </c>
      <c r="H7" s="299"/>
      <c r="I7" s="303">
        <f>1/G7</f>
        <v>0.0720671586513327</v>
      </c>
      <c r="R7" t="s">
        <v>156</v>
      </c>
      <c r="S7" t="str">
        <f>"\I:Trd_bus_"&amp;Q7</f>
        <v>\I:Trd_bus_</v>
      </c>
    </row>
    <row r="8" spans="2:19">
      <c r="B8" s="45" t="s">
        <v>14</v>
      </c>
      <c r="C8" s="46" t="s">
        <v>15</v>
      </c>
      <c r="D8" s="68">
        <v>275816.550231559</v>
      </c>
      <c r="I8" s="43" t="s">
        <v>70</v>
      </c>
      <c r="R8" t="s">
        <v>157</v>
      </c>
      <c r="S8" t="str">
        <f>"\I:Trd_bus_"&amp;Q8</f>
        <v>\I:Trd_bus_</v>
      </c>
    </row>
    <row r="9" spans="18:19">
      <c r="R9" t="s">
        <v>158</v>
      </c>
      <c r="S9" t="str">
        <f>"\I:Trd_bus_"&amp;Q9</f>
        <v>\I:Trd_bus_</v>
      </c>
    </row>
    <row r="11" ht="15.25" spans="11:23">
      <c r="K11" s="304" t="s">
        <v>71</v>
      </c>
      <c r="S11" s="304" t="s">
        <v>72</v>
      </c>
      <c r="T11" s="308"/>
      <c r="U11" s="308"/>
      <c r="V11" s="308"/>
      <c r="W11" s="308"/>
    </row>
    <row r="12" spans="9:23">
      <c r="I12" t="s">
        <v>73</v>
      </c>
      <c r="J12" t="s">
        <v>74</v>
      </c>
      <c r="K12" t="s">
        <v>75</v>
      </c>
      <c r="L12" t="s">
        <v>76</v>
      </c>
      <c r="M12">
        <f>C16</f>
        <v>2020</v>
      </c>
      <c r="N12">
        <f>D16</f>
        <v>2030</v>
      </c>
      <c r="O12">
        <f>E16</f>
        <v>2040</v>
      </c>
      <c r="P12">
        <f>F16</f>
        <v>2050</v>
      </c>
      <c r="Q12" t="s">
        <v>77</v>
      </c>
      <c r="S12" s="308" t="s">
        <v>78</v>
      </c>
      <c r="T12" s="308" t="s">
        <v>79</v>
      </c>
      <c r="U12" s="308" t="s">
        <v>80</v>
      </c>
      <c r="V12" s="308" t="s">
        <v>81</v>
      </c>
      <c r="W12" s="308" t="s">
        <v>82</v>
      </c>
    </row>
    <row r="13" spans="2:23">
      <c r="B13" s="300" t="s">
        <v>119</v>
      </c>
      <c r="C13" s="300" t="s">
        <v>148</v>
      </c>
      <c r="D13" s="300"/>
      <c r="E13" s="300"/>
      <c r="F13" s="300"/>
      <c r="J13" t="str">
        <f>IFERROR(VLOOKUP(C13,$R$1:$S$9,2,FALSE),J12)</f>
        <v>Trd_bus_dsl</v>
      </c>
      <c r="K13" t="str">
        <f>IFERROR(IF(VALUE(C13)&gt;2020,J13&amp;"_"&amp;TEXT(B13*100,"00"),"\I:"),"\I:")</f>
        <v>\I:</v>
      </c>
      <c r="L13" t="str">
        <f>LEFT(K13,7)</f>
        <v>\I:</v>
      </c>
      <c r="M13" t="str">
        <f>IF($K13="\I:","",C13)</f>
        <v/>
      </c>
      <c r="N13" t="str">
        <f>IF($K13="\I:","",D13)</f>
        <v/>
      </c>
      <c r="O13" t="str">
        <f>IF($K13="\I:","",E13)</f>
        <v/>
      </c>
      <c r="P13" t="str">
        <f>IF($K13="\I:","",F13)</f>
        <v/>
      </c>
      <c r="S13" t="s">
        <v>83</v>
      </c>
      <c r="T13" t="str">
        <f>K13</f>
        <v>\I:</v>
      </c>
      <c r="U13" t="str">
        <f ca="1">OFFSET($S$1,MATCH(J13,$S$1:$S$12,0)-1,-1)&amp;" -- "&amp;TEXT(B13,"00%")</f>
        <v>Diesel bus -- Reduction of specific energy consumption relative to 2015 diesel vehicle(%)</v>
      </c>
      <c r="V13" s="309" t="s">
        <v>84</v>
      </c>
      <c r="W13" s="309" t="s">
        <v>85</v>
      </c>
    </row>
    <row r="14" spans="2:23">
      <c r="B14" s="300"/>
      <c r="C14" s="300"/>
      <c r="D14" s="300"/>
      <c r="E14" s="300"/>
      <c r="F14" s="300"/>
      <c r="J14" t="str">
        <f t="shared" ref="J14:J77" si="1">IFERROR(VLOOKUP(C14,$R$1:$S$9,2,FALSE),J13)</f>
        <v>Trd_bus_dsl</v>
      </c>
      <c r="K14" t="str">
        <f t="shared" ref="K14:K23" si="2">IFERROR(IF(VALUE(C14)&gt;2020,J14&amp;"_"&amp;TEXT(B14*100,"00"),"\I:"),"\I:")</f>
        <v>\I:</v>
      </c>
      <c r="L14" t="str">
        <f t="shared" ref="L14:L77" si="3">LEFT(K14,7)</f>
        <v>\I:</v>
      </c>
      <c r="M14" t="str">
        <f t="shared" ref="M14:M23" si="4">IF($K14="\I:","",C14)</f>
        <v/>
      </c>
      <c r="N14" t="str">
        <f t="shared" ref="N14:N23" si="5">IF($K14="\I:","",D14)</f>
        <v/>
      </c>
      <c r="O14" t="str">
        <f t="shared" ref="O14:O23" si="6">IF($K14="\I:","",E14)</f>
        <v/>
      </c>
      <c r="P14" t="str">
        <f t="shared" ref="P14:P23" si="7">IF($K14="\I:","",F14)</f>
        <v/>
      </c>
      <c r="S14" t="s">
        <v>83</v>
      </c>
      <c r="T14" t="str">
        <f t="shared" ref="T14:T23" si="8">K14</f>
        <v>\I:</v>
      </c>
      <c r="U14" t="str">
        <f ca="1" t="shared" ref="U14:U23" si="9">OFFSET($S$1,MATCH(J14,$S$1:$S$12,0)-1,-1)&amp;" -- "&amp;TEXT(B14,"00%")</f>
        <v>Diesel bus -- 00%</v>
      </c>
      <c r="V14" s="309" t="s">
        <v>84</v>
      </c>
      <c r="W14" s="309" t="s">
        <v>85</v>
      </c>
    </row>
    <row r="15" spans="2:23">
      <c r="B15" s="300"/>
      <c r="C15" s="300"/>
      <c r="D15" s="300"/>
      <c r="E15" s="300"/>
      <c r="F15" s="300"/>
      <c r="J15" t="str">
        <f t="shared" si="1"/>
        <v>Trd_bus_dsl</v>
      </c>
      <c r="K15" t="str">
        <f t="shared" si="2"/>
        <v>\I:</v>
      </c>
      <c r="L15" t="str">
        <f t="shared" si="3"/>
        <v>\I:</v>
      </c>
      <c r="M15" t="str">
        <f t="shared" si="4"/>
        <v/>
      </c>
      <c r="N15" t="str">
        <f t="shared" si="5"/>
        <v/>
      </c>
      <c r="O15" t="str">
        <f t="shared" si="6"/>
        <v/>
      </c>
      <c r="P15" t="str">
        <f t="shared" si="7"/>
        <v/>
      </c>
      <c r="S15" t="s">
        <v>83</v>
      </c>
      <c r="T15" t="str">
        <f t="shared" si="8"/>
        <v>\I:</v>
      </c>
      <c r="U15" t="str">
        <f ca="1" t="shared" si="9"/>
        <v>Diesel bus -- 00%</v>
      </c>
      <c r="V15" s="309" t="s">
        <v>84</v>
      </c>
      <c r="W15" s="309" t="s">
        <v>85</v>
      </c>
    </row>
    <row r="16" spans="2:23">
      <c r="B16" s="49"/>
      <c r="C16" s="50">
        <v>2020</v>
      </c>
      <c r="D16" s="50">
        <v>2030</v>
      </c>
      <c r="E16" s="50">
        <v>2040</v>
      </c>
      <c r="F16" s="50">
        <v>2050</v>
      </c>
      <c r="J16" t="str">
        <f t="shared" si="1"/>
        <v>Trd_bus_dsl</v>
      </c>
      <c r="K16" t="str">
        <f t="shared" si="2"/>
        <v>\I:</v>
      </c>
      <c r="L16" t="str">
        <f t="shared" si="3"/>
        <v>\I:</v>
      </c>
      <c r="M16" t="str">
        <f t="shared" si="4"/>
        <v/>
      </c>
      <c r="N16" t="str">
        <f t="shared" si="5"/>
        <v/>
      </c>
      <c r="O16" t="str">
        <f t="shared" si="6"/>
        <v/>
      </c>
      <c r="P16" t="str">
        <f t="shared" si="7"/>
        <v/>
      </c>
      <c r="S16" t="s">
        <v>83</v>
      </c>
      <c r="T16" t="str">
        <f t="shared" si="8"/>
        <v>\I:</v>
      </c>
      <c r="U16" t="str">
        <f ca="1" t="shared" si="9"/>
        <v>Diesel bus -- 00%</v>
      </c>
      <c r="V16" s="309" t="s">
        <v>84</v>
      </c>
      <c r="W16" s="309" t="s">
        <v>85</v>
      </c>
    </row>
    <row r="17" spans="2:23">
      <c r="B17" s="85">
        <v>0.0409380868944008</v>
      </c>
      <c r="C17" s="86">
        <v>277035.545225282</v>
      </c>
      <c r="D17" s="86">
        <v>277035.545225282</v>
      </c>
      <c r="E17" s="86">
        <v>277035.545225282</v>
      </c>
      <c r="F17" s="86">
        <v>277035.545225282</v>
      </c>
      <c r="I17" s="305">
        <f>(1+B17)</f>
        <v>1.0409380868944</v>
      </c>
      <c r="J17" t="str">
        <f t="shared" si="1"/>
        <v>Trd_bus_dsl</v>
      </c>
      <c r="K17" t="str">
        <f t="shared" si="2"/>
        <v>Trd_bus_dsl_04</v>
      </c>
      <c r="L17" t="str">
        <f t="shared" si="3"/>
        <v>Trd_bus</v>
      </c>
      <c r="M17" s="306">
        <f t="shared" si="4"/>
        <v>277035.545225282</v>
      </c>
      <c r="N17" s="306">
        <f t="shared" si="5"/>
        <v>277035.545225282</v>
      </c>
      <c r="O17" s="306">
        <f t="shared" si="6"/>
        <v>277035.545225282</v>
      </c>
      <c r="P17" s="306">
        <f t="shared" si="7"/>
        <v>277035.545225282</v>
      </c>
      <c r="S17" t="s">
        <v>83</v>
      </c>
      <c r="T17" t="str">
        <f t="shared" si="8"/>
        <v>Trd_bus_dsl_04</v>
      </c>
      <c r="U17" t="str">
        <f ca="1" t="shared" si="9"/>
        <v>Diesel bus -- 04%</v>
      </c>
      <c r="V17" s="309" t="s">
        <v>84</v>
      </c>
      <c r="W17" s="309" t="s">
        <v>85</v>
      </c>
    </row>
    <row r="18" spans="2:23">
      <c r="B18" s="85">
        <v>0.0609380868944008</v>
      </c>
      <c r="C18" s="86">
        <v>278399.905207018</v>
      </c>
      <c r="D18" s="86">
        <v>277922.612863842</v>
      </c>
      <c r="E18" s="86">
        <v>277922.612863842</v>
      </c>
      <c r="F18" s="86">
        <v>277922.612863842</v>
      </c>
      <c r="I18" s="305">
        <f t="shared" ref="I18:I23" si="10">(1+B18)</f>
        <v>1.0609380868944</v>
      </c>
      <c r="J18" t="str">
        <f t="shared" si="1"/>
        <v>Trd_bus_dsl</v>
      </c>
      <c r="K18" t="str">
        <f t="shared" si="2"/>
        <v>Trd_bus_dsl_06</v>
      </c>
      <c r="L18" t="str">
        <f t="shared" si="3"/>
        <v>Trd_bus</v>
      </c>
      <c r="M18" s="306">
        <f t="shared" si="4"/>
        <v>278399.905207018</v>
      </c>
      <c r="N18" s="306">
        <f t="shared" si="5"/>
        <v>277922.612863842</v>
      </c>
      <c r="O18" s="306">
        <f t="shared" si="6"/>
        <v>277922.612863842</v>
      </c>
      <c r="P18" s="306">
        <f t="shared" si="7"/>
        <v>277922.612863842</v>
      </c>
      <c r="S18" t="s">
        <v>83</v>
      </c>
      <c r="T18" t="str">
        <f t="shared" si="8"/>
        <v>Trd_bus_dsl_06</v>
      </c>
      <c r="U18" t="str">
        <f ca="1" t="shared" si="9"/>
        <v>Diesel bus -- 06%</v>
      </c>
      <c r="V18" s="309" t="s">
        <v>84</v>
      </c>
      <c r="W18" s="309" t="s">
        <v>85</v>
      </c>
    </row>
    <row r="19" spans="2:23">
      <c r="B19" s="85">
        <v>0.0809380868944008</v>
      </c>
      <c r="C19" s="86">
        <v>280340.227892535</v>
      </c>
      <c r="D19" s="86">
        <v>280036.119387962</v>
      </c>
      <c r="E19" s="86">
        <v>280036.119387962</v>
      </c>
      <c r="F19" s="86">
        <v>280036.119387962</v>
      </c>
      <c r="I19" s="305">
        <f t="shared" si="10"/>
        <v>1.0809380868944</v>
      </c>
      <c r="J19" t="str">
        <f t="shared" si="1"/>
        <v>Trd_bus_dsl</v>
      </c>
      <c r="K19" t="str">
        <f t="shared" si="2"/>
        <v>Trd_bus_dsl_08</v>
      </c>
      <c r="L19" t="str">
        <f t="shared" si="3"/>
        <v>Trd_bus</v>
      </c>
      <c r="M19" s="306">
        <f t="shared" si="4"/>
        <v>280340.227892535</v>
      </c>
      <c r="N19" s="306">
        <f t="shared" si="5"/>
        <v>280036.119387962</v>
      </c>
      <c r="O19" s="306">
        <f t="shared" si="6"/>
        <v>280036.119387962</v>
      </c>
      <c r="P19" s="306">
        <f t="shared" si="7"/>
        <v>280036.119387962</v>
      </c>
      <c r="S19" t="s">
        <v>83</v>
      </c>
      <c r="T19" t="str">
        <f t="shared" si="8"/>
        <v>Trd_bus_dsl_08</v>
      </c>
      <c r="U19" t="str">
        <f ca="1" t="shared" si="9"/>
        <v>Diesel bus -- 08%</v>
      </c>
      <c r="V19" s="309" t="s">
        <v>84</v>
      </c>
      <c r="W19" s="309" t="s">
        <v>85</v>
      </c>
    </row>
    <row r="20" spans="2:23">
      <c r="B20" s="85">
        <v>0.110938086894401</v>
      </c>
      <c r="C20" s="86">
        <v>282100.178960952</v>
      </c>
      <c r="D20" s="86">
        <v>281836.46388557</v>
      </c>
      <c r="E20" s="86">
        <v>281836.46388557</v>
      </c>
      <c r="F20" s="86">
        <v>281836.46388557</v>
      </c>
      <c r="I20" s="305">
        <f t="shared" si="10"/>
        <v>1.1109380868944</v>
      </c>
      <c r="J20" t="str">
        <f t="shared" si="1"/>
        <v>Trd_bus_dsl</v>
      </c>
      <c r="K20" t="str">
        <f t="shared" si="2"/>
        <v>Trd_bus_dsl_11</v>
      </c>
      <c r="L20" t="str">
        <f t="shared" si="3"/>
        <v>Trd_bus</v>
      </c>
      <c r="M20" s="306">
        <f t="shared" si="4"/>
        <v>282100.178960952</v>
      </c>
      <c r="N20" s="306">
        <f t="shared" si="5"/>
        <v>281836.46388557</v>
      </c>
      <c r="O20" s="306">
        <f t="shared" si="6"/>
        <v>281836.46388557</v>
      </c>
      <c r="P20" s="306">
        <f t="shared" si="7"/>
        <v>281836.46388557</v>
      </c>
      <c r="S20" t="s">
        <v>83</v>
      </c>
      <c r="T20" t="str">
        <f t="shared" si="8"/>
        <v>Trd_bus_dsl_11</v>
      </c>
      <c r="U20" t="str">
        <f ca="1" t="shared" si="9"/>
        <v>Diesel bus -- 11%</v>
      </c>
      <c r="V20" s="309" t="s">
        <v>84</v>
      </c>
      <c r="W20" s="309" t="s">
        <v>85</v>
      </c>
    </row>
    <row r="21" spans="2:23">
      <c r="B21" s="85">
        <v>0.140938086894401</v>
      </c>
      <c r="C21" s="86">
        <v>284796.605674726</v>
      </c>
      <c r="D21" s="86">
        <v>284536.980631981</v>
      </c>
      <c r="E21" s="86">
        <v>284536.980631981</v>
      </c>
      <c r="F21" s="86">
        <v>284536.980631981</v>
      </c>
      <c r="I21" s="305">
        <f t="shared" si="10"/>
        <v>1.1409380868944</v>
      </c>
      <c r="J21" t="str">
        <f t="shared" si="1"/>
        <v>Trd_bus_dsl</v>
      </c>
      <c r="K21" t="str">
        <f t="shared" si="2"/>
        <v>Trd_bus_dsl_14</v>
      </c>
      <c r="L21" t="str">
        <f t="shared" si="3"/>
        <v>Trd_bus</v>
      </c>
      <c r="M21" s="306">
        <f t="shared" si="4"/>
        <v>284796.605674726</v>
      </c>
      <c r="N21" s="306">
        <f t="shared" si="5"/>
        <v>284536.980631981</v>
      </c>
      <c r="O21" s="306">
        <f t="shared" si="6"/>
        <v>284536.980631981</v>
      </c>
      <c r="P21" s="306">
        <f t="shared" si="7"/>
        <v>284536.980631981</v>
      </c>
      <c r="S21" t="s">
        <v>83</v>
      </c>
      <c r="T21" t="str">
        <f t="shared" si="8"/>
        <v>Trd_bus_dsl_14</v>
      </c>
      <c r="U21" t="str">
        <f ca="1" t="shared" si="9"/>
        <v>Diesel bus -- 14%</v>
      </c>
      <c r="V21" s="309" t="s">
        <v>84</v>
      </c>
      <c r="W21" s="309" t="s">
        <v>85</v>
      </c>
    </row>
    <row r="22" spans="2:23">
      <c r="B22" s="85">
        <v>0.170938086894401</v>
      </c>
      <c r="C22" s="86">
        <v>312906.877352837</v>
      </c>
      <c r="D22" s="86">
        <v>289153.080385683</v>
      </c>
      <c r="E22" s="86">
        <v>289037.841876</v>
      </c>
      <c r="F22" s="86">
        <v>289037.841876</v>
      </c>
      <c r="I22" s="305">
        <f t="shared" si="10"/>
        <v>1.1709380868944</v>
      </c>
      <c r="J22" t="str">
        <f t="shared" si="1"/>
        <v>Trd_bus_dsl</v>
      </c>
      <c r="K22" t="str">
        <f t="shared" si="2"/>
        <v>Trd_bus_dsl_17</v>
      </c>
      <c r="L22" t="str">
        <f t="shared" si="3"/>
        <v>Trd_bus</v>
      </c>
      <c r="M22" s="306">
        <f t="shared" si="4"/>
        <v>312906.877352837</v>
      </c>
      <c r="N22" s="306">
        <f t="shared" si="5"/>
        <v>289153.080385683</v>
      </c>
      <c r="O22" s="306">
        <f t="shared" si="6"/>
        <v>289037.841876</v>
      </c>
      <c r="P22" s="306">
        <f t="shared" si="7"/>
        <v>289037.841876</v>
      </c>
      <c r="S22" t="s">
        <v>83</v>
      </c>
      <c r="T22" t="str">
        <f t="shared" si="8"/>
        <v>Trd_bus_dsl_17</v>
      </c>
      <c r="U22" t="str">
        <f ca="1" t="shared" si="9"/>
        <v>Diesel bus -- 17%</v>
      </c>
      <c r="V22" s="309" t="s">
        <v>84</v>
      </c>
      <c r="W22" s="309" t="s">
        <v>85</v>
      </c>
    </row>
    <row r="23" spans="2:23">
      <c r="B23" s="85">
        <v>0.210938086894401</v>
      </c>
      <c r="C23" s="86">
        <v>374217.896441724</v>
      </c>
      <c r="D23" s="86">
        <v>299784.837414464</v>
      </c>
      <c r="E23" s="86">
        <v>293128.62465112</v>
      </c>
      <c r="F23" s="86">
        <v>293128.62465112</v>
      </c>
      <c r="I23" s="305">
        <f t="shared" si="10"/>
        <v>1.2109380868944</v>
      </c>
      <c r="J23" t="str">
        <f t="shared" si="1"/>
        <v>Trd_bus_dsl</v>
      </c>
      <c r="K23" t="str">
        <f t="shared" si="2"/>
        <v>Trd_bus_dsl_21</v>
      </c>
      <c r="L23" t="str">
        <f t="shared" si="3"/>
        <v>Trd_bus</v>
      </c>
      <c r="M23" s="306">
        <f t="shared" si="4"/>
        <v>374217.896441724</v>
      </c>
      <c r="N23" s="306">
        <f t="shared" si="5"/>
        <v>299784.837414464</v>
      </c>
      <c r="O23" s="306">
        <f t="shared" si="6"/>
        <v>293128.62465112</v>
      </c>
      <c r="P23" s="306">
        <f t="shared" si="7"/>
        <v>293128.62465112</v>
      </c>
      <c r="S23" t="s">
        <v>83</v>
      </c>
      <c r="T23" t="str">
        <f t="shared" si="8"/>
        <v>Trd_bus_dsl_21</v>
      </c>
      <c r="U23" t="str">
        <f ca="1" t="shared" si="9"/>
        <v>Diesel bus -- 21%</v>
      </c>
      <c r="V23" s="309" t="s">
        <v>84</v>
      </c>
      <c r="W23" s="309" t="s">
        <v>85</v>
      </c>
    </row>
    <row r="24" spans="10:23">
      <c r="J24" t="str">
        <f t="shared" si="1"/>
        <v>Trd_bus_dsl</v>
      </c>
      <c r="K24" t="str">
        <f t="shared" ref="K24:K87" si="11">IFERROR(IF(VALUE(C24)&gt;2020,J24&amp;"_"&amp;TEXT(B24*100,"00"),"\I:"),"\I:")</f>
        <v>\I:</v>
      </c>
      <c r="L24" t="str">
        <f t="shared" si="3"/>
        <v>\I:</v>
      </c>
      <c r="M24" s="306" t="str">
        <f t="shared" ref="M24:M87" si="12">IF($K24="\I:","",C24)</f>
        <v/>
      </c>
      <c r="N24" s="306" t="str">
        <f t="shared" ref="N24:N87" si="13">IF($K24="\I:","",D24)</f>
        <v/>
      </c>
      <c r="O24" s="306" t="str">
        <f t="shared" ref="O24:O87" si="14">IF($K24="\I:","",E24)</f>
        <v/>
      </c>
      <c r="P24" s="306" t="str">
        <f t="shared" ref="P24:P87" si="15">IF($K24="\I:","",F24)</f>
        <v/>
      </c>
      <c r="S24" t="s">
        <v>83</v>
      </c>
      <c r="T24" t="str">
        <f t="shared" ref="T24:T87" si="16">K24</f>
        <v>\I:</v>
      </c>
      <c r="U24" t="str">
        <f ca="1" t="shared" ref="U24:U87" si="17">OFFSET($S$1,MATCH(J24,$S$1:$S$12,0)-1,-1)&amp;" -- "&amp;TEXT(B24,"00%")</f>
        <v>Diesel bus -- 00%</v>
      </c>
      <c r="V24" s="309" t="s">
        <v>84</v>
      </c>
      <c r="W24" s="309" t="s">
        <v>85</v>
      </c>
    </row>
    <row r="25" spans="10:23">
      <c r="J25" t="str">
        <f t="shared" si="1"/>
        <v>Trd_bus_dsl</v>
      </c>
      <c r="K25" t="str">
        <f t="shared" si="11"/>
        <v>\I:</v>
      </c>
      <c r="L25" t="str">
        <f t="shared" si="3"/>
        <v>\I:</v>
      </c>
      <c r="M25" s="306" t="str">
        <f t="shared" si="12"/>
        <v/>
      </c>
      <c r="N25" s="306" t="str">
        <f t="shared" si="13"/>
        <v/>
      </c>
      <c r="O25" s="306" t="str">
        <f t="shared" si="14"/>
        <v/>
      </c>
      <c r="P25" s="306" t="str">
        <f t="shared" si="15"/>
        <v/>
      </c>
      <c r="S25" t="s">
        <v>83</v>
      </c>
      <c r="T25" t="str">
        <f t="shared" si="16"/>
        <v>\I:</v>
      </c>
      <c r="U25" t="str">
        <f ca="1" t="shared" si="17"/>
        <v>Diesel bus -- 00%</v>
      </c>
      <c r="V25" s="309" t="s">
        <v>84</v>
      </c>
      <c r="W25" s="309" t="s">
        <v>85</v>
      </c>
    </row>
    <row r="26" spans="10:23">
      <c r="J26" t="str">
        <f t="shared" si="1"/>
        <v>Trd_bus_dsl</v>
      </c>
      <c r="K26" t="str">
        <f t="shared" si="11"/>
        <v>\I:</v>
      </c>
      <c r="L26" t="str">
        <f t="shared" si="3"/>
        <v>\I:</v>
      </c>
      <c r="M26" s="306" t="str">
        <f t="shared" si="12"/>
        <v/>
      </c>
      <c r="N26" s="306" t="str">
        <f t="shared" si="13"/>
        <v/>
      </c>
      <c r="O26" s="306" t="str">
        <f t="shared" si="14"/>
        <v/>
      </c>
      <c r="P26" s="306" t="str">
        <f t="shared" si="15"/>
        <v/>
      </c>
      <c r="S26" t="s">
        <v>83</v>
      </c>
      <c r="T26" t="str">
        <f t="shared" si="16"/>
        <v>\I:</v>
      </c>
      <c r="U26" t="str">
        <f ca="1" t="shared" si="17"/>
        <v>Diesel bus -- 00%</v>
      </c>
      <c r="V26" s="309" t="s">
        <v>84</v>
      </c>
      <c r="W26" s="309" t="s">
        <v>85</v>
      </c>
    </row>
    <row r="27" ht="15" customHeight="1" spans="2:23">
      <c r="B27" s="300" t="s">
        <v>21</v>
      </c>
      <c r="C27" s="300" t="s">
        <v>149</v>
      </c>
      <c r="D27" s="300"/>
      <c r="E27" s="300"/>
      <c r="F27" s="300"/>
      <c r="J27" t="str">
        <f t="shared" si="1"/>
        <v>Trd_bus_dsl-hyb</v>
      </c>
      <c r="K27" t="str">
        <f t="shared" si="11"/>
        <v>\I:</v>
      </c>
      <c r="L27" t="str">
        <f t="shared" si="3"/>
        <v>\I:</v>
      </c>
      <c r="M27" s="306" t="str">
        <f t="shared" si="12"/>
        <v/>
      </c>
      <c r="N27" s="306" t="str">
        <f t="shared" si="13"/>
        <v/>
      </c>
      <c r="O27" s="306" t="str">
        <f t="shared" si="14"/>
        <v/>
      </c>
      <c r="P27" s="306" t="str">
        <f t="shared" si="15"/>
        <v/>
      </c>
      <c r="S27" t="s">
        <v>83</v>
      </c>
      <c r="T27" t="str">
        <f t="shared" si="16"/>
        <v>\I:</v>
      </c>
      <c r="U27" t="str">
        <f ca="1" t="shared" si="17"/>
        <v>Hybrid diesel bus -- Reduction of specific energy consumption relative to 2015 diesel vehicle (%)</v>
      </c>
      <c r="V27" s="309" t="s">
        <v>84</v>
      </c>
      <c r="W27" s="309" t="s">
        <v>85</v>
      </c>
    </row>
    <row r="28" spans="2:23">
      <c r="B28" s="300"/>
      <c r="C28" s="300"/>
      <c r="D28" s="300"/>
      <c r="E28" s="300"/>
      <c r="F28" s="300"/>
      <c r="J28" t="str">
        <f t="shared" si="1"/>
        <v>Trd_bus_dsl-hyb</v>
      </c>
      <c r="K28" t="str">
        <f t="shared" si="11"/>
        <v>\I:</v>
      </c>
      <c r="L28" t="str">
        <f t="shared" si="3"/>
        <v>\I:</v>
      </c>
      <c r="M28" s="306" t="str">
        <f t="shared" si="12"/>
        <v/>
      </c>
      <c r="N28" s="306" t="str">
        <f t="shared" si="13"/>
        <v/>
      </c>
      <c r="O28" s="306" t="str">
        <f t="shared" si="14"/>
        <v/>
      </c>
      <c r="P28" s="306" t="str">
        <f t="shared" si="15"/>
        <v/>
      </c>
      <c r="S28" t="s">
        <v>83</v>
      </c>
      <c r="T28" t="str">
        <f t="shared" si="16"/>
        <v>\I:</v>
      </c>
      <c r="U28" t="str">
        <f ca="1" t="shared" si="17"/>
        <v>Hybrid diesel bus -- 00%</v>
      </c>
      <c r="V28" s="309" t="s">
        <v>84</v>
      </c>
      <c r="W28" s="309" t="s">
        <v>85</v>
      </c>
    </row>
    <row r="29" spans="2:23">
      <c r="B29" s="300"/>
      <c r="C29" s="300"/>
      <c r="D29" s="300"/>
      <c r="E29" s="300"/>
      <c r="F29" s="300"/>
      <c r="J29" t="str">
        <f t="shared" si="1"/>
        <v>Trd_bus_dsl-hyb</v>
      </c>
      <c r="K29" t="str">
        <f t="shared" si="11"/>
        <v>\I:</v>
      </c>
      <c r="L29" t="str">
        <f t="shared" si="3"/>
        <v>\I:</v>
      </c>
      <c r="M29" s="306" t="str">
        <f t="shared" si="12"/>
        <v/>
      </c>
      <c r="N29" s="306" t="str">
        <f t="shared" si="13"/>
        <v/>
      </c>
      <c r="O29" s="306" t="str">
        <f t="shared" si="14"/>
        <v/>
      </c>
      <c r="P29" s="306" t="str">
        <f t="shared" si="15"/>
        <v/>
      </c>
      <c r="S29" t="s">
        <v>83</v>
      </c>
      <c r="T29" t="str">
        <f t="shared" si="16"/>
        <v>\I:</v>
      </c>
      <c r="U29" t="str">
        <f ca="1" t="shared" si="17"/>
        <v>Hybrid diesel bus -- 00%</v>
      </c>
      <c r="V29" s="309" t="s">
        <v>84</v>
      </c>
      <c r="W29" s="309" t="s">
        <v>85</v>
      </c>
    </row>
    <row r="30" spans="2:23">
      <c r="B30" s="49"/>
      <c r="C30" s="50">
        <v>2020</v>
      </c>
      <c r="D30" s="50">
        <v>2030</v>
      </c>
      <c r="E30" s="50">
        <v>2040</v>
      </c>
      <c r="F30" s="50">
        <v>2050</v>
      </c>
      <c r="J30" t="str">
        <f t="shared" si="1"/>
        <v>Trd_bus_dsl-hyb</v>
      </c>
      <c r="K30" t="str">
        <f t="shared" si="11"/>
        <v>\I:</v>
      </c>
      <c r="L30" t="str">
        <f t="shared" si="3"/>
        <v>\I:</v>
      </c>
      <c r="M30" s="306" t="str">
        <f t="shared" si="12"/>
        <v/>
      </c>
      <c r="N30" s="306" t="str">
        <f t="shared" si="13"/>
        <v/>
      </c>
      <c r="O30" s="306" t="str">
        <f t="shared" si="14"/>
        <v/>
      </c>
      <c r="P30" s="306" t="str">
        <f t="shared" si="15"/>
        <v/>
      </c>
      <c r="S30" t="s">
        <v>83</v>
      </c>
      <c r="T30" t="str">
        <f t="shared" si="16"/>
        <v>\I:</v>
      </c>
      <c r="U30" t="str">
        <f ca="1" t="shared" si="17"/>
        <v>Hybrid diesel bus -- 00%</v>
      </c>
      <c r="V30" s="309" t="s">
        <v>84</v>
      </c>
      <c r="W30" s="309" t="s">
        <v>85</v>
      </c>
    </row>
    <row r="31" spans="2:23">
      <c r="B31" s="85">
        <v>0.335</v>
      </c>
      <c r="C31" s="86">
        <v>293729.977982756</v>
      </c>
      <c r="D31" s="86">
        <v>293729.977982756</v>
      </c>
      <c r="E31" s="86">
        <v>293729.977982756</v>
      </c>
      <c r="F31" s="86">
        <v>293729.977982756</v>
      </c>
      <c r="I31" s="305">
        <f t="shared" ref="I31:I38" si="18">(1+B31)</f>
        <v>1.335</v>
      </c>
      <c r="J31" t="str">
        <f t="shared" si="1"/>
        <v>Trd_bus_dsl-hyb</v>
      </c>
      <c r="K31" t="str">
        <f t="shared" si="11"/>
        <v>Trd_bus_dsl-hyb_34</v>
      </c>
      <c r="L31" t="str">
        <f t="shared" si="3"/>
        <v>Trd_bus</v>
      </c>
      <c r="M31" s="306">
        <f t="shared" si="12"/>
        <v>293729.977982756</v>
      </c>
      <c r="N31" s="306">
        <f t="shared" si="13"/>
        <v>293729.977982756</v>
      </c>
      <c r="O31" s="306">
        <f t="shared" si="14"/>
        <v>293729.977982756</v>
      </c>
      <c r="P31" s="306">
        <f t="shared" si="15"/>
        <v>293729.977982756</v>
      </c>
      <c r="S31" t="s">
        <v>83</v>
      </c>
      <c r="T31" t="str">
        <f t="shared" si="16"/>
        <v>Trd_bus_dsl-hyb_34</v>
      </c>
      <c r="U31" t="str">
        <f ca="1" t="shared" si="17"/>
        <v>Hybrid diesel bus -- 34%</v>
      </c>
      <c r="V31" s="309" t="s">
        <v>84</v>
      </c>
      <c r="W31" s="309" t="s">
        <v>85</v>
      </c>
    </row>
    <row r="32" spans="2:23">
      <c r="B32" s="85">
        <v>0.356</v>
      </c>
      <c r="C32" s="86">
        <v>294730.169370315</v>
      </c>
      <c r="D32" s="86">
        <v>294730.169370315</v>
      </c>
      <c r="E32" s="86">
        <v>294730.169370315</v>
      </c>
      <c r="F32" s="86">
        <v>294730.169370315</v>
      </c>
      <c r="I32" s="305">
        <f t="shared" si="18"/>
        <v>1.356</v>
      </c>
      <c r="J32" t="str">
        <f t="shared" si="1"/>
        <v>Trd_bus_dsl-hyb</v>
      </c>
      <c r="K32" t="str">
        <f t="shared" si="11"/>
        <v>Trd_bus_dsl-hyb_36</v>
      </c>
      <c r="L32" t="str">
        <f t="shared" si="3"/>
        <v>Trd_bus</v>
      </c>
      <c r="M32" s="306">
        <f t="shared" si="12"/>
        <v>294730.169370315</v>
      </c>
      <c r="N32" s="306">
        <f t="shared" si="13"/>
        <v>294730.169370315</v>
      </c>
      <c r="O32" s="306">
        <f t="shared" si="14"/>
        <v>294730.169370315</v>
      </c>
      <c r="P32" s="306">
        <f t="shared" si="15"/>
        <v>294730.169370315</v>
      </c>
      <c r="S32" t="s">
        <v>83</v>
      </c>
      <c r="T32" t="str">
        <f t="shared" si="16"/>
        <v>Trd_bus_dsl-hyb_36</v>
      </c>
      <c r="U32" t="str">
        <f ca="1" t="shared" si="17"/>
        <v>Hybrid diesel bus -- 36%</v>
      </c>
      <c r="V32" s="309" t="s">
        <v>84</v>
      </c>
      <c r="W32" s="309" t="s">
        <v>85</v>
      </c>
    </row>
    <row r="33" spans="2:23">
      <c r="B33" s="85">
        <v>0.37</v>
      </c>
      <c r="C33" s="86">
        <v>295837.202769739</v>
      </c>
      <c r="D33" s="86">
        <v>295617.237008875</v>
      </c>
      <c r="E33" s="86">
        <v>295617.237008875</v>
      </c>
      <c r="F33" s="86">
        <v>295617.237008875</v>
      </c>
      <c r="I33" s="305">
        <f t="shared" si="18"/>
        <v>1.37</v>
      </c>
      <c r="J33" t="str">
        <f t="shared" si="1"/>
        <v>Trd_bus_dsl-hyb</v>
      </c>
      <c r="K33" t="str">
        <f t="shared" si="11"/>
        <v>Trd_bus_dsl-hyb_37</v>
      </c>
      <c r="L33" t="str">
        <f t="shared" si="3"/>
        <v>Trd_bus</v>
      </c>
      <c r="M33" s="306">
        <f t="shared" si="12"/>
        <v>295837.202769739</v>
      </c>
      <c r="N33" s="306">
        <f t="shared" si="13"/>
        <v>295617.237008875</v>
      </c>
      <c r="O33" s="306">
        <f t="shared" si="14"/>
        <v>295617.237008875</v>
      </c>
      <c r="P33" s="306">
        <f t="shared" si="15"/>
        <v>295617.237008875</v>
      </c>
      <c r="S33" t="s">
        <v>83</v>
      </c>
      <c r="T33" t="str">
        <f t="shared" si="16"/>
        <v>Trd_bus_dsl-hyb_37</v>
      </c>
      <c r="U33" t="str">
        <f ca="1" t="shared" si="17"/>
        <v>Hybrid diesel bus -- 37%</v>
      </c>
      <c r="V33" s="309" t="s">
        <v>84</v>
      </c>
      <c r="W33" s="309" t="s">
        <v>85</v>
      </c>
    </row>
    <row r="34" spans="2:23">
      <c r="B34" s="85">
        <v>0.384</v>
      </c>
      <c r="C34" s="86">
        <v>298043.332712174</v>
      </c>
      <c r="D34" s="86">
        <v>297730.743532995</v>
      </c>
      <c r="E34" s="86">
        <v>297730.743532995</v>
      </c>
      <c r="F34" s="86">
        <v>297730.743532995</v>
      </c>
      <c r="I34" s="305">
        <f t="shared" si="18"/>
        <v>1.384</v>
      </c>
      <c r="J34" t="str">
        <f t="shared" si="1"/>
        <v>Trd_bus_dsl-hyb</v>
      </c>
      <c r="K34" t="str">
        <f t="shared" si="11"/>
        <v>Trd_bus_dsl-hyb_38</v>
      </c>
      <c r="L34" t="str">
        <f t="shared" si="3"/>
        <v>Trd_bus</v>
      </c>
      <c r="M34" s="306">
        <f t="shared" si="12"/>
        <v>298043.332712174</v>
      </c>
      <c r="N34" s="306">
        <f t="shared" si="13"/>
        <v>297730.743532995</v>
      </c>
      <c r="O34" s="306">
        <f t="shared" si="14"/>
        <v>297730.743532995</v>
      </c>
      <c r="P34" s="306">
        <f t="shared" si="15"/>
        <v>297730.743532995</v>
      </c>
      <c r="S34" t="s">
        <v>83</v>
      </c>
      <c r="T34" t="str">
        <f t="shared" si="16"/>
        <v>Trd_bus_dsl-hyb_38</v>
      </c>
      <c r="U34" t="str">
        <f ca="1" t="shared" si="17"/>
        <v>Hybrid diesel bus -- 38%</v>
      </c>
      <c r="V34" s="309" t="s">
        <v>84</v>
      </c>
      <c r="W34" s="309" t="s">
        <v>85</v>
      </c>
    </row>
    <row r="35" spans="2:23">
      <c r="B35" s="85">
        <v>0.405</v>
      </c>
      <c r="C35" s="86">
        <v>301248.963386945</v>
      </c>
      <c r="D35" s="86">
        <v>299531.088030602</v>
      </c>
      <c r="E35" s="86">
        <v>299531.088030602</v>
      </c>
      <c r="F35" s="86">
        <v>299531.088030602</v>
      </c>
      <c r="I35" s="305">
        <f t="shared" si="18"/>
        <v>1.405</v>
      </c>
      <c r="J35" t="str">
        <f t="shared" si="1"/>
        <v>Trd_bus_dsl-hyb</v>
      </c>
      <c r="K35" t="str">
        <f t="shared" si="11"/>
        <v>Trd_bus_dsl-hyb_41</v>
      </c>
      <c r="L35" t="str">
        <f t="shared" si="3"/>
        <v>Trd_bus</v>
      </c>
      <c r="M35" s="306">
        <f t="shared" si="12"/>
        <v>301248.963386945</v>
      </c>
      <c r="N35" s="306">
        <f t="shared" si="13"/>
        <v>299531.088030602</v>
      </c>
      <c r="O35" s="306">
        <f t="shared" si="14"/>
        <v>299531.088030602</v>
      </c>
      <c r="P35" s="306">
        <f t="shared" si="15"/>
        <v>299531.088030602</v>
      </c>
      <c r="S35" t="s">
        <v>83</v>
      </c>
      <c r="T35" t="str">
        <f t="shared" si="16"/>
        <v>Trd_bus_dsl-hyb_41</v>
      </c>
      <c r="U35" t="str">
        <f ca="1" t="shared" si="17"/>
        <v>Hybrid diesel bus -- 41%</v>
      </c>
      <c r="V35" s="309" t="s">
        <v>84</v>
      </c>
      <c r="W35" s="309" t="s">
        <v>85</v>
      </c>
    </row>
    <row r="36" spans="2:23">
      <c r="B36" s="85">
        <v>0.426</v>
      </c>
      <c r="C36" s="86">
        <v>306597.98392569</v>
      </c>
      <c r="D36" s="86">
        <v>302231.604777014</v>
      </c>
      <c r="E36" s="86">
        <v>302231.604777014</v>
      </c>
      <c r="F36" s="86">
        <v>302231.604777014</v>
      </c>
      <c r="I36" s="305">
        <f t="shared" si="18"/>
        <v>1.426</v>
      </c>
      <c r="J36" t="str">
        <f t="shared" si="1"/>
        <v>Trd_bus_dsl-hyb</v>
      </c>
      <c r="K36" t="str">
        <f t="shared" si="11"/>
        <v>Trd_bus_dsl-hyb_43</v>
      </c>
      <c r="L36" t="str">
        <f t="shared" si="3"/>
        <v>Trd_bus</v>
      </c>
      <c r="M36" s="306">
        <f t="shared" si="12"/>
        <v>306597.98392569</v>
      </c>
      <c r="N36" s="306">
        <f t="shared" si="13"/>
        <v>302231.604777014</v>
      </c>
      <c r="O36" s="306">
        <f t="shared" si="14"/>
        <v>302231.604777014</v>
      </c>
      <c r="P36" s="306">
        <f t="shared" si="15"/>
        <v>302231.604777014</v>
      </c>
      <c r="S36" t="s">
        <v>83</v>
      </c>
      <c r="T36" t="str">
        <f t="shared" si="16"/>
        <v>Trd_bus_dsl-hyb_43</v>
      </c>
      <c r="U36" t="str">
        <f ca="1" t="shared" si="17"/>
        <v>Hybrid diesel bus -- 43%</v>
      </c>
      <c r="V36" s="309" t="s">
        <v>84</v>
      </c>
      <c r="W36" s="309" t="s">
        <v>85</v>
      </c>
    </row>
    <row r="37" spans="2:23">
      <c r="B37" s="85">
        <v>0.447</v>
      </c>
      <c r="C37" s="86">
        <v>330411.842030686</v>
      </c>
      <c r="D37" s="86">
        <v>306846.788864293</v>
      </c>
      <c r="E37" s="86">
        <v>306732.466021033</v>
      </c>
      <c r="F37" s="86">
        <v>306732.466021033</v>
      </c>
      <c r="I37" s="305">
        <f t="shared" si="18"/>
        <v>1.447</v>
      </c>
      <c r="J37" t="str">
        <f t="shared" si="1"/>
        <v>Trd_bus_dsl-hyb</v>
      </c>
      <c r="K37" t="str">
        <f t="shared" si="11"/>
        <v>Trd_bus_dsl-hyb_45</v>
      </c>
      <c r="L37" t="str">
        <f t="shared" si="3"/>
        <v>Trd_bus</v>
      </c>
      <c r="M37" s="306">
        <f t="shared" si="12"/>
        <v>330411.842030686</v>
      </c>
      <c r="N37" s="306">
        <f t="shared" si="13"/>
        <v>306846.788864293</v>
      </c>
      <c r="O37" s="306">
        <f t="shared" si="14"/>
        <v>306732.466021033</v>
      </c>
      <c r="P37" s="306">
        <f t="shared" si="15"/>
        <v>306732.466021033</v>
      </c>
      <c r="S37" t="s">
        <v>83</v>
      </c>
      <c r="T37" t="str">
        <f t="shared" si="16"/>
        <v>Trd_bus_dsl-hyb_45</v>
      </c>
      <c r="U37" t="str">
        <f ca="1" t="shared" si="17"/>
        <v>Hybrid diesel bus -- 45%</v>
      </c>
      <c r="V37" s="309" t="s">
        <v>84</v>
      </c>
      <c r="W37" s="309" t="s">
        <v>85</v>
      </c>
    </row>
    <row r="38" spans="2:23">
      <c r="B38" s="85">
        <v>0.475</v>
      </c>
      <c r="C38" s="86">
        <v>368539.537336585</v>
      </c>
      <c r="D38" s="86">
        <v>315560.890261571</v>
      </c>
      <c r="E38" s="86">
        <v>310823.248796153</v>
      </c>
      <c r="F38" s="86">
        <v>310823.248796153</v>
      </c>
      <c r="I38" s="305">
        <f t="shared" si="18"/>
        <v>1.475</v>
      </c>
      <c r="J38" t="str">
        <f t="shared" si="1"/>
        <v>Trd_bus_dsl-hyb</v>
      </c>
      <c r="K38" t="str">
        <f t="shared" si="11"/>
        <v>Trd_bus_dsl-hyb_48</v>
      </c>
      <c r="L38" t="str">
        <f t="shared" si="3"/>
        <v>Trd_bus</v>
      </c>
      <c r="M38" s="306">
        <f t="shared" si="12"/>
        <v>368539.537336585</v>
      </c>
      <c r="N38" s="306">
        <f t="shared" si="13"/>
        <v>315560.890261571</v>
      </c>
      <c r="O38" s="306">
        <f t="shared" si="14"/>
        <v>310823.248796153</v>
      </c>
      <c r="P38" s="306">
        <f t="shared" si="15"/>
        <v>310823.248796153</v>
      </c>
      <c r="S38" t="s">
        <v>83</v>
      </c>
      <c r="T38" t="str">
        <f t="shared" si="16"/>
        <v>Trd_bus_dsl-hyb_48</v>
      </c>
      <c r="U38" t="str">
        <f ca="1" t="shared" si="17"/>
        <v>Hybrid diesel bus -- 48%</v>
      </c>
      <c r="V38" s="309" t="s">
        <v>84</v>
      </c>
      <c r="W38" s="309" t="s">
        <v>85</v>
      </c>
    </row>
    <row r="39" spans="10:23">
      <c r="J39" t="str">
        <f t="shared" si="1"/>
        <v>Trd_bus_dsl-hyb</v>
      </c>
      <c r="K39" t="str">
        <f t="shared" si="11"/>
        <v>\I:</v>
      </c>
      <c r="L39" t="str">
        <f t="shared" si="3"/>
        <v>\I:</v>
      </c>
      <c r="M39" s="306" t="str">
        <f t="shared" si="12"/>
        <v/>
      </c>
      <c r="N39" s="306" t="str">
        <f t="shared" si="13"/>
        <v/>
      </c>
      <c r="O39" s="306" t="str">
        <f t="shared" si="14"/>
        <v/>
      </c>
      <c r="P39" s="306" t="str">
        <f t="shared" si="15"/>
        <v/>
      </c>
      <c r="S39" t="s">
        <v>83</v>
      </c>
      <c r="T39" t="str">
        <f t="shared" si="16"/>
        <v>\I:</v>
      </c>
      <c r="U39" t="str">
        <f ca="1" t="shared" si="17"/>
        <v>Hybrid diesel bus -- 00%</v>
      </c>
      <c r="V39" s="309" t="s">
        <v>84</v>
      </c>
      <c r="W39" s="309" t="s">
        <v>85</v>
      </c>
    </row>
    <row r="40" spans="10:23">
      <c r="J40" t="str">
        <f t="shared" si="1"/>
        <v>Trd_bus_dsl-hyb</v>
      </c>
      <c r="K40" t="str">
        <f t="shared" si="11"/>
        <v>\I:</v>
      </c>
      <c r="L40" t="str">
        <f t="shared" si="3"/>
        <v>\I:</v>
      </c>
      <c r="M40" s="306" t="str">
        <f t="shared" si="12"/>
        <v/>
      </c>
      <c r="N40" s="306" t="str">
        <f t="shared" si="13"/>
        <v/>
      </c>
      <c r="O40" s="306" t="str">
        <f t="shared" si="14"/>
        <v/>
      </c>
      <c r="P40" s="306" t="str">
        <f t="shared" si="15"/>
        <v/>
      </c>
      <c r="S40" t="s">
        <v>83</v>
      </c>
      <c r="T40" t="str">
        <f t="shared" si="16"/>
        <v>\I:</v>
      </c>
      <c r="U40" t="str">
        <f ca="1" t="shared" si="17"/>
        <v>Hybrid diesel bus -- 00%</v>
      </c>
      <c r="V40" s="309" t="s">
        <v>84</v>
      </c>
      <c r="W40" s="309" t="s">
        <v>85</v>
      </c>
    </row>
    <row r="41" spans="10:23">
      <c r="J41" t="str">
        <f t="shared" si="1"/>
        <v>Trd_bus_dsl-hyb</v>
      </c>
      <c r="K41" t="str">
        <f t="shared" si="11"/>
        <v>\I:</v>
      </c>
      <c r="L41" t="str">
        <f t="shared" si="3"/>
        <v>\I:</v>
      </c>
      <c r="M41" s="306" t="str">
        <f t="shared" si="12"/>
        <v/>
      </c>
      <c r="N41" s="306" t="str">
        <f t="shared" si="13"/>
        <v/>
      </c>
      <c r="O41" s="306" t="str">
        <f t="shared" si="14"/>
        <v/>
      </c>
      <c r="P41" s="306" t="str">
        <f t="shared" si="15"/>
        <v/>
      </c>
      <c r="S41" t="s">
        <v>83</v>
      </c>
      <c r="T41" t="str">
        <f t="shared" si="16"/>
        <v>\I:</v>
      </c>
      <c r="U41" t="str">
        <f ca="1" t="shared" si="17"/>
        <v>Hybrid diesel bus -- 00%</v>
      </c>
      <c r="V41" s="309" t="s">
        <v>84</v>
      </c>
      <c r="W41" s="309" t="s">
        <v>85</v>
      </c>
    </row>
    <row r="42" spans="10:23">
      <c r="J42" t="str">
        <f t="shared" si="1"/>
        <v>Trd_bus_dsl-hyb</v>
      </c>
      <c r="K42" t="str">
        <f t="shared" si="11"/>
        <v>\I:</v>
      </c>
      <c r="L42" t="str">
        <f t="shared" si="3"/>
        <v>\I:</v>
      </c>
      <c r="M42" s="306" t="str">
        <f t="shared" si="12"/>
        <v/>
      </c>
      <c r="N42" s="306" t="str">
        <f t="shared" si="13"/>
        <v/>
      </c>
      <c r="O42" s="306" t="str">
        <f t="shared" si="14"/>
        <v/>
      </c>
      <c r="P42" s="306" t="str">
        <f t="shared" si="15"/>
        <v/>
      </c>
      <c r="S42" t="s">
        <v>83</v>
      </c>
      <c r="T42" t="str">
        <f t="shared" si="16"/>
        <v>\I:</v>
      </c>
      <c r="U42" t="str">
        <f ca="1" t="shared" si="17"/>
        <v>Hybrid diesel bus -- 00%</v>
      </c>
      <c r="V42" s="309" t="s">
        <v>84</v>
      </c>
      <c r="W42" s="309" t="s">
        <v>85</v>
      </c>
    </row>
    <row r="43" spans="2:23">
      <c r="B43" s="43" t="s">
        <v>159</v>
      </c>
      <c r="J43" t="str">
        <f t="shared" si="1"/>
        <v>Trd_bus_dsl-hyb</v>
      </c>
      <c r="K43" t="str">
        <f t="shared" si="11"/>
        <v>\I:</v>
      </c>
      <c r="L43" t="str">
        <f t="shared" si="3"/>
        <v>\I:</v>
      </c>
      <c r="M43" s="306" t="str">
        <f t="shared" si="12"/>
        <v/>
      </c>
      <c r="N43" s="306" t="str">
        <f t="shared" si="13"/>
        <v/>
      </c>
      <c r="O43" s="306" t="str">
        <f t="shared" si="14"/>
        <v/>
      </c>
      <c r="P43" s="306" t="str">
        <f t="shared" si="15"/>
        <v/>
      </c>
      <c r="S43" t="s">
        <v>83</v>
      </c>
      <c r="T43" t="str">
        <f t="shared" si="16"/>
        <v>\I:</v>
      </c>
      <c r="U43" t="str">
        <f ca="1" t="shared" si="17"/>
        <v>Hybrid diesel bus -- Reference values for CNG bus</v>
      </c>
      <c r="V43" s="309" t="s">
        <v>84</v>
      </c>
      <c r="W43" s="309" t="s">
        <v>85</v>
      </c>
    </row>
    <row r="44" spans="2:23">
      <c r="B44" s="298">
        <v>2015</v>
      </c>
      <c r="C44" s="298"/>
      <c r="D44" s="298"/>
      <c r="J44" t="str">
        <f t="shared" si="1"/>
        <v>Trd_bus_dsl-hyb</v>
      </c>
      <c r="K44" t="str">
        <f t="shared" si="11"/>
        <v>\I:</v>
      </c>
      <c r="L44" t="str">
        <f t="shared" si="3"/>
        <v>\I:</v>
      </c>
      <c r="M44" s="306" t="str">
        <f t="shared" si="12"/>
        <v/>
      </c>
      <c r="N44" s="306" t="str">
        <f t="shared" si="13"/>
        <v/>
      </c>
      <c r="O44" s="306" t="str">
        <f t="shared" si="14"/>
        <v/>
      </c>
      <c r="P44" s="306" t="str">
        <f t="shared" si="15"/>
        <v/>
      </c>
      <c r="S44" t="s">
        <v>83</v>
      </c>
      <c r="T44" t="str">
        <f t="shared" si="16"/>
        <v>\I:</v>
      </c>
      <c r="U44" t="str">
        <f ca="1" t="shared" si="17"/>
        <v>Hybrid diesel bus -- 201500%</v>
      </c>
      <c r="V44" s="309" t="s">
        <v>84</v>
      </c>
      <c r="W44" s="309" t="s">
        <v>85</v>
      </c>
    </row>
    <row r="45" spans="2:23">
      <c r="B45" s="45" t="s">
        <v>12</v>
      </c>
      <c r="C45" s="46" t="s">
        <v>88</v>
      </c>
      <c r="D45" s="47">
        <v>30.3656435458631</v>
      </c>
      <c r="G45" s="299">
        <f>D45*$I$5/100*10^9/10^6</f>
        <v>16.3347342179606</v>
      </c>
      <c r="H45" s="299"/>
      <c r="I45" s="307">
        <f>1/G45</f>
        <v>0.0612192391168794</v>
      </c>
      <c r="J45" t="str">
        <f t="shared" si="1"/>
        <v>Trd_bus_dsl-hyb</v>
      </c>
      <c r="K45" t="str">
        <f t="shared" si="11"/>
        <v>\I:</v>
      </c>
      <c r="L45" t="str">
        <f t="shared" si="3"/>
        <v>\I:</v>
      </c>
      <c r="M45" s="306" t="str">
        <f t="shared" si="12"/>
        <v/>
      </c>
      <c r="N45" s="306" t="str">
        <f t="shared" si="13"/>
        <v/>
      </c>
      <c r="O45" s="306" t="str">
        <f t="shared" si="14"/>
        <v/>
      </c>
      <c r="P45" s="306" t="str">
        <f t="shared" si="15"/>
        <v/>
      </c>
      <c r="S45" t="s">
        <v>83</v>
      </c>
      <c r="T45" t="str">
        <f t="shared" si="16"/>
        <v>\I:</v>
      </c>
      <c r="U45" t="str">
        <f ca="1" t="shared" si="17"/>
        <v>Hybrid diesel bus -- Energy consumption</v>
      </c>
      <c r="V45" s="309" t="s">
        <v>84</v>
      </c>
      <c r="W45" s="309" t="s">
        <v>85</v>
      </c>
    </row>
    <row r="46" spans="2:23">
      <c r="B46" s="45" t="s">
        <v>14</v>
      </c>
      <c r="C46" s="46" t="s">
        <v>15</v>
      </c>
      <c r="D46" s="68">
        <v>300008.80878602</v>
      </c>
      <c r="I46" s="43" t="s">
        <v>70</v>
      </c>
      <c r="J46" t="str">
        <f t="shared" si="1"/>
        <v>Trd_bus_dsl-hyb</v>
      </c>
      <c r="K46" t="str">
        <f t="shared" si="11"/>
        <v>\I:</v>
      </c>
      <c r="L46" t="str">
        <f t="shared" si="3"/>
        <v>\I:</v>
      </c>
      <c r="M46" s="306" t="str">
        <f t="shared" si="12"/>
        <v/>
      </c>
      <c r="N46" s="306" t="str">
        <f t="shared" si="13"/>
        <v/>
      </c>
      <c r="O46" s="306" t="str">
        <f t="shared" si="14"/>
        <v/>
      </c>
      <c r="P46" s="306" t="str">
        <f t="shared" si="15"/>
        <v/>
      </c>
      <c r="S46" t="s">
        <v>83</v>
      </c>
      <c r="T46" t="str">
        <f t="shared" si="16"/>
        <v>\I:</v>
      </c>
      <c r="U46" t="str">
        <f ca="1" t="shared" si="17"/>
        <v>Hybrid diesel bus -- Capital cost</v>
      </c>
      <c r="V46" s="309" t="s">
        <v>84</v>
      </c>
      <c r="W46" s="309" t="s">
        <v>85</v>
      </c>
    </row>
    <row r="47" spans="10:23">
      <c r="J47" t="str">
        <f t="shared" si="1"/>
        <v>Trd_bus_dsl-hyb</v>
      </c>
      <c r="K47" t="str">
        <f t="shared" si="11"/>
        <v>\I:</v>
      </c>
      <c r="L47" t="str">
        <f t="shared" si="3"/>
        <v>\I:</v>
      </c>
      <c r="M47" s="306" t="str">
        <f t="shared" si="12"/>
        <v/>
      </c>
      <c r="N47" s="306" t="str">
        <f t="shared" si="13"/>
        <v/>
      </c>
      <c r="O47" s="306" t="str">
        <f t="shared" si="14"/>
        <v/>
      </c>
      <c r="P47" s="306" t="str">
        <f t="shared" si="15"/>
        <v/>
      </c>
      <c r="S47" t="s">
        <v>83</v>
      </c>
      <c r="T47" t="str">
        <f t="shared" si="16"/>
        <v>\I:</v>
      </c>
      <c r="U47" t="str">
        <f ca="1" t="shared" si="17"/>
        <v>Hybrid diesel bus -- 00%</v>
      </c>
      <c r="V47" s="309" t="s">
        <v>84</v>
      </c>
      <c r="W47" s="309" t="s">
        <v>85</v>
      </c>
    </row>
    <row r="48" ht="15" customHeight="1" spans="2:23">
      <c r="B48" s="300" t="s">
        <v>89</v>
      </c>
      <c r="C48" s="300" t="s">
        <v>151</v>
      </c>
      <c r="D48" s="300"/>
      <c r="E48" s="300"/>
      <c r="F48" s="300"/>
      <c r="J48" t="str">
        <f t="shared" si="1"/>
        <v>Trd_bus_cng</v>
      </c>
      <c r="K48" t="str">
        <f t="shared" si="11"/>
        <v>\I:</v>
      </c>
      <c r="L48" t="str">
        <f t="shared" si="3"/>
        <v>\I:</v>
      </c>
      <c r="M48" s="306" t="str">
        <f t="shared" si="12"/>
        <v/>
      </c>
      <c r="N48" s="306" t="str">
        <f t="shared" si="13"/>
        <v/>
      </c>
      <c r="O48" s="306" t="str">
        <f t="shared" si="14"/>
        <v/>
      </c>
      <c r="P48" s="306" t="str">
        <f t="shared" si="15"/>
        <v/>
      </c>
      <c r="S48" t="s">
        <v>83</v>
      </c>
      <c r="T48" t="str">
        <f t="shared" si="16"/>
        <v>\I:</v>
      </c>
      <c r="U48" t="str">
        <f ca="1" t="shared" si="17"/>
        <v>CNG bus -- Reduction of specific energy consumption relative to 2015 CNG vehicle (%)</v>
      </c>
      <c r="V48" s="309" t="s">
        <v>84</v>
      </c>
      <c r="W48" s="309" t="s">
        <v>85</v>
      </c>
    </row>
    <row r="49" spans="2:23">
      <c r="B49" s="300"/>
      <c r="C49" s="300"/>
      <c r="D49" s="300"/>
      <c r="E49" s="300"/>
      <c r="F49" s="300"/>
      <c r="J49" t="str">
        <f t="shared" si="1"/>
        <v>Trd_bus_cng</v>
      </c>
      <c r="K49" t="str">
        <f t="shared" si="11"/>
        <v>\I:</v>
      </c>
      <c r="L49" t="str">
        <f t="shared" si="3"/>
        <v>\I:</v>
      </c>
      <c r="M49" s="306" t="str">
        <f t="shared" si="12"/>
        <v/>
      </c>
      <c r="N49" s="306" t="str">
        <f t="shared" si="13"/>
        <v/>
      </c>
      <c r="O49" s="306" t="str">
        <f t="shared" si="14"/>
        <v/>
      </c>
      <c r="P49" s="306" t="str">
        <f t="shared" si="15"/>
        <v/>
      </c>
      <c r="S49" t="s">
        <v>83</v>
      </c>
      <c r="T49" t="str">
        <f t="shared" si="16"/>
        <v>\I:</v>
      </c>
      <c r="U49" t="str">
        <f ca="1" t="shared" si="17"/>
        <v>CNG bus -- 00%</v>
      </c>
      <c r="V49" s="309" t="s">
        <v>84</v>
      </c>
      <c r="W49" s="309" t="s">
        <v>85</v>
      </c>
    </row>
    <row r="50" spans="2:23">
      <c r="B50" s="300"/>
      <c r="C50" s="300"/>
      <c r="D50" s="300"/>
      <c r="E50" s="300"/>
      <c r="F50" s="300"/>
      <c r="J50" t="str">
        <f t="shared" si="1"/>
        <v>Trd_bus_cng</v>
      </c>
      <c r="K50" t="str">
        <f t="shared" si="11"/>
        <v>\I:</v>
      </c>
      <c r="L50" t="str">
        <f t="shared" si="3"/>
        <v>\I:</v>
      </c>
      <c r="M50" s="306" t="str">
        <f t="shared" si="12"/>
        <v/>
      </c>
      <c r="N50" s="306" t="str">
        <f t="shared" si="13"/>
        <v/>
      </c>
      <c r="O50" s="306" t="str">
        <f t="shared" si="14"/>
        <v/>
      </c>
      <c r="P50" s="306" t="str">
        <f t="shared" si="15"/>
        <v/>
      </c>
      <c r="S50" t="s">
        <v>83</v>
      </c>
      <c r="T50" t="str">
        <f t="shared" si="16"/>
        <v>\I:</v>
      </c>
      <c r="U50" t="str">
        <f ca="1" t="shared" si="17"/>
        <v>CNG bus -- 00%</v>
      </c>
      <c r="V50" s="309" t="s">
        <v>84</v>
      </c>
      <c r="W50" s="309" t="s">
        <v>85</v>
      </c>
    </row>
    <row r="51" spans="2:23">
      <c r="B51" s="49"/>
      <c r="C51" s="50">
        <v>2020</v>
      </c>
      <c r="D51" s="50">
        <v>2030</v>
      </c>
      <c r="E51" s="50">
        <v>2040</v>
      </c>
      <c r="F51" s="50">
        <v>2050</v>
      </c>
      <c r="J51" t="str">
        <f t="shared" si="1"/>
        <v>Trd_bus_cng</v>
      </c>
      <c r="K51" t="str">
        <f t="shared" si="11"/>
        <v>\I:</v>
      </c>
      <c r="L51" t="str">
        <f t="shared" si="3"/>
        <v>\I:</v>
      </c>
      <c r="M51" s="306" t="str">
        <f t="shared" si="12"/>
        <v/>
      </c>
      <c r="N51" s="306" t="str">
        <f t="shared" si="13"/>
        <v/>
      </c>
      <c r="O51" s="306" t="str">
        <f t="shared" si="14"/>
        <v/>
      </c>
      <c r="P51" s="306" t="str">
        <f t="shared" si="15"/>
        <v/>
      </c>
      <c r="S51" t="s">
        <v>83</v>
      </c>
      <c r="T51" t="str">
        <f t="shared" si="16"/>
        <v>\I:</v>
      </c>
      <c r="U51" t="str">
        <f ca="1" t="shared" si="17"/>
        <v>CNG bus -- 00%</v>
      </c>
      <c r="V51" s="309" t="s">
        <v>84</v>
      </c>
      <c r="W51" s="309" t="s">
        <v>85</v>
      </c>
    </row>
    <row r="52" spans="2:23">
      <c r="B52" s="85">
        <v>0.0409380868944008</v>
      </c>
      <c r="C52" s="86">
        <v>301227.803779743</v>
      </c>
      <c r="D52" s="86">
        <v>301227.803779743</v>
      </c>
      <c r="E52" s="86">
        <v>301227.803779743</v>
      </c>
      <c r="F52" s="86">
        <v>301227.803779743</v>
      </c>
      <c r="I52" s="305">
        <f>(1+B52)*$I$45/$I$7</f>
        <v>0.884250730013717</v>
      </c>
      <c r="J52" t="str">
        <f t="shared" si="1"/>
        <v>Trd_bus_cng</v>
      </c>
      <c r="K52" t="str">
        <f t="shared" si="11"/>
        <v>Trd_bus_cng_04</v>
      </c>
      <c r="L52" t="str">
        <f t="shared" si="3"/>
        <v>Trd_bus</v>
      </c>
      <c r="M52" s="306">
        <f t="shared" si="12"/>
        <v>301227.803779743</v>
      </c>
      <c r="N52" s="306">
        <f t="shared" si="13"/>
        <v>301227.803779743</v>
      </c>
      <c r="O52" s="306">
        <f t="shared" si="14"/>
        <v>301227.803779743</v>
      </c>
      <c r="P52" s="306">
        <f t="shared" si="15"/>
        <v>301227.803779743</v>
      </c>
      <c r="S52" t="s">
        <v>83</v>
      </c>
      <c r="T52" t="str">
        <f t="shared" si="16"/>
        <v>Trd_bus_cng_04</v>
      </c>
      <c r="U52" t="str">
        <f ca="1" t="shared" si="17"/>
        <v>CNG bus -- 04%</v>
      </c>
      <c r="V52" s="309" t="s">
        <v>84</v>
      </c>
      <c r="W52" s="309" t="s">
        <v>85</v>
      </c>
    </row>
    <row r="53" spans="2:23">
      <c r="B53" s="85">
        <v>0.0609380868944008</v>
      </c>
      <c r="C53" s="86">
        <v>302592.163761478</v>
      </c>
      <c r="D53" s="86">
        <v>302114.871418302</v>
      </c>
      <c r="E53" s="86">
        <v>302114.871418302</v>
      </c>
      <c r="F53" s="86">
        <v>302114.871418302</v>
      </c>
      <c r="I53" s="305">
        <f t="shared" ref="I53:I58" si="19">(1+B53)*$I$45/$I$7</f>
        <v>0.901240227105746</v>
      </c>
      <c r="J53" t="str">
        <f t="shared" si="1"/>
        <v>Trd_bus_cng</v>
      </c>
      <c r="K53" t="str">
        <f t="shared" si="11"/>
        <v>Trd_bus_cng_06</v>
      </c>
      <c r="L53" t="str">
        <f t="shared" si="3"/>
        <v>Trd_bus</v>
      </c>
      <c r="M53" s="306">
        <f t="shared" si="12"/>
        <v>302592.163761478</v>
      </c>
      <c r="N53" s="306">
        <f t="shared" si="13"/>
        <v>302114.871418302</v>
      </c>
      <c r="O53" s="306">
        <f t="shared" si="14"/>
        <v>302114.871418302</v>
      </c>
      <c r="P53" s="306">
        <f t="shared" si="15"/>
        <v>302114.871418302</v>
      </c>
      <c r="S53" t="s">
        <v>83</v>
      </c>
      <c r="T53" t="str">
        <f t="shared" si="16"/>
        <v>Trd_bus_cng_06</v>
      </c>
      <c r="U53" t="str">
        <f ca="1" t="shared" si="17"/>
        <v>CNG bus -- 06%</v>
      </c>
      <c r="V53" s="309" t="s">
        <v>84</v>
      </c>
      <c r="W53" s="309" t="s">
        <v>85</v>
      </c>
    </row>
    <row r="54" spans="2:23">
      <c r="B54" s="85">
        <v>0.0809380868944008</v>
      </c>
      <c r="C54" s="86">
        <v>304532.486446996</v>
      </c>
      <c r="D54" s="86">
        <v>304228.377942422</v>
      </c>
      <c r="E54" s="86">
        <v>304228.377942422</v>
      </c>
      <c r="F54" s="86">
        <v>304228.377942422</v>
      </c>
      <c r="I54" s="305">
        <f t="shared" si="19"/>
        <v>0.918229724197775</v>
      </c>
      <c r="J54" t="str">
        <f t="shared" si="1"/>
        <v>Trd_bus_cng</v>
      </c>
      <c r="K54" t="str">
        <f t="shared" si="11"/>
        <v>Trd_bus_cng_08</v>
      </c>
      <c r="L54" t="str">
        <f t="shared" si="3"/>
        <v>Trd_bus</v>
      </c>
      <c r="M54" s="306">
        <f t="shared" si="12"/>
        <v>304532.486446996</v>
      </c>
      <c r="N54" s="306">
        <f t="shared" si="13"/>
        <v>304228.377942422</v>
      </c>
      <c r="O54" s="306">
        <f t="shared" si="14"/>
        <v>304228.377942422</v>
      </c>
      <c r="P54" s="306">
        <f t="shared" si="15"/>
        <v>304228.377942422</v>
      </c>
      <c r="S54" t="s">
        <v>83</v>
      </c>
      <c r="T54" t="str">
        <f t="shared" si="16"/>
        <v>Trd_bus_cng_08</v>
      </c>
      <c r="U54" t="str">
        <f ca="1" t="shared" si="17"/>
        <v>CNG bus -- 08%</v>
      </c>
      <c r="V54" s="309" t="s">
        <v>84</v>
      </c>
      <c r="W54" s="309" t="s">
        <v>85</v>
      </c>
    </row>
    <row r="55" spans="2:23">
      <c r="B55" s="85">
        <v>0.110938086894401</v>
      </c>
      <c r="C55" s="86">
        <v>306292.437515412</v>
      </c>
      <c r="D55" s="86">
        <v>306028.72244003</v>
      </c>
      <c r="E55" s="86">
        <v>306028.72244003</v>
      </c>
      <c r="F55" s="86">
        <v>306028.72244003</v>
      </c>
      <c r="I55" s="305">
        <f t="shared" si="19"/>
        <v>0.943713969835818</v>
      </c>
      <c r="J55" t="str">
        <f t="shared" si="1"/>
        <v>Trd_bus_cng</v>
      </c>
      <c r="K55" t="str">
        <f t="shared" si="11"/>
        <v>Trd_bus_cng_11</v>
      </c>
      <c r="L55" t="str">
        <f t="shared" si="3"/>
        <v>Trd_bus</v>
      </c>
      <c r="M55" s="306">
        <f t="shared" si="12"/>
        <v>306292.437515412</v>
      </c>
      <c r="N55" s="306">
        <f t="shared" si="13"/>
        <v>306028.72244003</v>
      </c>
      <c r="O55" s="306">
        <f t="shared" si="14"/>
        <v>306028.72244003</v>
      </c>
      <c r="P55" s="306">
        <f t="shared" si="15"/>
        <v>306028.72244003</v>
      </c>
      <c r="S55" t="s">
        <v>83</v>
      </c>
      <c r="T55" t="str">
        <f t="shared" si="16"/>
        <v>Trd_bus_cng_11</v>
      </c>
      <c r="U55" t="str">
        <f ca="1" t="shared" si="17"/>
        <v>CNG bus -- 11%</v>
      </c>
      <c r="V55" s="309" t="s">
        <v>84</v>
      </c>
      <c r="W55" s="309" t="s">
        <v>85</v>
      </c>
    </row>
    <row r="56" spans="2:23">
      <c r="B56" s="85">
        <v>0.140938086894401</v>
      </c>
      <c r="C56" s="86">
        <v>308988.864229186</v>
      </c>
      <c r="D56" s="86">
        <v>308729.239186441</v>
      </c>
      <c r="E56" s="86">
        <v>308729.239186441</v>
      </c>
      <c r="F56" s="86">
        <v>308729.239186441</v>
      </c>
      <c r="I56" s="305">
        <f t="shared" si="19"/>
        <v>0.969198215473861</v>
      </c>
      <c r="J56" t="str">
        <f t="shared" si="1"/>
        <v>Trd_bus_cng</v>
      </c>
      <c r="K56" t="str">
        <f t="shared" si="11"/>
        <v>Trd_bus_cng_14</v>
      </c>
      <c r="L56" t="str">
        <f t="shared" si="3"/>
        <v>Trd_bus</v>
      </c>
      <c r="M56" s="306">
        <f t="shared" si="12"/>
        <v>308988.864229186</v>
      </c>
      <c r="N56" s="306">
        <f t="shared" si="13"/>
        <v>308729.239186441</v>
      </c>
      <c r="O56" s="306">
        <f t="shared" si="14"/>
        <v>308729.239186441</v>
      </c>
      <c r="P56" s="306">
        <f t="shared" si="15"/>
        <v>308729.239186441</v>
      </c>
      <c r="S56" t="s">
        <v>83</v>
      </c>
      <c r="T56" t="str">
        <f t="shared" si="16"/>
        <v>Trd_bus_cng_14</v>
      </c>
      <c r="U56" t="str">
        <f ca="1" t="shared" si="17"/>
        <v>CNG bus -- 14%</v>
      </c>
      <c r="V56" s="309" t="s">
        <v>84</v>
      </c>
      <c r="W56" s="309" t="s">
        <v>85</v>
      </c>
    </row>
    <row r="57" spans="2:23">
      <c r="B57" s="85">
        <v>0.170938086894401</v>
      </c>
      <c r="C57" s="86">
        <v>337099.135907297</v>
      </c>
      <c r="D57" s="86">
        <v>313345.338940144</v>
      </c>
      <c r="E57" s="86">
        <v>313230.10043046</v>
      </c>
      <c r="F57" s="86">
        <v>313230.10043046</v>
      </c>
      <c r="I57" s="305">
        <f t="shared" si="19"/>
        <v>0.994682461111904</v>
      </c>
      <c r="J57" t="str">
        <f t="shared" si="1"/>
        <v>Trd_bus_cng</v>
      </c>
      <c r="K57" t="str">
        <f t="shared" si="11"/>
        <v>Trd_bus_cng_17</v>
      </c>
      <c r="L57" t="str">
        <f t="shared" si="3"/>
        <v>Trd_bus</v>
      </c>
      <c r="M57" s="306">
        <f t="shared" si="12"/>
        <v>337099.135907297</v>
      </c>
      <c r="N57" s="306">
        <f t="shared" si="13"/>
        <v>313345.338940144</v>
      </c>
      <c r="O57" s="306">
        <f t="shared" si="14"/>
        <v>313230.10043046</v>
      </c>
      <c r="P57" s="306">
        <f t="shared" si="15"/>
        <v>313230.10043046</v>
      </c>
      <c r="S57" t="s">
        <v>83</v>
      </c>
      <c r="T57" t="str">
        <f t="shared" si="16"/>
        <v>Trd_bus_cng_17</v>
      </c>
      <c r="U57" t="str">
        <f ca="1" t="shared" si="17"/>
        <v>CNG bus -- 17%</v>
      </c>
      <c r="V57" s="309" t="s">
        <v>84</v>
      </c>
      <c r="W57" s="309" t="s">
        <v>85</v>
      </c>
    </row>
    <row r="58" spans="2:23">
      <c r="B58" s="85">
        <v>0.210938086894401</v>
      </c>
      <c r="C58" s="86">
        <v>398410.154996184</v>
      </c>
      <c r="D58" s="86">
        <v>323977.095968925</v>
      </c>
      <c r="E58" s="86">
        <v>317320.88320558</v>
      </c>
      <c r="F58" s="86">
        <v>317320.88320558</v>
      </c>
      <c r="I58" s="305">
        <f t="shared" si="19"/>
        <v>1.02866145529596</v>
      </c>
      <c r="J58" t="str">
        <f t="shared" si="1"/>
        <v>Trd_bus_cng</v>
      </c>
      <c r="K58" t="str">
        <f t="shared" si="11"/>
        <v>Trd_bus_cng_21</v>
      </c>
      <c r="L58" t="str">
        <f t="shared" si="3"/>
        <v>Trd_bus</v>
      </c>
      <c r="M58" s="306">
        <f t="shared" si="12"/>
        <v>398410.154996184</v>
      </c>
      <c r="N58" s="306">
        <f t="shared" si="13"/>
        <v>323977.095968925</v>
      </c>
      <c r="O58" s="306">
        <f t="shared" si="14"/>
        <v>317320.88320558</v>
      </c>
      <c r="P58" s="306">
        <f t="shared" si="15"/>
        <v>317320.88320558</v>
      </c>
      <c r="S58" t="s">
        <v>83</v>
      </c>
      <c r="T58" t="str">
        <f t="shared" si="16"/>
        <v>Trd_bus_cng_21</v>
      </c>
      <c r="U58" t="str">
        <f ca="1" t="shared" si="17"/>
        <v>CNG bus -- 21%</v>
      </c>
      <c r="V58" s="309" t="s">
        <v>84</v>
      </c>
      <c r="W58" s="309" t="s">
        <v>85</v>
      </c>
    </row>
    <row r="59" spans="10:23">
      <c r="J59" t="str">
        <f t="shared" si="1"/>
        <v>Trd_bus_cng</v>
      </c>
      <c r="K59" t="str">
        <f t="shared" si="11"/>
        <v>\I:</v>
      </c>
      <c r="L59" t="str">
        <f t="shared" si="3"/>
        <v>\I:</v>
      </c>
      <c r="M59" s="306" t="str">
        <f t="shared" si="12"/>
        <v/>
      </c>
      <c r="N59" s="306" t="str">
        <f t="shared" si="13"/>
        <v/>
      </c>
      <c r="O59" s="306" t="str">
        <f t="shared" si="14"/>
        <v/>
      </c>
      <c r="P59" s="306" t="str">
        <f t="shared" si="15"/>
        <v/>
      </c>
      <c r="S59" t="s">
        <v>83</v>
      </c>
      <c r="T59" t="str">
        <f t="shared" si="16"/>
        <v>\I:</v>
      </c>
      <c r="U59" t="str">
        <f ca="1" t="shared" si="17"/>
        <v>CNG bus -- 00%</v>
      </c>
      <c r="V59" s="309" t="s">
        <v>84</v>
      </c>
      <c r="W59" s="309" t="s">
        <v>85</v>
      </c>
    </row>
    <row r="60" spans="10:23">
      <c r="J60" t="str">
        <f t="shared" si="1"/>
        <v>Trd_bus_cng</v>
      </c>
      <c r="K60" t="str">
        <f t="shared" si="11"/>
        <v>\I:</v>
      </c>
      <c r="L60" t="str">
        <f t="shared" si="3"/>
        <v>\I:</v>
      </c>
      <c r="M60" s="306" t="str">
        <f t="shared" si="12"/>
        <v/>
      </c>
      <c r="N60" s="306" t="str">
        <f t="shared" si="13"/>
        <v/>
      </c>
      <c r="O60" s="306" t="str">
        <f t="shared" si="14"/>
        <v/>
      </c>
      <c r="P60" s="306" t="str">
        <f t="shared" si="15"/>
        <v/>
      </c>
      <c r="S60" t="s">
        <v>83</v>
      </c>
      <c r="T60" t="str">
        <f t="shared" si="16"/>
        <v>\I:</v>
      </c>
      <c r="U60" t="str">
        <f ca="1" t="shared" si="17"/>
        <v>CNG bus -- 00%</v>
      </c>
      <c r="V60" s="309" t="s">
        <v>84</v>
      </c>
      <c r="W60" s="309" t="s">
        <v>85</v>
      </c>
    </row>
    <row r="61" spans="10:23">
      <c r="J61" t="str">
        <f t="shared" si="1"/>
        <v>Trd_bus_cng</v>
      </c>
      <c r="K61" t="str">
        <f t="shared" si="11"/>
        <v>\I:</v>
      </c>
      <c r="L61" t="str">
        <f t="shared" si="3"/>
        <v>\I:</v>
      </c>
      <c r="M61" s="306" t="str">
        <f t="shared" si="12"/>
        <v/>
      </c>
      <c r="N61" s="306" t="str">
        <f t="shared" si="13"/>
        <v/>
      </c>
      <c r="O61" s="306" t="str">
        <f t="shared" si="14"/>
        <v/>
      </c>
      <c r="P61" s="306" t="str">
        <f t="shared" si="15"/>
        <v/>
      </c>
      <c r="S61" t="s">
        <v>83</v>
      </c>
      <c r="T61" t="str">
        <f t="shared" si="16"/>
        <v>\I:</v>
      </c>
      <c r="U61" t="str">
        <f ca="1" t="shared" si="17"/>
        <v>CNG bus -- 00%</v>
      </c>
      <c r="V61" s="309" t="s">
        <v>84</v>
      </c>
      <c r="W61" s="309" t="s">
        <v>85</v>
      </c>
    </row>
    <row r="62" spans="10:23">
      <c r="J62" t="str">
        <f t="shared" si="1"/>
        <v>Trd_bus_cng</v>
      </c>
      <c r="K62" t="str">
        <f t="shared" si="11"/>
        <v>\I:</v>
      </c>
      <c r="L62" t="str">
        <f t="shared" si="3"/>
        <v>\I:</v>
      </c>
      <c r="M62" s="306" t="str">
        <f t="shared" si="12"/>
        <v/>
      </c>
      <c r="N62" s="306" t="str">
        <f t="shared" si="13"/>
        <v/>
      </c>
      <c r="O62" s="306" t="str">
        <f t="shared" si="14"/>
        <v/>
      </c>
      <c r="P62" s="306" t="str">
        <f t="shared" si="15"/>
        <v/>
      </c>
      <c r="S62" t="s">
        <v>83</v>
      </c>
      <c r="T62" t="str">
        <f t="shared" si="16"/>
        <v>\I:</v>
      </c>
      <c r="U62" t="str">
        <f ca="1" t="shared" si="17"/>
        <v>CNG bus -- 00%</v>
      </c>
      <c r="V62" s="309" t="s">
        <v>84</v>
      </c>
      <c r="W62" s="309" t="s">
        <v>85</v>
      </c>
    </row>
    <row r="63" spans="2:23">
      <c r="B63" s="43" t="s">
        <v>160</v>
      </c>
      <c r="J63" t="str">
        <f t="shared" si="1"/>
        <v>Trd_bus_cng</v>
      </c>
      <c r="K63" t="str">
        <f t="shared" si="11"/>
        <v>\I:</v>
      </c>
      <c r="L63" t="str">
        <f t="shared" si="3"/>
        <v>\I:</v>
      </c>
      <c r="M63" s="306" t="str">
        <f t="shared" si="12"/>
        <v/>
      </c>
      <c r="N63" s="306" t="str">
        <f t="shared" si="13"/>
        <v/>
      </c>
      <c r="O63" s="306" t="str">
        <f t="shared" si="14"/>
        <v/>
      </c>
      <c r="P63" s="306" t="str">
        <f t="shared" si="15"/>
        <v/>
      </c>
      <c r="S63" t="s">
        <v>83</v>
      </c>
      <c r="T63" t="str">
        <f t="shared" si="16"/>
        <v>\I:</v>
      </c>
      <c r="U63" t="str">
        <f ca="1" t="shared" si="17"/>
        <v>CNG bus -- Reference values for LPG bus</v>
      </c>
      <c r="V63" s="309" t="s">
        <v>84</v>
      </c>
      <c r="W63" s="309" t="s">
        <v>85</v>
      </c>
    </row>
    <row r="64" spans="2:23">
      <c r="B64" s="298">
        <v>2015</v>
      </c>
      <c r="C64" s="298"/>
      <c r="D64" s="298"/>
      <c r="J64" t="str">
        <f t="shared" si="1"/>
        <v>Trd_bus_cng</v>
      </c>
      <c r="K64" t="str">
        <f t="shared" si="11"/>
        <v>\I:</v>
      </c>
      <c r="L64" t="str">
        <f t="shared" si="3"/>
        <v>\I:</v>
      </c>
      <c r="M64" s="306" t="str">
        <f t="shared" si="12"/>
        <v/>
      </c>
      <c r="N64" s="306" t="str">
        <f t="shared" si="13"/>
        <v/>
      </c>
      <c r="O64" s="306" t="str">
        <f t="shared" si="14"/>
        <v/>
      </c>
      <c r="P64" s="306" t="str">
        <f t="shared" si="15"/>
        <v/>
      </c>
      <c r="S64" t="s">
        <v>83</v>
      </c>
      <c r="T64" t="str">
        <f t="shared" si="16"/>
        <v>\I:</v>
      </c>
      <c r="U64" t="str">
        <f ca="1" t="shared" si="17"/>
        <v>CNG bus -- 201500%</v>
      </c>
      <c r="V64" s="309" t="s">
        <v>84</v>
      </c>
      <c r="W64" s="309" t="s">
        <v>85</v>
      </c>
    </row>
    <row r="65" spans="2:23">
      <c r="B65" s="45" t="s">
        <v>12</v>
      </c>
      <c r="C65" s="46" t="s">
        <v>13</v>
      </c>
      <c r="D65" s="47">
        <v>44.5875272319002</v>
      </c>
      <c r="J65" t="str">
        <f t="shared" si="1"/>
        <v>Trd_bus_cng</v>
      </c>
      <c r="K65" t="str">
        <f t="shared" si="11"/>
        <v>\I:</v>
      </c>
      <c r="L65" t="str">
        <f t="shared" si="3"/>
        <v>\I:</v>
      </c>
      <c r="M65" s="306" t="str">
        <f t="shared" si="12"/>
        <v/>
      </c>
      <c r="N65" s="306" t="str">
        <f t="shared" si="13"/>
        <v/>
      </c>
      <c r="O65" s="306" t="str">
        <f t="shared" si="14"/>
        <v/>
      </c>
      <c r="P65" s="306" t="str">
        <f t="shared" si="15"/>
        <v/>
      </c>
      <c r="S65" t="s">
        <v>83</v>
      </c>
      <c r="T65" t="str">
        <f t="shared" si="16"/>
        <v>\I:</v>
      </c>
      <c r="U65" t="str">
        <f ca="1" t="shared" si="17"/>
        <v>CNG bus -- Energy consumption</v>
      </c>
      <c r="V65" s="309" t="s">
        <v>84</v>
      </c>
      <c r="W65" s="309" t="s">
        <v>85</v>
      </c>
    </row>
    <row r="66" spans="2:23">
      <c r="B66" s="45" t="s">
        <v>14</v>
      </c>
      <c r="C66" s="46" t="s">
        <v>15</v>
      </c>
      <c r="D66" s="68">
        <v>293034.342145544</v>
      </c>
      <c r="J66" t="str">
        <f t="shared" si="1"/>
        <v>Trd_bus_cng</v>
      </c>
      <c r="K66" t="str">
        <f t="shared" si="11"/>
        <v>\I:</v>
      </c>
      <c r="L66" t="str">
        <f t="shared" si="3"/>
        <v>\I:</v>
      </c>
      <c r="M66" s="306" t="str">
        <f t="shared" si="12"/>
        <v/>
      </c>
      <c r="N66" s="306" t="str">
        <f t="shared" si="13"/>
        <v/>
      </c>
      <c r="O66" s="306" t="str">
        <f t="shared" si="14"/>
        <v/>
      </c>
      <c r="P66" s="306" t="str">
        <f t="shared" si="15"/>
        <v/>
      </c>
      <c r="S66" t="s">
        <v>83</v>
      </c>
      <c r="T66" t="str">
        <f t="shared" si="16"/>
        <v>\I:</v>
      </c>
      <c r="U66" t="str">
        <f ca="1" t="shared" si="17"/>
        <v>CNG bus -- Capital cost</v>
      </c>
      <c r="V66" s="309" t="s">
        <v>84</v>
      </c>
      <c r="W66" s="309" t="s">
        <v>85</v>
      </c>
    </row>
    <row r="67" spans="10:23">
      <c r="J67" t="str">
        <f t="shared" si="1"/>
        <v>Trd_bus_cng</v>
      </c>
      <c r="K67" t="str">
        <f t="shared" si="11"/>
        <v>\I:</v>
      </c>
      <c r="L67" t="str">
        <f t="shared" si="3"/>
        <v>\I:</v>
      </c>
      <c r="M67" s="306" t="str">
        <f t="shared" si="12"/>
        <v/>
      </c>
      <c r="N67" s="306" t="str">
        <f t="shared" si="13"/>
        <v/>
      </c>
      <c r="O67" s="306" t="str">
        <f t="shared" si="14"/>
        <v/>
      </c>
      <c r="P67" s="306" t="str">
        <f t="shared" si="15"/>
        <v/>
      </c>
      <c r="S67" t="s">
        <v>83</v>
      </c>
      <c r="T67" t="str">
        <f t="shared" si="16"/>
        <v>\I:</v>
      </c>
      <c r="U67" t="str">
        <f ca="1" t="shared" si="17"/>
        <v>CNG bus -- 00%</v>
      </c>
      <c r="V67" s="309" t="s">
        <v>84</v>
      </c>
      <c r="W67" s="309" t="s">
        <v>85</v>
      </c>
    </row>
    <row r="68" ht="15" customHeight="1" spans="2:23">
      <c r="B68" s="300" t="s">
        <v>91</v>
      </c>
      <c r="C68" s="300" t="s">
        <v>152</v>
      </c>
      <c r="D68" s="300"/>
      <c r="E68" s="300"/>
      <c r="F68" s="300"/>
      <c r="J68" t="str">
        <f t="shared" si="1"/>
        <v>\I:Trd_bus_lpg</v>
      </c>
      <c r="K68" t="str">
        <f t="shared" si="11"/>
        <v>\I:</v>
      </c>
      <c r="L68" t="str">
        <f t="shared" si="3"/>
        <v>\I:</v>
      </c>
      <c r="M68" s="306" t="str">
        <f t="shared" si="12"/>
        <v/>
      </c>
      <c r="N68" s="306" t="str">
        <f t="shared" si="13"/>
        <v/>
      </c>
      <c r="O68" s="306" t="str">
        <f t="shared" si="14"/>
        <v/>
      </c>
      <c r="P68" s="306" t="str">
        <f t="shared" si="15"/>
        <v/>
      </c>
      <c r="S68" t="s">
        <v>83</v>
      </c>
      <c r="T68" t="str">
        <f t="shared" si="16"/>
        <v>\I:</v>
      </c>
      <c r="U68" t="str">
        <f ca="1" t="shared" si="17"/>
        <v>LPG bus -- Reduction of specific energy consumption relative to 2015 LPG vehicle (%)</v>
      </c>
      <c r="V68" s="309" t="s">
        <v>84</v>
      </c>
      <c r="W68" s="309" t="s">
        <v>85</v>
      </c>
    </row>
    <row r="69" spans="2:23">
      <c r="B69" s="300"/>
      <c r="C69" s="300"/>
      <c r="D69" s="300"/>
      <c r="E69" s="300"/>
      <c r="F69" s="300"/>
      <c r="J69" t="str">
        <f t="shared" si="1"/>
        <v>\I:Trd_bus_lpg</v>
      </c>
      <c r="K69" t="str">
        <f t="shared" si="11"/>
        <v>\I:</v>
      </c>
      <c r="L69" t="str">
        <f t="shared" si="3"/>
        <v>\I:</v>
      </c>
      <c r="M69" s="306" t="str">
        <f t="shared" si="12"/>
        <v/>
      </c>
      <c r="N69" s="306" t="str">
        <f t="shared" si="13"/>
        <v/>
      </c>
      <c r="O69" s="306" t="str">
        <f t="shared" si="14"/>
        <v/>
      </c>
      <c r="P69" s="306" t="str">
        <f t="shared" si="15"/>
        <v/>
      </c>
      <c r="S69" t="s">
        <v>83</v>
      </c>
      <c r="T69" t="str">
        <f t="shared" si="16"/>
        <v>\I:</v>
      </c>
      <c r="U69" t="str">
        <f ca="1" t="shared" si="17"/>
        <v>LPG bus -- 00%</v>
      </c>
      <c r="V69" s="309" t="s">
        <v>84</v>
      </c>
      <c r="W69" s="309" t="s">
        <v>85</v>
      </c>
    </row>
    <row r="70" spans="2:23">
      <c r="B70" s="300"/>
      <c r="C70" s="300"/>
      <c r="D70" s="300"/>
      <c r="E70" s="300"/>
      <c r="F70" s="300"/>
      <c r="J70" t="str">
        <f t="shared" si="1"/>
        <v>\I:Trd_bus_lpg</v>
      </c>
      <c r="K70" t="str">
        <f t="shared" si="11"/>
        <v>\I:</v>
      </c>
      <c r="L70" t="str">
        <f t="shared" si="3"/>
        <v>\I:</v>
      </c>
      <c r="M70" s="306" t="str">
        <f t="shared" si="12"/>
        <v/>
      </c>
      <c r="N70" s="306" t="str">
        <f t="shared" si="13"/>
        <v/>
      </c>
      <c r="O70" s="306" t="str">
        <f t="shared" si="14"/>
        <v/>
      </c>
      <c r="P70" s="306" t="str">
        <f t="shared" si="15"/>
        <v/>
      </c>
      <c r="S70" t="s">
        <v>83</v>
      </c>
      <c r="T70" t="str">
        <f t="shared" si="16"/>
        <v>\I:</v>
      </c>
      <c r="U70" t="str">
        <f ca="1" t="shared" si="17"/>
        <v>LPG bus -- 00%</v>
      </c>
      <c r="V70" s="309" t="s">
        <v>84</v>
      </c>
      <c r="W70" s="309" t="s">
        <v>85</v>
      </c>
    </row>
    <row r="71" spans="2:23">
      <c r="B71" s="49"/>
      <c r="C71" s="50">
        <v>2020</v>
      </c>
      <c r="D71" s="50">
        <v>2030</v>
      </c>
      <c r="E71" s="50">
        <v>2040</v>
      </c>
      <c r="F71" s="50">
        <v>2050</v>
      </c>
      <c r="J71" t="str">
        <f t="shared" si="1"/>
        <v>\I:Trd_bus_lpg</v>
      </c>
      <c r="K71" t="str">
        <f t="shared" si="11"/>
        <v>\I:</v>
      </c>
      <c r="L71" t="str">
        <f t="shared" si="3"/>
        <v>\I:</v>
      </c>
      <c r="M71" s="306" t="str">
        <f t="shared" si="12"/>
        <v/>
      </c>
      <c r="N71" s="306" t="str">
        <f t="shared" si="13"/>
        <v/>
      </c>
      <c r="O71" s="306" t="str">
        <f t="shared" si="14"/>
        <v/>
      </c>
      <c r="P71" s="306" t="str">
        <f t="shared" si="15"/>
        <v/>
      </c>
      <c r="S71" t="s">
        <v>83</v>
      </c>
      <c r="T71" t="str">
        <f t="shared" si="16"/>
        <v>\I:</v>
      </c>
      <c r="U71" t="str">
        <f ca="1" t="shared" si="17"/>
        <v>LPG bus -- 00%</v>
      </c>
      <c r="V71" s="309" t="s">
        <v>84</v>
      </c>
      <c r="W71" s="309" t="s">
        <v>85</v>
      </c>
    </row>
    <row r="72" spans="2:23">
      <c r="B72" s="85">
        <v>0.0409380868944008</v>
      </c>
      <c r="C72" s="86">
        <v>294253.337139267</v>
      </c>
      <c r="D72" s="86">
        <v>294253.337139267</v>
      </c>
      <c r="E72" s="86">
        <v>294253.337139267</v>
      </c>
      <c r="F72" s="86">
        <v>294253.337139267</v>
      </c>
      <c r="J72" t="str">
        <f t="shared" si="1"/>
        <v>\I:Trd_bus_lpg</v>
      </c>
      <c r="K72" t="str">
        <f t="shared" si="11"/>
        <v>\I:Trd_bus_lpg_04</v>
      </c>
      <c r="L72" t="str">
        <f t="shared" si="3"/>
        <v>\I:Trd_</v>
      </c>
      <c r="M72" s="306">
        <f t="shared" si="12"/>
        <v>294253.337139267</v>
      </c>
      <c r="N72" s="306">
        <f t="shared" si="13"/>
        <v>294253.337139267</v>
      </c>
      <c r="O72" s="306">
        <f t="shared" si="14"/>
        <v>294253.337139267</v>
      </c>
      <c r="P72" s="306">
        <f t="shared" si="15"/>
        <v>294253.337139267</v>
      </c>
      <c r="S72" t="s">
        <v>83</v>
      </c>
      <c r="T72" t="str">
        <f t="shared" si="16"/>
        <v>\I:Trd_bus_lpg_04</v>
      </c>
      <c r="U72" t="str">
        <f ca="1" t="shared" si="17"/>
        <v>LPG bus -- 04%</v>
      </c>
      <c r="V72" s="309" t="s">
        <v>84</v>
      </c>
      <c r="W72" s="309" t="s">
        <v>85</v>
      </c>
    </row>
    <row r="73" spans="2:23">
      <c r="B73" s="85">
        <v>0.0609380868944008</v>
      </c>
      <c r="C73" s="86">
        <v>295617.697121002</v>
      </c>
      <c r="D73" s="86">
        <v>295140.404777826</v>
      </c>
      <c r="E73" s="86">
        <v>295140.404777826</v>
      </c>
      <c r="F73" s="86">
        <v>295140.404777826</v>
      </c>
      <c r="J73" t="str">
        <f t="shared" si="1"/>
        <v>\I:Trd_bus_lpg</v>
      </c>
      <c r="K73" t="str">
        <f t="shared" si="11"/>
        <v>\I:Trd_bus_lpg_06</v>
      </c>
      <c r="L73" t="str">
        <f t="shared" si="3"/>
        <v>\I:Trd_</v>
      </c>
      <c r="M73" s="306">
        <f t="shared" si="12"/>
        <v>295617.697121002</v>
      </c>
      <c r="N73" s="306">
        <f t="shared" si="13"/>
        <v>295140.404777826</v>
      </c>
      <c r="O73" s="306">
        <f t="shared" si="14"/>
        <v>295140.404777826</v>
      </c>
      <c r="P73" s="306">
        <f t="shared" si="15"/>
        <v>295140.404777826</v>
      </c>
      <c r="S73" t="s">
        <v>83</v>
      </c>
      <c r="T73" t="str">
        <f t="shared" si="16"/>
        <v>\I:Trd_bus_lpg_06</v>
      </c>
      <c r="U73" t="str">
        <f ca="1" t="shared" si="17"/>
        <v>LPG bus -- 06%</v>
      </c>
      <c r="V73" s="309" t="s">
        <v>84</v>
      </c>
      <c r="W73" s="309" t="s">
        <v>85</v>
      </c>
    </row>
    <row r="74" spans="2:23">
      <c r="B74" s="85">
        <v>0.0809380868944008</v>
      </c>
      <c r="C74" s="86">
        <v>297558.01980652</v>
      </c>
      <c r="D74" s="86">
        <v>297253.911301946</v>
      </c>
      <c r="E74" s="86">
        <v>297253.911301946</v>
      </c>
      <c r="F74" s="86">
        <v>297253.911301946</v>
      </c>
      <c r="J74" t="str">
        <f t="shared" si="1"/>
        <v>\I:Trd_bus_lpg</v>
      </c>
      <c r="K74" t="str">
        <f t="shared" si="11"/>
        <v>\I:Trd_bus_lpg_08</v>
      </c>
      <c r="L74" t="str">
        <f t="shared" si="3"/>
        <v>\I:Trd_</v>
      </c>
      <c r="M74" s="306">
        <f t="shared" si="12"/>
        <v>297558.01980652</v>
      </c>
      <c r="N74" s="306">
        <f t="shared" si="13"/>
        <v>297253.911301946</v>
      </c>
      <c r="O74" s="306">
        <f t="shared" si="14"/>
        <v>297253.911301946</v>
      </c>
      <c r="P74" s="306">
        <f t="shared" si="15"/>
        <v>297253.911301946</v>
      </c>
      <c r="S74" t="s">
        <v>83</v>
      </c>
      <c r="T74" t="str">
        <f t="shared" si="16"/>
        <v>\I:Trd_bus_lpg_08</v>
      </c>
      <c r="U74" t="str">
        <f ca="1" t="shared" si="17"/>
        <v>LPG bus -- 08%</v>
      </c>
      <c r="V74" s="309" t="s">
        <v>84</v>
      </c>
      <c r="W74" s="309" t="s">
        <v>85</v>
      </c>
    </row>
    <row r="75" spans="2:23">
      <c r="B75" s="85">
        <v>0.110938086894401</v>
      </c>
      <c r="C75" s="86">
        <v>299317.970874936</v>
      </c>
      <c r="D75" s="86">
        <v>299054.255799554</v>
      </c>
      <c r="E75" s="86">
        <v>299054.255799554</v>
      </c>
      <c r="F75" s="86">
        <v>299054.255799554</v>
      </c>
      <c r="J75" t="str">
        <f t="shared" si="1"/>
        <v>\I:Trd_bus_lpg</v>
      </c>
      <c r="K75" t="str">
        <f t="shared" si="11"/>
        <v>\I:Trd_bus_lpg_11</v>
      </c>
      <c r="L75" t="str">
        <f t="shared" si="3"/>
        <v>\I:Trd_</v>
      </c>
      <c r="M75" s="306">
        <f t="shared" si="12"/>
        <v>299317.970874936</v>
      </c>
      <c r="N75" s="306">
        <f t="shared" si="13"/>
        <v>299054.255799554</v>
      </c>
      <c r="O75" s="306">
        <f t="shared" si="14"/>
        <v>299054.255799554</v>
      </c>
      <c r="P75" s="306">
        <f t="shared" si="15"/>
        <v>299054.255799554</v>
      </c>
      <c r="S75" t="s">
        <v>83</v>
      </c>
      <c r="T75" t="str">
        <f t="shared" si="16"/>
        <v>\I:Trd_bus_lpg_11</v>
      </c>
      <c r="U75" t="str">
        <f ca="1" t="shared" si="17"/>
        <v>LPG bus -- 11%</v>
      </c>
      <c r="V75" s="309" t="s">
        <v>84</v>
      </c>
      <c r="W75" s="309" t="s">
        <v>85</v>
      </c>
    </row>
    <row r="76" spans="2:23">
      <c r="B76" s="85">
        <v>0.140938086894401</v>
      </c>
      <c r="C76" s="86">
        <v>302014.39758871</v>
      </c>
      <c r="D76" s="86">
        <v>301754.772545965</v>
      </c>
      <c r="E76" s="86">
        <v>301754.772545965</v>
      </c>
      <c r="F76" s="86">
        <v>301754.772545965</v>
      </c>
      <c r="J76" t="str">
        <f t="shared" si="1"/>
        <v>\I:Trd_bus_lpg</v>
      </c>
      <c r="K76" t="str">
        <f t="shared" si="11"/>
        <v>\I:Trd_bus_lpg_14</v>
      </c>
      <c r="L76" t="str">
        <f t="shared" si="3"/>
        <v>\I:Trd_</v>
      </c>
      <c r="M76" s="306">
        <f t="shared" si="12"/>
        <v>302014.39758871</v>
      </c>
      <c r="N76" s="306">
        <f t="shared" si="13"/>
        <v>301754.772545965</v>
      </c>
      <c r="O76" s="306">
        <f t="shared" si="14"/>
        <v>301754.772545965</v>
      </c>
      <c r="P76" s="306">
        <f t="shared" si="15"/>
        <v>301754.772545965</v>
      </c>
      <c r="S76" t="s">
        <v>83</v>
      </c>
      <c r="T76" t="str">
        <f t="shared" si="16"/>
        <v>\I:Trd_bus_lpg_14</v>
      </c>
      <c r="U76" t="str">
        <f ca="1" t="shared" si="17"/>
        <v>LPG bus -- 14%</v>
      </c>
      <c r="V76" s="309" t="s">
        <v>84</v>
      </c>
      <c r="W76" s="309" t="s">
        <v>85</v>
      </c>
    </row>
    <row r="77" spans="2:23">
      <c r="B77" s="85">
        <v>0.170938086894401</v>
      </c>
      <c r="C77" s="86">
        <v>330124.669266821</v>
      </c>
      <c r="D77" s="86">
        <v>306370.872299667</v>
      </c>
      <c r="E77" s="86">
        <v>306255.633789984</v>
      </c>
      <c r="F77" s="86">
        <v>306255.633789984</v>
      </c>
      <c r="J77" t="str">
        <f t="shared" si="1"/>
        <v>\I:Trd_bus_lpg</v>
      </c>
      <c r="K77" t="str">
        <f t="shared" si="11"/>
        <v>\I:Trd_bus_lpg_17</v>
      </c>
      <c r="L77" t="str">
        <f t="shared" si="3"/>
        <v>\I:Trd_</v>
      </c>
      <c r="M77" s="306">
        <f t="shared" si="12"/>
        <v>330124.669266821</v>
      </c>
      <c r="N77" s="306">
        <f t="shared" si="13"/>
        <v>306370.872299667</v>
      </c>
      <c r="O77" s="306">
        <f t="shared" si="14"/>
        <v>306255.633789984</v>
      </c>
      <c r="P77" s="306">
        <f t="shared" si="15"/>
        <v>306255.633789984</v>
      </c>
      <c r="S77" t="s">
        <v>83</v>
      </c>
      <c r="T77" t="str">
        <f t="shared" si="16"/>
        <v>\I:Trd_bus_lpg_17</v>
      </c>
      <c r="U77" t="str">
        <f ca="1" t="shared" si="17"/>
        <v>LPG bus -- 17%</v>
      </c>
      <c r="V77" s="309" t="s">
        <v>84</v>
      </c>
      <c r="W77" s="309" t="s">
        <v>85</v>
      </c>
    </row>
    <row r="78" spans="2:23">
      <c r="B78" s="85">
        <v>0.210938086894401</v>
      </c>
      <c r="C78" s="86">
        <v>391435.688355708</v>
      </c>
      <c r="D78" s="86">
        <v>317002.629328449</v>
      </c>
      <c r="E78" s="86">
        <v>310346.416565104</v>
      </c>
      <c r="F78" s="86">
        <v>310346.416565104</v>
      </c>
      <c r="J78" t="str">
        <f t="shared" ref="J78:J141" si="20">IFERROR(VLOOKUP(C78,$R$1:$S$9,2,FALSE),J77)</f>
        <v>\I:Trd_bus_lpg</v>
      </c>
      <c r="K78" t="str">
        <f t="shared" si="11"/>
        <v>\I:Trd_bus_lpg_21</v>
      </c>
      <c r="L78" t="str">
        <f t="shared" ref="L78:L141" si="21">LEFT(K78,7)</f>
        <v>\I:Trd_</v>
      </c>
      <c r="M78" s="306">
        <f t="shared" si="12"/>
        <v>391435.688355708</v>
      </c>
      <c r="N78" s="306">
        <f t="shared" si="13"/>
        <v>317002.629328449</v>
      </c>
      <c r="O78" s="306">
        <f t="shared" si="14"/>
        <v>310346.416565104</v>
      </c>
      <c r="P78" s="306">
        <f t="shared" si="15"/>
        <v>310346.416565104</v>
      </c>
      <c r="S78" t="s">
        <v>83</v>
      </c>
      <c r="T78" t="str">
        <f t="shared" si="16"/>
        <v>\I:Trd_bus_lpg_21</v>
      </c>
      <c r="U78" t="str">
        <f ca="1" t="shared" si="17"/>
        <v>LPG bus -- 21%</v>
      </c>
      <c r="V78" s="309" t="s">
        <v>84</v>
      </c>
      <c r="W78" s="309" t="s">
        <v>85</v>
      </c>
    </row>
    <row r="79" spans="10:23">
      <c r="J79" t="str">
        <f t="shared" si="20"/>
        <v>\I:Trd_bus_lpg</v>
      </c>
      <c r="K79" t="str">
        <f t="shared" si="11"/>
        <v>\I:</v>
      </c>
      <c r="L79" t="str">
        <f t="shared" si="21"/>
        <v>\I:</v>
      </c>
      <c r="M79" s="306" t="str">
        <f t="shared" si="12"/>
        <v/>
      </c>
      <c r="N79" s="306" t="str">
        <f t="shared" si="13"/>
        <v/>
      </c>
      <c r="O79" s="306" t="str">
        <f t="shared" si="14"/>
        <v/>
      </c>
      <c r="P79" s="306" t="str">
        <f t="shared" si="15"/>
        <v/>
      </c>
      <c r="S79" t="s">
        <v>83</v>
      </c>
      <c r="T79" t="str">
        <f t="shared" si="16"/>
        <v>\I:</v>
      </c>
      <c r="U79" t="str">
        <f ca="1" t="shared" si="17"/>
        <v>LPG bus -- 00%</v>
      </c>
      <c r="V79" s="309" t="s">
        <v>84</v>
      </c>
      <c r="W79" s="309" t="s">
        <v>85</v>
      </c>
    </row>
    <row r="80" spans="10:23">
      <c r="J80" t="str">
        <f t="shared" si="20"/>
        <v>\I:Trd_bus_lpg</v>
      </c>
      <c r="K80" t="str">
        <f t="shared" si="11"/>
        <v>\I:</v>
      </c>
      <c r="L80" t="str">
        <f t="shared" si="21"/>
        <v>\I:</v>
      </c>
      <c r="M80" s="306" t="str">
        <f t="shared" si="12"/>
        <v/>
      </c>
      <c r="N80" s="306" t="str">
        <f t="shared" si="13"/>
        <v/>
      </c>
      <c r="O80" s="306" t="str">
        <f t="shared" si="14"/>
        <v/>
      </c>
      <c r="P80" s="306" t="str">
        <f t="shared" si="15"/>
        <v/>
      </c>
      <c r="S80" t="s">
        <v>83</v>
      </c>
      <c r="T80" t="str">
        <f t="shared" si="16"/>
        <v>\I:</v>
      </c>
      <c r="U80" t="str">
        <f ca="1" t="shared" si="17"/>
        <v>LPG bus -- 00%</v>
      </c>
      <c r="V80" s="309" t="s">
        <v>84</v>
      </c>
      <c r="W80" s="309" t="s">
        <v>85</v>
      </c>
    </row>
    <row r="81" spans="10:23">
      <c r="J81" t="str">
        <f t="shared" si="20"/>
        <v>\I:Trd_bus_lpg</v>
      </c>
      <c r="K81" t="str">
        <f t="shared" si="11"/>
        <v>\I:</v>
      </c>
      <c r="L81" t="str">
        <f t="shared" si="21"/>
        <v>\I:</v>
      </c>
      <c r="M81" s="306" t="str">
        <f t="shared" si="12"/>
        <v/>
      </c>
      <c r="N81" s="306" t="str">
        <f t="shared" si="13"/>
        <v/>
      </c>
      <c r="O81" s="306" t="str">
        <f t="shared" si="14"/>
        <v/>
      </c>
      <c r="P81" s="306" t="str">
        <f t="shared" si="15"/>
        <v/>
      </c>
      <c r="S81" t="s">
        <v>83</v>
      </c>
      <c r="T81" t="str">
        <f t="shared" si="16"/>
        <v>\I:</v>
      </c>
      <c r="U81" t="str">
        <f ca="1" t="shared" si="17"/>
        <v>LPG bus -- 00%</v>
      </c>
      <c r="V81" s="309" t="s">
        <v>84</v>
      </c>
      <c r="W81" s="309" t="s">
        <v>85</v>
      </c>
    </row>
    <row r="82" spans="2:23">
      <c r="B82" s="298">
        <v>2020</v>
      </c>
      <c r="C82" s="298"/>
      <c r="D82" s="298"/>
      <c r="J82" t="str">
        <f t="shared" si="20"/>
        <v>\I:Trd_bus_lpg</v>
      </c>
      <c r="K82" t="str">
        <f t="shared" si="11"/>
        <v>\I:</v>
      </c>
      <c r="L82" t="str">
        <f t="shared" si="21"/>
        <v>\I:</v>
      </c>
      <c r="M82" s="306" t="str">
        <f t="shared" si="12"/>
        <v/>
      </c>
      <c r="N82" s="306" t="str">
        <f t="shared" si="13"/>
        <v/>
      </c>
      <c r="O82" s="306" t="str">
        <f t="shared" si="14"/>
        <v/>
      </c>
      <c r="P82" s="306" t="str">
        <f t="shared" si="15"/>
        <v/>
      </c>
      <c r="S82" t="s">
        <v>83</v>
      </c>
      <c r="T82" t="str">
        <f t="shared" si="16"/>
        <v>\I:</v>
      </c>
      <c r="U82" t="str">
        <f ca="1" t="shared" si="17"/>
        <v>LPG bus -- 202000%</v>
      </c>
      <c r="V82" s="309" t="s">
        <v>84</v>
      </c>
      <c r="W82" s="309" t="s">
        <v>85</v>
      </c>
    </row>
    <row r="83" spans="2:23">
      <c r="B83" s="45" t="s">
        <v>161</v>
      </c>
      <c r="C83" s="46" t="s">
        <v>26</v>
      </c>
      <c r="D83" s="74">
        <v>1.15</v>
      </c>
      <c r="G83" s="77">
        <f>D83/3.6/100*10^9/10^6</f>
        <v>3.19444444444444</v>
      </c>
      <c r="H83" s="77"/>
      <c r="I83" s="310">
        <f>1/G83-0.1</f>
        <v>0.21304347826087</v>
      </c>
      <c r="J83" t="str">
        <f t="shared" si="20"/>
        <v>\I:Trd_bus_lpg</v>
      </c>
      <c r="K83" t="str">
        <f t="shared" si="11"/>
        <v>\I:</v>
      </c>
      <c r="L83" t="str">
        <f t="shared" si="21"/>
        <v>\I:</v>
      </c>
      <c r="M83" s="306" t="str">
        <f t="shared" si="12"/>
        <v/>
      </c>
      <c r="N83" s="306" t="str">
        <f t="shared" si="13"/>
        <v/>
      </c>
      <c r="O83" s="306" t="str">
        <f t="shared" si="14"/>
        <v/>
      </c>
      <c r="P83" s="306" t="str">
        <f t="shared" si="15"/>
        <v/>
      </c>
      <c r="S83" t="s">
        <v>83</v>
      </c>
      <c r="T83" t="str">
        <f t="shared" si="16"/>
        <v>\I:</v>
      </c>
      <c r="U83" t="str">
        <f ca="1" t="shared" si="17"/>
        <v>LPG bus -- Energy consumption of Battery electric bus </v>
      </c>
      <c r="V83" s="309" t="s">
        <v>84</v>
      </c>
      <c r="W83" s="309" t="s">
        <v>85</v>
      </c>
    </row>
    <row r="84" spans="9:23">
      <c r="I84" s="311" t="s">
        <v>70</v>
      </c>
      <c r="J84" t="str">
        <f t="shared" si="20"/>
        <v>\I:Trd_bus_lpg</v>
      </c>
      <c r="K84" t="str">
        <f t="shared" si="11"/>
        <v>\I:</v>
      </c>
      <c r="L84" t="str">
        <f t="shared" si="21"/>
        <v>\I:</v>
      </c>
      <c r="M84" s="306" t="str">
        <f t="shared" si="12"/>
        <v/>
      </c>
      <c r="N84" s="306" t="str">
        <f t="shared" si="13"/>
        <v/>
      </c>
      <c r="O84" s="306" t="str">
        <f t="shared" si="14"/>
        <v/>
      </c>
      <c r="P84" s="306" t="str">
        <f t="shared" si="15"/>
        <v/>
      </c>
      <c r="S84" t="s">
        <v>83</v>
      </c>
      <c r="T84" t="str">
        <f t="shared" si="16"/>
        <v>\I:</v>
      </c>
      <c r="U84" t="str">
        <f ca="1" t="shared" si="17"/>
        <v>LPG bus -- 00%</v>
      </c>
      <c r="V84" s="309" t="s">
        <v>84</v>
      </c>
      <c r="W84" s="309" t="s">
        <v>85</v>
      </c>
    </row>
    <row r="85" ht="15" customHeight="1" spans="2:23">
      <c r="B85" s="300" t="s">
        <v>27</v>
      </c>
      <c r="C85" s="300" t="s">
        <v>154</v>
      </c>
      <c r="D85" s="300"/>
      <c r="E85" s="300"/>
      <c r="F85" s="300"/>
      <c r="J85" t="str">
        <f t="shared" si="20"/>
        <v>Trd_bus_elc</v>
      </c>
      <c r="K85" t="str">
        <f t="shared" si="11"/>
        <v>\I:</v>
      </c>
      <c r="L85" t="str">
        <f t="shared" si="21"/>
        <v>\I:</v>
      </c>
      <c r="M85" s="306" t="str">
        <f t="shared" si="12"/>
        <v/>
      </c>
      <c r="N85" s="306" t="str">
        <f t="shared" si="13"/>
        <v/>
      </c>
      <c r="O85" s="306" t="str">
        <f t="shared" si="14"/>
        <v/>
      </c>
      <c r="P85" s="306" t="str">
        <f t="shared" si="15"/>
        <v/>
      </c>
      <c r="S85" t="s">
        <v>83</v>
      </c>
      <c r="T85" t="str">
        <f t="shared" si="16"/>
        <v>\I:</v>
      </c>
      <c r="U85" t="str">
        <f ca="1" t="shared" si="17"/>
        <v>Battery electric bus -- Electric range (km)</v>
      </c>
      <c r="V85" s="309" t="s">
        <v>84</v>
      </c>
      <c r="W85" s="309" t="s">
        <v>85</v>
      </c>
    </row>
    <row r="86" spans="2:23">
      <c r="B86" s="300"/>
      <c r="C86" s="300"/>
      <c r="D86" s="300"/>
      <c r="E86" s="300"/>
      <c r="F86" s="300"/>
      <c r="J86" t="str">
        <f t="shared" si="20"/>
        <v>Trd_bus_elc</v>
      </c>
      <c r="K86" t="str">
        <f t="shared" si="11"/>
        <v>\I:</v>
      </c>
      <c r="L86" t="str">
        <f t="shared" si="21"/>
        <v>\I:</v>
      </c>
      <c r="M86" s="306" t="str">
        <f t="shared" si="12"/>
        <v/>
      </c>
      <c r="N86" s="306" t="str">
        <f t="shared" si="13"/>
        <v/>
      </c>
      <c r="O86" s="306" t="str">
        <f t="shared" si="14"/>
        <v/>
      </c>
      <c r="P86" s="306" t="str">
        <f t="shared" si="15"/>
        <v/>
      </c>
      <c r="S86" t="s">
        <v>83</v>
      </c>
      <c r="T86" t="str">
        <f t="shared" si="16"/>
        <v>\I:</v>
      </c>
      <c r="U86" t="str">
        <f ca="1" t="shared" si="17"/>
        <v>Battery electric bus -- 00%</v>
      </c>
      <c r="V86" s="309" t="s">
        <v>84</v>
      </c>
      <c r="W86" s="309" t="s">
        <v>85</v>
      </c>
    </row>
    <row r="87" spans="2:23">
      <c r="B87" s="300"/>
      <c r="C87" s="300"/>
      <c r="D87" s="300"/>
      <c r="E87" s="300"/>
      <c r="F87" s="300"/>
      <c r="J87" t="str">
        <f t="shared" si="20"/>
        <v>Trd_bus_elc</v>
      </c>
      <c r="K87" t="str">
        <f t="shared" si="11"/>
        <v>\I:</v>
      </c>
      <c r="L87" t="str">
        <f t="shared" si="21"/>
        <v>\I:</v>
      </c>
      <c r="M87" s="306" t="str">
        <f t="shared" si="12"/>
        <v/>
      </c>
      <c r="N87" s="306" t="str">
        <f t="shared" si="13"/>
        <v/>
      </c>
      <c r="O87" s="306" t="str">
        <f t="shared" si="14"/>
        <v/>
      </c>
      <c r="P87" s="306" t="str">
        <f t="shared" si="15"/>
        <v/>
      </c>
      <c r="S87" t="s">
        <v>83</v>
      </c>
      <c r="T87" t="str">
        <f t="shared" si="16"/>
        <v>\I:</v>
      </c>
      <c r="U87" t="str">
        <f ca="1" t="shared" si="17"/>
        <v>Battery electric bus -- 00%</v>
      </c>
      <c r="V87" s="309" t="s">
        <v>84</v>
      </c>
      <c r="W87" s="309" t="s">
        <v>85</v>
      </c>
    </row>
    <row r="88" spans="2:23">
      <c r="B88" s="49"/>
      <c r="C88" s="50">
        <v>2020</v>
      </c>
      <c r="D88" s="50">
        <v>2030</v>
      </c>
      <c r="E88" s="50">
        <v>2040</v>
      </c>
      <c r="F88" s="50">
        <v>2050</v>
      </c>
      <c r="J88" t="str">
        <f t="shared" si="20"/>
        <v>Trd_bus_elc</v>
      </c>
      <c r="K88" t="str">
        <f t="shared" ref="K88:K151" si="22">IFERROR(IF(VALUE(C88)&gt;2020,J88&amp;"_"&amp;TEXT(B88*100,"00"),"\I:"),"\I:")</f>
        <v>\I:</v>
      </c>
      <c r="L88" t="str">
        <f t="shared" si="21"/>
        <v>\I:</v>
      </c>
      <c r="M88" s="306" t="str">
        <f t="shared" ref="M88:M151" si="23">IF($K88="\I:","",C88)</f>
        <v/>
      </c>
      <c r="N88" s="306" t="str">
        <f t="shared" ref="N88:N151" si="24">IF($K88="\I:","",D88)</f>
        <v/>
      </c>
      <c r="O88" s="306" t="str">
        <f t="shared" ref="O88:O151" si="25">IF($K88="\I:","",E88)</f>
        <v/>
      </c>
      <c r="P88" s="306" t="str">
        <f t="shared" ref="P88:P151" si="26">IF($K88="\I:","",F88)</f>
        <v/>
      </c>
      <c r="S88" t="s">
        <v>83</v>
      </c>
      <c r="T88" t="str">
        <f t="shared" ref="T88:T151" si="27">K88</f>
        <v>\I:</v>
      </c>
      <c r="U88" t="str">
        <f ca="1" t="shared" ref="U88:U151" si="28">OFFSET($S$1,MATCH(J88,$S$1:$S$12,0)-1,-1)&amp;" -- "&amp;TEXT(B88,"00%")</f>
        <v>Battery electric bus -- 00%</v>
      </c>
      <c r="V88" s="309" t="s">
        <v>84</v>
      </c>
      <c r="W88" s="309" t="s">
        <v>85</v>
      </c>
    </row>
    <row r="89" spans="2:23">
      <c r="B89" s="66">
        <v>120</v>
      </c>
      <c r="C89" s="86">
        <v>414282.581831388</v>
      </c>
      <c r="D89" s="86">
        <v>303169.459903534</v>
      </c>
      <c r="E89" s="86">
        <v>289801.053326816</v>
      </c>
      <c r="F89" s="86">
        <v>284257.075106368</v>
      </c>
      <c r="I89" s="312">
        <f>$I$83/$I$7</f>
        <v>2.95617979462175</v>
      </c>
      <c r="J89" t="str">
        <f t="shared" si="20"/>
        <v>Trd_bus_elc</v>
      </c>
      <c r="K89" t="str">
        <f>IFERROR(IF(VALUE(C89)&gt;2020,J89&amp;"_"&amp;TEXT(B89,"00"),"\I:"),"\I:")</f>
        <v>Trd_bus_elc_120</v>
      </c>
      <c r="L89" t="str">
        <f t="shared" si="21"/>
        <v>Trd_bus</v>
      </c>
      <c r="M89" s="306">
        <f t="shared" si="23"/>
        <v>414282.581831388</v>
      </c>
      <c r="N89" s="306">
        <f t="shared" si="24"/>
        <v>303169.459903534</v>
      </c>
      <c r="O89" s="306">
        <f t="shared" si="25"/>
        <v>289801.053326816</v>
      </c>
      <c r="P89" s="306">
        <f t="shared" si="26"/>
        <v>284257.075106368</v>
      </c>
      <c r="Q89" s="43">
        <v>0.05</v>
      </c>
      <c r="S89" t="s">
        <v>83</v>
      </c>
      <c r="T89" t="str">
        <f t="shared" si="27"/>
        <v>Trd_bus_elc_120</v>
      </c>
      <c r="U89" t="str">
        <f ca="1" t="shared" si="28"/>
        <v>Battery electric bus -- 12000%</v>
      </c>
      <c r="V89" s="309" t="s">
        <v>84</v>
      </c>
      <c r="W89" s="309" t="s">
        <v>85</v>
      </c>
    </row>
    <row r="90" spans="2:23">
      <c r="B90" s="66">
        <v>134.285714285714</v>
      </c>
      <c r="C90" s="86">
        <v>418677.39136009</v>
      </c>
      <c r="D90" s="86">
        <v>306294.576352111</v>
      </c>
      <c r="E90" s="86">
        <v>291398.806588617</v>
      </c>
      <c r="F90" s="86">
        <v>285221.419427949</v>
      </c>
      <c r="I90" s="312">
        <f t="shared" ref="I90:I96" si="29">$I$83/$I$7</f>
        <v>2.95617979462175</v>
      </c>
      <c r="J90" t="str">
        <f t="shared" si="20"/>
        <v>Trd_bus_elc</v>
      </c>
      <c r="K90" t="str">
        <f t="shared" ref="K90:K96" si="30">IFERROR(IF(VALUE(C90)&gt;2020,J90&amp;"_"&amp;TEXT(B90,"00"),"\I:"),"\I:")</f>
        <v>Trd_bus_elc_134</v>
      </c>
      <c r="L90" t="str">
        <f t="shared" si="21"/>
        <v>Trd_bus</v>
      </c>
      <c r="M90" s="306">
        <f t="shared" si="23"/>
        <v>418677.39136009</v>
      </c>
      <c r="N90" s="306">
        <f t="shared" si="24"/>
        <v>306294.576352111</v>
      </c>
      <c r="O90" s="306">
        <f t="shared" si="25"/>
        <v>291398.806588617</v>
      </c>
      <c r="P90" s="306">
        <f t="shared" si="26"/>
        <v>285221.419427949</v>
      </c>
      <c r="Q90" s="43">
        <v>0.05</v>
      </c>
      <c r="S90" t="s">
        <v>83</v>
      </c>
      <c r="T90" t="str">
        <f t="shared" si="27"/>
        <v>Trd_bus_elc_134</v>
      </c>
      <c r="U90" t="str">
        <f ca="1" t="shared" si="28"/>
        <v>Battery electric bus -- 13429%</v>
      </c>
      <c r="V90" s="309" t="s">
        <v>84</v>
      </c>
      <c r="W90" s="309" t="s">
        <v>85</v>
      </c>
    </row>
    <row r="91" spans="2:23">
      <c r="B91" s="66">
        <v>148.571428571429</v>
      </c>
      <c r="C91" s="86">
        <v>421065.599852614</v>
      </c>
      <c r="D91" s="86">
        <v>307992.813691836</v>
      </c>
      <c r="E91" s="86">
        <v>292267.050794396</v>
      </c>
      <c r="F91" s="86">
        <v>285745.45927165</v>
      </c>
      <c r="I91" s="312">
        <f t="shared" si="29"/>
        <v>2.95617979462175</v>
      </c>
      <c r="J91" t="str">
        <f t="shared" si="20"/>
        <v>Trd_bus_elc</v>
      </c>
      <c r="K91" t="str">
        <f t="shared" si="30"/>
        <v>Trd_bus_elc_149</v>
      </c>
      <c r="L91" t="str">
        <f t="shared" si="21"/>
        <v>Trd_bus</v>
      </c>
      <c r="M91" s="306">
        <f t="shared" si="23"/>
        <v>421065.599852614</v>
      </c>
      <c r="N91" s="306">
        <f t="shared" si="24"/>
        <v>307992.813691836</v>
      </c>
      <c r="O91" s="306">
        <f t="shared" si="25"/>
        <v>292267.050794396</v>
      </c>
      <c r="P91" s="306">
        <f t="shared" si="26"/>
        <v>285745.45927165</v>
      </c>
      <c r="Q91" s="43">
        <v>0.05</v>
      </c>
      <c r="S91" t="s">
        <v>83</v>
      </c>
      <c r="T91" t="str">
        <f t="shared" si="27"/>
        <v>Trd_bus_elc_149</v>
      </c>
      <c r="U91" t="str">
        <f ca="1" t="shared" si="28"/>
        <v>Battery electric bus -- 14857%</v>
      </c>
      <c r="V91" s="309" t="s">
        <v>84</v>
      </c>
      <c r="W91" s="309" t="s">
        <v>85</v>
      </c>
    </row>
    <row r="92" spans="2:23">
      <c r="B92" s="66">
        <v>162.857142857143</v>
      </c>
      <c r="C92" s="86">
        <v>423484.304232436</v>
      </c>
      <c r="D92" s="86">
        <v>309712.736430754</v>
      </c>
      <c r="E92" s="86">
        <v>293146.38192057</v>
      </c>
      <c r="F92" s="86">
        <v>286276.1907673</v>
      </c>
      <c r="I92" s="312">
        <f t="shared" si="29"/>
        <v>2.95617979462175</v>
      </c>
      <c r="J92" t="str">
        <f t="shared" si="20"/>
        <v>Trd_bus_elc</v>
      </c>
      <c r="K92" t="str">
        <f t="shared" si="30"/>
        <v>Trd_bus_elc_163</v>
      </c>
      <c r="L92" t="str">
        <f t="shared" si="21"/>
        <v>Trd_bus</v>
      </c>
      <c r="M92" s="306">
        <f t="shared" si="23"/>
        <v>423484.304232436</v>
      </c>
      <c r="N92" s="306">
        <f t="shared" si="24"/>
        <v>309712.736430754</v>
      </c>
      <c r="O92" s="306">
        <f t="shared" si="25"/>
        <v>293146.38192057</v>
      </c>
      <c r="P92" s="306">
        <f t="shared" si="26"/>
        <v>286276.1907673</v>
      </c>
      <c r="Q92" s="43">
        <v>0.05</v>
      </c>
      <c r="S92" t="s">
        <v>83</v>
      </c>
      <c r="T92" t="str">
        <f t="shared" si="27"/>
        <v>Trd_bus_elc_163</v>
      </c>
      <c r="U92" t="str">
        <f ca="1" t="shared" si="28"/>
        <v>Battery electric bus -- 16286%</v>
      </c>
      <c r="V92" s="309" t="s">
        <v>84</v>
      </c>
      <c r="W92" s="309" t="s">
        <v>85</v>
      </c>
    </row>
    <row r="93" spans="2:23">
      <c r="B93" s="66">
        <v>177.142857142857</v>
      </c>
      <c r="C93" s="86">
        <v>426045.337290405</v>
      </c>
      <c r="D93" s="86">
        <v>311533.868036695</v>
      </c>
      <c r="E93" s="86">
        <v>294077.457293741</v>
      </c>
      <c r="F93" s="86">
        <v>286838.153161962</v>
      </c>
      <c r="I93" s="312">
        <f t="shared" si="29"/>
        <v>2.95617979462175</v>
      </c>
      <c r="J93" t="str">
        <f t="shared" si="20"/>
        <v>Trd_bus_elc</v>
      </c>
      <c r="K93" t="str">
        <f t="shared" si="30"/>
        <v>Trd_bus_elc_177</v>
      </c>
      <c r="L93" t="str">
        <f t="shared" si="21"/>
        <v>Trd_bus</v>
      </c>
      <c r="M93" s="306">
        <f t="shared" si="23"/>
        <v>426045.337290405</v>
      </c>
      <c r="N93" s="306">
        <f t="shared" si="24"/>
        <v>311533.868036695</v>
      </c>
      <c r="O93" s="306">
        <f t="shared" si="25"/>
        <v>294077.457293741</v>
      </c>
      <c r="P93" s="306">
        <f t="shared" si="26"/>
        <v>286838.153161962</v>
      </c>
      <c r="Q93" s="43">
        <v>0.15</v>
      </c>
      <c r="S93" t="s">
        <v>83</v>
      </c>
      <c r="T93" t="str">
        <f t="shared" si="27"/>
        <v>Trd_bus_elc_177</v>
      </c>
      <c r="U93" t="str">
        <f ca="1" t="shared" si="28"/>
        <v>Battery electric bus -- 17714%</v>
      </c>
      <c r="V93" s="309" t="s">
        <v>84</v>
      </c>
      <c r="W93" s="309" t="s">
        <v>85</v>
      </c>
    </row>
    <row r="94" spans="2:23">
      <c r="B94" s="66">
        <v>191.428571428571</v>
      </c>
      <c r="C94" s="86">
        <v>429934.421537582</v>
      </c>
      <c r="D94" s="86">
        <v>314299.366989808</v>
      </c>
      <c r="E94" s="86">
        <v>295873.386780209</v>
      </c>
      <c r="F94" s="86">
        <v>287922.109266851</v>
      </c>
      <c r="I94" s="312">
        <f t="shared" si="29"/>
        <v>2.95617979462175</v>
      </c>
      <c r="J94" t="str">
        <f t="shared" si="20"/>
        <v>Trd_bus_elc</v>
      </c>
      <c r="K94" t="str">
        <f t="shared" si="30"/>
        <v>Trd_bus_elc_191</v>
      </c>
      <c r="L94" t="str">
        <f t="shared" si="21"/>
        <v>Trd_bus</v>
      </c>
      <c r="M94" s="306">
        <f t="shared" si="23"/>
        <v>429934.421537582</v>
      </c>
      <c r="N94" s="306">
        <f t="shared" si="24"/>
        <v>314299.366989808</v>
      </c>
      <c r="O94" s="306">
        <f t="shared" si="25"/>
        <v>295873.386780209</v>
      </c>
      <c r="P94" s="306">
        <f t="shared" si="26"/>
        <v>287922.109266851</v>
      </c>
      <c r="Q94" s="43">
        <v>0.175</v>
      </c>
      <c r="S94" t="s">
        <v>83</v>
      </c>
      <c r="T94" t="str">
        <f t="shared" si="27"/>
        <v>Trd_bus_elc_191</v>
      </c>
      <c r="U94" t="str">
        <f ca="1" t="shared" si="28"/>
        <v>Battery electric bus -- 19143%</v>
      </c>
      <c r="V94" s="309" t="s">
        <v>84</v>
      </c>
      <c r="W94" s="309" t="s">
        <v>85</v>
      </c>
    </row>
    <row r="95" spans="2:23">
      <c r="B95" s="66">
        <v>205.714285714286</v>
      </c>
      <c r="C95" s="86">
        <v>434837.321877915</v>
      </c>
      <c r="D95" s="86">
        <v>317785.783044756</v>
      </c>
      <c r="E95" s="86">
        <v>297678.678035306</v>
      </c>
      <c r="F95" s="86">
        <v>289011.715786377</v>
      </c>
      <c r="I95" s="312">
        <f t="shared" si="29"/>
        <v>2.95617979462175</v>
      </c>
      <c r="J95" t="str">
        <f t="shared" si="20"/>
        <v>Trd_bus_elc</v>
      </c>
      <c r="K95" t="str">
        <f t="shared" si="30"/>
        <v>Trd_bus_elc_206</v>
      </c>
      <c r="L95" t="str">
        <f t="shared" si="21"/>
        <v>Trd_bus</v>
      </c>
      <c r="M95" s="306">
        <f t="shared" si="23"/>
        <v>434837.321877915</v>
      </c>
      <c r="N95" s="306">
        <f t="shared" si="24"/>
        <v>317785.783044756</v>
      </c>
      <c r="O95" s="306">
        <f t="shared" si="25"/>
        <v>297678.678035306</v>
      </c>
      <c r="P95" s="306">
        <f t="shared" si="26"/>
        <v>289011.715786377</v>
      </c>
      <c r="Q95" s="43">
        <v>0.2</v>
      </c>
      <c r="S95" t="s">
        <v>83</v>
      </c>
      <c r="T95" t="str">
        <f t="shared" si="27"/>
        <v>Trd_bus_elc_206</v>
      </c>
      <c r="U95" t="str">
        <f ca="1" t="shared" si="28"/>
        <v>Battery electric bus -- 20571%</v>
      </c>
      <c r="V95" s="309" t="s">
        <v>84</v>
      </c>
      <c r="W95" s="309" t="s">
        <v>85</v>
      </c>
    </row>
    <row r="96" spans="2:23">
      <c r="B96" s="66">
        <v>220</v>
      </c>
      <c r="C96" s="86">
        <v>439775.623723911</v>
      </c>
      <c r="D96" s="86">
        <v>321297.372847721</v>
      </c>
      <c r="E96" s="86">
        <v>299069.166215671</v>
      </c>
      <c r="F96" s="86">
        <v>289850.96262944</v>
      </c>
      <c r="I96" s="312">
        <f t="shared" si="29"/>
        <v>2.95617979462175</v>
      </c>
      <c r="J96" t="str">
        <f t="shared" si="20"/>
        <v>Trd_bus_elc</v>
      </c>
      <c r="K96" t="str">
        <f t="shared" si="30"/>
        <v>Trd_bus_elc_220</v>
      </c>
      <c r="L96" t="str">
        <f t="shared" si="21"/>
        <v>Trd_bus</v>
      </c>
      <c r="M96" s="306">
        <f t="shared" si="23"/>
        <v>439775.623723911</v>
      </c>
      <c r="N96" s="306">
        <f t="shared" si="24"/>
        <v>321297.372847721</v>
      </c>
      <c r="O96" s="306">
        <f t="shared" si="25"/>
        <v>299069.166215671</v>
      </c>
      <c r="P96" s="306">
        <f t="shared" si="26"/>
        <v>289850.96262944</v>
      </c>
      <c r="S96" t="s">
        <v>83</v>
      </c>
      <c r="T96" t="str">
        <f t="shared" si="27"/>
        <v>Trd_bus_elc_220</v>
      </c>
      <c r="U96" t="str">
        <f ca="1" t="shared" si="28"/>
        <v>Battery electric bus -- 22000%</v>
      </c>
      <c r="V96" s="309" t="s">
        <v>84</v>
      </c>
      <c r="W96" s="309" t="s">
        <v>85</v>
      </c>
    </row>
    <row r="97" spans="10:23">
      <c r="J97" t="str">
        <f t="shared" si="20"/>
        <v>Trd_bus_elc</v>
      </c>
      <c r="K97" t="str">
        <f t="shared" si="22"/>
        <v>\I:</v>
      </c>
      <c r="L97" t="str">
        <f t="shared" si="21"/>
        <v>\I:</v>
      </c>
      <c r="M97" s="306" t="str">
        <f t="shared" si="23"/>
        <v/>
      </c>
      <c r="N97" s="306" t="str">
        <f t="shared" si="24"/>
        <v/>
      </c>
      <c r="O97" s="306" t="str">
        <f t="shared" si="25"/>
        <v/>
      </c>
      <c r="P97" s="306" t="str">
        <f t="shared" si="26"/>
        <v/>
      </c>
      <c r="S97" t="s">
        <v>83</v>
      </c>
      <c r="T97" t="str">
        <f t="shared" si="27"/>
        <v>\I:</v>
      </c>
      <c r="U97" t="str">
        <f ca="1" t="shared" si="28"/>
        <v>Battery electric bus -- 00%</v>
      </c>
      <c r="V97" s="309" t="s">
        <v>84</v>
      </c>
      <c r="W97" s="309" t="s">
        <v>85</v>
      </c>
    </row>
    <row r="98" spans="10:23">
      <c r="J98" t="str">
        <f t="shared" si="20"/>
        <v>Trd_bus_elc</v>
      </c>
      <c r="K98" t="str">
        <f t="shared" si="22"/>
        <v>\I:</v>
      </c>
      <c r="L98" t="str">
        <f t="shared" si="21"/>
        <v>\I:</v>
      </c>
      <c r="M98" s="306" t="str">
        <f t="shared" si="23"/>
        <v/>
      </c>
      <c r="N98" s="306" t="str">
        <f t="shared" si="24"/>
        <v/>
      </c>
      <c r="O98" s="306" t="str">
        <f t="shared" si="25"/>
        <v/>
      </c>
      <c r="P98" s="306" t="str">
        <f t="shared" si="26"/>
        <v/>
      </c>
      <c r="S98" t="s">
        <v>83</v>
      </c>
      <c r="T98" t="str">
        <f t="shared" si="27"/>
        <v>\I:</v>
      </c>
      <c r="U98" t="str">
        <f ca="1" t="shared" si="28"/>
        <v>Battery electric bus -- 00%</v>
      </c>
      <c r="V98" s="309" t="s">
        <v>84</v>
      </c>
      <c r="W98" s="309" t="s">
        <v>85</v>
      </c>
    </row>
    <row r="99" ht="15.75" customHeight="1" spans="10:23">
      <c r="J99" t="str">
        <f t="shared" si="20"/>
        <v>Trd_bus_elc</v>
      </c>
      <c r="K99" t="str">
        <f t="shared" si="22"/>
        <v>\I:</v>
      </c>
      <c r="L99" t="str">
        <f t="shared" si="21"/>
        <v>\I:</v>
      </c>
      <c r="M99" s="306" t="str">
        <f t="shared" si="23"/>
        <v/>
      </c>
      <c r="N99" s="306" t="str">
        <f t="shared" si="24"/>
        <v/>
      </c>
      <c r="O99" s="306" t="str">
        <f t="shared" si="25"/>
        <v/>
      </c>
      <c r="P99" s="306" t="str">
        <f t="shared" si="26"/>
        <v/>
      </c>
      <c r="S99" t="s">
        <v>83</v>
      </c>
      <c r="T99" t="str">
        <f t="shared" si="27"/>
        <v>\I:</v>
      </c>
      <c r="U99" t="str">
        <f ca="1" t="shared" si="28"/>
        <v>Battery electric bus -- 00%</v>
      </c>
      <c r="V99" s="309" t="s">
        <v>84</v>
      </c>
      <c r="W99" s="309" t="s">
        <v>85</v>
      </c>
    </row>
    <row r="100" ht="20.25" customHeight="1" spans="2:23">
      <c r="B100" s="300" t="s">
        <v>29</v>
      </c>
      <c r="C100" s="300" t="s">
        <v>155</v>
      </c>
      <c r="D100" s="300"/>
      <c r="E100" s="300"/>
      <c r="F100" s="300"/>
      <c r="J100" t="str">
        <f t="shared" si="20"/>
        <v>Trd_bus_hh2</v>
      </c>
      <c r="K100" t="str">
        <f t="shared" si="22"/>
        <v>\I:</v>
      </c>
      <c r="L100" t="str">
        <f t="shared" si="21"/>
        <v>\I:</v>
      </c>
      <c r="M100" s="306" t="str">
        <f t="shared" si="23"/>
        <v/>
      </c>
      <c r="N100" s="306" t="str">
        <f t="shared" si="24"/>
        <v/>
      </c>
      <c r="O100" s="306" t="str">
        <f t="shared" si="25"/>
        <v/>
      </c>
      <c r="P100" s="306" t="str">
        <f t="shared" si="26"/>
        <v/>
      </c>
      <c r="S100" t="s">
        <v>83</v>
      </c>
      <c r="T100" t="str">
        <f t="shared" si="27"/>
        <v>\I:</v>
      </c>
      <c r="U100" t="str">
        <f ca="1" t="shared" si="28"/>
        <v>Hydrogen fuel cell bus -- Energy consumption (kg H2/100km)</v>
      </c>
      <c r="V100" s="309" t="s">
        <v>84</v>
      </c>
      <c r="W100" s="309" t="s">
        <v>85</v>
      </c>
    </row>
    <row r="101" ht="20.25" customHeight="1" spans="2:23">
      <c r="B101" s="300"/>
      <c r="C101" s="300"/>
      <c r="D101" s="300"/>
      <c r="E101" s="300"/>
      <c r="F101" s="300"/>
      <c r="J101" t="str">
        <f t="shared" si="20"/>
        <v>Trd_bus_hh2</v>
      </c>
      <c r="K101" t="str">
        <f t="shared" si="22"/>
        <v>\I:</v>
      </c>
      <c r="L101" t="str">
        <f t="shared" si="21"/>
        <v>\I:</v>
      </c>
      <c r="M101" s="306" t="str">
        <f t="shared" si="23"/>
        <v/>
      </c>
      <c r="N101" s="306" t="str">
        <f t="shared" si="24"/>
        <v/>
      </c>
      <c r="O101" s="306" t="str">
        <f t="shared" si="25"/>
        <v/>
      </c>
      <c r="P101" s="306" t="str">
        <f t="shared" si="26"/>
        <v/>
      </c>
      <c r="S101" t="s">
        <v>83</v>
      </c>
      <c r="T101" t="str">
        <f t="shared" si="27"/>
        <v>\I:</v>
      </c>
      <c r="U101" t="str">
        <f ca="1" t="shared" si="28"/>
        <v>Hydrogen fuel cell bus -- 00%</v>
      </c>
      <c r="V101" s="309" t="s">
        <v>84</v>
      </c>
      <c r="W101" s="309" t="s">
        <v>85</v>
      </c>
    </row>
    <row r="102" spans="2:23">
      <c r="B102" s="300"/>
      <c r="C102" s="300"/>
      <c r="D102" s="300"/>
      <c r="E102" s="300"/>
      <c r="F102" s="300"/>
      <c r="J102" t="str">
        <f t="shared" si="20"/>
        <v>Trd_bus_hh2</v>
      </c>
      <c r="K102" t="str">
        <f t="shared" si="22"/>
        <v>\I:</v>
      </c>
      <c r="L102" t="str">
        <f t="shared" si="21"/>
        <v>\I:</v>
      </c>
      <c r="M102" s="306" t="str">
        <f t="shared" si="23"/>
        <v/>
      </c>
      <c r="N102" s="306" t="str">
        <f t="shared" si="24"/>
        <v/>
      </c>
      <c r="O102" s="306" t="str">
        <f t="shared" si="25"/>
        <v/>
      </c>
      <c r="P102" s="306" t="str">
        <f t="shared" si="26"/>
        <v/>
      </c>
      <c r="S102" t="s">
        <v>83</v>
      </c>
      <c r="T102" t="str">
        <f t="shared" si="27"/>
        <v>\I:</v>
      </c>
      <c r="U102" t="str">
        <f ca="1" t="shared" si="28"/>
        <v>Hydrogen fuel cell bus -- 00%</v>
      </c>
      <c r="V102" s="309" t="s">
        <v>84</v>
      </c>
      <c r="W102" s="309" t="s">
        <v>85</v>
      </c>
    </row>
    <row r="103" spans="2:23">
      <c r="B103" s="49"/>
      <c r="C103" s="50">
        <v>2020</v>
      </c>
      <c r="D103" s="50">
        <v>2030</v>
      </c>
      <c r="E103" s="50">
        <v>2040</v>
      </c>
      <c r="F103" s="50">
        <v>2050</v>
      </c>
      <c r="J103" t="str">
        <f t="shared" si="20"/>
        <v>Trd_bus_hh2</v>
      </c>
      <c r="K103" t="str">
        <f t="shared" si="22"/>
        <v>\I:</v>
      </c>
      <c r="L103" t="str">
        <f t="shared" si="21"/>
        <v>\I:</v>
      </c>
      <c r="M103" s="306" t="str">
        <f t="shared" si="23"/>
        <v/>
      </c>
      <c r="N103" s="306" t="str">
        <f t="shared" si="24"/>
        <v/>
      </c>
      <c r="O103" s="306" t="str">
        <f t="shared" si="25"/>
        <v/>
      </c>
      <c r="P103" s="306" t="str">
        <f t="shared" si="26"/>
        <v/>
      </c>
      <c r="S103" t="s">
        <v>83</v>
      </c>
      <c r="T103" t="str">
        <f t="shared" si="27"/>
        <v>\I:</v>
      </c>
      <c r="U103" t="str">
        <f ca="1" t="shared" si="28"/>
        <v>Hydrogen fuel cell bus -- 00%</v>
      </c>
      <c r="V103" s="309" t="s">
        <v>84</v>
      </c>
      <c r="W103" s="309" t="s">
        <v>85</v>
      </c>
    </row>
    <row r="104" spans="2:23">
      <c r="B104" s="67">
        <v>9</v>
      </c>
      <c r="C104" s="86">
        <v>598114.464021425</v>
      </c>
      <c r="D104" s="86">
        <v>388321.426107765</v>
      </c>
      <c r="E104" s="86">
        <v>330842.322103657</v>
      </c>
      <c r="F104" s="86">
        <v>315835.594304073</v>
      </c>
      <c r="G104" s="77">
        <f>B104*0.12/100*10^9/10^6</f>
        <v>10.8</v>
      </c>
      <c r="H104" s="77"/>
      <c r="I104" s="299">
        <f>1/G104/$I$7</f>
        <v>1.28480981247733</v>
      </c>
      <c r="J104" t="str">
        <f t="shared" si="20"/>
        <v>Trd_bus_hh2</v>
      </c>
      <c r="K104" t="str">
        <f>IFERROR(IF(VALUE(C104)&gt;2020,J104&amp;"_"&amp;TEXT(B104,"0.0"),"\I:"),"\I:")</f>
        <v>Trd_bus_hh2_9.0</v>
      </c>
      <c r="L104" t="str">
        <f t="shared" si="21"/>
        <v>Trd_bus</v>
      </c>
      <c r="M104" s="306">
        <f t="shared" si="23"/>
        <v>598114.464021425</v>
      </c>
      <c r="N104" s="306">
        <f t="shared" si="24"/>
        <v>388321.426107765</v>
      </c>
      <c r="O104" s="306">
        <f t="shared" si="25"/>
        <v>330842.322103657</v>
      </c>
      <c r="P104" s="306">
        <f t="shared" si="26"/>
        <v>315835.594304073</v>
      </c>
      <c r="S104" t="s">
        <v>83</v>
      </c>
      <c r="T104" t="str">
        <f t="shared" si="27"/>
        <v>Trd_bus_hh2_9.0</v>
      </c>
      <c r="U104" t="str">
        <f ca="1" t="shared" si="28"/>
        <v>Hydrogen fuel cell bus -- 900%</v>
      </c>
      <c r="V104" s="309" t="s">
        <v>84</v>
      </c>
      <c r="W104" s="309" t="s">
        <v>85</v>
      </c>
    </row>
    <row r="105" spans="2:23">
      <c r="B105" s="67">
        <v>8.72761097353185</v>
      </c>
      <c r="C105" s="86">
        <v>598869.167854178</v>
      </c>
      <c r="D105" s="86">
        <v>388841.77453982</v>
      </c>
      <c r="E105" s="86">
        <v>331297.792486932</v>
      </c>
      <c r="F105" s="86">
        <v>316226.186638567</v>
      </c>
      <c r="G105" s="77">
        <f t="shared" ref="G105:G111" si="31">B105*0.12/100*10^9/10^6</f>
        <v>10.4731331682382</v>
      </c>
      <c r="H105" s="77"/>
      <c r="I105" s="299">
        <f t="shared" ref="I105:I111" si="32">1/G105/$I$7</f>
        <v>1.3249087691195</v>
      </c>
      <c r="J105" t="str">
        <f t="shared" si="20"/>
        <v>Trd_bus_hh2</v>
      </c>
      <c r="K105" t="str">
        <f t="shared" ref="K105:K111" si="33">IFERROR(IF(VALUE(C105)&gt;2020,J105&amp;"_"&amp;TEXT(B105,"0.0"),"\I:"),"\I:")</f>
        <v>Trd_bus_hh2_8.7</v>
      </c>
      <c r="L105" t="str">
        <f t="shared" si="21"/>
        <v>Trd_bus</v>
      </c>
      <c r="M105" s="306">
        <f t="shared" si="23"/>
        <v>598869.167854178</v>
      </c>
      <c r="N105" s="306">
        <f t="shared" si="24"/>
        <v>388841.77453982</v>
      </c>
      <c r="O105" s="306">
        <f t="shared" si="25"/>
        <v>331297.792486932</v>
      </c>
      <c r="P105" s="306">
        <f t="shared" si="26"/>
        <v>316226.186638567</v>
      </c>
      <c r="S105" t="s">
        <v>83</v>
      </c>
      <c r="T105" t="str">
        <f t="shared" si="27"/>
        <v>Trd_bus_hh2_8.7</v>
      </c>
      <c r="U105" t="str">
        <f ca="1" t="shared" si="28"/>
        <v>Hydrogen fuel cell bus -- 873%</v>
      </c>
      <c r="V105" s="309" t="s">
        <v>84</v>
      </c>
      <c r="W105" s="309" t="s">
        <v>85</v>
      </c>
    </row>
    <row r="106" spans="2:23">
      <c r="B106" s="67">
        <v>8.45522194706371</v>
      </c>
      <c r="C106" s="86">
        <v>599623.87168693</v>
      </c>
      <c r="D106" s="86">
        <v>389362.122971876</v>
      </c>
      <c r="E106" s="86">
        <v>331753.262870207</v>
      </c>
      <c r="F106" s="86">
        <v>316616.778973062</v>
      </c>
      <c r="G106" s="77">
        <f t="shared" si="31"/>
        <v>10.1462663364765</v>
      </c>
      <c r="H106" s="77"/>
      <c r="I106" s="299">
        <f t="shared" si="32"/>
        <v>1.36759133996614</v>
      </c>
      <c r="J106" t="str">
        <f t="shared" si="20"/>
        <v>Trd_bus_hh2</v>
      </c>
      <c r="K106" t="str">
        <f t="shared" si="33"/>
        <v>Trd_bus_hh2_8.5</v>
      </c>
      <c r="L106" t="str">
        <f t="shared" si="21"/>
        <v>Trd_bus</v>
      </c>
      <c r="M106" s="306">
        <f t="shared" si="23"/>
        <v>599623.87168693</v>
      </c>
      <c r="N106" s="306">
        <f t="shared" si="24"/>
        <v>389362.122971876</v>
      </c>
      <c r="O106" s="306">
        <f t="shared" si="25"/>
        <v>331753.262870207</v>
      </c>
      <c r="P106" s="306">
        <f t="shared" si="26"/>
        <v>316616.778973062</v>
      </c>
      <c r="S106" t="s">
        <v>83</v>
      </c>
      <c r="T106" t="str">
        <f t="shared" si="27"/>
        <v>Trd_bus_hh2_8.5</v>
      </c>
      <c r="U106" t="str">
        <f ca="1" t="shared" si="28"/>
        <v>Hydrogen fuel cell bus -- 846%</v>
      </c>
      <c r="V106" s="309" t="s">
        <v>84</v>
      </c>
      <c r="W106" s="309" t="s">
        <v>85</v>
      </c>
    </row>
    <row r="107" spans="2:23">
      <c r="B107" s="67">
        <v>8.18283292059556</v>
      </c>
      <c r="C107" s="86">
        <v>600378.575519683</v>
      </c>
      <c r="D107" s="86">
        <v>389882.471403932</v>
      </c>
      <c r="E107" s="86">
        <v>332208.733253483</v>
      </c>
      <c r="F107" s="86">
        <v>317007.371307557</v>
      </c>
      <c r="G107" s="77">
        <f t="shared" si="31"/>
        <v>9.81939950471467</v>
      </c>
      <c r="H107" s="77"/>
      <c r="I107" s="299">
        <f t="shared" si="32"/>
        <v>1.41311553400926</v>
      </c>
      <c r="J107" t="str">
        <f t="shared" si="20"/>
        <v>Trd_bus_hh2</v>
      </c>
      <c r="K107" t="str">
        <f t="shared" si="33"/>
        <v>Trd_bus_hh2_8.2</v>
      </c>
      <c r="L107" t="str">
        <f t="shared" si="21"/>
        <v>Trd_bus</v>
      </c>
      <c r="M107" s="306">
        <f t="shared" si="23"/>
        <v>600378.575519683</v>
      </c>
      <c r="N107" s="306">
        <f t="shared" si="24"/>
        <v>389882.471403932</v>
      </c>
      <c r="O107" s="306">
        <f t="shared" si="25"/>
        <v>332208.733253483</v>
      </c>
      <c r="P107" s="306">
        <f t="shared" si="26"/>
        <v>317007.371307557</v>
      </c>
      <c r="S107" t="s">
        <v>83</v>
      </c>
      <c r="T107" t="str">
        <f t="shared" si="27"/>
        <v>Trd_bus_hh2_8.2</v>
      </c>
      <c r="U107" t="str">
        <f ca="1" t="shared" si="28"/>
        <v>Hydrogen fuel cell bus -- 818%</v>
      </c>
      <c r="V107" s="309" t="s">
        <v>84</v>
      </c>
      <c r="W107" s="309" t="s">
        <v>85</v>
      </c>
    </row>
    <row r="108" spans="2:23">
      <c r="B108" s="67">
        <v>7.91044389412742</v>
      </c>
      <c r="C108" s="86">
        <v>601133.279352436</v>
      </c>
      <c r="D108" s="86">
        <v>390402.819835988</v>
      </c>
      <c r="E108" s="86">
        <v>332664.203636758</v>
      </c>
      <c r="F108" s="86">
        <v>317397.963642052</v>
      </c>
      <c r="G108" s="77">
        <f t="shared" si="31"/>
        <v>9.4925326729529</v>
      </c>
      <c r="H108" s="77"/>
      <c r="I108" s="299">
        <f t="shared" si="32"/>
        <v>1.46177489747198</v>
      </c>
      <c r="J108" t="str">
        <f t="shared" si="20"/>
        <v>Trd_bus_hh2</v>
      </c>
      <c r="K108" t="str">
        <f t="shared" si="33"/>
        <v>Trd_bus_hh2_7.9</v>
      </c>
      <c r="L108" t="str">
        <f t="shared" si="21"/>
        <v>Trd_bus</v>
      </c>
      <c r="M108" s="306">
        <f t="shared" si="23"/>
        <v>601133.279352436</v>
      </c>
      <c r="N108" s="306">
        <f t="shared" si="24"/>
        <v>390402.819835988</v>
      </c>
      <c r="O108" s="306">
        <f t="shared" si="25"/>
        <v>332664.203636758</v>
      </c>
      <c r="P108" s="306">
        <f t="shared" si="26"/>
        <v>317397.963642052</v>
      </c>
      <c r="S108" t="s">
        <v>83</v>
      </c>
      <c r="T108" t="str">
        <f t="shared" si="27"/>
        <v>Trd_bus_hh2_7.9</v>
      </c>
      <c r="U108" t="str">
        <f ca="1" t="shared" si="28"/>
        <v>Hydrogen fuel cell bus -- 791%</v>
      </c>
      <c r="V108" s="309" t="s">
        <v>84</v>
      </c>
      <c r="W108" s="309" t="s">
        <v>85</v>
      </c>
    </row>
    <row r="109" spans="2:23">
      <c r="B109" s="67">
        <v>7.63805486765927</v>
      </c>
      <c r="C109" s="86">
        <v>601887.983185188</v>
      </c>
      <c r="D109" s="86">
        <v>390923.168268043</v>
      </c>
      <c r="E109" s="86">
        <v>333119.674020033</v>
      </c>
      <c r="F109" s="86">
        <v>317788.555976546</v>
      </c>
      <c r="G109" s="77">
        <f t="shared" si="31"/>
        <v>9.16566584119112</v>
      </c>
      <c r="H109" s="77"/>
      <c r="I109" s="299">
        <f t="shared" si="32"/>
        <v>1.51390485046877</v>
      </c>
      <c r="J109" t="str">
        <f t="shared" si="20"/>
        <v>Trd_bus_hh2</v>
      </c>
      <c r="K109" t="str">
        <f t="shared" si="33"/>
        <v>Trd_bus_hh2_7.6</v>
      </c>
      <c r="L109" t="str">
        <f t="shared" si="21"/>
        <v>Trd_bus</v>
      </c>
      <c r="M109" s="306">
        <f t="shared" si="23"/>
        <v>601887.983185188</v>
      </c>
      <c r="N109" s="306">
        <f t="shared" si="24"/>
        <v>390923.168268043</v>
      </c>
      <c r="O109" s="306">
        <f t="shared" si="25"/>
        <v>333119.674020033</v>
      </c>
      <c r="P109" s="306">
        <f t="shared" si="26"/>
        <v>317788.555976546</v>
      </c>
      <c r="S109" t="s">
        <v>83</v>
      </c>
      <c r="T109" t="str">
        <f t="shared" si="27"/>
        <v>Trd_bus_hh2_7.6</v>
      </c>
      <c r="U109" t="str">
        <f ca="1" t="shared" si="28"/>
        <v>Hydrogen fuel cell bus -- 764%</v>
      </c>
      <c r="V109" s="309" t="s">
        <v>84</v>
      </c>
      <c r="W109" s="309" t="s">
        <v>85</v>
      </c>
    </row>
    <row r="110" spans="2:23">
      <c r="B110" s="67">
        <v>7.36566584119112</v>
      </c>
      <c r="C110" s="86">
        <v>602642.687017941</v>
      </c>
      <c r="D110" s="86">
        <v>391443.516700099</v>
      </c>
      <c r="E110" s="86">
        <v>333575.144403309</v>
      </c>
      <c r="F110" s="86">
        <v>318179.148311041</v>
      </c>
      <c r="G110" s="77">
        <f t="shared" si="31"/>
        <v>8.83879900942934</v>
      </c>
      <c r="H110" s="77"/>
      <c r="I110" s="299">
        <f t="shared" si="32"/>
        <v>1.56989042967852</v>
      </c>
      <c r="J110" t="str">
        <f t="shared" si="20"/>
        <v>Trd_bus_hh2</v>
      </c>
      <c r="K110" t="str">
        <f t="shared" si="33"/>
        <v>Trd_bus_hh2_7.4</v>
      </c>
      <c r="L110" t="str">
        <f t="shared" si="21"/>
        <v>Trd_bus</v>
      </c>
      <c r="M110" s="306">
        <f t="shared" si="23"/>
        <v>602642.687017941</v>
      </c>
      <c r="N110" s="306">
        <f t="shared" si="24"/>
        <v>391443.516700099</v>
      </c>
      <c r="O110" s="306">
        <f t="shared" si="25"/>
        <v>333575.144403309</v>
      </c>
      <c r="P110" s="306">
        <f t="shared" si="26"/>
        <v>318179.148311041</v>
      </c>
      <c r="S110" t="s">
        <v>83</v>
      </c>
      <c r="T110" t="str">
        <f t="shared" si="27"/>
        <v>Trd_bus_hh2_7.4</v>
      </c>
      <c r="U110" t="str">
        <f ca="1" t="shared" si="28"/>
        <v>Hydrogen fuel cell bus -- 737%</v>
      </c>
      <c r="V110" s="309" t="s">
        <v>84</v>
      </c>
      <c r="W110" s="309" t="s">
        <v>85</v>
      </c>
    </row>
    <row r="111" spans="2:23">
      <c r="B111" s="67">
        <v>7.09327681472298</v>
      </c>
      <c r="C111" s="86">
        <v>603397.390850693</v>
      </c>
      <c r="D111" s="86">
        <v>391963.865132155</v>
      </c>
      <c r="E111" s="86">
        <v>334030.614786584</v>
      </c>
      <c r="F111" s="86">
        <v>318569.740645536</v>
      </c>
      <c r="G111" s="77">
        <f t="shared" si="31"/>
        <v>8.51193217766758</v>
      </c>
      <c r="H111" s="77"/>
      <c r="I111" s="299">
        <f t="shared" si="32"/>
        <v>1.63017581497664</v>
      </c>
      <c r="J111" t="str">
        <f t="shared" si="20"/>
        <v>Trd_bus_hh2</v>
      </c>
      <c r="K111" t="str">
        <f t="shared" si="33"/>
        <v>Trd_bus_hh2_7.1</v>
      </c>
      <c r="L111" t="str">
        <f t="shared" si="21"/>
        <v>Trd_bus</v>
      </c>
      <c r="M111" s="306">
        <f t="shared" si="23"/>
        <v>603397.390850693</v>
      </c>
      <c r="N111" s="306">
        <f t="shared" si="24"/>
        <v>391963.865132155</v>
      </c>
      <c r="O111" s="306">
        <f t="shared" si="25"/>
        <v>334030.614786584</v>
      </c>
      <c r="P111" s="306">
        <f t="shared" si="26"/>
        <v>318569.740645536</v>
      </c>
      <c r="S111" t="s">
        <v>83</v>
      </c>
      <c r="T111" t="str">
        <f t="shared" si="27"/>
        <v>Trd_bus_hh2_7.1</v>
      </c>
      <c r="U111" t="str">
        <f ca="1" t="shared" si="28"/>
        <v>Hydrogen fuel cell bus -- 709%</v>
      </c>
      <c r="V111" s="309" t="s">
        <v>84</v>
      </c>
      <c r="W111" s="309" t="s">
        <v>85</v>
      </c>
    </row>
    <row r="112" spans="10:23">
      <c r="J112" t="str">
        <f t="shared" si="20"/>
        <v>Trd_bus_hh2</v>
      </c>
      <c r="K112" t="str">
        <f t="shared" si="22"/>
        <v>\I:</v>
      </c>
      <c r="L112" t="str">
        <f t="shared" si="21"/>
        <v>\I:</v>
      </c>
      <c r="M112" s="306" t="str">
        <f t="shared" si="23"/>
        <v/>
      </c>
      <c r="N112" s="306" t="str">
        <f t="shared" si="24"/>
        <v/>
      </c>
      <c r="O112" s="306" t="str">
        <f t="shared" si="25"/>
        <v/>
      </c>
      <c r="P112" s="306" t="str">
        <f t="shared" si="26"/>
        <v/>
      </c>
      <c r="S112" t="s">
        <v>83</v>
      </c>
      <c r="T112" t="str">
        <f t="shared" si="27"/>
        <v>\I:</v>
      </c>
      <c r="U112" t="str">
        <f ca="1" t="shared" si="28"/>
        <v>Hydrogen fuel cell bus -- 00%</v>
      </c>
      <c r="V112" s="309" t="s">
        <v>84</v>
      </c>
      <c r="W112" s="309" t="s">
        <v>85</v>
      </c>
    </row>
    <row r="113" spans="10:23">
      <c r="J113" t="str">
        <f t="shared" si="20"/>
        <v>Trd_bus_hh2</v>
      </c>
      <c r="K113" t="str">
        <f t="shared" si="22"/>
        <v>\I:</v>
      </c>
      <c r="L113" t="str">
        <f t="shared" si="21"/>
        <v>\I:</v>
      </c>
      <c r="M113" s="306" t="str">
        <f t="shared" si="23"/>
        <v/>
      </c>
      <c r="N113" s="306" t="str">
        <f t="shared" si="24"/>
        <v/>
      </c>
      <c r="O113" s="306" t="str">
        <f t="shared" si="25"/>
        <v/>
      </c>
      <c r="P113" s="306" t="str">
        <f t="shared" si="26"/>
        <v/>
      </c>
      <c r="S113" t="s">
        <v>83</v>
      </c>
      <c r="T113" t="str">
        <f t="shared" si="27"/>
        <v>\I:</v>
      </c>
      <c r="U113" t="str">
        <f ca="1" t="shared" si="28"/>
        <v>Hydrogen fuel cell bus -- 00%</v>
      </c>
      <c r="V113" s="309" t="s">
        <v>84</v>
      </c>
      <c r="W113" s="309" t="s">
        <v>85</v>
      </c>
    </row>
    <row r="114" ht="18.5" spans="2:23">
      <c r="B114" s="295" t="s">
        <v>162</v>
      </c>
      <c r="C114" s="296"/>
      <c r="D114" s="296"/>
      <c r="E114" s="296"/>
      <c r="F114" s="297"/>
      <c r="J114" t="str">
        <f t="shared" si="20"/>
        <v>Trd_bus_hh2</v>
      </c>
      <c r="K114" t="str">
        <f t="shared" si="22"/>
        <v>\I:</v>
      </c>
      <c r="L114" t="str">
        <f t="shared" si="21"/>
        <v>\I:</v>
      </c>
      <c r="M114" s="306" t="str">
        <f t="shared" si="23"/>
        <v/>
      </c>
      <c r="N114" s="306" t="str">
        <f t="shared" si="24"/>
        <v/>
      </c>
      <c r="O114" s="306" t="str">
        <f t="shared" si="25"/>
        <v/>
      </c>
      <c r="P114" s="306" t="str">
        <f t="shared" si="26"/>
        <v/>
      </c>
      <c r="S114" t="s">
        <v>83</v>
      </c>
      <c r="T114" t="str">
        <f t="shared" si="27"/>
        <v>\I:</v>
      </c>
      <c r="U114" t="str">
        <f ca="1" t="shared" si="28"/>
        <v>Hydrogen fuel cell bus -- COACHES</v>
      </c>
      <c r="V114" s="309" t="s">
        <v>84</v>
      </c>
      <c r="W114" s="309" t="s">
        <v>85</v>
      </c>
    </row>
    <row r="115" spans="10:23">
      <c r="J115" t="str">
        <f t="shared" si="20"/>
        <v>Trd_bus_hh2</v>
      </c>
      <c r="K115" t="str">
        <f t="shared" si="22"/>
        <v>\I:</v>
      </c>
      <c r="L115" t="str">
        <f t="shared" si="21"/>
        <v>\I:</v>
      </c>
      <c r="M115" s="306" t="str">
        <f t="shared" si="23"/>
        <v/>
      </c>
      <c r="N115" s="306" t="str">
        <f t="shared" si="24"/>
        <v/>
      </c>
      <c r="O115" s="306" t="str">
        <f t="shared" si="25"/>
        <v/>
      </c>
      <c r="P115" s="306" t="str">
        <f t="shared" si="26"/>
        <v/>
      </c>
      <c r="S115" t="s">
        <v>83</v>
      </c>
      <c r="T115" t="str">
        <f t="shared" si="27"/>
        <v>\I:</v>
      </c>
      <c r="U115" t="str">
        <f ca="1" t="shared" si="28"/>
        <v>Hydrogen fuel cell bus -- 00%</v>
      </c>
      <c r="V115" s="309" t="s">
        <v>84</v>
      </c>
      <c r="W115" s="309" t="s">
        <v>85</v>
      </c>
    </row>
    <row r="116" spans="2:23">
      <c r="B116" s="43" t="s">
        <v>163</v>
      </c>
      <c r="J116" t="str">
        <f t="shared" si="20"/>
        <v>Trd_bus_hh2</v>
      </c>
      <c r="K116" t="str">
        <f t="shared" si="22"/>
        <v>\I:</v>
      </c>
      <c r="L116" t="str">
        <f t="shared" si="21"/>
        <v>\I:</v>
      </c>
      <c r="M116" s="306" t="str">
        <f t="shared" si="23"/>
        <v/>
      </c>
      <c r="N116" s="306" t="str">
        <f t="shared" si="24"/>
        <v/>
      </c>
      <c r="O116" s="306" t="str">
        <f t="shared" si="25"/>
        <v/>
      </c>
      <c r="P116" s="306" t="str">
        <f t="shared" si="26"/>
        <v/>
      </c>
      <c r="S116" t="s">
        <v>83</v>
      </c>
      <c r="T116" t="str">
        <f t="shared" si="27"/>
        <v>\I:</v>
      </c>
      <c r="U116" t="str">
        <f ca="1" t="shared" si="28"/>
        <v>Hydrogen fuel cell bus -- Reference values for diesel coach</v>
      </c>
      <c r="V116" s="309" t="s">
        <v>84</v>
      </c>
      <c r="W116" s="309" t="s">
        <v>85</v>
      </c>
    </row>
    <row r="117" spans="2:23">
      <c r="B117" s="298">
        <v>2015</v>
      </c>
      <c r="C117" s="298"/>
      <c r="D117" s="298"/>
      <c r="J117" t="str">
        <f t="shared" si="20"/>
        <v>Trd_bus_hh2</v>
      </c>
      <c r="K117" t="str">
        <f t="shared" si="22"/>
        <v>\I:</v>
      </c>
      <c r="L117" t="str">
        <f t="shared" si="21"/>
        <v>\I:</v>
      </c>
      <c r="M117" s="306" t="str">
        <f t="shared" si="23"/>
        <v/>
      </c>
      <c r="N117" s="306" t="str">
        <f t="shared" si="24"/>
        <v/>
      </c>
      <c r="O117" s="306" t="str">
        <f t="shared" si="25"/>
        <v/>
      </c>
      <c r="P117" s="306" t="str">
        <f t="shared" si="26"/>
        <v/>
      </c>
      <c r="S117" t="s">
        <v>83</v>
      </c>
      <c r="T117" t="str">
        <f t="shared" si="27"/>
        <v>\I:</v>
      </c>
      <c r="U117" t="str">
        <f ca="1" t="shared" si="28"/>
        <v>Hydrogen fuel cell bus -- 201500%</v>
      </c>
      <c r="V117" s="309" t="s">
        <v>84</v>
      </c>
      <c r="W117" s="309" t="s">
        <v>85</v>
      </c>
    </row>
    <row r="118" spans="2:23">
      <c r="B118" s="45" t="s">
        <v>12</v>
      </c>
      <c r="C118" s="46" t="s">
        <v>13</v>
      </c>
      <c r="D118" s="47">
        <v>26.3482912719114</v>
      </c>
      <c r="J118" t="str">
        <f t="shared" si="20"/>
        <v>Trd_bus_hh2</v>
      </c>
      <c r="K118" t="str">
        <f t="shared" si="22"/>
        <v>\I:</v>
      </c>
      <c r="L118" t="str">
        <f t="shared" si="21"/>
        <v>\I:</v>
      </c>
      <c r="M118" s="306" t="str">
        <f t="shared" si="23"/>
        <v/>
      </c>
      <c r="N118" s="306" t="str">
        <f t="shared" si="24"/>
        <v/>
      </c>
      <c r="O118" s="306" t="str">
        <f t="shared" si="25"/>
        <v/>
      </c>
      <c r="P118" s="306" t="str">
        <f t="shared" si="26"/>
        <v/>
      </c>
      <c r="S118" t="s">
        <v>83</v>
      </c>
      <c r="T118" t="str">
        <f t="shared" si="27"/>
        <v>\I:</v>
      </c>
      <c r="U118" t="str">
        <f ca="1" t="shared" si="28"/>
        <v>Hydrogen fuel cell bus -- Energy consumption</v>
      </c>
      <c r="V118" s="309" t="s">
        <v>84</v>
      </c>
      <c r="W118" s="309" t="s">
        <v>85</v>
      </c>
    </row>
    <row r="119" spans="2:23">
      <c r="B119" s="45" t="s">
        <v>14</v>
      </c>
      <c r="C119" s="46" t="s">
        <v>15</v>
      </c>
      <c r="D119" s="68">
        <v>295091.098544713</v>
      </c>
      <c r="J119" t="str">
        <f t="shared" si="20"/>
        <v>Trd_bus_hh2</v>
      </c>
      <c r="K119" t="str">
        <f t="shared" si="22"/>
        <v>\I:</v>
      </c>
      <c r="L119" t="str">
        <f t="shared" si="21"/>
        <v>\I:</v>
      </c>
      <c r="M119" s="306" t="str">
        <f t="shared" si="23"/>
        <v/>
      </c>
      <c r="N119" s="306" t="str">
        <f t="shared" si="24"/>
        <v/>
      </c>
      <c r="O119" s="306" t="str">
        <f t="shared" si="25"/>
        <v/>
      </c>
      <c r="P119" s="306" t="str">
        <f t="shared" si="26"/>
        <v/>
      </c>
      <c r="S119" t="s">
        <v>83</v>
      </c>
      <c r="T119" t="str">
        <f t="shared" si="27"/>
        <v>\I:</v>
      </c>
      <c r="U119" t="str">
        <f ca="1" t="shared" si="28"/>
        <v>Hydrogen fuel cell bus -- Capital cost</v>
      </c>
      <c r="V119" s="309" t="s">
        <v>84</v>
      </c>
      <c r="W119" s="309" t="s">
        <v>85</v>
      </c>
    </row>
    <row r="120" spans="10:23">
      <c r="J120" t="str">
        <f t="shared" si="20"/>
        <v>Trd_bus_hh2</v>
      </c>
      <c r="K120" t="str">
        <f t="shared" si="22"/>
        <v>\I:</v>
      </c>
      <c r="L120" t="str">
        <f t="shared" si="21"/>
        <v>\I:</v>
      </c>
      <c r="M120" s="306" t="str">
        <f t="shared" si="23"/>
        <v/>
      </c>
      <c r="N120" s="306" t="str">
        <f t="shared" si="24"/>
        <v/>
      </c>
      <c r="O120" s="306" t="str">
        <f t="shared" si="25"/>
        <v/>
      </c>
      <c r="P120" s="306" t="str">
        <f t="shared" si="26"/>
        <v/>
      </c>
      <c r="S120" t="s">
        <v>83</v>
      </c>
      <c r="T120" t="str">
        <f t="shared" si="27"/>
        <v>\I:</v>
      </c>
      <c r="U120" t="str">
        <f ca="1" t="shared" si="28"/>
        <v>Hydrogen fuel cell bus -- 00%</v>
      </c>
      <c r="V120" s="309" t="s">
        <v>84</v>
      </c>
      <c r="W120" s="309" t="s">
        <v>85</v>
      </c>
    </row>
    <row r="121" ht="15" customHeight="1" spans="2:23">
      <c r="B121" s="300" t="s">
        <v>21</v>
      </c>
      <c r="C121" s="300" t="s">
        <v>164</v>
      </c>
      <c r="D121" s="300"/>
      <c r="E121" s="300"/>
      <c r="F121" s="300"/>
      <c r="J121" t="str">
        <f t="shared" si="20"/>
        <v>\I:Trd_bus_</v>
      </c>
      <c r="K121" t="str">
        <f t="shared" si="22"/>
        <v>\I:</v>
      </c>
      <c r="L121" t="str">
        <f t="shared" si="21"/>
        <v>\I:</v>
      </c>
      <c r="M121" s="306" t="str">
        <f t="shared" si="23"/>
        <v/>
      </c>
      <c r="N121" s="306" t="str">
        <f t="shared" si="24"/>
        <v/>
      </c>
      <c r="O121" s="306" t="str">
        <f t="shared" si="25"/>
        <v/>
      </c>
      <c r="P121" s="306" t="str">
        <f t="shared" si="26"/>
        <v/>
      </c>
      <c r="S121" t="s">
        <v>83</v>
      </c>
      <c r="T121" t="str">
        <f t="shared" si="27"/>
        <v>\I:</v>
      </c>
      <c r="U121" t="str">
        <f ca="1" t="shared" si="28"/>
        <v>Hybrid diesel coach -- Reduction of specific energy consumption relative to 2015 diesel vehicle (%)</v>
      </c>
      <c r="V121" s="309" t="s">
        <v>84</v>
      </c>
      <c r="W121" s="309" t="s">
        <v>85</v>
      </c>
    </row>
    <row r="122" spans="2:23">
      <c r="B122" s="300"/>
      <c r="C122" s="300"/>
      <c r="D122" s="300"/>
      <c r="E122" s="300"/>
      <c r="F122" s="300"/>
      <c r="J122" t="str">
        <f t="shared" si="20"/>
        <v>\I:Trd_bus_</v>
      </c>
      <c r="K122" t="str">
        <f t="shared" si="22"/>
        <v>\I:</v>
      </c>
      <c r="L122" t="str">
        <f t="shared" si="21"/>
        <v>\I:</v>
      </c>
      <c r="M122" s="306" t="str">
        <f t="shared" si="23"/>
        <v/>
      </c>
      <c r="N122" s="306" t="str">
        <f t="shared" si="24"/>
        <v/>
      </c>
      <c r="O122" s="306" t="str">
        <f t="shared" si="25"/>
        <v/>
      </c>
      <c r="P122" s="306" t="str">
        <f t="shared" si="26"/>
        <v/>
      </c>
      <c r="S122" t="s">
        <v>83</v>
      </c>
      <c r="T122" t="str">
        <f t="shared" si="27"/>
        <v>\I:</v>
      </c>
      <c r="U122" t="str">
        <f ca="1" t="shared" si="28"/>
        <v>Hybrid diesel coach -- 00%</v>
      </c>
      <c r="V122" s="309" t="s">
        <v>84</v>
      </c>
      <c r="W122" s="309" t="s">
        <v>85</v>
      </c>
    </row>
    <row r="123" spans="2:23">
      <c r="B123" s="300"/>
      <c r="C123" s="300"/>
      <c r="D123" s="300"/>
      <c r="E123" s="300"/>
      <c r="F123" s="300"/>
      <c r="J123" t="str">
        <f t="shared" si="20"/>
        <v>\I:Trd_bus_</v>
      </c>
      <c r="K123" t="str">
        <f t="shared" si="22"/>
        <v>\I:</v>
      </c>
      <c r="L123" t="str">
        <f t="shared" si="21"/>
        <v>\I:</v>
      </c>
      <c r="M123" s="306" t="str">
        <f t="shared" si="23"/>
        <v/>
      </c>
      <c r="N123" s="306" t="str">
        <f t="shared" si="24"/>
        <v/>
      </c>
      <c r="O123" s="306" t="str">
        <f t="shared" si="25"/>
        <v/>
      </c>
      <c r="P123" s="306" t="str">
        <f t="shared" si="26"/>
        <v/>
      </c>
      <c r="S123" t="s">
        <v>83</v>
      </c>
      <c r="T123" t="str">
        <f t="shared" si="27"/>
        <v>\I:</v>
      </c>
      <c r="U123" t="str">
        <f ca="1" t="shared" si="28"/>
        <v>Hybrid diesel coach -- 00%</v>
      </c>
      <c r="V123" s="309" t="s">
        <v>84</v>
      </c>
      <c r="W123" s="309" t="s">
        <v>85</v>
      </c>
    </row>
    <row r="124" spans="2:23">
      <c r="B124" s="49"/>
      <c r="C124" s="50">
        <v>2020</v>
      </c>
      <c r="D124" s="50">
        <v>2030</v>
      </c>
      <c r="E124" s="50">
        <v>2040</v>
      </c>
      <c r="F124" s="50">
        <v>2050</v>
      </c>
      <c r="J124" t="str">
        <f t="shared" si="20"/>
        <v>\I:Trd_bus_</v>
      </c>
      <c r="K124" t="str">
        <f t="shared" si="22"/>
        <v>\I:</v>
      </c>
      <c r="L124" t="str">
        <f t="shared" si="21"/>
        <v>\I:</v>
      </c>
      <c r="M124" s="306" t="str">
        <f t="shared" si="23"/>
        <v/>
      </c>
      <c r="N124" s="306" t="str">
        <f t="shared" si="24"/>
        <v/>
      </c>
      <c r="O124" s="306" t="str">
        <f t="shared" si="25"/>
        <v/>
      </c>
      <c r="P124" s="306" t="str">
        <f t="shared" si="26"/>
        <v/>
      </c>
      <c r="S124" t="s">
        <v>83</v>
      </c>
      <c r="T124" t="str">
        <f t="shared" si="27"/>
        <v>\I:</v>
      </c>
      <c r="U124" t="str">
        <f ca="1" t="shared" si="28"/>
        <v>Hybrid diesel coach -- 00%</v>
      </c>
      <c r="V124" s="309" t="s">
        <v>84</v>
      </c>
      <c r="W124" s="309" t="s">
        <v>85</v>
      </c>
    </row>
    <row r="125" spans="2:23">
      <c r="B125" s="51">
        <v>0.0609380868944008</v>
      </c>
      <c r="C125" s="86">
        <v>295911.463573696</v>
      </c>
      <c r="D125" s="86">
        <v>295911.463573696</v>
      </c>
      <c r="E125" s="86">
        <v>295911.463573696</v>
      </c>
      <c r="F125" s="86">
        <v>295911.463573696</v>
      </c>
      <c r="J125" t="str">
        <f t="shared" si="20"/>
        <v>\I:Trd_bus_</v>
      </c>
      <c r="K125" t="str">
        <f t="shared" si="22"/>
        <v>\I:Trd_bus__06</v>
      </c>
      <c r="L125" t="str">
        <f t="shared" si="21"/>
        <v>\I:Trd_</v>
      </c>
      <c r="M125" s="306">
        <f t="shared" si="23"/>
        <v>295911.463573696</v>
      </c>
      <c r="N125" s="306">
        <f t="shared" si="24"/>
        <v>295911.463573696</v>
      </c>
      <c r="O125" s="306">
        <f t="shared" si="25"/>
        <v>295911.463573696</v>
      </c>
      <c r="P125" s="306">
        <f t="shared" si="26"/>
        <v>295911.463573696</v>
      </c>
      <c r="S125" t="s">
        <v>83</v>
      </c>
      <c r="T125" t="str">
        <f t="shared" si="27"/>
        <v>\I:Trd_bus__06</v>
      </c>
      <c r="U125" t="str">
        <f ca="1" t="shared" si="28"/>
        <v>Hybrid diesel coach -- 06%</v>
      </c>
      <c r="V125" s="309" t="s">
        <v>84</v>
      </c>
      <c r="W125" s="309" t="s">
        <v>85</v>
      </c>
    </row>
    <row r="126" spans="2:23">
      <c r="B126" s="51">
        <v>0.110938086894401</v>
      </c>
      <c r="C126" s="86">
        <v>297415.753257641</v>
      </c>
      <c r="D126" s="86">
        <v>296918.611737195</v>
      </c>
      <c r="E126" s="86">
        <v>296918.611737195</v>
      </c>
      <c r="F126" s="86">
        <v>296918.611737195</v>
      </c>
      <c r="J126" t="str">
        <f t="shared" si="20"/>
        <v>\I:Trd_bus_</v>
      </c>
      <c r="K126" t="str">
        <f t="shared" si="22"/>
        <v>\I:Trd_bus__11</v>
      </c>
      <c r="L126" t="str">
        <f t="shared" si="21"/>
        <v>\I:Trd_</v>
      </c>
      <c r="M126" s="306">
        <f t="shared" si="23"/>
        <v>297415.753257641</v>
      </c>
      <c r="N126" s="306">
        <f t="shared" si="24"/>
        <v>296918.611737195</v>
      </c>
      <c r="O126" s="306">
        <f t="shared" si="25"/>
        <v>296918.611737195</v>
      </c>
      <c r="P126" s="306">
        <f t="shared" si="26"/>
        <v>296918.611737195</v>
      </c>
      <c r="S126" t="s">
        <v>83</v>
      </c>
      <c r="T126" t="str">
        <f t="shared" si="27"/>
        <v>\I:Trd_bus__11</v>
      </c>
      <c r="U126" t="str">
        <f ca="1" t="shared" si="28"/>
        <v>Hybrid diesel coach -- 11%</v>
      </c>
      <c r="V126" s="309" t="s">
        <v>84</v>
      </c>
      <c r="W126" s="309" t="s">
        <v>85</v>
      </c>
    </row>
    <row r="127" spans="2:23">
      <c r="B127" s="51">
        <v>0.160938086894401</v>
      </c>
      <c r="C127" s="86">
        <v>298843.040992476</v>
      </c>
      <c r="D127" s="86">
        <v>298432.836564148</v>
      </c>
      <c r="E127" s="86">
        <v>298432.836564148</v>
      </c>
      <c r="F127" s="86">
        <v>298432.836564148</v>
      </c>
      <c r="J127" t="str">
        <f t="shared" si="20"/>
        <v>\I:Trd_bus_</v>
      </c>
      <c r="K127" t="str">
        <f t="shared" si="22"/>
        <v>\I:Trd_bus__16</v>
      </c>
      <c r="L127" t="str">
        <f t="shared" si="21"/>
        <v>\I:Trd_</v>
      </c>
      <c r="M127" s="306">
        <f t="shared" si="23"/>
        <v>298843.040992476</v>
      </c>
      <c r="N127" s="306">
        <f t="shared" si="24"/>
        <v>298432.836564148</v>
      </c>
      <c r="O127" s="306">
        <f t="shared" si="25"/>
        <v>298432.836564148</v>
      </c>
      <c r="P127" s="306">
        <f t="shared" si="26"/>
        <v>298432.836564148</v>
      </c>
      <c r="S127" t="s">
        <v>83</v>
      </c>
      <c r="T127" t="str">
        <f t="shared" si="27"/>
        <v>\I:Trd_bus__16</v>
      </c>
      <c r="U127" t="str">
        <f ca="1" t="shared" si="28"/>
        <v>Hybrid diesel coach -- 16%</v>
      </c>
      <c r="V127" s="309" t="s">
        <v>84</v>
      </c>
      <c r="W127" s="309" t="s">
        <v>85</v>
      </c>
    </row>
    <row r="128" spans="2:23">
      <c r="B128" s="51">
        <v>0.210938086894401</v>
      </c>
      <c r="C128" s="86">
        <v>303920.757291406</v>
      </c>
      <c r="D128" s="86">
        <v>300709.439858143</v>
      </c>
      <c r="E128" s="86">
        <v>300709.439858143</v>
      </c>
      <c r="F128" s="86">
        <v>300709.439858143</v>
      </c>
      <c r="J128" t="str">
        <f t="shared" si="20"/>
        <v>\I:Trd_bus_</v>
      </c>
      <c r="K128" t="str">
        <f t="shared" si="22"/>
        <v>\I:Trd_bus__21</v>
      </c>
      <c r="L128" t="str">
        <f t="shared" si="21"/>
        <v>\I:Trd_</v>
      </c>
      <c r="M128" s="306">
        <f t="shared" si="23"/>
        <v>303920.757291406</v>
      </c>
      <c r="N128" s="306">
        <f t="shared" si="24"/>
        <v>300709.439858143</v>
      </c>
      <c r="O128" s="306">
        <f t="shared" si="25"/>
        <v>300709.439858143</v>
      </c>
      <c r="P128" s="306">
        <f t="shared" si="26"/>
        <v>300709.439858143</v>
      </c>
      <c r="S128" t="s">
        <v>83</v>
      </c>
      <c r="T128" t="str">
        <f t="shared" si="27"/>
        <v>\I:Trd_bus__21</v>
      </c>
      <c r="U128" t="str">
        <f ca="1" t="shared" si="28"/>
        <v>Hybrid diesel coach -- 21%</v>
      </c>
      <c r="V128" s="309" t="s">
        <v>84</v>
      </c>
      <c r="W128" s="309" t="s">
        <v>85</v>
      </c>
    </row>
    <row r="129" spans="2:23">
      <c r="B129" s="51">
        <v>0.260938086894401</v>
      </c>
      <c r="C129" s="86">
        <v>309741.765477435</v>
      </c>
      <c r="D129" s="86">
        <v>304132.262193354</v>
      </c>
      <c r="E129" s="86">
        <v>304132.262193354</v>
      </c>
      <c r="F129" s="86">
        <v>304132.262193354</v>
      </c>
      <c r="J129" t="str">
        <f t="shared" si="20"/>
        <v>\I:Trd_bus_</v>
      </c>
      <c r="K129" t="str">
        <f t="shared" si="22"/>
        <v>\I:Trd_bus__26</v>
      </c>
      <c r="L129" t="str">
        <f t="shared" si="21"/>
        <v>\I:Trd_</v>
      </c>
      <c r="M129" s="306">
        <f t="shared" si="23"/>
        <v>309741.765477435</v>
      </c>
      <c r="N129" s="306">
        <f t="shared" si="24"/>
        <v>304132.262193354</v>
      </c>
      <c r="O129" s="306">
        <f t="shared" si="25"/>
        <v>304132.262193354</v>
      </c>
      <c r="P129" s="306">
        <f t="shared" si="26"/>
        <v>304132.262193354</v>
      </c>
      <c r="S129" t="s">
        <v>83</v>
      </c>
      <c r="T129" t="str">
        <f t="shared" si="27"/>
        <v>\I:Trd_bus__26</v>
      </c>
      <c r="U129" t="str">
        <f ca="1" t="shared" si="28"/>
        <v>Hybrid diesel coach -- 26%</v>
      </c>
      <c r="V129" s="309" t="s">
        <v>84</v>
      </c>
      <c r="W129" s="309" t="s">
        <v>85</v>
      </c>
    </row>
    <row r="130" spans="2:23">
      <c r="B130" s="51">
        <v>0.280938086894401</v>
      </c>
      <c r="C130" s="86">
        <v>335473.605243984</v>
      </c>
      <c r="D130" s="86">
        <v>309404.868466266</v>
      </c>
      <c r="E130" s="86">
        <v>309278.399321997</v>
      </c>
      <c r="F130" s="86">
        <v>309278.399321997</v>
      </c>
      <c r="J130" t="str">
        <f t="shared" si="20"/>
        <v>\I:Trd_bus_</v>
      </c>
      <c r="K130" t="str">
        <f t="shared" si="22"/>
        <v>\I:Trd_bus__28</v>
      </c>
      <c r="L130" t="str">
        <f t="shared" si="21"/>
        <v>\I:Trd_</v>
      </c>
      <c r="M130" s="306">
        <f t="shared" si="23"/>
        <v>335473.605243984</v>
      </c>
      <c r="N130" s="306">
        <f t="shared" si="24"/>
        <v>309404.868466266</v>
      </c>
      <c r="O130" s="306">
        <f t="shared" si="25"/>
        <v>309278.399321997</v>
      </c>
      <c r="P130" s="306">
        <f t="shared" si="26"/>
        <v>309278.399321997</v>
      </c>
      <c r="S130" t="s">
        <v>83</v>
      </c>
      <c r="T130" t="str">
        <f t="shared" si="27"/>
        <v>\I:Trd_bus__28</v>
      </c>
      <c r="U130" t="str">
        <f ca="1" t="shared" si="28"/>
        <v>Hybrid diesel coach -- 28%</v>
      </c>
      <c r="V130" s="309" t="s">
        <v>84</v>
      </c>
      <c r="W130" s="309" t="s">
        <v>85</v>
      </c>
    </row>
    <row r="131" spans="2:23">
      <c r="B131" s="51">
        <v>0.310938086894401</v>
      </c>
      <c r="C131" s="86">
        <v>420562.333159275</v>
      </c>
      <c r="D131" s="86">
        <v>325515.14335664</v>
      </c>
      <c r="E131" s="86">
        <v>317015.501851208</v>
      </c>
      <c r="F131" s="86">
        <v>317015.501851208</v>
      </c>
      <c r="J131" t="str">
        <f t="shared" si="20"/>
        <v>\I:Trd_bus_</v>
      </c>
      <c r="K131" t="str">
        <f t="shared" si="22"/>
        <v>\I:Trd_bus__31</v>
      </c>
      <c r="L131" t="str">
        <f t="shared" si="21"/>
        <v>\I:Trd_</v>
      </c>
      <c r="M131" s="306">
        <f t="shared" si="23"/>
        <v>420562.333159275</v>
      </c>
      <c r="N131" s="306">
        <f t="shared" si="24"/>
        <v>325515.14335664</v>
      </c>
      <c r="O131" s="306">
        <f t="shared" si="25"/>
        <v>317015.501851208</v>
      </c>
      <c r="P131" s="306">
        <f t="shared" si="26"/>
        <v>317015.501851208</v>
      </c>
      <c r="S131" t="s">
        <v>83</v>
      </c>
      <c r="T131" t="str">
        <f t="shared" si="27"/>
        <v>\I:Trd_bus__31</v>
      </c>
      <c r="U131" t="str">
        <f ca="1" t="shared" si="28"/>
        <v>Hybrid diesel coach -- 31%</v>
      </c>
      <c r="V131" s="309" t="s">
        <v>84</v>
      </c>
      <c r="W131" s="309" t="s">
        <v>85</v>
      </c>
    </row>
    <row r="132" spans="10:23">
      <c r="J132" t="str">
        <f t="shared" si="20"/>
        <v>\I:Trd_bus_</v>
      </c>
      <c r="K132" t="str">
        <f t="shared" si="22"/>
        <v>\I:</v>
      </c>
      <c r="L132" t="str">
        <f t="shared" si="21"/>
        <v>\I:</v>
      </c>
      <c r="M132" s="306" t="str">
        <f t="shared" si="23"/>
        <v/>
      </c>
      <c r="N132" s="306" t="str">
        <f t="shared" si="24"/>
        <v/>
      </c>
      <c r="O132" s="306" t="str">
        <f t="shared" si="25"/>
        <v/>
      </c>
      <c r="P132" s="306" t="str">
        <f t="shared" si="26"/>
        <v/>
      </c>
      <c r="S132" t="s">
        <v>83</v>
      </c>
      <c r="T132" t="str">
        <f t="shared" si="27"/>
        <v>\I:</v>
      </c>
      <c r="U132" t="str">
        <f ca="1" t="shared" si="28"/>
        <v>Hybrid diesel coach -- 00%</v>
      </c>
      <c r="V132" s="309" t="s">
        <v>84</v>
      </c>
      <c r="W132" s="309" t="s">
        <v>85</v>
      </c>
    </row>
    <row r="133" spans="10:23">
      <c r="J133" t="str">
        <f t="shared" si="20"/>
        <v>\I:Trd_bus_</v>
      </c>
      <c r="K133" t="str">
        <f t="shared" si="22"/>
        <v>\I:</v>
      </c>
      <c r="L133" t="str">
        <f t="shared" si="21"/>
        <v>\I:</v>
      </c>
      <c r="M133" s="306" t="str">
        <f t="shared" si="23"/>
        <v/>
      </c>
      <c r="N133" s="306" t="str">
        <f t="shared" si="24"/>
        <v/>
      </c>
      <c r="O133" s="306" t="str">
        <f t="shared" si="25"/>
        <v/>
      </c>
      <c r="P133" s="306" t="str">
        <f t="shared" si="26"/>
        <v/>
      </c>
      <c r="S133" t="s">
        <v>83</v>
      </c>
      <c r="T133" t="str">
        <f t="shared" si="27"/>
        <v>\I:</v>
      </c>
      <c r="U133" t="str">
        <f ca="1" t="shared" si="28"/>
        <v>Hybrid diesel coach -- 00%</v>
      </c>
      <c r="V133" s="309" t="s">
        <v>84</v>
      </c>
      <c r="W133" s="309" t="s">
        <v>85</v>
      </c>
    </row>
    <row r="134" spans="10:23">
      <c r="J134" t="str">
        <f t="shared" si="20"/>
        <v>\I:Trd_bus_</v>
      </c>
      <c r="K134" t="str">
        <f t="shared" si="22"/>
        <v>\I:</v>
      </c>
      <c r="L134" t="str">
        <f t="shared" si="21"/>
        <v>\I:</v>
      </c>
      <c r="M134" s="306" t="str">
        <f t="shared" si="23"/>
        <v/>
      </c>
      <c r="N134" s="306" t="str">
        <f t="shared" si="24"/>
        <v/>
      </c>
      <c r="O134" s="306" t="str">
        <f t="shared" si="25"/>
        <v/>
      </c>
      <c r="P134" s="306" t="str">
        <f t="shared" si="26"/>
        <v/>
      </c>
      <c r="S134" t="s">
        <v>83</v>
      </c>
      <c r="T134" t="str">
        <f t="shared" si="27"/>
        <v>\I:</v>
      </c>
      <c r="U134" t="str">
        <f ca="1" t="shared" si="28"/>
        <v>Hybrid diesel coach -- 00%</v>
      </c>
      <c r="V134" s="309" t="s">
        <v>84</v>
      </c>
      <c r="W134" s="309" t="s">
        <v>85</v>
      </c>
    </row>
    <row r="135" ht="15" customHeight="1" spans="2:23">
      <c r="B135" s="300" t="s">
        <v>21</v>
      </c>
      <c r="C135" s="300" t="s">
        <v>156</v>
      </c>
      <c r="D135" s="300"/>
      <c r="E135" s="300"/>
      <c r="F135" s="300"/>
      <c r="J135" t="str">
        <f t="shared" si="20"/>
        <v>\I:Trd_bus_</v>
      </c>
      <c r="K135" t="str">
        <f t="shared" si="22"/>
        <v>\I:</v>
      </c>
      <c r="L135" t="str">
        <f t="shared" si="21"/>
        <v>\I:</v>
      </c>
      <c r="M135" s="306" t="str">
        <f t="shared" si="23"/>
        <v/>
      </c>
      <c r="N135" s="306" t="str">
        <f t="shared" si="24"/>
        <v/>
      </c>
      <c r="O135" s="306" t="str">
        <f t="shared" si="25"/>
        <v/>
      </c>
      <c r="P135" s="306" t="str">
        <f t="shared" si="26"/>
        <v/>
      </c>
      <c r="S135" t="s">
        <v>83</v>
      </c>
      <c r="T135" t="str">
        <f t="shared" si="27"/>
        <v>\I:</v>
      </c>
      <c r="U135" t="str">
        <f ca="1" t="shared" si="28"/>
        <v>Hybrid diesel coach -- Reduction of specific energy consumption relative to 2015 diesel vehicle (%)</v>
      </c>
      <c r="V135" s="309" t="s">
        <v>84</v>
      </c>
      <c r="W135" s="309" t="s">
        <v>85</v>
      </c>
    </row>
    <row r="136" spans="2:23">
      <c r="B136" s="300"/>
      <c r="C136" s="300"/>
      <c r="D136" s="300"/>
      <c r="E136" s="300"/>
      <c r="F136" s="300"/>
      <c r="J136" t="str">
        <f t="shared" si="20"/>
        <v>\I:Trd_bus_</v>
      </c>
      <c r="K136" t="str">
        <f t="shared" si="22"/>
        <v>\I:</v>
      </c>
      <c r="L136" t="str">
        <f t="shared" si="21"/>
        <v>\I:</v>
      </c>
      <c r="M136" s="306" t="str">
        <f t="shared" si="23"/>
        <v/>
      </c>
      <c r="N136" s="306" t="str">
        <f t="shared" si="24"/>
        <v/>
      </c>
      <c r="O136" s="306" t="str">
        <f t="shared" si="25"/>
        <v/>
      </c>
      <c r="P136" s="306" t="str">
        <f t="shared" si="26"/>
        <v/>
      </c>
      <c r="S136" t="s">
        <v>83</v>
      </c>
      <c r="T136" t="str">
        <f t="shared" si="27"/>
        <v>\I:</v>
      </c>
      <c r="U136" t="str">
        <f ca="1" t="shared" si="28"/>
        <v>Hybrid diesel coach -- 00%</v>
      </c>
      <c r="V136" s="309" t="s">
        <v>84</v>
      </c>
      <c r="W136" s="309" t="s">
        <v>85</v>
      </c>
    </row>
    <row r="137" spans="2:23">
      <c r="B137" s="300"/>
      <c r="C137" s="300"/>
      <c r="D137" s="300"/>
      <c r="E137" s="300"/>
      <c r="F137" s="300"/>
      <c r="J137" t="str">
        <f t="shared" si="20"/>
        <v>\I:Trd_bus_</v>
      </c>
      <c r="K137" t="str">
        <f t="shared" si="22"/>
        <v>\I:</v>
      </c>
      <c r="L137" t="str">
        <f t="shared" si="21"/>
        <v>\I:</v>
      </c>
      <c r="M137" s="306" t="str">
        <f t="shared" si="23"/>
        <v/>
      </c>
      <c r="N137" s="306" t="str">
        <f t="shared" si="24"/>
        <v/>
      </c>
      <c r="O137" s="306" t="str">
        <f t="shared" si="25"/>
        <v/>
      </c>
      <c r="P137" s="306" t="str">
        <f t="shared" si="26"/>
        <v/>
      </c>
      <c r="S137" t="s">
        <v>83</v>
      </c>
      <c r="T137" t="str">
        <f t="shared" si="27"/>
        <v>\I:</v>
      </c>
      <c r="U137" t="str">
        <f ca="1" t="shared" si="28"/>
        <v>Hybrid diesel coach -- 00%</v>
      </c>
      <c r="V137" s="309" t="s">
        <v>84</v>
      </c>
      <c r="W137" s="309" t="s">
        <v>85</v>
      </c>
    </row>
    <row r="138" spans="2:23">
      <c r="B138" s="49"/>
      <c r="C138" s="50">
        <v>2020</v>
      </c>
      <c r="D138" s="50">
        <v>2030</v>
      </c>
      <c r="E138" s="50">
        <v>2040</v>
      </c>
      <c r="F138" s="50">
        <v>2050</v>
      </c>
      <c r="J138" t="str">
        <f t="shared" si="20"/>
        <v>\I:Trd_bus_</v>
      </c>
      <c r="K138" t="str">
        <f t="shared" si="22"/>
        <v>\I:</v>
      </c>
      <c r="L138" t="str">
        <f t="shared" si="21"/>
        <v>\I:</v>
      </c>
      <c r="M138" s="306" t="str">
        <f t="shared" si="23"/>
        <v/>
      </c>
      <c r="N138" s="306" t="str">
        <f t="shared" si="24"/>
        <v/>
      </c>
      <c r="O138" s="306" t="str">
        <f t="shared" si="25"/>
        <v/>
      </c>
      <c r="P138" s="306" t="str">
        <f t="shared" si="26"/>
        <v/>
      </c>
      <c r="S138" t="s">
        <v>83</v>
      </c>
      <c r="T138" t="str">
        <f t="shared" si="27"/>
        <v>\I:</v>
      </c>
      <c r="U138" t="str">
        <f ca="1" t="shared" si="28"/>
        <v>Hybrid diesel coach -- 00%</v>
      </c>
      <c r="V138" s="309" t="s">
        <v>84</v>
      </c>
      <c r="W138" s="309" t="s">
        <v>85</v>
      </c>
    </row>
    <row r="139" spans="2:23">
      <c r="B139" s="51">
        <v>0.164</v>
      </c>
      <c r="C139" s="86">
        <v>321832.916726531</v>
      </c>
      <c r="D139" s="86">
        <v>321832.916726531</v>
      </c>
      <c r="E139" s="86">
        <v>321832.916726531</v>
      </c>
      <c r="F139" s="86">
        <v>321832.916726531</v>
      </c>
      <c r="J139" t="str">
        <f t="shared" si="20"/>
        <v>\I:Trd_bus_</v>
      </c>
      <c r="K139" t="str">
        <f t="shared" si="22"/>
        <v>\I:Trd_bus__16</v>
      </c>
      <c r="L139" t="str">
        <f t="shared" si="21"/>
        <v>\I:Trd_</v>
      </c>
      <c r="M139" s="306">
        <f t="shared" si="23"/>
        <v>321832.916726531</v>
      </c>
      <c r="N139" s="306">
        <f t="shared" si="24"/>
        <v>321832.916726531</v>
      </c>
      <c r="O139" s="306">
        <f t="shared" si="25"/>
        <v>321832.916726531</v>
      </c>
      <c r="P139" s="306">
        <f t="shared" si="26"/>
        <v>321832.916726531</v>
      </c>
      <c r="S139" t="s">
        <v>83</v>
      </c>
      <c r="T139" t="str">
        <f t="shared" si="27"/>
        <v>\I:Trd_bus__16</v>
      </c>
      <c r="U139" t="str">
        <f ca="1" t="shared" si="28"/>
        <v>Hybrid diesel coach -- 16%</v>
      </c>
      <c r="V139" s="309" t="s">
        <v>84</v>
      </c>
      <c r="W139" s="309" t="s">
        <v>85</v>
      </c>
    </row>
    <row r="140" spans="2:23">
      <c r="B140" s="51">
        <v>0.208</v>
      </c>
      <c r="C140" s="86">
        <v>322833.108114091</v>
      </c>
      <c r="D140" s="86">
        <v>322833.108114091</v>
      </c>
      <c r="E140" s="86">
        <v>322833.108114091</v>
      </c>
      <c r="F140" s="86">
        <v>322833.108114091</v>
      </c>
      <c r="J140" t="str">
        <f t="shared" si="20"/>
        <v>\I:Trd_bus_</v>
      </c>
      <c r="K140" t="str">
        <f t="shared" si="22"/>
        <v>\I:Trd_bus__21</v>
      </c>
      <c r="L140" t="str">
        <f t="shared" si="21"/>
        <v>\I:Trd_</v>
      </c>
      <c r="M140" s="306">
        <f t="shared" si="23"/>
        <v>322833.108114091</v>
      </c>
      <c r="N140" s="306">
        <f t="shared" si="24"/>
        <v>322833.108114091</v>
      </c>
      <c r="O140" s="306">
        <f t="shared" si="25"/>
        <v>322833.108114091</v>
      </c>
      <c r="P140" s="306">
        <f t="shared" si="26"/>
        <v>322833.108114091</v>
      </c>
      <c r="S140" t="s">
        <v>83</v>
      </c>
      <c r="T140" t="str">
        <f t="shared" si="27"/>
        <v>\I:Trd_bus__21</v>
      </c>
      <c r="U140" t="str">
        <f ca="1" t="shared" si="28"/>
        <v>Hybrid diesel coach -- 21%</v>
      </c>
      <c r="V140" s="309" t="s">
        <v>84</v>
      </c>
      <c r="W140" s="309" t="s">
        <v>85</v>
      </c>
    </row>
    <row r="141" spans="2:23">
      <c r="B141" s="51">
        <v>0.252</v>
      </c>
      <c r="C141" s="86">
        <v>325072.21883208</v>
      </c>
      <c r="D141" s="86">
        <v>323840.25627759</v>
      </c>
      <c r="E141" s="86">
        <v>323840.25627759</v>
      </c>
      <c r="F141" s="86">
        <v>323840.25627759</v>
      </c>
      <c r="J141" t="str">
        <f t="shared" si="20"/>
        <v>\I:Trd_bus_</v>
      </c>
      <c r="K141" t="str">
        <f t="shared" si="22"/>
        <v>\I:Trd_bus__25</v>
      </c>
      <c r="L141" t="str">
        <f t="shared" si="21"/>
        <v>\I:Trd_</v>
      </c>
      <c r="M141" s="306">
        <f t="shared" si="23"/>
        <v>325072.21883208</v>
      </c>
      <c r="N141" s="306">
        <f t="shared" si="24"/>
        <v>323840.25627759</v>
      </c>
      <c r="O141" s="306">
        <f t="shared" si="25"/>
        <v>323840.25627759</v>
      </c>
      <c r="P141" s="306">
        <f t="shared" si="26"/>
        <v>323840.25627759</v>
      </c>
      <c r="S141" t="s">
        <v>83</v>
      </c>
      <c r="T141" t="str">
        <f t="shared" si="27"/>
        <v>\I:Trd_bus__25</v>
      </c>
      <c r="U141" t="str">
        <f ca="1" t="shared" si="28"/>
        <v>Hybrid diesel coach -- 25%</v>
      </c>
      <c r="V141" s="309" t="s">
        <v>84</v>
      </c>
      <c r="W141" s="309" t="s">
        <v>85</v>
      </c>
    </row>
    <row r="142" spans="2:23">
      <c r="B142" s="51">
        <v>0.296</v>
      </c>
      <c r="C142" s="86">
        <v>327717.496433645</v>
      </c>
      <c r="D142" s="86">
        <v>325354.481104544</v>
      </c>
      <c r="E142" s="86">
        <v>325354.481104544</v>
      </c>
      <c r="F142" s="86">
        <v>325354.481104544</v>
      </c>
      <c r="J142" t="str">
        <f t="shared" ref="J142:J205" si="34">IFERROR(VLOOKUP(C142,$R$1:$S$9,2,FALSE),J141)</f>
        <v>\I:Trd_bus_</v>
      </c>
      <c r="K142" t="str">
        <f t="shared" si="22"/>
        <v>\I:Trd_bus__30</v>
      </c>
      <c r="L142" t="str">
        <f t="shared" ref="L142:L205" si="35">LEFT(K142,7)</f>
        <v>\I:Trd_</v>
      </c>
      <c r="M142" s="306">
        <f t="shared" si="23"/>
        <v>327717.496433645</v>
      </c>
      <c r="N142" s="306">
        <f t="shared" si="24"/>
        <v>325354.481104544</v>
      </c>
      <c r="O142" s="306">
        <f t="shared" si="25"/>
        <v>325354.481104544</v>
      </c>
      <c r="P142" s="306">
        <f t="shared" si="26"/>
        <v>325354.481104544</v>
      </c>
      <c r="S142" t="s">
        <v>83</v>
      </c>
      <c r="T142" t="str">
        <f t="shared" si="27"/>
        <v>\I:Trd_bus__30</v>
      </c>
      <c r="U142" t="str">
        <f ca="1" t="shared" si="28"/>
        <v>Hybrid diesel coach -- 30%</v>
      </c>
      <c r="V142" s="309" t="s">
        <v>84</v>
      </c>
      <c r="W142" s="309" t="s">
        <v>85</v>
      </c>
    </row>
    <row r="143" spans="2:23">
      <c r="B143" s="51">
        <v>0.34</v>
      </c>
      <c r="C143" s="86">
        <v>341195.768621874</v>
      </c>
      <c r="D143" s="86">
        <v>327631.084398538</v>
      </c>
      <c r="E143" s="86">
        <v>327631.084398538</v>
      </c>
      <c r="F143" s="86">
        <v>327631.084398538</v>
      </c>
      <c r="J143" t="str">
        <f t="shared" si="34"/>
        <v>\I:Trd_bus_</v>
      </c>
      <c r="K143" t="str">
        <f t="shared" si="22"/>
        <v>\I:Trd_bus__34</v>
      </c>
      <c r="L143" t="str">
        <f t="shared" si="35"/>
        <v>\I:Trd_</v>
      </c>
      <c r="M143" s="306">
        <f t="shared" si="23"/>
        <v>341195.768621874</v>
      </c>
      <c r="N143" s="306">
        <f t="shared" si="24"/>
        <v>327631.084398538</v>
      </c>
      <c r="O143" s="306">
        <f t="shared" si="25"/>
        <v>327631.084398538</v>
      </c>
      <c r="P143" s="306">
        <f t="shared" si="26"/>
        <v>327631.084398538</v>
      </c>
      <c r="S143" t="s">
        <v>83</v>
      </c>
      <c r="T143" t="str">
        <f t="shared" si="27"/>
        <v>\I:Trd_bus__34</v>
      </c>
      <c r="U143" t="str">
        <f ca="1" t="shared" si="28"/>
        <v>Hybrid diesel coach -- 34%</v>
      </c>
      <c r="V143" s="309" t="s">
        <v>84</v>
      </c>
      <c r="W143" s="309" t="s">
        <v>85</v>
      </c>
    </row>
    <row r="144" spans="2:23">
      <c r="B144" s="51">
        <v>0.384</v>
      </c>
      <c r="C144" s="86">
        <v>357695.810307068</v>
      </c>
      <c r="D144" s="86">
        <v>331053.906733749</v>
      </c>
      <c r="E144" s="86">
        <v>331053.906733749</v>
      </c>
      <c r="F144" s="86">
        <v>331053.906733749</v>
      </c>
      <c r="J144" t="str">
        <f t="shared" si="34"/>
        <v>\I:Trd_bus_</v>
      </c>
      <c r="K144" t="str">
        <f t="shared" si="22"/>
        <v>\I:Trd_bus__38</v>
      </c>
      <c r="L144" t="str">
        <f t="shared" si="35"/>
        <v>\I:Trd_</v>
      </c>
      <c r="M144" s="306">
        <f t="shared" si="23"/>
        <v>357695.810307068</v>
      </c>
      <c r="N144" s="306">
        <f t="shared" si="24"/>
        <v>331053.906733749</v>
      </c>
      <c r="O144" s="306">
        <f t="shared" si="25"/>
        <v>331053.906733749</v>
      </c>
      <c r="P144" s="306">
        <f t="shared" si="26"/>
        <v>331053.906733749</v>
      </c>
      <c r="S144" t="s">
        <v>83</v>
      </c>
      <c r="T144" t="str">
        <f t="shared" si="27"/>
        <v>\I:Trd_bus__38</v>
      </c>
      <c r="U144" t="str">
        <f ca="1" t="shared" si="28"/>
        <v>Hybrid diesel coach -- 38%</v>
      </c>
      <c r="V144" s="309" t="s">
        <v>84</v>
      </c>
      <c r="W144" s="309" t="s">
        <v>85</v>
      </c>
    </row>
    <row r="145" spans="2:23">
      <c r="B145" s="51">
        <v>0.4016</v>
      </c>
      <c r="C145" s="86">
        <v>367686.550041485</v>
      </c>
      <c r="D145" s="86">
        <v>336352.059139705</v>
      </c>
      <c r="E145" s="86">
        <v>336200.043862392</v>
      </c>
      <c r="F145" s="86">
        <v>336200.043862392</v>
      </c>
      <c r="J145" t="str">
        <f t="shared" si="34"/>
        <v>\I:Trd_bus_</v>
      </c>
      <c r="K145" t="str">
        <f t="shared" si="22"/>
        <v>\I:Trd_bus__40</v>
      </c>
      <c r="L145" t="str">
        <f t="shared" si="35"/>
        <v>\I:Trd_</v>
      </c>
      <c r="M145" s="306">
        <f t="shared" si="23"/>
        <v>367686.550041485</v>
      </c>
      <c r="N145" s="306">
        <f t="shared" si="24"/>
        <v>336352.059139705</v>
      </c>
      <c r="O145" s="306">
        <f t="shared" si="25"/>
        <v>336200.043862392</v>
      </c>
      <c r="P145" s="306">
        <f t="shared" si="26"/>
        <v>336200.043862392</v>
      </c>
      <c r="S145" t="s">
        <v>83</v>
      </c>
      <c r="T145" t="str">
        <f t="shared" si="27"/>
        <v>\I:Trd_bus__40</v>
      </c>
      <c r="U145" t="str">
        <f ca="1" t="shared" si="28"/>
        <v>Hybrid diesel coach -- 40%</v>
      </c>
      <c r="V145" s="309" t="s">
        <v>84</v>
      </c>
      <c r="W145" s="309" t="s">
        <v>85</v>
      </c>
    </row>
    <row r="146" spans="2:23">
      <c r="B146" s="51">
        <v>0.428</v>
      </c>
      <c r="C146" s="86">
        <v>424470.664466407</v>
      </c>
      <c r="D146" s="86">
        <v>350547.740111951</v>
      </c>
      <c r="E146" s="86">
        <v>343937.146391603</v>
      </c>
      <c r="F146" s="86">
        <v>343937.146391603</v>
      </c>
      <c r="J146" t="str">
        <f t="shared" si="34"/>
        <v>\I:Trd_bus_</v>
      </c>
      <c r="K146" t="str">
        <f t="shared" si="22"/>
        <v>\I:Trd_bus__43</v>
      </c>
      <c r="L146" t="str">
        <f t="shared" si="35"/>
        <v>\I:Trd_</v>
      </c>
      <c r="M146" s="306">
        <f t="shared" si="23"/>
        <v>424470.664466407</v>
      </c>
      <c r="N146" s="306">
        <f t="shared" si="24"/>
        <v>350547.740111951</v>
      </c>
      <c r="O146" s="306">
        <f t="shared" si="25"/>
        <v>343937.146391603</v>
      </c>
      <c r="P146" s="306">
        <f t="shared" si="26"/>
        <v>343937.146391603</v>
      </c>
      <c r="S146" t="s">
        <v>83</v>
      </c>
      <c r="T146" t="str">
        <f t="shared" si="27"/>
        <v>\I:Trd_bus__43</v>
      </c>
      <c r="U146" t="str">
        <f ca="1" t="shared" si="28"/>
        <v>Hybrid diesel coach -- 43%</v>
      </c>
      <c r="V146" s="309" t="s">
        <v>84</v>
      </c>
      <c r="W146" s="309" t="s">
        <v>85</v>
      </c>
    </row>
    <row r="147" spans="10:23">
      <c r="J147" t="str">
        <f t="shared" si="34"/>
        <v>\I:Trd_bus_</v>
      </c>
      <c r="K147" t="str">
        <f t="shared" si="22"/>
        <v>\I:</v>
      </c>
      <c r="L147" t="str">
        <f t="shared" si="35"/>
        <v>\I:</v>
      </c>
      <c r="M147" s="306" t="str">
        <f t="shared" si="23"/>
        <v/>
      </c>
      <c r="N147" s="306" t="str">
        <f t="shared" si="24"/>
        <v/>
      </c>
      <c r="O147" s="306" t="str">
        <f t="shared" si="25"/>
        <v/>
      </c>
      <c r="P147" s="306" t="str">
        <f t="shared" si="26"/>
        <v/>
      </c>
      <c r="S147" t="s">
        <v>83</v>
      </c>
      <c r="T147" t="str">
        <f t="shared" si="27"/>
        <v>\I:</v>
      </c>
      <c r="U147" t="str">
        <f ca="1" t="shared" si="28"/>
        <v>Hybrid diesel coach -- 00%</v>
      </c>
      <c r="V147" s="309" t="s">
        <v>84</v>
      </c>
      <c r="W147" s="309" t="s">
        <v>85</v>
      </c>
    </row>
    <row r="148" spans="10:23">
      <c r="J148" t="str">
        <f t="shared" si="34"/>
        <v>\I:Trd_bus_</v>
      </c>
      <c r="K148" t="str">
        <f t="shared" si="22"/>
        <v>\I:</v>
      </c>
      <c r="L148" t="str">
        <f t="shared" si="35"/>
        <v>\I:</v>
      </c>
      <c r="M148" s="306" t="str">
        <f t="shared" si="23"/>
        <v/>
      </c>
      <c r="N148" s="306" t="str">
        <f t="shared" si="24"/>
        <v/>
      </c>
      <c r="O148" s="306" t="str">
        <f t="shared" si="25"/>
        <v/>
      </c>
      <c r="P148" s="306" t="str">
        <f t="shared" si="26"/>
        <v/>
      </c>
      <c r="S148" t="s">
        <v>83</v>
      </c>
      <c r="T148" t="str">
        <f t="shared" si="27"/>
        <v>\I:</v>
      </c>
      <c r="U148" t="str">
        <f ca="1" t="shared" si="28"/>
        <v>Hybrid diesel coach -- 00%</v>
      </c>
      <c r="V148" s="309" t="s">
        <v>84</v>
      </c>
      <c r="W148" s="309" t="s">
        <v>85</v>
      </c>
    </row>
    <row r="149" spans="10:23">
      <c r="J149" t="str">
        <f t="shared" si="34"/>
        <v>\I:Trd_bus_</v>
      </c>
      <c r="K149" t="str">
        <f t="shared" si="22"/>
        <v>\I:</v>
      </c>
      <c r="L149" t="str">
        <f t="shared" si="35"/>
        <v>\I:</v>
      </c>
      <c r="M149" s="306" t="str">
        <f t="shared" si="23"/>
        <v/>
      </c>
      <c r="N149" s="306" t="str">
        <f t="shared" si="24"/>
        <v/>
      </c>
      <c r="O149" s="306" t="str">
        <f t="shared" si="25"/>
        <v/>
      </c>
      <c r="P149" s="306" t="str">
        <f t="shared" si="26"/>
        <v/>
      </c>
      <c r="S149" t="s">
        <v>83</v>
      </c>
      <c r="T149" t="str">
        <f t="shared" si="27"/>
        <v>\I:</v>
      </c>
      <c r="U149" t="str">
        <f ca="1" t="shared" si="28"/>
        <v>Hybrid diesel coach -- 00%</v>
      </c>
      <c r="V149" s="309" t="s">
        <v>84</v>
      </c>
      <c r="W149" s="309" t="s">
        <v>85</v>
      </c>
    </row>
    <row r="150" spans="10:23">
      <c r="J150" t="str">
        <f t="shared" si="34"/>
        <v>\I:Trd_bus_</v>
      </c>
      <c r="K150" t="str">
        <f t="shared" si="22"/>
        <v>\I:</v>
      </c>
      <c r="L150" t="str">
        <f t="shared" si="35"/>
        <v>\I:</v>
      </c>
      <c r="M150" s="306" t="str">
        <f t="shared" si="23"/>
        <v/>
      </c>
      <c r="N150" s="306" t="str">
        <f t="shared" si="24"/>
        <v/>
      </c>
      <c r="O150" s="306" t="str">
        <f t="shared" si="25"/>
        <v/>
      </c>
      <c r="P150" s="306" t="str">
        <f t="shared" si="26"/>
        <v/>
      </c>
      <c r="S150" t="s">
        <v>83</v>
      </c>
      <c r="T150" t="str">
        <f t="shared" si="27"/>
        <v>\I:</v>
      </c>
      <c r="U150" t="str">
        <f ca="1" t="shared" si="28"/>
        <v>Hybrid diesel coach -- 00%</v>
      </c>
      <c r="V150" s="309" t="s">
        <v>84</v>
      </c>
      <c r="W150" s="309" t="s">
        <v>85</v>
      </c>
    </row>
    <row r="151" spans="2:23">
      <c r="B151" s="43" t="s">
        <v>165</v>
      </c>
      <c r="J151" t="str">
        <f t="shared" si="34"/>
        <v>\I:Trd_bus_</v>
      </c>
      <c r="K151" t="str">
        <f t="shared" si="22"/>
        <v>\I:</v>
      </c>
      <c r="L151" t="str">
        <f t="shared" si="35"/>
        <v>\I:</v>
      </c>
      <c r="M151" s="306" t="str">
        <f t="shared" si="23"/>
        <v/>
      </c>
      <c r="N151" s="306" t="str">
        <f t="shared" si="24"/>
        <v/>
      </c>
      <c r="O151" s="306" t="str">
        <f t="shared" si="25"/>
        <v/>
      </c>
      <c r="P151" s="306" t="str">
        <f t="shared" si="26"/>
        <v/>
      </c>
      <c r="S151" t="s">
        <v>83</v>
      </c>
      <c r="T151" t="str">
        <f t="shared" si="27"/>
        <v>\I:</v>
      </c>
      <c r="U151" t="str">
        <f ca="1" t="shared" si="28"/>
        <v>Hybrid diesel coach -- Reference values for LNG coach</v>
      </c>
      <c r="V151" s="309" t="s">
        <v>84</v>
      </c>
      <c r="W151" s="309" t="s">
        <v>85</v>
      </c>
    </row>
    <row r="152" spans="2:23">
      <c r="B152" s="298">
        <v>2015</v>
      </c>
      <c r="C152" s="298"/>
      <c r="D152" s="298"/>
      <c r="J152" t="str">
        <f t="shared" si="34"/>
        <v>\I:Trd_bus_</v>
      </c>
      <c r="K152" t="str">
        <f t="shared" ref="K152:K215" si="36">IFERROR(IF(VALUE(C152)&gt;2020,J152&amp;"_"&amp;TEXT(B152*100,"00"),"\I:"),"\I:")</f>
        <v>\I:</v>
      </c>
      <c r="L152" t="str">
        <f t="shared" si="35"/>
        <v>\I:</v>
      </c>
      <c r="M152" s="306" t="str">
        <f t="shared" ref="M152:M215" si="37">IF($K152="\I:","",C152)</f>
        <v/>
      </c>
      <c r="N152" s="306" t="str">
        <f t="shared" ref="N152:N215" si="38">IF($K152="\I:","",D152)</f>
        <v/>
      </c>
      <c r="O152" s="306" t="str">
        <f t="shared" ref="O152:O215" si="39">IF($K152="\I:","",E152)</f>
        <v/>
      </c>
      <c r="P152" s="306" t="str">
        <f t="shared" ref="P152:P215" si="40">IF($K152="\I:","",F152)</f>
        <v/>
      </c>
      <c r="S152" t="s">
        <v>83</v>
      </c>
      <c r="T152" t="str">
        <f t="shared" ref="T152:T215" si="41">K152</f>
        <v>\I:</v>
      </c>
      <c r="U152" t="str">
        <f ca="1" t="shared" ref="U152:U215" si="42">OFFSET($S$1,MATCH(J152,$S$1:$S$12,0)-1,-1)&amp;" -- "&amp;TEXT(B152,"00%")</f>
        <v>Hybrid diesel coach -- 201500%</v>
      </c>
      <c r="V152" s="309" t="s">
        <v>84</v>
      </c>
      <c r="W152" s="309" t="s">
        <v>85</v>
      </c>
    </row>
    <row r="153" spans="2:23">
      <c r="B153" s="45" t="s">
        <v>12</v>
      </c>
      <c r="C153" s="46" t="s">
        <v>88</v>
      </c>
      <c r="D153" s="47">
        <v>21.9255423798406</v>
      </c>
      <c r="J153" t="str">
        <f t="shared" si="34"/>
        <v>\I:Trd_bus_</v>
      </c>
      <c r="K153" t="str">
        <f t="shared" si="36"/>
        <v>\I:</v>
      </c>
      <c r="L153" t="str">
        <f t="shared" si="35"/>
        <v>\I:</v>
      </c>
      <c r="M153" s="306" t="str">
        <f t="shared" si="37"/>
        <v/>
      </c>
      <c r="N153" s="306" t="str">
        <f t="shared" si="38"/>
        <v/>
      </c>
      <c r="O153" s="306" t="str">
        <f t="shared" si="39"/>
        <v/>
      </c>
      <c r="P153" s="306" t="str">
        <f t="shared" si="40"/>
        <v/>
      </c>
      <c r="S153" t="s">
        <v>83</v>
      </c>
      <c r="T153" t="str">
        <f t="shared" si="41"/>
        <v>\I:</v>
      </c>
      <c r="U153" t="str">
        <f ca="1" t="shared" si="42"/>
        <v>Hybrid diesel coach -- Energy consumption</v>
      </c>
      <c r="V153" s="309" t="s">
        <v>84</v>
      </c>
      <c r="W153" s="309" t="s">
        <v>85</v>
      </c>
    </row>
    <row r="154" spans="2:23">
      <c r="B154" s="45" t="s">
        <v>14</v>
      </c>
      <c r="C154" s="46" t="s">
        <v>15</v>
      </c>
      <c r="D154" s="68">
        <v>321393.556544713</v>
      </c>
      <c r="J154" t="str">
        <f t="shared" si="34"/>
        <v>\I:Trd_bus_</v>
      </c>
      <c r="K154" t="str">
        <f t="shared" si="36"/>
        <v>\I:</v>
      </c>
      <c r="L154" t="str">
        <f t="shared" si="35"/>
        <v>\I:</v>
      </c>
      <c r="M154" s="306" t="str">
        <f t="shared" si="37"/>
        <v/>
      </c>
      <c r="N154" s="306" t="str">
        <f t="shared" si="38"/>
        <v/>
      </c>
      <c r="O154" s="306" t="str">
        <f t="shared" si="39"/>
        <v/>
      </c>
      <c r="P154" s="306" t="str">
        <f t="shared" si="40"/>
        <v/>
      </c>
      <c r="S154" t="s">
        <v>83</v>
      </c>
      <c r="T154" t="str">
        <f t="shared" si="41"/>
        <v>\I:</v>
      </c>
      <c r="U154" t="str">
        <f ca="1" t="shared" si="42"/>
        <v>Hybrid diesel coach -- Capital cost</v>
      </c>
      <c r="V154" s="309" t="s">
        <v>84</v>
      </c>
      <c r="W154" s="309" t="s">
        <v>85</v>
      </c>
    </row>
    <row r="155" spans="10:23">
      <c r="J155" t="str">
        <f t="shared" si="34"/>
        <v>\I:Trd_bus_</v>
      </c>
      <c r="K155" t="str">
        <f t="shared" si="36"/>
        <v>\I:</v>
      </c>
      <c r="L155" t="str">
        <f t="shared" si="35"/>
        <v>\I:</v>
      </c>
      <c r="M155" s="306" t="str">
        <f t="shared" si="37"/>
        <v/>
      </c>
      <c r="N155" s="306" t="str">
        <f t="shared" si="38"/>
        <v/>
      </c>
      <c r="O155" s="306" t="str">
        <f t="shared" si="39"/>
        <v/>
      </c>
      <c r="P155" s="306" t="str">
        <f t="shared" si="40"/>
        <v/>
      </c>
      <c r="S155" t="s">
        <v>83</v>
      </c>
      <c r="T155" t="str">
        <f t="shared" si="41"/>
        <v>\I:</v>
      </c>
      <c r="U155" t="str">
        <f ca="1" t="shared" si="42"/>
        <v>Hybrid diesel coach -- 00%</v>
      </c>
      <c r="V155" s="309" t="s">
        <v>84</v>
      </c>
      <c r="W155" s="309" t="s">
        <v>85</v>
      </c>
    </row>
    <row r="156" ht="15" customHeight="1" spans="2:23">
      <c r="B156" s="300" t="s">
        <v>121</v>
      </c>
      <c r="C156" s="300" t="s">
        <v>166</v>
      </c>
      <c r="D156" s="300"/>
      <c r="E156" s="300"/>
      <c r="F156" s="300"/>
      <c r="J156" t="str">
        <f t="shared" si="34"/>
        <v>\I:Trd_bus_</v>
      </c>
      <c r="K156" t="str">
        <f t="shared" si="36"/>
        <v>\I:</v>
      </c>
      <c r="L156" t="str">
        <f t="shared" si="35"/>
        <v>\I:</v>
      </c>
      <c r="M156" s="306" t="str">
        <f t="shared" si="37"/>
        <v/>
      </c>
      <c r="N156" s="306" t="str">
        <f t="shared" si="38"/>
        <v/>
      </c>
      <c r="O156" s="306" t="str">
        <f t="shared" si="39"/>
        <v/>
      </c>
      <c r="P156" s="306" t="str">
        <f t="shared" si="40"/>
        <v/>
      </c>
      <c r="S156" t="s">
        <v>83</v>
      </c>
      <c r="T156" t="str">
        <f t="shared" si="41"/>
        <v>\I:</v>
      </c>
      <c r="U156" t="str">
        <f ca="1" t="shared" si="42"/>
        <v>Hybrid diesel coach -- Reduction of specific energy consumption relative to 2015 LNG vehicle (%)</v>
      </c>
      <c r="V156" s="309" t="s">
        <v>84</v>
      </c>
      <c r="W156" s="309" t="s">
        <v>85</v>
      </c>
    </row>
    <row r="157" spans="2:23">
      <c r="B157" s="300"/>
      <c r="C157" s="300"/>
      <c r="D157" s="300"/>
      <c r="E157" s="300"/>
      <c r="F157" s="300"/>
      <c r="J157" t="str">
        <f t="shared" si="34"/>
        <v>\I:Trd_bus_</v>
      </c>
      <c r="K157" t="str">
        <f t="shared" si="36"/>
        <v>\I:</v>
      </c>
      <c r="L157" t="str">
        <f t="shared" si="35"/>
        <v>\I:</v>
      </c>
      <c r="M157" s="306" t="str">
        <f t="shared" si="37"/>
        <v/>
      </c>
      <c r="N157" s="306" t="str">
        <f t="shared" si="38"/>
        <v/>
      </c>
      <c r="O157" s="306" t="str">
        <f t="shared" si="39"/>
        <v/>
      </c>
      <c r="P157" s="306" t="str">
        <f t="shared" si="40"/>
        <v/>
      </c>
      <c r="S157" t="s">
        <v>83</v>
      </c>
      <c r="T157" t="str">
        <f t="shared" si="41"/>
        <v>\I:</v>
      </c>
      <c r="U157" t="str">
        <f ca="1" t="shared" si="42"/>
        <v>Hybrid diesel coach -- 00%</v>
      </c>
      <c r="V157" s="309" t="s">
        <v>84</v>
      </c>
      <c r="W157" s="309" t="s">
        <v>85</v>
      </c>
    </row>
    <row r="158" spans="2:23">
      <c r="B158" s="300"/>
      <c r="C158" s="300"/>
      <c r="D158" s="300"/>
      <c r="E158" s="300"/>
      <c r="F158" s="300"/>
      <c r="J158" t="str">
        <f t="shared" si="34"/>
        <v>\I:Trd_bus_</v>
      </c>
      <c r="K158" t="str">
        <f t="shared" si="36"/>
        <v>\I:</v>
      </c>
      <c r="L158" t="str">
        <f t="shared" si="35"/>
        <v>\I:</v>
      </c>
      <c r="M158" s="306" t="str">
        <f t="shared" si="37"/>
        <v/>
      </c>
      <c r="N158" s="306" t="str">
        <f t="shared" si="38"/>
        <v/>
      </c>
      <c r="O158" s="306" t="str">
        <f t="shared" si="39"/>
        <v/>
      </c>
      <c r="P158" s="306" t="str">
        <f t="shared" si="40"/>
        <v/>
      </c>
      <c r="S158" t="s">
        <v>83</v>
      </c>
      <c r="T158" t="str">
        <f t="shared" si="41"/>
        <v>\I:</v>
      </c>
      <c r="U158" t="str">
        <f ca="1" t="shared" si="42"/>
        <v>Hybrid diesel coach -- 00%</v>
      </c>
      <c r="V158" s="309" t="s">
        <v>84</v>
      </c>
      <c r="W158" s="309" t="s">
        <v>85</v>
      </c>
    </row>
    <row r="159" spans="2:23">
      <c r="B159" s="49"/>
      <c r="C159" s="50">
        <v>2020</v>
      </c>
      <c r="D159" s="50">
        <v>2030</v>
      </c>
      <c r="E159" s="50">
        <v>2040</v>
      </c>
      <c r="F159" s="50">
        <v>2050</v>
      </c>
      <c r="J159" t="str">
        <f t="shared" si="34"/>
        <v>\I:Trd_bus_</v>
      </c>
      <c r="K159" t="str">
        <f t="shared" si="36"/>
        <v>\I:</v>
      </c>
      <c r="L159" t="str">
        <f t="shared" si="35"/>
        <v>\I:</v>
      </c>
      <c r="M159" s="306" t="str">
        <f t="shared" si="37"/>
        <v/>
      </c>
      <c r="N159" s="306" t="str">
        <f t="shared" si="38"/>
        <v/>
      </c>
      <c r="O159" s="306" t="str">
        <f t="shared" si="39"/>
        <v/>
      </c>
      <c r="P159" s="306" t="str">
        <f t="shared" si="40"/>
        <v/>
      </c>
      <c r="S159" t="s">
        <v>83</v>
      </c>
      <c r="T159" t="str">
        <f t="shared" si="41"/>
        <v>\I:</v>
      </c>
      <c r="U159" t="str">
        <f ca="1" t="shared" si="42"/>
        <v>Hybrid diesel coach -- 00%</v>
      </c>
      <c r="V159" s="309" t="s">
        <v>84</v>
      </c>
      <c r="W159" s="309" t="s">
        <v>85</v>
      </c>
    </row>
    <row r="160" spans="2:23">
      <c r="B160" s="51">
        <v>0.0410104025682651</v>
      </c>
      <c r="C160" s="86">
        <v>322213.921573696</v>
      </c>
      <c r="D160" s="86">
        <v>322213.921573696</v>
      </c>
      <c r="E160" s="86">
        <v>322213.921573696</v>
      </c>
      <c r="F160" s="86">
        <v>322213.921573696</v>
      </c>
      <c r="J160" t="str">
        <f t="shared" si="34"/>
        <v>\I:Trd_bus_</v>
      </c>
      <c r="K160" t="str">
        <f t="shared" si="36"/>
        <v>\I:Trd_bus__04</v>
      </c>
      <c r="L160" t="str">
        <f t="shared" si="35"/>
        <v>\I:Trd_</v>
      </c>
      <c r="M160" s="306">
        <f t="shared" si="37"/>
        <v>322213.921573696</v>
      </c>
      <c r="N160" s="306">
        <f t="shared" si="38"/>
        <v>322213.921573696</v>
      </c>
      <c r="O160" s="306">
        <f t="shared" si="39"/>
        <v>322213.921573696</v>
      </c>
      <c r="P160" s="306">
        <f t="shared" si="40"/>
        <v>322213.921573696</v>
      </c>
      <c r="S160" t="s">
        <v>83</v>
      </c>
      <c r="T160" t="str">
        <f t="shared" si="41"/>
        <v>\I:Trd_bus__04</v>
      </c>
      <c r="U160" t="str">
        <f ca="1" t="shared" si="42"/>
        <v>Hybrid diesel coach -- 04%</v>
      </c>
      <c r="V160" s="309" t="s">
        <v>84</v>
      </c>
      <c r="W160" s="309" t="s">
        <v>85</v>
      </c>
    </row>
    <row r="161" spans="2:23">
      <c r="B161" s="51">
        <v>0.0910104025682651</v>
      </c>
      <c r="C161" s="86">
        <v>323718.211257641</v>
      </c>
      <c r="D161" s="86">
        <v>323221.069737195</v>
      </c>
      <c r="E161" s="86">
        <v>323221.069737195</v>
      </c>
      <c r="F161" s="86">
        <v>323221.069737195</v>
      </c>
      <c r="J161" t="str">
        <f t="shared" si="34"/>
        <v>\I:Trd_bus_</v>
      </c>
      <c r="K161" t="str">
        <f t="shared" si="36"/>
        <v>\I:Trd_bus__09</v>
      </c>
      <c r="L161" t="str">
        <f t="shared" si="35"/>
        <v>\I:Trd_</v>
      </c>
      <c r="M161" s="306">
        <f t="shared" si="37"/>
        <v>323718.211257641</v>
      </c>
      <c r="N161" s="306">
        <f t="shared" si="38"/>
        <v>323221.069737195</v>
      </c>
      <c r="O161" s="306">
        <f t="shared" si="39"/>
        <v>323221.069737195</v>
      </c>
      <c r="P161" s="306">
        <f t="shared" si="40"/>
        <v>323221.069737195</v>
      </c>
      <c r="S161" t="s">
        <v>83</v>
      </c>
      <c r="T161" t="str">
        <f t="shared" si="41"/>
        <v>\I:Trd_bus__09</v>
      </c>
      <c r="U161" t="str">
        <f ca="1" t="shared" si="42"/>
        <v>Hybrid diesel coach -- 09%</v>
      </c>
      <c r="V161" s="309" t="s">
        <v>84</v>
      </c>
      <c r="W161" s="309" t="s">
        <v>85</v>
      </c>
    </row>
    <row r="162" spans="2:23">
      <c r="B162" s="51">
        <v>0.141010402568265</v>
      </c>
      <c r="C162" s="86">
        <v>325145.498992476</v>
      </c>
      <c r="D162" s="86">
        <v>324735.294564148</v>
      </c>
      <c r="E162" s="86">
        <v>324735.294564148</v>
      </c>
      <c r="F162" s="86">
        <v>324735.294564148</v>
      </c>
      <c r="J162" t="str">
        <f t="shared" si="34"/>
        <v>\I:Trd_bus_</v>
      </c>
      <c r="K162" t="str">
        <f t="shared" si="36"/>
        <v>\I:Trd_bus__14</v>
      </c>
      <c r="L162" t="str">
        <f t="shared" si="35"/>
        <v>\I:Trd_</v>
      </c>
      <c r="M162" s="306">
        <f t="shared" si="37"/>
        <v>325145.498992476</v>
      </c>
      <c r="N162" s="306">
        <f t="shared" si="38"/>
        <v>324735.294564148</v>
      </c>
      <c r="O162" s="306">
        <f t="shared" si="39"/>
        <v>324735.294564148</v>
      </c>
      <c r="P162" s="306">
        <f t="shared" si="40"/>
        <v>324735.294564148</v>
      </c>
      <c r="S162" t="s">
        <v>83</v>
      </c>
      <c r="T162" t="str">
        <f t="shared" si="41"/>
        <v>\I:Trd_bus__14</v>
      </c>
      <c r="U162" t="str">
        <f ca="1" t="shared" si="42"/>
        <v>Hybrid diesel coach -- 14%</v>
      </c>
      <c r="V162" s="309" t="s">
        <v>84</v>
      </c>
      <c r="W162" s="309" t="s">
        <v>85</v>
      </c>
    </row>
    <row r="163" spans="2:23">
      <c r="B163" s="51">
        <v>0.191010402568265</v>
      </c>
      <c r="C163" s="86">
        <v>330223.215291406</v>
      </c>
      <c r="D163" s="86">
        <v>327011.897858143</v>
      </c>
      <c r="E163" s="86">
        <v>327011.897858143</v>
      </c>
      <c r="F163" s="86">
        <v>327011.897858143</v>
      </c>
      <c r="J163" t="str">
        <f t="shared" si="34"/>
        <v>\I:Trd_bus_</v>
      </c>
      <c r="K163" t="str">
        <f t="shared" si="36"/>
        <v>\I:Trd_bus__19</v>
      </c>
      <c r="L163" t="str">
        <f t="shared" si="35"/>
        <v>\I:Trd_</v>
      </c>
      <c r="M163" s="306">
        <f t="shared" si="37"/>
        <v>330223.215291406</v>
      </c>
      <c r="N163" s="306">
        <f t="shared" si="38"/>
        <v>327011.897858143</v>
      </c>
      <c r="O163" s="306">
        <f t="shared" si="39"/>
        <v>327011.897858143</v>
      </c>
      <c r="P163" s="306">
        <f t="shared" si="40"/>
        <v>327011.897858143</v>
      </c>
      <c r="S163" t="s">
        <v>83</v>
      </c>
      <c r="T163" t="str">
        <f t="shared" si="41"/>
        <v>\I:Trd_bus__19</v>
      </c>
      <c r="U163" t="str">
        <f ca="1" t="shared" si="42"/>
        <v>Hybrid diesel coach -- 19%</v>
      </c>
      <c r="V163" s="309" t="s">
        <v>84</v>
      </c>
      <c r="W163" s="309" t="s">
        <v>85</v>
      </c>
    </row>
    <row r="164" spans="2:23">
      <c r="B164" s="51">
        <v>0.241010402568265</v>
      </c>
      <c r="C164" s="86">
        <v>336044.223477435</v>
      </c>
      <c r="D164" s="86">
        <v>330434.720193354</v>
      </c>
      <c r="E164" s="86">
        <v>330434.720193354</v>
      </c>
      <c r="F164" s="86">
        <v>330434.720193354</v>
      </c>
      <c r="J164" t="str">
        <f t="shared" si="34"/>
        <v>\I:Trd_bus_</v>
      </c>
      <c r="K164" t="str">
        <f t="shared" si="36"/>
        <v>\I:Trd_bus__24</v>
      </c>
      <c r="L164" t="str">
        <f t="shared" si="35"/>
        <v>\I:Trd_</v>
      </c>
      <c r="M164" s="306">
        <f t="shared" si="37"/>
        <v>336044.223477435</v>
      </c>
      <c r="N164" s="306">
        <f t="shared" si="38"/>
        <v>330434.720193354</v>
      </c>
      <c r="O164" s="306">
        <f t="shared" si="39"/>
        <v>330434.720193354</v>
      </c>
      <c r="P164" s="306">
        <f t="shared" si="40"/>
        <v>330434.720193354</v>
      </c>
      <c r="S164" t="s">
        <v>83</v>
      </c>
      <c r="T164" t="str">
        <f t="shared" si="41"/>
        <v>\I:Trd_bus__24</v>
      </c>
      <c r="U164" t="str">
        <f ca="1" t="shared" si="42"/>
        <v>Hybrid diesel coach -- 24%</v>
      </c>
      <c r="V164" s="309" t="s">
        <v>84</v>
      </c>
      <c r="W164" s="309" t="s">
        <v>85</v>
      </c>
    </row>
    <row r="165" spans="2:23">
      <c r="B165" s="51">
        <v>0.261010402568265</v>
      </c>
      <c r="C165" s="86">
        <v>361776.063243984</v>
      </c>
      <c r="D165" s="86">
        <v>335707.326466266</v>
      </c>
      <c r="E165" s="86">
        <v>335580.857321997</v>
      </c>
      <c r="F165" s="86">
        <v>335580.857321997</v>
      </c>
      <c r="J165" t="str">
        <f t="shared" si="34"/>
        <v>\I:Trd_bus_</v>
      </c>
      <c r="K165" t="str">
        <f t="shared" si="36"/>
        <v>\I:Trd_bus__26</v>
      </c>
      <c r="L165" t="str">
        <f t="shared" si="35"/>
        <v>\I:Trd_</v>
      </c>
      <c r="M165" s="306">
        <f t="shared" si="37"/>
        <v>361776.063243984</v>
      </c>
      <c r="N165" s="306">
        <f t="shared" si="38"/>
        <v>335707.326466266</v>
      </c>
      <c r="O165" s="306">
        <f t="shared" si="39"/>
        <v>335580.857321997</v>
      </c>
      <c r="P165" s="306">
        <f t="shared" si="40"/>
        <v>335580.857321997</v>
      </c>
      <c r="S165" t="s">
        <v>83</v>
      </c>
      <c r="T165" t="str">
        <f t="shared" si="41"/>
        <v>\I:Trd_bus__26</v>
      </c>
      <c r="U165" t="str">
        <f ca="1" t="shared" si="42"/>
        <v>Hybrid diesel coach -- 26%</v>
      </c>
      <c r="V165" s="309" t="s">
        <v>84</v>
      </c>
      <c r="W165" s="309" t="s">
        <v>85</v>
      </c>
    </row>
    <row r="166" spans="2:23">
      <c r="B166" s="51">
        <v>0.291010402568265</v>
      </c>
      <c r="C166" s="86">
        <v>446864.791159275</v>
      </c>
      <c r="D166" s="86">
        <v>351817.60135664</v>
      </c>
      <c r="E166" s="86">
        <v>343317.959851208</v>
      </c>
      <c r="F166" s="86">
        <v>343317.959851208</v>
      </c>
      <c r="J166" t="str">
        <f t="shared" si="34"/>
        <v>\I:Trd_bus_</v>
      </c>
      <c r="K166" t="str">
        <f t="shared" si="36"/>
        <v>\I:Trd_bus__29</v>
      </c>
      <c r="L166" t="str">
        <f t="shared" si="35"/>
        <v>\I:Trd_</v>
      </c>
      <c r="M166" s="306">
        <f t="shared" si="37"/>
        <v>446864.791159275</v>
      </c>
      <c r="N166" s="306">
        <f t="shared" si="38"/>
        <v>351817.60135664</v>
      </c>
      <c r="O166" s="306">
        <f t="shared" si="39"/>
        <v>343317.959851208</v>
      </c>
      <c r="P166" s="306">
        <f t="shared" si="40"/>
        <v>343317.959851208</v>
      </c>
      <c r="S166" t="s">
        <v>83</v>
      </c>
      <c r="T166" t="str">
        <f t="shared" si="41"/>
        <v>\I:Trd_bus__29</v>
      </c>
      <c r="U166" t="str">
        <f ca="1" t="shared" si="42"/>
        <v>Hybrid diesel coach -- 29%</v>
      </c>
      <c r="V166" s="309" t="s">
        <v>84</v>
      </c>
      <c r="W166" s="309" t="s">
        <v>85</v>
      </c>
    </row>
    <row r="167" spans="10:23">
      <c r="J167" t="str">
        <f t="shared" si="34"/>
        <v>\I:Trd_bus_</v>
      </c>
      <c r="K167" t="str">
        <f t="shared" si="36"/>
        <v>\I:</v>
      </c>
      <c r="L167" t="str">
        <f t="shared" si="35"/>
        <v>\I:</v>
      </c>
      <c r="M167" s="306" t="str">
        <f t="shared" si="37"/>
        <v/>
      </c>
      <c r="N167" s="306" t="str">
        <f t="shared" si="38"/>
        <v/>
      </c>
      <c r="O167" s="306" t="str">
        <f t="shared" si="39"/>
        <v/>
      </c>
      <c r="P167" s="306" t="str">
        <f t="shared" si="40"/>
        <v/>
      </c>
      <c r="S167" t="s">
        <v>83</v>
      </c>
      <c r="T167" t="str">
        <f t="shared" si="41"/>
        <v>\I:</v>
      </c>
      <c r="U167" t="str">
        <f ca="1" t="shared" si="42"/>
        <v>Hybrid diesel coach -- 00%</v>
      </c>
      <c r="V167" s="309" t="s">
        <v>84</v>
      </c>
      <c r="W167" s="309" t="s">
        <v>85</v>
      </c>
    </row>
    <row r="168" spans="10:23">
      <c r="J168" t="str">
        <f t="shared" si="34"/>
        <v>\I:Trd_bus_</v>
      </c>
      <c r="K168" t="str">
        <f t="shared" si="36"/>
        <v>\I:</v>
      </c>
      <c r="L168" t="str">
        <f t="shared" si="35"/>
        <v>\I:</v>
      </c>
      <c r="M168" s="306" t="str">
        <f t="shared" si="37"/>
        <v/>
      </c>
      <c r="N168" s="306" t="str">
        <f t="shared" si="38"/>
        <v/>
      </c>
      <c r="O168" s="306" t="str">
        <f t="shared" si="39"/>
        <v/>
      </c>
      <c r="P168" s="306" t="str">
        <f t="shared" si="40"/>
        <v/>
      </c>
      <c r="S168" t="s">
        <v>83</v>
      </c>
      <c r="T168" t="str">
        <f t="shared" si="41"/>
        <v>\I:</v>
      </c>
      <c r="U168" t="str">
        <f ca="1" t="shared" si="42"/>
        <v>Hybrid diesel coach -- 00%</v>
      </c>
      <c r="V168" s="309" t="s">
        <v>84</v>
      </c>
      <c r="W168" s="309" t="s">
        <v>85</v>
      </c>
    </row>
    <row r="169" spans="10:23">
      <c r="J169" t="str">
        <f t="shared" si="34"/>
        <v>\I:Trd_bus_</v>
      </c>
      <c r="K169" t="str">
        <f t="shared" si="36"/>
        <v>\I:</v>
      </c>
      <c r="L169" t="str">
        <f t="shared" si="35"/>
        <v>\I:</v>
      </c>
      <c r="M169" s="306" t="str">
        <f t="shared" si="37"/>
        <v/>
      </c>
      <c r="N169" s="306" t="str">
        <f t="shared" si="38"/>
        <v/>
      </c>
      <c r="O169" s="306" t="str">
        <f t="shared" si="39"/>
        <v/>
      </c>
      <c r="P169" s="306" t="str">
        <f t="shared" si="40"/>
        <v/>
      </c>
      <c r="S169" t="s">
        <v>83</v>
      </c>
      <c r="T169" t="str">
        <f t="shared" si="41"/>
        <v>\I:</v>
      </c>
      <c r="U169" t="str">
        <f ca="1" t="shared" si="42"/>
        <v>Hybrid diesel coach -- 00%</v>
      </c>
      <c r="V169" s="309" t="s">
        <v>84</v>
      </c>
      <c r="W169" s="309" t="s">
        <v>85</v>
      </c>
    </row>
    <row r="170" spans="10:23">
      <c r="J170" t="str">
        <f t="shared" si="34"/>
        <v>\I:Trd_bus_</v>
      </c>
      <c r="K170" t="str">
        <f t="shared" si="36"/>
        <v>\I:</v>
      </c>
      <c r="L170" t="str">
        <f t="shared" si="35"/>
        <v>\I:</v>
      </c>
      <c r="M170" s="306" t="str">
        <f t="shared" si="37"/>
        <v/>
      </c>
      <c r="N170" s="306" t="str">
        <f t="shared" si="38"/>
        <v/>
      </c>
      <c r="O170" s="306" t="str">
        <f t="shared" si="39"/>
        <v/>
      </c>
      <c r="P170" s="306" t="str">
        <f t="shared" si="40"/>
        <v/>
      </c>
      <c r="S170" t="s">
        <v>83</v>
      </c>
      <c r="T170" t="str">
        <f t="shared" si="41"/>
        <v>\I:</v>
      </c>
      <c r="U170" t="str">
        <f ca="1" t="shared" si="42"/>
        <v>Hybrid diesel coach -- 00%</v>
      </c>
      <c r="V170" s="309" t="s">
        <v>84</v>
      </c>
      <c r="W170" s="309" t="s">
        <v>85</v>
      </c>
    </row>
    <row r="171" spans="2:23">
      <c r="B171" s="43" t="s">
        <v>167</v>
      </c>
      <c r="J171" t="str">
        <f t="shared" si="34"/>
        <v>\I:Trd_bus_</v>
      </c>
      <c r="K171" t="str">
        <f t="shared" si="36"/>
        <v>\I:</v>
      </c>
      <c r="L171" t="str">
        <f t="shared" si="35"/>
        <v>\I:</v>
      </c>
      <c r="M171" s="306" t="str">
        <f t="shared" si="37"/>
        <v/>
      </c>
      <c r="N171" s="306" t="str">
        <f t="shared" si="38"/>
        <v/>
      </c>
      <c r="O171" s="306" t="str">
        <f t="shared" si="39"/>
        <v/>
      </c>
      <c r="P171" s="306" t="str">
        <f t="shared" si="40"/>
        <v/>
      </c>
      <c r="S171" t="s">
        <v>83</v>
      </c>
      <c r="T171" t="str">
        <f t="shared" si="41"/>
        <v>\I:</v>
      </c>
      <c r="U171" t="str">
        <f ca="1" t="shared" si="42"/>
        <v>Hybrid diesel coach -- Reference values for LPG coach</v>
      </c>
      <c r="V171" s="309" t="s">
        <v>84</v>
      </c>
      <c r="W171" s="309" t="s">
        <v>85</v>
      </c>
    </row>
    <row r="172" spans="2:23">
      <c r="B172" s="298">
        <v>2015</v>
      </c>
      <c r="C172" s="298"/>
      <c r="D172" s="298"/>
      <c r="J172" t="str">
        <f t="shared" si="34"/>
        <v>\I:Trd_bus_</v>
      </c>
      <c r="K172" t="str">
        <f t="shared" si="36"/>
        <v>\I:</v>
      </c>
      <c r="L172" t="str">
        <f t="shared" si="35"/>
        <v>\I:</v>
      </c>
      <c r="M172" s="306" t="str">
        <f t="shared" si="37"/>
        <v/>
      </c>
      <c r="N172" s="306" t="str">
        <f t="shared" si="38"/>
        <v/>
      </c>
      <c r="O172" s="306" t="str">
        <f t="shared" si="39"/>
        <v/>
      </c>
      <c r="P172" s="306" t="str">
        <f t="shared" si="40"/>
        <v/>
      </c>
      <c r="S172" t="s">
        <v>83</v>
      </c>
      <c r="T172" t="str">
        <f t="shared" si="41"/>
        <v>\I:</v>
      </c>
      <c r="U172" t="str">
        <f ca="1" t="shared" si="42"/>
        <v>Hybrid diesel coach -- 201500%</v>
      </c>
      <c r="V172" s="309" t="s">
        <v>84</v>
      </c>
      <c r="W172" s="309" t="s">
        <v>85</v>
      </c>
    </row>
    <row r="173" spans="2:23">
      <c r="B173" s="45" t="s">
        <v>12</v>
      </c>
      <c r="C173" s="46" t="s">
        <v>13</v>
      </c>
      <c r="D173" s="47">
        <v>32.1825557678347</v>
      </c>
      <c r="J173" t="str">
        <f t="shared" si="34"/>
        <v>\I:Trd_bus_</v>
      </c>
      <c r="K173" t="str">
        <f t="shared" si="36"/>
        <v>\I:</v>
      </c>
      <c r="L173" t="str">
        <f t="shared" si="35"/>
        <v>\I:</v>
      </c>
      <c r="M173" s="306" t="str">
        <f t="shared" si="37"/>
        <v/>
      </c>
      <c r="N173" s="306" t="str">
        <f t="shared" si="38"/>
        <v/>
      </c>
      <c r="O173" s="306" t="str">
        <f t="shared" si="39"/>
        <v/>
      </c>
      <c r="P173" s="306" t="str">
        <f t="shared" si="40"/>
        <v/>
      </c>
      <c r="S173" t="s">
        <v>83</v>
      </c>
      <c r="T173" t="str">
        <f t="shared" si="41"/>
        <v>\I:</v>
      </c>
      <c r="U173" t="str">
        <f ca="1" t="shared" si="42"/>
        <v>Hybrid diesel coach -- Energy consumption</v>
      </c>
      <c r="V173" s="309" t="s">
        <v>84</v>
      </c>
      <c r="W173" s="309" t="s">
        <v>85</v>
      </c>
    </row>
    <row r="174" spans="2:23">
      <c r="B174" s="45" t="s">
        <v>14</v>
      </c>
      <c r="C174" s="46" t="s">
        <v>15</v>
      </c>
      <c r="D174" s="68">
        <v>314033.258144713</v>
      </c>
      <c r="J174" t="str">
        <f t="shared" si="34"/>
        <v>\I:Trd_bus_</v>
      </c>
      <c r="K174" t="str">
        <f t="shared" si="36"/>
        <v>\I:</v>
      </c>
      <c r="L174" t="str">
        <f t="shared" si="35"/>
        <v>\I:</v>
      </c>
      <c r="M174" s="306" t="str">
        <f t="shared" si="37"/>
        <v/>
      </c>
      <c r="N174" s="306" t="str">
        <f t="shared" si="38"/>
        <v/>
      </c>
      <c r="O174" s="306" t="str">
        <f t="shared" si="39"/>
        <v/>
      </c>
      <c r="P174" s="306" t="str">
        <f t="shared" si="40"/>
        <v/>
      </c>
      <c r="S174" t="s">
        <v>83</v>
      </c>
      <c r="T174" t="str">
        <f t="shared" si="41"/>
        <v>\I:</v>
      </c>
      <c r="U174" t="str">
        <f ca="1" t="shared" si="42"/>
        <v>Hybrid diesel coach -- Capital cost</v>
      </c>
      <c r="V174" s="309" t="s">
        <v>84</v>
      </c>
      <c r="W174" s="309" t="s">
        <v>85</v>
      </c>
    </row>
    <row r="175" spans="10:23">
      <c r="J175" t="str">
        <f t="shared" si="34"/>
        <v>\I:Trd_bus_</v>
      </c>
      <c r="K175" t="str">
        <f t="shared" si="36"/>
        <v>\I:</v>
      </c>
      <c r="L175" t="str">
        <f t="shared" si="35"/>
        <v>\I:</v>
      </c>
      <c r="M175" s="306" t="str">
        <f t="shared" si="37"/>
        <v/>
      </c>
      <c r="N175" s="306" t="str">
        <f t="shared" si="38"/>
        <v/>
      </c>
      <c r="O175" s="306" t="str">
        <f t="shared" si="39"/>
        <v/>
      </c>
      <c r="P175" s="306" t="str">
        <f t="shared" si="40"/>
        <v/>
      </c>
      <c r="S175" t="s">
        <v>83</v>
      </c>
      <c r="T175" t="str">
        <f t="shared" si="41"/>
        <v>\I:</v>
      </c>
      <c r="U175" t="str">
        <f ca="1" t="shared" si="42"/>
        <v>Hybrid diesel coach -- 00%</v>
      </c>
      <c r="V175" s="309" t="s">
        <v>84</v>
      </c>
      <c r="W175" s="309" t="s">
        <v>85</v>
      </c>
    </row>
    <row r="176" ht="15" customHeight="1" spans="2:23">
      <c r="B176" s="300" t="s">
        <v>91</v>
      </c>
      <c r="C176" s="300" t="s">
        <v>168</v>
      </c>
      <c r="D176" s="300"/>
      <c r="E176" s="300"/>
      <c r="F176" s="300"/>
      <c r="J176" t="str">
        <f t="shared" si="34"/>
        <v>\I:Trd_bus_</v>
      </c>
      <c r="K176" t="str">
        <f t="shared" si="36"/>
        <v>\I:</v>
      </c>
      <c r="L176" t="str">
        <f t="shared" si="35"/>
        <v>\I:</v>
      </c>
      <c r="M176" s="306" t="str">
        <f t="shared" si="37"/>
        <v/>
      </c>
      <c r="N176" s="306" t="str">
        <f t="shared" si="38"/>
        <v/>
      </c>
      <c r="O176" s="306" t="str">
        <f t="shared" si="39"/>
        <v/>
      </c>
      <c r="P176" s="306" t="str">
        <f t="shared" si="40"/>
        <v/>
      </c>
      <c r="S176" t="s">
        <v>83</v>
      </c>
      <c r="T176" t="str">
        <f t="shared" si="41"/>
        <v>\I:</v>
      </c>
      <c r="U176" t="str">
        <f ca="1" t="shared" si="42"/>
        <v>Hybrid diesel coach -- Reduction of specific energy consumption relative to 2015 LPG vehicle (%)</v>
      </c>
      <c r="V176" s="309" t="s">
        <v>84</v>
      </c>
      <c r="W176" s="309" t="s">
        <v>85</v>
      </c>
    </row>
    <row r="177" spans="2:23">
      <c r="B177" s="300"/>
      <c r="C177" s="300"/>
      <c r="D177" s="300"/>
      <c r="E177" s="300"/>
      <c r="F177" s="300"/>
      <c r="J177" t="str">
        <f t="shared" si="34"/>
        <v>\I:Trd_bus_</v>
      </c>
      <c r="K177" t="str">
        <f t="shared" si="36"/>
        <v>\I:</v>
      </c>
      <c r="L177" t="str">
        <f t="shared" si="35"/>
        <v>\I:</v>
      </c>
      <c r="M177" s="306" t="str">
        <f t="shared" si="37"/>
        <v/>
      </c>
      <c r="N177" s="306" t="str">
        <f t="shared" si="38"/>
        <v/>
      </c>
      <c r="O177" s="306" t="str">
        <f t="shared" si="39"/>
        <v/>
      </c>
      <c r="P177" s="306" t="str">
        <f t="shared" si="40"/>
        <v/>
      </c>
      <c r="S177" t="s">
        <v>83</v>
      </c>
      <c r="T177" t="str">
        <f t="shared" si="41"/>
        <v>\I:</v>
      </c>
      <c r="U177" t="str">
        <f ca="1" t="shared" si="42"/>
        <v>Hybrid diesel coach -- 00%</v>
      </c>
      <c r="V177" s="309" t="s">
        <v>84</v>
      </c>
      <c r="W177" s="309" t="s">
        <v>85</v>
      </c>
    </row>
    <row r="178" spans="2:23">
      <c r="B178" s="300"/>
      <c r="C178" s="300"/>
      <c r="D178" s="300"/>
      <c r="E178" s="300"/>
      <c r="F178" s="300"/>
      <c r="J178" t="str">
        <f t="shared" si="34"/>
        <v>\I:Trd_bus_</v>
      </c>
      <c r="K178" t="str">
        <f t="shared" si="36"/>
        <v>\I:</v>
      </c>
      <c r="L178" t="str">
        <f t="shared" si="35"/>
        <v>\I:</v>
      </c>
      <c r="M178" s="306" t="str">
        <f t="shared" si="37"/>
        <v/>
      </c>
      <c r="N178" s="306" t="str">
        <f t="shared" si="38"/>
        <v/>
      </c>
      <c r="O178" s="306" t="str">
        <f t="shared" si="39"/>
        <v/>
      </c>
      <c r="P178" s="306" t="str">
        <f t="shared" si="40"/>
        <v/>
      </c>
      <c r="S178" t="s">
        <v>83</v>
      </c>
      <c r="T178" t="str">
        <f t="shared" si="41"/>
        <v>\I:</v>
      </c>
      <c r="U178" t="str">
        <f ca="1" t="shared" si="42"/>
        <v>Hybrid diesel coach -- 00%</v>
      </c>
      <c r="V178" s="309" t="s">
        <v>84</v>
      </c>
      <c r="W178" s="309" t="s">
        <v>85</v>
      </c>
    </row>
    <row r="179" spans="2:23">
      <c r="B179" s="49"/>
      <c r="C179" s="50">
        <v>2020</v>
      </c>
      <c r="D179" s="50">
        <v>2030</v>
      </c>
      <c r="E179" s="50">
        <v>2040</v>
      </c>
      <c r="F179" s="50">
        <v>2050</v>
      </c>
      <c r="J179" t="str">
        <f t="shared" si="34"/>
        <v>\I:Trd_bus_</v>
      </c>
      <c r="K179" t="str">
        <f t="shared" si="36"/>
        <v>\I:</v>
      </c>
      <c r="L179" t="str">
        <f t="shared" si="35"/>
        <v>\I:</v>
      </c>
      <c r="M179" s="306" t="str">
        <f t="shared" si="37"/>
        <v/>
      </c>
      <c r="N179" s="306" t="str">
        <f t="shared" si="38"/>
        <v/>
      </c>
      <c r="O179" s="306" t="str">
        <f t="shared" si="39"/>
        <v/>
      </c>
      <c r="P179" s="306" t="str">
        <f t="shared" si="40"/>
        <v/>
      </c>
      <c r="S179" t="s">
        <v>83</v>
      </c>
      <c r="T179" t="str">
        <f t="shared" si="41"/>
        <v>\I:</v>
      </c>
      <c r="U179" t="str">
        <f ca="1" t="shared" si="42"/>
        <v>Hybrid diesel coach -- 00%</v>
      </c>
      <c r="V179" s="309" t="s">
        <v>84</v>
      </c>
      <c r="W179" s="309" t="s">
        <v>85</v>
      </c>
    </row>
    <row r="180" spans="2:23">
      <c r="B180" s="51">
        <v>0.0410104025682651</v>
      </c>
      <c r="C180" s="86">
        <v>314853.623173696</v>
      </c>
      <c r="D180" s="86">
        <v>314853.623173696</v>
      </c>
      <c r="E180" s="86">
        <v>314853.623173696</v>
      </c>
      <c r="F180" s="86">
        <v>314853.623173696</v>
      </c>
      <c r="J180" t="str">
        <f t="shared" si="34"/>
        <v>\I:Trd_bus_</v>
      </c>
      <c r="K180" t="str">
        <f t="shared" si="36"/>
        <v>\I:Trd_bus__04</v>
      </c>
      <c r="L180" t="str">
        <f t="shared" si="35"/>
        <v>\I:Trd_</v>
      </c>
      <c r="M180" s="306">
        <f t="shared" si="37"/>
        <v>314853.623173696</v>
      </c>
      <c r="N180" s="306">
        <f t="shared" si="38"/>
        <v>314853.623173696</v>
      </c>
      <c r="O180" s="306">
        <f t="shared" si="39"/>
        <v>314853.623173696</v>
      </c>
      <c r="P180" s="306">
        <f t="shared" si="40"/>
        <v>314853.623173696</v>
      </c>
      <c r="S180" t="s">
        <v>83</v>
      </c>
      <c r="T180" t="str">
        <f t="shared" si="41"/>
        <v>\I:Trd_bus__04</v>
      </c>
      <c r="U180" t="str">
        <f ca="1" t="shared" si="42"/>
        <v>Hybrid diesel coach -- 04%</v>
      </c>
      <c r="V180" s="309" t="s">
        <v>84</v>
      </c>
      <c r="W180" s="309" t="s">
        <v>85</v>
      </c>
    </row>
    <row r="181" spans="2:23">
      <c r="B181" s="51">
        <v>0.0910104025682651</v>
      </c>
      <c r="C181" s="86">
        <v>316357.912857641</v>
      </c>
      <c r="D181" s="86">
        <v>315860.771337195</v>
      </c>
      <c r="E181" s="86">
        <v>315860.771337195</v>
      </c>
      <c r="F181" s="86">
        <v>315860.771337195</v>
      </c>
      <c r="J181" t="str">
        <f t="shared" si="34"/>
        <v>\I:Trd_bus_</v>
      </c>
      <c r="K181" t="str">
        <f t="shared" si="36"/>
        <v>\I:Trd_bus__09</v>
      </c>
      <c r="L181" t="str">
        <f t="shared" si="35"/>
        <v>\I:Trd_</v>
      </c>
      <c r="M181" s="306">
        <f t="shared" si="37"/>
        <v>316357.912857641</v>
      </c>
      <c r="N181" s="306">
        <f t="shared" si="38"/>
        <v>315860.771337195</v>
      </c>
      <c r="O181" s="306">
        <f t="shared" si="39"/>
        <v>315860.771337195</v>
      </c>
      <c r="P181" s="306">
        <f t="shared" si="40"/>
        <v>315860.771337195</v>
      </c>
      <c r="S181" t="s">
        <v>83</v>
      </c>
      <c r="T181" t="str">
        <f t="shared" si="41"/>
        <v>\I:Trd_bus__09</v>
      </c>
      <c r="U181" t="str">
        <f ca="1" t="shared" si="42"/>
        <v>Hybrid diesel coach -- 09%</v>
      </c>
      <c r="V181" s="309" t="s">
        <v>84</v>
      </c>
      <c r="W181" s="309" t="s">
        <v>85</v>
      </c>
    </row>
    <row r="182" spans="2:23">
      <c r="B182" s="51">
        <v>0.141010402568265</v>
      </c>
      <c r="C182" s="86">
        <v>317785.200592476</v>
      </c>
      <c r="D182" s="86">
        <v>317374.996164148</v>
      </c>
      <c r="E182" s="86">
        <v>317374.996164148</v>
      </c>
      <c r="F182" s="86">
        <v>317374.996164148</v>
      </c>
      <c r="J182" t="str">
        <f t="shared" si="34"/>
        <v>\I:Trd_bus_</v>
      </c>
      <c r="K182" t="str">
        <f t="shared" si="36"/>
        <v>\I:Trd_bus__14</v>
      </c>
      <c r="L182" t="str">
        <f t="shared" si="35"/>
        <v>\I:Trd_</v>
      </c>
      <c r="M182" s="306">
        <f t="shared" si="37"/>
        <v>317785.200592476</v>
      </c>
      <c r="N182" s="306">
        <f t="shared" si="38"/>
        <v>317374.996164148</v>
      </c>
      <c r="O182" s="306">
        <f t="shared" si="39"/>
        <v>317374.996164148</v>
      </c>
      <c r="P182" s="306">
        <f t="shared" si="40"/>
        <v>317374.996164148</v>
      </c>
      <c r="S182" t="s">
        <v>83</v>
      </c>
      <c r="T182" t="str">
        <f t="shared" si="41"/>
        <v>\I:Trd_bus__14</v>
      </c>
      <c r="U182" t="str">
        <f ca="1" t="shared" si="42"/>
        <v>Hybrid diesel coach -- 14%</v>
      </c>
      <c r="V182" s="309" t="s">
        <v>84</v>
      </c>
      <c r="W182" s="309" t="s">
        <v>85</v>
      </c>
    </row>
    <row r="183" spans="2:23">
      <c r="B183" s="51">
        <v>0.191010402568265</v>
      </c>
      <c r="C183" s="86">
        <v>322862.916891406</v>
      </c>
      <c r="D183" s="86">
        <v>319651.599458143</v>
      </c>
      <c r="E183" s="86">
        <v>319651.599458143</v>
      </c>
      <c r="F183" s="86">
        <v>319651.599458143</v>
      </c>
      <c r="J183" t="str">
        <f t="shared" si="34"/>
        <v>\I:Trd_bus_</v>
      </c>
      <c r="K183" t="str">
        <f t="shared" si="36"/>
        <v>\I:Trd_bus__19</v>
      </c>
      <c r="L183" t="str">
        <f t="shared" si="35"/>
        <v>\I:Trd_</v>
      </c>
      <c r="M183" s="306">
        <f t="shared" si="37"/>
        <v>322862.916891406</v>
      </c>
      <c r="N183" s="306">
        <f t="shared" si="38"/>
        <v>319651.599458143</v>
      </c>
      <c r="O183" s="306">
        <f t="shared" si="39"/>
        <v>319651.599458143</v>
      </c>
      <c r="P183" s="306">
        <f t="shared" si="40"/>
        <v>319651.599458143</v>
      </c>
      <c r="S183" t="s">
        <v>83</v>
      </c>
      <c r="T183" t="str">
        <f t="shared" si="41"/>
        <v>\I:Trd_bus__19</v>
      </c>
      <c r="U183" t="str">
        <f ca="1" t="shared" si="42"/>
        <v>Hybrid diesel coach -- 19%</v>
      </c>
      <c r="V183" s="309" t="s">
        <v>84</v>
      </c>
      <c r="W183" s="309" t="s">
        <v>85</v>
      </c>
    </row>
    <row r="184" spans="2:23">
      <c r="B184" s="51">
        <v>0.241010402568265</v>
      </c>
      <c r="C184" s="86">
        <v>328683.925077435</v>
      </c>
      <c r="D184" s="86">
        <v>323074.421793354</v>
      </c>
      <c r="E184" s="86">
        <v>323074.421793354</v>
      </c>
      <c r="F184" s="86">
        <v>323074.421793354</v>
      </c>
      <c r="J184" t="str">
        <f t="shared" si="34"/>
        <v>\I:Trd_bus_</v>
      </c>
      <c r="K184" t="str">
        <f t="shared" si="36"/>
        <v>\I:Trd_bus__24</v>
      </c>
      <c r="L184" t="str">
        <f t="shared" si="35"/>
        <v>\I:Trd_</v>
      </c>
      <c r="M184" s="306">
        <f t="shared" si="37"/>
        <v>328683.925077435</v>
      </c>
      <c r="N184" s="306">
        <f t="shared" si="38"/>
        <v>323074.421793354</v>
      </c>
      <c r="O184" s="306">
        <f t="shared" si="39"/>
        <v>323074.421793354</v>
      </c>
      <c r="P184" s="306">
        <f t="shared" si="40"/>
        <v>323074.421793354</v>
      </c>
      <c r="S184" t="s">
        <v>83</v>
      </c>
      <c r="T184" t="str">
        <f t="shared" si="41"/>
        <v>\I:Trd_bus__24</v>
      </c>
      <c r="U184" t="str">
        <f ca="1" t="shared" si="42"/>
        <v>Hybrid diesel coach -- 24%</v>
      </c>
      <c r="V184" s="309" t="s">
        <v>84</v>
      </c>
      <c r="W184" s="309" t="s">
        <v>85</v>
      </c>
    </row>
    <row r="185" spans="2:23">
      <c r="B185" s="51">
        <v>0.261010402568265</v>
      </c>
      <c r="C185" s="86">
        <v>354415.764843984</v>
      </c>
      <c r="D185" s="86">
        <v>328347.028066266</v>
      </c>
      <c r="E185" s="86">
        <v>328220.558921997</v>
      </c>
      <c r="F185" s="86">
        <v>328220.558921997</v>
      </c>
      <c r="J185" t="str">
        <f t="shared" si="34"/>
        <v>\I:Trd_bus_</v>
      </c>
      <c r="K185" t="str">
        <f t="shared" si="36"/>
        <v>\I:Trd_bus__26</v>
      </c>
      <c r="L185" t="str">
        <f t="shared" si="35"/>
        <v>\I:Trd_</v>
      </c>
      <c r="M185" s="306">
        <f t="shared" si="37"/>
        <v>354415.764843984</v>
      </c>
      <c r="N185" s="306">
        <f t="shared" si="38"/>
        <v>328347.028066266</v>
      </c>
      <c r="O185" s="306">
        <f t="shared" si="39"/>
        <v>328220.558921997</v>
      </c>
      <c r="P185" s="306">
        <f t="shared" si="40"/>
        <v>328220.558921997</v>
      </c>
      <c r="S185" t="s">
        <v>83</v>
      </c>
      <c r="T185" t="str">
        <f t="shared" si="41"/>
        <v>\I:Trd_bus__26</v>
      </c>
      <c r="U185" t="str">
        <f ca="1" t="shared" si="42"/>
        <v>Hybrid diesel coach -- 26%</v>
      </c>
      <c r="V185" s="309" t="s">
        <v>84</v>
      </c>
      <c r="W185" s="309" t="s">
        <v>85</v>
      </c>
    </row>
    <row r="186" spans="2:23">
      <c r="B186" s="51">
        <v>0.291010402568265</v>
      </c>
      <c r="C186" s="86">
        <v>439504.492759275</v>
      </c>
      <c r="D186" s="86">
        <v>344457.30295664</v>
      </c>
      <c r="E186" s="86">
        <v>335957.661451208</v>
      </c>
      <c r="F186" s="86">
        <v>335957.661451208</v>
      </c>
      <c r="J186" t="str">
        <f t="shared" si="34"/>
        <v>\I:Trd_bus_</v>
      </c>
      <c r="K186" t="str">
        <f t="shared" si="36"/>
        <v>\I:Trd_bus__29</v>
      </c>
      <c r="L186" t="str">
        <f t="shared" si="35"/>
        <v>\I:Trd_</v>
      </c>
      <c r="M186" s="306">
        <f t="shared" si="37"/>
        <v>439504.492759275</v>
      </c>
      <c r="N186" s="306">
        <f t="shared" si="38"/>
        <v>344457.30295664</v>
      </c>
      <c r="O186" s="306">
        <f t="shared" si="39"/>
        <v>335957.661451208</v>
      </c>
      <c r="P186" s="306">
        <f t="shared" si="40"/>
        <v>335957.661451208</v>
      </c>
      <c r="S186" t="s">
        <v>83</v>
      </c>
      <c r="T186" t="str">
        <f t="shared" si="41"/>
        <v>\I:Trd_bus__29</v>
      </c>
      <c r="U186" t="str">
        <f ca="1" t="shared" si="42"/>
        <v>Hybrid diesel coach -- 29%</v>
      </c>
      <c r="V186" s="309" t="s">
        <v>84</v>
      </c>
      <c r="W186" s="309" t="s">
        <v>85</v>
      </c>
    </row>
    <row r="187" spans="10:23">
      <c r="J187" t="str">
        <f t="shared" si="34"/>
        <v>\I:Trd_bus_</v>
      </c>
      <c r="K187" t="str">
        <f t="shared" si="36"/>
        <v>\I:</v>
      </c>
      <c r="L187" t="str">
        <f t="shared" si="35"/>
        <v>\I:</v>
      </c>
      <c r="M187" s="306" t="str">
        <f t="shared" si="37"/>
        <v/>
      </c>
      <c r="N187" s="306" t="str">
        <f t="shared" si="38"/>
        <v/>
      </c>
      <c r="O187" s="306" t="str">
        <f t="shared" si="39"/>
        <v/>
      </c>
      <c r="P187" s="306" t="str">
        <f t="shared" si="40"/>
        <v/>
      </c>
      <c r="S187" t="s">
        <v>83</v>
      </c>
      <c r="T187" t="str">
        <f t="shared" si="41"/>
        <v>\I:</v>
      </c>
      <c r="U187" t="str">
        <f ca="1" t="shared" si="42"/>
        <v>Hybrid diesel coach -- 00%</v>
      </c>
      <c r="V187" s="309" t="s">
        <v>84</v>
      </c>
      <c r="W187" s="309" t="s">
        <v>85</v>
      </c>
    </row>
    <row r="188" spans="10:23">
      <c r="J188" t="str">
        <f t="shared" si="34"/>
        <v>\I:Trd_bus_</v>
      </c>
      <c r="K188" t="str">
        <f t="shared" si="36"/>
        <v>\I:</v>
      </c>
      <c r="L188" t="str">
        <f t="shared" si="35"/>
        <v>\I:</v>
      </c>
      <c r="M188" s="306" t="str">
        <f t="shared" si="37"/>
        <v/>
      </c>
      <c r="N188" s="306" t="str">
        <f t="shared" si="38"/>
        <v/>
      </c>
      <c r="O188" s="306" t="str">
        <f t="shared" si="39"/>
        <v/>
      </c>
      <c r="P188" s="306" t="str">
        <f t="shared" si="40"/>
        <v/>
      </c>
      <c r="S188" t="s">
        <v>83</v>
      </c>
      <c r="T188" t="str">
        <f t="shared" si="41"/>
        <v>\I:</v>
      </c>
      <c r="U188" t="str">
        <f ca="1" t="shared" si="42"/>
        <v>Hybrid diesel coach -- 00%</v>
      </c>
      <c r="V188" s="309" t="s">
        <v>84</v>
      </c>
      <c r="W188" s="309" t="s">
        <v>85</v>
      </c>
    </row>
    <row r="189" spans="10:23">
      <c r="J189" t="str">
        <f t="shared" si="34"/>
        <v>\I:Trd_bus_</v>
      </c>
      <c r="K189" t="str">
        <f t="shared" si="36"/>
        <v>\I:</v>
      </c>
      <c r="L189" t="str">
        <f t="shared" si="35"/>
        <v>\I:</v>
      </c>
      <c r="M189" s="306" t="str">
        <f t="shared" si="37"/>
        <v/>
      </c>
      <c r="N189" s="306" t="str">
        <f t="shared" si="38"/>
        <v/>
      </c>
      <c r="O189" s="306" t="str">
        <f t="shared" si="39"/>
        <v/>
      </c>
      <c r="P189" s="306" t="str">
        <f t="shared" si="40"/>
        <v/>
      </c>
      <c r="S189" t="s">
        <v>83</v>
      </c>
      <c r="T189" t="str">
        <f t="shared" si="41"/>
        <v>\I:</v>
      </c>
      <c r="U189" t="str">
        <f ca="1" t="shared" si="42"/>
        <v>Hybrid diesel coach -- 00%</v>
      </c>
      <c r="V189" s="309" t="s">
        <v>84</v>
      </c>
      <c r="W189" s="309" t="s">
        <v>85</v>
      </c>
    </row>
    <row r="190" spans="2:23">
      <c r="B190" s="298">
        <v>2020</v>
      </c>
      <c r="C190" s="298"/>
      <c r="D190" s="298"/>
      <c r="J190" t="str">
        <f t="shared" si="34"/>
        <v>\I:Trd_bus_</v>
      </c>
      <c r="K190" t="str">
        <f t="shared" si="36"/>
        <v>\I:</v>
      </c>
      <c r="L190" t="str">
        <f t="shared" si="35"/>
        <v>\I:</v>
      </c>
      <c r="M190" s="306" t="str">
        <f t="shared" si="37"/>
        <v/>
      </c>
      <c r="N190" s="306" t="str">
        <f t="shared" si="38"/>
        <v/>
      </c>
      <c r="O190" s="306" t="str">
        <f t="shared" si="39"/>
        <v/>
      </c>
      <c r="P190" s="306" t="str">
        <f t="shared" si="40"/>
        <v/>
      </c>
      <c r="S190" t="s">
        <v>83</v>
      </c>
      <c r="T190" t="str">
        <f t="shared" si="41"/>
        <v>\I:</v>
      </c>
      <c r="U190" t="str">
        <f ca="1" t="shared" si="42"/>
        <v>Hybrid diesel coach -- 202000%</v>
      </c>
      <c r="V190" s="309" t="s">
        <v>84</v>
      </c>
      <c r="W190" s="309" t="s">
        <v>85</v>
      </c>
    </row>
    <row r="191" spans="2:23">
      <c r="B191" s="45" t="s">
        <v>169</v>
      </c>
      <c r="C191" s="46" t="s">
        <v>26</v>
      </c>
      <c r="D191" s="74">
        <v>1.15</v>
      </c>
      <c r="J191" t="str">
        <f t="shared" si="34"/>
        <v>\I:Trd_bus_</v>
      </c>
      <c r="K191" t="str">
        <f t="shared" si="36"/>
        <v>\I:</v>
      </c>
      <c r="L191" t="str">
        <f t="shared" si="35"/>
        <v>\I:</v>
      </c>
      <c r="M191" s="306" t="str">
        <f t="shared" si="37"/>
        <v/>
      </c>
      <c r="N191" s="306" t="str">
        <f t="shared" si="38"/>
        <v/>
      </c>
      <c r="O191" s="306" t="str">
        <f t="shared" si="39"/>
        <v/>
      </c>
      <c r="P191" s="306" t="str">
        <f t="shared" si="40"/>
        <v/>
      </c>
      <c r="S191" t="s">
        <v>83</v>
      </c>
      <c r="T191" t="str">
        <f t="shared" si="41"/>
        <v>\I:</v>
      </c>
      <c r="U191" t="str">
        <f ca="1" t="shared" si="42"/>
        <v>Hybrid diesel coach -- Energy consumption of Battery electric coach</v>
      </c>
      <c r="V191" s="309" t="s">
        <v>84</v>
      </c>
      <c r="W191" s="309" t="s">
        <v>85</v>
      </c>
    </row>
    <row r="192" spans="10:23">
      <c r="J192" t="str">
        <f t="shared" si="34"/>
        <v>\I:Trd_bus_</v>
      </c>
      <c r="K192" t="str">
        <f t="shared" si="36"/>
        <v>\I:</v>
      </c>
      <c r="L192" t="str">
        <f t="shared" si="35"/>
        <v>\I:</v>
      </c>
      <c r="M192" s="306" t="str">
        <f t="shared" si="37"/>
        <v/>
      </c>
      <c r="N192" s="306" t="str">
        <f t="shared" si="38"/>
        <v/>
      </c>
      <c r="O192" s="306" t="str">
        <f t="shared" si="39"/>
        <v/>
      </c>
      <c r="P192" s="306" t="str">
        <f t="shared" si="40"/>
        <v/>
      </c>
      <c r="S192" t="s">
        <v>83</v>
      </c>
      <c r="T192" t="str">
        <f t="shared" si="41"/>
        <v>\I:</v>
      </c>
      <c r="U192" t="str">
        <f ca="1" t="shared" si="42"/>
        <v>Hybrid diesel coach -- 00%</v>
      </c>
      <c r="V192" s="309" t="s">
        <v>84</v>
      </c>
      <c r="W192" s="309" t="s">
        <v>85</v>
      </c>
    </row>
    <row r="193" ht="15" customHeight="1" spans="2:23">
      <c r="B193" s="300" t="s">
        <v>27</v>
      </c>
      <c r="C193" s="300" t="s">
        <v>157</v>
      </c>
      <c r="D193" s="300"/>
      <c r="E193" s="300"/>
      <c r="F193" s="300"/>
      <c r="J193" t="str">
        <f t="shared" si="34"/>
        <v>\I:Trd_bus_</v>
      </c>
      <c r="K193" t="str">
        <f t="shared" si="36"/>
        <v>\I:</v>
      </c>
      <c r="L193" t="str">
        <f t="shared" si="35"/>
        <v>\I:</v>
      </c>
      <c r="M193" s="306" t="str">
        <f t="shared" si="37"/>
        <v/>
      </c>
      <c r="N193" s="306" t="str">
        <f t="shared" si="38"/>
        <v/>
      </c>
      <c r="O193" s="306" t="str">
        <f t="shared" si="39"/>
        <v/>
      </c>
      <c r="P193" s="306" t="str">
        <f t="shared" si="40"/>
        <v/>
      </c>
      <c r="S193" t="s">
        <v>83</v>
      </c>
      <c r="T193" t="str">
        <f t="shared" si="41"/>
        <v>\I:</v>
      </c>
      <c r="U193" t="str">
        <f ca="1" t="shared" si="42"/>
        <v>Hybrid diesel coach -- Electric range (km)</v>
      </c>
      <c r="V193" s="309" t="s">
        <v>84</v>
      </c>
      <c r="W193" s="309" t="s">
        <v>85</v>
      </c>
    </row>
    <row r="194" spans="2:23">
      <c r="B194" s="300"/>
      <c r="C194" s="300"/>
      <c r="D194" s="300"/>
      <c r="E194" s="300"/>
      <c r="F194" s="300"/>
      <c r="J194" t="str">
        <f t="shared" si="34"/>
        <v>\I:Trd_bus_</v>
      </c>
      <c r="K194" t="str">
        <f t="shared" si="36"/>
        <v>\I:</v>
      </c>
      <c r="L194" t="str">
        <f t="shared" si="35"/>
        <v>\I:</v>
      </c>
      <c r="M194" s="306" t="str">
        <f t="shared" si="37"/>
        <v/>
      </c>
      <c r="N194" s="306" t="str">
        <f t="shared" si="38"/>
        <v/>
      </c>
      <c r="O194" s="306" t="str">
        <f t="shared" si="39"/>
        <v/>
      </c>
      <c r="P194" s="306" t="str">
        <f t="shared" si="40"/>
        <v/>
      </c>
      <c r="S194" t="s">
        <v>83</v>
      </c>
      <c r="T194" t="str">
        <f t="shared" si="41"/>
        <v>\I:</v>
      </c>
      <c r="U194" t="str">
        <f ca="1" t="shared" si="42"/>
        <v>Hybrid diesel coach -- 00%</v>
      </c>
      <c r="V194" s="309" t="s">
        <v>84</v>
      </c>
      <c r="W194" s="309" t="s">
        <v>85</v>
      </c>
    </row>
    <row r="195" spans="2:23">
      <c r="B195" s="300"/>
      <c r="C195" s="300"/>
      <c r="D195" s="300"/>
      <c r="E195" s="300"/>
      <c r="F195" s="300"/>
      <c r="J195" t="str">
        <f t="shared" si="34"/>
        <v>\I:Trd_bus_</v>
      </c>
      <c r="K195" t="str">
        <f t="shared" si="36"/>
        <v>\I:</v>
      </c>
      <c r="L195" t="str">
        <f t="shared" si="35"/>
        <v>\I:</v>
      </c>
      <c r="M195" s="306" t="str">
        <f t="shared" si="37"/>
        <v/>
      </c>
      <c r="N195" s="306" t="str">
        <f t="shared" si="38"/>
        <v/>
      </c>
      <c r="O195" s="306" t="str">
        <f t="shared" si="39"/>
        <v/>
      </c>
      <c r="P195" s="306" t="str">
        <f t="shared" si="40"/>
        <v/>
      </c>
      <c r="S195" t="s">
        <v>83</v>
      </c>
      <c r="T195" t="str">
        <f t="shared" si="41"/>
        <v>\I:</v>
      </c>
      <c r="U195" t="str">
        <f ca="1" t="shared" si="42"/>
        <v>Hybrid diesel coach -- 00%</v>
      </c>
      <c r="V195" s="309" t="s">
        <v>84</v>
      </c>
      <c r="W195" s="309" t="s">
        <v>85</v>
      </c>
    </row>
    <row r="196" spans="2:23">
      <c r="B196" s="49"/>
      <c r="C196" s="50">
        <v>2020</v>
      </c>
      <c r="D196" s="50">
        <v>2030</v>
      </c>
      <c r="E196" s="50">
        <v>2040</v>
      </c>
      <c r="F196" s="50">
        <v>2050</v>
      </c>
      <c r="J196" t="str">
        <f t="shared" si="34"/>
        <v>\I:Trd_bus_</v>
      </c>
      <c r="K196" t="str">
        <f t="shared" si="36"/>
        <v>\I:</v>
      </c>
      <c r="L196" t="str">
        <f t="shared" si="35"/>
        <v>\I:</v>
      </c>
      <c r="M196" s="306" t="str">
        <f t="shared" si="37"/>
        <v/>
      </c>
      <c r="N196" s="306" t="str">
        <f t="shared" si="38"/>
        <v/>
      </c>
      <c r="O196" s="306" t="str">
        <f t="shared" si="39"/>
        <v/>
      </c>
      <c r="P196" s="306" t="str">
        <f t="shared" si="40"/>
        <v/>
      </c>
      <c r="S196" t="s">
        <v>83</v>
      </c>
      <c r="T196" t="str">
        <f t="shared" si="41"/>
        <v>\I:</v>
      </c>
      <c r="U196" t="str">
        <f ca="1" t="shared" si="42"/>
        <v>Hybrid diesel coach -- 00%</v>
      </c>
      <c r="V196" s="309" t="s">
        <v>84</v>
      </c>
      <c r="W196" s="309" t="s">
        <v>85</v>
      </c>
    </row>
    <row r="197" spans="2:23">
      <c r="B197" s="79">
        <v>120</v>
      </c>
      <c r="C197" s="86">
        <v>432403.149196547</v>
      </c>
      <c r="D197" s="86">
        <v>321623.420926528</v>
      </c>
      <c r="E197" s="86">
        <v>308656.066547112</v>
      </c>
      <c r="F197" s="86">
        <v>303278.407673277</v>
      </c>
      <c r="J197" t="str">
        <f t="shared" si="34"/>
        <v>\I:Trd_bus_</v>
      </c>
      <c r="K197" t="str">
        <f t="shared" si="36"/>
        <v>\I:Trd_bus__12000</v>
      </c>
      <c r="L197" t="str">
        <f t="shared" si="35"/>
        <v>\I:Trd_</v>
      </c>
      <c r="M197" s="306">
        <f t="shared" si="37"/>
        <v>432403.149196547</v>
      </c>
      <c r="N197" s="306">
        <f t="shared" si="38"/>
        <v>321623.420926528</v>
      </c>
      <c r="O197" s="306">
        <f t="shared" si="39"/>
        <v>308656.066547112</v>
      </c>
      <c r="P197" s="306">
        <f t="shared" si="40"/>
        <v>303278.407673277</v>
      </c>
      <c r="S197" t="s">
        <v>83</v>
      </c>
      <c r="T197" t="str">
        <f t="shared" si="41"/>
        <v>\I:Trd_bus__12000</v>
      </c>
      <c r="U197" t="str">
        <f ca="1" t="shared" si="42"/>
        <v>Hybrid diesel coach -- 12000%</v>
      </c>
      <c r="V197" s="309" t="s">
        <v>84</v>
      </c>
      <c r="W197" s="309" t="s">
        <v>85</v>
      </c>
    </row>
    <row r="198" spans="2:23">
      <c r="B198" s="79">
        <v>134.285714285714</v>
      </c>
      <c r="C198" s="86">
        <v>436722.073356786</v>
      </c>
      <c r="D198" s="86">
        <v>324694.575852623</v>
      </c>
      <c r="E198" s="86">
        <v>310226.231333419</v>
      </c>
      <c r="F198" s="86">
        <v>304226.100619255</v>
      </c>
      <c r="J198" t="str">
        <f t="shared" si="34"/>
        <v>\I:Trd_bus_</v>
      </c>
      <c r="K198" t="str">
        <f t="shared" si="36"/>
        <v>\I:Trd_bus__13429</v>
      </c>
      <c r="L198" t="str">
        <f t="shared" si="35"/>
        <v>\I:Trd_</v>
      </c>
      <c r="M198" s="306">
        <f t="shared" si="37"/>
        <v>436722.073356786</v>
      </c>
      <c r="N198" s="306">
        <f t="shared" si="38"/>
        <v>324694.575852623</v>
      </c>
      <c r="O198" s="306">
        <f t="shared" si="39"/>
        <v>310226.231333419</v>
      </c>
      <c r="P198" s="306">
        <f t="shared" si="40"/>
        <v>304226.100619255</v>
      </c>
      <c r="S198" t="s">
        <v>83</v>
      </c>
      <c r="T198" t="str">
        <f t="shared" si="41"/>
        <v>\I:Trd_bus__13429</v>
      </c>
      <c r="U198" t="str">
        <f ca="1" t="shared" si="42"/>
        <v>Hybrid diesel coach -- 13429%</v>
      </c>
      <c r="V198" s="309" t="s">
        <v>84</v>
      </c>
      <c r="W198" s="309" t="s">
        <v>85</v>
      </c>
    </row>
    <row r="199" spans="2:23">
      <c r="B199" s="79">
        <v>148.571428571429</v>
      </c>
      <c r="C199" s="86">
        <v>439101.341331762</v>
      </c>
      <c r="D199" s="86">
        <v>326386.455656653</v>
      </c>
      <c r="E199" s="86">
        <v>311091.225172832</v>
      </c>
      <c r="F199" s="86">
        <v>304748.178662957</v>
      </c>
      <c r="J199" t="str">
        <f t="shared" si="34"/>
        <v>\I:Trd_bus_</v>
      </c>
      <c r="K199" t="str">
        <f t="shared" si="36"/>
        <v>\I:Trd_bus__14857</v>
      </c>
      <c r="L199" t="str">
        <f t="shared" si="35"/>
        <v>\I:Trd_</v>
      </c>
      <c r="M199" s="306">
        <f t="shared" si="37"/>
        <v>439101.341331762</v>
      </c>
      <c r="N199" s="306">
        <f t="shared" si="38"/>
        <v>326386.455656653</v>
      </c>
      <c r="O199" s="306">
        <f t="shared" si="39"/>
        <v>311091.225172832</v>
      </c>
      <c r="P199" s="306">
        <f t="shared" si="40"/>
        <v>304748.178662957</v>
      </c>
      <c r="S199" t="s">
        <v>83</v>
      </c>
      <c r="T199" t="str">
        <f t="shared" si="41"/>
        <v>\I:Trd_bus__14857</v>
      </c>
      <c r="U199" t="str">
        <f ca="1" t="shared" si="42"/>
        <v>Hybrid diesel coach -- 14857%</v>
      </c>
      <c r="V199" s="309" t="s">
        <v>84</v>
      </c>
      <c r="W199" s="309" t="s">
        <v>85</v>
      </c>
    </row>
    <row r="200" spans="2:23">
      <c r="B200" s="79">
        <v>162.857142857143</v>
      </c>
      <c r="C200" s="86">
        <v>441517.145494916</v>
      </c>
      <c r="D200" s="86">
        <v>328104.316073016</v>
      </c>
      <c r="E200" s="86">
        <v>311969.501911868</v>
      </c>
      <c r="F200" s="86">
        <v>305278.273769826</v>
      </c>
      <c r="J200" t="str">
        <f t="shared" si="34"/>
        <v>\I:Trd_bus_</v>
      </c>
      <c r="K200" t="str">
        <f t="shared" si="36"/>
        <v>\I:Trd_bus__16286</v>
      </c>
      <c r="L200" t="str">
        <f t="shared" si="35"/>
        <v>\I:Trd_</v>
      </c>
      <c r="M200" s="306">
        <f t="shared" si="37"/>
        <v>441517.145494916</v>
      </c>
      <c r="N200" s="306">
        <f t="shared" si="38"/>
        <v>328104.316073016</v>
      </c>
      <c r="O200" s="306">
        <f t="shared" si="39"/>
        <v>311969.501911868</v>
      </c>
      <c r="P200" s="306">
        <f t="shared" si="40"/>
        <v>305278.273769826</v>
      </c>
      <c r="S200" t="s">
        <v>83</v>
      </c>
      <c r="T200" t="str">
        <f t="shared" si="41"/>
        <v>\I:Trd_bus__16286</v>
      </c>
      <c r="U200" t="str">
        <f ca="1" t="shared" si="42"/>
        <v>Hybrid diesel coach -- 16286%</v>
      </c>
      <c r="V200" s="309" t="s">
        <v>84</v>
      </c>
      <c r="W200" s="309" t="s">
        <v>85</v>
      </c>
    </row>
    <row r="201" spans="2:23">
      <c r="B201" s="79">
        <v>177.142857142857</v>
      </c>
      <c r="C201" s="86">
        <v>444078.767318675</v>
      </c>
      <c r="D201" s="86">
        <v>329925.866345942</v>
      </c>
      <c r="E201" s="86">
        <v>312900.791333556</v>
      </c>
      <c r="F201" s="86">
        <v>305840.365356196</v>
      </c>
      <c r="J201" t="str">
        <f t="shared" si="34"/>
        <v>\I:Trd_bus_</v>
      </c>
      <c r="K201" t="str">
        <f t="shared" si="36"/>
        <v>\I:Trd_bus__17714</v>
      </c>
      <c r="L201" t="str">
        <f t="shared" si="35"/>
        <v>\I:Trd_</v>
      </c>
      <c r="M201" s="306">
        <f t="shared" si="37"/>
        <v>444078.767318675</v>
      </c>
      <c r="N201" s="306">
        <f t="shared" si="38"/>
        <v>329925.866345942</v>
      </c>
      <c r="O201" s="306">
        <f t="shared" si="39"/>
        <v>312900.791333556</v>
      </c>
      <c r="P201" s="306">
        <f t="shared" si="40"/>
        <v>305840.365356196</v>
      </c>
      <c r="S201" t="s">
        <v>83</v>
      </c>
      <c r="T201" t="str">
        <f t="shared" si="41"/>
        <v>\I:Trd_bus__17714</v>
      </c>
      <c r="U201" t="str">
        <f ca="1" t="shared" si="42"/>
        <v>Hybrid diesel coach -- 17714%</v>
      </c>
      <c r="V201" s="309" t="s">
        <v>84</v>
      </c>
      <c r="W201" s="309" t="s">
        <v>85</v>
      </c>
    </row>
    <row r="202" spans="2:23">
      <c r="B202" s="79">
        <v>350</v>
      </c>
      <c r="C202" s="86">
        <v>488912.15374367</v>
      </c>
      <c r="D202" s="86">
        <v>365809.482166322</v>
      </c>
      <c r="E202" s="86">
        <v>330905.629479526</v>
      </c>
      <c r="F202" s="86">
        <v>316707.414632298</v>
      </c>
      <c r="J202" t="str">
        <f t="shared" si="34"/>
        <v>\I:Trd_bus_</v>
      </c>
      <c r="K202" t="str">
        <f t="shared" si="36"/>
        <v>\I:Trd_bus__35000</v>
      </c>
      <c r="L202" t="str">
        <f t="shared" si="35"/>
        <v>\I:Trd_</v>
      </c>
      <c r="M202" s="306">
        <f t="shared" si="37"/>
        <v>488912.15374367</v>
      </c>
      <c r="N202" s="306">
        <f t="shared" si="38"/>
        <v>365809.482166322</v>
      </c>
      <c r="O202" s="306">
        <f t="shared" si="39"/>
        <v>330905.629479526</v>
      </c>
      <c r="P202" s="306">
        <f t="shared" si="40"/>
        <v>316707.414632298</v>
      </c>
      <c r="S202" t="s">
        <v>83</v>
      </c>
      <c r="T202" t="str">
        <f t="shared" si="41"/>
        <v>\I:Trd_bus__35000</v>
      </c>
      <c r="U202" t="str">
        <f ca="1" t="shared" si="42"/>
        <v>Hybrid diesel coach -- 35000%</v>
      </c>
      <c r="V202" s="309" t="s">
        <v>84</v>
      </c>
      <c r="W202" s="309" t="s">
        <v>85</v>
      </c>
    </row>
    <row r="203" spans="2:23">
      <c r="B203" s="79">
        <v>500</v>
      </c>
      <c r="C203" s="86">
        <v>530094.963307474</v>
      </c>
      <c r="D203" s="86">
        <v>398620.776220214</v>
      </c>
      <c r="E203" s="86">
        <v>348984.265806477</v>
      </c>
      <c r="F203" s="86">
        <v>327038.150254399</v>
      </c>
      <c r="J203" t="str">
        <f t="shared" si="34"/>
        <v>\I:Trd_bus_</v>
      </c>
      <c r="K203" t="str">
        <f t="shared" si="36"/>
        <v>\I:Trd_bus__50000</v>
      </c>
      <c r="L203" t="str">
        <f t="shared" si="35"/>
        <v>\I:Trd_</v>
      </c>
      <c r="M203" s="306">
        <f t="shared" si="37"/>
        <v>530094.963307474</v>
      </c>
      <c r="N203" s="306">
        <f t="shared" si="38"/>
        <v>398620.776220214</v>
      </c>
      <c r="O203" s="306">
        <f t="shared" si="39"/>
        <v>348984.265806477</v>
      </c>
      <c r="P203" s="306">
        <f t="shared" si="40"/>
        <v>327038.150254399</v>
      </c>
      <c r="S203" t="s">
        <v>83</v>
      </c>
      <c r="T203" t="str">
        <f t="shared" si="41"/>
        <v>\I:Trd_bus__50000</v>
      </c>
      <c r="U203" t="str">
        <f ca="1" t="shared" si="42"/>
        <v>Hybrid diesel coach -- 50000%</v>
      </c>
      <c r="V203" s="309" t="s">
        <v>84</v>
      </c>
      <c r="W203" s="309" t="s">
        <v>85</v>
      </c>
    </row>
    <row r="204" spans="2:23">
      <c r="B204" s="79">
        <v>600</v>
      </c>
      <c r="C204" s="86">
        <v>565928.361387453</v>
      </c>
      <c r="D204" s="86">
        <v>427615.94590543</v>
      </c>
      <c r="E204" s="86">
        <v>362846.01604123</v>
      </c>
      <c r="F204" s="86">
        <v>335985.441563159</v>
      </c>
      <c r="J204" t="str">
        <f t="shared" si="34"/>
        <v>\I:Trd_bus_</v>
      </c>
      <c r="K204" t="str">
        <f t="shared" si="36"/>
        <v>\I:Trd_bus__60000</v>
      </c>
      <c r="L204" t="str">
        <f t="shared" si="35"/>
        <v>\I:Trd_</v>
      </c>
      <c r="M204" s="306">
        <f t="shared" si="37"/>
        <v>565928.361387453</v>
      </c>
      <c r="N204" s="306">
        <f t="shared" si="38"/>
        <v>427615.94590543</v>
      </c>
      <c r="O204" s="306">
        <f t="shared" si="39"/>
        <v>362846.01604123</v>
      </c>
      <c r="P204" s="306">
        <f t="shared" si="40"/>
        <v>335985.441563159</v>
      </c>
      <c r="S204" t="s">
        <v>83</v>
      </c>
      <c r="T204" t="str">
        <f t="shared" si="41"/>
        <v>\I:Trd_bus__60000</v>
      </c>
      <c r="U204" t="str">
        <f ca="1" t="shared" si="42"/>
        <v>Hybrid diesel coach -- 60000%</v>
      </c>
      <c r="V204" s="309" t="s">
        <v>84</v>
      </c>
      <c r="W204" s="309" t="s">
        <v>85</v>
      </c>
    </row>
    <row r="205" spans="2:23">
      <c r="B205" s="306"/>
      <c r="J205" t="str">
        <f t="shared" si="34"/>
        <v>\I:Trd_bus_</v>
      </c>
      <c r="K205" t="str">
        <f t="shared" si="36"/>
        <v>\I:</v>
      </c>
      <c r="L205" t="str">
        <f t="shared" si="35"/>
        <v>\I:</v>
      </c>
      <c r="M205" s="306" t="str">
        <f t="shared" si="37"/>
        <v/>
      </c>
      <c r="N205" s="306" t="str">
        <f t="shared" si="38"/>
        <v/>
      </c>
      <c r="O205" s="306" t="str">
        <f t="shared" si="39"/>
        <v/>
      </c>
      <c r="P205" s="306" t="str">
        <f t="shared" si="40"/>
        <v/>
      </c>
      <c r="S205" t="s">
        <v>83</v>
      </c>
      <c r="T205" t="str">
        <f t="shared" si="41"/>
        <v>\I:</v>
      </c>
      <c r="U205" t="str">
        <f ca="1" t="shared" si="42"/>
        <v>Hybrid diesel coach -- 00%</v>
      </c>
      <c r="V205" s="309" t="s">
        <v>84</v>
      </c>
      <c r="W205" s="309" t="s">
        <v>85</v>
      </c>
    </row>
    <row r="206" spans="10:23">
      <c r="J206" t="str">
        <f t="shared" ref="J206:J219" si="43">IFERROR(VLOOKUP(C206,$R$1:$S$9,2,FALSE),J205)</f>
        <v>\I:Trd_bus_</v>
      </c>
      <c r="K206" t="str">
        <f t="shared" si="36"/>
        <v>\I:</v>
      </c>
      <c r="L206" t="str">
        <f t="shared" ref="L206:L219" si="44">LEFT(K206,7)</f>
        <v>\I:</v>
      </c>
      <c r="M206" s="306" t="str">
        <f t="shared" si="37"/>
        <v/>
      </c>
      <c r="N206" s="306" t="str">
        <f t="shared" si="38"/>
        <v/>
      </c>
      <c r="O206" s="306" t="str">
        <f t="shared" si="39"/>
        <v/>
      </c>
      <c r="P206" s="306" t="str">
        <f t="shared" si="40"/>
        <v/>
      </c>
      <c r="S206" t="s">
        <v>83</v>
      </c>
      <c r="T206" t="str">
        <f t="shared" si="41"/>
        <v>\I:</v>
      </c>
      <c r="U206" t="str">
        <f ca="1" t="shared" si="42"/>
        <v>Hybrid diesel coach -- 00%</v>
      </c>
      <c r="V206" s="309" t="s">
        <v>84</v>
      </c>
      <c r="W206" s="309" t="s">
        <v>85</v>
      </c>
    </row>
    <row r="207" spans="10:23">
      <c r="J207" t="str">
        <f t="shared" si="43"/>
        <v>\I:Trd_bus_</v>
      </c>
      <c r="K207" t="str">
        <f t="shared" si="36"/>
        <v>\I:</v>
      </c>
      <c r="L207" t="str">
        <f t="shared" si="44"/>
        <v>\I:</v>
      </c>
      <c r="M207" s="306" t="str">
        <f t="shared" si="37"/>
        <v/>
      </c>
      <c r="N207" s="306" t="str">
        <f t="shared" si="38"/>
        <v/>
      </c>
      <c r="O207" s="306" t="str">
        <f t="shared" si="39"/>
        <v/>
      </c>
      <c r="P207" s="306" t="str">
        <f t="shared" si="40"/>
        <v/>
      </c>
      <c r="S207" t="s">
        <v>83</v>
      </c>
      <c r="T207" t="str">
        <f t="shared" si="41"/>
        <v>\I:</v>
      </c>
      <c r="U207" t="str">
        <f ca="1" t="shared" si="42"/>
        <v>Hybrid diesel coach -- 00%</v>
      </c>
      <c r="V207" s="309" t="s">
        <v>84</v>
      </c>
      <c r="W207" s="309" t="s">
        <v>85</v>
      </c>
    </row>
    <row r="208" ht="21.75" customHeight="1" spans="2:23">
      <c r="B208" s="300" t="s">
        <v>29</v>
      </c>
      <c r="C208" s="300" t="s">
        <v>170</v>
      </c>
      <c r="D208" s="300"/>
      <c r="E208" s="300"/>
      <c r="F208" s="300"/>
      <c r="J208" t="str">
        <f t="shared" si="43"/>
        <v>\I:Trd_bus_</v>
      </c>
      <c r="K208" t="str">
        <f t="shared" si="36"/>
        <v>\I:</v>
      </c>
      <c r="L208" t="str">
        <f t="shared" si="44"/>
        <v>\I:</v>
      </c>
      <c r="M208" s="306" t="str">
        <f t="shared" si="37"/>
        <v/>
      </c>
      <c r="N208" s="306" t="str">
        <f t="shared" si="38"/>
        <v/>
      </c>
      <c r="O208" s="306" t="str">
        <f t="shared" si="39"/>
        <v/>
      </c>
      <c r="P208" s="306" t="str">
        <f t="shared" si="40"/>
        <v/>
      </c>
      <c r="S208" t="s">
        <v>83</v>
      </c>
      <c r="T208" t="str">
        <f t="shared" si="41"/>
        <v>\I:</v>
      </c>
      <c r="U208" t="str">
        <f ca="1" t="shared" si="42"/>
        <v>Hybrid diesel coach -- Energy consumption (kg H2/100km)</v>
      </c>
      <c r="V208" s="309" t="s">
        <v>84</v>
      </c>
      <c r="W208" s="309" t="s">
        <v>85</v>
      </c>
    </row>
    <row r="209" ht="21.75" customHeight="1" spans="2:23">
      <c r="B209" s="300"/>
      <c r="C209" s="300"/>
      <c r="D209" s="300"/>
      <c r="E209" s="300"/>
      <c r="F209" s="300"/>
      <c r="J209" t="str">
        <f t="shared" si="43"/>
        <v>\I:Trd_bus_</v>
      </c>
      <c r="K209" t="str">
        <f t="shared" si="36"/>
        <v>\I:</v>
      </c>
      <c r="L209" t="str">
        <f t="shared" si="44"/>
        <v>\I:</v>
      </c>
      <c r="M209" s="306" t="str">
        <f t="shared" si="37"/>
        <v/>
      </c>
      <c r="N209" s="306" t="str">
        <f t="shared" si="38"/>
        <v/>
      </c>
      <c r="O209" s="306" t="str">
        <f t="shared" si="39"/>
        <v/>
      </c>
      <c r="P209" s="306" t="str">
        <f t="shared" si="40"/>
        <v/>
      </c>
      <c r="S209" t="s">
        <v>83</v>
      </c>
      <c r="T209" t="str">
        <f t="shared" si="41"/>
        <v>\I:</v>
      </c>
      <c r="U209" t="str">
        <f ca="1" t="shared" si="42"/>
        <v>Hybrid diesel coach -- 00%</v>
      </c>
      <c r="V209" s="309" t="s">
        <v>84</v>
      </c>
      <c r="W209" s="309" t="s">
        <v>85</v>
      </c>
    </row>
    <row r="210" spans="2:23">
      <c r="B210" s="300"/>
      <c r="C210" s="300"/>
      <c r="D210" s="300"/>
      <c r="E210" s="300"/>
      <c r="F210" s="300"/>
      <c r="J210" t="str">
        <f t="shared" si="43"/>
        <v>\I:Trd_bus_</v>
      </c>
      <c r="K210" t="str">
        <f t="shared" si="36"/>
        <v>\I:</v>
      </c>
      <c r="L210" t="str">
        <f t="shared" si="44"/>
        <v>\I:</v>
      </c>
      <c r="M210" s="306" t="str">
        <f t="shared" si="37"/>
        <v/>
      </c>
      <c r="N210" s="306" t="str">
        <f t="shared" si="38"/>
        <v/>
      </c>
      <c r="O210" s="306" t="str">
        <f t="shared" si="39"/>
        <v/>
      </c>
      <c r="P210" s="306" t="str">
        <f t="shared" si="40"/>
        <v/>
      </c>
      <c r="S210" t="s">
        <v>83</v>
      </c>
      <c r="T210" t="str">
        <f t="shared" si="41"/>
        <v>\I:</v>
      </c>
      <c r="U210" t="str">
        <f ca="1" t="shared" si="42"/>
        <v>Hybrid diesel coach -- 00%</v>
      </c>
      <c r="V210" s="309" t="s">
        <v>84</v>
      </c>
      <c r="W210" s="309" t="s">
        <v>85</v>
      </c>
    </row>
    <row r="211" spans="2:23">
      <c r="B211" s="49"/>
      <c r="C211" s="50">
        <v>2020</v>
      </c>
      <c r="D211" s="50">
        <v>2030</v>
      </c>
      <c r="E211" s="50">
        <v>2040</v>
      </c>
      <c r="F211" s="50">
        <v>2050</v>
      </c>
      <c r="J211" t="str">
        <f t="shared" si="43"/>
        <v>\I:Trd_bus_</v>
      </c>
      <c r="K211" t="str">
        <f t="shared" si="36"/>
        <v>\I:</v>
      </c>
      <c r="L211" t="str">
        <f t="shared" si="44"/>
        <v>\I:</v>
      </c>
      <c r="M211" s="306" t="str">
        <f t="shared" si="37"/>
        <v/>
      </c>
      <c r="N211" s="306" t="str">
        <f t="shared" si="38"/>
        <v/>
      </c>
      <c r="O211" s="306" t="str">
        <f t="shared" si="39"/>
        <v/>
      </c>
      <c r="P211" s="306" t="str">
        <f t="shared" si="40"/>
        <v/>
      </c>
      <c r="S211" t="s">
        <v>83</v>
      </c>
      <c r="T211" t="str">
        <f t="shared" si="41"/>
        <v>\I:</v>
      </c>
      <c r="U211" t="str">
        <f ca="1" t="shared" si="42"/>
        <v>Hybrid diesel coach -- 00%</v>
      </c>
      <c r="V211" s="309" t="s">
        <v>84</v>
      </c>
      <c r="W211" s="309" t="s">
        <v>85</v>
      </c>
    </row>
    <row r="212" spans="2:23">
      <c r="B212" s="67">
        <v>6.65217391304348</v>
      </c>
      <c r="C212" s="86">
        <v>645414.917881523</v>
      </c>
      <c r="D212" s="86">
        <v>417379.007105806</v>
      </c>
      <c r="E212" s="86">
        <v>354901.720144819</v>
      </c>
      <c r="F212" s="86">
        <v>338590.059493097</v>
      </c>
      <c r="J212" t="str">
        <f t="shared" si="43"/>
        <v>\I:Trd_bus_</v>
      </c>
      <c r="K212" t="str">
        <f t="shared" si="36"/>
        <v>\I:Trd_bus__665</v>
      </c>
      <c r="L212" t="str">
        <f t="shared" si="44"/>
        <v>\I:Trd_</v>
      </c>
      <c r="M212" s="306">
        <f t="shared" si="37"/>
        <v>645414.917881523</v>
      </c>
      <c r="N212" s="306">
        <f t="shared" si="38"/>
        <v>417379.007105806</v>
      </c>
      <c r="O212" s="306">
        <f t="shared" si="39"/>
        <v>354901.720144819</v>
      </c>
      <c r="P212" s="306">
        <f t="shared" si="40"/>
        <v>338590.059493097</v>
      </c>
      <c r="S212" t="s">
        <v>83</v>
      </c>
      <c r="T212" t="str">
        <f t="shared" si="41"/>
        <v>\I:Trd_bus__665</v>
      </c>
      <c r="U212" t="str">
        <f ca="1" t="shared" si="42"/>
        <v>Hybrid diesel coach -- 665%</v>
      </c>
      <c r="V212" s="309" t="s">
        <v>84</v>
      </c>
      <c r="W212" s="309" t="s">
        <v>85</v>
      </c>
    </row>
    <row r="213" spans="2:23">
      <c r="B213" s="67">
        <v>6.45084289348007</v>
      </c>
      <c r="C213" s="86">
        <v>646209.342968632</v>
      </c>
      <c r="D213" s="86">
        <v>417926.742297443</v>
      </c>
      <c r="E213" s="86">
        <v>355381.16265353</v>
      </c>
      <c r="F213" s="86">
        <v>339001.209318881</v>
      </c>
      <c r="J213" t="str">
        <f t="shared" si="43"/>
        <v>\I:Trd_bus_</v>
      </c>
      <c r="K213" t="str">
        <f t="shared" si="36"/>
        <v>\I:Trd_bus__645</v>
      </c>
      <c r="L213" t="str">
        <f t="shared" si="44"/>
        <v>\I:Trd_</v>
      </c>
      <c r="M213" s="306">
        <f t="shared" si="37"/>
        <v>646209.342968632</v>
      </c>
      <c r="N213" s="306">
        <f t="shared" si="38"/>
        <v>417926.742297443</v>
      </c>
      <c r="O213" s="306">
        <f t="shared" si="39"/>
        <v>355381.16265353</v>
      </c>
      <c r="P213" s="306">
        <f t="shared" si="40"/>
        <v>339001.209318881</v>
      </c>
      <c r="S213" t="s">
        <v>83</v>
      </c>
      <c r="T213" t="str">
        <f t="shared" si="41"/>
        <v>\I:Trd_bus__645</v>
      </c>
      <c r="U213" t="str">
        <f ca="1" t="shared" si="42"/>
        <v>Hybrid diesel coach -- 645%</v>
      </c>
      <c r="V213" s="309" t="s">
        <v>84</v>
      </c>
      <c r="W213" s="309" t="s">
        <v>85</v>
      </c>
    </row>
    <row r="214" spans="2:23">
      <c r="B214" s="67">
        <v>6.24951187391665</v>
      </c>
      <c r="C214" s="86">
        <v>647003.76805574</v>
      </c>
      <c r="D214" s="86">
        <v>418474.477489081</v>
      </c>
      <c r="E214" s="86">
        <v>355860.605162241</v>
      </c>
      <c r="F214" s="86">
        <v>339412.359144665</v>
      </c>
      <c r="J214" t="str">
        <f t="shared" si="43"/>
        <v>\I:Trd_bus_</v>
      </c>
      <c r="K214" t="str">
        <f t="shared" si="36"/>
        <v>\I:Trd_bus__625</v>
      </c>
      <c r="L214" t="str">
        <f t="shared" si="44"/>
        <v>\I:Trd_</v>
      </c>
      <c r="M214" s="306">
        <f t="shared" si="37"/>
        <v>647003.76805574</v>
      </c>
      <c r="N214" s="306">
        <f t="shared" si="38"/>
        <v>418474.477489081</v>
      </c>
      <c r="O214" s="306">
        <f t="shared" si="39"/>
        <v>355860.605162241</v>
      </c>
      <c r="P214" s="306">
        <f t="shared" si="40"/>
        <v>339412.359144665</v>
      </c>
      <c r="S214" t="s">
        <v>83</v>
      </c>
      <c r="T214" t="str">
        <f t="shared" si="41"/>
        <v>\I:Trd_bus__625</v>
      </c>
      <c r="U214" t="str">
        <f ca="1" t="shared" si="42"/>
        <v>Hybrid diesel coach -- 625%</v>
      </c>
      <c r="V214" s="309" t="s">
        <v>84</v>
      </c>
      <c r="W214" s="309" t="s">
        <v>85</v>
      </c>
    </row>
    <row r="215" spans="2:23">
      <c r="B215" s="67">
        <v>6.04818085435324</v>
      </c>
      <c r="C215" s="86">
        <v>647798.193142848</v>
      </c>
      <c r="D215" s="86">
        <v>419022.212680718</v>
      </c>
      <c r="E215" s="86">
        <v>356340.047670951</v>
      </c>
      <c r="F215" s="86">
        <v>339823.508970449</v>
      </c>
      <c r="J215" t="str">
        <f t="shared" si="43"/>
        <v>\I:Trd_bus_</v>
      </c>
      <c r="K215" t="str">
        <f t="shared" si="36"/>
        <v>\I:Trd_bus__605</v>
      </c>
      <c r="L215" t="str">
        <f t="shared" si="44"/>
        <v>\I:Trd_</v>
      </c>
      <c r="M215" s="306">
        <f t="shared" si="37"/>
        <v>647798.193142848</v>
      </c>
      <c r="N215" s="306">
        <f t="shared" si="38"/>
        <v>419022.212680718</v>
      </c>
      <c r="O215" s="306">
        <f t="shared" si="39"/>
        <v>356340.047670951</v>
      </c>
      <c r="P215" s="306">
        <f t="shared" si="40"/>
        <v>339823.508970449</v>
      </c>
      <c r="S215" t="s">
        <v>83</v>
      </c>
      <c r="T215" t="str">
        <f t="shared" si="41"/>
        <v>\I:Trd_bus__605</v>
      </c>
      <c r="U215" t="str">
        <f ca="1" t="shared" si="42"/>
        <v>Hybrid diesel coach -- 605%</v>
      </c>
      <c r="V215" s="309" t="s">
        <v>84</v>
      </c>
      <c r="W215" s="309" t="s">
        <v>85</v>
      </c>
    </row>
    <row r="216" spans="2:23">
      <c r="B216" s="67">
        <v>5.84684983478983</v>
      </c>
      <c r="C216" s="86">
        <v>648592.618229956</v>
      </c>
      <c r="D216" s="86">
        <v>419569.947872356</v>
      </c>
      <c r="E216" s="86">
        <v>356819.490179662</v>
      </c>
      <c r="F216" s="86">
        <v>340234.658796233</v>
      </c>
      <c r="J216" t="str">
        <f t="shared" si="43"/>
        <v>\I:Trd_bus_</v>
      </c>
      <c r="K216" t="str">
        <f t="shared" ref="K216:K219" si="45">IFERROR(IF(VALUE(C216)&gt;2020,J216&amp;"_"&amp;TEXT(B216*100,"00"),"\I:"),"\I:")</f>
        <v>\I:Trd_bus__585</v>
      </c>
      <c r="L216" t="str">
        <f t="shared" si="44"/>
        <v>\I:Trd_</v>
      </c>
      <c r="M216" s="306">
        <f t="shared" ref="M216:M219" si="46">IF($K216="\I:","",C216)</f>
        <v>648592.618229956</v>
      </c>
      <c r="N216" s="306">
        <f t="shared" ref="N216:N219" si="47">IF($K216="\I:","",D216)</f>
        <v>419569.947872356</v>
      </c>
      <c r="O216" s="306">
        <f t="shared" ref="O216:O219" si="48">IF($K216="\I:","",E216)</f>
        <v>356819.490179662</v>
      </c>
      <c r="P216" s="306">
        <f t="shared" ref="P216:P219" si="49">IF($K216="\I:","",F216)</f>
        <v>340234.658796233</v>
      </c>
      <c r="S216" t="s">
        <v>83</v>
      </c>
      <c r="T216" t="str">
        <f t="shared" ref="T216:T219" si="50">K216</f>
        <v>\I:Trd_bus__585</v>
      </c>
      <c r="U216" t="str">
        <f ca="1" t="shared" ref="U216:U219" si="51">OFFSET($S$1,MATCH(J216,$S$1:$S$12,0)-1,-1)&amp;" -- "&amp;TEXT(B216,"00%")</f>
        <v>Hybrid diesel coach -- 585%</v>
      </c>
      <c r="V216" s="309" t="s">
        <v>84</v>
      </c>
      <c r="W216" s="309" t="s">
        <v>85</v>
      </c>
    </row>
    <row r="217" spans="2:23">
      <c r="B217" s="67">
        <v>5.64551881522642</v>
      </c>
      <c r="C217" s="86">
        <v>649387.043317064</v>
      </c>
      <c r="D217" s="86">
        <v>420117.683063994</v>
      </c>
      <c r="E217" s="86">
        <v>357298.932688373</v>
      </c>
      <c r="F217" s="86">
        <v>340645.808622017</v>
      </c>
      <c r="J217" t="str">
        <f t="shared" si="43"/>
        <v>\I:Trd_bus_</v>
      </c>
      <c r="K217" t="str">
        <f t="shared" si="45"/>
        <v>\I:Trd_bus__565</v>
      </c>
      <c r="L217" t="str">
        <f t="shared" si="44"/>
        <v>\I:Trd_</v>
      </c>
      <c r="M217" s="306">
        <f t="shared" si="46"/>
        <v>649387.043317064</v>
      </c>
      <c r="N217" s="306">
        <f t="shared" si="47"/>
        <v>420117.683063994</v>
      </c>
      <c r="O217" s="306">
        <f t="shared" si="48"/>
        <v>357298.932688373</v>
      </c>
      <c r="P217" s="306">
        <f t="shared" si="49"/>
        <v>340645.808622017</v>
      </c>
      <c r="S217" t="s">
        <v>83</v>
      </c>
      <c r="T217" t="str">
        <f t="shared" si="50"/>
        <v>\I:Trd_bus__565</v>
      </c>
      <c r="U217" t="str">
        <f ca="1" t="shared" si="51"/>
        <v>Hybrid diesel coach -- 565%</v>
      </c>
      <c r="V217" s="309" t="s">
        <v>84</v>
      </c>
      <c r="W217" s="309" t="s">
        <v>85</v>
      </c>
    </row>
    <row r="218" spans="2:23">
      <c r="B218" s="67">
        <v>5.44418779566301</v>
      </c>
      <c r="C218" s="86">
        <v>650181.468404172</v>
      </c>
      <c r="D218" s="86">
        <v>420665.418255631</v>
      </c>
      <c r="E218" s="86">
        <v>357778.375197084</v>
      </c>
      <c r="F218" s="86">
        <v>341056.958447801</v>
      </c>
      <c r="J218" t="str">
        <f t="shared" si="43"/>
        <v>\I:Trd_bus_</v>
      </c>
      <c r="K218" t="str">
        <f t="shared" si="45"/>
        <v>\I:Trd_bus__544</v>
      </c>
      <c r="L218" t="str">
        <f t="shared" si="44"/>
        <v>\I:Trd_</v>
      </c>
      <c r="M218" s="306">
        <f t="shared" si="46"/>
        <v>650181.468404172</v>
      </c>
      <c r="N218" s="306">
        <f t="shared" si="47"/>
        <v>420665.418255631</v>
      </c>
      <c r="O218" s="306">
        <f t="shared" si="48"/>
        <v>357778.375197084</v>
      </c>
      <c r="P218" s="306">
        <f t="shared" si="49"/>
        <v>341056.958447801</v>
      </c>
      <c r="S218" t="s">
        <v>83</v>
      </c>
      <c r="T218" t="str">
        <f t="shared" si="50"/>
        <v>\I:Trd_bus__544</v>
      </c>
      <c r="U218" t="str">
        <f ca="1" t="shared" si="51"/>
        <v>Hybrid diesel coach -- 544%</v>
      </c>
      <c r="V218" s="309" t="s">
        <v>84</v>
      </c>
      <c r="W218" s="309" t="s">
        <v>85</v>
      </c>
    </row>
    <row r="219" spans="2:23">
      <c r="B219" s="67">
        <v>5.24285677609959</v>
      </c>
      <c r="C219" s="86">
        <v>650975.89349128</v>
      </c>
      <c r="D219" s="86">
        <v>421213.153447269</v>
      </c>
      <c r="E219" s="86">
        <v>358257.817705795</v>
      </c>
      <c r="F219" s="86">
        <v>341468.108273585</v>
      </c>
      <c r="J219" t="str">
        <f t="shared" si="43"/>
        <v>\I:Trd_bus_</v>
      </c>
      <c r="K219" t="str">
        <f t="shared" si="45"/>
        <v>\I:Trd_bus__524</v>
      </c>
      <c r="L219" t="str">
        <f t="shared" si="44"/>
        <v>\I:Trd_</v>
      </c>
      <c r="M219" s="306">
        <f t="shared" si="46"/>
        <v>650975.89349128</v>
      </c>
      <c r="N219" s="306">
        <f t="shared" si="47"/>
        <v>421213.153447269</v>
      </c>
      <c r="O219" s="306">
        <f t="shared" si="48"/>
        <v>358257.817705795</v>
      </c>
      <c r="P219" s="306">
        <f t="shared" si="49"/>
        <v>341468.108273585</v>
      </c>
      <c r="S219" t="s">
        <v>83</v>
      </c>
      <c r="T219" t="str">
        <f t="shared" si="50"/>
        <v>\I:Trd_bus__524</v>
      </c>
      <c r="U219" t="str">
        <f ca="1" t="shared" si="51"/>
        <v>Hybrid diesel coach -- 524%</v>
      </c>
      <c r="V219" s="309" t="s">
        <v>84</v>
      </c>
      <c r="W219" s="309" t="s">
        <v>85</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M403"/>
  <sheetViews>
    <sheetView tabSelected="1" zoomScale="45" zoomScaleNormal="45" topLeftCell="Q1" workbookViewId="0">
      <selection activeCell="W31" sqref="W31"/>
    </sheetView>
  </sheetViews>
  <sheetFormatPr defaultColWidth="9.09090909090909" defaultRowHeight="12.5"/>
  <cols>
    <col min="1" max="1" width="58.5454545454545" style="159" customWidth="1"/>
    <col min="2" max="2" width="68.4545454545455" style="159" customWidth="1"/>
    <col min="3" max="3" width="27" style="159" customWidth="1"/>
    <col min="4" max="4" width="13.7272727272727" style="159" customWidth="1"/>
    <col min="5" max="5" width="11.0909090909091" style="159" customWidth="1"/>
    <col min="6" max="6" width="11.8181818181818" style="159" customWidth="1"/>
    <col min="7" max="7" width="13.2727272727273" style="159" customWidth="1"/>
    <col min="8" max="8" width="13" style="159" customWidth="1"/>
    <col min="9" max="9" width="16.2727272727273" style="159" customWidth="1"/>
    <col min="10" max="10" width="11.2727272727273" style="159" customWidth="1"/>
    <col min="11" max="11" width="17.5454545454545" style="159" customWidth="1"/>
    <col min="12" max="12" width="17.3636363636364" style="159" customWidth="1"/>
    <col min="13" max="13" width="30.1818181818182" style="159" customWidth="1"/>
    <col min="14" max="14" width="18.7272727272727" style="159" customWidth="1"/>
    <col min="15" max="15" width="8.09090909090909" style="159" customWidth="1"/>
    <col min="16" max="16" width="22.2727272727273" style="159" customWidth="1"/>
    <col min="17" max="17" width="21.9090909090909" style="159" customWidth="1"/>
    <col min="18" max="18" width="33.5454545454545" style="159" customWidth="1"/>
    <col min="19" max="19" width="14.6363636363636" style="159" customWidth="1"/>
    <col min="20" max="20" width="11.2727272727273" style="159" customWidth="1"/>
    <col min="21" max="21" width="17.0909090909091" style="159" customWidth="1"/>
    <col min="22" max="22" width="30.6363636363636" style="159" customWidth="1"/>
    <col min="23" max="23" width="122.545454545455" style="159" customWidth="1"/>
    <col min="24" max="24" width="12.6363636363636" style="159" customWidth="1"/>
    <col min="25" max="25" width="14.7272727272727" style="159" customWidth="1"/>
    <col min="26" max="26" width="7.63636363636364" style="159" customWidth="1"/>
    <col min="27" max="27" width="33.6363636363636" style="159" customWidth="1"/>
    <col min="28" max="28" width="14.3636363636364" style="159" customWidth="1"/>
    <col min="29" max="29" width="31.2727272727273" style="159" customWidth="1"/>
    <col min="30" max="30" width="10.2727272727273" style="159" customWidth="1"/>
    <col min="31" max="31" width="22" style="159" customWidth="1"/>
    <col min="32" max="32" width="9.36363636363636" style="159" customWidth="1"/>
    <col min="33" max="33" width="22.2727272727273" style="159" customWidth="1"/>
    <col min="34" max="34" width="22.5454545454545" style="159" customWidth="1"/>
    <col min="35" max="35" width="6.36363636363636" style="159" customWidth="1"/>
    <col min="36" max="36" width="31.2727272727273" style="159" customWidth="1"/>
    <col min="37" max="37" width="10.2727272727273" style="159" customWidth="1"/>
    <col min="38" max="41" width="9.09090909090909" style="159"/>
    <col min="42" max="42" width="58.5454545454545" style="159" customWidth="1"/>
    <col min="43" max="43" width="38.0909090909091" style="159" customWidth="1"/>
    <col min="44" max="44" width="25" style="159" customWidth="1"/>
    <col min="45" max="45" width="17.9090909090909" style="159" customWidth="1"/>
    <col min="46" max="49" width="12.8181818181818" style="159"/>
    <col min="50" max="50" width="15.3636363636364" style="159" customWidth="1"/>
    <col min="51" max="52" width="12.8181818181818" style="159"/>
    <col min="53" max="54" width="9.09090909090909" style="159"/>
    <col min="55" max="55" width="28.6363636363636" style="159" customWidth="1"/>
    <col min="56" max="56" width="16.4545454545455" style="159" customWidth="1"/>
    <col min="57" max="57" width="22.0909090909091" style="159" customWidth="1"/>
    <col min="58" max="16384" width="9.09090909090909" style="159"/>
  </cols>
  <sheetData>
    <row r="1" ht="12.65" customHeight="1" spans="1:1">
      <c r="A1" s="159" t="s">
        <v>171</v>
      </c>
    </row>
    <row r="3" ht="14.5" customHeight="1" spans="16:30">
      <c r="P3" s="168"/>
      <c r="Q3" s="168"/>
      <c r="U3" s="168" t="s">
        <v>72</v>
      </c>
      <c r="V3" s="168"/>
      <c r="W3" s="168"/>
      <c r="X3" s="168"/>
      <c r="Y3" s="168"/>
      <c r="Z3" s="168"/>
      <c r="AA3" s="168"/>
      <c r="AB3" s="168"/>
      <c r="AC3" s="168"/>
      <c r="AD3" s="159" t="s">
        <v>172</v>
      </c>
    </row>
    <row r="4" ht="14.5" customHeight="1" spans="16:43">
      <c r="P4" s="168"/>
      <c r="Q4" s="168"/>
      <c r="U4" s="168" t="s">
        <v>78</v>
      </c>
      <c r="V4" s="168" t="s">
        <v>79</v>
      </c>
      <c r="W4" s="168" t="s">
        <v>80</v>
      </c>
      <c r="X4" s="168" t="s">
        <v>81</v>
      </c>
      <c r="Y4" s="168" t="s">
        <v>82</v>
      </c>
      <c r="Z4" s="168" t="s">
        <v>173</v>
      </c>
      <c r="AA4" s="168" t="s">
        <v>174</v>
      </c>
      <c r="AB4" s="168" t="s">
        <v>175</v>
      </c>
      <c r="AC4" s="168"/>
      <c r="AD4" s="159" t="s">
        <v>176</v>
      </c>
      <c r="AE4" s="159" t="s">
        <v>177</v>
      </c>
      <c r="AF4" s="159" t="s">
        <v>178</v>
      </c>
      <c r="AG4" s="159" t="s">
        <v>179</v>
      </c>
      <c r="AH4" s="159" t="s">
        <v>180</v>
      </c>
      <c r="AI4" s="159" t="s">
        <v>181</v>
      </c>
      <c r="AJ4" s="159" t="s">
        <v>182</v>
      </c>
      <c r="AK4" s="159" t="s">
        <v>183</v>
      </c>
      <c r="AL4" s="159" t="s">
        <v>184</v>
      </c>
      <c r="AN4" s="184" t="s">
        <v>185</v>
      </c>
      <c r="AO4" s="184" t="s">
        <v>186</v>
      </c>
      <c r="AP4" s="184" t="s">
        <v>187</v>
      </c>
      <c r="AQ4" s="184" t="s">
        <v>188</v>
      </c>
    </row>
    <row r="5" ht="14.5" customHeight="1" spans="16:38">
      <c r="P5" s="168"/>
      <c r="Q5" s="168"/>
      <c r="U5" s="168" t="s">
        <v>189</v>
      </c>
      <c r="V5" s="168" t="s">
        <v>190</v>
      </c>
      <c r="W5" s="168" t="s">
        <v>191</v>
      </c>
      <c r="X5" s="168" t="s">
        <v>192</v>
      </c>
      <c r="Y5" s="168" t="s">
        <v>193</v>
      </c>
      <c r="Z5" s="168" t="s">
        <v>194</v>
      </c>
      <c r="AA5" s="168"/>
      <c r="AB5" s="168"/>
      <c r="AC5" s="168"/>
      <c r="AD5" s="159" t="s">
        <v>195</v>
      </c>
      <c r="AE5" s="159" t="s">
        <v>196</v>
      </c>
      <c r="AI5" s="159" t="s">
        <v>197</v>
      </c>
      <c r="AL5" s="159" t="s">
        <v>198</v>
      </c>
    </row>
    <row r="6" ht="14.5" customHeight="1" spans="16:43">
      <c r="P6" s="168"/>
      <c r="Q6" s="168"/>
      <c r="V6" s="168" t="str">
        <f t="shared" ref="V6:V12" si="0">C22</f>
        <v>Tra_EV_Batt-LFP</v>
      </c>
      <c r="W6" s="168" t="str">
        <f>_xlfn.TEXTJOIN("; ",TRUE,AO6:AQ6)</f>
        <v>Lithium Iron Phosphate; High safety, long cycle life, lower energy density; EVs, energy storage systems</v>
      </c>
      <c r="X6" s="168" t="s">
        <v>192</v>
      </c>
      <c r="Y6" s="168" t="s">
        <v>193</v>
      </c>
      <c r="Z6" s="168" t="s">
        <v>194</v>
      </c>
      <c r="AA6" s="168"/>
      <c r="AB6" s="168"/>
      <c r="AC6" s="168"/>
      <c r="AE6" s="159" t="s">
        <v>199</v>
      </c>
      <c r="AI6" s="159" t="s">
        <v>197</v>
      </c>
      <c r="AL6" s="159" t="s">
        <v>198</v>
      </c>
      <c r="AN6" s="185" t="s">
        <v>200</v>
      </c>
      <c r="AO6" s="185" t="s">
        <v>201</v>
      </c>
      <c r="AP6" s="185" t="s">
        <v>202</v>
      </c>
      <c r="AQ6" s="185" t="s">
        <v>203</v>
      </c>
    </row>
    <row r="7" ht="14.5" customHeight="1" spans="16:43">
      <c r="P7" s="168"/>
      <c r="Q7" s="168"/>
      <c r="U7" s="168"/>
      <c r="V7" s="168" t="str">
        <f t="shared" si="0"/>
        <v>Tra_EV_Batt-LMO</v>
      </c>
      <c r="W7" s="168" t="str">
        <f t="shared" ref="W7:W12" si="1">_xlfn.TEXTJOIN("; ",TRUE,AO7:AQ7)</f>
        <v>Lithium Manganese Oxide; Good thermal stability, fast charging, moderate energy density; Power tools, medical devices, hybrid EVs</v>
      </c>
      <c r="X7" s="168" t="s">
        <v>192</v>
      </c>
      <c r="Y7" s="168" t="s">
        <v>193</v>
      </c>
      <c r="Z7" s="168" t="s">
        <v>194</v>
      </c>
      <c r="AA7" s="168"/>
      <c r="AB7" s="168"/>
      <c r="AC7" s="168"/>
      <c r="AE7" s="159" t="s">
        <v>204</v>
      </c>
      <c r="AI7" s="159" t="s">
        <v>197</v>
      </c>
      <c r="AL7" s="159" t="s">
        <v>198</v>
      </c>
      <c r="AN7" s="185" t="s">
        <v>205</v>
      </c>
      <c r="AO7" s="185" t="s">
        <v>206</v>
      </c>
      <c r="AP7" s="185" t="s">
        <v>207</v>
      </c>
      <c r="AQ7" s="185" t="s">
        <v>208</v>
      </c>
    </row>
    <row r="8" ht="18" customHeight="1" spans="16:43">
      <c r="P8" s="169"/>
      <c r="Q8" s="169"/>
      <c r="U8" s="170"/>
      <c r="V8" s="168" t="str">
        <f t="shared" si="0"/>
        <v>Tra_EV_Batt-NCA</v>
      </c>
      <c r="W8" s="168" t="str">
        <f t="shared" si="1"/>
        <v>Nickel Cobalt Aluminum Oxide; High energy density, long cycle life, higher cost; Premium EVs, energy storage</v>
      </c>
      <c r="X8" s="168" t="s">
        <v>192</v>
      </c>
      <c r="Y8" s="168" t="s">
        <v>193</v>
      </c>
      <c r="Z8" s="168" t="s">
        <v>194</v>
      </c>
      <c r="AA8" s="181"/>
      <c r="AB8" s="181"/>
      <c r="AC8" s="181"/>
      <c r="AE8" s="159" t="s">
        <v>209</v>
      </c>
      <c r="AI8" s="159" t="s">
        <v>197</v>
      </c>
      <c r="AL8" s="159" t="s">
        <v>198</v>
      </c>
      <c r="AN8" s="185" t="s">
        <v>210</v>
      </c>
      <c r="AO8" s="185" t="s">
        <v>211</v>
      </c>
      <c r="AP8" s="185" t="s">
        <v>212</v>
      </c>
      <c r="AQ8" s="185" t="s">
        <v>213</v>
      </c>
    </row>
    <row r="9" ht="18" spans="16:43">
      <c r="P9" s="169"/>
      <c r="Q9" s="169"/>
      <c r="U9" s="170"/>
      <c r="V9" s="168" t="str">
        <f t="shared" si="0"/>
        <v>Tra_EV_Batt-NMC 111</v>
      </c>
      <c r="W9" s="168" t="str">
        <f t="shared" si="1"/>
        <v>Nickel Manganese Cobalt (1:1:1); Balanced energy density, safety, and cost; Consumer electronics, EVs</v>
      </c>
      <c r="X9" s="168" t="s">
        <v>192</v>
      </c>
      <c r="Y9" s="168" t="s">
        <v>193</v>
      </c>
      <c r="Z9" s="168" t="s">
        <v>194</v>
      </c>
      <c r="AA9" s="181"/>
      <c r="AB9" s="181"/>
      <c r="AC9" s="181"/>
      <c r="AE9" s="159" t="s">
        <v>214</v>
      </c>
      <c r="AI9" s="159" t="s">
        <v>197</v>
      </c>
      <c r="AL9" s="159" t="s">
        <v>198</v>
      </c>
      <c r="AN9" s="185" t="s">
        <v>215</v>
      </c>
      <c r="AO9" s="185" t="s">
        <v>216</v>
      </c>
      <c r="AP9" s="185" t="s">
        <v>217</v>
      </c>
      <c r="AQ9" s="185" t="s">
        <v>218</v>
      </c>
    </row>
    <row r="10" ht="14.5" spans="16:43">
      <c r="P10" s="170"/>
      <c r="Q10" s="170"/>
      <c r="U10" s="170"/>
      <c r="V10" s="168" t="str">
        <f t="shared" si="0"/>
        <v>Tra_EV_Batt-NMC532</v>
      </c>
      <c r="W10" s="168" t="str">
        <f t="shared" si="1"/>
        <v>Nickel Manganese Cobalt (5:3:2); Higher energy density, better thermal stability; Modern EV batteries</v>
      </c>
      <c r="X10" s="168" t="s">
        <v>192</v>
      </c>
      <c r="Y10" s="168" t="s">
        <v>193</v>
      </c>
      <c r="Z10" s="168" t="s">
        <v>194</v>
      </c>
      <c r="AA10" s="170"/>
      <c r="AB10" s="170"/>
      <c r="AC10" s="170"/>
      <c r="AE10" s="159" t="s">
        <v>219</v>
      </c>
      <c r="AI10" s="159" t="s">
        <v>197</v>
      </c>
      <c r="AL10" s="159" t="s">
        <v>198</v>
      </c>
      <c r="AN10" s="185" t="s">
        <v>220</v>
      </c>
      <c r="AO10" s="185" t="s">
        <v>221</v>
      </c>
      <c r="AP10" s="185" t="s">
        <v>222</v>
      </c>
      <c r="AQ10" s="185" t="s">
        <v>223</v>
      </c>
    </row>
    <row r="11" ht="14.5" spans="22:43">
      <c r="V11" s="168" t="str">
        <f t="shared" si="0"/>
        <v>Tra_EV_Batt-NMC 622</v>
      </c>
      <c r="W11" s="168" t="str">
        <f t="shared" si="1"/>
        <v>Nickel Manganese Cobalt (6:2:2); Improved energy density, cost efficiency; Long-range EVs</v>
      </c>
      <c r="X11" s="168" t="s">
        <v>192</v>
      </c>
      <c r="Y11" s="168" t="s">
        <v>193</v>
      </c>
      <c r="Z11" s="168" t="s">
        <v>194</v>
      </c>
      <c r="AE11" s="159" t="s">
        <v>224</v>
      </c>
      <c r="AI11" s="159" t="s">
        <v>197</v>
      </c>
      <c r="AL11" s="159" t="s">
        <v>198</v>
      </c>
      <c r="AN11" s="185" t="s">
        <v>225</v>
      </c>
      <c r="AO11" s="185" t="s">
        <v>226</v>
      </c>
      <c r="AP11" s="185" t="s">
        <v>227</v>
      </c>
      <c r="AQ11" s="185" t="s">
        <v>228</v>
      </c>
    </row>
    <row r="12" ht="14.5" spans="22:43">
      <c r="V12" s="168" t="str">
        <f t="shared" si="0"/>
        <v>Tra_EV_Batt-NMC 811</v>
      </c>
      <c r="W12" s="168" t="str">
        <f t="shared" si="1"/>
        <v>Nickel Manganese Cobalt (8:1:1); Highest energy density, reduced cobalt content, lower cost; Long-range EVs</v>
      </c>
      <c r="X12" s="168" t="s">
        <v>192</v>
      </c>
      <c r="Y12" s="168" t="s">
        <v>193</v>
      </c>
      <c r="Z12" s="168" t="s">
        <v>194</v>
      </c>
      <c r="AE12" s="159" t="s">
        <v>229</v>
      </c>
      <c r="AI12" s="159" t="s">
        <v>197</v>
      </c>
      <c r="AL12" s="159" t="s">
        <v>198</v>
      </c>
      <c r="AN12" s="185" t="s">
        <v>230</v>
      </c>
      <c r="AO12" s="185" t="s">
        <v>231</v>
      </c>
      <c r="AP12" s="185" t="s">
        <v>232</v>
      </c>
      <c r="AQ12" s="185" t="s">
        <v>228</v>
      </c>
    </row>
    <row r="13" ht="14.5" spans="21:38">
      <c r="U13" s="177" t="s">
        <v>233</v>
      </c>
      <c r="V13" s="178" t="s">
        <v>234</v>
      </c>
      <c r="W13" s="178"/>
      <c r="X13" s="178" t="s">
        <v>198</v>
      </c>
      <c r="Y13" s="178" t="s">
        <v>235</v>
      </c>
      <c r="Z13" s="178"/>
      <c r="AA13" s="178"/>
      <c r="AE13" s="159" t="s">
        <v>236</v>
      </c>
      <c r="AI13" s="159" t="s">
        <v>197</v>
      </c>
      <c r="AL13" s="159" t="s">
        <v>198</v>
      </c>
    </row>
    <row r="14" ht="14.5" spans="21:43">
      <c r="U14" s="178"/>
      <c r="V14" s="178" t="s">
        <v>237</v>
      </c>
      <c r="W14" s="178"/>
      <c r="X14" s="178" t="s">
        <v>198</v>
      </c>
      <c r="Y14" s="178" t="s">
        <v>235</v>
      </c>
      <c r="Z14" s="178"/>
      <c r="AA14" s="178"/>
      <c r="AE14" s="159" t="s">
        <v>238</v>
      </c>
      <c r="AI14" s="159" t="s">
        <v>197</v>
      </c>
      <c r="AL14" s="159" t="s">
        <v>198</v>
      </c>
      <c r="AN14"/>
      <c r="AO14"/>
      <c r="AP14"/>
      <c r="AQ14"/>
    </row>
    <row r="15" ht="14.5" spans="21:43">
      <c r="U15" s="178"/>
      <c r="V15" s="178" t="s">
        <v>239</v>
      </c>
      <c r="W15" s="178"/>
      <c r="X15" s="178" t="s">
        <v>198</v>
      </c>
      <c r="Y15" s="178" t="s">
        <v>235</v>
      </c>
      <c r="Z15" s="178"/>
      <c r="AA15" s="178"/>
      <c r="AE15" s="159" t="s">
        <v>240</v>
      </c>
      <c r="AI15" s="159" t="s">
        <v>197</v>
      </c>
      <c r="AL15" s="159" t="s">
        <v>198</v>
      </c>
      <c r="AN15"/>
      <c r="AO15"/>
      <c r="AP15"/>
      <c r="AQ15"/>
    </row>
    <row r="16" spans="21:38">
      <c r="U16" s="178"/>
      <c r="V16" s="178" t="s">
        <v>241</v>
      </c>
      <c r="W16" s="178"/>
      <c r="X16" s="178" t="s">
        <v>198</v>
      </c>
      <c r="Y16" s="178" t="s">
        <v>235</v>
      </c>
      <c r="Z16" s="178"/>
      <c r="AA16" s="178"/>
      <c r="AE16" s="159" t="s">
        <v>242</v>
      </c>
      <c r="AI16" s="159" t="s">
        <v>197</v>
      </c>
      <c r="AL16" s="159" t="s">
        <v>198</v>
      </c>
    </row>
    <row r="17" spans="21:38">
      <c r="U17" s="178"/>
      <c r="V17" s="178" t="s">
        <v>243</v>
      </c>
      <c r="W17" s="178"/>
      <c r="X17" s="178" t="s">
        <v>198</v>
      </c>
      <c r="Y17" s="178" t="s">
        <v>235</v>
      </c>
      <c r="Z17" s="178"/>
      <c r="AA17" s="178"/>
      <c r="AE17" s="159" t="s">
        <v>244</v>
      </c>
      <c r="AI17" s="159" t="s">
        <v>197</v>
      </c>
      <c r="AL17" s="159" t="s">
        <v>198</v>
      </c>
    </row>
    <row r="18" spans="21:38">
      <c r="U18" s="178"/>
      <c r="V18" s="178" t="s">
        <v>245</v>
      </c>
      <c r="W18" s="178"/>
      <c r="X18" s="178" t="s">
        <v>198</v>
      </c>
      <c r="Y18" s="178" t="s">
        <v>235</v>
      </c>
      <c r="Z18" s="178"/>
      <c r="AA18" s="178"/>
      <c r="AE18" s="159" t="s">
        <v>246</v>
      </c>
      <c r="AI18" s="159" t="s">
        <v>197</v>
      </c>
      <c r="AL18" s="159" t="s">
        <v>198</v>
      </c>
    </row>
    <row r="19" spans="21:38">
      <c r="U19" s="178"/>
      <c r="V19" s="178" t="s">
        <v>247</v>
      </c>
      <c r="W19" s="178"/>
      <c r="X19" s="178" t="s">
        <v>198</v>
      </c>
      <c r="Y19" s="178" t="s">
        <v>235</v>
      </c>
      <c r="Z19" s="178"/>
      <c r="AA19" s="178"/>
      <c r="AE19" s="159" t="str">
        <f>"rep_"&amp;MID(C22,8,32)</f>
        <v>rep_Batt-LFP</v>
      </c>
      <c r="AI19" s="159" t="s">
        <v>197</v>
      </c>
      <c r="AL19" s="159" t="s">
        <v>248</v>
      </c>
    </row>
    <row r="20" spans="1:38">
      <c r="A20" s="160"/>
      <c r="B20" s="160"/>
      <c r="C20" s="160" t="s">
        <v>249</v>
      </c>
      <c r="D20" s="160"/>
      <c r="E20" s="160"/>
      <c r="F20" s="160"/>
      <c r="G20" s="160"/>
      <c r="H20" s="160"/>
      <c r="I20" s="160"/>
      <c r="J20" s="160"/>
      <c r="K20" s="160"/>
      <c r="L20" s="160"/>
      <c r="M20" s="160"/>
      <c r="N20" s="160"/>
      <c r="O20" s="160"/>
      <c r="P20" s="160"/>
      <c r="Q20" s="160"/>
      <c r="R20" s="160"/>
      <c r="S20" s="160"/>
      <c r="U20" s="178"/>
      <c r="V20" s="178"/>
      <c r="W20" s="178"/>
      <c r="X20" s="178"/>
      <c r="Y20" s="178"/>
      <c r="Z20" s="178"/>
      <c r="AA20" s="178"/>
      <c r="AE20" s="159" t="str">
        <f t="shared" ref="AE20:AE25" si="2">"rep_"&amp;MID(C23,8,32)</f>
        <v>rep_Batt-LMO</v>
      </c>
      <c r="AI20" s="159" t="s">
        <v>197</v>
      </c>
      <c r="AL20" s="159" t="s">
        <v>248</v>
      </c>
    </row>
    <row r="21" ht="14.5" spans="1:38">
      <c r="A21" s="160" t="s">
        <v>250</v>
      </c>
      <c r="B21" s="161" t="s">
        <v>251</v>
      </c>
      <c r="C21" s="160" t="s">
        <v>252</v>
      </c>
      <c r="D21" s="160" t="s">
        <v>196</v>
      </c>
      <c r="E21" s="160" t="s">
        <v>199</v>
      </c>
      <c r="F21" s="160" t="s">
        <v>204</v>
      </c>
      <c r="G21" s="160" t="s">
        <v>209</v>
      </c>
      <c r="H21" s="160" t="s">
        <v>214</v>
      </c>
      <c r="I21" s="160" t="s">
        <v>219</v>
      </c>
      <c r="J21" s="160" t="s">
        <v>224</v>
      </c>
      <c r="K21" s="171" t="s">
        <v>253</v>
      </c>
      <c r="L21" s="161" t="s">
        <v>254</v>
      </c>
      <c r="M21" s="161" t="s">
        <v>76</v>
      </c>
      <c r="N21" s="160" t="s">
        <v>255</v>
      </c>
      <c r="O21" s="160" t="s">
        <v>256</v>
      </c>
      <c r="P21" s="161" t="s">
        <v>257</v>
      </c>
      <c r="Q21" s="161" t="s">
        <v>258</v>
      </c>
      <c r="R21" s="160" t="s">
        <v>259</v>
      </c>
      <c r="S21" s="160" t="s">
        <v>260</v>
      </c>
      <c r="U21" s="178"/>
      <c r="V21" s="178" t="s">
        <v>261</v>
      </c>
      <c r="W21" s="178"/>
      <c r="X21" s="178"/>
      <c r="Y21" s="178"/>
      <c r="Z21" s="178"/>
      <c r="AA21" s="178"/>
      <c r="AB21" s="157"/>
      <c r="AE21" s="159" t="str">
        <f t="shared" si="2"/>
        <v>rep_Batt-NCA</v>
      </c>
      <c r="AI21" s="159" t="s">
        <v>197</v>
      </c>
      <c r="AL21" s="159" t="s">
        <v>248</v>
      </c>
    </row>
    <row r="22" ht="14.5" spans="1:38">
      <c r="A22" s="162">
        <v>2020</v>
      </c>
      <c r="B22" s="163" t="s">
        <v>262</v>
      </c>
      <c r="C22" s="160" t="s">
        <v>263</v>
      </c>
      <c r="D22" s="160">
        <v>0.095</v>
      </c>
      <c r="E22" s="160">
        <v>0</v>
      </c>
      <c r="F22" s="160">
        <v>0</v>
      </c>
      <c r="G22" s="160">
        <v>0</v>
      </c>
      <c r="H22" s="160">
        <v>3.528</v>
      </c>
      <c r="I22" s="160">
        <v>0.946</v>
      </c>
      <c r="J22" s="160">
        <v>1.085</v>
      </c>
      <c r="K22" s="172">
        <v>12</v>
      </c>
      <c r="L22" s="160" t="s">
        <v>264</v>
      </c>
      <c r="M22" s="160" t="s">
        <v>265</v>
      </c>
      <c r="N22" s="160">
        <v>0.9</v>
      </c>
      <c r="O22" s="160">
        <v>1.314</v>
      </c>
      <c r="P22" s="173">
        <v>1</v>
      </c>
      <c r="Q22" s="160">
        <v>1</v>
      </c>
      <c r="R22" s="160">
        <v>1</v>
      </c>
      <c r="S22" s="172">
        <v>4000</v>
      </c>
      <c r="U22" s="178"/>
      <c r="V22" s="178" t="s">
        <v>252</v>
      </c>
      <c r="W22" s="178" t="s">
        <v>266</v>
      </c>
      <c r="X22" s="178" t="s">
        <v>267</v>
      </c>
      <c r="Y22" s="178" t="s">
        <v>181</v>
      </c>
      <c r="AA22" s="178"/>
      <c r="AB22" s="157"/>
      <c r="AE22" s="159" t="str">
        <f t="shared" si="2"/>
        <v>rep_Batt-NMC 111</v>
      </c>
      <c r="AI22" s="159" t="s">
        <v>197</v>
      </c>
      <c r="AL22" s="159" t="s">
        <v>248</v>
      </c>
    </row>
    <row r="23" ht="14.5" spans="1:38">
      <c r="A23" s="162">
        <v>2020</v>
      </c>
      <c r="B23" s="163" t="s">
        <v>262</v>
      </c>
      <c r="C23" s="160" t="s">
        <v>268</v>
      </c>
      <c r="D23" s="160">
        <v>0.106</v>
      </c>
      <c r="E23" s="160">
        <v>0</v>
      </c>
      <c r="F23" s="160">
        <v>0</v>
      </c>
      <c r="G23" s="160">
        <v>1.396</v>
      </c>
      <c r="H23" s="160">
        <v>3.369</v>
      </c>
      <c r="I23" s="160">
        <v>0.863</v>
      </c>
      <c r="J23" s="160">
        <v>0.911</v>
      </c>
      <c r="K23" s="172">
        <v>6</v>
      </c>
      <c r="L23" s="160" t="s">
        <v>264</v>
      </c>
      <c r="M23" s="160" t="s">
        <v>265</v>
      </c>
      <c r="N23" s="160">
        <v>0.9</v>
      </c>
      <c r="O23" s="160">
        <v>1.314</v>
      </c>
      <c r="P23" s="173">
        <v>1</v>
      </c>
      <c r="Q23" s="160">
        <v>1</v>
      </c>
      <c r="R23" s="160">
        <v>1</v>
      </c>
      <c r="S23" s="172">
        <v>800</v>
      </c>
      <c r="U23" s="178"/>
      <c r="V23" s="178" t="str">
        <f>V13</f>
        <v>MINBatMaterials_LI</v>
      </c>
      <c r="W23" s="178" t="str">
        <f t="shared" ref="W23:W29" si="3">AE5</f>
        <v>m_lithium</v>
      </c>
      <c r="X23" s="178">
        <v>12.85</v>
      </c>
      <c r="Y23" s="178" t="s">
        <v>269</v>
      </c>
      <c r="AB23" s="182"/>
      <c r="AE23" s="159" t="str">
        <f t="shared" si="2"/>
        <v>rep_Batt-NMC532</v>
      </c>
      <c r="AI23" s="159" t="s">
        <v>197</v>
      </c>
      <c r="AL23" s="159" t="s">
        <v>248</v>
      </c>
    </row>
    <row r="24" ht="14.5" spans="1:38">
      <c r="A24" s="162">
        <v>2020</v>
      </c>
      <c r="B24" s="163" t="s">
        <v>262</v>
      </c>
      <c r="C24" s="160" t="s">
        <v>270</v>
      </c>
      <c r="D24" s="160">
        <v>0.102</v>
      </c>
      <c r="E24" s="160">
        <v>0.672</v>
      </c>
      <c r="F24" s="160">
        <v>0.127</v>
      </c>
      <c r="G24" s="160">
        <v>0</v>
      </c>
      <c r="H24" s="160">
        <v>2.92</v>
      </c>
      <c r="I24" s="160">
        <v>0.564</v>
      </c>
      <c r="J24" s="160">
        <v>0.978</v>
      </c>
      <c r="K24" s="171">
        <v>9</v>
      </c>
      <c r="L24" s="160" t="s">
        <v>264</v>
      </c>
      <c r="M24" s="160" t="s">
        <v>265</v>
      </c>
      <c r="N24" s="160">
        <v>0.9</v>
      </c>
      <c r="O24" s="160">
        <v>1.314</v>
      </c>
      <c r="P24" s="173">
        <v>1</v>
      </c>
      <c r="Q24" s="160">
        <v>1</v>
      </c>
      <c r="R24" s="160">
        <v>1</v>
      </c>
      <c r="S24" s="172">
        <v>2000</v>
      </c>
      <c r="U24" s="178"/>
      <c r="V24" s="178" t="str">
        <f t="shared" ref="V24:V29" si="4">V14</f>
        <v>MINBatMaterials_NI</v>
      </c>
      <c r="W24" s="178" t="str">
        <f t="shared" si="3"/>
        <v>m_nickel</v>
      </c>
      <c r="X24" s="178">
        <v>20</v>
      </c>
      <c r="Y24" s="178" t="s">
        <v>269</v>
      </c>
      <c r="AB24" s="182"/>
      <c r="AE24" s="159" t="str">
        <f t="shared" si="2"/>
        <v>rep_Batt-NMC 622</v>
      </c>
      <c r="AI24" s="159" t="s">
        <v>197</v>
      </c>
      <c r="AL24" s="159" t="s">
        <v>248</v>
      </c>
    </row>
    <row r="25" ht="14.5" spans="1:38">
      <c r="A25" s="162">
        <v>2020</v>
      </c>
      <c r="B25" s="163" t="s">
        <v>262</v>
      </c>
      <c r="C25" s="160" t="s">
        <v>271</v>
      </c>
      <c r="D25" s="160">
        <v>0.141</v>
      </c>
      <c r="E25" s="160">
        <v>0.351</v>
      </c>
      <c r="F25" s="160">
        <v>0.352</v>
      </c>
      <c r="G25" s="160">
        <v>0.328</v>
      </c>
      <c r="H25" s="160">
        <v>3.11</v>
      </c>
      <c r="I25" s="160">
        <v>0.677</v>
      </c>
      <c r="J25" s="160">
        <v>0.978</v>
      </c>
      <c r="K25" s="171">
        <v>9</v>
      </c>
      <c r="L25" s="160" t="s">
        <v>264</v>
      </c>
      <c r="M25" s="160" t="s">
        <v>265</v>
      </c>
      <c r="N25" s="160">
        <v>0.9</v>
      </c>
      <c r="O25" s="160">
        <v>1.314</v>
      </c>
      <c r="P25" s="173">
        <v>1</v>
      </c>
      <c r="Q25" s="160">
        <v>1</v>
      </c>
      <c r="R25" s="160">
        <v>1</v>
      </c>
      <c r="S25" s="172">
        <v>2000</v>
      </c>
      <c r="U25" s="178"/>
      <c r="V25" s="178" t="str">
        <f t="shared" si="4"/>
        <v>MINBatMaterials_COB</v>
      </c>
      <c r="W25" s="178" t="str">
        <f t="shared" si="3"/>
        <v>m_cobalt</v>
      </c>
      <c r="X25" s="178">
        <v>29.3</v>
      </c>
      <c r="Y25" s="178" t="s">
        <v>269</v>
      </c>
      <c r="AB25" s="182"/>
      <c r="AE25" s="159" t="str">
        <f t="shared" si="2"/>
        <v>rep_Batt-NMC 811</v>
      </c>
      <c r="AI25" s="159" t="s">
        <v>197</v>
      </c>
      <c r="AL25" s="159" t="s">
        <v>248</v>
      </c>
    </row>
    <row r="26" ht="14.5" spans="1:28">
      <c r="A26" s="162">
        <v>2020</v>
      </c>
      <c r="B26" s="163" t="s">
        <v>262</v>
      </c>
      <c r="C26" s="160" t="s">
        <v>272</v>
      </c>
      <c r="D26" s="160">
        <v>0.136</v>
      </c>
      <c r="E26" s="160">
        <v>0.508</v>
      </c>
      <c r="F26" s="160">
        <v>0.204</v>
      </c>
      <c r="G26" s="160">
        <v>0.285</v>
      </c>
      <c r="H26" s="160">
        <v>3.07</v>
      </c>
      <c r="I26" s="160">
        <v>0.661</v>
      </c>
      <c r="J26" s="160">
        <v>0.981</v>
      </c>
      <c r="K26" s="171">
        <v>9</v>
      </c>
      <c r="L26" s="160" t="s">
        <v>264</v>
      </c>
      <c r="M26" s="160" t="s">
        <v>265</v>
      </c>
      <c r="N26" s="160">
        <v>0.9</v>
      </c>
      <c r="O26" s="160">
        <v>1.314</v>
      </c>
      <c r="P26" s="173">
        <v>1</v>
      </c>
      <c r="Q26" s="160">
        <v>1</v>
      </c>
      <c r="R26" s="160">
        <v>1</v>
      </c>
      <c r="S26" s="172">
        <v>2000</v>
      </c>
      <c r="U26" s="178"/>
      <c r="V26" s="178" t="str">
        <f t="shared" si="4"/>
        <v>MINBatMaterials_MN</v>
      </c>
      <c r="W26" s="178" t="str">
        <f t="shared" si="3"/>
        <v>m_manganese</v>
      </c>
      <c r="X26" s="179">
        <v>2</v>
      </c>
      <c r="Y26" s="178" t="s">
        <v>269</v>
      </c>
      <c r="AB26" s="183"/>
    </row>
    <row r="27" ht="14.5" spans="1:28">
      <c r="A27" s="162">
        <v>2020</v>
      </c>
      <c r="B27" s="163" t="s">
        <v>262</v>
      </c>
      <c r="C27" s="160" t="s">
        <v>273</v>
      </c>
      <c r="D27" s="160">
        <v>0.118</v>
      </c>
      <c r="E27" s="160">
        <v>0.531</v>
      </c>
      <c r="F27" s="160">
        <v>0.178</v>
      </c>
      <c r="G27" s="160">
        <v>0.166</v>
      </c>
      <c r="H27" s="160">
        <v>3.017</v>
      </c>
      <c r="I27" s="160">
        <v>0.605</v>
      </c>
      <c r="J27" s="160">
        <v>0.96</v>
      </c>
      <c r="K27" s="171">
        <v>9</v>
      </c>
      <c r="L27" s="160" t="s">
        <v>264</v>
      </c>
      <c r="M27" s="160" t="s">
        <v>265</v>
      </c>
      <c r="N27" s="160">
        <v>0.9</v>
      </c>
      <c r="O27" s="160">
        <v>1.314</v>
      </c>
      <c r="P27" s="173">
        <v>1</v>
      </c>
      <c r="Q27" s="160">
        <v>1</v>
      </c>
      <c r="R27" s="160">
        <v>1</v>
      </c>
      <c r="S27" s="172">
        <v>2000</v>
      </c>
      <c r="U27" s="178"/>
      <c r="V27" s="178" t="str">
        <f t="shared" si="4"/>
        <v>MINBatMaterials_AL</v>
      </c>
      <c r="W27" s="178" t="str">
        <f t="shared" si="3"/>
        <v>m_aluminum</v>
      </c>
      <c r="X27" s="178">
        <v>2.5</v>
      </c>
      <c r="Y27" s="178" t="s">
        <v>269</v>
      </c>
      <c r="AB27" s="183"/>
    </row>
    <row r="28" ht="14.5" spans="1:28">
      <c r="A28" s="162">
        <v>2020</v>
      </c>
      <c r="B28" s="163" t="s">
        <v>262</v>
      </c>
      <c r="C28" s="160" t="s">
        <v>274</v>
      </c>
      <c r="D28" s="160">
        <v>0.1</v>
      </c>
      <c r="E28" s="160">
        <v>0.6</v>
      </c>
      <c r="F28" s="160">
        <v>0.075</v>
      </c>
      <c r="G28" s="160">
        <v>0.07</v>
      </c>
      <c r="H28" s="160">
        <v>2.921</v>
      </c>
      <c r="I28" s="160">
        <v>0.549</v>
      </c>
      <c r="J28" s="160">
        <v>0.961</v>
      </c>
      <c r="K28" s="171">
        <v>9</v>
      </c>
      <c r="L28" s="160" t="s">
        <v>264</v>
      </c>
      <c r="M28" s="160" t="s">
        <v>265</v>
      </c>
      <c r="N28" s="160">
        <v>0.9</v>
      </c>
      <c r="O28" s="160">
        <v>1.314</v>
      </c>
      <c r="P28" s="173">
        <v>1</v>
      </c>
      <c r="Q28" s="160">
        <v>1</v>
      </c>
      <c r="R28" s="160">
        <v>1</v>
      </c>
      <c r="S28" s="172">
        <v>2000</v>
      </c>
      <c r="U28" s="178"/>
      <c r="V28" s="178" t="str">
        <f t="shared" si="4"/>
        <v>MINBatMaterials_COP</v>
      </c>
      <c r="W28" s="178" t="str">
        <f t="shared" si="3"/>
        <v>m_copper</v>
      </c>
      <c r="X28" s="178">
        <v>8</v>
      </c>
      <c r="Y28" s="178" t="s">
        <v>269</v>
      </c>
      <c r="AB28" s="182"/>
    </row>
    <row r="29" spans="11:28">
      <c r="K29" s="157"/>
      <c r="U29" s="178"/>
      <c r="V29" s="178" t="str">
        <f t="shared" si="4"/>
        <v>MINBatMaterials_GR</v>
      </c>
      <c r="W29" s="178" t="str">
        <f t="shared" si="3"/>
        <v>m_graphite</v>
      </c>
      <c r="X29" s="178">
        <v>1</v>
      </c>
      <c r="Y29" s="178" t="s">
        <v>269</v>
      </c>
      <c r="AB29" s="182"/>
    </row>
    <row r="30" spans="11:28">
      <c r="K30" s="157"/>
      <c r="AB30" s="157"/>
    </row>
    <row r="31" spans="11:28">
      <c r="K31" s="157"/>
      <c r="AB31" s="157"/>
    </row>
    <row r="32" ht="14.5" spans="28:34">
      <c r="AB32" s="157"/>
      <c r="AD32" s="168" t="s">
        <v>72</v>
      </c>
      <c r="AE32" s="168"/>
      <c r="AF32" s="168"/>
      <c r="AG32" s="168"/>
      <c r="AH32" s="168"/>
    </row>
    <row r="33" ht="14.5" spans="22:34">
      <c r="V33" s="180" t="s">
        <v>252</v>
      </c>
      <c r="W33" s="180" t="s">
        <v>254</v>
      </c>
      <c r="X33" s="180" t="s">
        <v>76</v>
      </c>
      <c r="Y33" s="180" t="s">
        <v>73</v>
      </c>
      <c r="AB33" s="157"/>
      <c r="AD33" s="168" t="s">
        <v>78</v>
      </c>
      <c r="AE33" s="168" t="s">
        <v>79</v>
      </c>
      <c r="AF33" s="168" t="s">
        <v>80</v>
      </c>
      <c r="AG33" s="168" t="s">
        <v>81</v>
      </c>
      <c r="AH33" s="168" t="s">
        <v>82</v>
      </c>
    </row>
    <row r="34" spans="14:34">
      <c r="N34" s="174" t="s">
        <v>275</v>
      </c>
      <c r="O34" s="174">
        <v>0.6</v>
      </c>
      <c r="V34" s="180" t="str">
        <f t="shared" ref="V34:V39" si="5">"Tra_bat_recy_"&amp;N34</f>
        <v>Tra_bat_recy_lithium</v>
      </c>
      <c r="W34" s="180" t="s">
        <v>229</v>
      </c>
      <c r="X34" s="180" t="s">
        <v>196</v>
      </c>
      <c r="Y34" s="180">
        <f t="shared" ref="Y34:Y39" si="6">O34</f>
        <v>0.6</v>
      </c>
      <c r="AD34" s="159" t="s">
        <v>276</v>
      </c>
      <c r="AE34" s="159" t="str">
        <f t="shared" ref="AE34:AE39" si="7">V34</f>
        <v>Tra_bat_recy_lithium</v>
      </c>
      <c r="AG34" s="159" t="s">
        <v>198</v>
      </c>
      <c r="AH34" s="159" t="s">
        <v>235</v>
      </c>
    </row>
    <row r="35" spans="14:34">
      <c r="N35" s="174" t="s">
        <v>277</v>
      </c>
      <c r="O35" s="174">
        <v>0.56</v>
      </c>
      <c r="V35" s="180" t="str">
        <f t="shared" si="5"/>
        <v>Tra_bat_recy_nickel</v>
      </c>
      <c r="W35" s="180" t="s">
        <v>236</v>
      </c>
      <c r="X35" s="180" t="s">
        <v>199</v>
      </c>
      <c r="Y35" s="180">
        <f t="shared" si="6"/>
        <v>0.56</v>
      </c>
      <c r="AE35" s="159" t="str">
        <f t="shared" si="7"/>
        <v>Tra_bat_recy_nickel</v>
      </c>
      <c r="AG35" s="159" t="s">
        <v>198</v>
      </c>
      <c r="AH35" s="159" t="s">
        <v>235</v>
      </c>
    </row>
    <row r="36" spans="14:34">
      <c r="N36" s="174" t="s">
        <v>278</v>
      </c>
      <c r="O36" s="174">
        <v>0.65</v>
      </c>
      <c r="V36" s="180" t="str">
        <f t="shared" si="5"/>
        <v>Tra_bat_recy_cobalt</v>
      </c>
      <c r="W36" s="180" t="s">
        <v>238</v>
      </c>
      <c r="X36" s="180" t="s">
        <v>204</v>
      </c>
      <c r="Y36" s="180">
        <f t="shared" si="6"/>
        <v>0.65</v>
      </c>
      <c r="AE36" s="159" t="str">
        <f t="shared" si="7"/>
        <v>Tra_bat_recy_cobalt</v>
      </c>
      <c r="AG36" s="159" t="s">
        <v>198</v>
      </c>
      <c r="AH36" s="159" t="s">
        <v>235</v>
      </c>
    </row>
    <row r="37" ht="14.5" spans="2:34">
      <c r="B37" s="157"/>
      <c r="C37" s="157"/>
      <c r="D37" s="164">
        <v>1</v>
      </c>
      <c r="G37" s="159" t="s">
        <v>279</v>
      </c>
      <c r="H37" s="159" t="s">
        <v>280</v>
      </c>
      <c r="I37" s="159" t="s">
        <v>281</v>
      </c>
      <c r="J37" s="159" t="s">
        <v>282</v>
      </c>
      <c r="K37" s="159" t="s">
        <v>283</v>
      </c>
      <c r="L37" s="159" t="s">
        <v>284</v>
      </c>
      <c r="M37" s="159" t="s">
        <v>285</v>
      </c>
      <c r="N37" s="174" t="s">
        <v>286</v>
      </c>
      <c r="O37" s="174">
        <v>0.61</v>
      </c>
      <c r="V37" s="180" t="str">
        <f t="shared" si="5"/>
        <v>Tra_bat_recy_manganese</v>
      </c>
      <c r="W37" s="180" t="s">
        <v>240</v>
      </c>
      <c r="X37" s="180" t="s">
        <v>209</v>
      </c>
      <c r="Y37" s="180">
        <f t="shared" si="6"/>
        <v>0.61</v>
      </c>
      <c r="AE37" s="159" t="str">
        <f t="shared" si="7"/>
        <v>Tra_bat_recy_manganese</v>
      </c>
      <c r="AG37" s="159" t="s">
        <v>198</v>
      </c>
      <c r="AH37" s="159" t="s">
        <v>235</v>
      </c>
    </row>
    <row r="38" spans="2:34">
      <c r="B38" s="157"/>
      <c r="C38" s="157"/>
      <c r="F38" s="159" t="s">
        <v>200</v>
      </c>
      <c r="G38" s="159">
        <v>0.095</v>
      </c>
      <c r="H38" s="159">
        <v>0</v>
      </c>
      <c r="I38" s="159">
        <v>0</v>
      </c>
      <c r="J38" s="159">
        <v>0</v>
      </c>
      <c r="K38" s="159">
        <v>3.528</v>
      </c>
      <c r="L38" s="159">
        <v>0.946</v>
      </c>
      <c r="M38" s="159">
        <v>1.085</v>
      </c>
      <c r="N38" s="174" t="s">
        <v>287</v>
      </c>
      <c r="O38" s="174">
        <v>0.52</v>
      </c>
      <c r="V38" s="180" t="str">
        <f t="shared" si="5"/>
        <v>Tra_bat_recy_aluminum</v>
      </c>
      <c r="W38" s="180" t="s">
        <v>242</v>
      </c>
      <c r="X38" s="180" t="s">
        <v>214</v>
      </c>
      <c r="Y38" s="180">
        <f t="shared" si="6"/>
        <v>0.52</v>
      </c>
      <c r="AE38" s="159" t="str">
        <f t="shared" si="7"/>
        <v>Tra_bat_recy_aluminum</v>
      </c>
      <c r="AG38" s="159" t="s">
        <v>198</v>
      </c>
      <c r="AH38" s="159" t="s">
        <v>235</v>
      </c>
    </row>
    <row r="39" spans="6:34">
      <c r="F39" s="159" t="s">
        <v>205</v>
      </c>
      <c r="G39" s="159">
        <v>0.106</v>
      </c>
      <c r="H39" s="159">
        <v>0</v>
      </c>
      <c r="I39" s="159">
        <v>0</v>
      </c>
      <c r="J39" s="159">
        <v>1.396</v>
      </c>
      <c r="K39" s="159">
        <v>3.369</v>
      </c>
      <c r="L39" s="159">
        <v>0.863</v>
      </c>
      <c r="M39" s="159">
        <v>0.911</v>
      </c>
      <c r="N39" s="174" t="s">
        <v>288</v>
      </c>
      <c r="O39" s="174">
        <v>0.55</v>
      </c>
      <c r="V39" s="180" t="str">
        <f t="shared" si="5"/>
        <v>Tra_bat_recy_copper</v>
      </c>
      <c r="W39" s="180" t="s">
        <v>244</v>
      </c>
      <c r="X39" s="180" t="s">
        <v>219</v>
      </c>
      <c r="Y39" s="180">
        <f t="shared" si="6"/>
        <v>0.55</v>
      </c>
      <c r="AE39" s="159" t="str">
        <f t="shared" si="7"/>
        <v>Tra_bat_recy_copper</v>
      </c>
      <c r="AG39" s="159" t="s">
        <v>198</v>
      </c>
      <c r="AH39" s="159" t="s">
        <v>235</v>
      </c>
    </row>
    <row r="40" spans="6:13">
      <c r="F40" s="159" t="s">
        <v>210</v>
      </c>
      <c r="G40" s="159">
        <v>0.102</v>
      </c>
      <c r="H40" s="159">
        <v>0.672</v>
      </c>
      <c r="I40" s="159">
        <v>0.127</v>
      </c>
      <c r="J40" s="159">
        <v>0</v>
      </c>
      <c r="K40" s="159">
        <v>2.92</v>
      </c>
      <c r="L40" s="159">
        <v>0.564</v>
      </c>
      <c r="M40" s="159">
        <v>0.978</v>
      </c>
    </row>
    <row r="41" spans="6:13">
      <c r="F41" s="159" t="s">
        <v>289</v>
      </c>
      <c r="G41" s="159">
        <v>0.141</v>
      </c>
      <c r="H41" s="159">
        <v>0.351</v>
      </c>
      <c r="I41" s="159">
        <v>0.352</v>
      </c>
      <c r="J41" s="159">
        <v>0.328</v>
      </c>
      <c r="K41" s="159">
        <v>3.11</v>
      </c>
      <c r="L41" s="159">
        <v>0.677</v>
      </c>
      <c r="M41" s="159">
        <v>0.978</v>
      </c>
    </row>
    <row r="42" spans="6:13">
      <c r="F42" s="159" t="s">
        <v>290</v>
      </c>
      <c r="G42" s="159">
        <v>0.136</v>
      </c>
      <c r="H42" s="159">
        <v>0.508</v>
      </c>
      <c r="I42" s="159">
        <v>0.204</v>
      </c>
      <c r="J42" s="159">
        <v>0.285</v>
      </c>
      <c r="K42" s="159">
        <v>3.07</v>
      </c>
      <c r="L42" s="159">
        <v>0.661</v>
      </c>
      <c r="M42" s="159">
        <v>0.981</v>
      </c>
    </row>
    <row r="43" spans="6:13">
      <c r="F43" s="159" t="s">
        <v>291</v>
      </c>
      <c r="G43" s="159">
        <v>0.118</v>
      </c>
      <c r="H43" s="159">
        <v>0.531</v>
      </c>
      <c r="I43" s="159">
        <v>0.178</v>
      </c>
      <c r="J43" s="159">
        <v>0.166</v>
      </c>
      <c r="K43" s="159">
        <v>3.017</v>
      </c>
      <c r="L43" s="159">
        <v>0.605</v>
      </c>
      <c r="M43" s="159">
        <v>0.96</v>
      </c>
    </row>
    <row r="44" spans="6:13">
      <c r="F44" s="159" t="s">
        <v>292</v>
      </c>
      <c r="G44" s="159">
        <v>0.1</v>
      </c>
      <c r="H44" s="159">
        <v>0.6</v>
      </c>
      <c r="I44" s="159">
        <v>0.075</v>
      </c>
      <c r="J44" s="159">
        <v>0.07</v>
      </c>
      <c r="K44" s="159">
        <v>2.921</v>
      </c>
      <c r="L44" s="159">
        <v>0.549</v>
      </c>
      <c r="M44" s="159">
        <v>0.961</v>
      </c>
    </row>
    <row r="59" ht="14.5" spans="2:28">
      <c r="B59" s="157"/>
      <c r="C59" s="157" t="s">
        <v>249</v>
      </c>
      <c r="D59" s="157"/>
      <c r="E59" s="157"/>
      <c r="F59" s="157"/>
      <c r="G59" s="157"/>
      <c r="H59" s="157"/>
      <c r="I59" s="157"/>
      <c r="J59" s="157"/>
      <c r="W59" s="168" t="s">
        <v>72</v>
      </c>
      <c r="X59" s="168"/>
      <c r="Y59" s="168"/>
      <c r="Z59" s="168"/>
      <c r="AA59" s="168"/>
      <c r="AB59" s="168"/>
    </row>
    <row r="60" ht="14.5" spans="1:28">
      <c r="A60" s="159" t="s">
        <v>250</v>
      </c>
      <c r="B60" s="165" t="s">
        <v>251</v>
      </c>
      <c r="C60" s="157" t="s">
        <v>252</v>
      </c>
      <c r="D60" s="157" t="s">
        <v>293</v>
      </c>
      <c r="E60" s="157" t="s">
        <v>294</v>
      </c>
      <c r="F60" s="157" t="s">
        <v>295</v>
      </c>
      <c r="G60" s="157" t="s">
        <v>296</v>
      </c>
      <c r="H60" s="157" t="s">
        <v>297</v>
      </c>
      <c r="I60" s="157" t="s">
        <v>298</v>
      </c>
      <c r="J60" s="157" t="s">
        <v>299</v>
      </c>
      <c r="K60" s="175" t="s">
        <v>253</v>
      </c>
      <c r="L60" s="168" t="s">
        <v>254</v>
      </c>
      <c r="M60" s="168" t="s">
        <v>76</v>
      </c>
      <c r="N60" s="159" t="s">
        <v>255</v>
      </c>
      <c r="O60" s="159" t="s">
        <v>256</v>
      </c>
      <c r="P60" s="168" t="s">
        <v>257</v>
      </c>
      <c r="Q60" s="168" t="s">
        <v>258</v>
      </c>
      <c r="R60" s="159" t="s">
        <v>259</v>
      </c>
      <c r="S60" s="159" t="s">
        <v>260</v>
      </c>
      <c r="T60" s="159" t="s">
        <v>300</v>
      </c>
      <c r="U60" s="159" t="s">
        <v>301</v>
      </c>
      <c r="W60" s="168" t="s">
        <v>78</v>
      </c>
      <c r="X60" s="168" t="s">
        <v>79</v>
      </c>
      <c r="Y60" s="168" t="s">
        <v>80</v>
      </c>
      <c r="Z60" s="168" t="s">
        <v>81</v>
      </c>
      <c r="AA60" s="168" t="s">
        <v>82</v>
      </c>
      <c r="AB60" s="168" t="s">
        <v>173</v>
      </c>
    </row>
    <row r="61" ht="14.5" spans="1:28">
      <c r="A61" s="166">
        <v>2020</v>
      </c>
      <c r="B61" s="167" t="s">
        <v>262</v>
      </c>
      <c r="C61" s="157" t="s">
        <v>302</v>
      </c>
      <c r="D61" s="159">
        <v>1</v>
      </c>
      <c r="E61" s="159">
        <v>0</v>
      </c>
      <c r="F61" s="159">
        <v>0</v>
      </c>
      <c r="G61" s="159">
        <v>0</v>
      </c>
      <c r="H61" s="159">
        <v>0</v>
      </c>
      <c r="I61" s="159">
        <v>0</v>
      </c>
      <c r="J61" s="159">
        <v>0</v>
      </c>
      <c r="K61" s="175">
        <f t="shared" ref="K61:K67" si="8">ROUND(K22*80%,0)</f>
        <v>10</v>
      </c>
      <c r="L61" s="159" t="s">
        <v>303</v>
      </c>
      <c r="M61" s="159" t="s">
        <v>303</v>
      </c>
      <c r="N61" s="159">
        <v>0.9</v>
      </c>
      <c r="O61" s="159">
        <v>1.314</v>
      </c>
      <c r="P61" s="176">
        <v>1</v>
      </c>
      <c r="Q61" s="159">
        <v>1</v>
      </c>
      <c r="R61" s="159">
        <v>1</v>
      </c>
      <c r="S61" s="159">
        <v>2000</v>
      </c>
      <c r="T61" s="159">
        <v>1</v>
      </c>
      <c r="U61" s="159" t="str">
        <f>C22</f>
        <v>Tra_EV_Batt-LFP</v>
      </c>
      <c r="W61" s="168" t="s">
        <v>189</v>
      </c>
      <c r="X61" s="168" t="str">
        <f>C61</f>
        <v>Util_Rep_Batt-LFP</v>
      </c>
      <c r="Y61" s="168" t="str">
        <f>"Repurposed: "&amp;W6</f>
        <v>Repurposed: Lithium Iron Phosphate; High safety, long cycle life, lower energy density; EVs, energy storage systems</v>
      </c>
      <c r="Z61" s="168" t="s">
        <v>192</v>
      </c>
      <c r="AA61" s="168" t="s">
        <v>193</v>
      </c>
      <c r="AB61" s="168" t="s">
        <v>194</v>
      </c>
    </row>
    <row r="62" ht="14.5" spans="1:28">
      <c r="A62" s="166">
        <v>2020</v>
      </c>
      <c r="B62" s="167" t="s">
        <v>262</v>
      </c>
      <c r="C62" s="157" t="s">
        <v>304</v>
      </c>
      <c r="D62" s="159">
        <v>0</v>
      </c>
      <c r="E62" s="159">
        <v>1</v>
      </c>
      <c r="F62" s="159">
        <v>0</v>
      </c>
      <c r="G62" s="159">
        <v>0</v>
      </c>
      <c r="H62" s="159">
        <v>0</v>
      </c>
      <c r="I62" s="159">
        <v>0</v>
      </c>
      <c r="J62" s="159">
        <v>0</v>
      </c>
      <c r="K62" s="175">
        <f t="shared" si="8"/>
        <v>5</v>
      </c>
      <c r="L62" s="159" t="s">
        <v>303</v>
      </c>
      <c r="M62" s="159" t="s">
        <v>303</v>
      </c>
      <c r="N62" s="159">
        <v>0.9</v>
      </c>
      <c r="O62" s="159">
        <v>1.314</v>
      </c>
      <c r="P62" s="176">
        <v>1</v>
      </c>
      <c r="Q62" s="159">
        <v>1</v>
      </c>
      <c r="R62" s="159">
        <v>1</v>
      </c>
      <c r="S62" s="175">
        <v>500</v>
      </c>
      <c r="T62" s="159">
        <v>1</v>
      </c>
      <c r="U62" s="159" t="str">
        <f t="shared" ref="U62:U67" si="9">C23</f>
        <v>Tra_EV_Batt-LMO</v>
      </c>
      <c r="X62" s="168" t="str">
        <f t="shared" ref="X62:X67" si="10">C62</f>
        <v>Util_Rep_Batt-LMO</v>
      </c>
      <c r="Y62" s="168" t="str">
        <f t="shared" ref="Y62:Y67" si="11">"Repurposed: "&amp;W7</f>
        <v>Repurposed: Lithium Manganese Oxide; Good thermal stability, fast charging, moderate energy density; Power tools, medical devices, hybrid EVs</v>
      </c>
      <c r="Z62" s="168" t="s">
        <v>192</v>
      </c>
      <c r="AA62" s="168" t="s">
        <v>193</v>
      </c>
      <c r="AB62" s="168" t="s">
        <v>194</v>
      </c>
    </row>
    <row r="63" ht="14.5" spans="1:28">
      <c r="A63" s="166">
        <v>2020</v>
      </c>
      <c r="B63" s="167" t="s">
        <v>262</v>
      </c>
      <c r="C63" s="157" t="s">
        <v>305</v>
      </c>
      <c r="D63" s="159">
        <v>0</v>
      </c>
      <c r="E63" s="159">
        <v>0</v>
      </c>
      <c r="F63" s="159">
        <v>1</v>
      </c>
      <c r="G63" s="159">
        <v>0</v>
      </c>
      <c r="H63" s="159">
        <v>0</v>
      </c>
      <c r="I63" s="159">
        <v>0</v>
      </c>
      <c r="J63" s="159">
        <v>0</v>
      </c>
      <c r="K63" s="175">
        <f t="shared" si="8"/>
        <v>7</v>
      </c>
      <c r="L63" s="159" t="s">
        <v>303</v>
      </c>
      <c r="M63" s="159" t="s">
        <v>303</v>
      </c>
      <c r="N63" s="159">
        <v>0.9</v>
      </c>
      <c r="O63" s="159">
        <v>1.314</v>
      </c>
      <c r="P63" s="176">
        <v>1</v>
      </c>
      <c r="Q63" s="159">
        <v>1</v>
      </c>
      <c r="R63" s="159">
        <v>1</v>
      </c>
      <c r="S63" s="159">
        <v>1000</v>
      </c>
      <c r="T63" s="159">
        <v>1</v>
      </c>
      <c r="U63" s="159" t="str">
        <f t="shared" si="9"/>
        <v>Tra_EV_Batt-NCA</v>
      </c>
      <c r="W63" s="168"/>
      <c r="X63" s="168" t="str">
        <f t="shared" si="10"/>
        <v>Util_Rep_Batt-NCA</v>
      </c>
      <c r="Y63" s="168" t="str">
        <f t="shared" si="11"/>
        <v>Repurposed: Nickel Cobalt Aluminum Oxide; High energy density, long cycle life, higher cost; Premium EVs, energy storage</v>
      </c>
      <c r="Z63" s="168" t="s">
        <v>192</v>
      </c>
      <c r="AA63" s="168" t="s">
        <v>193</v>
      </c>
      <c r="AB63" s="168" t="s">
        <v>194</v>
      </c>
    </row>
    <row r="64" ht="14.5" spans="1:28">
      <c r="A64" s="166">
        <v>2020</v>
      </c>
      <c r="B64" s="167" t="s">
        <v>262</v>
      </c>
      <c r="C64" s="157" t="s">
        <v>306</v>
      </c>
      <c r="D64" s="159">
        <v>0</v>
      </c>
      <c r="E64" s="159">
        <v>0</v>
      </c>
      <c r="F64" s="159">
        <v>0</v>
      </c>
      <c r="G64" s="159">
        <v>1</v>
      </c>
      <c r="H64" s="159">
        <v>0</v>
      </c>
      <c r="I64" s="159">
        <v>0</v>
      </c>
      <c r="J64" s="159">
        <v>0</v>
      </c>
      <c r="K64" s="175">
        <f t="shared" si="8"/>
        <v>7</v>
      </c>
      <c r="L64" s="159" t="s">
        <v>303</v>
      </c>
      <c r="M64" s="159" t="s">
        <v>303</v>
      </c>
      <c r="N64" s="159">
        <v>0.9</v>
      </c>
      <c r="O64" s="159">
        <v>1.314</v>
      </c>
      <c r="P64" s="176">
        <v>1</v>
      </c>
      <c r="Q64" s="159">
        <v>1</v>
      </c>
      <c r="R64" s="159">
        <v>1</v>
      </c>
      <c r="S64" s="159">
        <v>1000</v>
      </c>
      <c r="T64" s="159">
        <v>1</v>
      </c>
      <c r="U64" s="159" t="str">
        <f t="shared" si="9"/>
        <v>Tra_EV_Batt-NMC 111</v>
      </c>
      <c r="W64" s="170"/>
      <c r="X64" s="168" t="str">
        <f t="shared" si="10"/>
        <v>Util_Rep_Batt-NMC 111</v>
      </c>
      <c r="Y64" s="168" t="str">
        <f t="shared" si="11"/>
        <v>Repurposed: Nickel Manganese Cobalt (1:1:1); Balanced energy density, safety, and cost; Consumer electronics, EVs</v>
      </c>
      <c r="Z64" s="168" t="s">
        <v>192</v>
      </c>
      <c r="AA64" s="168" t="s">
        <v>193</v>
      </c>
      <c r="AB64" s="168" t="s">
        <v>194</v>
      </c>
    </row>
    <row r="65" ht="14.5" spans="1:28">
      <c r="A65" s="166">
        <v>2020</v>
      </c>
      <c r="B65" s="167" t="s">
        <v>262</v>
      </c>
      <c r="C65" s="157" t="s">
        <v>307</v>
      </c>
      <c r="D65" s="159">
        <v>0</v>
      </c>
      <c r="E65" s="159">
        <v>0</v>
      </c>
      <c r="F65" s="159">
        <v>0</v>
      </c>
      <c r="G65" s="159">
        <v>0</v>
      </c>
      <c r="H65" s="159">
        <v>1</v>
      </c>
      <c r="I65" s="159">
        <v>0</v>
      </c>
      <c r="J65" s="159">
        <v>0</v>
      </c>
      <c r="K65" s="175">
        <f t="shared" si="8"/>
        <v>7</v>
      </c>
      <c r="L65" s="159" t="s">
        <v>303</v>
      </c>
      <c r="M65" s="159" t="s">
        <v>303</v>
      </c>
      <c r="N65" s="159">
        <v>0.9</v>
      </c>
      <c r="O65" s="159">
        <v>1.314</v>
      </c>
      <c r="P65" s="176">
        <v>1</v>
      </c>
      <c r="Q65" s="159">
        <v>1</v>
      </c>
      <c r="R65" s="159">
        <v>1</v>
      </c>
      <c r="S65" s="159">
        <v>1000</v>
      </c>
      <c r="T65" s="159">
        <v>1</v>
      </c>
      <c r="U65" s="159" t="str">
        <f t="shared" si="9"/>
        <v>Tra_EV_Batt-NMC532</v>
      </c>
      <c r="W65" s="170"/>
      <c r="X65" s="168" t="str">
        <f t="shared" si="10"/>
        <v>Util_Rep_Batt-NMC532</v>
      </c>
      <c r="Y65" s="168" t="str">
        <f t="shared" si="11"/>
        <v>Repurposed: Nickel Manganese Cobalt (5:3:2); Higher energy density, better thermal stability; Modern EV batteries</v>
      </c>
      <c r="Z65" s="168" t="s">
        <v>192</v>
      </c>
      <c r="AA65" s="168" t="s">
        <v>193</v>
      </c>
      <c r="AB65" s="168" t="s">
        <v>194</v>
      </c>
    </row>
    <row r="66" ht="14.5" spans="1:28">
      <c r="A66" s="166">
        <v>2020</v>
      </c>
      <c r="B66" s="167" t="s">
        <v>262</v>
      </c>
      <c r="C66" s="157" t="s">
        <v>308</v>
      </c>
      <c r="D66" s="159">
        <v>0</v>
      </c>
      <c r="E66" s="159">
        <v>0</v>
      </c>
      <c r="F66" s="159">
        <v>0</v>
      </c>
      <c r="G66" s="159">
        <v>0</v>
      </c>
      <c r="H66" s="159">
        <v>0</v>
      </c>
      <c r="I66" s="159">
        <v>1</v>
      </c>
      <c r="J66" s="159">
        <v>0</v>
      </c>
      <c r="K66" s="175">
        <f t="shared" si="8"/>
        <v>7</v>
      </c>
      <c r="L66" s="159" t="s">
        <v>303</v>
      </c>
      <c r="M66" s="159" t="s">
        <v>303</v>
      </c>
      <c r="N66" s="159">
        <v>0.9</v>
      </c>
      <c r="O66" s="159">
        <v>1.314</v>
      </c>
      <c r="P66" s="176">
        <v>1</v>
      </c>
      <c r="Q66" s="159">
        <v>1</v>
      </c>
      <c r="R66" s="159">
        <v>1</v>
      </c>
      <c r="S66" s="159">
        <v>1000</v>
      </c>
      <c r="T66" s="159">
        <v>1</v>
      </c>
      <c r="U66" s="159" t="str">
        <f t="shared" si="9"/>
        <v>Tra_EV_Batt-NMC 622</v>
      </c>
      <c r="W66" s="170"/>
      <c r="X66" s="168" t="str">
        <f t="shared" si="10"/>
        <v>Util_Rep_Batt-NMC 622</v>
      </c>
      <c r="Y66" s="168" t="str">
        <f t="shared" si="11"/>
        <v>Repurposed: Nickel Manganese Cobalt (6:2:2); Improved energy density, cost efficiency; Long-range EVs</v>
      </c>
      <c r="Z66" s="168" t="s">
        <v>192</v>
      </c>
      <c r="AA66" s="168" t="s">
        <v>193</v>
      </c>
      <c r="AB66" s="168" t="s">
        <v>194</v>
      </c>
    </row>
    <row r="67" ht="14.5" spans="1:28">
      <c r="A67" s="166">
        <v>2020</v>
      </c>
      <c r="B67" s="167" t="s">
        <v>262</v>
      </c>
      <c r="C67" s="157" t="s">
        <v>309</v>
      </c>
      <c r="D67" s="159">
        <v>0</v>
      </c>
      <c r="E67" s="159">
        <v>0</v>
      </c>
      <c r="F67" s="159">
        <v>0</v>
      </c>
      <c r="G67" s="159">
        <v>0</v>
      </c>
      <c r="H67" s="159">
        <v>0</v>
      </c>
      <c r="I67" s="159">
        <v>0</v>
      </c>
      <c r="J67" s="159">
        <v>1</v>
      </c>
      <c r="K67" s="175">
        <f t="shared" si="8"/>
        <v>7</v>
      </c>
      <c r="L67" s="159" t="s">
        <v>303</v>
      </c>
      <c r="M67" s="159" t="s">
        <v>303</v>
      </c>
      <c r="N67" s="159">
        <v>0.9</v>
      </c>
      <c r="O67" s="159">
        <v>1.314</v>
      </c>
      <c r="P67" s="176">
        <v>1</v>
      </c>
      <c r="Q67" s="159">
        <v>1</v>
      </c>
      <c r="R67" s="159">
        <v>1</v>
      </c>
      <c r="S67" s="159">
        <v>1000</v>
      </c>
      <c r="T67" s="159">
        <v>1</v>
      </c>
      <c r="U67" s="159" t="str">
        <f t="shared" si="9"/>
        <v>Tra_EV_Batt-NMC 811</v>
      </c>
      <c r="X67" s="168" t="str">
        <f t="shared" si="10"/>
        <v>Util_Rep_Batt-NMC 811</v>
      </c>
      <c r="Y67" s="168" t="str">
        <f t="shared" si="11"/>
        <v>Repurposed: Nickel Manganese Cobalt (8:1:1); Highest energy density, reduced cobalt content, lower cost; Long-range EVs</v>
      </c>
      <c r="Z67" s="168" t="s">
        <v>192</v>
      </c>
      <c r="AA67" s="168" t="s">
        <v>193</v>
      </c>
      <c r="AB67" s="168" t="s">
        <v>194</v>
      </c>
    </row>
    <row r="68" ht="14.5" spans="24:28">
      <c r="X68" s="168"/>
      <c r="Y68" s="168"/>
      <c r="Z68" s="168"/>
      <c r="AA68" s="168"/>
      <c r="AB68" s="168"/>
    </row>
    <row r="71" spans="3:3">
      <c r="C71" s="159" t="s">
        <v>310</v>
      </c>
    </row>
    <row r="72" spans="3:10">
      <c r="C72" s="159" t="s">
        <v>252</v>
      </c>
      <c r="D72" s="186" t="s">
        <v>311</v>
      </c>
      <c r="E72" s="186" t="s">
        <v>312</v>
      </c>
      <c r="F72" s="186" t="s">
        <v>313</v>
      </c>
      <c r="G72" s="186" t="s">
        <v>314</v>
      </c>
      <c r="H72" s="186" t="s">
        <v>315</v>
      </c>
      <c r="I72" s="186" t="s">
        <v>316</v>
      </c>
      <c r="J72" s="186" t="s">
        <v>317</v>
      </c>
    </row>
    <row r="73" spans="3:18">
      <c r="C73" s="159" t="str">
        <f>C61</f>
        <v>Util_Rep_Batt-LFP</v>
      </c>
      <c r="D73" s="159">
        <v>1</v>
      </c>
      <c r="E73" s="159">
        <v>0</v>
      </c>
      <c r="F73" s="159">
        <v>0</v>
      </c>
      <c r="G73" s="159">
        <v>0</v>
      </c>
      <c r="H73" s="159">
        <v>0</v>
      </c>
      <c r="I73" s="159">
        <v>0</v>
      </c>
      <c r="J73" s="159">
        <v>0</v>
      </c>
      <c r="L73" s="157"/>
      <c r="M73" s="157"/>
      <c r="N73" s="157"/>
      <c r="O73" s="157"/>
      <c r="P73" s="157"/>
      <c r="Q73" s="157"/>
      <c r="R73" s="157"/>
    </row>
    <row r="74" spans="3:18">
      <c r="C74" s="159" t="str">
        <f t="shared" ref="C74:C79" si="12">C62</f>
        <v>Util_Rep_Batt-LMO</v>
      </c>
      <c r="D74" s="159">
        <v>0</v>
      </c>
      <c r="E74" s="159">
        <v>1</v>
      </c>
      <c r="F74" s="159">
        <v>0</v>
      </c>
      <c r="G74" s="159">
        <v>0</v>
      </c>
      <c r="H74" s="159">
        <v>0</v>
      </c>
      <c r="I74" s="159">
        <v>0</v>
      </c>
      <c r="J74" s="159">
        <v>0</v>
      </c>
      <c r="L74" s="157"/>
      <c r="M74" s="157"/>
      <c r="N74" s="157"/>
      <c r="O74" s="157"/>
      <c r="P74" s="157"/>
      <c r="Q74" s="157"/>
      <c r="R74" s="157"/>
    </row>
    <row r="75" spans="3:18">
      <c r="C75" s="159" t="str">
        <f t="shared" si="12"/>
        <v>Util_Rep_Batt-NCA</v>
      </c>
      <c r="D75" s="159">
        <v>0</v>
      </c>
      <c r="E75" s="159">
        <v>0</v>
      </c>
      <c r="F75" s="159">
        <v>1</v>
      </c>
      <c r="G75" s="159">
        <v>0</v>
      </c>
      <c r="H75" s="159">
        <v>0</v>
      </c>
      <c r="I75" s="159">
        <v>0</v>
      </c>
      <c r="J75" s="159">
        <v>0</v>
      </c>
      <c r="L75" s="157"/>
      <c r="M75" s="157"/>
      <c r="N75" s="157"/>
      <c r="O75" s="157"/>
      <c r="P75" s="157"/>
      <c r="Q75" s="157"/>
      <c r="R75" s="157"/>
    </row>
    <row r="76" spans="3:18">
      <c r="C76" s="159" t="str">
        <f t="shared" si="12"/>
        <v>Util_Rep_Batt-NMC 111</v>
      </c>
      <c r="D76" s="159">
        <v>0</v>
      </c>
      <c r="E76" s="159">
        <v>0</v>
      </c>
      <c r="F76" s="159">
        <v>0</v>
      </c>
      <c r="G76" s="159">
        <v>1</v>
      </c>
      <c r="H76" s="159">
        <v>0</v>
      </c>
      <c r="I76" s="159">
        <v>0</v>
      </c>
      <c r="J76" s="159">
        <v>0</v>
      </c>
      <c r="L76" s="157"/>
      <c r="M76" s="157"/>
      <c r="N76" s="157"/>
      <c r="O76" s="157"/>
      <c r="P76" s="157"/>
      <c r="Q76" s="157"/>
      <c r="R76" s="157"/>
    </row>
    <row r="77" spans="3:18">
      <c r="C77" s="159" t="str">
        <f t="shared" si="12"/>
        <v>Util_Rep_Batt-NMC532</v>
      </c>
      <c r="D77" s="159">
        <v>0</v>
      </c>
      <c r="E77" s="159">
        <v>0</v>
      </c>
      <c r="F77" s="159">
        <v>0</v>
      </c>
      <c r="G77" s="159">
        <v>0</v>
      </c>
      <c r="H77" s="159">
        <v>1</v>
      </c>
      <c r="I77" s="159">
        <v>0</v>
      </c>
      <c r="J77" s="159">
        <v>0</v>
      </c>
      <c r="L77" s="157"/>
      <c r="M77" s="157"/>
      <c r="N77" s="157"/>
      <c r="O77" s="157"/>
      <c r="P77" s="157"/>
      <c r="Q77" s="157"/>
      <c r="R77" s="157"/>
    </row>
    <row r="78" spans="3:18">
      <c r="C78" s="159" t="str">
        <f t="shared" si="12"/>
        <v>Util_Rep_Batt-NMC 622</v>
      </c>
      <c r="D78" s="159">
        <v>0</v>
      </c>
      <c r="E78" s="159">
        <v>0</v>
      </c>
      <c r="F78" s="159">
        <v>0</v>
      </c>
      <c r="G78" s="159">
        <v>0</v>
      </c>
      <c r="H78" s="159">
        <v>0</v>
      </c>
      <c r="I78" s="159">
        <v>1</v>
      </c>
      <c r="J78" s="159">
        <v>0</v>
      </c>
      <c r="L78" s="157"/>
      <c r="M78" s="157"/>
      <c r="N78" s="157"/>
      <c r="O78" s="157"/>
      <c r="P78" s="157"/>
      <c r="Q78" s="157"/>
      <c r="R78" s="157"/>
    </row>
    <row r="79" spans="3:18">
      <c r="C79" s="159" t="str">
        <f t="shared" si="12"/>
        <v>Util_Rep_Batt-NMC 811</v>
      </c>
      <c r="D79" s="159">
        <v>0</v>
      </c>
      <c r="E79" s="159">
        <v>0</v>
      </c>
      <c r="F79" s="159">
        <v>0</v>
      </c>
      <c r="G79" s="159">
        <v>0</v>
      </c>
      <c r="H79" s="159">
        <v>0</v>
      </c>
      <c r="I79" s="159">
        <v>0</v>
      </c>
      <c r="J79" s="159">
        <v>1</v>
      </c>
      <c r="L79" s="157"/>
      <c r="M79" s="157"/>
      <c r="N79" s="157"/>
      <c r="O79" s="157"/>
      <c r="P79" s="157"/>
      <c r="Q79" s="157"/>
      <c r="R79" s="157"/>
    </row>
    <row r="81" spans="3:12">
      <c r="C81" s="157"/>
      <c r="D81" s="157"/>
      <c r="E81" s="157"/>
      <c r="F81" s="157"/>
      <c r="G81" s="157"/>
      <c r="H81" s="157"/>
      <c r="I81" s="157"/>
      <c r="J81" s="157"/>
      <c r="K81" s="157"/>
      <c r="L81" s="157"/>
    </row>
    <row r="82" spans="3:12">
      <c r="C82" s="157"/>
      <c r="D82" s="157"/>
      <c r="E82" s="157"/>
      <c r="F82" s="157"/>
      <c r="G82" s="157"/>
      <c r="H82" s="157"/>
      <c r="I82" s="157"/>
      <c r="J82" s="157"/>
      <c r="K82" s="157"/>
      <c r="L82" s="157"/>
    </row>
    <row r="83" spans="3:12">
      <c r="C83" s="157"/>
      <c r="D83" s="157"/>
      <c r="E83" s="157"/>
      <c r="F83" s="157"/>
      <c r="G83" s="157"/>
      <c r="H83" s="157"/>
      <c r="I83" s="157"/>
      <c r="J83" s="157"/>
      <c r="K83" s="157"/>
      <c r="L83" s="157"/>
    </row>
    <row r="84" spans="3:12">
      <c r="C84" s="157"/>
      <c r="D84" s="157"/>
      <c r="E84" s="157"/>
      <c r="F84" s="157"/>
      <c r="G84" s="157"/>
      <c r="H84" s="157"/>
      <c r="I84" s="157"/>
      <c r="J84" s="157"/>
      <c r="K84" s="157"/>
      <c r="L84" s="157"/>
    </row>
    <row r="85" spans="3:12">
      <c r="C85" s="157"/>
      <c r="D85" s="157"/>
      <c r="E85" s="157"/>
      <c r="F85" s="157"/>
      <c r="G85" s="157"/>
      <c r="H85" s="157"/>
      <c r="I85" s="157"/>
      <c r="J85" s="157"/>
      <c r="K85" s="157"/>
      <c r="L85" s="157"/>
    </row>
    <row r="86" spans="3:12">
      <c r="C86" s="157"/>
      <c r="D86" s="157"/>
      <c r="E86" s="157"/>
      <c r="F86" s="157"/>
      <c r="G86" s="157"/>
      <c r="H86" s="157"/>
      <c r="I86" s="157"/>
      <c r="J86" s="157"/>
      <c r="K86" s="157"/>
      <c r="L86" s="157"/>
    </row>
    <row r="87" spans="3:12">
      <c r="C87" s="159" t="s">
        <v>318</v>
      </c>
      <c r="D87" s="157"/>
      <c r="E87" s="157"/>
      <c r="F87" s="157"/>
      <c r="G87" s="157"/>
      <c r="H87" s="157"/>
      <c r="I87" s="157"/>
      <c r="J87" s="157"/>
      <c r="K87" s="157"/>
      <c r="L87" s="157"/>
    </row>
    <row r="88" spans="2:12">
      <c r="B88" s="159" t="s">
        <v>250</v>
      </c>
      <c r="C88" s="159" t="s">
        <v>252</v>
      </c>
      <c r="E88" s="157"/>
      <c r="F88" s="157"/>
      <c r="G88" s="157"/>
      <c r="H88" s="157"/>
      <c r="I88" s="157"/>
      <c r="J88" s="157"/>
      <c r="K88" s="157"/>
      <c r="L88" s="157"/>
    </row>
    <row r="89" spans="2:12">
      <c r="B89" s="166">
        <v>2030</v>
      </c>
      <c r="C89" s="187" t="s">
        <v>319</v>
      </c>
      <c r="E89" s="157"/>
      <c r="F89" s="157"/>
      <c r="G89" s="157"/>
      <c r="H89" s="157"/>
      <c r="I89" s="157"/>
      <c r="J89" s="157"/>
      <c r="K89" s="157"/>
      <c r="L89" s="157"/>
    </row>
    <row r="90" spans="2:12">
      <c r="B90" s="166">
        <v>2030</v>
      </c>
      <c r="C90" s="187" t="s">
        <v>320</v>
      </c>
      <c r="E90" s="157"/>
      <c r="F90" s="157"/>
      <c r="G90" s="157"/>
      <c r="H90" s="157"/>
      <c r="I90" s="157"/>
      <c r="J90" s="157"/>
      <c r="K90" s="157"/>
      <c r="L90" s="157"/>
    </row>
    <row r="91" spans="2:12">
      <c r="B91" s="166">
        <v>2030</v>
      </c>
      <c r="C91" s="187" t="s">
        <v>321</v>
      </c>
      <c r="E91" s="157"/>
      <c r="F91" s="157"/>
      <c r="G91" s="157"/>
      <c r="H91" s="157"/>
      <c r="I91" s="157"/>
      <c r="J91" s="157"/>
      <c r="K91" s="157"/>
      <c r="L91" s="157"/>
    </row>
    <row r="92" spans="2:12">
      <c r="B92" s="166">
        <v>2030</v>
      </c>
      <c r="C92" s="187" t="s">
        <v>322</v>
      </c>
      <c r="E92" s="157"/>
      <c r="F92" s="157"/>
      <c r="G92" s="157"/>
      <c r="H92" s="157"/>
      <c r="I92" s="157"/>
      <c r="J92" s="157"/>
      <c r="K92" s="157"/>
      <c r="L92" s="157"/>
    </row>
    <row r="93" spans="2:12">
      <c r="B93" s="166">
        <v>2030</v>
      </c>
      <c r="C93" s="187" t="s">
        <v>323</v>
      </c>
      <c r="E93" s="157"/>
      <c r="F93" s="157"/>
      <c r="G93" s="157"/>
      <c r="H93" s="157"/>
      <c r="I93" s="157"/>
      <c r="J93" s="157"/>
      <c r="K93" s="157"/>
      <c r="L93" s="157"/>
    </row>
    <row r="94" spans="2:12">
      <c r="B94" s="166">
        <v>2030</v>
      </c>
      <c r="C94" s="187" t="s">
        <v>324</v>
      </c>
      <c r="E94" s="157"/>
      <c r="F94" s="157"/>
      <c r="G94" s="157"/>
      <c r="H94" s="157"/>
      <c r="I94" s="157"/>
      <c r="J94" s="157"/>
      <c r="K94" s="157"/>
      <c r="L94" s="157"/>
    </row>
    <row r="95" spans="2:12">
      <c r="B95" s="166">
        <v>2030</v>
      </c>
      <c r="C95" s="187" t="s">
        <v>325</v>
      </c>
      <c r="E95" s="157"/>
      <c r="F95" s="157"/>
      <c r="G95" s="157"/>
      <c r="H95" s="157"/>
      <c r="I95" s="157"/>
      <c r="J95" s="157"/>
      <c r="K95" s="157"/>
      <c r="L95" s="157"/>
    </row>
    <row r="96" ht="14.5" spans="2:12">
      <c r="B96" s="166">
        <v>2030</v>
      </c>
      <c r="C96" s="187" t="s">
        <v>326</v>
      </c>
      <c r="D96" s="165"/>
      <c r="E96" s="165"/>
      <c r="F96" s="165"/>
      <c r="G96" s="165"/>
      <c r="H96" s="165"/>
      <c r="I96" s="165"/>
      <c r="J96" s="165"/>
      <c r="K96" s="157"/>
      <c r="L96" s="157"/>
    </row>
    <row r="97" ht="14.5" spans="2:12">
      <c r="B97" s="166">
        <v>2030</v>
      </c>
      <c r="C97" s="187" t="s">
        <v>327</v>
      </c>
      <c r="D97" s="165"/>
      <c r="E97" s="165"/>
      <c r="F97" s="165"/>
      <c r="G97" s="165"/>
      <c r="H97" s="165"/>
      <c r="I97" s="165"/>
      <c r="J97" s="165"/>
      <c r="K97" s="157"/>
      <c r="L97" s="157"/>
    </row>
    <row r="98" ht="14.5" spans="2:12">
      <c r="B98" s="166">
        <v>2030</v>
      </c>
      <c r="C98" s="187" t="s">
        <v>328</v>
      </c>
      <c r="D98" s="165"/>
      <c r="E98" s="165"/>
      <c r="F98" s="165"/>
      <c r="G98" s="165"/>
      <c r="H98" s="165"/>
      <c r="I98" s="165"/>
      <c r="J98" s="165"/>
      <c r="K98" s="157"/>
      <c r="L98" s="157"/>
    </row>
    <row r="99" ht="14.5" spans="2:12">
      <c r="B99" s="166">
        <v>2030</v>
      </c>
      <c r="C99" s="187" t="s">
        <v>329</v>
      </c>
      <c r="D99" s="165"/>
      <c r="E99" s="165"/>
      <c r="F99" s="165"/>
      <c r="G99" s="165"/>
      <c r="H99" s="157"/>
      <c r="I99" s="157"/>
      <c r="J99" s="157"/>
      <c r="K99" s="157"/>
      <c r="L99" s="157"/>
    </row>
    <row r="100" ht="14.5" spans="2:12">
      <c r="B100" s="166">
        <v>2030</v>
      </c>
      <c r="C100" s="187" t="s">
        <v>330</v>
      </c>
      <c r="D100" s="165"/>
      <c r="E100" s="165"/>
      <c r="F100" s="165"/>
      <c r="G100" s="165"/>
      <c r="H100" s="157"/>
      <c r="I100" s="157"/>
      <c r="J100" s="157"/>
      <c r="K100" s="157"/>
      <c r="L100" s="157"/>
    </row>
    <row r="101" ht="14.5" spans="2:12">
      <c r="B101" s="166">
        <v>2030</v>
      </c>
      <c r="C101" s="187" t="s">
        <v>331</v>
      </c>
      <c r="D101" s="165"/>
      <c r="E101" s="165"/>
      <c r="F101" s="165"/>
      <c r="G101" s="165"/>
      <c r="H101" s="157"/>
      <c r="I101" s="157"/>
      <c r="J101" s="157"/>
      <c r="K101" s="157"/>
      <c r="L101" s="157"/>
    </row>
    <row r="102" ht="14.5" spans="2:12">
      <c r="B102" s="166">
        <v>2030</v>
      </c>
      <c r="C102" s="187" t="s">
        <v>332</v>
      </c>
      <c r="D102" s="165"/>
      <c r="E102" s="165"/>
      <c r="F102" s="165"/>
      <c r="G102" s="165"/>
      <c r="H102" s="157"/>
      <c r="I102" s="157"/>
      <c r="J102" s="157"/>
      <c r="K102" s="157"/>
      <c r="L102" s="157"/>
    </row>
    <row r="103" ht="14.5" spans="2:12">
      <c r="B103" s="166">
        <v>2030</v>
      </c>
      <c r="C103" s="187" t="s">
        <v>333</v>
      </c>
      <c r="D103" s="165"/>
      <c r="E103" s="165"/>
      <c r="F103" s="165"/>
      <c r="G103" s="165"/>
      <c r="H103" s="157"/>
      <c r="I103" s="157"/>
      <c r="J103" s="157"/>
      <c r="K103" s="157"/>
      <c r="L103" s="157"/>
    </row>
    <row r="104" ht="14.5" spans="2:12">
      <c r="B104" s="166">
        <v>2030</v>
      </c>
      <c r="C104" s="187" t="s">
        <v>334</v>
      </c>
      <c r="D104" s="165"/>
      <c r="E104" s="165"/>
      <c r="F104" s="165"/>
      <c r="G104" s="165"/>
      <c r="H104" s="157"/>
      <c r="I104" s="157"/>
      <c r="J104" s="157"/>
      <c r="K104" s="157"/>
      <c r="L104" s="157"/>
    </row>
    <row r="105" spans="2:12">
      <c r="B105" s="166">
        <v>2030</v>
      </c>
      <c r="C105" s="187" t="s">
        <v>335</v>
      </c>
      <c r="D105" s="157"/>
      <c r="E105" s="157"/>
      <c r="F105" s="157"/>
      <c r="G105" s="157"/>
      <c r="H105" s="157"/>
      <c r="I105" s="157"/>
      <c r="J105" s="157"/>
      <c r="K105" s="157"/>
      <c r="L105" s="157"/>
    </row>
    <row r="106" spans="2:12">
      <c r="B106" s="166">
        <v>2030</v>
      </c>
      <c r="C106" s="187" t="s">
        <v>336</v>
      </c>
      <c r="D106" s="157"/>
      <c r="E106" s="157"/>
      <c r="F106" s="157"/>
      <c r="G106" s="157"/>
      <c r="H106" s="157"/>
      <c r="I106" s="157"/>
      <c r="J106" s="157"/>
      <c r="K106" s="157"/>
      <c r="L106" s="157"/>
    </row>
    <row r="107" spans="2:12">
      <c r="B107" s="166">
        <v>2030</v>
      </c>
      <c r="C107" s="187" t="s">
        <v>337</v>
      </c>
      <c r="D107" s="157"/>
      <c r="E107" s="157"/>
      <c r="F107" s="157"/>
      <c r="G107" s="157"/>
      <c r="H107" s="157"/>
      <c r="I107" s="157"/>
      <c r="J107" s="157"/>
      <c r="K107" s="157"/>
      <c r="L107" s="157"/>
    </row>
    <row r="108" ht="14.5" spans="2:12">
      <c r="B108" s="166">
        <v>2030</v>
      </c>
      <c r="C108" s="187" t="s">
        <v>338</v>
      </c>
      <c r="D108" s="165"/>
      <c r="E108" s="165"/>
      <c r="F108" s="157"/>
      <c r="G108" s="157"/>
      <c r="H108" s="157"/>
      <c r="I108" s="157"/>
      <c r="J108" s="157"/>
      <c r="K108" s="157"/>
      <c r="L108" s="157"/>
    </row>
    <row r="109" spans="2:12">
      <c r="B109" s="166">
        <v>2030</v>
      </c>
      <c r="C109" s="188" t="s">
        <v>339</v>
      </c>
      <c r="D109" s="157"/>
      <c r="E109" s="157"/>
      <c r="F109" s="157"/>
      <c r="G109" s="157"/>
      <c r="H109" s="157"/>
      <c r="I109" s="157"/>
      <c r="J109" s="157"/>
      <c r="K109" s="157"/>
      <c r="L109" s="157"/>
    </row>
    <row r="110" ht="14.5" spans="3:12">
      <c r="C110" s="165"/>
      <c r="D110" s="157"/>
      <c r="E110" s="157"/>
      <c r="F110" s="157"/>
      <c r="G110" s="157"/>
      <c r="H110" s="157"/>
      <c r="I110" s="157"/>
      <c r="J110" s="157"/>
      <c r="K110" s="157"/>
      <c r="L110" s="157"/>
    </row>
    <row r="111" ht="14.5" spans="3:12">
      <c r="C111" s="165"/>
      <c r="D111" s="157"/>
      <c r="E111" s="157"/>
      <c r="F111" s="157"/>
      <c r="G111" s="157"/>
      <c r="H111" s="157"/>
      <c r="I111" s="157"/>
      <c r="J111" s="157"/>
      <c r="K111" s="157"/>
      <c r="L111" s="157"/>
    </row>
    <row r="112" ht="14.5" spans="3:12">
      <c r="C112" s="165"/>
      <c r="D112" s="157"/>
      <c r="E112" s="157"/>
      <c r="F112" s="157"/>
      <c r="G112" s="157"/>
      <c r="H112" s="157"/>
      <c r="I112" s="157"/>
      <c r="J112" s="157"/>
      <c r="K112" s="157"/>
      <c r="L112" s="157"/>
    </row>
    <row r="113" ht="14.5" spans="3:12">
      <c r="C113" s="165"/>
      <c r="D113" s="157"/>
      <c r="E113" s="157"/>
      <c r="F113" s="157"/>
      <c r="G113" s="157"/>
      <c r="H113" s="157"/>
      <c r="I113" s="157"/>
      <c r="J113" s="157"/>
      <c r="K113" s="157"/>
      <c r="L113" s="157"/>
    </row>
    <row r="114" ht="14.5" spans="3:12">
      <c r="C114" s="165"/>
      <c r="D114" s="157"/>
      <c r="E114" s="157"/>
      <c r="F114" s="157"/>
      <c r="G114" s="157"/>
      <c r="H114" s="157"/>
      <c r="I114" s="157"/>
      <c r="J114" s="157"/>
      <c r="K114" s="157"/>
      <c r="L114" s="157"/>
    </row>
    <row r="115" ht="14.5" spans="3:12">
      <c r="C115" s="165"/>
      <c r="D115" s="157"/>
      <c r="E115" s="157"/>
      <c r="F115" s="157"/>
      <c r="G115" s="157"/>
      <c r="H115" s="157"/>
      <c r="I115" s="157"/>
      <c r="J115" s="157"/>
      <c r="K115" s="157"/>
      <c r="L115" s="157"/>
    </row>
    <row r="116" spans="3:12">
      <c r="C116" s="157"/>
      <c r="D116" s="157"/>
      <c r="E116" s="157"/>
      <c r="F116" s="157"/>
      <c r="G116" s="157"/>
      <c r="H116" s="157"/>
      <c r="I116" s="157"/>
      <c r="J116" s="157"/>
      <c r="K116" s="157"/>
      <c r="L116" s="157"/>
    </row>
    <row r="117" spans="3:12">
      <c r="C117" s="157"/>
      <c r="D117" s="157"/>
      <c r="E117" s="157"/>
      <c r="F117" s="157"/>
      <c r="G117" s="157"/>
      <c r="H117" s="157"/>
      <c r="I117" s="157"/>
      <c r="J117" s="157"/>
      <c r="K117" s="157"/>
      <c r="L117" s="157"/>
    </row>
    <row r="118" spans="3:12">
      <c r="C118" s="157"/>
      <c r="D118" s="157"/>
      <c r="E118" s="157"/>
      <c r="F118" s="157"/>
      <c r="G118" s="157"/>
      <c r="H118" s="157"/>
      <c r="I118" s="157"/>
      <c r="J118" s="157"/>
      <c r="K118" s="157"/>
      <c r="L118" s="157"/>
    </row>
    <row r="119" spans="3:12">
      <c r="C119" s="157"/>
      <c r="D119" s="157"/>
      <c r="E119" s="157"/>
      <c r="F119" s="157"/>
      <c r="G119" s="157"/>
      <c r="H119" s="157"/>
      <c r="I119" s="157"/>
      <c r="J119" s="157"/>
      <c r="K119" s="157"/>
      <c r="L119" s="157"/>
    </row>
    <row r="123" ht="53" customHeight="1"/>
    <row r="124" spans="27:32">
      <c r="AA124" s="205" t="s">
        <v>340</v>
      </c>
      <c r="AB124" s="205"/>
      <c r="AC124" s="205"/>
      <c r="AD124" s="205"/>
      <c r="AE124" s="205"/>
      <c r="AF124" s="205"/>
    </row>
    <row r="125" ht="14.5" spans="2:4">
      <c r="B125"/>
      <c r="C125"/>
      <c r="D125"/>
    </row>
    <row r="126" ht="21" spans="2:34">
      <c r="B126" s="189"/>
      <c r="C126" s="190" t="s">
        <v>341</v>
      </c>
      <c r="D126" s="175"/>
      <c r="E126" s="175"/>
      <c r="F126" s="175"/>
      <c r="H126" s="180"/>
      <c r="I126" s="194"/>
      <c r="J126" s="195" t="s">
        <v>342</v>
      </c>
      <c r="K126" s="195"/>
      <c r="L126" s="195"/>
      <c r="M126" s="195"/>
      <c r="N126" s="195"/>
      <c r="O126" s="195"/>
      <c r="P126" s="195"/>
      <c r="Q126" s="195"/>
      <c r="R126" s="195"/>
      <c r="S126" s="180"/>
      <c r="T126" s="180"/>
      <c r="U126" s="180"/>
      <c r="AG126" s="157"/>
      <c r="AH126" s="157"/>
    </row>
    <row r="127" ht="14.5" spans="2:46">
      <c r="B127" s="189"/>
      <c r="C127" s="191" t="s">
        <v>343</v>
      </c>
      <c r="D127" s="175"/>
      <c r="E127" s="175"/>
      <c r="F127" s="175"/>
      <c r="H127" s="192" t="s">
        <v>344</v>
      </c>
      <c r="I127" s="196" t="s">
        <v>345</v>
      </c>
      <c r="J127" s="196" t="s">
        <v>346</v>
      </c>
      <c r="K127" s="196" t="s">
        <v>347</v>
      </c>
      <c r="L127" s="196" t="s">
        <v>348</v>
      </c>
      <c r="M127" s="197" t="s">
        <v>346</v>
      </c>
      <c r="N127" s="197" t="s">
        <v>347</v>
      </c>
      <c r="O127" s="197" t="s">
        <v>348</v>
      </c>
      <c r="P127" s="196" t="s">
        <v>346</v>
      </c>
      <c r="Q127" s="196" t="s">
        <v>347</v>
      </c>
      <c r="R127" s="196" t="s">
        <v>348</v>
      </c>
      <c r="S127" s="180"/>
      <c r="T127" s="204" t="s">
        <v>349</v>
      </c>
      <c r="U127" s="180"/>
      <c r="AA127" s="175"/>
      <c r="AB127" s="175"/>
      <c r="AC127" s="175" t="s">
        <v>343</v>
      </c>
      <c r="AD127" s="175"/>
      <c r="AE127" s="175"/>
      <c r="AF127" s="175"/>
      <c r="AG127" s="157"/>
      <c r="AH127" s="157"/>
      <c r="AI127" s="175"/>
      <c r="AJ127" s="175"/>
      <c r="AK127" s="175" t="s">
        <v>343</v>
      </c>
      <c r="AL127" s="175"/>
      <c r="AM127" s="175"/>
      <c r="AN127" s="175"/>
      <c r="AQ127" s="206" t="s">
        <v>343</v>
      </c>
      <c r="AR127" s="207"/>
      <c r="AS127" s="207"/>
      <c r="AT127" s="207"/>
    </row>
    <row r="128" ht="20" spans="1:46">
      <c r="A128" s="193"/>
      <c r="B128" s="175"/>
      <c r="C128" s="175"/>
      <c r="D128" s="191"/>
      <c r="E128" s="191"/>
      <c r="F128" s="191"/>
      <c r="H128" s="180" t="s">
        <v>350</v>
      </c>
      <c r="I128" s="196" t="s">
        <v>351</v>
      </c>
      <c r="J128" s="198" t="s">
        <v>352</v>
      </c>
      <c r="K128" s="199"/>
      <c r="L128" s="200"/>
      <c r="M128" s="201" t="s">
        <v>353</v>
      </c>
      <c r="N128" s="202"/>
      <c r="O128" s="203"/>
      <c r="P128" s="198" t="s">
        <v>354</v>
      </c>
      <c r="Q128" s="199"/>
      <c r="R128" s="200"/>
      <c r="S128" s="180"/>
      <c r="T128" s="180" t="s">
        <v>353</v>
      </c>
      <c r="U128" s="180"/>
      <c r="AA128" s="175"/>
      <c r="AB128" s="175"/>
      <c r="AC128" s="175"/>
      <c r="AD128" s="175"/>
      <c r="AE128" s="175"/>
      <c r="AF128" s="175"/>
      <c r="AG128" s="157"/>
      <c r="AH128" s="157"/>
      <c r="AI128" s="175"/>
      <c r="AJ128" s="175"/>
      <c r="AK128" s="175"/>
      <c r="AL128" s="175"/>
      <c r="AM128" s="175"/>
      <c r="AN128" s="175"/>
      <c r="AQ128" s="206" t="s">
        <v>252</v>
      </c>
      <c r="AR128" s="206">
        <v>2019</v>
      </c>
      <c r="AS128" s="207">
        <v>2050</v>
      </c>
      <c r="AT128" s="207">
        <v>0</v>
      </c>
    </row>
    <row r="129" ht="13" spans="2:46">
      <c r="B129" s="175" t="s">
        <v>355</v>
      </c>
      <c r="C129" s="191" t="s">
        <v>252</v>
      </c>
      <c r="D129" s="191" t="s">
        <v>356</v>
      </c>
      <c r="E129" s="191" t="s">
        <v>357</v>
      </c>
      <c r="F129" s="191" t="s">
        <v>358</v>
      </c>
      <c r="H129" s="180"/>
      <c r="I129" s="196" t="s">
        <v>359</v>
      </c>
      <c r="J129" s="198" t="s">
        <v>360</v>
      </c>
      <c r="K129" s="199"/>
      <c r="L129" s="200"/>
      <c r="M129" s="201" t="s">
        <v>360</v>
      </c>
      <c r="N129" s="202"/>
      <c r="O129" s="203"/>
      <c r="P129" s="198" t="s">
        <v>360</v>
      </c>
      <c r="Q129" s="199"/>
      <c r="R129" s="200"/>
      <c r="S129" s="180"/>
      <c r="T129" s="180" t="s">
        <v>360</v>
      </c>
      <c r="U129" s="180"/>
      <c r="AA129" s="175" t="s">
        <v>355</v>
      </c>
      <c r="AB129" s="175" t="s">
        <v>361</v>
      </c>
      <c r="AC129" s="175" t="s">
        <v>252</v>
      </c>
      <c r="AD129" s="175" t="s">
        <v>356</v>
      </c>
      <c r="AE129" s="175" t="s">
        <v>357</v>
      </c>
      <c r="AF129" s="175" t="s">
        <v>358</v>
      </c>
      <c r="AG129" s="157"/>
      <c r="AH129" s="157"/>
      <c r="AI129" s="175" t="s">
        <v>355</v>
      </c>
      <c r="AJ129" s="175" t="s">
        <v>361</v>
      </c>
      <c r="AK129" s="175" t="s">
        <v>252</v>
      </c>
      <c r="AL129" s="175" t="s">
        <v>356</v>
      </c>
      <c r="AM129" s="175" t="s">
        <v>357</v>
      </c>
      <c r="AN129" s="175" t="s">
        <v>358</v>
      </c>
      <c r="AQ129" s="206" t="s">
        <v>263</v>
      </c>
      <c r="AR129" s="207">
        <v>0.001</v>
      </c>
      <c r="AS129" s="207">
        <v>0.001</v>
      </c>
      <c r="AT129" s="207">
        <v>5</v>
      </c>
    </row>
    <row r="130" ht="13" spans="2:46">
      <c r="B130" s="175" t="s">
        <v>362</v>
      </c>
      <c r="C130" s="175"/>
      <c r="D130" s="175"/>
      <c r="E130" s="175"/>
      <c r="F130" s="175"/>
      <c r="H130" s="180">
        <v>0.2</v>
      </c>
      <c r="I130" s="196" t="s">
        <v>363</v>
      </c>
      <c r="J130" s="215">
        <v>21.35</v>
      </c>
      <c r="K130" s="215">
        <v>16.59</v>
      </c>
      <c r="L130" s="215">
        <v>12.62</v>
      </c>
      <c r="M130" s="216">
        <v>22.07</v>
      </c>
      <c r="N130" s="216">
        <v>17.16</v>
      </c>
      <c r="O130" s="216">
        <v>13.05</v>
      </c>
      <c r="P130" s="215">
        <v>23.72</v>
      </c>
      <c r="Q130" s="215">
        <v>18.45</v>
      </c>
      <c r="R130" s="215">
        <v>14.04</v>
      </c>
      <c r="S130" s="180"/>
      <c r="T130" s="218">
        <f>AVERAGE(M130:O130)</f>
        <v>17.4266666666667</v>
      </c>
      <c r="U130" s="180"/>
      <c r="AA130" s="175" t="s">
        <v>362</v>
      </c>
      <c r="AB130" s="175"/>
      <c r="AC130" s="175"/>
      <c r="AD130" s="175"/>
      <c r="AE130" s="175"/>
      <c r="AF130" s="175"/>
      <c r="AG130" s="157"/>
      <c r="AH130" s="157"/>
      <c r="AI130" s="175" t="s">
        <v>362</v>
      </c>
      <c r="AJ130" s="175"/>
      <c r="AK130" s="175"/>
      <c r="AL130" s="175"/>
      <c r="AM130" s="175"/>
      <c r="AN130" s="175"/>
      <c r="AQ130" s="206" t="s">
        <v>268</v>
      </c>
      <c r="AR130" s="207">
        <v>0.001</v>
      </c>
      <c r="AS130" s="207">
        <v>0.001</v>
      </c>
      <c r="AT130" s="207">
        <v>5</v>
      </c>
    </row>
    <row r="131" ht="13" spans="1:46">
      <c r="A131" s="208"/>
      <c r="B131" s="175" t="s">
        <v>364</v>
      </c>
      <c r="C131" s="191" t="s">
        <v>263</v>
      </c>
      <c r="D131" s="175" cm="1">
        <f t="array" ref="D131">D147-SUMPRODUCT(J143:P143,J155:P155)</f>
        <v>80.3831766666667</v>
      </c>
      <c r="E131" s="175" cm="1">
        <f t="array" ref="E131">E147-SUMPRODUCT(J143:P143,J155:P155)</f>
        <v>55.48673</v>
      </c>
      <c r="F131" s="175" cm="1">
        <f t="array" ref="F131">F147-SUMPRODUCT(J143:P143,J155:P155)</f>
        <v>106.82505</v>
      </c>
      <c r="H131" s="180">
        <f>H130</f>
        <v>0.2</v>
      </c>
      <c r="I131" s="196" t="s">
        <v>365</v>
      </c>
      <c r="J131" s="215">
        <v>21.47</v>
      </c>
      <c r="K131" s="215">
        <v>16.67</v>
      </c>
      <c r="L131" s="215">
        <v>12.68</v>
      </c>
      <c r="M131" s="216">
        <v>22.2</v>
      </c>
      <c r="N131" s="216">
        <v>17.25</v>
      </c>
      <c r="O131" s="216">
        <v>13.12</v>
      </c>
      <c r="P131" s="215">
        <v>23.87</v>
      </c>
      <c r="Q131" s="215">
        <v>18.55</v>
      </c>
      <c r="R131" s="215">
        <v>14.11</v>
      </c>
      <c r="S131" s="180"/>
      <c r="T131" s="218">
        <f t="shared" ref="T131:T137" si="13">AVERAGE(M131:O131)</f>
        <v>17.5233333333333</v>
      </c>
      <c r="U131" s="180"/>
      <c r="AA131" s="175" t="s">
        <v>364</v>
      </c>
      <c r="AB131" s="175">
        <v>2050</v>
      </c>
      <c r="AC131" s="175" t="s">
        <v>263</v>
      </c>
      <c r="AD131" s="175">
        <f>D131*0.313</f>
        <v>25.1599342966667</v>
      </c>
      <c r="AE131" s="175">
        <f>E131*0.313</f>
        <v>17.36734649</v>
      </c>
      <c r="AF131" s="175">
        <f>F131*0.313</f>
        <v>33.43624065</v>
      </c>
      <c r="AG131" s="157"/>
      <c r="AH131" s="157"/>
      <c r="AI131" s="175" t="s">
        <v>364</v>
      </c>
      <c r="AJ131" s="175">
        <v>0</v>
      </c>
      <c r="AK131" s="175" t="s">
        <v>263</v>
      </c>
      <c r="AL131" s="175">
        <v>5</v>
      </c>
      <c r="AM131" s="175">
        <v>5</v>
      </c>
      <c r="AN131" s="175">
        <v>5</v>
      </c>
      <c r="AQ131" s="206" t="s">
        <v>270</v>
      </c>
      <c r="AR131" s="207">
        <v>0.001</v>
      </c>
      <c r="AS131" s="207">
        <v>0.001</v>
      </c>
      <c r="AT131" s="207">
        <v>5</v>
      </c>
    </row>
    <row r="132" ht="13" spans="2:46">
      <c r="B132" s="175" t="s">
        <v>364</v>
      </c>
      <c r="C132" s="191" t="s">
        <v>268</v>
      </c>
      <c r="D132" s="175" cm="1">
        <f t="array" ref="D132">D148-SUMPRODUCT(J144:P144,J156:P156)</f>
        <v>95.4086</v>
      </c>
      <c r="E132" s="175" cm="1">
        <f t="array" ref="E132">E148-SUMPRODUCT(J144:P144,J156:P156)</f>
        <v>66.32565</v>
      </c>
      <c r="F132" s="175" cm="1">
        <f t="array" ref="F132">F148-SUMPRODUCT(J144:P144,J156:P156)</f>
        <v>126.26355</v>
      </c>
      <c r="H132" s="180">
        <f t="shared" ref="H132:H137" si="14">H131</f>
        <v>0.2</v>
      </c>
      <c r="I132" s="196" t="s">
        <v>366</v>
      </c>
      <c r="J132" s="215">
        <v>21.35</v>
      </c>
      <c r="K132" s="215">
        <v>16.59</v>
      </c>
      <c r="L132" s="215">
        <v>12.62</v>
      </c>
      <c r="M132" s="216">
        <v>22.07</v>
      </c>
      <c r="N132" s="216">
        <v>17.16</v>
      </c>
      <c r="O132" s="216">
        <v>13.05</v>
      </c>
      <c r="P132" s="215">
        <v>23.72</v>
      </c>
      <c r="Q132" s="215">
        <v>18.45</v>
      </c>
      <c r="R132" s="215">
        <v>14.04</v>
      </c>
      <c r="S132" s="180"/>
      <c r="T132" s="218">
        <f t="shared" si="13"/>
        <v>17.4266666666667</v>
      </c>
      <c r="U132" s="180"/>
      <c r="AA132" s="175" t="s">
        <v>364</v>
      </c>
      <c r="AB132" s="175">
        <v>2050</v>
      </c>
      <c r="AC132" s="175" t="s">
        <v>268</v>
      </c>
      <c r="AD132" s="175">
        <f t="shared" ref="AD132:AD144" si="15">D132*0.313</f>
        <v>29.8628918</v>
      </c>
      <c r="AE132" s="175">
        <f t="shared" ref="AE132:AE144" si="16">E132*0.313</f>
        <v>20.75992845</v>
      </c>
      <c r="AF132" s="175">
        <f t="shared" ref="AF132:AF144" si="17">F132*0.313</f>
        <v>39.52049115</v>
      </c>
      <c r="AG132" s="157"/>
      <c r="AH132" s="157"/>
      <c r="AI132" s="175" t="s">
        <v>364</v>
      </c>
      <c r="AJ132" s="175">
        <v>0</v>
      </c>
      <c r="AK132" s="175" t="s">
        <v>268</v>
      </c>
      <c r="AL132" s="175">
        <v>5</v>
      </c>
      <c r="AM132" s="175">
        <v>5</v>
      </c>
      <c r="AN132" s="175">
        <v>5</v>
      </c>
      <c r="AQ132" s="206" t="s">
        <v>271</v>
      </c>
      <c r="AR132" s="207">
        <v>0.001</v>
      </c>
      <c r="AS132" s="207">
        <v>0.001</v>
      </c>
      <c r="AT132" s="207">
        <v>5</v>
      </c>
    </row>
    <row r="133" ht="13" spans="2:46">
      <c r="B133" s="175" t="s">
        <v>364</v>
      </c>
      <c r="C133" s="191" t="s">
        <v>270</v>
      </c>
      <c r="D133" s="175" cm="1">
        <f t="array" ref="D133">D149-SUMPRODUCT(J145:P145,J157:P157)</f>
        <v>85.3476966666666</v>
      </c>
      <c r="E133" s="175" cm="1">
        <f t="array" ref="E133">E149-SUMPRODUCT(J145:P145,J157:P157)</f>
        <v>56.10147</v>
      </c>
      <c r="F133" s="175" cm="1">
        <f t="array" ref="F133">F149-SUMPRODUCT(J145:P145,J157:P157)</f>
        <v>116.32796</v>
      </c>
      <c r="H133" s="180">
        <f t="shared" si="14"/>
        <v>0.2</v>
      </c>
      <c r="I133" s="196" t="s">
        <v>210</v>
      </c>
      <c r="J133" s="215">
        <v>26.64</v>
      </c>
      <c r="K133" s="215">
        <v>20.72</v>
      </c>
      <c r="L133" s="215">
        <v>15.77</v>
      </c>
      <c r="M133" s="216">
        <v>27.52</v>
      </c>
      <c r="N133" s="216">
        <v>21.42</v>
      </c>
      <c r="O133" s="216">
        <v>16.29</v>
      </c>
      <c r="P133" s="215">
        <v>29.54</v>
      </c>
      <c r="Q133" s="215">
        <v>22.99</v>
      </c>
      <c r="R133" s="215">
        <v>17.49</v>
      </c>
      <c r="S133" s="180"/>
      <c r="T133" s="218">
        <f t="shared" si="13"/>
        <v>21.7433333333333</v>
      </c>
      <c r="U133" s="180"/>
      <c r="AA133" s="175" t="s">
        <v>364</v>
      </c>
      <c r="AB133" s="175">
        <v>2050</v>
      </c>
      <c r="AC133" s="175" t="s">
        <v>270</v>
      </c>
      <c r="AD133" s="175">
        <f t="shared" si="15"/>
        <v>26.7138290566667</v>
      </c>
      <c r="AE133" s="175">
        <f t="shared" si="16"/>
        <v>17.55976011</v>
      </c>
      <c r="AF133" s="175">
        <f t="shared" si="17"/>
        <v>36.41065148</v>
      </c>
      <c r="AG133" s="157"/>
      <c r="AH133" s="157"/>
      <c r="AI133" s="175" t="s">
        <v>364</v>
      </c>
      <c r="AJ133" s="175">
        <v>0</v>
      </c>
      <c r="AK133" s="175" t="s">
        <v>270</v>
      </c>
      <c r="AL133" s="175">
        <v>5</v>
      </c>
      <c r="AM133" s="175">
        <v>5</v>
      </c>
      <c r="AN133" s="175">
        <v>5</v>
      </c>
      <c r="AQ133" s="206" t="s">
        <v>272</v>
      </c>
      <c r="AR133" s="207">
        <v>0.001</v>
      </c>
      <c r="AS133" s="207">
        <v>0.001</v>
      </c>
      <c r="AT133" s="207">
        <v>5</v>
      </c>
    </row>
    <row r="134" ht="30" spans="1:46">
      <c r="A134" s="209"/>
      <c r="B134" s="175" t="s">
        <v>364</v>
      </c>
      <c r="C134" s="191" t="s">
        <v>271</v>
      </c>
      <c r="D134" s="175" cm="1">
        <f t="array" ref="D134">D150-SUMPRODUCT(J146:P146,J158:P158)</f>
        <v>85.52157</v>
      </c>
      <c r="E134" s="175" cm="1">
        <f t="array" ref="E134">E150-SUMPRODUCT(J146:P146,J158:P158)</f>
        <v>55.55951</v>
      </c>
      <c r="F134" s="175" cm="1">
        <f t="array" ref="F134">F150-SUMPRODUCT(J146:P146,J158:P158)</f>
        <v>117.30431</v>
      </c>
      <c r="H134" s="180">
        <f t="shared" si="14"/>
        <v>0.2</v>
      </c>
      <c r="I134" s="196" t="s">
        <v>215</v>
      </c>
      <c r="J134" s="215">
        <v>24.65</v>
      </c>
      <c r="K134" s="215">
        <v>19.18</v>
      </c>
      <c r="L134" s="215">
        <v>14.59</v>
      </c>
      <c r="M134" s="216">
        <v>25.48</v>
      </c>
      <c r="N134" s="216">
        <v>19.82</v>
      </c>
      <c r="O134" s="216">
        <v>15.08</v>
      </c>
      <c r="P134" s="215">
        <v>27.36</v>
      </c>
      <c r="Q134" s="215">
        <v>21.29</v>
      </c>
      <c r="R134" s="215">
        <v>16.2</v>
      </c>
      <c r="S134" s="180"/>
      <c r="T134" s="218">
        <f t="shared" si="13"/>
        <v>20.1266666666667</v>
      </c>
      <c r="U134" s="180"/>
      <c r="AA134" s="175" t="s">
        <v>364</v>
      </c>
      <c r="AB134" s="175">
        <v>2050</v>
      </c>
      <c r="AC134" s="175" t="s">
        <v>271</v>
      </c>
      <c r="AD134" s="175">
        <f t="shared" si="15"/>
        <v>26.76825141</v>
      </c>
      <c r="AE134" s="175">
        <f t="shared" si="16"/>
        <v>17.39012663</v>
      </c>
      <c r="AF134" s="175">
        <f t="shared" si="17"/>
        <v>36.71624903</v>
      </c>
      <c r="AG134" s="157"/>
      <c r="AH134" s="157"/>
      <c r="AI134" s="175" t="s">
        <v>364</v>
      </c>
      <c r="AJ134" s="175">
        <v>0</v>
      </c>
      <c r="AK134" s="175" t="s">
        <v>271</v>
      </c>
      <c r="AL134" s="175">
        <v>5</v>
      </c>
      <c r="AM134" s="175">
        <v>5</v>
      </c>
      <c r="AN134" s="175">
        <v>5</v>
      </c>
      <c r="AQ134" s="206" t="s">
        <v>273</v>
      </c>
      <c r="AR134" s="207">
        <v>0.001</v>
      </c>
      <c r="AS134" s="207">
        <v>0.001</v>
      </c>
      <c r="AT134" s="207">
        <v>5</v>
      </c>
    </row>
    <row r="135" ht="13" spans="2:46">
      <c r="B135" s="175" t="s">
        <v>364</v>
      </c>
      <c r="C135" s="191" t="s">
        <v>272</v>
      </c>
      <c r="D135" s="175" cm="1">
        <f t="array" ref="D135">D151-SUMPRODUCT(J147:P147,J159:P159)</f>
        <v>90.0929166666666</v>
      </c>
      <c r="E135" s="175" cm="1">
        <f t="array" ref="E135">E151-SUMPRODUCT(J147:P147,J159:P159)</f>
        <v>59.3677</v>
      </c>
      <c r="F135" s="175" cm="1">
        <f t="array" ref="F135">F151-SUMPRODUCT(J147:P147,J159:P159)</f>
        <v>122.66905</v>
      </c>
      <c r="H135" s="180">
        <f t="shared" si="14"/>
        <v>0.2</v>
      </c>
      <c r="I135" s="196" t="s">
        <v>220</v>
      </c>
      <c r="J135" s="215">
        <v>25.67</v>
      </c>
      <c r="K135" s="215">
        <v>19.97</v>
      </c>
      <c r="L135" s="215">
        <v>15.19</v>
      </c>
      <c r="M135" s="216">
        <v>26.53</v>
      </c>
      <c r="N135" s="216">
        <v>20.64</v>
      </c>
      <c r="O135" s="216">
        <v>15.7</v>
      </c>
      <c r="P135" s="215">
        <v>28.48</v>
      </c>
      <c r="Q135" s="215">
        <v>22.17</v>
      </c>
      <c r="R135" s="215">
        <v>16.86</v>
      </c>
      <c r="S135" s="180"/>
      <c r="T135" s="218">
        <f t="shared" si="13"/>
        <v>20.9566666666667</v>
      </c>
      <c r="U135" s="180"/>
      <c r="AA135" s="175" t="s">
        <v>364</v>
      </c>
      <c r="AB135" s="175">
        <v>2050</v>
      </c>
      <c r="AC135" s="175" t="s">
        <v>272</v>
      </c>
      <c r="AD135" s="175">
        <f t="shared" si="15"/>
        <v>28.1990829166667</v>
      </c>
      <c r="AE135" s="175">
        <f t="shared" si="16"/>
        <v>18.5820901</v>
      </c>
      <c r="AF135" s="175">
        <f t="shared" si="17"/>
        <v>38.39541265</v>
      </c>
      <c r="AG135" s="157"/>
      <c r="AH135" s="157"/>
      <c r="AI135" s="175" t="s">
        <v>364</v>
      </c>
      <c r="AJ135" s="175">
        <v>0</v>
      </c>
      <c r="AK135" s="175" t="s">
        <v>272</v>
      </c>
      <c r="AL135" s="175">
        <v>5</v>
      </c>
      <c r="AM135" s="175">
        <v>5</v>
      </c>
      <c r="AN135" s="175">
        <v>5</v>
      </c>
      <c r="AQ135" s="206" t="s">
        <v>274</v>
      </c>
      <c r="AR135" s="207">
        <v>0.001</v>
      </c>
      <c r="AS135" s="207">
        <v>0.001</v>
      </c>
      <c r="AT135" s="207">
        <v>5</v>
      </c>
    </row>
    <row r="136" ht="25" spans="1:46">
      <c r="A136" s="210"/>
      <c r="B136" s="175" t="s">
        <v>364</v>
      </c>
      <c r="C136" s="191" t="s">
        <v>273</v>
      </c>
      <c r="D136" s="175" cm="1">
        <f t="array" ref="D136">D152-SUMPRODUCT(J148:P148,J160:P160)</f>
        <v>86.9222166666667</v>
      </c>
      <c r="E136" s="175" cm="1">
        <f t="array" ref="E136">E152-SUMPRODUCT(J148:P148,J160:P160)</f>
        <v>57.33755</v>
      </c>
      <c r="F136" s="175" cm="1">
        <f t="array" ref="F136">F152-SUMPRODUCT(J148:P148,J160:P160)</f>
        <v>118.2723</v>
      </c>
      <c r="H136" s="180">
        <f t="shared" si="14"/>
        <v>0.2</v>
      </c>
      <c r="I136" s="196" t="s">
        <v>225</v>
      </c>
      <c r="J136" s="215">
        <v>25.92</v>
      </c>
      <c r="K136" s="215">
        <v>20.16</v>
      </c>
      <c r="L136" s="215">
        <v>15.34</v>
      </c>
      <c r="M136" s="216">
        <v>26.78</v>
      </c>
      <c r="N136" s="216">
        <v>20.84</v>
      </c>
      <c r="O136" s="216">
        <v>15.85</v>
      </c>
      <c r="P136" s="215">
        <v>28.75</v>
      </c>
      <c r="Q136" s="215">
        <v>22.38</v>
      </c>
      <c r="R136" s="215">
        <v>17.02</v>
      </c>
      <c r="S136" s="180"/>
      <c r="T136" s="218">
        <f t="shared" si="13"/>
        <v>21.1566666666667</v>
      </c>
      <c r="U136" s="180"/>
      <c r="AA136" s="175" t="s">
        <v>364</v>
      </c>
      <c r="AB136" s="175">
        <v>2050</v>
      </c>
      <c r="AC136" s="175" t="s">
        <v>273</v>
      </c>
      <c r="AD136" s="175">
        <f t="shared" si="15"/>
        <v>27.2066538166667</v>
      </c>
      <c r="AE136" s="175">
        <f t="shared" si="16"/>
        <v>17.94665315</v>
      </c>
      <c r="AF136" s="175">
        <f t="shared" si="17"/>
        <v>37.0192299</v>
      </c>
      <c r="AG136" s="157"/>
      <c r="AH136" s="157"/>
      <c r="AI136" s="175" t="s">
        <v>364</v>
      </c>
      <c r="AJ136" s="175">
        <v>0</v>
      </c>
      <c r="AK136" s="175" t="s">
        <v>273</v>
      </c>
      <c r="AL136" s="175">
        <v>5</v>
      </c>
      <c r="AM136" s="175">
        <v>5</v>
      </c>
      <c r="AN136" s="175">
        <v>5</v>
      </c>
      <c r="AQ136" s="207" t="s">
        <v>302</v>
      </c>
      <c r="AR136" s="207">
        <v>0.001</v>
      </c>
      <c r="AS136" s="207">
        <v>0.001</v>
      </c>
      <c r="AT136" s="207">
        <v>5</v>
      </c>
    </row>
    <row r="137" ht="13" spans="2:46">
      <c r="B137" s="175" t="s">
        <v>364</v>
      </c>
      <c r="C137" s="191" t="s">
        <v>274</v>
      </c>
      <c r="D137" s="175" cm="1">
        <f t="array" ref="D137">D153-SUMPRODUCT(J149:P149,J161:P161)</f>
        <v>89.5526666666667</v>
      </c>
      <c r="E137" s="175" cm="1">
        <f t="array" ref="E137">E153-SUMPRODUCT(J149:P149,J161:P161)</f>
        <v>59.98948</v>
      </c>
      <c r="F137" s="175" cm="1">
        <f t="array" ref="F137">F153-SUMPRODUCT(J149:P149,J161:P161)</f>
        <v>120.87452</v>
      </c>
      <c r="H137" s="180">
        <f t="shared" si="14"/>
        <v>0.2</v>
      </c>
      <c r="I137" s="196" t="s">
        <v>230</v>
      </c>
      <c r="J137" s="215">
        <v>27.36</v>
      </c>
      <c r="K137" s="215">
        <v>21.29</v>
      </c>
      <c r="L137" s="215">
        <v>16.19</v>
      </c>
      <c r="M137" s="216">
        <v>28.27</v>
      </c>
      <c r="N137" s="216">
        <v>22</v>
      </c>
      <c r="O137" s="216">
        <v>16.73</v>
      </c>
      <c r="P137" s="215">
        <v>30.33</v>
      </c>
      <c r="Q137" s="215">
        <v>23.61</v>
      </c>
      <c r="R137" s="215">
        <v>17.96</v>
      </c>
      <c r="S137" s="180"/>
      <c r="T137" s="218">
        <f t="shared" si="13"/>
        <v>22.3333333333333</v>
      </c>
      <c r="U137" s="180"/>
      <c r="AA137" s="175" t="s">
        <v>364</v>
      </c>
      <c r="AB137" s="175">
        <v>2050</v>
      </c>
      <c r="AC137" s="175" t="s">
        <v>274</v>
      </c>
      <c r="AD137" s="175">
        <f t="shared" si="15"/>
        <v>28.0299846666667</v>
      </c>
      <c r="AE137" s="175">
        <f t="shared" si="16"/>
        <v>18.77670724</v>
      </c>
      <c r="AF137" s="175">
        <f t="shared" si="17"/>
        <v>37.83372476</v>
      </c>
      <c r="AG137" s="157"/>
      <c r="AH137" s="157"/>
      <c r="AI137" s="175" t="s">
        <v>364</v>
      </c>
      <c r="AJ137" s="175">
        <v>0</v>
      </c>
      <c r="AK137" s="175" t="s">
        <v>274</v>
      </c>
      <c r="AL137" s="175">
        <v>5</v>
      </c>
      <c r="AM137" s="175">
        <v>5</v>
      </c>
      <c r="AN137" s="175">
        <v>5</v>
      </c>
      <c r="AQ137" s="207" t="s">
        <v>304</v>
      </c>
      <c r="AR137" s="207">
        <v>0.001</v>
      </c>
      <c r="AS137" s="207">
        <v>0.001</v>
      </c>
      <c r="AT137" s="207">
        <v>5</v>
      </c>
    </row>
    <row r="138" spans="2:46">
      <c r="B138" s="175" t="s">
        <v>364</v>
      </c>
      <c r="C138" s="175" t="s">
        <v>302</v>
      </c>
      <c r="D138" s="175">
        <f>C230*5</f>
        <v>17.8278133136821</v>
      </c>
      <c r="E138" s="175">
        <f>D230*5</f>
        <v>13.5373021370671</v>
      </c>
      <c r="F138" s="175">
        <f>E230*5</f>
        <v>22.1922988209285</v>
      </c>
      <c r="H138" s="180"/>
      <c r="I138" s="180"/>
      <c r="J138" s="180"/>
      <c r="K138" s="180"/>
      <c r="L138" s="180"/>
      <c r="M138" s="180"/>
      <c r="N138" s="180"/>
      <c r="O138" s="180"/>
      <c r="P138" s="180"/>
      <c r="Q138" s="180"/>
      <c r="R138" s="180"/>
      <c r="S138" s="180"/>
      <c r="T138" s="180"/>
      <c r="U138" s="180"/>
      <c r="AA138" s="175" t="s">
        <v>364</v>
      </c>
      <c r="AB138" s="175">
        <v>2050</v>
      </c>
      <c r="AC138" s="175" t="s">
        <v>302</v>
      </c>
      <c r="AD138" s="175">
        <f t="shared" si="15"/>
        <v>5.58010556718251</v>
      </c>
      <c r="AE138" s="175">
        <f t="shared" si="16"/>
        <v>4.23717556890199</v>
      </c>
      <c r="AF138" s="175">
        <f t="shared" si="17"/>
        <v>6.94618953095062</v>
      </c>
      <c r="AG138" s="157"/>
      <c r="AH138" s="157"/>
      <c r="AI138" s="175" t="s">
        <v>364</v>
      </c>
      <c r="AJ138" s="175">
        <v>0</v>
      </c>
      <c r="AK138" s="175" t="s">
        <v>302</v>
      </c>
      <c r="AL138" s="175">
        <v>5</v>
      </c>
      <c r="AM138" s="175">
        <v>5</v>
      </c>
      <c r="AN138" s="175">
        <v>5</v>
      </c>
      <c r="AQ138" s="207" t="s">
        <v>305</v>
      </c>
      <c r="AR138" s="207">
        <v>0.001</v>
      </c>
      <c r="AS138" s="207">
        <v>0.001</v>
      </c>
      <c r="AT138" s="207">
        <v>5</v>
      </c>
    </row>
    <row r="139" spans="2:46">
      <c r="B139" s="175" t="s">
        <v>364</v>
      </c>
      <c r="C139" s="175" t="s">
        <v>304</v>
      </c>
      <c r="D139" s="175">
        <f t="shared" ref="D139:D144" si="18">C231*5</f>
        <v>18.0043854089904</v>
      </c>
      <c r="E139" s="175">
        <f t="shared" ref="E139:E144" si="19">D231*5</f>
        <v>13.6713798820928</v>
      </c>
      <c r="F139" s="175">
        <f t="shared" ref="F139:F144" si="20">E231*5</f>
        <v>22.4120980103169</v>
      </c>
      <c r="H139" s="180"/>
      <c r="I139" s="180"/>
      <c r="J139" s="180"/>
      <c r="K139" s="180"/>
      <c r="L139" s="180"/>
      <c r="M139" s="180"/>
      <c r="N139" s="180"/>
      <c r="O139" s="180"/>
      <c r="P139" s="180"/>
      <c r="Q139" s="180"/>
      <c r="R139" s="180"/>
      <c r="S139" s="180"/>
      <c r="T139" s="180"/>
      <c r="U139" s="180"/>
      <c r="AA139" s="175" t="s">
        <v>364</v>
      </c>
      <c r="AB139" s="175">
        <v>2050</v>
      </c>
      <c r="AC139" s="175" t="s">
        <v>304</v>
      </c>
      <c r="AD139" s="175">
        <f t="shared" si="15"/>
        <v>5.63537263301401</v>
      </c>
      <c r="AE139" s="175">
        <f t="shared" si="16"/>
        <v>4.27914190309506</v>
      </c>
      <c r="AF139" s="175">
        <f t="shared" si="17"/>
        <v>7.01498667722919</v>
      </c>
      <c r="AG139" s="157"/>
      <c r="AH139" s="157"/>
      <c r="AI139" s="175" t="s">
        <v>364</v>
      </c>
      <c r="AJ139" s="175">
        <v>0</v>
      </c>
      <c r="AK139" s="175" t="s">
        <v>304</v>
      </c>
      <c r="AL139" s="175">
        <v>5</v>
      </c>
      <c r="AM139" s="175">
        <v>5</v>
      </c>
      <c r="AN139" s="175">
        <v>5</v>
      </c>
      <c r="AQ139" s="207" t="s">
        <v>306</v>
      </c>
      <c r="AR139" s="207">
        <v>0.001</v>
      </c>
      <c r="AS139" s="207">
        <v>0.001</v>
      </c>
      <c r="AT139" s="207">
        <v>5</v>
      </c>
    </row>
    <row r="140" ht="21" spans="2:46">
      <c r="B140" s="175" t="s">
        <v>364</v>
      </c>
      <c r="C140" s="175" t="s">
        <v>305</v>
      </c>
      <c r="D140" s="175">
        <f t="shared" si="18"/>
        <v>17.8278133136821</v>
      </c>
      <c r="E140" s="175">
        <f t="shared" si="19"/>
        <v>13.5373021370671</v>
      </c>
      <c r="F140" s="175">
        <f t="shared" si="20"/>
        <v>22.1922988209285</v>
      </c>
      <c r="H140" s="180"/>
      <c r="I140" s="180"/>
      <c r="J140" s="217" t="s">
        <v>367</v>
      </c>
      <c r="K140" s="217"/>
      <c r="L140" s="217"/>
      <c r="M140" s="217"/>
      <c r="N140" s="217"/>
      <c r="O140" s="217"/>
      <c r="P140" s="217"/>
      <c r="Q140" s="217"/>
      <c r="R140" s="217"/>
      <c r="S140" s="180"/>
      <c r="T140" s="180"/>
      <c r="U140" s="180"/>
      <c r="AA140" s="175" t="s">
        <v>364</v>
      </c>
      <c r="AB140" s="175">
        <v>2050</v>
      </c>
      <c r="AC140" s="175" t="s">
        <v>305</v>
      </c>
      <c r="AD140" s="175">
        <f t="shared" si="15"/>
        <v>5.58010556718251</v>
      </c>
      <c r="AE140" s="175">
        <f t="shared" si="16"/>
        <v>4.23717556890199</v>
      </c>
      <c r="AF140" s="175">
        <f t="shared" si="17"/>
        <v>6.94618953095062</v>
      </c>
      <c r="AG140" s="157"/>
      <c r="AH140" s="157"/>
      <c r="AI140" s="175" t="s">
        <v>364</v>
      </c>
      <c r="AJ140" s="175">
        <v>0</v>
      </c>
      <c r="AK140" s="175" t="s">
        <v>305</v>
      </c>
      <c r="AL140" s="175">
        <v>5</v>
      </c>
      <c r="AM140" s="175">
        <v>5</v>
      </c>
      <c r="AN140" s="175">
        <v>5</v>
      </c>
      <c r="AQ140" s="207" t="s">
        <v>307</v>
      </c>
      <c r="AR140" s="207">
        <v>0.001</v>
      </c>
      <c r="AS140" s="207">
        <v>0.001</v>
      </c>
      <c r="AT140" s="207">
        <v>5</v>
      </c>
    </row>
    <row r="141" ht="13" spans="2:46">
      <c r="B141" s="175" t="s">
        <v>364</v>
      </c>
      <c r="C141" s="175" t="s">
        <v>306</v>
      </c>
      <c r="D141" s="175">
        <f t="shared" si="18"/>
        <v>17.8322684844019</v>
      </c>
      <c r="E141" s="175">
        <f t="shared" si="19"/>
        <v>13.5406853352985</v>
      </c>
      <c r="F141" s="175">
        <f t="shared" si="20"/>
        <v>22.1978445099484</v>
      </c>
      <c r="H141" s="180"/>
      <c r="I141" s="180" t="s">
        <v>252</v>
      </c>
      <c r="J141" s="180" t="s">
        <v>196</v>
      </c>
      <c r="K141" s="180" t="s">
        <v>199</v>
      </c>
      <c r="L141" s="180" t="s">
        <v>204</v>
      </c>
      <c r="M141" s="180" t="s">
        <v>209</v>
      </c>
      <c r="N141" s="180" t="s">
        <v>214</v>
      </c>
      <c r="O141" s="180" t="s">
        <v>219</v>
      </c>
      <c r="P141" s="180" t="s">
        <v>224</v>
      </c>
      <c r="Q141" s="180"/>
      <c r="R141" s="219" t="s">
        <v>368</v>
      </c>
      <c r="S141" s="180"/>
      <c r="T141" s="180"/>
      <c r="U141" s="180"/>
      <c r="AA141" s="175" t="s">
        <v>364</v>
      </c>
      <c r="AB141" s="175">
        <v>2050</v>
      </c>
      <c r="AC141" s="175" t="s">
        <v>306</v>
      </c>
      <c r="AD141" s="175">
        <f t="shared" si="15"/>
        <v>5.58150003561778</v>
      </c>
      <c r="AE141" s="175">
        <f t="shared" si="16"/>
        <v>4.23823450994842</v>
      </c>
      <c r="AF141" s="175">
        <f t="shared" si="17"/>
        <v>6.94792533161385</v>
      </c>
      <c r="AG141" s="157"/>
      <c r="AH141" s="157"/>
      <c r="AI141" s="175" t="s">
        <v>364</v>
      </c>
      <c r="AJ141" s="175">
        <v>0</v>
      </c>
      <c r="AK141" s="175" t="s">
        <v>306</v>
      </c>
      <c r="AL141" s="175">
        <v>5</v>
      </c>
      <c r="AM141" s="175">
        <v>5</v>
      </c>
      <c r="AN141" s="175">
        <v>5</v>
      </c>
      <c r="AQ141" s="207" t="s">
        <v>308</v>
      </c>
      <c r="AR141" s="207">
        <v>0.001</v>
      </c>
      <c r="AS141" s="207">
        <v>0.001</v>
      </c>
      <c r="AT141" s="207">
        <v>5</v>
      </c>
    </row>
    <row r="142" ht="13" spans="2:46">
      <c r="B142" s="175" t="s">
        <v>364</v>
      </c>
      <c r="C142" s="175" t="s">
        <v>307</v>
      </c>
      <c r="D142" s="175">
        <f t="shared" si="18"/>
        <v>17.8292980840088</v>
      </c>
      <c r="E142" s="175">
        <f t="shared" si="19"/>
        <v>13.5384296241709</v>
      </c>
      <c r="F142" s="175">
        <f t="shared" si="20"/>
        <v>22.1941470154753</v>
      </c>
      <c r="H142" s="180"/>
      <c r="I142" s="180" t="s">
        <v>362</v>
      </c>
      <c r="J142" s="180"/>
      <c r="K142" s="180"/>
      <c r="L142" s="180"/>
      <c r="M142" s="180"/>
      <c r="N142" s="180"/>
      <c r="O142" s="180"/>
      <c r="P142" s="180"/>
      <c r="Q142" s="180"/>
      <c r="R142" s="219"/>
      <c r="S142" s="180"/>
      <c r="T142" s="180"/>
      <c r="U142" s="180"/>
      <c r="AA142" s="175" t="s">
        <v>364</v>
      </c>
      <c r="AB142" s="175">
        <v>2050</v>
      </c>
      <c r="AC142" s="175" t="s">
        <v>307</v>
      </c>
      <c r="AD142" s="175">
        <f t="shared" si="15"/>
        <v>5.58057030029476</v>
      </c>
      <c r="AE142" s="175">
        <f t="shared" si="16"/>
        <v>4.23752847236551</v>
      </c>
      <c r="AF142" s="175">
        <f t="shared" si="17"/>
        <v>6.94676801584377</v>
      </c>
      <c r="AG142" s="157"/>
      <c r="AH142" s="157"/>
      <c r="AI142" s="175" t="s">
        <v>364</v>
      </c>
      <c r="AJ142" s="175">
        <v>0</v>
      </c>
      <c r="AK142" s="175" t="s">
        <v>307</v>
      </c>
      <c r="AL142" s="175">
        <v>5</v>
      </c>
      <c r="AM142" s="175">
        <v>5</v>
      </c>
      <c r="AN142" s="175">
        <v>5</v>
      </c>
      <c r="AQ142" s="207" t="s">
        <v>309</v>
      </c>
      <c r="AR142" s="207">
        <v>0.001</v>
      </c>
      <c r="AS142" s="207">
        <v>0.001</v>
      </c>
      <c r="AT142" s="207">
        <v>5</v>
      </c>
    </row>
    <row r="143" ht="13" spans="2:40">
      <c r="B143" s="175" t="s">
        <v>364</v>
      </c>
      <c r="C143" s="175" t="s">
        <v>308</v>
      </c>
      <c r="D143" s="175">
        <f t="shared" si="18"/>
        <v>17.8278133136821</v>
      </c>
      <c r="E143" s="175">
        <f t="shared" si="19"/>
        <v>13.5373021370671</v>
      </c>
      <c r="F143" s="175">
        <f t="shared" si="20"/>
        <v>22.1922988209285</v>
      </c>
      <c r="H143" s="180"/>
      <c r="I143" s="180" t="s">
        <v>263</v>
      </c>
      <c r="J143" s="180">
        <v>0.095</v>
      </c>
      <c r="K143" s="180">
        <v>0</v>
      </c>
      <c r="L143" s="180">
        <v>0</v>
      </c>
      <c r="M143" s="180">
        <v>0</v>
      </c>
      <c r="N143" s="180">
        <v>3.528</v>
      </c>
      <c r="O143" s="180">
        <v>0.946</v>
      </c>
      <c r="P143" s="180">
        <v>1.085</v>
      </c>
      <c r="Q143" s="180"/>
      <c r="R143" s="219">
        <f t="shared" ref="R143:R149" si="21">SUM(J143:P143)</f>
        <v>5.654</v>
      </c>
      <c r="S143" s="180"/>
      <c r="T143" s="180"/>
      <c r="U143" s="180"/>
      <c r="AA143" s="175" t="s">
        <v>364</v>
      </c>
      <c r="AB143" s="175">
        <v>2050</v>
      </c>
      <c r="AC143" s="175" t="s">
        <v>308</v>
      </c>
      <c r="AD143" s="175">
        <f t="shared" si="15"/>
        <v>5.58010556718251</v>
      </c>
      <c r="AE143" s="175">
        <f t="shared" si="16"/>
        <v>4.23717556890199</v>
      </c>
      <c r="AF143" s="175">
        <f t="shared" si="17"/>
        <v>6.94618953095062</v>
      </c>
      <c r="AG143" s="157"/>
      <c r="AH143" s="157"/>
      <c r="AI143" s="175" t="s">
        <v>364</v>
      </c>
      <c r="AJ143" s="175">
        <v>0</v>
      </c>
      <c r="AK143" s="175" t="s">
        <v>308</v>
      </c>
      <c r="AL143" s="175">
        <v>5</v>
      </c>
      <c r="AM143" s="175">
        <v>5</v>
      </c>
      <c r="AN143" s="175">
        <v>5</v>
      </c>
    </row>
    <row r="144" ht="13" spans="2:40">
      <c r="B144" s="175" t="s">
        <v>364</v>
      </c>
      <c r="C144" s="175" t="s">
        <v>309</v>
      </c>
      <c r="D144" s="175">
        <f t="shared" si="18"/>
        <v>17.8248445099484</v>
      </c>
      <c r="E144" s="175">
        <f t="shared" si="19"/>
        <v>13.5350478997789</v>
      </c>
      <c r="F144" s="175">
        <f t="shared" si="20"/>
        <v>22.1886031687546</v>
      </c>
      <c r="H144" s="180"/>
      <c r="I144" s="180" t="s">
        <v>268</v>
      </c>
      <c r="J144" s="180">
        <v>0.106</v>
      </c>
      <c r="K144" s="180">
        <v>0</v>
      </c>
      <c r="L144" s="180">
        <v>0</v>
      </c>
      <c r="M144" s="180">
        <v>1.396</v>
      </c>
      <c r="N144" s="180">
        <v>3.369</v>
      </c>
      <c r="O144" s="180">
        <v>0.863</v>
      </c>
      <c r="P144" s="180">
        <v>0.911</v>
      </c>
      <c r="Q144" s="180"/>
      <c r="R144" s="219">
        <f t="shared" si="21"/>
        <v>6.645</v>
      </c>
      <c r="S144" s="180"/>
      <c r="T144" s="180"/>
      <c r="U144" s="180"/>
      <c r="AA144" s="175" t="s">
        <v>364</v>
      </c>
      <c r="AB144" s="175">
        <v>2050</v>
      </c>
      <c r="AC144" s="175" t="s">
        <v>309</v>
      </c>
      <c r="AD144" s="175">
        <f t="shared" si="15"/>
        <v>5.57917633161385</v>
      </c>
      <c r="AE144" s="175">
        <f t="shared" si="16"/>
        <v>4.2364699926308</v>
      </c>
      <c r="AF144" s="175">
        <f t="shared" si="17"/>
        <v>6.94503279182019</v>
      </c>
      <c r="AG144" s="157"/>
      <c r="AH144" s="157"/>
      <c r="AI144" s="175" t="s">
        <v>364</v>
      </c>
      <c r="AJ144" s="175">
        <v>0</v>
      </c>
      <c r="AK144" s="175" t="s">
        <v>309</v>
      </c>
      <c r="AL144" s="175">
        <v>5</v>
      </c>
      <c r="AM144" s="175">
        <v>5</v>
      </c>
      <c r="AN144" s="175">
        <v>5</v>
      </c>
    </row>
    <row r="145" ht="13" spans="2:34">
      <c r="B145" s="175"/>
      <c r="C145" s="175"/>
      <c r="D145" s="175"/>
      <c r="E145" s="175"/>
      <c r="F145" s="175"/>
      <c r="H145" s="180"/>
      <c r="I145" s="180" t="s">
        <v>270</v>
      </c>
      <c r="J145" s="180">
        <v>0.102</v>
      </c>
      <c r="K145" s="180">
        <v>0.672</v>
      </c>
      <c r="L145" s="180">
        <v>0.127</v>
      </c>
      <c r="M145" s="180">
        <v>0</v>
      </c>
      <c r="N145" s="180">
        <v>2.92</v>
      </c>
      <c r="O145" s="180">
        <v>0.564</v>
      </c>
      <c r="P145" s="180">
        <v>0.978</v>
      </c>
      <c r="Q145" s="180"/>
      <c r="R145" s="219">
        <f t="shared" si="21"/>
        <v>5.363</v>
      </c>
      <c r="S145" s="180"/>
      <c r="T145" s="180"/>
      <c r="U145" s="180"/>
      <c r="AG145" s="157"/>
      <c r="AH145" s="157"/>
    </row>
    <row r="146" ht="13" spans="2:34">
      <c r="B146" s="175"/>
      <c r="C146" s="175"/>
      <c r="D146" s="175"/>
      <c r="E146" s="175"/>
      <c r="F146" s="175"/>
      <c r="H146" s="180"/>
      <c r="I146" s="180" t="s">
        <v>271</v>
      </c>
      <c r="J146" s="180">
        <v>0.141</v>
      </c>
      <c r="K146" s="180">
        <v>0.351</v>
      </c>
      <c r="L146" s="180">
        <v>0.352</v>
      </c>
      <c r="M146" s="180">
        <v>0.328</v>
      </c>
      <c r="N146" s="180">
        <v>3.11</v>
      </c>
      <c r="O146" s="180">
        <v>0.677</v>
      </c>
      <c r="P146" s="180">
        <v>0.978</v>
      </c>
      <c r="Q146" s="180"/>
      <c r="R146" s="219">
        <f t="shared" si="21"/>
        <v>5.937</v>
      </c>
      <c r="S146" s="180"/>
      <c r="T146" s="180"/>
      <c r="U146" s="180"/>
      <c r="AG146" s="157"/>
      <c r="AH146" s="157"/>
    </row>
    <row r="147" ht="13" spans="2:21">
      <c r="B147" s="175"/>
      <c r="C147" s="175"/>
      <c r="D147" s="191">
        <f>T131*R143</f>
        <v>99.0769266666667</v>
      </c>
      <c r="E147" s="211">
        <f>O131*R143</f>
        <v>74.18048</v>
      </c>
      <c r="F147" s="212">
        <f>M131*R143</f>
        <v>125.5188</v>
      </c>
      <c r="H147" s="180"/>
      <c r="I147" s="180" t="s">
        <v>272</v>
      </c>
      <c r="J147" s="180">
        <v>0.136</v>
      </c>
      <c r="K147" s="180">
        <v>0.508</v>
      </c>
      <c r="L147" s="180">
        <v>0.204</v>
      </c>
      <c r="M147" s="180">
        <v>0.285</v>
      </c>
      <c r="N147" s="180">
        <v>3.07</v>
      </c>
      <c r="O147" s="180">
        <v>0.661</v>
      </c>
      <c r="P147" s="180">
        <v>0.981</v>
      </c>
      <c r="Q147" s="180"/>
      <c r="R147" s="219">
        <f t="shared" si="21"/>
        <v>5.845</v>
      </c>
      <c r="S147" s="180"/>
      <c r="T147" s="180"/>
      <c r="U147" s="180"/>
    </row>
    <row r="148" ht="13" spans="2:21">
      <c r="B148" s="175"/>
      <c r="C148" s="175"/>
      <c r="D148" s="191">
        <f t="shared" ref="D148:D153" si="22">T132*R144</f>
        <v>115.8002</v>
      </c>
      <c r="E148" s="211">
        <f t="shared" ref="E148:E153" si="23">O132*R144</f>
        <v>86.71725</v>
      </c>
      <c r="F148" s="212">
        <f t="shared" ref="F148:F153" si="24">M132*R144</f>
        <v>146.65515</v>
      </c>
      <c r="H148" s="180"/>
      <c r="I148" s="180" t="s">
        <v>273</v>
      </c>
      <c r="J148" s="180">
        <v>0.118</v>
      </c>
      <c r="K148" s="180">
        <v>0.531</v>
      </c>
      <c r="L148" s="180">
        <v>0.178</v>
      </c>
      <c r="M148" s="180">
        <v>0.166</v>
      </c>
      <c r="N148" s="180">
        <v>3.017</v>
      </c>
      <c r="O148" s="180">
        <v>0.605</v>
      </c>
      <c r="P148" s="180">
        <v>0.96</v>
      </c>
      <c r="Q148" s="180"/>
      <c r="R148" s="219">
        <f t="shared" si="21"/>
        <v>5.575</v>
      </c>
      <c r="S148" s="180"/>
      <c r="T148" s="180"/>
      <c r="U148" s="180"/>
    </row>
    <row r="149" ht="13" spans="2:21">
      <c r="B149" s="175"/>
      <c r="C149" s="175"/>
      <c r="D149" s="191">
        <f t="shared" si="22"/>
        <v>116.609496666667</v>
      </c>
      <c r="E149" s="211">
        <f t="shared" si="23"/>
        <v>87.36327</v>
      </c>
      <c r="F149" s="212">
        <f t="shared" si="24"/>
        <v>147.58976</v>
      </c>
      <c r="H149" s="180"/>
      <c r="I149" s="180" t="s">
        <v>274</v>
      </c>
      <c r="J149" s="180">
        <v>0.1</v>
      </c>
      <c r="K149" s="180">
        <v>0.6</v>
      </c>
      <c r="L149" s="180">
        <v>0.075</v>
      </c>
      <c r="M149" s="180">
        <v>0.07</v>
      </c>
      <c r="N149" s="180">
        <v>2.921</v>
      </c>
      <c r="O149" s="180">
        <v>0.549</v>
      </c>
      <c r="P149" s="180">
        <v>0.961</v>
      </c>
      <c r="Q149" s="180"/>
      <c r="R149" s="219">
        <f t="shared" si="21"/>
        <v>5.276</v>
      </c>
      <c r="S149" s="180"/>
      <c r="T149" s="180"/>
      <c r="U149" s="180"/>
    </row>
    <row r="150" ht="14.5" spans="2:6">
      <c r="B150" s="189"/>
      <c r="C150" s="189"/>
      <c r="D150" s="191">
        <f t="shared" si="22"/>
        <v>119.49202</v>
      </c>
      <c r="E150" s="211">
        <f t="shared" si="23"/>
        <v>89.52996</v>
      </c>
      <c r="F150" s="212">
        <f t="shared" si="24"/>
        <v>151.27476</v>
      </c>
    </row>
    <row r="151" customFormat="1" ht="14.5" spans="2:43">
      <c r="B151" s="189"/>
      <c r="C151" s="189"/>
      <c r="D151" s="191">
        <f t="shared" si="22"/>
        <v>122.491716666667</v>
      </c>
      <c r="E151" s="211">
        <f t="shared" si="23"/>
        <v>91.7665</v>
      </c>
      <c r="F151" s="212">
        <f t="shared" si="24"/>
        <v>155.06785</v>
      </c>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row>
    <row r="152" customFormat="1" ht="21" spans="2:18">
      <c r="B152" s="189"/>
      <c r="C152" s="189"/>
      <c r="D152" s="191">
        <f t="shared" si="22"/>
        <v>117.948416666667</v>
      </c>
      <c r="E152" s="211">
        <f t="shared" si="23"/>
        <v>88.36375</v>
      </c>
      <c r="F152" s="212">
        <f t="shared" si="24"/>
        <v>149.2985</v>
      </c>
      <c r="J152" s="217" t="s">
        <v>369</v>
      </c>
      <c r="K152" s="217"/>
      <c r="L152" s="217"/>
      <c r="M152" s="217"/>
      <c r="N152" s="217"/>
      <c r="O152" s="217"/>
      <c r="P152" s="217"/>
      <c r="Q152" s="217"/>
      <c r="R152" s="217"/>
    </row>
    <row r="153" customFormat="1" ht="14.5" spans="2:10">
      <c r="B153" s="189"/>
      <c r="C153" s="189"/>
      <c r="D153" s="191">
        <f t="shared" si="22"/>
        <v>117.830666666667</v>
      </c>
      <c r="E153" s="211">
        <f t="shared" si="23"/>
        <v>88.26748</v>
      </c>
      <c r="F153" s="212">
        <f t="shared" si="24"/>
        <v>149.15252</v>
      </c>
      <c r="I153" t="s">
        <v>252</v>
      </c>
      <c r="J153" t="s">
        <v>370</v>
      </c>
    </row>
    <row r="154" customFormat="1" ht="14.5" spans="2:16">
      <c r="B154" s="156"/>
      <c r="C154" s="156"/>
      <c r="D154" s="156"/>
      <c r="E154" s="156"/>
      <c r="I154" t="s">
        <v>266</v>
      </c>
      <c r="J154" t="s">
        <v>196</v>
      </c>
      <c r="K154" t="s">
        <v>199</v>
      </c>
      <c r="L154" t="s">
        <v>204</v>
      </c>
      <c r="M154" t="s">
        <v>209</v>
      </c>
      <c r="N154" t="s">
        <v>214</v>
      </c>
      <c r="O154" t="s">
        <v>219</v>
      </c>
      <c r="P154" t="s">
        <v>224</v>
      </c>
    </row>
    <row r="155" customFormat="1" ht="14.5" spans="2:16">
      <c r="B155" s="156"/>
      <c r="C155" s="156"/>
      <c r="D155" s="156"/>
      <c r="E155" s="156"/>
      <c r="I155" t="s">
        <v>267</v>
      </c>
      <c r="J155">
        <v>12.85</v>
      </c>
      <c r="K155">
        <v>20</v>
      </c>
      <c r="L155">
        <v>29.3</v>
      </c>
      <c r="M155">
        <v>2</v>
      </c>
      <c r="N155">
        <v>2.5</v>
      </c>
      <c r="O155">
        <v>8</v>
      </c>
      <c r="P155">
        <v>1</v>
      </c>
    </row>
    <row r="156" customFormat="1" ht="14.5" spans="2:43">
      <c r="B156" s="156"/>
      <c r="C156" s="156"/>
      <c r="D156" s="156"/>
      <c r="E156" s="156"/>
      <c r="J156">
        <f>J155</f>
        <v>12.85</v>
      </c>
      <c r="K156">
        <f t="shared" ref="K156:P156" si="25">K155</f>
        <v>20</v>
      </c>
      <c r="L156">
        <f t="shared" si="25"/>
        <v>29.3</v>
      </c>
      <c r="M156">
        <f t="shared" si="25"/>
        <v>2</v>
      </c>
      <c r="N156">
        <f t="shared" si="25"/>
        <v>2.5</v>
      </c>
      <c r="O156">
        <f t="shared" si="25"/>
        <v>8</v>
      </c>
      <c r="P156">
        <f t="shared" si="25"/>
        <v>1</v>
      </c>
      <c r="T156" s="156"/>
      <c r="U156" s="156"/>
      <c r="V156" s="156"/>
      <c r="W156" s="156"/>
      <c r="Y156" s="159"/>
      <c r="Z156" s="221" t="s">
        <v>72</v>
      </c>
      <c r="AA156" s="221"/>
      <c r="AB156" s="221"/>
      <c r="AC156" s="221"/>
      <c r="AD156" s="221"/>
      <c r="AE156" s="221"/>
      <c r="AF156" s="221"/>
      <c r="AG156" s="221"/>
      <c r="AI156" s="206" t="s">
        <v>172</v>
      </c>
      <c r="AJ156" s="206"/>
      <c r="AK156" s="206"/>
      <c r="AL156" s="206"/>
      <c r="AM156" s="206"/>
      <c r="AN156" s="206"/>
      <c r="AO156" s="206"/>
      <c r="AP156" s="206"/>
      <c r="AQ156" s="206"/>
    </row>
    <row r="157" customFormat="1" ht="14.5" spans="10:43">
      <c r="J157">
        <f t="shared" ref="J157:P157" si="26">J156</f>
        <v>12.85</v>
      </c>
      <c r="K157">
        <f t="shared" si="26"/>
        <v>20</v>
      </c>
      <c r="L157">
        <f t="shared" si="26"/>
        <v>29.3</v>
      </c>
      <c r="M157">
        <f t="shared" si="26"/>
        <v>2</v>
      </c>
      <c r="N157">
        <f t="shared" si="26"/>
        <v>2.5</v>
      </c>
      <c r="O157">
        <f t="shared" si="26"/>
        <v>8</v>
      </c>
      <c r="P157">
        <f t="shared" si="26"/>
        <v>1</v>
      </c>
      <c r="T157" s="156"/>
      <c r="U157" s="156"/>
      <c r="V157" s="156"/>
      <c r="W157" s="156"/>
      <c r="Y157" s="159"/>
      <c r="Z157" s="221" t="s">
        <v>78</v>
      </c>
      <c r="AA157" s="221" t="s">
        <v>79</v>
      </c>
      <c r="AB157" s="221" t="s">
        <v>80</v>
      </c>
      <c r="AC157" s="221" t="s">
        <v>81</v>
      </c>
      <c r="AD157" s="221" t="s">
        <v>82</v>
      </c>
      <c r="AE157" s="221" t="s">
        <v>173</v>
      </c>
      <c r="AF157" s="221" t="s">
        <v>174</v>
      </c>
      <c r="AG157" s="221" t="s">
        <v>175</v>
      </c>
      <c r="AI157" s="206" t="s">
        <v>176</v>
      </c>
      <c r="AJ157" s="206" t="s">
        <v>177</v>
      </c>
      <c r="AK157" s="206" t="s">
        <v>178</v>
      </c>
      <c r="AL157" s="206" t="s">
        <v>179</v>
      </c>
      <c r="AM157" s="206" t="s">
        <v>180</v>
      </c>
      <c r="AN157" s="206" t="s">
        <v>181</v>
      </c>
      <c r="AO157" s="206" t="s">
        <v>182</v>
      </c>
      <c r="AP157" s="206" t="s">
        <v>183</v>
      </c>
      <c r="AQ157" s="206" t="s">
        <v>184</v>
      </c>
    </row>
    <row r="158" customFormat="1" ht="16" spans="10:43">
      <c r="J158">
        <f t="shared" ref="J158:P158" si="27">J157</f>
        <v>12.85</v>
      </c>
      <c r="K158">
        <f t="shared" si="27"/>
        <v>20</v>
      </c>
      <c r="L158">
        <f t="shared" si="27"/>
        <v>29.3</v>
      </c>
      <c r="M158">
        <f t="shared" si="27"/>
        <v>2</v>
      </c>
      <c r="N158">
        <f t="shared" si="27"/>
        <v>2.5</v>
      </c>
      <c r="O158">
        <f t="shared" si="27"/>
        <v>8</v>
      </c>
      <c r="P158">
        <f t="shared" si="27"/>
        <v>1</v>
      </c>
      <c r="T158" s="156"/>
      <c r="U158" s="156"/>
      <c r="V158" s="156"/>
      <c r="W158" s="156"/>
      <c r="Y158" s="159"/>
      <c r="Z158" s="222" t="s">
        <v>371</v>
      </c>
      <c r="AA158" s="221" t="s">
        <v>319</v>
      </c>
      <c r="AB158" s="221" t="s">
        <v>372</v>
      </c>
      <c r="AC158" s="221" t="s">
        <v>373</v>
      </c>
      <c r="AD158" s="221" t="s">
        <v>374</v>
      </c>
      <c r="AE158" s="221" t="s">
        <v>194</v>
      </c>
      <c r="AF158" s="221"/>
      <c r="AG158" s="221"/>
      <c r="AI158" s="206" t="s">
        <v>195</v>
      </c>
      <c r="AJ158" s="206" t="s">
        <v>311</v>
      </c>
      <c r="AK158" s="206"/>
      <c r="AL158" s="206"/>
      <c r="AM158" s="206"/>
      <c r="AN158" s="206"/>
      <c r="AO158" s="206"/>
      <c r="AP158" s="206"/>
      <c r="AQ158" s="206" t="s">
        <v>248</v>
      </c>
    </row>
    <row r="159" customFormat="1" ht="14.5" spans="10:43">
      <c r="J159">
        <f t="shared" ref="J159:P159" si="28">J158</f>
        <v>12.85</v>
      </c>
      <c r="K159">
        <f t="shared" si="28"/>
        <v>20</v>
      </c>
      <c r="L159">
        <f t="shared" si="28"/>
        <v>29.3</v>
      </c>
      <c r="M159">
        <f t="shared" si="28"/>
        <v>2</v>
      </c>
      <c r="N159">
        <f t="shared" si="28"/>
        <v>2.5</v>
      </c>
      <c r="O159">
        <f t="shared" si="28"/>
        <v>8</v>
      </c>
      <c r="P159">
        <f t="shared" si="28"/>
        <v>1</v>
      </c>
      <c r="T159" s="156"/>
      <c r="U159" s="156"/>
      <c r="V159" s="156"/>
      <c r="W159" s="156"/>
      <c r="Y159" s="159"/>
      <c r="Z159" s="207"/>
      <c r="AA159" s="221" t="s">
        <v>320</v>
      </c>
      <c r="AB159" s="221" t="s">
        <v>372</v>
      </c>
      <c r="AC159" s="221" t="s">
        <v>373</v>
      </c>
      <c r="AD159" s="221" t="s">
        <v>374</v>
      </c>
      <c r="AE159" s="221" t="s">
        <v>194</v>
      </c>
      <c r="AF159" s="207"/>
      <c r="AG159" s="207"/>
      <c r="AI159" s="206"/>
      <c r="AJ159" s="206" t="s">
        <v>312</v>
      </c>
      <c r="AK159" s="206"/>
      <c r="AL159" s="206"/>
      <c r="AM159" s="206"/>
      <c r="AN159" s="206"/>
      <c r="AO159" s="206"/>
      <c r="AP159" s="206"/>
      <c r="AQ159" s="206" t="s">
        <v>248</v>
      </c>
    </row>
    <row r="160" customFormat="1" ht="14.5" spans="2:43">
      <c r="B160" s="206" t="s">
        <v>310</v>
      </c>
      <c r="C160" s="206"/>
      <c r="D160" s="206"/>
      <c r="E160" s="158"/>
      <c r="F160" s="158"/>
      <c r="G160" s="158"/>
      <c r="H160" s="158"/>
      <c r="I160" s="158"/>
      <c r="J160">
        <f t="shared" ref="J160:P160" si="29">J159</f>
        <v>12.85</v>
      </c>
      <c r="K160">
        <f t="shared" si="29"/>
        <v>20</v>
      </c>
      <c r="L160">
        <f t="shared" si="29"/>
        <v>29.3</v>
      </c>
      <c r="M160">
        <f t="shared" si="29"/>
        <v>2</v>
      </c>
      <c r="N160">
        <f t="shared" si="29"/>
        <v>2.5</v>
      </c>
      <c r="O160">
        <f t="shared" si="29"/>
        <v>8</v>
      </c>
      <c r="P160">
        <f t="shared" si="29"/>
        <v>1</v>
      </c>
      <c r="Q160" s="220"/>
      <c r="R160" s="158"/>
      <c r="S160" s="158"/>
      <c r="T160" s="158"/>
      <c r="U160" s="158"/>
      <c r="V160" s="158"/>
      <c r="W160" s="157"/>
      <c r="Y160" s="159"/>
      <c r="Z160" s="207"/>
      <c r="AA160" s="221" t="s">
        <v>321</v>
      </c>
      <c r="AB160" s="221" t="s">
        <v>372</v>
      </c>
      <c r="AC160" s="221" t="s">
        <v>373</v>
      </c>
      <c r="AD160" s="221" t="s">
        <v>374</v>
      </c>
      <c r="AE160" s="221" t="s">
        <v>194</v>
      </c>
      <c r="AF160" s="207"/>
      <c r="AG160" s="207"/>
      <c r="AI160" s="206"/>
      <c r="AJ160" s="206" t="s">
        <v>313</v>
      </c>
      <c r="AK160" s="206"/>
      <c r="AL160" s="206"/>
      <c r="AM160" s="206"/>
      <c r="AN160" s="206"/>
      <c r="AO160" s="206"/>
      <c r="AP160" s="206"/>
      <c r="AQ160" s="206" t="s">
        <v>248</v>
      </c>
    </row>
    <row r="161" customFormat="1" ht="14.5" spans="2:43">
      <c r="B161" s="206" t="s">
        <v>252</v>
      </c>
      <c r="C161" s="206" t="s">
        <v>375</v>
      </c>
      <c r="D161" s="206" t="s">
        <v>376</v>
      </c>
      <c r="E161" s="158"/>
      <c r="F161" s="158"/>
      <c r="G161" s="158"/>
      <c r="H161" s="158"/>
      <c r="I161" s="158"/>
      <c r="J161">
        <f t="shared" ref="J161:P161" si="30">J160</f>
        <v>12.85</v>
      </c>
      <c r="K161">
        <f t="shared" si="30"/>
        <v>20</v>
      </c>
      <c r="L161">
        <f t="shared" si="30"/>
        <v>29.3</v>
      </c>
      <c r="M161">
        <f t="shared" si="30"/>
        <v>2</v>
      </c>
      <c r="N161">
        <f t="shared" si="30"/>
        <v>2.5</v>
      </c>
      <c r="O161">
        <f t="shared" si="30"/>
        <v>8</v>
      </c>
      <c r="P161">
        <f t="shared" si="30"/>
        <v>1</v>
      </c>
      <c r="U161" s="158"/>
      <c r="V161" s="158"/>
      <c r="W161" s="157"/>
      <c r="Y161" s="159"/>
      <c r="Z161" s="207"/>
      <c r="AA161" s="221" t="s">
        <v>322</v>
      </c>
      <c r="AB161" s="221" t="s">
        <v>372</v>
      </c>
      <c r="AC161" s="221" t="s">
        <v>373</v>
      </c>
      <c r="AD161" s="221" t="s">
        <v>374</v>
      </c>
      <c r="AE161" s="221" t="s">
        <v>194</v>
      </c>
      <c r="AF161" s="207"/>
      <c r="AG161" s="207"/>
      <c r="AI161" s="206"/>
      <c r="AJ161" s="206" t="s">
        <v>314</v>
      </c>
      <c r="AK161" s="206"/>
      <c r="AL161" s="206"/>
      <c r="AM161" s="206"/>
      <c r="AN161" s="206"/>
      <c r="AO161" s="206"/>
      <c r="AP161" s="206"/>
      <c r="AQ161" s="206" t="s">
        <v>248</v>
      </c>
    </row>
    <row r="162" customFormat="1" ht="14.5" spans="2:43">
      <c r="B162" s="206" t="s">
        <v>263</v>
      </c>
      <c r="C162" s="206" t="s">
        <v>377</v>
      </c>
      <c r="D162" s="206">
        <v>1</v>
      </c>
      <c r="E162" s="158"/>
      <c r="F162" s="158"/>
      <c r="G162" s="158"/>
      <c r="H162" s="158"/>
      <c r="I162" s="158"/>
      <c r="U162" s="158"/>
      <c r="V162" s="158"/>
      <c r="W162" s="157"/>
      <c r="Y162" s="159"/>
      <c r="Z162" s="207"/>
      <c r="AA162" s="221" t="s">
        <v>323</v>
      </c>
      <c r="AB162" s="221" t="s">
        <v>372</v>
      </c>
      <c r="AC162" s="221" t="s">
        <v>373</v>
      </c>
      <c r="AD162" s="221" t="s">
        <v>374</v>
      </c>
      <c r="AE162" s="221" t="s">
        <v>194</v>
      </c>
      <c r="AF162" s="207"/>
      <c r="AG162" s="207"/>
      <c r="AH162" s="165"/>
      <c r="AI162" s="206"/>
      <c r="AJ162" s="206" t="s">
        <v>315</v>
      </c>
      <c r="AK162" s="206"/>
      <c r="AL162" s="206"/>
      <c r="AM162" s="206"/>
      <c r="AN162" s="206"/>
      <c r="AO162" s="206"/>
      <c r="AP162" s="206"/>
      <c r="AQ162" s="206" t="s">
        <v>248</v>
      </c>
    </row>
    <row r="163" customFormat="1" ht="14.5" spans="2:43">
      <c r="B163" s="206" t="s">
        <v>268</v>
      </c>
      <c r="C163" s="206" t="s">
        <v>378</v>
      </c>
      <c r="D163" s="206">
        <v>1</v>
      </c>
      <c r="E163" s="158"/>
      <c r="F163" s="158"/>
      <c r="G163" s="158"/>
      <c r="H163" s="158"/>
      <c r="I163" s="158"/>
      <c r="U163" s="158"/>
      <c r="V163" s="158"/>
      <c r="W163" s="157"/>
      <c r="Y163" s="159"/>
      <c r="Z163" s="207"/>
      <c r="AA163" s="221" t="s">
        <v>324</v>
      </c>
      <c r="AB163" s="221" t="s">
        <v>372</v>
      </c>
      <c r="AC163" s="221" t="s">
        <v>373</v>
      </c>
      <c r="AD163" s="221" t="s">
        <v>374</v>
      </c>
      <c r="AE163" s="221" t="s">
        <v>194</v>
      </c>
      <c r="AF163" s="207"/>
      <c r="AG163" s="207"/>
      <c r="AH163" s="165"/>
      <c r="AI163" s="206"/>
      <c r="AJ163" s="206" t="s">
        <v>316</v>
      </c>
      <c r="AK163" s="206"/>
      <c r="AL163" s="206"/>
      <c r="AM163" s="206"/>
      <c r="AN163" s="206"/>
      <c r="AO163" s="206"/>
      <c r="AP163" s="206"/>
      <c r="AQ163" s="206" t="s">
        <v>248</v>
      </c>
    </row>
    <row r="164" customFormat="1" ht="14.5" spans="2:43">
      <c r="B164" s="206" t="s">
        <v>270</v>
      </c>
      <c r="C164" s="206" t="s">
        <v>379</v>
      </c>
      <c r="D164" s="206">
        <v>1</v>
      </c>
      <c r="E164" s="158"/>
      <c r="F164" s="158"/>
      <c r="G164" s="158"/>
      <c r="H164" s="158"/>
      <c r="I164" s="158"/>
      <c r="U164" s="158"/>
      <c r="V164" s="158"/>
      <c r="W164" s="157"/>
      <c r="Y164" s="159"/>
      <c r="Z164" s="207"/>
      <c r="AA164" s="221" t="s">
        <v>325</v>
      </c>
      <c r="AB164" s="221" t="s">
        <v>372</v>
      </c>
      <c r="AC164" s="221" t="s">
        <v>373</v>
      </c>
      <c r="AD164" s="221" t="s">
        <v>374</v>
      </c>
      <c r="AE164" s="221" t="s">
        <v>194</v>
      </c>
      <c r="AF164" s="207"/>
      <c r="AG164" s="207"/>
      <c r="AH164" s="165"/>
      <c r="AI164" s="206"/>
      <c r="AJ164" s="206" t="s">
        <v>317</v>
      </c>
      <c r="AK164" s="206"/>
      <c r="AL164" s="206"/>
      <c r="AM164" s="206"/>
      <c r="AN164" s="206"/>
      <c r="AO164" s="206"/>
      <c r="AP164" s="206"/>
      <c r="AQ164" s="206" t="s">
        <v>248</v>
      </c>
    </row>
    <row r="165" customFormat="1" ht="14.5" spans="2:43">
      <c r="B165" s="206" t="s">
        <v>271</v>
      </c>
      <c r="C165" s="206" t="s">
        <v>380</v>
      </c>
      <c r="D165" s="206">
        <v>1</v>
      </c>
      <c r="E165" s="158"/>
      <c r="F165" s="158"/>
      <c r="G165" s="158"/>
      <c r="H165" s="158"/>
      <c r="I165" s="158"/>
      <c r="U165" s="158"/>
      <c r="V165" s="158"/>
      <c r="W165" s="157"/>
      <c r="Y165" s="159"/>
      <c r="Z165" s="207"/>
      <c r="AA165" s="207" t="s">
        <v>326</v>
      </c>
      <c r="AB165" s="207" t="s">
        <v>381</v>
      </c>
      <c r="AC165" s="221" t="s">
        <v>373</v>
      </c>
      <c r="AD165" s="221" t="s">
        <v>374</v>
      </c>
      <c r="AE165" s="207" t="str">
        <f>AE164</f>
        <v>DAYNITE</v>
      </c>
      <c r="AF165" s="207"/>
      <c r="AG165" s="207"/>
      <c r="AH165" s="156"/>
      <c r="AI165" s="206"/>
      <c r="AJ165" s="206" t="s">
        <v>377</v>
      </c>
      <c r="AK165" s="206"/>
      <c r="AL165" s="206"/>
      <c r="AM165" s="206"/>
      <c r="AN165" s="206"/>
      <c r="AO165" s="206"/>
      <c r="AP165" s="206"/>
      <c r="AQ165" s="206" t="s">
        <v>248</v>
      </c>
    </row>
    <row r="166" s="156" customFormat="1" ht="14.5" spans="2:60">
      <c r="B166" s="206" t="s">
        <v>272</v>
      </c>
      <c r="C166" s="206" t="s">
        <v>382</v>
      </c>
      <c r="D166" s="206">
        <v>1</v>
      </c>
      <c r="E166" s="158"/>
      <c r="F166" s="158"/>
      <c r="G166" s="158"/>
      <c r="H166" s="158"/>
      <c r="I166" s="158"/>
      <c r="U166" s="158"/>
      <c r="V166" s="158"/>
      <c r="W166" s="157"/>
      <c r="Y166" s="159"/>
      <c r="Z166" s="207"/>
      <c r="AA166" s="207" t="s">
        <v>327</v>
      </c>
      <c r="AB166" s="207" t="s">
        <v>381</v>
      </c>
      <c r="AC166" s="221" t="s">
        <v>373</v>
      </c>
      <c r="AD166" s="221" t="s">
        <v>374</v>
      </c>
      <c r="AE166" s="207" t="str">
        <f t="shared" ref="AE166:AE172" si="31">AE165</f>
        <v>DAYNITE</v>
      </c>
      <c r="AF166" s="207"/>
      <c r="AG166" s="207"/>
      <c r="AI166" s="206"/>
      <c r="AJ166" s="206" t="s">
        <v>378</v>
      </c>
      <c r="AK166" s="206"/>
      <c r="AL166" s="206"/>
      <c r="AM166" s="206"/>
      <c r="AN166" s="206"/>
      <c r="AO166" s="206"/>
      <c r="AP166" s="206"/>
      <c r="AQ166" s="206" t="s">
        <v>248</v>
      </c>
      <c r="AR166" s="165"/>
      <c r="AS166" s="165"/>
      <c r="AT166" s="165"/>
      <c r="AU166" s="165"/>
      <c r="AV166" s="165"/>
      <c r="AW166" s="165"/>
      <c r="AX166" s="165"/>
      <c r="BA166" s="165"/>
      <c r="BB166" s="165"/>
      <c r="BC166" s="165"/>
      <c r="BD166" s="165"/>
      <c r="BE166" s="165"/>
      <c r="BF166" s="165"/>
      <c r="BG166" s="165"/>
      <c r="BH166" s="165"/>
    </row>
    <row r="167" s="156" customFormat="1" ht="14.5" spans="2:60">
      <c r="B167" s="206" t="s">
        <v>273</v>
      </c>
      <c r="C167" s="206" t="s">
        <v>383</v>
      </c>
      <c r="D167" s="206">
        <v>1</v>
      </c>
      <c r="E167" s="158"/>
      <c r="F167" s="158"/>
      <c r="G167" s="158"/>
      <c r="H167" s="158"/>
      <c r="I167" s="158"/>
      <c r="U167" s="158"/>
      <c r="V167" s="158"/>
      <c r="W167" s="157"/>
      <c r="Y167" s="159"/>
      <c r="Z167" s="207"/>
      <c r="AA167" s="207" t="s">
        <v>328</v>
      </c>
      <c r="AB167" s="207" t="s">
        <v>381</v>
      </c>
      <c r="AC167" s="221" t="s">
        <v>373</v>
      </c>
      <c r="AD167" s="221" t="s">
        <v>374</v>
      </c>
      <c r="AE167" s="207" t="str">
        <f t="shared" si="31"/>
        <v>DAYNITE</v>
      </c>
      <c r="AF167" s="207"/>
      <c r="AG167" s="207"/>
      <c r="AI167" s="206"/>
      <c r="AJ167" s="206" t="s">
        <v>379</v>
      </c>
      <c r="AK167" s="206"/>
      <c r="AL167" s="206"/>
      <c r="AM167" s="206"/>
      <c r="AN167" s="206"/>
      <c r="AO167" s="206"/>
      <c r="AP167" s="206"/>
      <c r="AQ167" s="206" t="s">
        <v>248</v>
      </c>
      <c r="AR167" s="165"/>
      <c r="AS167" s="165"/>
      <c r="AT167" s="165"/>
      <c r="AU167" s="165"/>
      <c r="AV167" s="165"/>
      <c r="AW167" s="165"/>
      <c r="AX167" s="165"/>
      <c r="BA167" s="165"/>
      <c r="BB167" s="165"/>
      <c r="BC167" s="165"/>
      <c r="BD167" s="165"/>
      <c r="BE167" s="165"/>
      <c r="BF167" s="165"/>
      <c r="BG167" s="165"/>
      <c r="BH167" s="165"/>
    </row>
    <row r="168" s="156" customFormat="1" ht="14.5" spans="2:60">
      <c r="B168" s="206" t="s">
        <v>274</v>
      </c>
      <c r="C168" s="206" t="s">
        <v>384</v>
      </c>
      <c r="D168" s="206">
        <v>1</v>
      </c>
      <c r="E168" s="158"/>
      <c r="F168" s="158"/>
      <c r="G168" s="158"/>
      <c r="H168" s="158"/>
      <c r="I168" s="158"/>
      <c r="U168" s="158"/>
      <c r="V168" s="158"/>
      <c r="W168" s="157"/>
      <c r="Y168" s="159"/>
      <c r="Z168" s="207"/>
      <c r="AA168" s="207" t="s">
        <v>329</v>
      </c>
      <c r="AB168" s="207" t="s">
        <v>381</v>
      </c>
      <c r="AC168" s="221" t="s">
        <v>373</v>
      </c>
      <c r="AD168" s="221" t="s">
        <v>374</v>
      </c>
      <c r="AE168" s="207" t="str">
        <f t="shared" si="31"/>
        <v>DAYNITE</v>
      </c>
      <c r="AF168" s="207"/>
      <c r="AG168" s="207"/>
      <c r="AH168" s="157"/>
      <c r="AI168" s="206"/>
      <c r="AJ168" s="206" t="s">
        <v>380</v>
      </c>
      <c r="AK168" s="206"/>
      <c r="AL168" s="206"/>
      <c r="AM168" s="206"/>
      <c r="AN168" s="206"/>
      <c r="AO168" s="206"/>
      <c r="AP168" s="206"/>
      <c r="AQ168" s="206" t="s">
        <v>248</v>
      </c>
      <c r="AR168" s="165"/>
      <c r="AS168" s="165"/>
      <c r="AT168" s="165"/>
      <c r="AU168" s="165"/>
      <c r="AV168" s="165"/>
      <c r="AW168" s="165"/>
      <c r="AX168" s="165"/>
      <c r="BA168" s="165"/>
      <c r="BB168" s="165"/>
      <c r="BC168" s="165"/>
      <c r="BD168" s="165"/>
      <c r="BE168" s="165"/>
      <c r="BF168" s="165"/>
      <c r="BG168" s="165"/>
      <c r="BH168" s="165"/>
    </row>
    <row r="169" s="156" customFormat="1" ht="14.5" spans="3:43">
      <c r="C169" s="213"/>
      <c r="D169" s="213"/>
      <c r="E169" s="213"/>
      <c r="F169" s="213"/>
      <c r="G169" s="213"/>
      <c r="H169" s="213"/>
      <c r="I169" s="213"/>
      <c r="J169" s="157"/>
      <c r="K169" s="157"/>
      <c r="P169" s="158"/>
      <c r="S169" s="157"/>
      <c r="T169" s="158"/>
      <c r="U169" s="158"/>
      <c r="V169" s="158"/>
      <c r="W169" s="157"/>
      <c r="Y169" s="159"/>
      <c r="Z169" s="207"/>
      <c r="AA169" s="207" t="s">
        <v>330</v>
      </c>
      <c r="AB169" s="207" t="s">
        <v>381</v>
      </c>
      <c r="AC169" s="221" t="s">
        <v>373</v>
      </c>
      <c r="AD169" s="221" t="s">
        <v>374</v>
      </c>
      <c r="AE169" s="207" t="str">
        <f t="shared" si="31"/>
        <v>DAYNITE</v>
      </c>
      <c r="AF169" s="207"/>
      <c r="AG169" s="207"/>
      <c r="AH169" s="157"/>
      <c r="AI169" s="206"/>
      <c r="AJ169" s="206" t="s">
        <v>382</v>
      </c>
      <c r="AK169" s="206"/>
      <c r="AL169" s="206"/>
      <c r="AM169" s="206"/>
      <c r="AN169" s="206"/>
      <c r="AO169" s="206"/>
      <c r="AP169" s="206"/>
      <c r="AQ169" s="206" t="s">
        <v>248</v>
      </c>
    </row>
    <row r="170" s="156" customFormat="1" ht="14.5" spans="10:43">
      <c r="J170" s="157"/>
      <c r="K170" s="157"/>
      <c r="P170" s="158"/>
      <c r="S170" s="157"/>
      <c r="T170" s="158"/>
      <c r="U170" s="158"/>
      <c r="V170" s="158"/>
      <c r="W170" s="157"/>
      <c r="Y170" s="159"/>
      <c r="Z170" s="207"/>
      <c r="AA170" s="207" t="s">
        <v>331</v>
      </c>
      <c r="AB170" s="207" t="s">
        <v>381</v>
      </c>
      <c r="AC170" s="221" t="s">
        <v>373</v>
      </c>
      <c r="AD170" s="221" t="s">
        <v>374</v>
      </c>
      <c r="AE170" s="207" t="str">
        <f t="shared" si="31"/>
        <v>DAYNITE</v>
      </c>
      <c r="AF170" s="207"/>
      <c r="AG170" s="207"/>
      <c r="AH170" s="157"/>
      <c r="AI170" s="206"/>
      <c r="AJ170" s="206" t="s">
        <v>383</v>
      </c>
      <c r="AK170" s="206"/>
      <c r="AL170" s="206"/>
      <c r="AM170" s="206"/>
      <c r="AN170" s="206"/>
      <c r="AO170" s="206"/>
      <c r="AP170" s="206"/>
      <c r="AQ170" s="206" t="s">
        <v>248</v>
      </c>
    </row>
    <row r="171" s="156" customFormat="1" ht="14.5" spans="10:43">
      <c r="J171" s="157"/>
      <c r="K171" s="157"/>
      <c r="P171" s="158"/>
      <c r="S171" s="157"/>
      <c r="T171" s="158"/>
      <c r="U171" s="158"/>
      <c r="V171" s="158"/>
      <c r="W171" s="157"/>
      <c r="Y171" s="159"/>
      <c r="Z171" s="207"/>
      <c r="AA171" s="207" t="s">
        <v>332</v>
      </c>
      <c r="AB171" s="207" t="s">
        <v>381</v>
      </c>
      <c r="AC171" s="221" t="s">
        <v>373</v>
      </c>
      <c r="AD171" s="221" t="s">
        <v>374</v>
      </c>
      <c r="AE171" s="207" t="str">
        <f t="shared" si="31"/>
        <v>DAYNITE</v>
      </c>
      <c r="AF171" s="207"/>
      <c r="AG171" s="207"/>
      <c r="AH171" s="157"/>
      <c r="AI171" s="206"/>
      <c r="AJ171" s="206" t="s">
        <v>384</v>
      </c>
      <c r="AK171" s="206"/>
      <c r="AL171" s="206"/>
      <c r="AM171" s="206"/>
      <c r="AN171" s="206"/>
      <c r="AO171" s="206"/>
      <c r="AP171" s="206"/>
      <c r="AQ171" s="206" t="s">
        <v>248</v>
      </c>
    </row>
    <row r="172" s="157" customFormat="1" ht="14.5" spans="2:43">
      <c r="B172" s="186"/>
      <c r="C172" s="186" t="s">
        <v>318</v>
      </c>
      <c r="D172" s="186"/>
      <c r="E172" s="206"/>
      <c r="P172" s="158"/>
      <c r="T172" s="158"/>
      <c r="U172" s="158"/>
      <c r="V172" s="158"/>
      <c r="Y172"/>
      <c r="Z172" s="207"/>
      <c r="AA172" s="207" t="s">
        <v>333</v>
      </c>
      <c r="AB172" s="207" t="s">
        <v>385</v>
      </c>
      <c r="AC172" s="221" t="s">
        <v>373</v>
      </c>
      <c r="AD172" s="221" t="s">
        <v>374</v>
      </c>
      <c r="AE172" s="207" t="str">
        <f t="shared" si="31"/>
        <v>DAYNITE</v>
      </c>
      <c r="AF172" s="207"/>
      <c r="AG172" s="207"/>
      <c r="AH172" s="165"/>
      <c r="AI172" s="206"/>
      <c r="AJ172" s="206" t="s">
        <v>377</v>
      </c>
      <c r="AK172" s="206"/>
      <c r="AL172" s="206"/>
      <c r="AM172" s="206"/>
      <c r="AN172" s="206"/>
      <c r="AO172" s="206"/>
      <c r="AP172" s="206"/>
      <c r="AQ172" s="206" t="s">
        <v>248</v>
      </c>
    </row>
    <row r="173" s="157" customFormat="1" ht="16" spans="2:43">
      <c r="B173" s="186" t="s">
        <v>252</v>
      </c>
      <c r="C173" s="186" t="s">
        <v>254</v>
      </c>
      <c r="D173" s="186" t="s">
        <v>76</v>
      </c>
      <c r="E173" s="206" t="s">
        <v>73</v>
      </c>
      <c r="F173" s="135" t="s">
        <v>386</v>
      </c>
      <c r="G173" s="157" t="s">
        <v>387</v>
      </c>
      <c r="P173" s="158"/>
      <c r="T173" s="158"/>
      <c r="U173" s="158"/>
      <c r="V173" s="158"/>
      <c r="Y173"/>
      <c r="Z173" s="207"/>
      <c r="AA173" s="207" t="s">
        <v>334</v>
      </c>
      <c r="AB173" s="207" t="s">
        <v>385</v>
      </c>
      <c r="AC173" s="221" t="s">
        <v>373</v>
      </c>
      <c r="AD173" s="221" t="s">
        <v>374</v>
      </c>
      <c r="AE173" s="207" t="str">
        <f t="shared" ref="AE173:AE178" si="32">AE172</f>
        <v>DAYNITE</v>
      </c>
      <c r="AF173" s="207"/>
      <c r="AG173" s="207"/>
      <c r="AH173" s="165"/>
      <c r="AI173" s="206"/>
      <c r="AJ173" s="206" t="s">
        <v>378</v>
      </c>
      <c r="AK173" s="206"/>
      <c r="AL173" s="206"/>
      <c r="AM173" s="206"/>
      <c r="AN173" s="206"/>
      <c r="AO173" s="206"/>
      <c r="AP173" s="206"/>
      <c r="AQ173" s="206" t="s">
        <v>248</v>
      </c>
    </row>
    <row r="174" s="157" customFormat="1" ht="14.5" spans="2:43">
      <c r="B174" s="186" t="s">
        <v>388</v>
      </c>
      <c r="C174" s="186" t="s">
        <v>377</v>
      </c>
      <c r="D174" s="186" t="s">
        <v>311</v>
      </c>
      <c r="E174" s="206">
        <v>1</v>
      </c>
      <c r="F174" s="157">
        <v>2</v>
      </c>
      <c r="G174" s="157">
        <v>1</v>
      </c>
      <c r="T174" s="158"/>
      <c r="U174" s="158"/>
      <c r="V174" s="158"/>
      <c r="Y174"/>
      <c r="Z174" s="207"/>
      <c r="AA174" s="207" t="s">
        <v>335</v>
      </c>
      <c r="AB174" s="207" t="s">
        <v>385</v>
      </c>
      <c r="AC174" s="221" t="s">
        <v>373</v>
      </c>
      <c r="AD174" s="221" t="s">
        <v>374</v>
      </c>
      <c r="AE174" s="207" t="str">
        <f t="shared" si="32"/>
        <v>DAYNITE</v>
      </c>
      <c r="AF174" s="207"/>
      <c r="AG174" s="207"/>
      <c r="AH174" s="165"/>
      <c r="AI174" s="206"/>
      <c r="AJ174" s="206" t="s">
        <v>379</v>
      </c>
      <c r="AK174" s="206"/>
      <c r="AL174" s="206"/>
      <c r="AM174" s="206"/>
      <c r="AN174" s="206"/>
      <c r="AO174" s="206"/>
      <c r="AP174" s="206"/>
      <c r="AQ174" s="206" t="s">
        <v>248</v>
      </c>
    </row>
    <row r="175" s="157" customFormat="1" ht="14.5" spans="2:43">
      <c r="B175" s="186" t="s">
        <v>389</v>
      </c>
      <c r="C175" s="186" t="s">
        <v>378</v>
      </c>
      <c r="D175" s="186" t="s">
        <v>312</v>
      </c>
      <c r="E175" s="206">
        <v>1</v>
      </c>
      <c r="F175" s="157">
        <v>2</v>
      </c>
      <c r="G175" s="157">
        <v>1</v>
      </c>
      <c r="T175" s="158"/>
      <c r="U175" s="158"/>
      <c r="V175" s="158"/>
      <c r="Y175"/>
      <c r="Z175" s="207"/>
      <c r="AA175" s="207" t="s">
        <v>336</v>
      </c>
      <c r="AB175" s="207" t="s">
        <v>385</v>
      </c>
      <c r="AC175" s="221" t="s">
        <v>373</v>
      </c>
      <c r="AD175" s="221" t="s">
        <v>374</v>
      </c>
      <c r="AE175" s="207" t="str">
        <f t="shared" si="32"/>
        <v>DAYNITE</v>
      </c>
      <c r="AF175" s="207"/>
      <c r="AG175" s="207"/>
      <c r="AI175" s="206"/>
      <c r="AJ175" s="206" t="s">
        <v>380</v>
      </c>
      <c r="AK175" s="206"/>
      <c r="AL175" s="206"/>
      <c r="AM175" s="206"/>
      <c r="AN175" s="206"/>
      <c r="AO175" s="206"/>
      <c r="AP175" s="206"/>
      <c r="AQ175" s="206" t="s">
        <v>248</v>
      </c>
    </row>
    <row r="176" s="157" customFormat="1" ht="14.5" spans="2:60">
      <c r="B176" s="186" t="s">
        <v>390</v>
      </c>
      <c r="C176" s="186" t="s">
        <v>379</v>
      </c>
      <c r="D176" s="186" t="s">
        <v>313</v>
      </c>
      <c r="E176" s="206">
        <v>1</v>
      </c>
      <c r="F176" s="157">
        <v>2</v>
      </c>
      <c r="G176" s="157">
        <v>1</v>
      </c>
      <c r="T176" s="158"/>
      <c r="U176" s="158"/>
      <c r="V176" s="158"/>
      <c r="Y176"/>
      <c r="Z176" s="207"/>
      <c r="AA176" s="207" t="s">
        <v>337</v>
      </c>
      <c r="AB176" s="207" t="s">
        <v>385</v>
      </c>
      <c r="AC176" s="221" t="s">
        <v>373</v>
      </c>
      <c r="AD176" s="221" t="s">
        <v>374</v>
      </c>
      <c r="AE176" s="207" t="str">
        <f t="shared" si="32"/>
        <v>DAYNITE</v>
      </c>
      <c r="AF176" s="207"/>
      <c r="AG176" s="207"/>
      <c r="AI176" s="206"/>
      <c r="AJ176" s="206" t="s">
        <v>382</v>
      </c>
      <c r="AK176" s="206"/>
      <c r="AL176" s="206"/>
      <c r="AM176" s="206"/>
      <c r="AN176" s="206"/>
      <c r="AO176" s="206"/>
      <c r="AP176" s="206"/>
      <c r="AQ176" s="206" t="s">
        <v>248</v>
      </c>
      <c r="AR176" s="165"/>
      <c r="AS176" s="165"/>
      <c r="AT176" s="165"/>
      <c r="AU176" s="165"/>
      <c r="AW176" s="165"/>
      <c r="AX176" s="165"/>
      <c r="BA176" s="165"/>
      <c r="BB176" s="165"/>
      <c r="BC176" s="165"/>
      <c r="BD176" s="165"/>
      <c r="BE176" s="165"/>
      <c r="BG176" s="165"/>
      <c r="BH176" s="165"/>
    </row>
    <row r="177" s="157" customFormat="1" ht="16" spans="2:60">
      <c r="B177" s="186" t="s">
        <v>391</v>
      </c>
      <c r="C177" s="186" t="s">
        <v>380</v>
      </c>
      <c r="D177" s="186" t="s">
        <v>314</v>
      </c>
      <c r="E177" s="206">
        <v>1</v>
      </c>
      <c r="F177" s="157">
        <v>2</v>
      </c>
      <c r="G177" s="157">
        <v>1</v>
      </c>
      <c r="T177" s="158"/>
      <c r="U177" s="158"/>
      <c r="V177" s="158"/>
      <c r="Y177"/>
      <c r="Z177" s="207"/>
      <c r="AA177" s="207" t="s">
        <v>338</v>
      </c>
      <c r="AB177" s="207" t="s">
        <v>385</v>
      </c>
      <c r="AC177" s="221" t="s">
        <v>373</v>
      </c>
      <c r="AD177" s="221" t="s">
        <v>374</v>
      </c>
      <c r="AE177" s="207" t="str">
        <f t="shared" si="32"/>
        <v>DAYNITE</v>
      </c>
      <c r="AF177" s="207"/>
      <c r="AG177" s="207"/>
      <c r="AI177" s="206"/>
      <c r="AJ177" s="206" t="s">
        <v>383</v>
      </c>
      <c r="AK177" s="206"/>
      <c r="AL177" s="206"/>
      <c r="AM177" s="206"/>
      <c r="AN177" s="206"/>
      <c r="AO177" s="206"/>
      <c r="AP177" s="206"/>
      <c r="AQ177" s="206" t="s">
        <v>248</v>
      </c>
      <c r="AR177" s="165"/>
      <c r="AS177" s="165"/>
      <c r="AT177" s="224"/>
      <c r="AU177" s="165"/>
      <c r="AV177" s="165"/>
      <c r="AW177" s="165"/>
      <c r="AX177" s="165"/>
      <c r="BA177" s="165"/>
      <c r="BB177" s="165"/>
      <c r="BC177" s="165"/>
      <c r="BD177" s="224"/>
      <c r="BE177" s="165"/>
      <c r="BF177" s="165"/>
      <c r="BG177" s="165"/>
      <c r="BH177" s="165"/>
    </row>
    <row r="178" s="157" customFormat="1" ht="14.5" spans="2:60">
      <c r="B178" s="186" t="s">
        <v>392</v>
      </c>
      <c r="C178" s="186" t="s">
        <v>382</v>
      </c>
      <c r="D178" s="186" t="s">
        <v>315</v>
      </c>
      <c r="E178" s="206">
        <v>1</v>
      </c>
      <c r="F178" s="157">
        <v>2</v>
      </c>
      <c r="G178" s="157">
        <v>1</v>
      </c>
      <c r="T178" s="158"/>
      <c r="U178" s="158"/>
      <c r="V178" s="158"/>
      <c r="Y178"/>
      <c r="Z178" s="207"/>
      <c r="AA178" s="207" t="s">
        <v>339</v>
      </c>
      <c r="AB178" s="207" t="s">
        <v>385</v>
      </c>
      <c r="AC178" s="221" t="s">
        <v>373</v>
      </c>
      <c r="AD178" s="221" t="s">
        <v>374</v>
      </c>
      <c r="AE178" s="207" t="str">
        <f t="shared" si="32"/>
        <v>DAYNITE</v>
      </c>
      <c r="AF178" s="207"/>
      <c r="AG178" s="207"/>
      <c r="AI178" s="206"/>
      <c r="AJ178" s="206" t="s">
        <v>384</v>
      </c>
      <c r="AK178" s="206"/>
      <c r="AL178" s="206"/>
      <c r="AM178" s="206"/>
      <c r="AN178" s="206"/>
      <c r="AO178" s="206"/>
      <c r="AP178" s="206"/>
      <c r="AQ178" s="206" t="s">
        <v>248</v>
      </c>
      <c r="AR178" s="165"/>
      <c r="AT178" s="225"/>
      <c r="AU178" s="165"/>
      <c r="AV178" s="165"/>
      <c r="AW178" s="165"/>
      <c r="AX178" s="165"/>
      <c r="BA178" s="165"/>
      <c r="BB178" s="165"/>
      <c r="BD178" s="225"/>
      <c r="BE178" s="165"/>
      <c r="BF178" s="165"/>
      <c r="BG178" s="165"/>
      <c r="BH178" s="165"/>
    </row>
    <row r="179" s="157" customFormat="1" ht="14.5" spans="2:43">
      <c r="B179" s="186" t="s">
        <v>393</v>
      </c>
      <c r="C179" s="186" t="s">
        <v>383</v>
      </c>
      <c r="D179" s="186" t="s">
        <v>316</v>
      </c>
      <c r="E179" s="206">
        <v>1</v>
      </c>
      <c r="F179" s="157">
        <v>2</v>
      </c>
      <c r="G179" s="157">
        <v>1</v>
      </c>
      <c r="T179" s="158"/>
      <c r="U179" s="158"/>
      <c r="V179" s="158"/>
      <c r="Y179"/>
      <c r="Z179" s="207"/>
      <c r="AA179" s="207" t="s">
        <v>362</v>
      </c>
      <c r="AB179" s="207"/>
      <c r="AC179" s="207"/>
      <c r="AD179" s="207"/>
      <c r="AE179" s="207"/>
      <c r="AF179" s="207"/>
      <c r="AG179" s="207"/>
      <c r="AI179" s="206"/>
      <c r="AJ179" s="206" t="s">
        <v>293</v>
      </c>
      <c r="AK179" s="206"/>
      <c r="AL179" s="206"/>
      <c r="AM179" s="206"/>
      <c r="AN179" s="206"/>
      <c r="AO179" s="206"/>
      <c r="AP179" s="206"/>
      <c r="AQ179" s="206" t="s">
        <v>248</v>
      </c>
    </row>
    <row r="180" s="157" customFormat="1" ht="14.5" spans="2:43">
      <c r="B180" s="186" t="s">
        <v>394</v>
      </c>
      <c r="C180" s="186" t="s">
        <v>384</v>
      </c>
      <c r="D180" s="186" t="s">
        <v>317</v>
      </c>
      <c r="E180" s="206">
        <v>1</v>
      </c>
      <c r="F180" s="157">
        <v>2</v>
      </c>
      <c r="G180" s="157">
        <v>1</v>
      </c>
      <c r="T180" s="158"/>
      <c r="U180" s="158"/>
      <c r="V180" s="158"/>
      <c r="Y180"/>
      <c r="Z180" s="207"/>
      <c r="AA180" s="207" t="s">
        <v>388</v>
      </c>
      <c r="AB180" s="207"/>
      <c r="AC180" s="221" t="s">
        <v>373</v>
      </c>
      <c r="AD180" s="221" t="s">
        <v>374</v>
      </c>
      <c r="AE180" s="207" t="s">
        <v>194</v>
      </c>
      <c r="AF180" s="207"/>
      <c r="AG180" s="207"/>
      <c r="AI180" s="206"/>
      <c r="AJ180" s="206" t="s">
        <v>294</v>
      </c>
      <c r="AK180" s="206"/>
      <c r="AL180" s="206"/>
      <c r="AM180" s="206"/>
      <c r="AN180" s="206"/>
      <c r="AO180" s="206"/>
      <c r="AP180" s="206"/>
      <c r="AQ180" s="206" t="s">
        <v>248</v>
      </c>
    </row>
    <row r="181" s="157" customFormat="1" ht="14.5" spans="2:43">
      <c r="B181" s="186" t="s">
        <v>395</v>
      </c>
      <c r="C181" s="186" t="s">
        <v>377</v>
      </c>
      <c r="D181" s="186" t="s">
        <v>293</v>
      </c>
      <c r="E181" s="206">
        <v>1</v>
      </c>
      <c r="F181" s="157">
        <v>0</v>
      </c>
      <c r="G181" s="157">
        <v>1</v>
      </c>
      <c r="T181" s="158"/>
      <c r="U181" s="158"/>
      <c r="V181" s="158"/>
      <c r="Y181"/>
      <c r="Z181" s="207"/>
      <c r="AA181" s="207" t="s">
        <v>389</v>
      </c>
      <c r="AB181" s="207"/>
      <c r="AC181" s="221" t="s">
        <v>373</v>
      </c>
      <c r="AD181" s="221" t="s">
        <v>374</v>
      </c>
      <c r="AE181" s="207" t="s">
        <v>194</v>
      </c>
      <c r="AF181" s="207"/>
      <c r="AG181" s="207"/>
      <c r="AI181" s="206"/>
      <c r="AJ181" s="206" t="s">
        <v>295</v>
      </c>
      <c r="AK181" s="206"/>
      <c r="AL181" s="206"/>
      <c r="AM181" s="206"/>
      <c r="AN181" s="206"/>
      <c r="AO181" s="206"/>
      <c r="AP181" s="206"/>
      <c r="AQ181" s="206" t="s">
        <v>248</v>
      </c>
    </row>
    <row r="182" s="157" customFormat="1" ht="14.5" spans="2:43">
      <c r="B182" s="186" t="s">
        <v>396</v>
      </c>
      <c r="C182" s="186" t="s">
        <v>378</v>
      </c>
      <c r="D182" s="186" t="s">
        <v>294</v>
      </c>
      <c r="E182" s="206">
        <v>1</v>
      </c>
      <c r="F182" s="157">
        <v>0</v>
      </c>
      <c r="G182" s="157">
        <v>1</v>
      </c>
      <c r="T182" s="158"/>
      <c r="U182" s="158"/>
      <c r="V182" s="158"/>
      <c r="Y182"/>
      <c r="Z182" s="207"/>
      <c r="AA182" s="207" t="s">
        <v>390</v>
      </c>
      <c r="AB182" s="207"/>
      <c r="AC182" s="221" t="s">
        <v>373</v>
      </c>
      <c r="AD182" s="221" t="s">
        <v>374</v>
      </c>
      <c r="AE182" s="207" t="s">
        <v>194</v>
      </c>
      <c r="AF182" s="207"/>
      <c r="AG182" s="207"/>
      <c r="AI182" s="206"/>
      <c r="AJ182" s="206" t="s">
        <v>296</v>
      </c>
      <c r="AK182" s="206"/>
      <c r="AL182" s="206"/>
      <c r="AM182" s="206"/>
      <c r="AN182" s="206"/>
      <c r="AO182" s="206"/>
      <c r="AP182" s="206"/>
      <c r="AQ182" s="206" t="s">
        <v>248</v>
      </c>
    </row>
    <row r="183" s="157" customFormat="1" ht="14.5" spans="2:43">
      <c r="B183" s="186" t="s">
        <v>397</v>
      </c>
      <c r="C183" s="186" t="s">
        <v>379</v>
      </c>
      <c r="D183" s="186" t="s">
        <v>295</v>
      </c>
      <c r="E183" s="206">
        <v>1</v>
      </c>
      <c r="F183" s="157">
        <v>0</v>
      </c>
      <c r="G183" s="157">
        <v>1</v>
      </c>
      <c r="Y183"/>
      <c r="Z183" s="207"/>
      <c r="AA183" s="207" t="s">
        <v>391</v>
      </c>
      <c r="AB183" s="207"/>
      <c r="AC183" s="221" t="s">
        <v>373</v>
      </c>
      <c r="AD183" s="221" t="s">
        <v>374</v>
      </c>
      <c r="AE183" s="207" t="s">
        <v>194</v>
      </c>
      <c r="AF183" s="207"/>
      <c r="AG183" s="207"/>
      <c r="AI183" s="206"/>
      <c r="AJ183" s="206" t="s">
        <v>297</v>
      </c>
      <c r="AK183" s="206"/>
      <c r="AL183" s="206"/>
      <c r="AM183" s="206"/>
      <c r="AN183" s="206"/>
      <c r="AO183" s="206"/>
      <c r="AP183" s="206"/>
      <c r="AQ183" s="206" t="s">
        <v>248</v>
      </c>
    </row>
    <row r="184" s="157" customFormat="1" ht="14.5" spans="2:43">
      <c r="B184" s="186" t="s">
        <v>398</v>
      </c>
      <c r="C184" s="186" t="s">
        <v>380</v>
      </c>
      <c r="D184" s="186" t="s">
        <v>296</v>
      </c>
      <c r="E184" s="206">
        <v>1</v>
      </c>
      <c r="F184" s="157">
        <v>0</v>
      </c>
      <c r="G184" s="157">
        <v>1</v>
      </c>
      <c r="Y184"/>
      <c r="Z184" s="207"/>
      <c r="AA184" s="207" t="s">
        <v>392</v>
      </c>
      <c r="AB184" s="207"/>
      <c r="AC184" s="221" t="s">
        <v>373</v>
      </c>
      <c r="AD184" s="221" t="s">
        <v>374</v>
      </c>
      <c r="AE184" s="207" t="s">
        <v>194</v>
      </c>
      <c r="AF184" s="207"/>
      <c r="AG184" s="207"/>
      <c r="AI184" s="206"/>
      <c r="AJ184" s="206" t="s">
        <v>298</v>
      </c>
      <c r="AK184" s="206"/>
      <c r="AL184" s="206"/>
      <c r="AM184" s="206"/>
      <c r="AN184" s="206"/>
      <c r="AO184" s="206"/>
      <c r="AP184" s="206"/>
      <c r="AQ184" s="206" t="s">
        <v>248</v>
      </c>
    </row>
    <row r="185" s="157" customFormat="1" ht="14.5" spans="2:43">
      <c r="B185" s="186" t="s">
        <v>399</v>
      </c>
      <c r="C185" s="186" t="s">
        <v>382</v>
      </c>
      <c r="D185" s="186" t="s">
        <v>297</v>
      </c>
      <c r="E185" s="206">
        <v>1</v>
      </c>
      <c r="F185" s="157">
        <v>0</v>
      </c>
      <c r="G185" s="157">
        <v>1</v>
      </c>
      <c r="Y185"/>
      <c r="Z185" s="207"/>
      <c r="AA185" s="207" t="s">
        <v>393</v>
      </c>
      <c r="AB185" s="207"/>
      <c r="AC185" s="221" t="s">
        <v>373</v>
      </c>
      <c r="AD185" s="221" t="s">
        <v>374</v>
      </c>
      <c r="AE185" s="207" t="s">
        <v>194</v>
      </c>
      <c r="AF185" s="207"/>
      <c r="AG185" s="207"/>
      <c r="AI185" s="223"/>
      <c r="AJ185" s="223" t="s">
        <v>299</v>
      </c>
      <c r="AK185" s="206"/>
      <c r="AL185" s="206"/>
      <c r="AM185" s="206"/>
      <c r="AN185" s="206"/>
      <c r="AO185" s="206"/>
      <c r="AP185" s="206"/>
      <c r="AQ185" s="223" t="s">
        <v>248</v>
      </c>
    </row>
    <row r="186" s="157" customFormat="1" ht="14.5" spans="2:43">
      <c r="B186" s="186" t="s">
        <v>400</v>
      </c>
      <c r="C186" s="186" t="s">
        <v>383</v>
      </c>
      <c r="D186" s="186" t="s">
        <v>298</v>
      </c>
      <c r="E186" s="206">
        <v>1</v>
      </c>
      <c r="F186" s="157">
        <v>0</v>
      </c>
      <c r="G186" s="157">
        <v>1</v>
      </c>
      <c r="Y186"/>
      <c r="Z186" s="207"/>
      <c r="AA186" s="207" t="s">
        <v>394</v>
      </c>
      <c r="AB186" s="207"/>
      <c r="AC186" s="221" t="s">
        <v>373</v>
      </c>
      <c r="AD186" s="221" t="s">
        <v>374</v>
      </c>
      <c r="AE186" s="207" t="s">
        <v>194</v>
      </c>
      <c r="AF186" s="207"/>
      <c r="AG186" s="207"/>
      <c r="AH186" s="158"/>
      <c r="AI186" s="158"/>
      <c r="AJ186" s="213"/>
      <c r="AK186" s="156"/>
      <c r="AL186" s="156"/>
      <c r="AM186"/>
      <c r="AN186"/>
      <c r="AO186"/>
      <c r="AP186"/>
      <c r="AQ186"/>
    </row>
    <row r="187" s="157" customFormat="1" ht="14.5" spans="2:43">
      <c r="B187" s="186" t="s">
        <v>401</v>
      </c>
      <c r="C187" s="186" t="s">
        <v>384</v>
      </c>
      <c r="D187" s="186" t="s">
        <v>299</v>
      </c>
      <c r="E187" s="206">
        <v>1</v>
      </c>
      <c r="F187" s="157">
        <v>0</v>
      </c>
      <c r="G187" s="157">
        <v>1</v>
      </c>
      <c r="Y187" s="156"/>
      <c r="Z187" s="207"/>
      <c r="AA187" s="207" t="s">
        <v>395</v>
      </c>
      <c r="AB187" s="207"/>
      <c r="AC187" s="221" t="s">
        <v>373</v>
      </c>
      <c r="AD187" s="221" t="s">
        <v>374</v>
      </c>
      <c r="AE187" s="207" t="s">
        <v>194</v>
      </c>
      <c r="AF187" s="207"/>
      <c r="AG187" s="207"/>
      <c r="AH187" s="158"/>
      <c r="AI187" s="158"/>
      <c r="AJ187" s="213"/>
      <c r="AK187" s="156"/>
      <c r="AL187" s="156"/>
      <c r="AM187" s="156"/>
      <c r="AN187" s="156"/>
      <c r="AO187" s="156"/>
      <c r="AP187" s="156"/>
      <c r="AQ187" s="156"/>
    </row>
    <row r="188" s="157" customFormat="1" ht="14.5" spans="25:43">
      <c r="Y188" s="156"/>
      <c r="Z188" s="207"/>
      <c r="AA188" s="207" t="s">
        <v>396</v>
      </c>
      <c r="AB188" s="207"/>
      <c r="AC188" s="221" t="s">
        <v>373</v>
      </c>
      <c r="AD188" s="221" t="s">
        <v>374</v>
      </c>
      <c r="AE188" s="207" t="s">
        <v>194</v>
      </c>
      <c r="AF188" s="207"/>
      <c r="AG188" s="207"/>
      <c r="AH188" s="220"/>
      <c r="AI188" s="158"/>
      <c r="AJ188" s="213"/>
      <c r="AK188" s="156"/>
      <c r="AL188" s="156"/>
      <c r="AM188" s="156"/>
      <c r="AN188" s="156"/>
      <c r="AO188" s="156"/>
      <c r="AP188" s="156"/>
      <c r="AQ188" s="156"/>
    </row>
    <row r="189" s="157" customFormat="1" ht="14.5" spans="25:43">
      <c r="Y189" s="156"/>
      <c r="Z189" s="207"/>
      <c r="AA189" s="207" t="s">
        <v>397</v>
      </c>
      <c r="AB189" s="207"/>
      <c r="AC189" s="221" t="s">
        <v>373</v>
      </c>
      <c r="AD189" s="221" t="s">
        <v>374</v>
      </c>
      <c r="AE189" s="207" t="s">
        <v>194</v>
      </c>
      <c r="AF189" s="207"/>
      <c r="AG189" s="207"/>
      <c r="AH189" s="158"/>
      <c r="AI189" s="158"/>
      <c r="AJ189" s="213"/>
      <c r="AK189" s="156"/>
      <c r="AL189" s="156"/>
      <c r="AM189" s="156"/>
      <c r="AN189" s="156"/>
      <c r="AO189" s="156"/>
      <c r="AP189" s="156"/>
      <c r="AQ189" s="156"/>
    </row>
    <row r="190" s="157" customFormat="1" ht="27.5" spans="1:43">
      <c r="A190" s="214"/>
      <c r="Y190" s="156"/>
      <c r="Z190" s="207"/>
      <c r="AA190" s="207" t="s">
        <v>398</v>
      </c>
      <c r="AB190" s="207"/>
      <c r="AC190" s="221" t="s">
        <v>373</v>
      </c>
      <c r="AD190" s="221" t="s">
        <v>374</v>
      </c>
      <c r="AE190" s="207" t="s">
        <v>194</v>
      </c>
      <c r="AF190" s="207"/>
      <c r="AG190" s="221"/>
      <c r="AH190" s="158"/>
      <c r="AI190" s="158"/>
      <c r="AJ190" s="213"/>
      <c r="AK190" s="156"/>
      <c r="AL190" s="156"/>
      <c r="AM190" s="156"/>
      <c r="AN190" s="156"/>
      <c r="AO190" s="156"/>
      <c r="AP190" s="156"/>
      <c r="AQ190" s="156"/>
    </row>
    <row r="191" s="157" customFormat="1" ht="14.5" spans="25:43">
      <c r="Y191" s="156"/>
      <c r="Z191" s="207"/>
      <c r="AA191" s="207" t="s">
        <v>399</v>
      </c>
      <c r="AB191" s="207"/>
      <c r="AC191" s="221" t="s">
        <v>373</v>
      </c>
      <c r="AD191" s="221" t="s">
        <v>374</v>
      </c>
      <c r="AE191" s="207" t="s">
        <v>194</v>
      </c>
      <c r="AF191" s="207"/>
      <c r="AG191" s="207"/>
      <c r="AH191" s="158"/>
      <c r="AI191" s="158"/>
      <c r="AJ191" s="213"/>
      <c r="AK191" s="156"/>
      <c r="AL191" s="156"/>
      <c r="AM191" s="156"/>
      <c r="AN191" s="156"/>
      <c r="AO191" s="156"/>
      <c r="AP191" s="156"/>
      <c r="AQ191" s="156"/>
    </row>
    <row r="192" s="157" customFormat="1" ht="14.5" spans="24:54">
      <c r="X192" s="165"/>
      <c r="Y192" s="156"/>
      <c r="Z192" s="207"/>
      <c r="AA192" s="207" t="s">
        <v>400</v>
      </c>
      <c r="AB192" s="207"/>
      <c r="AC192" s="221" t="s">
        <v>373</v>
      </c>
      <c r="AD192" s="221" t="s">
        <v>374</v>
      </c>
      <c r="AE192" s="207" t="s">
        <v>194</v>
      </c>
      <c r="AF192" s="207"/>
      <c r="AG192" s="207"/>
      <c r="AH192" s="158"/>
      <c r="AI192" s="158"/>
      <c r="AJ192" s="213"/>
      <c r="AK192" s="156"/>
      <c r="AL192" s="156"/>
      <c r="AM192" s="156"/>
      <c r="AN192" s="156"/>
      <c r="AO192" s="156"/>
      <c r="AP192" s="156"/>
      <c r="AQ192" s="156"/>
      <c r="AR192" s="165"/>
      <c r="BB192" s="165"/>
    </row>
    <row r="193" s="157" customFormat="1" ht="14.5" spans="26:36">
      <c r="Z193" s="207"/>
      <c r="AA193" s="207" t="s">
        <v>401</v>
      </c>
      <c r="AB193" s="207"/>
      <c r="AC193" s="221" t="s">
        <v>373</v>
      </c>
      <c r="AD193" s="221" t="s">
        <v>374</v>
      </c>
      <c r="AE193" s="207" t="s">
        <v>194</v>
      </c>
      <c r="AF193" s="207"/>
      <c r="AG193" s="207"/>
      <c r="AH193" s="158"/>
      <c r="AI193" s="158"/>
      <c r="AJ193" s="158"/>
    </row>
    <row r="194" s="157" customFormat="1" ht="23" spans="1:53">
      <c r="A194" s="226"/>
      <c r="W194" s="165"/>
      <c r="Z194" s="207"/>
      <c r="AA194" s="207"/>
      <c r="AB194" s="207"/>
      <c r="AC194" s="221"/>
      <c r="AD194" s="221"/>
      <c r="AE194" s="207"/>
      <c r="AF194" s="207"/>
      <c r="AG194" s="207"/>
      <c r="AH194" s="158"/>
      <c r="AI194" s="158"/>
      <c r="AJ194" s="158"/>
      <c r="BA194" s="165"/>
    </row>
    <row r="195" s="157" customFormat="1" ht="14.5" spans="26:36">
      <c r="Z195" s="207"/>
      <c r="AA195" s="207"/>
      <c r="AB195" s="207"/>
      <c r="AC195" s="221"/>
      <c r="AD195" s="221"/>
      <c r="AE195" s="207"/>
      <c r="AF195" s="207"/>
      <c r="AG195" s="207"/>
      <c r="AH195" s="158"/>
      <c r="AI195" s="158"/>
      <c r="AJ195" s="158"/>
    </row>
    <row r="196" s="157" customFormat="1" ht="14.5" spans="26:36">
      <c r="Z196" s="207"/>
      <c r="AA196" s="207"/>
      <c r="AB196" s="207"/>
      <c r="AC196" s="221"/>
      <c r="AD196" s="221"/>
      <c r="AE196" s="207"/>
      <c r="AF196" s="207"/>
      <c r="AG196" s="207"/>
      <c r="AH196" s="158"/>
      <c r="AI196" s="158"/>
      <c r="AJ196" s="158"/>
    </row>
    <row r="197" s="157" customFormat="1" ht="14.5" spans="26:36">
      <c r="Z197" s="207"/>
      <c r="AA197" s="207"/>
      <c r="AB197" s="207"/>
      <c r="AC197" s="221"/>
      <c r="AD197" s="221"/>
      <c r="AE197" s="207"/>
      <c r="AF197" s="207"/>
      <c r="AG197" s="207"/>
      <c r="AH197" s="158"/>
      <c r="AI197" s="158"/>
      <c r="AJ197" s="158"/>
    </row>
    <row r="198" s="157" customFormat="1" ht="14.5" spans="26:36">
      <c r="Z198" s="207"/>
      <c r="AA198" s="207"/>
      <c r="AB198" s="207"/>
      <c r="AC198" s="221"/>
      <c r="AD198" s="221"/>
      <c r="AE198" s="207"/>
      <c r="AF198" s="207"/>
      <c r="AG198" s="207"/>
      <c r="AH198" s="158"/>
      <c r="AI198" s="158"/>
      <c r="AJ198" s="158"/>
    </row>
    <row r="199" s="157" customFormat="1" ht="14.5" spans="26:36">
      <c r="Z199" s="207"/>
      <c r="AA199" s="207"/>
      <c r="AB199" s="207"/>
      <c r="AC199" s="221"/>
      <c r="AD199" s="221"/>
      <c r="AE199" s="207"/>
      <c r="AF199" s="207"/>
      <c r="AG199" s="207"/>
      <c r="AH199" s="158"/>
      <c r="AI199" s="158"/>
      <c r="AJ199" s="158"/>
    </row>
    <row r="200" s="157" customFormat="1" ht="14.5" spans="26:36">
      <c r="Z200" s="207"/>
      <c r="AA200" s="207"/>
      <c r="AB200" s="207"/>
      <c r="AC200" s="221"/>
      <c r="AD200" s="221"/>
      <c r="AE200" s="207"/>
      <c r="AF200" s="207"/>
      <c r="AG200" s="207"/>
      <c r="AH200" s="270"/>
      <c r="AI200" s="158"/>
      <c r="AJ200" s="158"/>
    </row>
    <row r="201" s="157" customFormat="1" spans="34:36">
      <c r="AH201" s="158"/>
      <c r="AI201" s="158"/>
      <c r="AJ201" s="158"/>
    </row>
    <row r="202" s="157" customFormat="1" spans="34:36">
      <c r="AH202" s="158"/>
      <c r="AI202" s="158"/>
      <c r="AJ202" s="158"/>
    </row>
    <row r="203" s="157" customFormat="1" spans="43:43">
      <c r="AQ203" s="158"/>
    </row>
    <row r="204" s="157" customFormat="1" spans="24:54">
      <c r="X204" s="246"/>
      <c r="AQ204" s="158"/>
      <c r="AR204" s="246"/>
      <c r="BB204" s="246"/>
    </row>
    <row r="205" s="157" customFormat="1" spans="43:43">
      <c r="AQ205" s="158"/>
    </row>
    <row r="206" spans="43:43">
      <c r="AQ206" s="158"/>
    </row>
    <row r="207" spans="43:43">
      <c r="AQ207" s="158"/>
    </row>
    <row r="208" spans="43:43">
      <c r="AQ208" s="158"/>
    </row>
    <row r="209" spans="43:43">
      <c r="AQ209" s="158"/>
    </row>
    <row r="211" ht="21" spans="2:33">
      <c r="B211" s="227" t="s">
        <v>402</v>
      </c>
      <c r="C211" s="228"/>
      <c r="D211" s="227"/>
      <c r="E211" s="227"/>
      <c r="I211" s="237"/>
      <c r="J211" s="195" t="s">
        <v>403</v>
      </c>
      <c r="K211" s="195"/>
      <c r="L211" s="195"/>
      <c r="M211" s="195"/>
      <c r="N211" s="195"/>
      <c r="O211" s="195"/>
      <c r="P211" s="195"/>
      <c r="Q211" s="195"/>
      <c r="R211" s="195"/>
      <c r="S211" s="195"/>
      <c r="T211" s="195"/>
      <c r="U211" s="195"/>
      <c r="V211" s="247"/>
      <c r="W211" s="248"/>
      <c r="X211" s="249"/>
      <c r="Y211" s="249"/>
      <c r="Z211" s="249"/>
      <c r="AA211" s="249"/>
      <c r="AB211" s="249"/>
      <c r="AC211" s="249"/>
      <c r="AD211" s="249"/>
      <c r="AE211" s="249"/>
      <c r="AF211" s="249"/>
      <c r="AG211" s="247"/>
    </row>
    <row r="212" ht="21" spans="2:64">
      <c r="B212" s="229" t="s">
        <v>343</v>
      </c>
      <c r="C212" s="227"/>
      <c r="D212" s="227"/>
      <c r="E212" s="227"/>
      <c r="I212" s="238"/>
      <c r="J212" s="239" t="s">
        <v>346</v>
      </c>
      <c r="K212" s="240"/>
      <c r="L212" s="240"/>
      <c r="M212" s="239" t="s">
        <v>347</v>
      </c>
      <c r="N212" s="240"/>
      <c r="O212" s="240"/>
      <c r="P212" s="239" t="s">
        <v>348</v>
      </c>
      <c r="Q212" s="240"/>
      <c r="R212" s="240"/>
      <c r="S212" s="204" t="s">
        <v>349</v>
      </c>
      <c r="T212" s="237"/>
      <c r="U212" s="237"/>
      <c r="V212" s="247"/>
      <c r="W212" s="250"/>
      <c r="X212" s="251"/>
      <c r="Y212" s="251"/>
      <c r="Z212" s="251"/>
      <c r="AA212" s="251"/>
      <c r="AB212" s="251"/>
      <c r="AC212" s="251"/>
      <c r="AD212" s="251"/>
      <c r="AE212" s="251"/>
      <c r="AF212" s="251"/>
      <c r="AG212" s="247"/>
      <c r="AH212" s="195" t="s">
        <v>404</v>
      </c>
      <c r="AI212" s="195"/>
      <c r="AJ212" s="195"/>
      <c r="AK212" s="195"/>
      <c r="AL212" s="195"/>
      <c r="AM212" s="195"/>
      <c r="AN212" s="195"/>
      <c r="AO212" s="277"/>
      <c r="AP212" s="277"/>
      <c r="AS212" s="206" t="s">
        <v>405</v>
      </c>
      <c r="AT212" s="260"/>
      <c r="AU212" s="260"/>
      <c r="AV212" s="206"/>
      <c r="AW212" s="206"/>
      <c r="AX212" s="206"/>
      <c r="AY212" s="206"/>
      <c r="AZ212" s="206"/>
      <c r="BA212" s="206"/>
      <c r="BB212" s="207"/>
      <c r="BC212" s="206" t="s">
        <v>405</v>
      </c>
      <c r="BD212" s="260"/>
      <c r="BE212" s="260"/>
      <c r="BF212" s="206"/>
      <c r="BG212" s="206"/>
      <c r="BH212" s="206"/>
      <c r="BI212" s="206"/>
      <c r="BJ212" s="206"/>
      <c r="BK212" s="206"/>
      <c r="BL212" s="206"/>
    </row>
    <row r="213" ht="13" spans="2:64">
      <c r="B213" s="227"/>
      <c r="C213" s="229"/>
      <c r="D213" s="229"/>
      <c r="E213" s="229"/>
      <c r="I213" s="238"/>
      <c r="J213" s="241" t="s">
        <v>406</v>
      </c>
      <c r="K213" s="242"/>
      <c r="L213" s="240"/>
      <c r="M213" s="241" t="s">
        <v>406</v>
      </c>
      <c r="N213" s="242"/>
      <c r="O213" s="240"/>
      <c r="P213" s="241" t="s">
        <v>406</v>
      </c>
      <c r="Q213" s="242"/>
      <c r="R213" s="240"/>
      <c r="S213" s="241" t="s">
        <v>406</v>
      </c>
      <c r="T213" s="242"/>
      <c r="U213" s="240"/>
      <c r="V213" s="247"/>
      <c r="W213" s="250"/>
      <c r="X213" s="252"/>
      <c r="Y213" s="252"/>
      <c r="Z213" s="252"/>
      <c r="AA213" s="257" t="s">
        <v>318</v>
      </c>
      <c r="AB213" s="257"/>
      <c r="AC213" s="257"/>
      <c r="AD213" s="258"/>
      <c r="AE213" s="252"/>
      <c r="AF213" s="252"/>
      <c r="AG213" s="247"/>
      <c r="AH213" s="194"/>
      <c r="AI213" s="194" t="s">
        <v>407</v>
      </c>
      <c r="AJ213" s="194" t="s">
        <v>408</v>
      </c>
      <c r="AK213" s="194" t="s">
        <v>409</v>
      </c>
      <c r="AL213" s="194" t="s">
        <v>410</v>
      </c>
      <c r="AM213" s="272" t="s">
        <v>411</v>
      </c>
      <c r="AN213" s="194" t="s">
        <v>412</v>
      </c>
      <c r="AO213" s="194" t="s">
        <v>285</v>
      </c>
      <c r="AP213" s="194" t="s">
        <v>413</v>
      </c>
      <c r="AQ213" s="275"/>
      <c r="AS213" s="206" t="s">
        <v>252</v>
      </c>
      <c r="AT213" s="206" t="s">
        <v>196</v>
      </c>
      <c r="AU213" s="206" t="s">
        <v>199</v>
      </c>
      <c r="AV213" s="206" t="s">
        <v>204</v>
      </c>
      <c r="AW213" s="206" t="s">
        <v>209</v>
      </c>
      <c r="AX213" s="206" t="s">
        <v>214</v>
      </c>
      <c r="AY213" s="206" t="s">
        <v>219</v>
      </c>
      <c r="AZ213" s="206" t="s">
        <v>224</v>
      </c>
      <c r="BA213" s="206" t="s">
        <v>355</v>
      </c>
      <c r="BB213" s="207"/>
      <c r="BC213" s="206" t="s">
        <v>252</v>
      </c>
      <c r="BD213" s="206" t="s">
        <v>196</v>
      </c>
      <c r="BE213" s="206" t="s">
        <v>199</v>
      </c>
      <c r="BF213" s="206" t="s">
        <v>204</v>
      </c>
      <c r="BG213" s="206" t="s">
        <v>209</v>
      </c>
      <c r="BH213" s="206" t="s">
        <v>214</v>
      </c>
      <c r="BI213" s="206" t="s">
        <v>219</v>
      </c>
      <c r="BJ213" s="206" t="s">
        <v>224</v>
      </c>
      <c r="BK213" s="206" t="s">
        <v>355</v>
      </c>
      <c r="BL213" s="206" t="s">
        <v>361</v>
      </c>
    </row>
    <row r="214" ht="14.5" spans="2:64">
      <c r="B214" s="229" t="s">
        <v>252</v>
      </c>
      <c r="C214" s="229" t="s">
        <v>356</v>
      </c>
      <c r="D214" s="229" t="s">
        <v>357</v>
      </c>
      <c r="E214" s="229" t="s">
        <v>358</v>
      </c>
      <c r="I214" s="238"/>
      <c r="J214" s="241" t="s">
        <v>414</v>
      </c>
      <c r="K214" s="241" t="s">
        <v>415</v>
      </c>
      <c r="L214" s="241" t="s">
        <v>416</v>
      </c>
      <c r="M214" s="239" t="s">
        <v>414</v>
      </c>
      <c r="N214" s="243" t="s">
        <v>415</v>
      </c>
      <c r="O214" s="239" t="s">
        <v>416</v>
      </c>
      <c r="P214" s="239" t="s">
        <v>414</v>
      </c>
      <c r="Q214" s="239" t="s">
        <v>415</v>
      </c>
      <c r="R214" s="239" t="s">
        <v>416</v>
      </c>
      <c r="S214" s="239" t="s">
        <v>414</v>
      </c>
      <c r="T214" s="239" t="s">
        <v>415</v>
      </c>
      <c r="U214" s="239" t="s">
        <v>416</v>
      </c>
      <c r="V214" s="247"/>
      <c r="W214" s="250"/>
      <c r="X214" s="252"/>
      <c r="Y214" s="252"/>
      <c r="Z214" s="252"/>
      <c r="AA214" s="259" t="str">
        <f>B214</f>
        <v>process</v>
      </c>
      <c r="AB214" s="260" t="s">
        <v>254</v>
      </c>
      <c r="AC214" s="260" t="s">
        <v>76</v>
      </c>
      <c r="AD214" s="261" t="s">
        <v>73</v>
      </c>
      <c r="AE214" s="251"/>
      <c r="AF214" s="251"/>
      <c r="AG214" s="247"/>
      <c r="AH214" s="273" t="s">
        <v>417</v>
      </c>
      <c r="AI214" s="194">
        <v>0</v>
      </c>
      <c r="AJ214" s="194">
        <v>0.98</v>
      </c>
      <c r="AK214" s="194">
        <v>0.9</v>
      </c>
      <c r="AL214" s="194">
        <v>0</v>
      </c>
      <c r="AM214" s="194">
        <v>0</v>
      </c>
      <c r="AN214" s="194">
        <v>0.9</v>
      </c>
      <c r="AO214" s="194">
        <v>0</v>
      </c>
      <c r="AP214" s="194">
        <v>0.9</v>
      </c>
      <c r="AQ214" s="275"/>
      <c r="AS214" s="278" t="s">
        <v>319</v>
      </c>
      <c r="AT214" s="257">
        <f>D263/AD215</f>
        <v>0</v>
      </c>
      <c r="AU214" s="257">
        <f>E263/AD215</f>
        <v>0</v>
      </c>
      <c r="AV214" s="257">
        <f>F263/AD215</f>
        <v>0</v>
      </c>
      <c r="AW214" s="257">
        <f>G263/AD215</f>
        <v>0</v>
      </c>
      <c r="AX214" s="257">
        <f>H263/AD215</f>
        <v>0</v>
      </c>
      <c r="AY214" s="257">
        <f>I263/AD215</f>
        <v>1</v>
      </c>
      <c r="AZ214" s="257">
        <f>J263/AD215</f>
        <v>0</v>
      </c>
      <c r="BA214" s="206" t="s">
        <v>269</v>
      </c>
      <c r="BB214" s="207"/>
      <c r="BC214" s="257" t="s">
        <v>319</v>
      </c>
      <c r="BD214" s="257">
        <v>5</v>
      </c>
      <c r="BE214" s="257">
        <v>5</v>
      </c>
      <c r="BF214" s="257">
        <v>5</v>
      </c>
      <c r="BG214" s="257">
        <v>5</v>
      </c>
      <c r="BH214" s="257">
        <v>5</v>
      </c>
      <c r="BI214" s="257">
        <v>5</v>
      </c>
      <c r="BJ214" s="257">
        <v>5</v>
      </c>
      <c r="BK214" s="206" t="s">
        <v>269</v>
      </c>
      <c r="BL214" s="206">
        <v>0</v>
      </c>
    </row>
    <row r="215" ht="20" spans="1:64">
      <c r="A215" s="230"/>
      <c r="B215" s="229" t="s">
        <v>362</v>
      </c>
      <c r="C215" s="229"/>
      <c r="D215" s="231"/>
      <c r="E215" s="231"/>
      <c r="I215" s="204" t="s">
        <v>363</v>
      </c>
      <c r="J215" s="244">
        <v>9.30880110537951</v>
      </c>
      <c r="K215" s="244">
        <v>5.20810707442889</v>
      </c>
      <c r="L215" s="244">
        <v>4.48241960206338</v>
      </c>
      <c r="M215" s="244">
        <v>7.447040899042</v>
      </c>
      <c r="N215" s="244">
        <v>4.16648563006632</v>
      </c>
      <c r="O215" s="244">
        <v>3.58593566691231</v>
      </c>
      <c r="P215" s="244">
        <v>5.67836868091378</v>
      </c>
      <c r="Q215" s="244">
        <v>3.17694532056006</v>
      </c>
      <c r="R215" s="244">
        <v>2.73427597641857</v>
      </c>
      <c r="S215" s="238">
        <f>AVERAGE(J215,M215,P215)</f>
        <v>7.4780702284451</v>
      </c>
      <c r="T215" s="238">
        <f>AVERAGE(K215,N215,Q215)</f>
        <v>4.18384600835176</v>
      </c>
      <c r="U215" s="238">
        <f>AVERAGE(L215,O215,R215)</f>
        <v>3.60087708179809</v>
      </c>
      <c r="V215" s="247"/>
      <c r="W215" s="251"/>
      <c r="X215" s="253"/>
      <c r="Y215" s="253"/>
      <c r="Z215" s="253"/>
      <c r="AA215" s="262" t="str">
        <f>B216</f>
        <v>PyroRecy-LFP</v>
      </c>
      <c r="AB215" s="186" t="s">
        <v>311</v>
      </c>
      <c r="AC215" s="206" t="s">
        <v>418</v>
      </c>
      <c r="AD215" s="263">
        <f>SUM(D263:J263)</f>
        <v>0.8514</v>
      </c>
      <c r="AE215" s="253"/>
      <c r="AF215" s="253"/>
      <c r="AG215" s="247"/>
      <c r="AH215" s="194"/>
      <c r="AI215" s="194">
        <f t="shared" ref="AI215:AN215" si="33">AI214</f>
        <v>0</v>
      </c>
      <c r="AJ215" s="194">
        <f t="shared" si="33"/>
        <v>0.98</v>
      </c>
      <c r="AK215" s="194">
        <f t="shared" si="33"/>
        <v>0.9</v>
      </c>
      <c r="AL215" s="194">
        <f t="shared" si="33"/>
        <v>0</v>
      </c>
      <c r="AM215" s="194">
        <f t="shared" si="33"/>
        <v>0</v>
      </c>
      <c r="AN215" s="194">
        <f t="shared" si="33"/>
        <v>0.9</v>
      </c>
      <c r="AO215" s="194">
        <v>0</v>
      </c>
      <c r="AP215" s="194">
        <f t="shared" ref="AP215:AP220" si="34">AP214</f>
        <v>0.9</v>
      </c>
      <c r="AQ215" s="275"/>
      <c r="AS215" s="278" t="s">
        <v>320</v>
      </c>
      <c r="AT215" s="257">
        <f t="shared" ref="AT215:AT234" si="35">D264/AD216</f>
        <v>0</v>
      </c>
      <c r="AU215" s="257">
        <f t="shared" ref="AU215:AU234" si="36">E264/AD216</f>
        <v>0</v>
      </c>
      <c r="AV215" s="257">
        <f t="shared" ref="AV215:AV234" si="37">F264/AD216</f>
        <v>0</v>
      </c>
      <c r="AW215" s="257">
        <f t="shared" ref="AW215:AW234" si="38">G264/AD216</f>
        <v>0</v>
      </c>
      <c r="AX215" s="257">
        <f t="shared" ref="AX215:AX234" si="39">H264/AD216</f>
        <v>0</v>
      </c>
      <c r="AY215" s="257">
        <f t="shared" ref="AY215:AY234" si="40">I264/AD216</f>
        <v>1</v>
      </c>
      <c r="AZ215" s="257">
        <f t="shared" ref="AZ215:AZ234" si="41">J264/AD216</f>
        <v>0</v>
      </c>
      <c r="BA215" s="206" t="s">
        <v>269</v>
      </c>
      <c r="BB215" s="207"/>
      <c r="BC215" s="257" t="s">
        <v>320</v>
      </c>
      <c r="BD215" s="257">
        <v>5</v>
      </c>
      <c r="BE215" s="257">
        <v>5</v>
      </c>
      <c r="BF215" s="257">
        <v>5</v>
      </c>
      <c r="BG215" s="257">
        <v>5</v>
      </c>
      <c r="BH215" s="257">
        <v>5</v>
      </c>
      <c r="BI215" s="257">
        <v>5</v>
      </c>
      <c r="BJ215" s="257">
        <v>5</v>
      </c>
      <c r="BK215" s="206" t="s">
        <v>269</v>
      </c>
      <c r="BL215" s="206">
        <v>0</v>
      </c>
    </row>
    <row r="216" ht="20" spans="1:64">
      <c r="A216" s="230"/>
      <c r="B216" s="229" t="s">
        <v>319</v>
      </c>
      <c r="C216" s="229">
        <f>S216</f>
        <v>7.11384396954065</v>
      </c>
      <c r="D216" s="231">
        <f>P216</f>
        <v>5.40179852616065</v>
      </c>
      <c r="E216" s="231">
        <f>J216</f>
        <v>8.85540744288872</v>
      </c>
      <c r="I216" s="204" t="s">
        <v>419</v>
      </c>
      <c r="J216" s="244">
        <v>8.85540744288872</v>
      </c>
      <c r="K216" s="244">
        <v>5.20810707442889</v>
      </c>
      <c r="L216" s="244">
        <v>4.4384597641857</v>
      </c>
      <c r="M216" s="244">
        <v>7.08432593957259</v>
      </c>
      <c r="N216" s="244">
        <v>4.16648563006632</v>
      </c>
      <c r="O216" s="244">
        <v>3.55076779661017</v>
      </c>
      <c r="P216" s="244">
        <v>5.40179852616065</v>
      </c>
      <c r="Q216" s="244">
        <v>3.17694532056006</v>
      </c>
      <c r="R216" s="244">
        <v>2.70746042741341</v>
      </c>
      <c r="S216" s="238">
        <f t="shared" ref="S216:S222" si="42">AVERAGE(J216,M216,P216)</f>
        <v>7.11384396954065</v>
      </c>
      <c r="T216" s="238">
        <f t="shared" ref="T216:T222" si="43">AVERAGE(K216,N216,Q216)</f>
        <v>4.18384600835176</v>
      </c>
      <c r="U216" s="238">
        <f t="shared" ref="U216:U222" si="44">AVERAGE(L216,O216,R216)</f>
        <v>3.56556266273643</v>
      </c>
      <c r="V216" s="247"/>
      <c r="W216" s="251"/>
      <c r="X216" s="253"/>
      <c r="Y216" s="253"/>
      <c r="Z216" s="253"/>
      <c r="AA216" s="262" t="str">
        <f t="shared" ref="AA216:AA235" si="45">B217</f>
        <v>PyroRecy-LMO</v>
      </c>
      <c r="AB216" s="186" t="s">
        <v>312</v>
      </c>
      <c r="AC216" s="206" t="s">
        <v>418</v>
      </c>
      <c r="AD216" s="263">
        <f t="shared" ref="AD216:AD235" si="46">SUM(D264:J264)</f>
        <v>0.7767</v>
      </c>
      <c r="AE216" s="253"/>
      <c r="AF216" s="253"/>
      <c r="AG216" s="247"/>
      <c r="AH216" s="194"/>
      <c r="AI216" s="194">
        <f t="shared" ref="AI216:AN216" si="47">AI215</f>
        <v>0</v>
      </c>
      <c r="AJ216" s="194">
        <f t="shared" si="47"/>
        <v>0.98</v>
      </c>
      <c r="AK216" s="194">
        <f t="shared" si="47"/>
        <v>0.9</v>
      </c>
      <c r="AL216" s="194">
        <f t="shared" si="47"/>
        <v>0</v>
      </c>
      <c r="AM216" s="194">
        <f t="shared" si="47"/>
        <v>0</v>
      </c>
      <c r="AN216" s="194">
        <f t="shared" si="47"/>
        <v>0.9</v>
      </c>
      <c r="AO216" s="194">
        <v>0</v>
      </c>
      <c r="AP216" s="194">
        <f t="shared" si="34"/>
        <v>0.9</v>
      </c>
      <c r="AQ216" s="275"/>
      <c r="AS216" s="278" t="s">
        <v>321</v>
      </c>
      <c r="AT216" s="257">
        <f t="shared" si="35"/>
        <v>0</v>
      </c>
      <c r="AU216" s="257">
        <f t="shared" si="36"/>
        <v>0.514315167986505</v>
      </c>
      <c r="AV216" s="257">
        <f t="shared" si="37"/>
        <v>0.0892647954641301</v>
      </c>
      <c r="AW216" s="257">
        <f t="shared" si="38"/>
        <v>0</v>
      </c>
      <c r="AX216" s="257">
        <f t="shared" si="39"/>
        <v>0</v>
      </c>
      <c r="AY216" s="257">
        <f t="shared" si="40"/>
        <v>0.396420036549365</v>
      </c>
      <c r="AZ216" s="257">
        <f t="shared" si="41"/>
        <v>0</v>
      </c>
      <c r="BA216" s="206" t="s">
        <v>269</v>
      </c>
      <c r="BB216" s="207"/>
      <c r="BC216" s="257" t="s">
        <v>321</v>
      </c>
      <c r="BD216" s="257">
        <v>5</v>
      </c>
      <c r="BE216" s="257">
        <v>5</v>
      </c>
      <c r="BF216" s="257">
        <v>5</v>
      </c>
      <c r="BG216" s="257">
        <v>5</v>
      </c>
      <c r="BH216" s="257">
        <v>5</v>
      </c>
      <c r="BI216" s="257">
        <v>5</v>
      </c>
      <c r="BJ216" s="257">
        <v>5</v>
      </c>
      <c r="BK216" s="206" t="s">
        <v>269</v>
      </c>
      <c r="BL216" s="206">
        <v>0</v>
      </c>
    </row>
    <row r="217" ht="20" spans="1:64">
      <c r="A217" s="232"/>
      <c r="B217" s="229" t="s">
        <v>320</v>
      </c>
      <c r="C217" s="229">
        <f t="shared" ref="C217:C222" si="48">S217</f>
        <v>7.11384396954065</v>
      </c>
      <c r="D217" s="231">
        <f t="shared" ref="D217:D222" si="49">P217</f>
        <v>5.40179852616065</v>
      </c>
      <c r="E217" s="231">
        <f t="shared" ref="E217:E222" si="50">J217</f>
        <v>8.85540744288872</v>
      </c>
      <c r="I217" s="204" t="s">
        <v>420</v>
      </c>
      <c r="J217" s="244">
        <v>8.85540744288872</v>
      </c>
      <c r="K217" s="244">
        <v>5.20810707442889</v>
      </c>
      <c r="L217" s="244">
        <v>4.48241960206338</v>
      </c>
      <c r="M217" s="244">
        <v>7.08432593957259</v>
      </c>
      <c r="N217" s="244">
        <v>4.16648563006632</v>
      </c>
      <c r="O217" s="244">
        <v>3.58593566691231</v>
      </c>
      <c r="P217" s="244">
        <v>5.40179852616065</v>
      </c>
      <c r="Q217" s="244">
        <v>3.17694532056006</v>
      </c>
      <c r="R217" s="244">
        <v>2.73427597641857</v>
      </c>
      <c r="S217" s="238">
        <f t="shared" si="42"/>
        <v>7.11384396954065</v>
      </c>
      <c r="T217" s="238">
        <f t="shared" si="43"/>
        <v>4.18384600835176</v>
      </c>
      <c r="U217" s="238">
        <f t="shared" si="44"/>
        <v>3.60087708179809</v>
      </c>
      <c r="V217" s="247"/>
      <c r="W217" s="251"/>
      <c r="X217" s="253"/>
      <c r="Y217" s="253"/>
      <c r="Z217" s="253"/>
      <c r="AA217" s="262" t="str">
        <f t="shared" si="45"/>
        <v>PyroRecy-NCA</v>
      </c>
      <c r="AB217" s="186" t="s">
        <v>313</v>
      </c>
      <c r="AC217" s="206" t="s">
        <v>418</v>
      </c>
      <c r="AD217" s="263">
        <f t="shared" si="46"/>
        <v>1.28046</v>
      </c>
      <c r="AE217" s="253"/>
      <c r="AF217" s="253"/>
      <c r="AG217" s="247"/>
      <c r="AH217" s="194"/>
      <c r="AI217" s="194">
        <f t="shared" ref="AI217:AN217" si="51">AI216</f>
        <v>0</v>
      </c>
      <c r="AJ217" s="194">
        <f t="shared" si="51"/>
        <v>0.98</v>
      </c>
      <c r="AK217" s="194">
        <f t="shared" si="51"/>
        <v>0.9</v>
      </c>
      <c r="AL217" s="194">
        <f t="shared" si="51"/>
        <v>0</v>
      </c>
      <c r="AM217" s="194">
        <f t="shared" si="51"/>
        <v>0</v>
      </c>
      <c r="AN217" s="194">
        <f t="shared" si="51"/>
        <v>0.9</v>
      </c>
      <c r="AO217" s="194">
        <v>0</v>
      </c>
      <c r="AP217" s="194">
        <f t="shared" si="34"/>
        <v>0.9</v>
      </c>
      <c r="AQ217" s="275"/>
      <c r="AS217" s="278" t="s">
        <v>322</v>
      </c>
      <c r="AT217" s="257">
        <f t="shared" si="35"/>
        <v>0</v>
      </c>
      <c r="AU217" s="257">
        <f t="shared" si="36"/>
        <v>0.270833333333333</v>
      </c>
      <c r="AV217" s="257">
        <f t="shared" si="37"/>
        <v>0.249433106575964</v>
      </c>
      <c r="AW217" s="257">
        <f t="shared" si="38"/>
        <v>0</v>
      </c>
      <c r="AX217" s="257">
        <f t="shared" si="39"/>
        <v>0</v>
      </c>
      <c r="AY217" s="257">
        <f t="shared" si="40"/>
        <v>0.479733560090703</v>
      </c>
      <c r="AZ217" s="257">
        <f t="shared" si="41"/>
        <v>0</v>
      </c>
      <c r="BA217" s="206" t="s">
        <v>269</v>
      </c>
      <c r="BB217" s="207"/>
      <c r="BC217" s="257" t="s">
        <v>322</v>
      </c>
      <c r="BD217" s="257">
        <v>5</v>
      </c>
      <c r="BE217" s="257">
        <v>5</v>
      </c>
      <c r="BF217" s="257">
        <v>5</v>
      </c>
      <c r="BG217" s="257">
        <v>5</v>
      </c>
      <c r="BH217" s="257">
        <v>5</v>
      </c>
      <c r="BI217" s="257">
        <v>5</v>
      </c>
      <c r="BJ217" s="257">
        <v>5</v>
      </c>
      <c r="BK217" s="206" t="s">
        <v>269</v>
      </c>
      <c r="BL217" s="206">
        <v>0</v>
      </c>
    </row>
    <row r="218" ht="15.5" spans="2:64">
      <c r="B218" s="229" t="s">
        <v>321</v>
      </c>
      <c r="C218" s="229">
        <f t="shared" si="48"/>
        <v>7.62975445836404</v>
      </c>
      <c r="D218" s="231">
        <f t="shared" si="49"/>
        <v>5.79354797347089</v>
      </c>
      <c r="E218" s="231">
        <f t="shared" si="50"/>
        <v>9.49761967575534</v>
      </c>
      <c r="I218" s="204" t="s">
        <v>210</v>
      </c>
      <c r="J218" s="244">
        <v>9.49761967575534</v>
      </c>
      <c r="K218" s="244">
        <v>5.20810707442889</v>
      </c>
      <c r="L218" s="244">
        <v>4.4384597641857</v>
      </c>
      <c r="M218" s="244">
        <v>7.59809572586588</v>
      </c>
      <c r="N218" s="244">
        <v>4.16648563006632</v>
      </c>
      <c r="O218" s="244">
        <v>3.55076779661017</v>
      </c>
      <c r="P218" s="244">
        <v>5.79354797347089</v>
      </c>
      <c r="Q218" s="244">
        <v>3.17694532056006</v>
      </c>
      <c r="R218" s="244">
        <v>2.70746042741341</v>
      </c>
      <c r="S218" s="238">
        <f t="shared" si="42"/>
        <v>7.62975445836404</v>
      </c>
      <c r="T218" s="238">
        <f t="shared" si="43"/>
        <v>4.18384600835176</v>
      </c>
      <c r="U218" s="238">
        <f t="shared" si="44"/>
        <v>3.56556266273643</v>
      </c>
      <c r="V218" s="247"/>
      <c r="W218" s="251"/>
      <c r="X218" s="253"/>
      <c r="Y218" s="253"/>
      <c r="Z218" s="253"/>
      <c r="AA218" s="262" t="str">
        <f t="shared" si="45"/>
        <v>PyroRecy-NMC111</v>
      </c>
      <c r="AB218" s="186" t="s">
        <v>314</v>
      </c>
      <c r="AC218" s="206" t="s">
        <v>418</v>
      </c>
      <c r="AD218" s="263">
        <f t="shared" si="46"/>
        <v>1.27008</v>
      </c>
      <c r="AE218" s="253"/>
      <c r="AF218" s="253"/>
      <c r="AG218" s="247"/>
      <c r="AH218" s="194"/>
      <c r="AI218" s="194">
        <f t="shared" ref="AI218:AN218" si="52">AI217</f>
        <v>0</v>
      </c>
      <c r="AJ218" s="194">
        <f t="shared" si="52"/>
        <v>0.98</v>
      </c>
      <c r="AK218" s="194">
        <f t="shared" si="52"/>
        <v>0.9</v>
      </c>
      <c r="AL218" s="194">
        <f t="shared" si="52"/>
        <v>0</v>
      </c>
      <c r="AM218" s="194">
        <f t="shared" si="52"/>
        <v>0</v>
      </c>
      <c r="AN218" s="194">
        <f t="shared" si="52"/>
        <v>0.9</v>
      </c>
      <c r="AO218" s="194">
        <v>0</v>
      </c>
      <c r="AP218" s="194">
        <f t="shared" si="34"/>
        <v>0.9</v>
      </c>
      <c r="AQ218" s="275"/>
      <c r="AS218" s="278" t="s">
        <v>323</v>
      </c>
      <c r="AT218" s="257">
        <f t="shared" si="35"/>
        <v>0</v>
      </c>
      <c r="AU218" s="257">
        <f t="shared" si="36"/>
        <v>0.390052807245718</v>
      </c>
      <c r="AV218" s="257">
        <f t="shared" si="37"/>
        <v>0.143848817713149</v>
      </c>
      <c r="AW218" s="257">
        <f t="shared" si="38"/>
        <v>0</v>
      </c>
      <c r="AX218" s="257">
        <f t="shared" si="39"/>
        <v>0</v>
      </c>
      <c r="AY218" s="257">
        <f t="shared" si="40"/>
        <v>0.466098375041133</v>
      </c>
      <c r="AZ218" s="257">
        <f t="shared" si="41"/>
        <v>0</v>
      </c>
      <c r="BA218" s="206" t="s">
        <v>269</v>
      </c>
      <c r="BB218" s="207"/>
      <c r="BC218" s="257" t="s">
        <v>323</v>
      </c>
      <c r="BD218" s="257">
        <v>5</v>
      </c>
      <c r="BE218" s="257">
        <v>5</v>
      </c>
      <c r="BF218" s="257">
        <v>5</v>
      </c>
      <c r="BG218" s="257">
        <v>5</v>
      </c>
      <c r="BH218" s="257">
        <v>5</v>
      </c>
      <c r="BI218" s="257">
        <v>5</v>
      </c>
      <c r="BJ218" s="257">
        <v>5</v>
      </c>
      <c r="BK218" s="206" t="s">
        <v>269</v>
      </c>
      <c r="BL218" s="206">
        <v>0</v>
      </c>
    </row>
    <row r="219" ht="15.5" spans="2:64">
      <c r="B219" s="229" t="s">
        <v>322</v>
      </c>
      <c r="C219" s="229">
        <f t="shared" si="48"/>
        <v>7.47097081798084</v>
      </c>
      <c r="D219" s="231">
        <f t="shared" si="49"/>
        <v>5.67297781871776</v>
      </c>
      <c r="E219" s="231">
        <f t="shared" si="50"/>
        <v>9.29996366985999</v>
      </c>
      <c r="I219" s="204" t="s">
        <v>215</v>
      </c>
      <c r="J219" s="244">
        <v>9.29996366985999</v>
      </c>
      <c r="K219" s="244">
        <v>5.20810707442889</v>
      </c>
      <c r="L219" s="244">
        <v>4.43956890198968</v>
      </c>
      <c r="M219" s="244">
        <v>7.43997096536478</v>
      </c>
      <c r="N219" s="244">
        <v>4.16648563006632</v>
      </c>
      <c r="O219" s="244">
        <v>3.55165512159175</v>
      </c>
      <c r="P219" s="244">
        <v>5.67297781871776</v>
      </c>
      <c r="Q219" s="244">
        <v>3.17694532056006</v>
      </c>
      <c r="R219" s="244">
        <v>2.70813706705969</v>
      </c>
      <c r="S219" s="238">
        <f t="shared" si="42"/>
        <v>7.47097081798084</v>
      </c>
      <c r="T219" s="238">
        <f t="shared" si="43"/>
        <v>4.18384600835176</v>
      </c>
      <c r="U219" s="238">
        <f t="shared" si="44"/>
        <v>3.56645369688037</v>
      </c>
      <c r="V219" s="247"/>
      <c r="W219" s="251"/>
      <c r="X219" s="253"/>
      <c r="Y219" s="253"/>
      <c r="Z219" s="253"/>
      <c r="AA219" s="262" t="str">
        <f t="shared" si="45"/>
        <v>PyroRecy-NMC532</v>
      </c>
      <c r="AB219" s="186" t="s">
        <v>315</v>
      </c>
      <c r="AC219" s="206" t="s">
        <v>418</v>
      </c>
      <c r="AD219" s="263">
        <f t="shared" si="46"/>
        <v>1.27634</v>
      </c>
      <c r="AE219" s="253"/>
      <c r="AF219" s="253"/>
      <c r="AG219" s="247"/>
      <c r="AH219" s="194"/>
      <c r="AI219" s="194">
        <f t="shared" ref="AI219:AN219" si="53">AI218</f>
        <v>0</v>
      </c>
      <c r="AJ219" s="194">
        <f t="shared" si="53"/>
        <v>0.98</v>
      </c>
      <c r="AK219" s="194">
        <f t="shared" si="53"/>
        <v>0.9</v>
      </c>
      <c r="AL219" s="194">
        <f t="shared" si="53"/>
        <v>0</v>
      </c>
      <c r="AM219" s="194">
        <f t="shared" si="53"/>
        <v>0</v>
      </c>
      <c r="AN219" s="194">
        <f t="shared" si="53"/>
        <v>0.9</v>
      </c>
      <c r="AO219" s="194">
        <v>0</v>
      </c>
      <c r="AP219" s="194">
        <f t="shared" si="34"/>
        <v>0.9</v>
      </c>
      <c r="AQ219" s="275"/>
      <c r="AS219" s="278" t="s">
        <v>324</v>
      </c>
      <c r="AT219" s="257">
        <f t="shared" si="35"/>
        <v>0</v>
      </c>
      <c r="AU219" s="257">
        <f t="shared" si="36"/>
        <v>0.42477225977079</v>
      </c>
      <c r="AV219" s="257">
        <f t="shared" si="37"/>
        <v>0.130766970320306</v>
      </c>
      <c r="AW219" s="257">
        <f t="shared" si="38"/>
        <v>0</v>
      </c>
      <c r="AX219" s="257">
        <f t="shared" si="39"/>
        <v>0</v>
      </c>
      <c r="AY219" s="257">
        <f t="shared" si="40"/>
        <v>0.444460769908904</v>
      </c>
      <c r="AZ219" s="257">
        <f t="shared" si="41"/>
        <v>0</v>
      </c>
      <c r="BA219" s="206" t="s">
        <v>269</v>
      </c>
      <c r="BB219" s="207"/>
      <c r="BC219" s="257" t="s">
        <v>324</v>
      </c>
      <c r="BD219" s="257">
        <v>5</v>
      </c>
      <c r="BE219" s="257">
        <v>5</v>
      </c>
      <c r="BF219" s="257">
        <v>5</v>
      </c>
      <c r="BG219" s="257">
        <v>5</v>
      </c>
      <c r="BH219" s="257">
        <v>5</v>
      </c>
      <c r="BI219" s="257">
        <v>5</v>
      </c>
      <c r="BJ219" s="257">
        <v>5</v>
      </c>
      <c r="BK219" s="206" t="s">
        <v>269</v>
      </c>
      <c r="BL219" s="206">
        <v>0</v>
      </c>
    </row>
    <row r="220" ht="15.5" spans="2:64">
      <c r="B220" s="229" t="s">
        <v>323</v>
      </c>
      <c r="C220" s="229">
        <f t="shared" si="48"/>
        <v>7.51643520019651</v>
      </c>
      <c r="D220" s="231">
        <f t="shared" si="49"/>
        <v>5.70750058953574</v>
      </c>
      <c r="E220" s="231">
        <f t="shared" si="50"/>
        <v>9.35655836403832</v>
      </c>
      <c r="I220" s="204" t="s">
        <v>220</v>
      </c>
      <c r="J220" s="244">
        <v>9.35655836403832</v>
      </c>
      <c r="K220" s="244">
        <v>5.20810707442889</v>
      </c>
      <c r="L220" s="244">
        <v>4.43882940309506</v>
      </c>
      <c r="M220" s="244">
        <v>7.48524664701548</v>
      </c>
      <c r="N220" s="244">
        <v>4.16648563006632</v>
      </c>
      <c r="O220" s="244">
        <v>3.55106352247605</v>
      </c>
      <c r="P220" s="244">
        <v>5.70750058953574</v>
      </c>
      <c r="Q220" s="244">
        <v>3.17694532056006</v>
      </c>
      <c r="R220" s="244">
        <v>2.70768592483419</v>
      </c>
      <c r="S220" s="238">
        <f t="shared" si="42"/>
        <v>7.51643520019651</v>
      </c>
      <c r="T220" s="238">
        <f t="shared" si="43"/>
        <v>4.18384600835176</v>
      </c>
      <c r="U220" s="238">
        <f t="shared" si="44"/>
        <v>3.56585961680177</v>
      </c>
      <c r="V220" s="247"/>
      <c r="W220" s="251"/>
      <c r="X220" s="253"/>
      <c r="Y220" s="253"/>
      <c r="Z220" s="253"/>
      <c r="AA220" s="262" t="str">
        <f t="shared" si="45"/>
        <v>PyroRecy-NMC622</v>
      </c>
      <c r="AB220" s="186" t="s">
        <v>316</v>
      </c>
      <c r="AC220" s="206" t="s">
        <v>418</v>
      </c>
      <c r="AD220" s="263">
        <f t="shared" si="46"/>
        <v>1.22508</v>
      </c>
      <c r="AE220" s="253"/>
      <c r="AF220" s="253"/>
      <c r="AG220" s="247"/>
      <c r="AH220" s="194"/>
      <c r="AI220" s="194">
        <f t="shared" ref="AI220:AN220" si="54">AI219</f>
        <v>0</v>
      </c>
      <c r="AJ220" s="194">
        <f t="shared" si="54"/>
        <v>0.98</v>
      </c>
      <c r="AK220" s="194">
        <f t="shared" si="54"/>
        <v>0.9</v>
      </c>
      <c r="AL220" s="194">
        <f t="shared" si="54"/>
        <v>0</v>
      </c>
      <c r="AM220" s="194">
        <f t="shared" si="54"/>
        <v>0</v>
      </c>
      <c r="AN220" s="194">
        <f t="shared" si="54"/>
        <v>0.9</v>
      </c>
      <c r="AO220" s="194">
        <v>0</v>
      </c>
      <c r="AP220" s="194">
        <f t="shared" si="34"/>
        <v>0.9</v>
      </c>
      <c r="AQ220" s="275"/>
      <c r="AS220" s="278" t="s">
        <v>325</v>
      </c>
      <c r="AT220" s="257">
        <f t="shared" si="35"/>
        <v>0</v>
      </c>
      <c r="AU220" s="257">
        <f t="shared" si="36"/>
        <v>0.511482254697286</v>
      </c>
      <c r="AV220" s="257">
        <f t="shared" si="37"/>
        <v>0.0587160751565762</v>
      </c>
      <c r="AW220" s="257">
        <f t="shared" si="38"/>
        <v>0</v>
      </c>
      <c r="AX220" s="257">
        <f t="shared" si="39"/>
        <v>0</v>
      </c>
      <c r="AY220" s="257">
        <f t="shared" si="40"/>
        <v>0.429801670146138</v>
      </c>
      <c r="AZ220" s="257">
        <f t="shared" si="41"/>
        <v>0</v>
      </c>
      <c r="BA220" s="206" t="s">
        <v>269</v>
      </c>
      <c r="BB220" s="207"/>
      <c r="BC220" s="257" t="s">
        <v>325</v>
      </c>
      <c r="BD220" s="257">
        <v>5</v>
      </c>
      <c r="BE220" s="257">
        <v>5</v>
      </c>
      <c r="BF220" s="257">
        <v>5</v>
      </c>
      <c r="BG220" s="257">
        <v>5</v>
      </c>
      <c r="BH220" s="257">
        <v>5</v>
      </c>
      <c r="BI220" s="257">
        <v>5</v>
      </c>
      <c r="BJ220" s="257">
        <v>5</v>
      </c>
      <c r="BK220" s="206" t="s">
        <v>269</v>
      </c>
      <c r="BL220" s="206">
        <v>0</v>
      </c>
    </row>
    <row r="221" ht="15.5" spans="2:64">
      <c r="B221" s="229" t="s">
        <v>324</v>
      </c>
      <c r="C221" s="229">
        <f t="shared" si="48"/>
        <v>7.55036263817244</v>
      </c>
      <c r="D221" s="231">
        <f t="shared" si="49"/>
        <v>5.73326293294031</v>
      </c>
      <c r="E221" s="231">
        <f t="shared" si="50"/>
        <v>9.39879167280766</v>
      </c>
      <c r="I221" s="204" t="s">
        <v>225</v>
      </c>
      <c r="J221" s="244">
        <v>9.39879167280766</v>
      </c>
      <c r="K221" s="244">
        <v>5.20810707442889</v>
      </c>
      <c r="L221" s="244">
        <v>4.4384597641857</v>
      </c>
      <c r="M221" s="244">
        <v>7.51903330876934</v>
      </c>
      <c r="N221" s="244">
        <v>4.16648563006632</v>
      </c>
      <c r="O221" s="244">
        <v>3.55076779661017</v>
      </c>
      <c r="P221" s="244">
        <v>5.73326293294031</v>
      </c>
      <c r="Q221" s="244">
        <v>3.17694532056006</v>
      </c>
      <c r="R221" s="244">
        <v>2.70746042741341</v>
      </c>
      <c r="S221" s="238">
        <f t="shared" si="42"/>
        <v>7.55036263817244</v>
      </c>
      <c r="T221" s="238">
        <f t="shared" si="43"/>
        <v>4.18384600835176</v>
      </c>
      <c r="U221" s="238">
        <f t="shared" si="44"/>
        <v>3.56556266273643</v>
      </c>
      <c r="V221" s="247"/>
      <c r="W221" s="251"/>
      <c r="X221" s="253"/>
      <c r="Y221" s="253"/>
      <c r="Z221" s="253"/>
      <c r="AA221" s="262" t="str">
        <f t="shared" si="45"/>
        <v>PyroRecy-NMC811</v>
      </c>
      <c r="AB221" s="186" t="s">
        <v>317</v>
      </c>
      <c r="AC221" s="206" t="s">
        <v>418</v>
      </c>
      <c r="AD221" s="263">
        <f t="shared" si="46"/>
        <v>1.1496</v>
      </c>
      <c r="AE221" s="253"/>
      <c r="AF221" s="253"/>
      <c r="AG221" s="247"/>
      <c r="AH221" s="167"/>
      <c r="AI221" s="274"/>
      <c r="AJ221" s="157"/>
      <c r="AK221" s="157"/>
      <c r="AL221" s="157"/>
      <c r="AM221" s="157"/>
      <c r="AN221" s="157"/>
      <c r="AO221" s="157"/>
      <c r="AP221" s="157"/>
      <c r="AQ221" s="275"/>
      <c r="AS221" s="278" t="s">
        <v>326</v>
      </c>
      <c r="AT221" s="257">
        <f t="shared" si="35"/>
        <v>0.0168022638839759</v>
      </c>
      <c r="AU221" s="257">
        <f t="shared" si="36"/>
        <v>0</v>
      </c>
      <c r="AV221" s="257">
        <f t="shared" si="37"/>
        <v>0</v>
      </c>
      <c r="AW221" s="257">
        <f t="shared" si="38"/>
        <v>0</v>
      </c>
      <c r="AX221" s="257">
        <f t="shared" si="39"/>
        <v>0.623983020870181</v>
      </c>
      <c r="AY221" s="257">
        <f t="shared" si="40"/>
        <v>0.167315175097276</v>
      </c>
      <c r="AZ221" s="257">
        <f t="shared" si="41"/>
        <v>0.191899540148567</v>
      </c>
      <c r="BA221" s="206" t="s">
        <v>269</v>
      </c>
      <c r="BB221" s="207"/>
      <c r="BC221" s="257" t="s">
        <v>326</v>
      </c>
      <c r="BD221" s="257">
        <v>5</v>
      </c>
      <c r="BE221" s="257">
        <v>5</v>
      </c>
      <c r="BF221" s="257">
        <v>5</v>
      </c>
      <c r="BG221" s="257">
        <v>5</v>
      </c>
      <c r="BH221" s="257">
        <v>5</v>
      </c>
      <c r="BI221" s="257">
        <v>5</v>
      </c>
      <c r="BJ221" s="257">
        <v>5</v>
      </c>
      <c r="BK221" s="206" t="s">
        <v>269</v>
      </c>
      <c r="BL221" s="206">
        <v>0</v>
      </c>
    </row>
    <row r="222" ht="15.5" spans="2:64">
      <c r="B222" s="229" t="s">
        <v>325</v>
      </c>
      <c r="C222" s="229">
        <f t="shared" si="48"/>
        <v>7.62975445836404</v>
      </c>
      <c r="D222" s="231">
        <f t="shared" si="49"/>
        <v>5.79354797347089</v>
      </c>
      <c r="E222" s="231">
        <f t="shared" si="50"/>
        <v>9.49761967575534</v>
      </c>
      <c r="I222" s="204" t="s">
        <v>230</v>
      </c>
      <c r="J222" s="244">
        <v>9.49761967575534</v>
      </c>
      <c r="K222" s="244">
        <v>5.20810707442889</v>
      </c>
      <c r="L222" s="244">
        <v>4.43772063375092</v>
      </c>
      <c r="M222" s="244">
        <v>7.59809572586588</v>
      </c>
      <c r="N222" s="244">
        <v>4.16648563006632</v>
      </c>
      <c r="O222" s="244">
        <v>3.55017649226234</v>
      </c>
      <c r="P222" s="244">
        <v>5.79354797347089</v>
      </c>
      <c r="Q222" s="244">
        <v>3.17694532056006</v>
      </c>
      <c r="R222" s="244">
        <v>2.70700957995578</v>
      </c>
      <c r="S222" s="238">
        <f t="shared" si="42"/>
        <v>7.62975445836404</v>
      </c>
      <c r="T222" s="238">
        <f t="shared" si="43"/>
        <v>4.18384600835176</v>
      </c>
      <c r="U222" s="238">
        <f t="shared" si="44"/>
        <v>3.56496890198968</v>
      </c>
      <c r="V222" s="247"/>
      <c r="W222" s="251"/>
      <c r="X222" s="253"/>
      <c r="Y222" s="253"/>
      <c r="Z222" s="253"/>
      <c r="AA222" s="262" t="str">
        <f t="shared" si="45"/>
        <v>HydRecy-LFP</v>
      </c>
      <c r="AB222" s="186" t="s">
        <v>311</v>
      </c>
      <c r="AC222" s="206" t="s">
        <v>418</v>
      </c>
      <c r="AD222" s="263">
        <f t="shared" si="46"/>
        <v>5.0886</v>
      </c>
      <c r="AE222" s="253"/>
      <c r="AF222" s="253"/>
      <c r="AG222" s="247"/>
      <c r="AH222" s="275"/>
      <c r="AI222" s="275"/>
      <c r="AJ222" s="275"/>
      <c r="AK222" s="275"/>
      <c r="AL222" s="275"/>
      <c r="AM222" s="275"/>
      <c r="AN222" s="275"/>
      <c r="AO222" s="275"/>
      <c r="AP222" s="275"/>
      <c r="AQ222" s="275"/>
      <c r="AS222" s="278" t="s">
        <v>327</v>
      </c>
      <c r="AT222" s="257">
        <f t="shared" si="35"/>
        <v>0.0156594191241887</v>
      </c>
      <c r="AU222" s="257">
        <f t="shared" si="36"/>
        <v>0</v>
      </c>
      <c r="AV222" s="257">
        <f t="shared" si="37"/>
        <v>0</v>
      </c>
      <c r="AW222" s="257">
        <f t="shared" si="38"/>
        <v>0.224563292614466</v>
      </c>
      <c r="AX222" s="257">
        <f t="shared" si="39"/>
        <v>0.497703613484828</v>
      </c>
      <c r="AY222" s="257">
        <f t="shared" si="40"/>
        <v>0.127491308529951</v>
      </c>
      <c r="AZ222" s="257">
        <f t="shared" si="41"/>
        <v>0.134582366246565</v>
      </c>
      <c r="BA222" s="206" t="s">
        <v>269</v>
      </c>
      <c r="BB222" s="207"/>
      <c r="BC222" s="257" t="s">
        <v>327</v>
      </c>
      <c r="BD222" s="257">
        <v>5</v>
      </c>
      <c r="BE222" s="257">
        <v>5</v>
      </c>
      <c r="BF222" s="257">
        <v>5</v>
      </c>
      <c r="BG222" s="257">
        <v>5</v>
      </c>
      <c r="BH222" s="257">
        <v>5</v>
      </c>
      <c r="BI222" s="257">
        <v>5</v>
      </c>
      <c r="BJ222" s="257">
        <v>5</v>
      </c>
      <c r="BK222" s="206" t="s">
        <v>269</v>
      </c>
      <c r="BL222" s="206">
        <v>0</v>
      </c>
    </row>
    <row r="223" ht="21" spans="2:64">
      <c r="B223" s="229" t="s">
        <v>326</v>
      </c>
      <c r="C223" s="229">
        <f>T216</f>
        <v>4.18384600835176</v>
      </c>
      <c r="D223" s="231">
        <f>Q216</f>
        <v>3.17694532056006</v>
      </c>
      <c r="E223" s="231">
        <f>K216</f>
        <v>5.20810707442889</v>
      </c>
      <c r="I223" s="237"/>
      <c r="J223" s="237"/>
      <c r="K223" s="237"/>
      <c r="L223" s="237"/>
      <c r="M223" s="237"/>
      <c r="N223" s="237"/>
      <c r="O223" s="237"/>
      <c r="P223" s="237"/>
      <c r="Q223" s="237"/>
      <c r="R223" s="237"/>
      <c r="S223" s="237"/>
      <c r="T223" s="237"/>
      <c r="U223" s="237"/>
      <c r="V223" s="247"/>
      <c r="W223" s="254"/>
      <c r="X223" s="254"/>
      <c r="Y223" s="254"/>
      <c r="Z223" s="254"/>
      <c r="AA223" s="262" t="str">
        <f t="shared" si="45"/>
        <v>HydRecy-LMO</v>
      </c>
      <c r="AB223" s="186" t="s">
        <v>312</v>
      </c>
      <c r="AC223" s="206" t="s">
        <v>418</v>
      </c>
      <c r="AD223" s="263">
        <f t="shared" si="46"/>
        <v>6.09218</v>
      </c>
      <c r="AE223" s="253"/>
      <c r="AF223" s="254"/>
      <c r="AG223" s="247"/>
      <c r="AH223" s="195" t="s">
        <v>421</v>
      </c>
      <c r="AI223" s="195"/>
      <c r="AJ223" s="195"/>
      <c r="AK223" s="195"/>
      <c r="AL223" s="195"/>
      <c r="AM223" s="195"/>
      <c r="AN223" s="195"/>
      <c r="AO223" s="275"/>
      <c r="AP223" s="275"/>
      <c r="AQ223" s="275"/>
      <c r="AS223" s="278" t="s">
        <v>328</v>
      </c>
      <c r="AT223" s="257">
        <f t="shared" si="35"/>
        <v>0.0187706262191706</v>
      </c>
      <c r="AU223" s="257">
        <f t="shared" si="36"/>
        <v>0.134657773452037</v>
      </c>
      <c r="AV223" s="257">
        <f t="shared" si="37"/>
        <v>0.0254487161137034</v>
      </c>
      <c r="AW223" s="257">
        <f t="shared" si="38"/>
        <v>0</v>
      </c>
      <c r="AX223" s="257">
        <f t="shared" si="39"/>
        <v>0.537355181960569</v>
      </c>
      <c r="AY223" s="257">
        <f t="shared" si="40"/>
        <v>0.103790521447178</v>
      </c>
      <c r="AZ223" s="257">
        <f t="shared" si="41"/>
        <v>0.179977180807341</v>
      </c>
      <c r="BA223" s="206" t="s">
        <v>269</v>
      </c>
      <c r="BB223" s="207"/>
      <c r="BC223" s="257" t="s">
        <v>328</v>
      </c>
      <c r="BD223" s="257">
        <v>5</v>
      </c>
      <c r="BE223" s="257">
        <v>5</v>
      </c>
      <c r="BF223" s="257">
        <v>5</v>
      </c>
      <c r="BG223" s="257">
        <v>5</v>
      </c>
      <c r="BH223" s="257">
        <v>5</v>
      </c>
      <c r="BI223" s="257">
        <v>5</v>
      </c>
      <c r="BJ223" s="257">
        <v>5</v>
      </c>
      <c r="BK223" s="206" t="s">
        <v>269</v>
      </c>
      <c r="BL223" s="206">
        <v>0</v>
      </c>
    </row>
    <row r="224" ht="13" spans="2:64">
      <c r="B224" s="229" t="s">
        <v>327</v>
      </c>
      <c r="C224" s="229">
        <f t="shared" ref="C224:C229" si="55">T217</f>
        <v>4.18384600835176</v>
      </c>
      <c r="D224" s="231">
        <f t="shared" ref="D224:D229" si="56">Q217</f>
        <v>3.17694532056006</v>
      </c>
      <c r="E224" s="231">
        <f t="shared" ref="E224:E229" si="57">K217</f>
        <v>5.20810707442889</v>
      </c>
      <c r="I224" s="237"/>
      <c r="J224" s="237"/>
      <c r="K224" s="237"/>
      <c r="L224" s="237"/>
      <c r="M224" s="237"/>
      <c r="N224" s="237"/>
      <c r="O224" s="237"/>
      <c r="P224" s="237"/>
      <c r="Q224" s="237"/>
      <c r="R224" s="237"/>
      <c r="S224" s="237"/>
      <c r="T224" s="237"/>
      <c r="U224" s="237"/>
      <c r="V224" s="247"/>
      <c r="W224" s="254"/>
      <c r="X224" s="254"/>
      <c r="Y224" s="254"/>
      <c r="Z224" s="254"/>
      <c r="AA224" s="262" t="str">
        <f t="shared" si="45"/>
        <v>HydRecy-NCA</v>
      </c>
      <c r="AB224" s="186" t="s">
        <v>313</v>
      </c>
      <c r="AC224" s="206" t="s">
        <v>418</v>
      </c>
      <c r="AD224" s="263">
        <f t="shared" si="46"/>
        <v>4.89062</v>
      </c>
      <c r="AE224" s="253"/>
      <c r="AF224" s="254"/>
      <c r="AG224" s="247"/>
      <c r="AH224" s="275"/>
      <c r="AI224" s="276" t="s">
        <v>229</v>
      </c>
      <c r="AJ224" s="276" t="s">
        <v>236</v>
      </c>
      <c r="AK224" s="276" t="s">
        <v>238</v>
      </c>
      <c r="AL224" s="276" t="s">
        <v>240</v>
      </c>
      <c r="AM224" s="276" t="s">
        <v>242</v>
      </c>
      <c r="AN224" s="276" t="s">
        <v>244</v>
      </c>
      <c r="AO224" s="276" t="s">
        <v>246</v>
      </c>
      <c r="AP224" s="275"/>
      <c r="AQ224" s="275"/>
      <c r="AS224" s="278" t="s">
        <v>329</v>
      </c>
      <c r="AT224" s="257">
        <f t="shared" si="35"/>
        <v>0.0233883423212884</v>
      </c>
      <c r="AU224" s="257">
        <f t="shared" si="36"/>
        <v>0.0633973364198327</v>
      </c>
      <c r="AV224" s="257">
        <f t="shared" si="37"/>
        <v>0.063577955611912</v>
      </c>
      <c r="AW224" s="257">
        <f t="shared" si="38"/>
        <v>0.0592430950020089</v>
      </c>
      <c r="AX224" s="257">
        <f t="shared" si="39"/>
        <v>0.515870529214233</v>
      </c>
      <c r="AY224" s="257">
        <f t="shared" si="40"/>
        <v>0.112297218095831</v>
      </c>
      <c r="AZ224" s="257">
        <f t="shared" si="41"/>
        <v>0.162225523334894</v>
      </c>
      <c r="BA224" s="206" t="s">
        <v>269</v>
      </c>
      <c r="BB224" s="207"/>
      <c r="BC224" s="257" t="s">
        <v>329</v>
      </c>
      <c r="BD224" s="257">
        <v>5</v>
      </c>
      <c r="BE224" s="257">
        <v>5</v>
      </c>
      <c r="BF224" s="257">
        <v>5</v>
      </c>
      <c r="BG224" s="257">
        <v>5</v>
      </c>
      <c r="BH224" s="257">
        <v>5</v>
      </c>
      <c r="BI224" s="257">
        <v>5</v>
      </c>
      <c r="BJ224" s="257">
        <v>5</v>
      </c>
      <c r="BK224" s="206" t="s">
        <v>269</v>
      </c>
      <c r="BL224" s="206">
        <v>0</v>
      </c>
    </row>
    <row r="225" ht="13" spans="2:64">
      <c r="B225" s="229" t="s">
        <v>328</v>
      </c>
      <c r="C225" s="229">
        <f t="shared" si="55"/>
        <v>4.18384600835176</v>
      </c>
      <c r="D225" s="231">
        <f t="shared" si="56"/>
        <v>3.17694532056006</v>
      </c>
      <c r="E225" s="231">
        <f t="shared" si="57"/>
        <v>5.20810707442889</v>
      </c>
      <c r="I225" s="237"/>
      <c r="J225" s="237"/>
      <c r="K225" s="237"/>
      <c r="L225" s="237"/>
      <c r="M225" s="237"/>
      <c r="N225" s="237"/>
      <c r="O225" s="237"/>
      <c r="P225" s="237"/>
      <c r="Q225" s="237"/>
      <c r="R225" s="237"/>
      <c r="S225" s="237"/>
      <c r="T225" s="237"/>
      <c r="U225" s="237"/>
      <c r="V225" s="247"/>
      <c r="W225" s="254"/>
      <c r="X225" s="254"/>
      <c r="Y225" s="254"/>
      <c r="Z225" s="254"/>
      <c r="AA225" s="262" t="str">
        <f t="shared" si="45"/>
        <v>HydRecy-NMC111</v>
      </c>
      <c r="AB225" s="186" t="s">
        <v>314</v>
      </c>
      <c r="AC225" s="206" t="s">
        <v>418</v>
      </c>
      <c r="AD225" s="263">
        <f t="shared" si="46"/>
        <v>5.42578</v>
      </c>
      <c r="AE225" s="253"/>
      <c r="AF225" s="254"/>
      <c r="AG225" s="247"/>
      <c r="AH225" s="275"/>
      <c r="AI225" s="276">
        <v>0.9</v>
      </c>
      <c r="AJ225" s="276">
        <v>0.98</v>
      </c>
      <c r="AK225" s="276">
        <v>0.98</v>
      </c>
      <c r="AL225" s="276">
        <v>0.98</v>
      </c>
      <c r="AM225" s="276">
        <v>0.9</v>
      </c>
      <c r="AN225" s="276">
        <v>0.9</v>
      </c>
      <c r="AO225" s="276">
        <v>0.9</v>
      </c>
      <c r="AP225" s="275"/>
      <c r="AQ225" s="275"/>
      <c r="AS225" s="278" t="s">
        <v>330</v>
      </c>
      <c r="AT225" s="257">
        <f t="shared" si="35"/>
        <v>0.0229202323482377</v>
      </c>
      <c r="AU225" s="257">
        <f t="shared" si="36"/>
        <v>0.0932239254268519</v>
      </c>
      <c r="AV225" s="257">
        <f t="shared" si="37"/>
        <v>0.0374363795021216</v>
      </c>
      <c r="AW225" s="257">
        <f t="shared" si="38"/>
        <v>0.0523008243044346</v>
      </c>
      <c r="AX225" s="257">
        <f t="shared" si="39"/>
        <v>0.517390539037425</v>
      </c>
      <c r="AY225" s="257">
        <f t="shared" si="40"/>
        <v>0.111399070457244</v>
      </c>
      <c r="AZ225" s="257">
        <f t="shared" si="41"/>
        <v>0.165329028923685</v>
      </c>
      <c r="BA225" s="206" t="s">
        <v>269</v>
      </c>
      <c r="BB225" s="207"/>
      <c r="BC225" s="257" t="s">
        <v>330</v>
      </c>
      <c r="BD225" s="257">
        <v>5</v>
      </c>
      <c r="BE225" s="257">
        <v>5</v>
      </c>
      <c r="BF225" s="257">
        <v>5</v>
      </c>
      <c r="BG225" s="257">
        <v>5</v>
      </c>
      <c r="BH225" s="257">
        <v>5</v>
      </c>
      <c r="BI225" s="257">
        <v>5</v>
      </c>
      <c r="BJ225" s="257">
        <v>5</v>
      </c>
      <c r="BK225" s="206" t="s">
        <v>269</v>
      </c>
      <c r="BL225" s="206">
        <v>0</v>
      </c>
    </row>
    <row r="226" ht="13" spans="2:64">
      <c r="B226" s="229" t="s">
        <v>329</v>
      </c>
      <c r="C226" s="229">
        <f t="shared" si="55"/>
        <v>4.18384600835176</v>
      </c>
      <c r="D226" s="231">
        <f t="shared" si="56"/>
        <v>3.17694532056006</v>
      </c>
      <c r="E226" s="231">
        <f t="shared" si="57"/>
        <v>5.20810707442889</v>
      </c>
      <c r="I226" s="237"/>
      <c r="J226" s="237"/>
      <c r="K226" s="237"/>
      <c r="L226" s="237"/>
      <c r="M226" s="237"/>
      <c r="N226" s="237"/>
      <c r="O226" s="237"/>
      <c r="P226" s="237"/>
      <c r="Q226" s="237"/>
      <c r="R226" s="237"/>
      <c r="S226" s="237"/>
      <c r="T226" s="237"/>
      <c r="U226" s="237"/>
      <c r="V226" s="247"/>
      <c r="W226" s="254"/>
      <c r="X226" s="254"/>
      <c r="Y226" s="254"/>
      <c r="Z226" s="254"/>
      <c r="AA226" s="262" t="str">
        <f t="shared" si="45"/>
        <v>HydRecy-NMC532</v>
      </c>
      <c r="AB226" s="186" t="s">
        <v>315</v>
      </c>
      <c r="AC226" s="206" t="s">
        <v>418</v>
      </c>
      <c r="AD226" s="263">
        <f t="shared" si="46"/>
        <v>5.34026</v>
      </c>
      <c r="AE226" s="253"/>
      <c r="AF226" s="254"/>
      <c r="AG226" s="247"/>
      <c r="AH226" s="275"/>
      <c r="AI226" s="276">
        <f t="shared" ref="AI226:AO226" si="58">AI225</f>
        <v>0.9</v>
      </c>
      <c r="AJ226" s="276">
        <f t="shared" si="58"/>
        <v>0.98</v>
      </c>
      <c r="AK226" s="276">
        <f t="shared" si="58"/>
        <v>0.98</v>
      </c>
      <c r="AL226" s="276">
        <f t="shared" si="58"/>
        <v>0.98</v>
      </c>
      <c r="AM226" s="276">
        <f t="shared" si="58"/>
        <v>0.9</v>
      </c>
      <c r="AN226" s="276">
        <f t="shared" si="58"/>
        <v>0.9</v>
      </c>
      <c r="AO226" s="276">
        <f t="shared" si="58"/>
        <v>0.9</v>
      </c>
      <c r="AP226" s="275"/>
      <c r="AQ226" s="275"/>
      <c r="AS226" s="278" t="s">
        <v>331</v>
      </c>
      <c r="AT226" s="257">
        <f t="shared" si="35"/>
        <v>0.0208746928746929</v>
      </c>
      <c r="AU226" s="257">
        <f t="shared" si="36"/>
        <v>0.102285995085995</v>
      </c>
      <c r="AV226" s="257">
        <f t="shared" si="37"/>
        <v>0.0342879606879607</v>
      </c>
      <c r="AW226" s="257">
        <f t="shared" si="38"/>
        <v>0.0319764127764128</v>
      </c>
      <c r="AX226" s="257">
        <f t="shared" si="39"/>
        <v>0.533719901719902</v>
      </c>
      <c r="AY226" s="257">
        <f t="shared" si="40"/>
        <v>0.107027027027027</v>
      </c>
      <c r="AZ226" s="257">
        <f t="shared" si="41"/>
        <v>0.16982800982801</v>
      </c>
      <c r="BA226" s="206" t="s">
        <v>269</v>
      </c>
      <c r="BB226" s="207"/>
      <c r="BC226" s="257" t="s">
        <v>331</v>
      </c>
      <c r="BD226" s="257">
        <v>5</v>
      </c>
      <c r="BE226" s="257">
        <v>5</v>
      </c>
      <c r="BF226" s="257">
        <v>5</v>
      </c>
      <c r="BG226" s="257">
        <v>5</v>
      </c>
      <c r="BH226" s="257">
        <v>5</v>
      </c>
      <c r="BI226" s="257">
        <v>5</v>
      </c>
      <c r="BJ226" s="257">
        <v>5</v>
      </c>
      <c r="BK226" s="206" t="s">
        <v>269</v>
      </c>
      <c r="BL226" s="206">
        <v>0</v>
      </c>
    </row>
    <row r="227" ht="13" spans="2:64">
      <c r="B227" s="229" t="s">
        <v>330</v>
      </c>
      <c r="C227" s="229">
        <f t="shared" si="55"/>
        <v>4.18384600835176</v>
      </c>
      <c r="D227" s="231">
        <f t="shared" si="56"/>
        <v>3.17694532056006</v>
      </c>
      <c r="E227" s="231">
        <f t="shared" si="57"/>
        <v>5.20810707442889</v>
      </c>
      <c r="I227" s="237"/>
      <c r="J227" s="237"/>
      <c r="K227" s="237"/>
      <c r="L227" s="237"/>
      <c r="M227" s="237"/>
      <c r="N227" s="237"/>
      <c r="O227" s="237"/>
      <c r="P227" s="237"/>
      <c r="Q227" s="237"/>
      <c r="R227" s="237"/>
      <c r="S227" s="237"/>
      <c r="T227" s="237"/>
      <c r="U227" s="237"/>
      <c r="V227" s="247"/>
      <c r="W227" s="254"/>
      <c r="X227" s="254"/>
      <c r="Y227" s="254"/>
      <c r="Z227" s="254"/>
      <c r="AA227" s="262" t="str">
        <f t="shared" si="45"/>
        <v>HydRecy-NMC622</v>
      </c>
      <c r="AB227" s="186" t="s">
        <v>316</v>
      </c>
      <c r="AC227" s="206" t="s">
        <v>418</v>
      </c>
      <c r="AD227" s="263">
        <f t="shared" si="46"/>
        <v>5.0875</v>
      </c>
      <c r="AE227" s="253"/>
      <c r="AF227" s="254"/>
      <c r="AG227" s="247"/>
      <c r="AH227" s="275"/>
      <c r="AI227" s="276">
        <f t="shared" ref="AI227:AO227" si="59">AI226</f>
        <v>0.9</v>
      </c>
      <c r="AJ227" s="276">
        <f t="shared" si="59"/>
        <v>0.98</v>
      </c>
      <c r="AK227" s="276">
        <f t="shared" si="59"/>
        <v>0.98</v>
      </c>
      <c r="AL227" s="276">
        <f t="shared" si="59"/>
        <v>0.98</v>
      </c>
      <c r="AM227" s="276">
        <f t="shared" si="59"/>
        <v>0.9</v>
      </c>
      <c r="AN227" s="276">
        <f t="shared" si="59"/>
        <v>0.9</v>
      </c>
      <c r="AO227" s="276">
        <f t="shared" si="59"/>
        <v>0.9</v>
      </c>
      <c r="AP227" s="275"/>
      <c r="AQ227" s="275"/>
      <c r="AS227" s="278" t="s">
        <v>332</v>
      </c>
      <c r="AT227" s="257">
        <f t="shared" si="35"/>
        <v>0.0187188019966722</v>
      </c>
      <c r="AU227" s="257">
        <f t="shared" si="36"/>
        <v>0.122296173044925</v>
      </c>
      <c r="AV227" s="257">
        <f t="shared" si="37"/>
        <v>0.0152870216306156</v>
      </c>
      <c r="AW227" s="257">
        <f t="shared" si="38"/>
        <v>0.0142678868552413</v>
      </c>
      <c r="AX227" s="257">
        <f t="shared" si="39"/>
        <v>0.546776206322795</v>
      </c>
      <c r="AY227" s="257">
        <f t="shared" si="40"/>
        <v>0.10276622296173</v>
      </c>
      <c r="AZ227" s="257">
        <f t="shared" si="41"/>
        <v>0.17988768718802</v>
      </c>
      <c r="BA227" s="206" t="s">
        <v>269</v>
      </c>
      <c r="BB227" s="207"/>
      <c r="BC227" s="257" t="s">
        <v>332</v>
      </c>
      <c r="BD227" s="257">
        <v>5</v>
      </c>
      <c r="BE227" s="257">
        <v>5</v>
      </c>
      <c r="BF227" s="257">
        <v>5</v>
      </c>
      <c r="BG227" s="257">
        <v>5</v>
      </c>
      <c r="BH227" s="257">
        <v>5</v>
      </c>
      <c r="BI227" s="257">
        <v>5</v>
      </c>
      <c r="BJ227" s="257">
        <v>5</v>
      </c>
      <c r="BK227" s="206" t="s">
        <v>269</v>
      </c>
      <c r="BL227" s="206">
        <v>0</v>
      </c>
    </row>
    <row r="228" ht="13" spans="2:64">
      <c r="B228" s="229" t="s">
        <v>331</v>
      </c>
      <c r="C228" s="229">
        <f t="shared" si="55"/>
        <v>4.18384600835176</v>
      </c>
      <c r="D228" s="231">
        <f t="shared" si="56"/>
        <v>3.17694532056006</v>
      </c>
      <c r="E228" s="231">
        <f t="shared" si="57"/>
        <v>5.20810707442889</v>
      </c>
      <c r="I228" s="237"/>
      <c r="J228" s="237"/>
      <c r="K228" s="237"/>
      <c r="L228" s="237"/>
      <c r="M228" s="237"/>
      <c r="N228" s="237"/>
      <c r="O228" s="237"/>
      <c r="P228" s="237"/>
      <c r="Q228" s="237"/>
      <c r="R228" s="237"/>
      <c r="S228" s="237"/>
      <c r="T228" s="237"/>
      <c r="U228" s="237"/>
      <c r="V228" s="247"/>
      <c r="W228" s="254"/>
      <c r="X228" s="254"/>
      <c r="Y228" s="254"/>
      <c r="Z228" s="254"/>
      <c r="AA228" s="262" t="str">
        <f t="shared" si="45"/>
        <v>HydRecy-NMC811</v>
      </c>
      <c r="AB228" s="186" t="s">
        <v>317</v>
      </c>
      <c r="AC228" s="206" t="s">
        <v>418</v>
      </c>
      <c r="AD228" s="263">
        <f t="shared" si="46"/>
        <v>4.808</v>
      </c>
      <c r="AE228" s="253"/>
      <c r="AF228" s="254"/>
      <c r="AG228" s="247"/>
      <c r="AH228" s="275"/>
      <c r="AI228" s="276">
        <f t="shared" ref="AI228:AO228" si="60">AI227</f>
        <v>0.9</v>
      </c>
      <c r="AJ228" s="276">
        <f t="shared" si="60"/>
        <v>0.98</v>
      </c>
      <c r="AK228" s="276">
        <f t="shared" si="60"/>
        <v>0.98</v>
      </c>
      <c r="AL228" s="276">
        <f t="shared" si="60"/>
        <v>0.98</v>
      </c>
      <c r="AM228" s="276">
        <f t="shared" si="60"/>
        <v>0.9</v>
      </c>
      <c r="AN228" s="276">
        <f t="shared" si="60"/>
        <v>0.9</v>
      </c>
      <c r="AO228" s="276">
        <f t="shared" si="60"/>
        <v>0.9</v>
      </c>
      <c r="AP228" s="275"/>
      <c r="AQ228" s="275"/>
      <c r="AS228" s="278" t="s">
        <v>333</v>
      </c>
      <c r="AT228" s="257">
        <f t="shared" si="35"/>
        <v>0.0168022638839759</v>
      </c>
      <c r="AU228" s="257">
        <f t="shared" si="36"/>
        <v>0</v>
      </c>
      <c r="AV228" s="257">
        <f t="shared" si="37"/>
        <v>0</v>
      </c>
      <c r="AW228" s="257">
        <f t="shared" si="38"/>
        <v>0</v>
      </c>
      <c r="AX228" s="257">
        <f t="shared" si="39"/>
        <v>0.62398302087018</v>
      </c>
      <c r="AY228" s="257">
        <f t="shared" si="40"/>
        <v>0.167315175097276</v>
      </c>
      <c r="AZ228" s="257">
        <f t="shared" si="41"/>
        <v>0.191899540148567</v>
      </c>
      <c r="BA228" s="206" t="s">
        <v>269</v>
      </c>
      <c r="BB228" s="207"/>
      <c r="BC228" s="257" t="s">
        <v>333</v>
      </c>
      <c r="BD228" s="257">
        <v>5</v>
      </c>
      <c r="BE228" s="257">
        <v>5</v>
      </c>
      <c r="BF228" s="257">
        <v>5</v>
      </c>
      <c r="BG228" s="257">
        <v>5</v>
      </c>
      <c r="BH228" s="257">
        <v>5</v>
      </c>
      <c r="BI228" s="257">
        <v>5</v>
      </c>
      <c r="BJ228" s="257">
        <v>5</v>
      </c>
      <c r="BK228" s="206" t="s">
        <v>269</v>
      </c>
      <c r="BL228" s="206">
        <v>0</v>
      </c>
    </row>
    <row r="229" ht="13" spans="2:64">
      <c r="B229" s="229" t="s">
        <v>332</v>
      </c>
      <c r="C229" s="229">
        <f t="shared" si="55"/>
        <v>4.18384600835176</v>
      </c>
      <c r="D229" s="231">
        <f t="shared" si="56"/>
        <v>3.17694532056006</v>
      </c>
      <c r="E229" s="231">
        <f t="shared" si="57"/>
        <v>5.20810707442889</v>
      </c>
      <c r="I229" s="237"/>
      <c r="J229" s="237"/>
      <c r="K229" s="237"/>
      <c r="L229" s="237"/>
      <c r="M229" s="237"/>
      <c r="N229" s="237"/>
      <c r="O229" s="237"/>
      <c r="P229" s="237"/>
      <c r="Q229" s="237"/>
      <c r="R229" s="237"/>
      <c r="S229" s="237"/>
      <c r="T229" s="237"/>
      <c r="U229" s="237"/>
      <c r="V229" s="247"/>
      <c r="W229" s="254"/>
      <c r="X229" s="254"/>
      <c r="Y229" s="254"/>
      <c r="Z229" s="254"/>
      <c r="AA229" s="262" t="str">
        <f t="shared" si="45"/>
        <v>DirRecy-LFP</v>
      </c>
      <c r="AB229" s="186" t="s">
        <v>311</v>
      </c>
      <c r="AC229" s="206" t="s">
        <v>418</v>
      </c>
      <c r="AD229" s="263">
        <f t="shared" si="46"/>
        <v>5.0886</v>
      </c>
      <c r="AE229" s="253"/>
      <c r="AF229" s="254"/>
      <c r="AG229" s="247"/>
      <c r="AH229" s="275"/>
      <c r="AI229" s="276">
        <f t="shared" ref="AI229:AO229" si="61">AI228</f>
        <v>0.9</v>
      </c>
      <c r="AJ229" s="276">
        <f t="shared" si="61"/>
        <v>0.98</v>
      </c>
      <c r="AK229" s="276">
        <f t="shared" si="61"/>
        <v>0.98</v>
      </c>
      <c r="AL229" s="276">
        <f t="shared" si="61"/>
        <v>0.98</v>
      </c>
      <c r="AM229" s="276">
        <f t="shared" si="61"/>
        <v>0.9</v>
      </c>
      <c r="AN229" s="276">
        <f t="shared" si="61"/>
        <v>0.9</v>
      </c>
      <c r="AO229" s="276">
        <f t="shared" si="61"/>
        <v>0.9</v>
      </c>
      <c r="AP229" s="275"/>
      <c r="AQ229" s="275"/>
      <c r="AS229" s="278" t="s">
        <v>334</v>
      </c>
      <c r="AT229" s="257">
        <f t="shared" si="35"/>
        <v>0.0159518434913469</v>
      </c>
      <c r="AU229" s="257">
        <f t="shared" si="36"/>
        <v>0</v>
      </c>
      <c r="AV229" s="257">
        <f t="shared" si="37"/>
        <v>0</v>
      </c>
      <c r="AW229" s="257">
        <f t="shared" si="38"/>
        <v>0.210082768999248</v>
      </c>
      <c r="AX229" s="257">
        <f t="shared" si="39"/>
        <v>0.506997742663657</v>
      </c>
      <c r="AY229" s="257">
        <f t="shared" si="40"/>
        <v>0.12987208427389</v>
      </c>
      <c r="AZ229" s="257">
        <f t="shared" si="41"/>
        <v>0.137095560571859</v>
      </c>
      <c r="BA229" s="206" t="s">
        <v>269</v>
      </c>
      <c r="BB229" s="207"/>
      <c r="BC229" s="257" t="s">
        <v>334</v>
      </c>
      <c r="BD229" s="257">
        <v>5</v>
      </c>
      <c r="BE229" s="257">
        <v>5</v>
      </c>
      <c r="BF229" s="257">
        <v>5</v>
      </c>
      <c r="BG229" s="257">
        <v>5</v>
      </c>
      <c r="BH229" s="257">
        <v>5</v>
      </c>
      <c r="BI229" s="257">
        <v>5</v>
      </c>
      <c r="BJ229" s="257">
        <v>5</v>
      </c>
      <c r="BK229" s="206" t="s">
        <v>269</v>
      </c>
      <c r="BL229" s="206">
        <v>0</v>
      </c>
    </row>
    <row r="230" ht="23" spans="1:64">
      <c r="A230" s="233"/>
      <c r="B230" s="229" t="s">
        <v>333</v>
      </c>
      <c r="C230" s="229">
        <f>U216</f>
        <v>3.56556266273643</v>
      </c>
      <c r="D230" s="231">
        <f>R216</f>
        <v>2.70746042741341</v>
      </c>
      <c r="E230" s="231">
        <f>L216</f>
        <v>4.4384597641857</v>
      </c>
      <c r="I230" s="245" t="s">
        <v>422</v>
      </c>
      <c r="J230" s="217" t="s">
        <v>423</v>
      </c>
      <c r="K230" s="217"/>
      <c r="L230" s="217"/>
      <c r="M230" s="217"/>
      <c r="N230" s="217"/>
      <c r="O230" s="217"/>
      <c r="P230" s="217"/>
      <c r="Q230" s="217"/>
      <c r="R230" s="217"/>
      <c r="S230" s="237"/>
      <c r="T230" s="237"/>
      <c r="U230" s="237"/>
      <c r="V230" s="255"/>
      <c r="W230" s="256"/>
      <c r="X230" s="256"/>
      <c r="Y230" s="256"/>
      <c r="Z230" s="256"/>
      <c r="AA230" s="262" t="str">
        <f t="shared" si="45"/>
        <v>DirRecy-LMO</v>
      </c>
      <c r="AB230" s="186" t="s">
        <v>312</v>
      </c>
      <c r="AC230" s="206" t="s">
        <v>418</v>
      </c>
      <c r="AD230" s="263">
        <f t="shared" si="46"/>
        <v>5.9805</v>
      </c>
      <c r="AE230" s="253"/>
      <c r="AF230" s="254"/>
      <c r="AG230" s="247"/>
      <c r="AH230" s="275"/>
      <c r="AI230" s="276">
        <f t="shared" ref="AI230:AO230" si="62">AI229</f>
        <v>0.9</v>
      </c>
      <c r="AJ230" s="276">
        <f t="shared" si="62"/>
        <v>0.98</v>
      </c>
      <c r="AK230" s="276">
        <f t="shared" si="62"/>
        <v>0.98</v>
      </c>
      <c r="AL230" s="276">
        <f t="shared" si="62"/>
        <v>0.98</v>
      </c>
      <c r="AM230" s="276">
        <f t="shared" si="62"/>
        <v>0.9</v>
      </c>
      <c r="AN230" s="276">
        <f t="shared" si="62"/>
        <v>0.9</v>
      </c>
      <c r="AO230" s="276">
        <f t="shared" si="62"/>
        <v>0.9</v>
      </c>
      <c r="AP230" s="275"/>
      <c r="AQ230" s="275"/>
      <c r="AS230" s="262" t="s">
        <v>335</v>
      </c>
      <c r="AT230" s="186">
        <f t="shared" si="35"/>
        <v>0.0190192056684691</v>
      </c>
      <c r="AU230" s="186">
        <f t="shared" si="36"/>
        <v>0.125303002051091</v>
      </c>
      <c r="AV230" s="186">
        <f t="shared" si="37"/>
        <v>0.0236807756852508</v>
      </c>
      <c r="AW230" s="186">
        <f t="shared" si="38"/>
        <v>0</v>
      </c>
      <c r="AX230" s="186">
        <f t="shared" si="39"/>
        <v>0.544471377960097</v>
      </c>
      <c r="AY230" s="186">
        <f t="shared" si="40"/>
        <v>0.105165019578594</v>
      </c>
      <c r="AZ230" s="186">
        <f t="shared" si="41"/>
        <v>0.182360619056498</v>
      </c>
      <c r="BA230" s="206" t="s">
        <v>269</v>
      </c>
      <c r="BB230" s="279"/>
      <c r="BC230" s="186" t="s">
        <v>335</v>
      </c>
      <c r="BD230" s="257">
        <v>5</v>
      </c>
      <c r="BE230" s="257">
        <v>5</v>
      </c>
      <c r="BF230" s="257">
        <v>5</v>
      </c>
      <c r="BG230" s="257">
        <v>5</v>
      </c>
      <c r="BH230" s="257">
        <v>5</v>
      </c>
      <c r="BI230" s="257">
        <v>5</v>
      </c>
      <c r="BJ230" s="257">
        <v>5</v>
      </c>
      <c r="BK230" s="206" t="s">
        <v>269</v>
      </c>
      <c r="BL230" s="206">
        <v>0</v>
      </c>
    </row>
    <row r="231" ht="25" spans="1:64">
      <c r="A231" s="210"/>
      <c r="B231" s="229" t="s">
        <v>334</v>
      </c>
      <c r="C231" s="229">
        <f t="shared" ref="C231:C236" si="63">U217</f>
        <v>3.60087708179809</v>
      </c>
      <c r="D231" s="231">
        <f t="shared" ref="D231:D236" si="64">R217</f>
        <v>2.73427597641857</v>
      </c>
      <c r="E231" s="231">
        <f t="shared" ref="E231:E236" si="65">L217</f>
        <v>4.48241960206338</v>
      </c>
      <c r="I231" s="180" t="s">
        <v>424</v>
      </c>
      <c r="J231" s="180"/>
      <c r="K231" s="180"/>
      <c r="L231" s="180"/>
      <c r="M231" s="180"/>
      <c r="N231" s="180"/>
      <c r="O231" s="180"/>
      <c r="P231" s="180"/>
      <c r="Q231" s="237"/>
      <c r="R231" s="219" t="s">
        <v>368</v>
      </c>
      <c r="S231" s="237"/>
      <c r="T231" s="237"/>
      <c r="U231" s="237"/>
      <c r="V231" s="255"/>
      <c r="W231" s="255"/>
      <c r="X231" s="255"/>
      <c r="Y231" s="255"/>
      <c r="Z231" s="255"/>
      <c r="AA231" s="262" t="str">
        <f t="shared" si="45"/>
        <v>DirRecy-NCA</v>
      </c>
      <c r="AB231" s="186" t="s">
        <v>313</v>
      </c>
      <c r="AC231" s="206" t="s">
        <v>418</v>
      </c>
      <c r="AD231" s="263">
        <f t="shared" si="46"/>
        <v>4.8267</v>
      </c>
      <c r="AE231" s="253"/>
      <c r="AF231" s="255"/>
      <c r="AG231" s="247"/>
      <c r="AH231" s="275"/>
      <c r="AI231" s="276">
        <f t="shared" ref="AI231:AO231" si="66">AI230</f>
        <v>0.9</v>
      </c>
      <c r="AJ231" s="276">
        <f t="shared" si="66"/>
        <v>0.98</v>
      </c>
      <c r="AK231" s="276">
        <f t="shared" si="66"/>
        <v>0.98</v>
      </c>
      <c r="AL231" s="276">
        <f t="shared" si="66"/>
        <v>0.98</v>
      </c>
      <c r="AM231" s="276">
        <f t="shared" si="66"/>
        <v>0.9</v>
      </c>
      <c r="AN231" s="276">
        <f t="shared" si="66"/>
        <v>0.9</v>
      </c>
      <c r="AO231" s="276">
        <f t="shared" si="66"/>
        <v>0.9</v>
      </c>
      <c r="AP231" s="275"/>
      <c r="AQ231" s="275"/>
      <c r="AS231" s="262" t="s">
        <v>336</v>
      </c>
      <c r="AT231" s="186">
        <f t="shared" si="35"/>
        <v>0.0237493683678626</v>
      </c>
      <c r="AU231" s="186">
        <f t="shared" si="36"/>
        <v>0.0591207680646791</v>
      </c>
      <c r="AV231" s="186">
        <f t="shared" si="37"/>
        <v>0.0592892033013306</v>
      </c>
      <c r="AW231" s="186">
        <f t="shared" si="38"/>
        <v>0.0552467576216945</v>
      </c>
      <c r="AX231" s="186">
        <f t="shared" si="39"/>
        <v>0.523833585986188</v>
      </c>
      <c r="AY231" s="186">
        <f t="shared" si="40"/>
        <v>0.114030655213071</v>
      </c>
      <c r="AZ231" s="186">
        <f t="shared" si="41"/>
        <v>0.164729661445174</v>
      </c>
      <c r="BA231" s="206" t="s">
        <v>269</v>
      </c>
      <c r="BB231" s="279"/>
      <c r="BC231" s="186" t="s">
        <v>336</v>
      </c>
      <c r="BD231" s="257">
        <v>5</v>
      </c>
      <c r="BE231" s="257">
        <v>5</v>
      </c>
      <c r="BF231" s="257">
        <v>5</v>
      </c>
      <c r="BG231" s="257">
        <v>5</v>
      </c>
      <c r="BH231" s="257">
        <v>5</v>
      </c>
      <c r="BI231" s="257">
        <v>5</v>
      </c>
      <c r="BJ231" s="257">
        <v>5</v>
      </c>
      <c r="BK231" s="206" t="s">
        <v>269</v>
      </c>
      <c r="BL231" s="206">
        <v>0</v>
      </c>
    </row>
    <row r="232" ht="13" spans="2:64">
      <c r="B232" s="229" t="s">
        <v>335</v>
      </c>
      <c r="C232" s="229">
        <f t="shared" si="63"/>
        <v>3.56556266273643</v>
      </c>
      <c r="D232" s="231">
        <f t="shared" si="64"/>
        <v>2.70746042741341</v>
      </c>
      <c r="E232" s="231">
        <f t="shared" si="65"/>
        <v>4.4384597641857</v>
      </c>
      <c r="I232" s="180" t="s">
        <v>252</v>
      </c>
      <c r="J232" s="180" t="s">
        <v>196</v>
      </c>
      <c r="K232" s="180" t="s">
        <v>199</v>
      </c>
      <c r="L232" s="180" t="s">
        <v>204</v>
      </c>
      <c r="M232" s="180" t="s">
        <v>209</v>
      </c>
      <c r="N232" s="180" t="s">
        <v>214</v>
      </c>
      <c r="O232" s="180" t="s">
        <v>219</v>
      </c>
      <c r="P232" s="180" t="s">
        <v>224</v>
      </c>
      <c r="Q232" s="180"/>
      <c r="R232" s="219"/>
      <c r="S232" s="237"/>
      <c r="T232" s="237"/>
      <c r="U232" s="237"/>
      <c r="V232" s="255"/>
      <c r="W232" s="255"/>
      <c r="X232" s="255"/>
      <c r="Y232" s="255"/>
      <c r="Z232" s="255"/>
      <c r="AA232" s="262" t="str">
        <f t="shared" si="45"/>
        <v>DirRecy-NMC111</v>
      </c>
      <c r="AB232" s="186" t="s">
        <v>314</v>
      </c>
      <c r="AC232" s="206" t="s">
        <v>418</v>
      </c>
      <c r="AD232" s="263">
        <f t="shared" si="46"/>
        <v>5.3433</v>
      </c>
      <c r="AE232" s="253"/>
      <c r="AF232" s="255"/>
      <c r="AG232" s="247"/>
      <c r="AH232" s="275"/>
      <c r="AI232" s="275"/>
      <c r="AJ232" s="275"/>
      <c r="AK232" s="275"/>
      <c r="AL232" s="275"/>
      <c r="AM232" s="275"/>
      <c r="AN232" s="275"/>
      <c r="AO232" s="275"/>
      <c r="AP232" s="275"/>
      <c r="AQ232" s="275"/>
      <c r="AS232" s="262" t="s">
        <v>337</v>
      </c>
      <c r="AT232" s="186">
        <f t="shared" si="35"/>
        <v>0.023267750213858</v>
      </c>
      <c r="AU232" s="186">
        <f t="shared" si="36"/>
        <v>0.0869118905047049</v>
      </c>
      <c r="AV232" s="186">
        <f t="shared" si="37"/>
        <v>0.034901625320787</v>
      </c>
      <c r="AW232" s="186">
        <f t="shared" si="38"/>
        <v>0.048759623609923</v>
      </c>
      <c r="AX232" s="186">
        <f t="shared" si="39"/>
        <v>0.525235243798118</v>
      </c>
      <c r="AY232" s="186">
        <f t="shared" si="40"/>
        <v>0.113088109495295</v>
      </c>
      <c r="AZ232" s="186">
        <f t="shared" si="41"/>
        <v>0.167835757057314</v>
      </c>
      <c r="BA232" s="206" t="s">
        <v>269</v>
      </c>
      <c r="BB232" s="279"/>
      <c r="BC232" s="186" t="s">
        <v>337</v>
      </c>
      <c r="BD232" s="257">
        <v>5</v>
      </c>
      <c r="BE232" s="257">
        <v>5</v>
      </c>
      <c r="BF232" s="257">
        <v>5</v>
      </c>
      <c r="BG232" s="257">
        <v>5</v>
      </c>
      <c r="BH232" s="257">
        <v>5</v>
      </c>
      <c r="BI232" s="257">
        <v>5</v>
      </c>
      <c r="BJ232" s="257">
        <v>5</v>
      </c>
      <c r="BK232" s="206" t="s">
        <v>269</v>
      </c>
      <c r="BL232" s="206">
        <v>0</v>
      </c>
    </row>
    <row r="233" ht="13" spans="2:64">
      <c r="B233" s="229" t="s">
        <v>336</v>
      </c>
      <c r="C233" s="229">
        <f t="shared" si="63"/>
        <v>3.56645369688037</v>
      </c>
      <c r="D233" s="231">
        <f t="shared" si="64"/>
        <v>2.70813706705969</v>
      </c>
      <c r="E233" s="231">
        <f t="shared" si="65"/>
        <v>4.43956890198968</v>
      </c>
      <c r="I233" s="180" t="s">
        <v>263</v>
      </c>
      <c r="J233" s="180">
        <v>0.095</v>
      </c>
      <c r="K233" s="180">
        <v>0</v>
      </c>
      <c r="L233" s="180">
        <v>0</v>
      </c>
      <c r="M233" s="180">
        <v>0</v>
      </c>
      <c r="N233" s="180">
        <v>3.528</v>
      </c>
      <c r="O233" s="180">
        <v>0.946</v>
      </c>
      <c r="P233" s="180">
        <v>1.085</v>
      </c>
      <c r="Q233" s="237"/>
      <c r="R233" s="219">
        <f t="shared" ref="R233:R239" si="67">SUM(J233:P233)</f>
        <v>5.654</v>
      </c>
      <c r="S233" s="237"/>
      <c r="T233" s="237"/>
      <c r="U233" s="180"/>
      <c r="V233" s="255"/>
      <c r="W233" s="255"/>
      <c r="X233" s="255"/>
      <c r="Y233" s="255"/>
      <c r="Z233" s="255"/>
      <c r="AA233" s="262" t="str">
        <f t="shared" si="45"/>
        <v>DirRecy-NMC532</v>
      </c>
      <c r="AB233" s="186" t="s">
        <v>315</v>
      </c>
      <c r="AC233" s="206" t="s">
        <v>418</v>
      </c>
      <c r="AD233" s="263">
        <f t="shared" si="46"/>
        <v>5.2605</v>
      </c>
      <c r="AE233" s="253"/>
      <c r="AF233" s="255"/>
      <c r="AG233" s="247"/>
      <c r="AH233" s="275"/>
      <c r="AI233" s="275"/>
      <c r="AJ233" s="275"/>
      <c r="AK233" s="275"/>
      <c r="AL233" s="275"/>
      <c r="AM233" s="275"/>
      <c r="AN233" s="275"/>
      <c r="AO233" s="275"/>
      <c r="AP233" s="275"/>
      <c r="AQ233" s="275"/>
      <c r="AS233" s="262" t="s">
        <v>338</v>
      </c>
      <c r="AT233" s="186">
        <f t="shared" si="35"/>
        <v>0.0211659192825112</v>
      </c>
      <c r="AU233" s="186">
        <f t="shared" si="36"/>
        <v>0.0952466367713004</v>
      </c>
      <c r="AV233" s="186">
        <f t="shared" si="37"/>
        <v>0.0319282511210762</v>
      </c>
      <c r="AW233" s="186">
        <f t="shared" si="38"/>
        <v>0.0297757847533632</v>
      </c>
      <c r="AX233" s="186">
        <f t="shared" si="39"/>
        <v>0.541165919282511</v>
      </c>
      <c r="AY233" s="186">
        <f t="shared" si="40"/>
        <v>0.108520179372197</v>
      </c>
      <c r="AZ233" s="186">
        <f t="shared" si="41"/>
        <v>0.17219730941704</v>
      </c>
      <c r="BA233" s="206" t="s">
        <v>269</v>
      </c>
      <c r="BB233" s="279"/>
      <c r="BC233" s="186" t="s">
        <v>338</v>
      </c>
      <c r="BD233" s="257">
        <v>5</v>
      </c>
      <c r="BE233" s="257">
        <v>5</v>
      </c>
      <c r="BF233" s="257">
        <v>5</v>
      </c>
      <c r="BG233" s="257">
        <v>5</v>
      </c>
      <c r="BH233" s="257">
        <v>5</v>
      </c>
      <c r="BI233" s="257">
        <v>5</v>
      </c>
      <c r="BJ233" s="257">
        <v>5</v>
      </c>
      <c r="BK233" s="206" t="s">
        <v>269</v>
      </c>
      <c r="BL233" s="206">
        <v>0</v>
      </c>
    </row>
    <row r="234" ht="21" spans="2:64">
      <c r="B234" s="229" t="s">
        <v>337</v>
      </c>
      <c r="C234" s="229">
        <f t="shared" si="63"/>
        <v>3.56585961680177</v>
      </c>
      <c r="D234" s="231">
        <f t="shared" si="64"/>
        <v>2.70768592483419</v>
      </c>
      <c r="E234" s="231">
        <f t="shared" si="65"/>
        <v>4.43882940309506</v>
      </c>
      <c r="I234" s="180" t="s">
        <v>268</v>
      </c>
      <c r="J234" s="180">
        <v>0.106</v>
      </c>
      <c r="K234" s="180">
        <v>0</v>
      </c>
      <c r="L234" s="180">
        <v>0</v>
      </c>
      <c r="M234" s="180">
        <v>1.396</v>
      </c>
      <c r="N234" s="180">
        <v>3.369</v>
      </c>
      <c r="O234" s="180">
        <v>0.863</v>
      </c>
      <c r="P234" s="180">
        <v>0.911</v>
      </c>
      <c r="Q234" s="237"/>
      <c r="R234" s="219">
        <f t="shared" si="67"/>
        <v>6.645</v>
      </c>
      <c r="S234" s="237"/>
      <c r="T234" s="237"/>
      <c r="U234" s="180"/>
      <c r="V234" s="255"/>
      <c r="W234" s="255"/>
      <c r="X234" s="255"/>
      <c r="Y234" s="255"/>
      <c r="Z234" s="255"/>
      <c r="AA234" s="262" t="str">
        <f t="shared" si="45"/>
        <v>DirRecy-NMC622</v>
      </c>
      <c r="AB234" s="186" t="s">
        <v>316</v>
      </c>
      <c r="AC234" s="206" t="s">
        <v>418</v>
      </c>
      <c r="AD234" s="263">
        <f t="shared" si="46"/>
        <v>5.0175</v>
      </c>
      <c r="AE234" s="253"/>
      <c r="AF234" s="255"/>
      <c r="AG234" s="247"/>
      <c r="AH234" s="195" t="s">
        <v>425</v>
      </c>
      <c r="AI234" s="195"/>
      <c r="AJ234" s="195"/>
      <c r="AK234" s="195"/>
      <c r="AL234" s="195"/>
      <c r="AM234" s="195"/>
      <c r="AN234" s="195"/>
      <c r="AO234" s="157"/>
      <c r="AP234" s="157"/>
      <c r="AS234" s="262" t="s">
        <v>339</v>
      </c>
      <c r="AT234" s="186">
        <f t="shared" si="35"/>
        <v>0.0189537528430629</v>
      </c>
      <c r="AU234" s="186">
        <f t="shared" si="36"/>
        <v>0.113722517058378</v>
      </c>
      <c r="AV234" s="186">
        <f t="shared" si="37"/>
        <v>0.0142153146322972</v>
      </c>
      <c r="AW234" s="186">
        <f t="shared" si="38"/>
        <v>0.0132676269901441</v>
      </c>
      <c r="AX234" s="186">
        <f t="shared" si="39"/>
        <v>0.553639120545868</v>
      </c>
      <c r="AY234" s="186">
        <f t="shared" si="40"/>
        <v>0.104056103108415</v>
      </c>
      <c r="AZ234" s="186">
        <f t="shared" si="41"/>
        <v>0.182145564821835</v>
      </c>
      <c r="BA234" s="206" t="s">
        <v>269</v>
      </c>
      <c r="BB234" s="279"/>
      <c r="BC234" s="186" t="s">
        <v>339</v>
      </c>
      <c r="BD234" s="257">
        <v>5</v>
      </c>
      <c r="BE234" s="257">
        <v>5</v>
      </c>
      <c r="BF234" s="257">
        <v>5</v>
      </c>
      <c r="BG234" s="257">
        <v>5</v>
      </c>
      <c r="BH234" s="257">
        <v>5</v>
      </c>
      <c r="BI234" s="257">
        <v>5</v>
      </c>
      <c r="BJ234" s="257">
        <v>5</v>
      </c>
      <c r="BK234" s="206" t="s">
        <v>269</v>
      </c>
      <c r="BL234" s="206">
        <v>0</v>
      </c>
    </row>
    <row r="235" ht="13" spans="2:42">
      <c r="B235" s="229" t="s">
        <v>338</v>
      </c>
      <c r="C235" s="229">
        <f t="shared" si="63"/>
        <v>3.56556266273643</v>
      </c>
      <c r="D235" s="231">
        <f t="shared" si="64"/>
        <v>2.70746042741341</v>
      </c>
      <c r="E235" s="231">
        <f t="shared" si="65"/>
        <v>4.4384597641857</v>
      </c>
      <c r="I235" s="180" t="s">
        <v>270</v>
      </c>
      <c r="J235" s="180">
        <v>0.102</v>
      </c>
      <c r="K235" s="180">
        <v>0.672</v>
      </c>
      <c r="L235" s="180">
        <v>0.127</v>
      </c>
      <c r="M235" s="180">
        <v>0</v>
      </c>
      <c r="N235" s="180">
        <v>2.92</v>
      </c>
      <c r="O235" s="180">
        <v>0.564</v>
      </c>
      <c r="P235" s="180">
        <v>0.978</v>
      </c>
      <c r="Q235" s="237"/>
      <c r="R235" s="219">
        <f t="shared" si="67"/>
        <v>5.363</v>
      </c>
      <c r="S235" s="237"/>
      <c r="T235" s="237"/>
      <c r="U235" s="180"/>
      <c r="V235" s="255"/>
      <c r="W235" s="255"/>
      <c r="X235" s="255"/>
      <c r="Y235" s="255"/>
      <c r="Z235" s="255"/>
      <c r="AA235" s="264" t="str">
        <f t="shared" si="45"/>
        <v>DirRecy-NMC811</v>
      </c>
      <c r="AB235" s="265" t="s">
        <v>317</v>
      </c>
      <c r="AC235" s="223" t="s">
        <v>418</v>
      </c>
      <c r="AD235" s="266">
        <f t="shared" si="46"/>
        <v>4.7484</v>
      </c>
      <c r="AE235" s="253"/>
      <c r="AF235" s="255"/>
      <c r="AG235" s="247"/>
      <c r="AH235" s="157"/>
      <c r="AI235" s="276" t="s">
        <v>229</v>
      </c>
      <c r="AJ235" s="276" t="s">
        <v>236</v>
      </c>
      <c r="AK235" s="276" t="s">
        <v>238</v>
      </c>
      <c r="AL235" s="276" t="s">
        <v>240</v>
      </c>
      <c r="AM235" s="276" t="s">
        <v>242</v>
      </c>
      <c r="AN235" s="276" t="s">
        <v>244</v>
      </c>
      <c r="AO235" s="276" t="s">
        <v>246</v>
      </c>
      <c r="AP235" s="157"/>
    </row>
    <row r="236" ht="13" spans="2:41">
      <c r="B236" s="234" t="s">
        <v>339</v>
      </c>
      <c r="C236" s="229">
        <f t="shared" si="63"/>
        <v>3.56496890198968</v>
      </c>
      <c r="D236" s="231">
        <f t="shared" si="64"/>
        <v>2.70700957995578</v>
      </c>
      <c r="E236" s="231">
        <f t="shared" si="65"/>
        <v>4.43772063375092</v>
      </c>
      <c r="I236" s="180" t="s">
        <v>271</v>
      </c>
      <c r="J236" s="180">
        <v>0.141</v>
      </c>
      <c r="K236" s="180">
        <v>0.351</v>
      </c>
      <c r="L236" s="180">
        <v>0.352</v>
      </c>
      <c r="M236" s="180">
        <v>0.328</v>
      </c>
      <c r="N236" s="180">
        <v>3.11</v>
      </c>
      <c r="O236" s="180">
        <v>0.677</v>
      </c>
      <c r="P236" s="180">
        <v>0.978</v>
      </c>
      <c r="Q236" s="237"/>
      <c r="R236" s="219">
        <f t="shared" si="67"/>
        <v>5.937</v>
      </c>
      <c r="S236" s="237"/>
      <c r="T236" s="237"/>
      <c r="U236" s="180"/>
      <c r="V236" s="255"/>
      <c r="W236" s="255"/>
      <c r="X236" s="255"/>
      <c r="Y236" s="255"/>
      <c r="Z236" s="255"/>
      <c r="AA236" s="267"/>
      <c r="AB236" s="268"/>
      <c r="AC236" s="158"/>
      <c r="AD236" s="254"/>
      <c r="AE236" s="269"/>
      <c r="AF236" s="255"/>
      <c r="AG236" s="247"/>
      <c r="AH236" s="157"/>
      <c r="AI236" s="176">
        <v>0.9</v>
      </c>
      <c r="AJ236" s="276">
        <v>0.9</v>
      </c>
      <c r="AK236" s="276">
        <v>0.9</v>
      </c>
      <c r="AL236" s="276">
        <v>0.9</v>
      </c>
      <c r="AM236" s="276">
        <v>0.9</v>
      </c>
      <c r="AN236" s="276">
        <v>0.9</v>
      </c>
      <c r="AO236" s="276">
        <v>0.9</v>
      </c>
    </row>
    <row r="237" ht="14.5" spans="2:65">
      <c r="B237" s="235"/>
      <c r="C237"/>
      <c r="D237"/>
      <c r="I237" s="180" t="s">
        <v>272</v>
      </c>
      <c r="J237" s="180">
        <v>0.136</v>
      </c>
      <c r="K237" s="180">
        <v>0.508</v>
      </c>
      <c r="L237" s="180">
        <v>0.204</v>
      </c>
      <c r="M237" s="180">
        <v>0.285</v>
      </c>
      <c r="N237" s="180">
        <v>3.07</v>
      </c>
      <c r="O237" s="180">
        <v>0.661</v>
      </c>
      <c r="P237" s="180">
        <v>0.981</v>
      </c>
      <c r="Q237" s="237"/>
      <c r="R237" s="219">
        <f t="shared" si="67"/>
        <v>5.845</v>
      </c>
      <c r="S237" s="237"/>
      <c r="T237" s="237"/>
      <c r="U237" s="180"/>
      <c r="V237" s="255"/>
      <c r="W237" s="255"/>
      <c r="X237" s="255"/>
      <c r="Y237" s="255"/>
      <c r="Z237" s="255"/>
      <c r="AA237" s="268"/>
      <c r="AB237" s="268"/>
      <c r="AC237" s="158"/>
      <c r="AD237" s="270"/>
      <c r="AE237" s="253"/>
      <c r="AF237" s="255"/>
      <c r="AG237" s="247"/>
      <c r="AH237" s="157"/>
      <c r="AI237" s="176">
        <f t="shared" ref="AI237:AO237" si="68">AI236</f>
        <v>0.9</v>
      </c>
      <c r="AJ237" s="276">
        <f t="shared" si="68"/>
        <v>0.9</v>
      </c>
      <c r="AK237" s="276">
        <f t="shared" si="68"/>
        <v>0.9</v>
      </c>
      <c r="AL237" s="276">
        <f t="shared" si="68"/>
        <v>0.9</v>
      </c>
      <c r="AM237" s="276">
        <f t="shared" si="68"/>
        <v>0.9</v>
      </c>
      <c r="AN237" s="276">
        <f t="shared" si="68"/>
        <v>0.9</v>
      </c>
      <c r="AO237" s="276">
        <f t="shared" si="68"/>
        <v>0.9</v>
      </c>
      <c r="AS237" s="158"/>
      <c r="AT237" s="158"/>
      <c r="AU237" s="158"/>
      <c r="AV237" s="158"/>
      <c r="AW237" s="158"/>
      <c r="AX237" s="158"/>
      <c r="AY237" s="158"/>
      <c r="AZ237" s="158"/>
      <c r="BA237" s="158"/>
      <c r="BB237" s="158"/>
      <c r="BC237" s="158"/>
      <c r="BD237" s="220"/>
      <c r="BE237" s="220"/>
      <c r="BF237" s="158"/>
      <c r="BG237" s="158"/>
      <c r="BH237" s="158"/>
      <c r="BI237" s="158"/>
      <c r="BJ237" s="158"/>
      <c r="BK237" s="158"/>
      <c r="BL237" s="158"/>
      <c r="BM237" s="158"/>
    </row>
    <row r="238" ht="14.5" spans="2:65">
      <c r="B238" s="235"/>
      <c r="C238"/>
      <c r="D238"/>
      <c r="I238" s="180" t="s">
        <v>273</v>
      </c>
      <c r="J238" s="180">
        <v>0.118</v>
      </c>
      <c r="K238" s="180">
        <v>0.531</v>
      </c>
      <c r="L238" s="180">
        <v>0.178</v>
      </c>
      <c r="M238" s="180">
        <v>0.166</v>
      </c>
      <c r="N238" s="180">
        <v>3.017</v>
      </c>
      <c r="O238" s="180">
        <v>0.605</v>
      </c>
      <c r="P238" s="180">
        <v>0.96</v>
      </c>
      <c r="Q238" s="237"/>
      <c r="R238" s="219">
        <f t="shared" si="67"/>
        <v>5.575</v>
      </c>
      <c r="S238" s="237"/>
      <c r="T238" s="237"/>
      <c r="U238" s="180"/>
      <c r="V238" s="255"/>
      <c r="W238" s="255"/>
      <c r="X238" s="255"/>
      <c r="Y238" s="255"/>
      <c r="Z238" s="255"/>
      <c r="AA238" s="268"/>
      <c r="AB238" s="268"/>
      <c r="AC238" s="158"/>
      <c r="AD238" s="270"/>
      <c r="AE238" s="271"/>
      <c r="AF238" s="255"/>
      <c r="AG238" s="247"/>
      <c r="AH238" s="157"/>
      <c r="AI238" s="176">
        <f t="shared" ref="AI238:AO238" si="69">AI237</f>
        <v>0.9</v>
      </c>
      <c r="AJ238" s="276">
        <f t="shared" si="69"/>
        <v>0.9</v>
      </c>
      <c r="AK238" s="276">
        <f t="shared" si="69"/>
        <v>0.9</v>
      </c>
      <c r="AL238" s="276">
        <f t="shared" si="69"/>
        <v>0.9</v>
      </c>
      <c r="AM238" s="276">
        <f t="shared" si="69"/>
        <v>0.9</v>
      </c>
      <c r="AN238" s="276">
        <f t="shared" si="69"/>
        <v>0.9</v>
      </c>
      <c r="AO238" s="276">
        <f t="shared" si="69"/>
        <v>0.9</v>
      </c>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row>
    <row r="239" ht="14.5" spans="2:65">
      <c r="B239" s="235"/>
      <c r="C239"/>
      <c r="D239"/>
      <c r="I239" s="180" t="s">
        <v>274</v>
      </c>
      <c r="J239" s="180">
        <v>0.1</v>
      </c>
      <c r="K239" s="180">
        <v>0.6</v>
      </c>
      <c r="L239" s="180">
        <v>0.075</v>
      </c>
      <c r="M239" s="180">
        <v>0.07</v>
      </c>
      <c r="N239" s="180">
        <v>2.921</v>
      </c>
      <c r="O239" s="180">
        <v>0.549</v>
      </c>
      <c r="P239" s="180">
        <v>0.961</v>
      </c>
      <c r="Q239" s="237"/>
      <c r="R239" s="219">
        <f t="shared" si="67"/>
        <v>5.276</v>
      </c>
      <c r="S239" s="237"/>
      <c r="T239" s="237"/>
      <c r="U239" s="180"/>
      <c r="V239" s="255"/>
      <c r="W239" s="255"/>
      <c r="X239" s="255"/>
      <c r="Y239" s="255"/>
      <c r="Z239" s="255"/>
      <c r="AA239" s="268"/>
      <c r="AB239" s="268"/>
      <c r="AC239" s="158"/>
      <c r="AD239" s="270"/>
      <c r="AE239" s="271"/>
      <c r="AF239" s="255"/>
      <c r="AG239" s="247"/>
      <c r="AH239" s="157"/>
      <c r="AI239" s="176">
        <f t="shared" ref="AI239:AO239" si="70">AI238</f>
        <v>0.9</v>
      </c>
      <c r="AJ239" s="276">
        <f t="shared" si="70"/>
        <v>0.9</v>
      </c>
      <c r="AK239" s="276">
        <f t="shared" si="70"/>
        <v>0.9</v>
      </c>
      <c r="AL239" s="276">
        <f t="shared" si="70"/>
        <v>0.9</v>
      </c>
      <c r="AM239" s="276">
        <f t="shared" si="70"/>
        <v>0.9</v>
      </c>
      <c r="AN239" s="276">
        <f t="shared" si="70"/>
        <v>0.9</v>
      </c>
      <c r="AO239" s="276">
        <f t="shared" si="70"/>
        <v>0.9</v>
      </c>
      <c r="AS239" s="268"/>
      <c r="AT239" s="268"/>
      <c r="AU239" s="268"/>
      <c r="AV239" s="268"/>
      <c r="AW239" s="268"/>
      <c r="AX239" s="268"/>
      <c r="AY239" s="268"/>
      <c r="AZ239" s="268"/>
      <c r="BA239" s="158"/>
      <c r="BB239" s="268"/>
      <c r="BC239" s="268"/>
      <c r="BD239" s="280"/>
      <c r="BE239" s="280"/>
      <c r="BF239" s="280"/>
      <c r="BG239" s="280"/>
      <c r="BH239" s="280"/>
      <c r="BI239" s="280"/>
      <c r="BJ239" s="280"/>
      <c r="BK239" s="158"/>
      <c r="BL239" s="158"/>
      <c r="BM239" s="158"/>
    </row>
    <row r="240" ht="14.5" spans="2:65">
      <c r="B240" s="235"/>
      <c r="C240"/>
      <c r="D240"/>
      <c r="I240" s="158"/>
      <c r="J240" s="158"/>
      <c r="K240" s="158"/>
      <c r="L240" s="158"/>
      <c r="M240" s="158"/>
      <c r="N240" s="158"/>
      <c r="O240" s="158"/>
      <c r="P240" s="158"/>
      <c r="Q240" s="158"/>
      <c r="R240" s="158"/>
      <c r="S240" s="158"/>
      <c r="T240" s="236"/>
      <c r="V240" s="157"/>
      <c r="W240" s="157"/>
      <c r="X240" s="157"/>
      <c r="Y240" s="157"/>
      <c r="Z240" s="157"/>
      <c r="AA240" s="268"/>
      <c r="AB240" s="268"/>
      <c r="AC240" s="158"/>
      <c r="AD240" s="270"/>
      <c r="AE240" s="271"/>
      <c r="AF240" s="157"/>
      <c r="AH240" s="157"/>
      <c r="AI240" s="176">
        <f t="shared" ref="AI240:AO240" si="71">AI239</f>
        <v>0.9</v>
      </c>
      <c r="AJ240" s="276">
        <f t="shared" si="71"/>
        <v>0.9</v>
      </c>
      <c r="AK240" s="276">
        <f t="shared" si="71"/>
        <v>0.9</v>
      </c>
      <c r="AL240" s="276">
        <f t="shared" si="71"/>
        <v>0.9</v>
      </c>
      <c r="AM240" s="276">
        <f t="shared" si="71"/>
        <v>0.9</v>
      </c>
      <c r="AN240" s="276">
        <f t="shared" si="71"/>
        <v>0.9</v>
      </c>
      <c r="AO240" s="276">
        <f t="shared" si="71"/>
        <v>0.9</v>
      </c>
      <c r="AS240" s="268"/>
      <c r="AT240" s="268"/>
      <c r="AU240" s="268"/>
      <c r="AV240" s="268"/>
      <c r="AW240" s="268"/>
      <c r="AX240" s="268"/>
      <c r="AY240" s="268"/>
      <c r="AZ240" s="268"/>
      <c r="BA240" s="158"/>
      <c r="BB240" s="268"/>
      <c r="BC240" s="268"/>
      <c r="BD240" s="280"/>
      <c r="BE240" s="280"/>
      <c r="BF240" s="280"/>
      <c r="BG240" s="280"/>
      <c r="BH240" s="280"/>
      <c r="BI240" s="280"/>
      <c r="BJ240" s="280"/>
      <c r="BK240" s="158"/>
      <c r="BL240" s="158"/>
      <c r="BM240" s="158"/>
    </row>
    <row r="241" ht="14.5" spans="2:65">
      <c r="B241" s="235"/>
      <c r="C241"/>
      <c r="D241"/>
      <c r="AA241" s="268"/>
      <c r="AB241" s="268"/>
      <c r="AC241" s="158"/>
      <c r="AD241" s="270"/>
      <c r="AE241" s="271"/>
      <c r="AF241" s="157"/>
      <c r="AH241" s="157"/>
      <c r="AI241" s="176">
        <f t="shared" ref="AI241:AO241" si="72">AI240</f>
        <v>0.9</v>
      </c>
      <c r="AJ241" s="276">
        <f t="shared" si="72"/>
        <v>0.9</v>
      </c>
      <c r="AK241" s="276">
        <f t="shared" si="72"/>
        <v>0.9</v>
      </c>
      <c r="AL241" s="276">
        <f t="shared" si="72"/>
        <v>0.9</v>
      </c>
      <c r="AM241" s="276">
        <f t="shared" si="72"/>
        <v>0.9</v>
      </c>
      <c r="AN241" s="276">
        <f t="shared" si="72"/>
        <v>0.9</v>
      </c>
      <c r="AO241" s="276">
        <f t="shared" si="72"/>
        <v>0.9</v>
      </c>
      <c r="AS241" s="268"/>
      <c r="AT241" s="268"/>
      <c r="AU241" s="268"/>
      <c r="AV241" s="268"/>
      <c r="AW241" s="268"/>
      <c r="AX241" s="268"/>
      <c r="AY241" s="268"/>
      <c r="AZ241" s="268"/>
      <c r="BA241" s="158"/>
      <c r="BB241" s="268"/>
      <c r="BC241" s="268"/>
      <c r="BD241" s="280"/>
      <c r="BE241" s="280"/>
      <c r="BF241" s="280"/>
      <c r="BG241" s="280"/>
      <c r="BH241" s="280"/>
      <c r="BI241" s="280"/>
      <c r="BJ241" s="280"/>
      <c r="BK241" s="158"/>
      <c r="BL241" s="158"/>
      <c r="BM241" s="158"/>
    </row>
    <row r="242" ht="14.5" spans="2:65">
      <c r="B242" s="235"/>
      <c r="C242"/>
      <c r="D242"/>
      <c r="AA242" s="268"/>
      <c r="AB242" s="268"/>
      <c r="AC242" s="158"/>
      <c r="AD242" s="270"/>
      <c r="AE242" s="271"/>
      <c r="AF242" s="157"/>
      <c r="AH242" s="157"/>
      <c r="AI242" s="176">
        <f t="shared" ref="AI242:AO242" si="73">AI241</f>
        <v>0.9</v>
      </c>
      <c r="AJ242" s="276">
        <f t="shared" si="73"/>
        <v>0.9</v>
      </c>
      <c r="AK242" s="276">
        <f t="shared" si="73"/>
        <v>0.9</v>
      </c>
      <c r="AL242" s="276">
        <f t="shared" si="73"/>
        <v>0.9</v>
      </c>
      <c r="AM242" s="276">
        <f t="shared" si="73"/>
        <v>0.9</v>
      </c>
      <c r="AN242" s="276">
        <f t="shared" si="73"/>
        <v>0.9</v>
      </c>
      <c r="AO242" s="276">
        <f t="shared" si="73"/>
        <v>0.9</v>
      </c>
      <c r="AR242" s="158"/>
      <c r="AS242" s="268"/>
      <c r="AT242" s="268"/>
      <c r="AU242" s="268"/>
      <c r="AV242" s="268"/>
      <c r="AW242" s="268"/>
      <c r="AX242" s="268"/>
      <c r="AY242" s="268"/>
      <c r="AZ242" s="268"/>
      <c r="BA242" s="158"/>
      <c r="BB242" s="268"/>
      <c r="BC242" s="268"/>
      <c r="BD242" s="280"/>
      <c r="BE242" s="280"/>
      <c r="BF242" s="280"/>
      <c r="BG242" s="280"/>
      <c r="BH242" s="280"/>
      <c r="BI242" s="280"/>
      <c r="BJ242" s="280"/>
      <c r="BK242" s="158"/>
      <c r="BL242" s="158"/>
      <c r="BM242" s="158"/>
    </row>
    <row r="243" spans="2:65">
      <c r="B243" s="235"/>
      <c r="AA243" s="268"/>
      <c r="AB243" s="268"/>
      <c r="AC243" s="158"/>
      <c r="AD243" s="270"/>
      <c r="AE243" s="271"/>
      <c r="AF243" s="157"/>
      <c r="AS243" s="268"/>
      <c r="AT243" s="268"/>
      <c r="AU243" s="268"/>
      <c r="AV243" s="268"/>
      <c r="AW243" s="268"/>
      <c r="AX243" s="268"/>
      <c r="AY243" s="268"/>
      <c r="AZ243" s="268"/>
      <c r="BA243" s="158"/>
      <c r="BB243" s="268"/>
      <c r="BC243" s="268"/>
      <c r="BD243" s="280"/>
      <c r="BE243" s="280"/>
      <c r="BF243" s="280"/>
      <c r="BG243" s="280"/>
      <c r="BH243" s="280"/>
      <c r="BI243" s="280"/>
      <c r="BJ243" s="280"/>
      <c r="BK243" s="158"/>
      <c r="BL243" s="158"/>
      <c r="BM243" s="158"/>
    </row>
    <row r="244" spans="2:65">
      <c r="B244" s="158"/>
      <c r="AA244" s="157"/>
      <c r="AB244" s="157"/>
      <c r="AC244" s="157"/>
      <c r="AD244" s="157"/>
      <c r="AE244" s="158"/>
      <c r="AF244" s="157"/>
      <c r="AS244" s="268"/>
      <c r="AT244" s="268"/>
      <c r="AU244" s="268"/>
      <c r="AV244" s="268"/>
      <c r="AW244" s="268"/>
      <c r="AX244" s="268"/>
      <c r="AY244" s="268"/>
      <c r="AZ244" s="268"/>
      <c r="BA244" s="158"/>
      <c r="BB244" s="268"/>
      <c r="BC244" s="268"/>
      <c r="BD244" s="280"/>
      <c r="BE244" s="280"/>
      <c r="BF244" s="280"/>
      <c r="BG244" s="280"/>
      <c r="BH244" s="280"/>
      <c r="BI244" s="280"/>
      <c r="BJ244" s="280"/>
      <c r="BK244" s="158"/>
      <c r="BL244" s="158"/>
      <c r="BM244" s="158"/>
    </row>
    <row r="245" spans="2:65">
      <c r="B245" s="158"/>
      <c r="AS245" s="268"/>
      <c r="AT245" s="268"/>
      <c r="AU245" s="268"/>
      <c r="AV245" s="268"/>
      <c r="AW245" s="268"/>
      <c r="AX245" s="268"/>
      <c r="AY245" s="268"/>
      <c r="AZ245" s="268"/>
      <c r="BA245" s="158"/>
      <c r="BB245" s="268"/>
      <c r="BC245" s="268"/>
      <c r="BD245" s="280"/>
      <c r="BE245" s="280"/>
      <c r="BF245" s="280"/>
      <c r="BG245" s="280"/>
      <c r="BH245" s="280"/>
      <c r="BI245" s="280"/>
      <c r="BJ245" s="280"/>
      <c r="BK245" s="158"/>
      <c r="BL245" s="158"/>
      <c r="BM245" s="158"/>
    </row>
    <row r="246" spans="2:65">
      <c r="B246" s="236"/>
      <c r="AS246" s="268"/>
      <c r="AT246" s="268"/>
      <c r="AU246" s="268"/>
      <c r="AV246" s="268"/>
      <c r="AW246" s="268"/>
      <c r="AX246" s="268"/>
      <c r="AY246" s="268"/>
      <c r="AZ246" s="268"/>
      <c r="BA246" s="268"/>
      <c r="BB246" s="268"/>
      <c r="BC246" s="268"/>
      <c r="BD246" s="158"/>
      <c r="BE246" s="158"/>
      <c r="BF246" s="158"/>
      <c r="BG246" s="158"/>
      <c r="BH246" s="158"/>
      <c r="BI246" s="158"/>
      <c r="BJ246" s="158"/>
      <c r="BK246" s="158"/>
      <c r="BL246" s="158"/>
      <c r="BM246" s="158"/>
    </row>
    <row r="247" spans="2:65">
      <c r="B247" s="236"/>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row>
    <row r="248" spans="45:65">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row>
    <row r="249" spans="45:65">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row>
    <row r="250" spans="45:65">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row>
    <row r="251" spans="45:65">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row>
    <row r="252" spans="45:65">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row>
    <row r="258" spans="2:23">
      <c r="B258" s="180"/>
      <c r="C258" s="180"/>
      <c r="D258" s="180"/>
      <c r="E258" s="180"/>
      <c r="F258" s="180"/>
      <c r="G258" s="180"/>
      <c r="H258" s="180"/>
      <c r="I258" s="180"/>
      <c r="J258" s="180"/>
      <c r="K258" s="180"/>
      <c r="L258" s="180"/>
      <c r="M258" s="180"/>
      <c r="N258" s="281" t="s">
        <v>310</v>
      </c>
      <c r="O258" s="180"/>
      <c r="P258" s="180"/>
      <c r="Q258" s="180"/>
      <c r="R258" s="180"/>
      <c r="S258" s="180"/>
      <c r="T258" s="180"/>
      <c r="U258" s="180"/>
      <c r="V258" s="180"/>
      <c r="W258" s="180"/>
    </row>
    <row r="259" spans="2:23">
      <c r="B259" s="180"/>
      <c r="C259" s="281" t="s">
        <v>426</v>
      </c>
      <c r="D259" s="180"/>
      <c r="E259" s="180"/>
      <c r="F259" s="180"/>
      <c r="G259" s="180"/>
      <c r="H259" s="180"/>
      <c r="I259" s="180"/>
      <c r="J259" s="180"/>
      <c r="K259" s="180"/>
      <c r="L259" s="180"/>
      <c r="M259" s="180"/>
      <c r="N259" s="180"/>
      <c r="O259" s="180"/>
      <c r="P259" s="180"/>
      <c r="Q259" s="180"/>
      <c r="R259" s="180"/>
      <c r="S259" s="180"/>
      <c r="T259" s="180"/>
      <c r="U259" s="180"/>
      <c r="V259" s="180"/>
      <c r="W259" s="180"/>
    </row>
    <row r="260" spans="2:32">
      <c r="B260" s="180"/>
      <c r="C260" s="180"/>
      <c r="D260" s="180"/>
      <c r="E260" s="180"/>
      <c r="F260" s="180"/>
      <c r="G260" s="180"/>
      <c r="H260" s="180"/>
      <c r="I260" s="180"/>
      <c r="J260" s="180"/>
      <c r="K260" s="180"/>
      <c r="L260" s="180"/>
      <c r="M260" s="281"/>
      <c r="N260" s="180"/>
      <c r="O260" s="281"/>
      <c r="P260" s="281"/>
      <c r="Q260" s="281"/>
      <c r="R260" s="281"/>
      <c r="S260" s="281"/>
      <c r="T260" s="281"/>
      <c r="U260" s="281"/>
      <c r="V260" s="281"/>
      <c r="W260" s="281"/>
      <c r="Z260" s="157"/>
      <c r="AA260" s="158"/>
      <c r="AB260" s="158"/>
      <c r="AC260" s="158"/>
      <c r="AD260" s="158"/>
      <c r="AE260" s="158"/>
      <c r="AF260" s="236"/>
    </row>
    <row r="261" spans="2:32">
      <c r="B261" s="281"/>
      <c r="C261" s="180"/>
      <c r="D261" s="281"/>
      <c r="E261" s="281"/>
      <c r="F261" s="281"/>
      <c r="G261" s="281"/>
      <c r="H261" s="281"/>
      <c r="I261" s="281"/>
      <c r="J261" s="281"/>
      <c r="K261" s="180"/>
      <c r="L261" s="180"/>
      <c r="M261" s="281" t="s">
        <v>254</v>
      </c>
      <c r="N261" s="281" t="s">
        <v>252</v>
      </c>
      <c r="O261" s="283" t="s">
        <v>229</v>
      </c>
      <c r="P261" s="283" t="s">
        <v>236</v>
      </c>
      <c r="Q261" s="283" t="s">
        <v>238</v>
      </c>
      <c r="R261" s="283" t="s">
        <v>240</v>
      </c>
      <c r="S261" s="283" t="s">
        <v>242</v>
      </c>
      <c r="T261" s="283" t="s">
        <v>244</v>
      </c>
      <c r="U261" s="283" t="s">
        <v>246</v>
      </c>
      <c r="V261" s="283" t="s">
        <v>375</v>
      </c>
      <c r="W261" s="283" t="s">
        <v>376</v>
      </c>
      <c r="Z261" s="157"/>
      <c r="AA261" s="158"/>
      <c r="AB261" s="158"/>
      <c r="AC261" s="158"/>
      <c r="AD261" s="158"/>
      <c r="AE261" s="158"/>
      <c r="AF261" s="236"/>
    </row>
    <row r="262" spans="2:32">
      <c r="B262" s="281" t="s">
        <v>254</v>
      </c>
      <c r="C262" s="281" t="s">
        <v>252</v>
      </c>
      <c r="D262" s="281" t="s">
        <v>196</v>
      </c>
      <c r="E262" s="281" t="s">
        <v>199</v>
      </c>
      <c r="F262" s="281" t="s">
        <v>204</v>
      </c>
      <c r="G262" s="281" t="s">
        <v>209</v>
      </c>
      <c r="H262" s="281" t="s">
        <v>214</v>
      </c>
      <c r="I262" s="281" t="s">
        <v>219</v>
      </c>
      <c r="J262" s="281" t="s">
        <v>224</v>
      </c>
      <c r="K262" s="180" t="s">
        <v>355</v>
      </c>
      <c r="L262" s="180"/>
      <c r="M262" s="281">
        <f>AB237</f>
        <v>0</v>
      </c>
      <c r="N262" s="284" t="s">
        <v>427</v>
      </c>
      <c r="O262" s="283">
        <v>0.0608</v>
      </c>
      <c r="P262" s="283">
        <v>0</v>
      </c>
      <c r="Q262" s="283">
        <v>0</v>
      </c>
      <c r="R262" s="283">
        <v>0</v>
      </c>
      <c r="S262" s="283">
        <v>2.25792</v>
      </c>
      <c r="T262" s="283">
        <v>0.60544</v>
      </c>
      <c r="U262" s="283">
        <v>0.6944</v>
      </c>
      <c r="V262" s="283" t="s">
        <v>428</v>
      </c>
      <c r="W262" s="283">
        <v>1</v>
      </c>
      <c r="Z262" s="157"/>
      <c r="AA262" s="158"/>
      <c r="AB262" s="158"/>
      <c r="AC262" s="158"/>
      <c r="AD262" s="158"/>
      <c r="AE262" s="158"/>
      <c r="AF262" s="236"/>
    </row>
    <row r="263" spans="2:32">
      <c r="B263" s="282" t="s">
        <v>429</v>
      </c>
      <c r="C263" s="281" t="e">
        <f>#REF!</f>
        <v>#REF!</v>
      </c>
      <c r="D263" s="281">
        <f>D22*AI214</f>
        <v>0</v>
      </c>
      <c r="E263" s="281">
        <f t="shared" ref="E263:J263" si="74">E22*AJ214</f>
        <v>0</v>
      </c>
      <c r="F263" s="281">
        <f t="shared" si="74"/>
        <v>0</v>
      </c>
      <c r="G263" s="281">
        <f t="shared" si="74"/>
        <v>0</v>
      </c>
      <c r="H263" s="281">
        <f t="shared" si="74"/>
        <v>0</v>
      </c>
      <c r="I263" s="281">
        <f t="shared" si="74"/>
        <v>0.8514</v>
      </c>
      <c r="J263" s="281">
        <f t="shared" si="74"/>
        <v>0</v>
      </c>
      <c r="K263" s="180" t="s">
        <v>364</v>
      </c>
      <c r="L263" s="180"/>
      <c r="M263" s="281">
        <f t="shared" ref="M263:M268" si="75">AB238</f>
        <v>0</v>
      </c>
      <c r="N263" s="284" t="s">
        <v>430</v>
      </c>
      <c r="O263" s="283">
        <v>0.06784</v>
      </c>
      <c r="P263" s="283">
        <v>0</v>
      </c>
      <c r="Q263" s="283">
        <v>0</v>
      </c>
      <c r="R263" s="283">
        <v>0.89344</v>
      </c>
      <c r="S263" s="283">
        <v>2.15616</v>
      </c>
      <c r="T263" s="283">
        <v>0.55232</v>
      </c>
      <c r="U263" s="283">
        <v>0.58304</v>
      </c>
      <c r="V263" s="283" t="s">
        <v>431</v>
      </c>
      <c r="W263" s="283">
        <v>1</v>
      </c>
      <c r="Z263" s="157"/>
      <c r="AA263" s="280"/>
      <c r="AB263" s="158"/>
      <c r="AC263" s="280"/>
      <c r="AD263" s="158"/>
      <c r="AE263" s="158"/>
      <c r="AF263" s="236"/>
    </row>
    <row r="264" spans="2:32">
      <c r="B264" s="282" t="s">
        <v>432</v>
      </c>
      <c r="C264" s="281" t="e">
        <f>#REF!</f>
        <v>#REF!</v>
      </c>
      <c r="D264" s="281">
        <f t="shared" ref="D264:D269" si="76">D23*AI215</f>
        <v>0</v>
      </c>
      <c r="E264" s="281">
        <f t="shared" ref="E264:J264" si="77">E23*AJ215</f>
        <v>0</v>
      </c>
      <c r="F264" s="281">
        <f t="shared" si="77"/>
        <v>0</v>
      </c>
      <c r="G264" s="281">
        <f t="shared" si="77"/>
        <v>0</v>
      </c>
      <c r="H264" s="281">
        <f t="shared" si="77"/>
        <v>0</v>
      </c>
      <c r="I264" s="281">
        <f t="shared" si="77"/>
        <v>0.7767</v>
      </c>
      <c r="J264" s="281">
        <f t="shared" si="77"/>
        <v>0</v>
      </c>
      <c r="K264" s="180" t="s">
        <v>364</v>
      </c>
      <c r="L264" s="180"/>
      <c r="M264" s="281">
        <f t="shared" si="75"/>
        <v>0</v>
      </c>
      <c r="N264" s="284" t="s">
        <v>433</v>
      </c>
      <c r="O264" s="283">
        <v>0.06528</v>
      </c>
      <c r="P264" s="283">
        <v>0.43008</v>
      </c>
      <c r="Q264" s="283">
        <v>0.08128</v>
      </c>
      <c r="R264" s="283">
        <v>0</v>
      </c>
      <c r="S264" s="283">
        <v>1.8688</v>
      </c>
      <c r="T264" s="283">
        <v>0.36096</v>
      </c>
      <c r="U264" s="283">
        <v>0.62592</v>
      </c>
      <c r="V264" s="283" t="s">
        <v>434</v>
      </c>
      <c r="W264" s="283">
        <v>1</v>
      </c>
      <c r="Z264" s="157"/>
      <c r="AA264" s="280"/>
      <c r="AB264" s="158"/>
      <c r="AC264" s="280"/>
      <c r="AD264" s="158"/>
      <c r="AE264" s="158"/>
      <c r="AF264" s="236"/>
    </row>
    <row r="265" spans="2:32">
      <c r="B265" s="282" t="s">
        <v>435</v>
      </c>
      <c r="C265" s="281" t="e">
        <f>#REF!</f>
        <v>#REF!</v>
      </c>
      <c r="D265" s="281">
        <f t="shared" si="76"/>
        <v>0</v>
      </c>
      <c r="E265" s="281">
        <f>E24*AJ216</f>
        <v>0.65856</v>
      </c>
      <c r="F265" s="281">
        <f t="shared" ref="F265:J265" si="78">F24*AK216</f>
        <v>0.1143</v>
      </c>
      <c r="G265" s="281">
        <f t="shared" si="78"/>
        <v>0</v>
      </c>
      <c r="H265" s="281">
        <f t="shared" si="78"/>
        <v>0</v>
      </c>
      <c r="I265" s="281">
        <f t="shared" si="78"/>
        <v>0.5076</v>
      </c>
      <c r="J265" s="281">
        <f t="shared" si="78"/>
        <v>0</v>
      </c>
      <c r="K265" s="180" t="s">
        <v>364</v>
      </c>
      <c r="L265" s="180"/>
      <c r="M265" s="281">
        <f t="shared" si="75"/>
        <v>0</v>
      </c>
      <c r="N265" s="284" t="s">
        <v>436</v>
      </c>
      <c r="O265" s="283">
        <v>0.09024</v>
      </c>
      <c r="P265" s="283">
        <v>0.22464</v>
      </c>
      <c r="Q265" s="283">
        <v>0.22528</v>
      </c>
      <c r="R265" s="283">
        <v>0.20992</v>
      </c>
      <c r="S265" s="283">
        <v>1.9904</v>
      </c>
      <c r="T265" s="283">
        <v>0.43328</v>
      </c>
      <c r="U265" s="283">
        <v>0.62592</v>
      </c>
      <c r="V265" s="283" t="s">
        <v>437</v>
      </c>
      <c r="W265" s="283">
        <v>1</v>
      </c>
      <c r="Z265" s="157"/>
      <c r="AA265" s="280"/>
      <c r="AB265" s="158"/>
      <c r="AC265" s="280"/>
      <c r="AD265" s="158"/>
      <c r="AE265" s="158"/>
      <c r="AF265" s="236"/>
    </row>
    <row r="266" spans="2:32">
      <c r="B266" s="282" t="s">
        <v>438</v>
      </c>
      <c r="C266" s="281" t="e">
        <f>#REF!</f>
        <v>#REF!</v>
      </c>
      <c r="D266" s="281">
        <f t="shared" si="76"/>
        <v>0</v>
      </c>
      <c r="E266" s="281">
        <f t="shared" ref="E266:J266" si="79">E25*AJ217</f>
        <v>0.34398</v>
      </c>
      <c r="F266" s="281">
        <f t="shared" si="79"/>
        <v>0.3168</v>
      </c>
      <c r="G266" s="281">
        <f t="shared" si="79"/>
        <v>0</v>
      </c>
      <c r="H266" s="281">
        <f t="shared" si="79"/>
        <v>0</v>
      </c>
      <c r="I266" s="281">
        <f t="shared" si="79"/>
        <v>0.6093</v>
      </c>
      <c r="J266" s="281">
        <f t="shared" si="79"/>
        <v>0</v>
      </c>
      <c r="K266" s="180" t="s">
        <v>364</v>
      </c>
      <c r="L266" s="180"/>
      <c r="M266" s="281">
        <f t="shared" si="75"/>
        <v>0</v>
      </c>
      <c r="N266" s="284" t="s">
        <v>439</v>
      </c>
      <c r="O266" s="283">
        <v>0.08704</v>
      </c>
      <c r="P266" s="283">
        <v>0.32512</v>
      </c>
      <c r="Q266" s="283">
        <v>0.13056</v>
      </c>
      <c r="R266" s="283">
        <v>0.1824</v>
      </c>
      <c r="S266" s="283">
        <v>1.9648</v>
      </c>
      <c r="T266" s="283">
        <v>0.42304</v>
      </c>
      <c r="U266" s="283">
        <v>0.62784</v>
      </c>
      <c r="V266" s="283" t="s">
        <v>440</v>
      </c>
      <c r="W266" s="283">
        <v>1</v>
      </c>
      <c r="Z266" s="157"/>
      <c r="AA266" s="280"/>
      <c r="AB266" s="158"/>
      <c r="AC266" s="280"/>
      <c r="AD266" s="158"/>
      <c r="AE266" s="158"/>
      <c r="AF266" s="236"/>
    </row>
    <row r="267" spans="2:32">
      <c r="B267" s="282" t="s">
        <v>441</v>
      </c>
      <c r="C267" s="281" t="e">
        <f>#REF!</f>
        <v>#REF!</v>
      </c>
      <c r="D267" s="281">
        <f t="shared" si="76"/>
        <v>0</v>
      </c>
      <c r="E267" s="281">
        <f t="shared" ref="E267:J267" si="80">E26*AJ218</f>
        <v>0.49784</v>
      </c>
      <c r="F267" s="281">
        <f t="shared" si="80"/>
        <v>0.1836</v>
      </c>
      <c r="G267" s="281">
        <f t="shared" si="80"/>
        <v>0</v>
      </c>
      <c r="H267" s="281">
        <f t="shared" si="80"/>
        <v>0</v>
      </c>
      <c r="I267" s="281">
        <f t="shared" si="80"/>
        <v>0.5949</v>
      </c>
      <c r="J267" s="281">
        <f t="shared" si="80"/>
        <v>0</v>
      </c>
      <c r="K267" s="180" t="s">
        <v>364</v>
      </c>
      <c r="L267" s="180"/>
      <c r="M267" s="281">
        <f t="shared" si="75"/>
        <v>0</v>
      </c>
      <c r="N267" s="284" t="s">
        <v>442</v>
      </c>
      <c r="O267" s="283">
        <v>0.07552</v>
      </c>
      <c r="P267" s="283">
        <v>0.33984</v>
      </c>
      <c r="Q267" s="283">
        <v>0.11392</v>
      </c>
      <c r="R267" s="283">
        <v>0.10624</v>
      </c>
      <c r="S267" s="283">
        <v>1.93088</v>
      </c>
      <c r="T267" s="283">
        <v>0.3872</v>
      </c>
      <c r="U267" s="283">
        <v>0.6144</v>
      </c>
      <c r="V267" s="283" t="s">
        <v>443</v>
      </c>
      <c r="W267" s="283">
        <v>1</v>
      </c>
      <c r="Z267" s="157"/>
      <c r="AA267" s="280"/>
      <c r="AB267" s="158"/>
      <c r="AC267" s="280"/>
      <c r="AD267" s="158"/>
      <c r="AE267" s="158"/>
      <c r="AF267" s="236"/>
    </row>
    <row r="268" spans="2:32">
      <c r="B268" s="282" t="s">
        <v>444</v>
      </c>
      <c r="C268" s="281" t="e">
        <f>#REF!</f>
        <v>#REF!</v>
      </c>
      <c r="D268" s="281">
        <f t="shared" si="76"/>
        <v>0</v>
      </c>
      <c r="E268" s="281">
        <f t="shared" ref="E268:J268" si="81">E27*AJ219</f>
        <v>0.52038</v>
      </c>
      <c r="F268" s="281">
        <f t="shared" si="81"/>
        <v>0.1602</v>
      </c>
      <c r="G268" s="281">
        <f t="shared" si="81"/>
        <v>0</v>
      </c>
      <c r="H268" s="281">
        <f t="shared" si="81"/>
        <v>0</v>
      </c>
      <c r="I268" s="281">
        <f t="shared" si="81"/>
        <v>0.5445</v>
      </c>
      <c r="J268" s="281">
        <f t="shared" si="81"/>
        <v>0</v>
      </c>
      <c r="K268" s="180" t="s">
        <v>364</v>
      </c>
      <c r="L268" s="180"/>
      <c r="M268" s="281">
        <f t="shared" si="75"/>
        <v>0</v>
      </c>
      <c r="N268" s="284" t="s">
        <v>445</v>
      </c>
      <c r="O268" s="283">
        <v>0.064</v>
      </c>
      <c r="P268" s="283">
        <v>0.384</v>
      </c>
      <c r="Q268" s="283">
        <v>0.048</v>
      </c>
      <c r="R268" s="283">
        <v>0.0448</v>
      </c>
      <c r="S268" s="283">
        <v>1.86944</v>
      </c>
      <c r="T268" s="283">
        <v>0.35136</v>
      </c>
      <c r="U268" s="283">
        <v>0.61504</v>
      </c>
      <c r="V268" s="283" t="s">
        <v>446</v>
      </c>
      <c r="W268" s="283">
        <v>1</v>
      </c>
      <c r="Z268" s="157"/>
      <c r="AA268" s="280"/>
      <c r="AB268" s="158"/>
      <c r="AC268" s="280"/>
      <c r="AD268" s="158"/>
      <c r="AE268" s="158"/>
      <c r="AF268" s="236"/>
    </row>
    <row r="269" spans="2:32">
      <c r="B269" s="282" t="s">
        <v>447</v>
      </c>
      <c r="C269" s="281" t="e">
        <f>#REF!</f>
        <v>#REF!</v>
      </c>
      <c r="D269" s="281">
        <f t="shared" si="76"/>
        <v>0</v>
      </c>
      <c r="E269" s="281">
        <f t="shared" ref="E269:J269" si="82">E28*AJ220</f>
        <v>0.588</v>
      </c>
      <c r="F269" s="281">
        <f t="shared" si="82"/>
        <v>0.0675</v>
      </c>
      <c r="G269" s="281">
        <f t="shared" si="82"/>
        <v>0</v>
      </c>
      <c r="H269" s="281">
        <f t="shared" si="82"/>
        <v>0</v>
      </c>
      <c r="I269" s="281">
        <f t="shared" si="82"/>
        <v>0.4941</v>
      </c>
      <c r="J269" s="281">
        <f t="shared" si="82"/>
        <v>0</v>
      </c>
      <c r="K269" s="180" t="s">
        <v>364</v>
      </c>
      <c r="L269" s="180"/>
      <c r="M269" s="180"/>
      <c r="N269" s="180"/>
      <c r="O269" s="180"/>
      <c r="P269" s="180"/>
      <c r="Q269" s="180"/>
      <c r="R269" s="180"/>
      <c r="S269" s="180"/>
      <c r="T269" s="180"/>
      <c r="U269" s="180"/>
      <c r="V269" s="180"/>
      <c r="W269" s="180"/>
      <c r="Z269" s="157"/>
      <c r="AA269" s="280"/>
      <c r="AB269" s="158"/>
      <c r="AC269" s="280"/>
      <c r="AD269" s="158"/>
      <c r="AE269" s="158"/>
      <c r="AF269" s="236"/>
    </row>
    <row r="270" spans="2:32">
      <c r="B270" s="282" t="s">
        <v>448</v>
      </c>
      <c r="C270" s="281" t="e">
        <f>#REF!</f>
        <v>#REF!</v>
      </c>
      <c r="D270" s="281">
        <f>D22*AI225</f>
        <v>0.0855</v>
      </c>
      <c r="E270" s="281">
        <f t="shared" ref="E270:J270" si="83">E22*AJ225</f>
        <v>0</v>
      </c>
      <c r="F270" s="281">
        <f t="shared" si="83"/>
        <v>0</v>
      </c>
      <c r="G270" s="281">
        <f t="shared" si="83"/>
        <v>0</v>
      </c>
      <c r="H270" s="281">
        <f t="shared" si="83"/>
        <v>3.1752</v>
      </c>
      <c r="I270" s="281">
        <f t="shared" si="83"/>
        <v>0.8514</v>
      </c>
      <c r="J270" s="281">
        <f t="shared" si="83"/>
        <v>0.9765</v>
      </c>
      <c r="K270" s="180" t="s">
        <v>364</v>
      </c>
      <c r="L270" s="180"/>
      <c r="M270" s="180"/>
      <c r="N270" s="180"/>
      <c r="O270" s="180"/>
      <c r="P270" s="180"/>
      <c r="Q270" s="180"/>
      <c r="R270" s="180"/>
      <c r="S270" s="180"/>
      <c r="T270" s="180"/>
      <c r="U270" s="180"/>
      <c r="V270" s="180"/>
      <c r="W270" s="180"/>
      <c r="Z270" s="157"/>
      <c r="AA270" s="280"/>
      <c r="AB270" s="158"/>
      <c r="AC270" s="280"/>
      <c r="AD270" s="158"/>
      <c r="AE270" s="158"/>
      <c r="AF270" s="236"/>
    </row>
    <row r="271" spans="2:32">
      <c r="B271" s="282" t="s">
        <v>449</v>
      </c>
      <c r="C271" s="281" t="e">
        <f>#REF!</f>
        <v>#REF!</v>
      </c>
      <c r="D271" s="281">
        <f t="shared" ref="D271:D276" si="84">D23*AI226</f>
        <v>0.0954</v>
      </c>
      <c r="E271" s="281">
        <f t="shared" ref="E271:E276" si="85">E23*AJ226</f>
        <v>0</v>
      </c>
      <c r="F271" s="281">
        <f t="shared" ref="F271:F276" si="86">F23*AK226</f>
        <v>0</v>
      </c>
      <c r="G271" s="281">
        <f t="shared" ref="G271:G276" si="87">G23*AL226</f>
        <v>1.36808</v>
      </c>
      <c r="H271" s="281">
        <f t="shared" ref="H271:H276" si="88">H23*AM226</f>
        <v>3.0321</v>
      </c>
      <c r="I271" s="281">
        <f t="shared" ref="I271:I276" si="89">I23*AN226</f>
        <v>0.7767</v>
      </c>
      <c r="J271" s="281">
        <f t="shared" ref="J271:J276" si="90">J23*AO226</f>
        <v>0.8199</v>
      </c>
      <c r="K271" s="180" t="s">
        <v>364</v>
      </c>
      <c r="L271" s="180"/>
      <c r="M271" s="180"/>
      <c r="N271" s="180"/>
      <c r="O271" s="180"/>
      <c r="P271" s="180"/>
      <c r="Q271" s="180"/>
      <c r="R271" s="180"/>
      <c r="S271" s="180"/>
      <c r="T271" s="180"/>
      <c r="U271" s="180"/>
      <c r="V271" s="180"/>
      <c r="W271" s="180"/>
      <c r="Z271" s="157"/>
      <c r="AA271" s="280"/>
      <c r="AB271" s="158"/>
      <c r="AC271" s="280"/>
      <c r="AD271" s="158"/>
      <c r="AE271" s="158"/>
      <c r="AF271" s="236"/>
    </row>
    <row r="272" spans="2:32">
      <c r="B272" s="282" t="s">
        <v>450</v>
      </c>
      <c r="C272" s="281" t="e">
        <f>#REF!</f>
        <v>#REF!</v>
      </c>
      <c r="D272" s="281">
        <f t="shared" si="84"/>
        <v>0.0918</v>
      </c>
      <c r="E272" s="281">
        <f t="shared" si="85"/>
        <v>0.65856</v>
      </c>
      <c r="F272" s="281">
        <f t="shared" si="86"/>
        <v>0.12446</v>
      </c>
      <c r="G272" s="281">
        <f t="shared" si="87"/>
        <v>0</v>
      </c>
      <c r="H272" s="281">
        <f t="shared" si="88"/>
        <v>2.628</v>
      </c>
      <c r="I272" s="281">
        <f t="shared" si="89"/>
        <v>0.5076</v>
      </c>
      <c r="J272" s="281">
        <f t="shared" si="90"/>
        <v>0.8802</v>
      </c>
      <c r="K272" s="180" t="s">
        <v>364</v>
      </c>
      <c r="L272" s="180"/>
      <c r="M272" s="180"/>
      <c r="N272" s="180"/>
      <c r="O272" s="180"/>
      <c r="P272" s="180"/>
      <c r="Q272" s="180"/>
      <c r="R272" s="180"/>
      <c r="S272" s="180"/>
      <c r="T272" s="180"/>
      <c r="U272" s="180"/>
      <c r="V272" s="180"/>
      <c r="W272" s="180"/>
      <c r="Z272" s="157"/>
      <c r="AA272" s="280"/>
      <c r="AB272" s="158"/>
      <c r="AC272" s="280"/>
      <c r="AD272" s="158"/>
      <c r="AE272" s="158"/>
      <c r="AF272" s="236"/>
    </row>
    <row r="273" spans="2:32">
      <c r="B273" s="282" t="s">
        <v>451</v>
      </c>
      <c r="C273" s="281" t="e">
        <f>#REF!</f>
        <v>#REF!</v>
      </c>
      <c r="D273" s="281">
        <f t="shared" si="84"/>
        <v>0.1269</v>
      </c>
      <c r="E273" s="281">
        <f t="shared" si="85"/>
        <v>0.34398</v>
      </c>
      <c r="F273" s="281">
        <f t="shared" si="86"/>
        <v>0.34496</v>
      </c>
      <c r="G273" s="281">
        <f t="shared" si="87"/>
        <v>0.32144</v>
      </c>
      <c r="H273" s="281">
        <f t="shared" si="88"/>
        <v>2.799</v>
      </c>
      <c r="I273" s="281">
        <f t="shared" si="89"/>
        <v>0.6093</v>
      </c>
      <c r="J273" s="281">
        <f t="shared" si="90"/>
        <v>0.8802</v>
      </c>
      <c r="K273" s="180" t="s">
        <v>364</v>
      </c>
      <c r="L273" s="180"/>
      <c r="M273" s="180"/>
      <c r="N273" s="180"/>
      <c r="O273" s="180"/>
      <c r="P273" s="180"/>
      <c r="Q273" s="180"/>
      <c r="R273" s="180"/>
      <c r="S273" s="180"/>
      <c r="T273" s="180"/>
      <c r="U273" s="180"/>
      <c r="V273" s="180"/>
      <c r="W273" s="180"/>
      <c r="Z273" s="157"/>
      <c r="AA273" s="280"/>
      <c r="AB273" s="158"/>
      <c r="AC273" s="280"/>
      <c r="AD273" s="158"/>
      <c r="AE273" s="158"/>
      <c r="AF273" s="236"/>
    </row>
    <row r="274" spans="2:32">
      <c r="B274" s="282" t="s">
        <v>452</v>
      </c>
      <c r="C274" s="281" t="e">
        <f>#REF!</f>
        <v>#REF!</v>
      </c>
      <c r="D274" s="281">
        <f t="shared" si="84"/>
        <v>0.1224</v>
      </c>
      <c r="E274" s="281">
        <f t="shared" si="85"/>
        <v>0.49784</v>
      </c>
      <c r="F274" s="281">
        <f t="shared" si="86"/>
        <v>0.19992</v>
      </c>
      <c r="G274" s="281">
        <f t="shared" si="87"/>
        <v>0.2793</v>
      </c>
      <c r="H274" s="281">
        <f t="shared" si="88"/>
        <v>2.763</v>
      </c>
      <c r="I274" s="281">
        <f t="shared" si="89"/>
        <v>0.5949</v>
      </c>
      <c r="J274" s="281">
        <f t="shared" si="90"/>
        <v>0.8829</v>
      </c>
      <c r="K274" s="180" t="s">
        <v>364</v>
      </c>
      <c r="L274" s="180"/>
      <c r="M274" s="180"/>
      <c r="N274" s="180"/>
      <c r="O274" s="180"/>
      <c r="P274" s="180"/>
      <c r="Q274" s="180"/>
      <c r="R274" s="180"/>
      <c r="S274" s="180"/>
      <c r="T274" s="180"/>
      <c r="U274" s="180"/>
      <c r="V274" s="180"/>
      <c r="W274" s="180"/>
      <c r="Z274" s="157"/>
      <c r="AA274" s="280"/>
      <c r="AB274" s="158"/>
      <c r="AC274" s="280"/>
      <c r="AD274" s="158"/>
      <c r="AE274" s="158"/>
      <c r="AF274" s="236"/>
    </row>
    <row r="275" spans="2:32">
      <c r="B275" s="282" t="s">
        <v>453</v>
      </c>
      <c r="C275" s="281" t="e">
        <f>#REF!</f>
        <v>#REF!</v>
      </c>
      <c r="D275" s="281">
        <f t="shared" si="84"/>
        <v>0.1062</v>
      </c>
      <c r="E275" s="281">
        <f t="shared" si="85"/>
        <v>0.52038</v>
      </c>
      <c r="F275" s="281">
        <f t="shared" si="86"/>
        <v>0.17444</v>
      </c>
      <c r="G275" s="281">
        <f t="shared" si="87"/>
        <v>0.16268</v>
      </c>
      <c r="H275" s="281">
        <f t="shared" si="88"/>
        <v>2.7153</v>
      </c>
      <c r="I275" s="281">
        <f t="shared" si="89"/>
        <v>0.5445</v>
      </c>
      <c r="J275" s="281">
        <f t="shared" si="90"/>
        <v>0.864</v>
      </c>
      <c r="K275" s="180" t="s">
        <v>364</v>
      </c>
      <c r="L275" s="180"/>
      <c r="M275" s="180"/>
      <c r="N275" s="180"/>
      <c r="O275" s="180"/>
      <c r="P275" s="180"/>
      <c r="Q275" s="180"/>
      <c r="R275" s="180"/>
      <c r="S275" s="180"/>
      <c r="T275" s="180"/>
      <c r="U275" s="180"/>
      <c r="V275" s="180"/>
      <c r="W275" s="180"/>
      <c r="Z275" s="157"/>
      <c r="AA275" s="280"/>
      <c r="AB275" s="158"/>
      <c r="AC275" s="280"/>
      <c r="AD275" s="158"/>
      <c r="AE275" s="158"/>
      <c r="AF275" s="236"/>
    </row>
    <row r="276" spans="2:32">
      <c r="B276" s="282" t="s">
        <v>454</v>
      </c>
      <c r="C276" s="281" t="e">
        <f>#REF!</f>
        <v>#REF!</v>
      </c>
      <c r="D276" s="281">
        <f t="shared" si="84"/>
        <v>0.09</v>
      </c>
      <c r="E276" s="281">
        <f t="shared" si="85"/>
        <v>0.588</v>
      </c>
      <c r="F276" s="281">
        <f t="shared" si="86"/>
        <v>0.0735</v>
      </c>
      <c r="G276" s="281">
        <f t="shared" si="87"/>
        <v>0.0686</v>
      </c>
      <c r="H276" s="281">
        <f t="shared" si="88"/>
        <v>2.6289</v>
      </c>
      <c r="I276" s="281">
        <f t="shared" si="89"/>
        <v>0.4941</v>
      </c>
      <c r="J276" s="281">
        <f t="shared" si="90"/>
        <v>0.8649</v>
      </c>
      <c r="K276" s="180" t="s">
        <v>364</v>
      </c>
      <c r="L276" s="180"/>
      <c r="M276" s="180"/>
      <c r="N276" s="180"/>
      <c r="O276" s="180"/>
      <c r="P276" s="180"/>
      <c r="Q276" s="180"/>
      <c r="R276" s="180"/>
      <c r="S276" s="180"/>
      <c r="T276" s="180"/>
      <c r="U276" s="180"/>
      <c r="V276" s="180"/>
      <c r="W276" s="180"/>
      <c r="Z276" s="157"/>
      <c r="AA276" s="280"/>
      <c r="AB276" s="158"/>
      <c r="AC276" s="280"/>
      <c r="AD276" s="158"/>
      <c r="AE276" s="158"/>
      <c r="AF276" s="236"/>
    </row>
    <row r="277" spans="2:32">
      <c r="B277" s="282" t="s">
        <v>455</v>
      </c>
      <c r="C277" s="281" t="e">
        <f>#REF!</f>
        <v>#REF!</v>
      </c>
      <c r="D277" s="281">
        <f>D22*AI236</f>
        <v>0.0855</v>
      </c>
      <c r="E277" s="281">
        <f t="shared" ref="E277:J277" si="91">E22*AJ236</f>
        <v>0</v>
      </c>
      <c r="F277" s="281">
        <f t="shared" si="91"/>
        <v>0</v>
      </c>
      <c r="G277" s="281">
        <f t="shared" si="91"/>
        <v>0</v>
      </c>
      <c r="H277" s="281">
        <f t="shared" si="91"/>
        <v>3.1752</v>
      </c>
      <c r="I277" s="281">
        <f t="shared" si="91"/>
        <v>0.8514</v>
      </c>
      <c r="J277" s="281">
        <f t="shared" si="91"/>
        <v>0.9765</v>
      </c>
      <c r="K277" s="180" t="s">
        <v>364</v>
      </c>
      <c r="L277" s="180"/>
      <c r="M277" s="180"/>
      <c r="N277" s="285"/>
      <c r="O277" s="180"/>
      <c r="P277" s="180"/>
      <c r="Q277" s="180"/>
      <c r="R277" s="180"/>
      <c r="S277" s="180"/>
      <c r="T277" s="180"/>
      <c r="U277" s="180"/>
      <c r="V277" s="180"/>
      <c r="W277" s="180"/>
      <c r="Z277" s="157"/>
      <c r="AA277" s="280"/>
      <c r="AB277" s="158"/>
      <c r="AC277" s="280"/>
      <c r="AD277" s="158"/>
      <c r="AE277" s="158"/>
      <c r="AF277" s="236"/>
    </row>
    <row r="278" spans="2:32">
      <c r="B278" s="282" t="s">
        <v>456</v>
      </c>
      <c r="C278" s="281" t="e">
        <f>#REF!</f>
        <v>#REF!</v>
      </c>
      <c r="D278" s="281">
        <f t="shared" ref="D278:D283" si="92">D23*AI237</f>
        <v>0.0954</v>
      </c>
      <c r="E278" s="281">
        <f t="shared" ref="E278:J278" si="93">E23*AJ237</f>
        <v>0</v>
      </c>
      <c r="F278" s="281">
        <f t="shared" si="93"/>
        <v>0</v>
      </c>
      <c r="G278" s="281">
        <f t="shared" si="93"/>
        <v>1.2564</v>
      </c>
      <c r="H278" s="281">
        <f t="shared" si="93"/>
        <v>3.0321</v>
      </c>
      <c r="I278" s="281">
        <f t="shared" si="93"/>
        <v>0.7767</v>
      </c>
      <c r="J278" s="281">
        <f t="shared" si="93"/>
        <v>0.8199</v>
      </c>
      <c r="K278" s="180" t="s">
        <v>364</v>
      </c>
      <c r="L278" s="180"/>
      <c r="M278" s="180"/>
      <c r="N278" s="180"/>
      <c r="O278" s="180"/>
      <c r="P278" s="180"/>
      <c r="Q278" s="180"/>
      <c r="R278" s="180"/>
      <c r="S278" s="180"/>
      <c r="T278" s="180"/>
      <c r="U278" s="180"/>
      <c r="V278" s="180"/>
      <c r="W278" s="180"/>
      <c r="Z278" s="157"/>
      <c r="AA278" s="280"/>
      <c r="AB278" s="158"/>
      <c r="AC278" s="280"/>
      <c r="AD278" s="158"/>
      <c r="AE278" s="158"/>
      <c r="AF278" s="236"/>
    </row>
    <row r="279" spans="2:32">
      <c r="B279" s="282" t="s">
        <v>457</v>
      </c>
      <c r="C279" s="281" t="e">
        <f>#REF!</f>
        <v>#REF!</v>
      </c>
      <c r="D279" s="281">
        <f t="shared" si="92"/>
        <v>0.0918</v>
      </c>
      <c r="E279" s="281">
        <f t="shared" ref="E279:J279" si="94">E24*AJ238</f>
        <v>0.6048</v>
      </c>
      <c r="F279" s="281">
        <f t="shared" si="94"/>
        <v>0.1143</v>
      </c>
      <c r="G279" s="281">
        <f t="shared" si="94"/>
        <v>0</v>
      </c>
      <c r="H279" s="281">
        <f t="shared" si="94"/>
        <v>2.628</v>
      </c>
      <c r="I279" s="281">
        <f t="shared" si="94"/>
        <v>0.5076</v>
      </c>
      <c r="J279" s="281">
        <f t="shared" si="94"/>
        <v>0.8802</v>
      </c>
      <c r="K279" s="180" t="s">
        <v>364</v>
      </c>
      <c r="L279" s="180"/>
      <c r="M279" s="180"/>
      <c r="N279" s="180"/>
      <c r="O279" s="180"/>
      <c r="P279" s="180"/>
      <c r="Q279" s="180"/>
      <c r="R279" s="180"/>
      <c r="S279" s="180"/>
      <c r="T279" s="180"/>
      <c r="U279" s="180"/>
      <c r="V279" s="180"/>
      <c r="W279" s="180"/>
      <c r="Z279" s="157"/>
      <c r="AA279" s="280"/>
      <c r="AB279" s="158"/>
      <c r="AC279" s="280"/>
      <c r="AD279" s="158"/>
      <c r="AE279" s="158"/>
      <c r="AF279" s="236"/>
    </row>
    <row r="280" spans="2:32">
      <c r="B280" s="282" t="s">
        <v>458</v>
      </c>
      <c r="C280" s="281" t="e">
        <f>#REF!</f>
        <v>#REF!</v>
      </c>
      <c r="D280" s="281">
        <f t="shared" si="92"/>
        <v>0.1269</v>
      </c>
      <c r="E280" s="281">
        <f t="shared" ref="E280:J280" si="95">E25*AJ239</f>
        <v>0.3159</v>
      </c>
      <c r="F280" s="281">
        <f t="shared" si="95"/>
        <v>0.3168</v>
      </c>
      <c r="G280" s="281">
        <f t="shared" si="95"/>
        <v>0.2952</v>
      </c>
      <c r="H280" s="281">
        <f t="shared" si="95"/>
        <v>2.799</v>
      </c>
      <c r="I280" s="281">
        <f t="shared" si="95"/>
        <v>0.6093</v>
      </c>
      <c r="J280" s="281">
        <f t="shared" si="95"/>
        <v>0.8802</v>
      </c>
      <c r="K280" s="180" t="s">
        <v>364</v>
      </c>
      <c r="L280" s="180"/>
      <c r="M280" s="180"/>
      <c r="N280" s="180"/>
      <c r="O280" s="180"/>
      <c r="P280" s="180"/>
      <c r="Q280" s="180"/>
      <c r="R280" s="180"/>
      <c r="S280" s="180"/>
      <c r="T280" s="180"/>
      <c r="U280" s="180"/>
      <c r="V280" s="180"/>
      <c r="W280" s="180"/>
      <c r="Z280" s="157"/>
      <c r="AA280" s="280"/>
      <c r="AB280" s="158"/>
      <c r="AC280" s="280"/>
      <c r="AD280" s="158"/>
      <c r="AE280" s="158"/>
      <c r="AF280" s="236"/>
    </row>
    <row r="281" spans="2:32">
      <c r="B281" s="282" t="s">
        <v>459</v>
      </c>
      <c r="C281" s="281" t="e">
        <f>#REF!</f>
        <v>#REF!</v>
      </c>
      <c r="D281" s="281">
        <f t="shared" si="92"/>
        <v>0.1224</v>
      </c>
      <c r="E281" s="281">
        <f t="shared" ref="E281:J281" si="96">E26*AJ240</f>
        <v>0.4572</v>
      </c>
      <c r="F281" s="281">
        <f t="shared" si="96"/>
        <v>0.1836</v>
      </c>
      <c r="G281" s="281">
        <f t="shared" si="96"/>
        <v>0.2565</v>
      </c>
      <c r="H281" s="281">
        <f t="shared" si="96"/>
        <v>2.763</v>
      </c>
      <c r="I281" s="281">
        <f t="shared" si="96"/>
        <v>0.5949</v>
      </c>
      <c r="J281" s="281">
        <f t="shared" si="96"/>
        <v>0.8829</v>
      </c>
      <c r="K281" s="180" t="s">
        <v>364</v>
      </c>
      <c r="L281" s="180"/>
      <c r="M281" s="180"/>
      <c r="N281" s="180"/>
      <c r="O281" s="180"/>
      <c r="P281" s="180"/>
      <c r="Q281" s="180"/>
      <c r="R281" s="180"/>
      <c r="S281" s="180"/>
      <c r="T281" s="180"/>
      <c r="U281" s="180"/>
      <c r="V281" s="180"/>
      <c r="W281" s="180"/>
      <c r="Z281" s="157"/>
      <c r="AA281" s="280"/>
      <c r="AB281" s="158"/>
      <c r="AC281" s="280"/>
      <c r="AD281" s="158"/>
      <c r="AE281" s="158"/>
      <c r="AF281" s="236"/>
    </row>
    <row r="282" spans="2:32">
      <c r="B282" s="282" t="s">
        <v>460</v>
      </c>
      <c r="C282" s="281" t="e">
        <f>#REF!</f>
        <v>#REF!</v>
      </c>
      <c r="D282" s="281">
        <f t="shared" si="92"/>
        <v>0.1062</v>
      </c>
      <c r="E282" s="281">
        <f t="shared" ref="E282:J282" si="97">E27*AJ241</f>
        <v>0.4779</v>
      </c>
      <c r="F282" s="281">
        <f t="shared" si="97"/>
        <v>0.1602</v>
      </c>
      <c r="G282" s="281">
        <f t="shared" si="97"/>
        <v>0.1494</v>
      </c>
      <c r="H282" s="281">
        <f t="shared" si="97"/>
        <v>2.7153</v>
      </c>
      <c r="I282" s="281">
        <f t="shared" si="97"/>
        <v>0.5445</v>
      </c>
      <c r="J282" s="281">
        <f t="shared" si="97"/>
        <v>0.864</v>
      </c>
      <c r="K282" s="180" t="s">
        <v>364</v>
      </c>
      <c r="L282" s="180"/>
      <c r="M282" s="180"/>
      <c r="N282" s="180"/>
      <c r="O282" s="180"/>
      <c r="P282" s="180"/>
      <c r="Q282" s="180"/>
      <c r="R282" s="180"/>
      <c r="S282" s="180"/>
      <c r="T282" s="180"/>
      <c r="U282" s="180"/>
      <c r="V282" s="180"/>
      <c r="W282" s="180"/>
      <c r="Z282" s="157"/>
      <c r="AA282" s="280"/>
      <c r="AB282" s="158"/>
      <c r="AC282" s="280"/>
      <c r="AD282" s="158"/>
      <c r="AE282" s="158"/>
      <c r="AF282" s="236"/>
    </row>
    <row r="283" spans="2:32">
      <c r="B283" s="282" t="s">
        <v>461</v>
      </c>
      <c r="C283" s="281" t="e">
        <f>#REF!</f>
        <v>#REF!</v>
      </c>
      <c r="D283" s="281">
        <f t="shared" si="92"/>
        <v>0.09</v>
      </c>
      <c r="E283" s="281">
        <f t="shared" ref="E283:J283" si="98">E28*AJ242</f>
        <v>0.54</v>
      </c>
      <c r="F283" s="281">
        <f t="shared" si="98"/>
        <v>0.0675</v>
      </c>
      <c r="G283" s="281">
        <f t="shared" si="98"/>
        <v>0.063</v>
      </c>
      <c r="H283" s="281">
        <f t="shared" si="98"/>
        <v>2.6289</v>
      </c>
      <c r="I283" s="281">
        <f t="shared" si="98"/>
        <v>0.4941</v>
      </c>
      <c r="J283" s="281">
        <f t="shared" si="98"/>
        <v>0.8649</v>
      </c>
      <c r="K283" s="180" t="s">
        <v>364</v>
      </c>
      <c r="L283" s="180"/>
      <c r="M283" s="180"/>
      <c r="N283" s="180"/>
      <c r="O283" s="180"/>
      <c r="P283" s="180"/>
      <c r="Q283" s="180"/>
      <c r="R283" s="180"/>
      <c r="S283" s="180"/>
      <c r="T283" s="180"/>
      <c r="U283" s="180"/>
      <c r="V283" s="180"/>
      <c r="W283" s="180"/>
      <c r="Z283" s="157"/>
      <c r="AA283" s="280"/>
      <c r="AB283" s="158"/>
      <c r="AC283" s="280"/>
      <c r="AD283" s="158"/>
      <c r="AE283" s="158"/>
      <c r="AF283" s="236"/>
    </row>
    <row r="284" spans="26:32">
      <c r="Z284" s="157"/>
      <c r="AA284" s="158"/>
      <c r="AB284" s="158"/>
      <c r="AC284" s="158"/>
      <c r="AD284" s="158"/>
      <c r="AE284" s="158"/>
      <c r="AF284" s="236"/>
    </row>
    <row r="285" spans="26:32">
      <c r="Z285" s="157"/>
      <c r="AA285" s="158"/>
      <c r="AB285" s="158"/>
      <c r="AC285" s="158"/>
      <c r="AD285" s="158"/>
      <c r="AE285" s="158"/>
      <c r="AF285" s="236"/>
    </row>
    <row r="286" spans="26:32">
      <c r="Z286" s="157"/>
      <c r="AA286" s="158"/>
      <c r="AB286" s="158"/>
      <c r="AC286" s="158"/>
      <c r="AD286" s="158"/>
      <c r="AE286" s="158"/>
      <c r="AF286" s="236"/>
    </row>
    <row r="287" spans="26:32">
      <c r="Z287" s="157"/>
      <c r="AA287" s="158"/>
      <c r="AB287" s="158"/>
      <c r="AC287" s="158"/>
      <c r="AD287" s="158"/>
      <c r="AE287" s="158"/>
      <c r="AF287" s="236"/>
    </row>
    <row r="288" s="157" customFormat="1" spans="27:32">
      <c r="AA288" s="158"/>
      <c r="AB288" s="158"/>
      <c r="AC288" s="158"/>
      <c r="AD288" s="158"/>
      <c r="AE288" s="158"/>
      <c r="AF288" s="158"/>
    </row>
    <row r="289" s="157" customFormat="1" spans="4:32">
      <c r="D289" s="158"/>
      <c r="E289" s="158"/>
      <c r="F289" s="158"/>
      <c r="G289" s="158"/>
      <c r="H289" s="158"/>
      <c r="AA289" s="158"/>
      <c r="AB289" s="158"/>
      <c r="AC289" s="158"/>
      <c r="AD289" s="158"/>
      <c r="AE289" s="158"/>
      <c r="AF289" s="158"/>
    </row>
    <row r="290" spans="27:32">
      <c r="AA290" s="236"/>
      <c r="AB290" s="236"/>
      <c r="AC290" s="236"/>
      <c r="AD290" s="236"/>
      <c r="AE290" s="236"/>
      <c r="AF290" s="236"/>
    </row>
    <row r="291" spans="27:32">
      <c r="AA291" s="236"/>
      <c r="AB291" s="236"/>
      <c r="AC291" s="236"/>
      <c r="AD291" s="236"/>
      <c r="AE291" s="236"/>
      <c r="AF291" s="236"/>
    </row>
    <row r="292" spans="27:32">
      <c r="AA292" s="236"/>
      <c r="AB292" s="236"/>
      <c r="AC292" s="236"/>
      <c r="AD292" s="236"/>
      <c r="AE292" s="236"/>
      <c r="AF292" s="236"/>
    </row>
    <row r="320" s="158" customFormat="1"/>
    <row r="321" s="158" customFormat="1" spans="3:5">
      <c r="C321" s="280"/>
      <c r="E321" s="280"/>
    </row>
    <row r="322" s="158" customFormat="1" spans="3:5">
      <c r="C322" s="280"/>
      <c r="E322" s="280"/>
    </row>
    <row r="323" s="158" customFormat="1" spans="3:5">
      <c r="C323" s="280"/>
      <c r="E323" s="280"/>
    </row>
    <row r="324" s="158" customFormat="1" spans="3:5">
      <c r="C324" s="280"/>
      <c r="E324" s="280"/>
    </row>
    <row r="325" s="158" customFormat="1" spans="3:5">
      <c r="C325" s="280"/>
      <c r="E325" s="280"/>
    </row>
    <row r="326" s="158" customFormat="1" spans="3:5">
      <c r="C326" s="280"/>
      <c r="E326" s="280"/>
    </row>
    <row r="327" s="158" customFormat="1" spans="3:5">
      <c r="C327" s="280"/>
      <c r="E327" s="280"/>
    </row>
    <row r="328" s="158" customFormat="1" spans="3:5">
      <c r="C328" s="280"/>
      <c r="E328" s="280"/>
    </row>
    <row r="329" s="158" customFormat="1" spans="3:5">
      <c r="C329" s="280"/>
      <c r="E329" s="280"/>
    </row>
    <row r="330" s="158" customFormat="1" spans="3:5">
      <c r="C330" s="280"/>
      <c r="E330" s="280"/>
    </row>
    <row r="331" s="158" customFormat="1" spans="3:5">
      <c r="C331" s="280"/>
      <c r="E331" s="280"/>
    </row>
    <row r="332" s="158" customFormat="1" spans="3:5">
      <c r="C332" s="280"/>
      <c r="E332" s="280"/>
    </row>
    <row r="333" s="158" customFormat="1" spans="3:5">
      <c r="C333" s="280"/>
      <c r="E333" s="280"/>
    </row>
    <row r="334" s="158" customFormat="1" spans="3:5">
      <c r="C334" s="280"/>
      <c r="E334" s="280"/>
    </row>
    <row r="335" s="158" customFormat="1" spans="3:5">
      <c r="C335" s="280"/>
      <c r="E335" s="280"/>
    </row>
    <row r="336" s="158" customFormat="1" spans="3:5">
      <c r="C336" s="280"/>
      <c r="E336" s="280"/>
    </row>
    <row r="337" s="158" customFormat="1" spans="3:5">
      <c r="C337" s="280"/>
      <c r="E337" s="280"/>
    </row>
    <row r="338" s="158" customFormat="1"/>
    <row r="339" s="158" customFormat="1"/>
    <row r="340" s="158" customFormat="1"/>
    <row r="341" s="158" customFormat="1"/>
    <row r="342" s="158" customFormat="1"/>
    <row r="343" s="158" customFormat="1"/>
    <row r="344" s="158" customFormat="1"/>
    <row r="345" s="158" customFormat="1"/>
    <row r="346" s="158" customFormat="1"/>
    <row r="347" s="158" customFormat="1" ht="14.5" spans="4:5">
      <c r="D347" s="220"/>
      <c r="E347" s="220"/>
    </row>
    <row r="348" s="158" customFormat="1" spans="4:10">
      <c r="D348" s="286"/>
      <c r="E348" s="286"/>
      <c r="F348" s="286"/>
      <c r="G348" s="286"/>
      <c r="H348" s="286"/>
      <c r="I348" s="286"/>
      <c r="J348" s="286"/>
    </row>
    <row r="349" s="158" customFormat="1"/>
    <row r="350" s="158" customFormat="1"/>
    <row r="351" s="158" customFormat="1"/>
    <row r="352" s="158" customFormat="1"/>
    <row r="353" s="158" customFormat="1"/>
    <row r="354" s="158" customFormat="1"/>
    <row r="355" s="158" customFormat="1" ht="14.5" spans="14:22">
      <c r="N355" s="287"/>
      <c r="O355" s="287"/>
      <c r="P355" s="287"/>
      <c r="Q355" s="287"/>
      <c r="R355" s="213"/>
      <c r="S355" s="213"/>
      <c r="T355" s="213"/>
      <c r="U355" s="213"/>
      <c r="V355" s="213"/>
    </row>
    <row r="356" s="158" customFormat="1" spans="3:22">
      <c r="C356" s="280"/>
      <c r="D356" s="280"/>
      <c r="E356" s="280"/>
      <c r="F356" s="280"/>
      <c r="G356" s="280"/>
      <c r="H356" s="280"/>
      <c r="I356" s="280"/>
      <c r="J356" s="280"/>
      <c r="N356" s="288"/>
      <c r="O356" s="287"/>
      <c r="P356" s="287"/>
      <c r="Q356" s="287"/>
      <c r="R356" s="287"/>
      <c r="S356" s="287"/>
      <c r="T356" s="287"/>
      <c r="U356" s="287"/>
      <c r="V356" s="287"/>
    </row>
    <row r="357" s="158" customFormat="1" spans="3:22">
      <c r="C357" s="280"/>
      <c r="D357" s="280"/>
      <c r="E357" s="280"/>
      <c r="F357" s="280"/>
      <c r="G357" s="280"/>
      <c r="H357" s="280"/>
      <c r="I357" s="280"/>
      <c r="J357" s="280"/>
      <c r="N357" s="288"/>
      <c r="O357" s="287"/>
      <c r="P357" s="287"/>
      <c r="Q357" s="287"/>
      <c r="R357" s="287"/>
      <c r="S357" s="287"/>
      <c r="T357" s="287"/>
      <c r="U357" s="287"/>
      <c r="V357" s="287"/>
    </row>
    <row r="358" s="158" customFormat="1" spans="3:22">
      <c r="C358" s="280"/>
      <c r="D358" s="280"/>
      <c r="E358" s="280"/>
      <c r="F358" s="280"/>
      <c r="G358" s="280"/>
      <c r="H358" s="280"/>
      <c r="I358" s="280"/>
      <c r="J358" s="280"/>
      <c r="N358" s="289"/>
      <c r="O358" s="287"/>
      <c r="P358" s="287"/>
      <c r="Q358" s="287"/>
      <c r="R358" s="287"/>
      <c r="S358" s="287"/>
      <c r="T358" s="287"/>
      <c r="U358" s="287"/>
      <c r="V358" s="287"/>
    </row>
    <row r="359" s="158" customFormat="1" spans="3:22">
      <c r="C359" s="280"/>
      <c r="D359" s="280"/>
      <c r="E359" s="280"/>
      <c r="F359" s="280"/>
      <c r="G359" s="280"/>
      <c r="H359" s="280"/>
      <c r="I359" s="280"/>
      <c r="J359" s="280"/>
      <c r="N359" s="288"/>
      <c r="O359" s="287"/>
      <c r="P359" s="287"/>
      <c r="Q359" s="287"/>
      <c r="R359" s="287"/>
      <c r="S359" s="287"/>
      <c r="T359" s="287"/>
      <c r="U359" s="287"/>
      <c r="V359" s="287"/>
    </row>
    <row r="360" s="158" customFormat="1" spans="3:22">
      <c r="C360" s="280"/>
      <c r="D360" s="280"/>
      <c r="E360" s="280"/>
      <c r="F360" s="280"/>
      <c r="G360" s="280"/>
      <c r="H360" s="280"/>
      <c r="I360" s="280"/>
      <c r="J360" s="280"/>
      <c r="N360" s="288"/>
      <c r="O360" s="287"/>
      <c r="P360" s="287"/>
      <c r="Q360" s="287"/>
      <c r="R360" s="287"/>
      <c r="S360" s="287"/>
      <c r="T360" s="287"/>
      <c r="U360" s="287"/>
      <c r="V360" s="287"/>
    </row>
    <row r="361" s="158" customFormat="1" spans="3:22">
      <c r="C361" s="280"/>
      <c r="D361" s="280"/>
      <c r="E361" s="280"/>
      <c r="F361" s="280"/>
      <c r="G361" s="280"/>
      <c r="H361" s="280"/>
      <c r="I361" s="280"/>
      <c r="J361" s="280"/>
      <c r="N361" s="288"/>
      <c r="O361" s="287"/>
      <c r="P361" s="287"/>
      <c r="Q361" s="287"/>
      <c r="R361" s="287"/>
      <c r="S361" s="287"/>
      <c r="T361" s="287"/>
      <c r="U361" s="287"/>
      <c r="V361" s="287"/>
    </row>
    <row r="362" s="158" customFormat="1" spans="3:22">
      <c r="C362" s="280"/>
      <c r="D362" s="280"/>
      <c r="E362" s="280"/>
      <c r="F362" s="280"/>
      <c r="G362" s="280"/>
      <c r="H362" s="280"/>
      <c r="I362" s="280"/>
      <c r="J362" s="280"/>
      <c r="N362" s="288"/>
      <c r="O362" s="287"/>
      <c r="P362" s="287"/>
      <c r="Q362" s="287"/>
      <c r="R362" s="287"/>
      <c r="S362" s="287"/>
      <c r="T362" s="287"/>
      <c r="U362" s="287"/>
      <c r="V362" s="287"/>
    </row>
    <row r="363" s="158" customFormat="1" ht="14.5" spans="3:22">
      <c r="C363" s="280"/>
      <c r="D363" s="280"/>
      <c r="E363" s="280"/>
      <c r="F363" s="280"/>
      <c r="G363" s="280"/>
      <c r="H363" s="280"/>
      <c r="I363" s="280"/>
      <c r="J363" s="280"/>
      <c r="N363" s="288"/>
      <c r="O363" s="287"/>
      <c r="P363" s="287"/>
      <c r="Q363" s="287"/>
      <c r="R363" s="287"/>
      <c r="S363" s="287"/>
      <c r="T363" s="213"/>
      <c r="U363" s="213"/>
      <c r="V363" s="213"/>
    </row>
    <row r="364" s="158" customFormat="1" spans="3:10">
      <c r="C364" s="280"/>
      <c r="D364" s="280"/>
      <c r="E364" s="280"/>
      <c r="F364" s="280"/>
      <c r="G364" s="280"/>
      <c r="H364" s="280"/>
      <c r="I364" s="280"/>
      <c r="J364" s="280"/>
    </row>
    <row r="365" s="158" customFormat="1" spans="3:10">
      <c r="C365" s="280"/>
      <c r="D365" s="280"/>
      <c r="E365" s="280"/>
      <c r="F365" s="280"/>
      <c r="G365" s="280"/>
      <c r="H365" s="280"/>
      <c r="I365" s="280"/>
      <c r="J365" s="280"/>
    </row>
    <row r="366" s="158" customFormat="1" spans="3:10">
      <c r="C366" s="280"/>
      <c r="D366" s="280"/>
      <c r="E366" s="280"/>
      <c r="F366" s="280"/>
      <c r="G366" s="280"/>
      <c r="H366" s="280"/>
      <c r="I366" s="280"/>
      <c r="J366" s="280"/>
    </row>
    <row r="367" s="158" customFormat="1" spans="3:10">
      <c r="C367" s="280"/>
      <c r="D367" s="280"/>
      <c r="E367" s="280"/>
      <c r="F367" s="280"/>
      <c r="G367" s="280"/>
      <c r="H367" s="280"/>
      <c r="I367" s="280"/>
      <c r="J367" s="280"/>
    </row>
    <row r="368" s="158" customFormat="1" spans="3:10">
      <c r="C368" s="280"/>
      <c r="D368" s="280"/>
      <c r="E368" s="280"/>
      <c r="F368" s="280"/>
      <c r="G368" s="280"/>
      <c r="H368" s="280"/>
      <c r="I368" s="280"/>
      <c r="J368" s="280"/>
    </row>
    <row r="369" s="158" customFormat="1" spans="3:10">
      <c r="C369" s="280"/>
      <c r="D369" s="280"/>
      <c r="E369" s="280"/>
      <c r="F369" s="280"/>
      <c r="G369" s="280"/>
      <c r="H369" s="280"/>
      <c r="I369" s="280"/>
      <c r="J369" s="280"/>
    </row>
    <row r="370" s="158" customFormat="1"/>
    <row r="371" s="158" customFormat="1"/>
    <row r="372" s="158" customFormat="1"/>
    <row r="373" s="158" customFormat="1"/>
    <row r="374" s="158" customFormat="1" spans="3:3">
      <c r="C374" s="235"/>
    </row>
    <row r="375" s="158" customFormat="1" spans="3:3">
      <c r="C375" s="235"/>
    </row>
    <row r="376" s="158" customFormat="1" spans="3:3">
      <c r="C376" s="235"/>
    </row>
    <row r="377" s="158" customFormat="1" spans="3:3">
      <c r="C377" s="235"/>
    </row>
    <row r="378" s="158" customFormat="1" spans="3:3">
      <c r="C378" s="235"/>
    </row>
    <row r="379" s="158" customFormat="1" spans="3:3">
      <c r="C379" s="235"/>
    </row>
    <row r="380" s="158" customFormat="1" spans="3:3">
      <c r="C380" s="235"/>
    </row>
    <row r="381" s="158" customFormat="1" spans="3:5">
      <c r="C381" s="280"/>
      <c r="D381" s="270"/>
      <c r="E381" s="280"/>
    </row>
    <row r="382" s="158" customFormat="1" spans="3:5">
      <c r="C382" s="280"/>
      <c r="D382" s="270"/>
      <c r="E382" s="280"/>
    </row>
    <row r="383" s="158" customFormat="1" spans="3:5">
      <c r="C383" s="280"/>
      <c r="D383" s="270"/>
      <c r="E383" s="280"/>
    </row>
    <row r="384" s="158" customFormat="1" spans="3:5">
      <c r="C384" s="280"/>
      <c r="D384" s="270"/>
      <c r="E384" s="280"/>
    </row>
    <row r="385" s="158" customFormat="1" spans="3:5">
      <c r="C385" s="280"/>
      <c r="D385" s="270"/>
      <c r="E385" s="280"/>
    </row>
    <row r="386" s="158" customFormat="1" spans="3:5">
      <c r="C386" s="280"/>
      <c r="D386" s="270"/>
      <c r="E386" s="280"/>
    </row>
    <row r="387" s="158" customFormat="1" spans="3:5">
      <c r="C387" s="280"/>
      <c r="D387" s="270"/>
      <c r="E387" s="280"/>
    </row>
    <row r="388" s="158" customFormat="1" spans="3:5">
      <c r="C388" s="280"/>
      <c r="D388" s="270"/>
      <c r="E388" s="280"/>
    </row>
    <row r="389" s="158" customFormat="1" spans="3:5">
      <c r="C389" s="280"/>
      <c r="D389" s="270"/>
      <c r="E389" s="280"/>
    </row>
    <row r="390" s="158" customFormat="1" spans="3:5">
      <c r="C390" s="280"/>
      <c r="D390" s="270"/>
      <c r="E390" s="280"/>
    </row>
    <row r="391" s="158" customFormat="1" spans="3:5">
      <c r="C391" s="280"/>
      <c r="D391" s="270"/>
      <c r="E391" s="280"/>
    </row>
    <row r="392" s="158" customFormat="1" spans="3:5">
      <c r="C392" s="280"/>
      <c r="D392" s="270"/>
      <c r="E392" s="280"/>
    </row>
    <row r="393" s="158" customFormat="1" spans="3:5">
      <c r="C393" s="280"/>
      <c r="D393" s="270"/>
      <c r="E393" s="280"/>
    </row>
    <row r="394" s="158" customFormat="1" spans="3:5">
      <c r="C394" s="280"/>
      <c r="D394" s="270"/>
      <c r="E394" s="280"/>
    </row>
    <row r="395" s="158" customFormat="1"/>
    <row r="396" s="158" customFormat="1"/>
    <row r="397" s="158" customFormat="1"/>
    <row r="398" s="158" customFormat="1"/>
    <row r="399" s="158" customFormat="1"/>
    <row r="400" s="158" customFormat="1"/>
    <row r="401" s="158" customFormat="1"/>
    <row r="402" s="158" customFormat="1"/>
    <row r="403" s="158" customFormat="1"/>
  </sheetData>
  <autoFilter xmlns:etc="http://www.wps.cn/officeDocument/2017/etCustomData" ref="AS1:AS394" etc:filterBottomFollowUsedRange="0">
    <extLst/>
  </autoFilter>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W83"/>
  <sheetViews>
    <sheetView zoomScale="63" zoomScaleNormal="63" workbookViewId="0">
      <selection activeCell="AU17" sqref="AU17"/>
    </sheetView>
  </sheetViews>
  <sheetFormatPr defaultColWidth="9" defaultRowHeight="14.5"/>
  <cols>
    <col min="4" max="4" width="19.0909090909091" customWidth="1"/>
    <col min="5" max="5" width="51.7272727272727" customWidth="1"/>
    <col min="6" max="6" width="12" customWidth="1"/>
    <col min="7" max="7" width="9.90909090909091" customWidth="1"/>
    <col min="8" max="8" width="19.0909090909091" customWidth="1"/>
    <col min="11" max="11" width="19.5454545454545" customWidth="1"/>
    <col min="12" max="12" width="20.3636363636364" customWidth="1"/>
    <col min="13" max="13" width="9.09090909090909"/>
    <col min="16" max="16" width="19.0909090909091" customWidth="1"/>
    <col min="17" max="17" width="21.4545454545455" customWidth="1"/>
    <col min="18" max="18" width="44.7272727272727" customWidth="1"/>
    <col min="19" max="19" width="12.8181818181818"/>
    <col min="20" max="20" width="14.6363636363636" customWidth="1"/>
    <col min="21" max="21" width="12.8181818181818"/>
    <col min="22" max="22" width="14.2727272727273" customWidth="1"/>
    <col min="23" max="23" width="20.9090909090909" customWidth="1"/>
    <col min="24" max="24" width="15" customWidth="1"/>
    <col min="25" max="26" width="12.8181818181818"/>
    <col min="28" max="28" width="14" customWidth="1"/>
    <col min="29" max="29" width="20.0909090909091" customWidth="1"/>
    <col min="34" max="34" width="13.2727272727273" customWidth="1"/>
    <col min="35" max="35" width="20.5454545454545" customWidth="1"/>
    <col min="40" max="40" width="11.2727272727273" customWidth="1"/>
    <col min="41" max="41" width="20.5454545454545" customWidth="1"/>
    <col min="47" max="47" width="15.9090909090909" customWidth="1"/>
  </cols>
  <sheetData>
    <row r="1" customHeight="1" spans="1:1">
      <c r="A1" t="s">
        <v>462</v>
      </c>
    </row>
    <row r="3" customHeight="1"/>
    <row r="4" spans="4:49">
      <c r="D4" s="121"/>
      <c r="E4" s="121"/>
      <c r="F4" s="121"/>
      <c r="G4" s="121"/>
      <c r="H4" s="49"/>
      <c r="I4" s="49"/>
      <c r="J4" s="136"/>
      <c r="K4" s="136"/>
      <c r="L4" s="136" t="s">
        <v>249</v>
      </c>
      <c r="M4" s="136"/>
      <c r="N4" s="137"/>
      <c r="O4" s="137"/>
      <c r="P4" s="137"/>
      <c r="Q4" s="137"/>
      <c r="R4" s="137" t="s">
        <v>249</v>
      </c>
      <c r="S4" s="137"/>
      <c r="T4" s="137"/>
      <c r="U4" s="137"/>
      <c r="V4" s="137"/>
      <c r="W4" s="137"/>
      <c r="X4" s="137" t="s">
        <v>249</v>
      </c>
      <c r="Y4" s="137"/>
      <c r="Z4" s="137"/>
      <c r="AA4" s="137"/>
      <c r="AB4" s="137"/>
      <c r="AC4" s="137"/>
      <c r="AD4" s="137" t="s">
        <v>249</v>
      </c>
      <c r="AE4" s="137"/>
      <c r="AF4" s="137"/>
      <c r="AG4" s="137"/>
      <c r="AH4" s="137"/>
      <c r="AI4" s="137"/>
      <c r="AJ4" s="137" t="s">
        <v>249</v>
      </c>
      <c r="AK4" s="137"/>
      <c r="AL4" s="137"/>
      <c r="AM4" s="137"/>
      <c r="AN4" s="137"/>
      <c r="AO4" s="137"/>
      <c r="AP4" s="137" t="s">
        <v>249</v>
      </c>
      <c r="AQ4" s="137"/>
      <c r="AR4" s="152"/>
      <c r="AS4" s="152"/>
      <c r="AT4" s="137"/>
      <c r="AU4" s="137"/>
      <c r="AV4" s="137" t="s">
        <v>249</v>
      </c>
      <c r="AW4" s="137"/>
    </row>
    <row r="5" spans="4:49">
      <c r="D5" s="121"/>
      <c r="E5" s="122"/>
      <c r="F5" s="123"/>
      <c r="G5" s="122"/>
      <c r="H5" s="49"/>
      <c r="I5" s="49"/>
      <c r="J5" s="136" t="s">
        <v>76</v>
      </c>
      <c r="K5" s="136" t="s">
        <v>79</v>
      </c>
      <c r="L5" s="138" t="s">
        <v>254</v>
      </c>
      <c r="M5" s="136">
        <v>2019</v>
      </c>
      <c r="N5" s="137"/>
      <c r="O5" s="137"/>
      <c r="P5" s="137" t="s">
        <v>76</v>
      </c>
      <c r="Q5" s="137" t="s">
        <v>79</v>
      </c>
      <c r="R5" s="137" t="s">
        <v>254</v>
      </c>
      <c r="S5" s="137">
        <v>2019</v>
      </c>
      <c r="T5" s="137"/>
      <c r="U5" s="137"/>
      <c r="V5" s="137" t="s">
        <v>76</v>
      </c>
      <c r="W5" s="137" t="s">
        <v>79</v>
      </c>
      <c r="X5" s="137" t="s">
        <v>254</v>
      </c>
      <c r="Y5" s="137">
        <v>2019</v>
      </c>
      <c r="Z5" s="137"/>
      <c r="AA5" s="137"/>
      <c r="AB5" s="137" t="s">
        <v>76</v>
      </c>
      <c r="AC5" s="137" t="s">
        <v>79</v>
      </c>
      <c r="AD5" s="137" t="s">
        <v>254</v>
      </c>
      <c r="AE5" s="137">
        <v>2019</v>
      </c>
      <c r="AF5" s="137"/>
      <c r="AG5" s="137"/>
      <c r="AH5" s="137" t="s">
        <v>76</v>
      </c>
      <c r="AI5" s="137" t="s">
        <v>79</v>
      </c>
      <c r="AJ5" s="137" t="s">
        <v>254</v>
      </c>
      <c r="AK5" s="137">
        <v>2019</v>
      </c>
      <c r="AL5" s="137"/>
      <c r="AM5" s="137"/>
      <c r="AN5" s="137" t="s">
        <v>76</v>
      </c>
      <c r="AO5" s="137" t="s">
        <v>79</v>
      </c>
      <c r="AP5" s="137" t="s">
        <v>254</v>
      </c>
      <c r="AQ5" s="137">
        <v>2019</v>
      </c>
      <c r="AR5" s="152"/>
      <c r="AS5" s="152"/>
      <c r="AT5" s="137" t="s">
        <v>76</v>
      </c>
      <c r="AU5" s="137" t="s">
        <v>79</v>
      </c>
      <c r="AV5" s="137" t="s">
        <v>254</v>
      </c>
      <c r="AW5" s="137">
        <v>2019</v>
      </c>
    </row>
    <row r="6" ht="16" spans="4:49">
      <c r="D6" s="121"/>
      <c r="E6" s="124"/>
      <c r="F6" s="123"/>
      <c r="G6" s="125"/>
      <c r="H6" s="49"/>
      <c r="I6" s="49"/>
      <c r="J6" s="136"/>
      <c r="K6" s="139" t="s">
        <v>271</v>
      </c>
      <c r="L6" s="138" t="s">
        <v>303</v>
      </c>
      <c r="M6" s="140">
        <f>T58</f>
        <v>76.8666666666667</v>
      </c>
      <c r="N6" s="137"/>
      <c r="O6" s="137"/>
      <c r="P6" s="137"/>
      <c r="Q6" s="139" t="s">
        <v>272</v>
      </c>
      <c r="R6" s="138" t="s">
        <v>303</v>
      </c>
      <c r="S6" s="143">
        <f>U58</f>
        <v>71.4333333333333</v>
      </c>
      <c r="T6" s="137"/>
      <c r="U6" s="137"/>
      <c r="V6" s="137"/>
      <c r="W6" s="139" t="s">
        <v>273</v>
      </c>
      <c r="X6" s="138" t="s">
        <v>303</v>
      </c>
      <c r="Y6" s="143">
        <f>V58</f>
        <v>71.3333333333333</v>
      </c>
      <c r="Z6" s="137"/>
      <c r="AA6" s="137"/>
      <c r="AB6" s="137"/>
      <c r="AC6" s="139" t="s">
        <v>274</v>
      </c>
      <c r="AD6" s="138" t="s">
        <v>303</v>
      </c>
      <c r="AE6" s="143">
        <f>W58</f>
        <v>72.5666666666667</v>
      </c>
      <c r="AF6" s="137"/>
      <c r="AG6" s="137"/>
      <c r="AH6" s="137"/>
      <c r="AI6" s="139" t="s">
        <v>270</v>
      </c>
      <c r="AJ6" s="138" t="s">
        <v>303</v>
      </c>
      <c r="AK6" s="143">
        <f>X58</f>
        <v>77.1333333333333</v>
      </c>
      <c r="AL6" s="137"/>
      <c r="AM6" s="137"/>
      <c r="AN6" s="137"/>
      <c r="AO6" s="139" t="s">
        <v>268</v>
      </c>
      <c r="AP6" s="138" t="s">
        <v>303</v>
      </c>
      <c r="AQ6" s="143">
        <f>Y58</f>
        <v>42.5333333333333</v>
      </c>
      <c r="AR6" s="152"/>
      <c r="AS6" s="152"/>
      <c r="AT6" s="137"/>
      <c r="AU6" s="139" t="s">
        <v>263</v>
      </c>
      <c r="AV6" s="138" t="s">
        <v>303</v>
      </c>
      <c r="AW6" s="143">
        <f>Z58</f>
        <v>47.3</v>
      </c>
    </row>
    <row r="7" ht="16" spans="4:49">
      <c r="D7" s="121"/>
      <c r="E7" s="124"/>
      <c r="F7" s="123"/>
      <c r="G7" s="125"/>
      <c r="H7" s="49"/>
      <c r="I7" s="49"/>
      <c r="J7" s="136"/>
      <c r="K7" s="139" t="s">
        <v>271</v>
      </c>
      <c r="L7" s="138" t="s">
        <v>463</v>
      </c>
      <c r="M7" s="140">
        <f>T59</f>
        <v>218.266666666667</v>
      </c>
      <c r="N7" s="137"/>
      <c r="O7" s="137"/>
      <c r="P7" s="137"/>
      <c r="Q7" s="139" t="s">
        <v>272</v>
      </c>
      <c r="R7" s="138" t="s">
        <v>463</v>
      </c>
      <c r="S7" s="143">
        <f>U59</f>
        <v>206.9</v>
      </c>
      <c r="T7" s="137"/>
      <c r="U7" s="137"/>
      <c r="V7" s="137"/>
      <c r="W7" s="139" t="s">
        <v>273</v>
      </c>
      <c r="X7" s="138" t="s">
        <v>463</v>
      </c>
      <c r="Y7" s="143">
        <f>V59</f>
        <v>207.166666666667</v>
      </c>
      <c r="Z7" s="137"/>
      <c r="AA7" s="137"/>
      <c r="AB7" s="137"/>
      <c r="AC7" s="139" t="s">
        <v>274</v>
      </c>
      <c r="AD7" s="138" t="s">
        <v>463</v>
      </c>
      <c r="AE7" s="143">
        <f>W59</f>
        <v>201.5</v>
      </c>
      <c r="AF7" s="137"/>
      <c r="AG7" s="137"/>
      <c r="AH7" s="137"/>
      <c r="AI7" s="139" t="s">
        <v>270</v>
      </c>
      <c r="AJ7" s="138" t="s">
        <v>463</v>
      </c>
      <c r="AK7" s="143">
        <f>X59</f>
        <v>213.833333333333</v>
      </c>
      <c r="AL7" s="137"/>
      <c r="AM7" s="137"/>
      <c r="AN7" s="137"/>
      <c r="AO7" s="139" t="s">
        <v>268</v>
      </c>
      <c r="AP7" s="138" t="s">
        <v>463</v>
      </c>
      <c r="AQ7" s="143">
        <f>Y59</f>
        <v>92.4666666666667</v>
      </c>
      <c r="AR7" s="152"/>
      <c r="AS7" s="152"/>
      <c r="AT7" s="137"/>
      <c r="AU7" s="139" t="s">
        <v>263</v>
      </c>
      <c r="AV7" s="138" t="s">
        <v>463</v>
      </c>
      <c r="AW7" s="143">
        <f>Z59</f>
        <v>171.166666666667</v>
      </c>
    </row>
    <row r="8" customHeight="1" spans="4:49">
      <c r="D8" s="121"/>
      <c r="E8" s="124"/>
      <c r="F8" s="123"/>
      <c r="G8" s="125"/>
      <c r="H8" s="49"/>
      <c r="I8" s="49"/>
      <c r="J8" s="136"/>
      <c r="K8" s="139" t="s">
        <v>271</v>
      </c>
      <c r="L8" s="138" t="s">
        <v>464</v>
      </c>
      <c r="M8" s="140">
        <f>T60</f>
        <v>573.166666666667</v>
      </c>
      <c r="N8" s="137"/>
      <c r="O8" s="137"/>
      <c r="P8" s="137"/>
      <c r="Q8" s="139" t="s">
        <v>272</v>
      </c>
      <c r="R8" s="138" t="s">
        <v>464</v>
      </c>
      <c r="S8" s="143">
        <f>U60</f>
        <v>545.466666666667</v>
      </c>
      <c r="T8" s="137"/>
      <c r="U8" s="137"/>
      <c r="V8" s="137"/>
      <c r="W8" s="139" t="s">
        <v>273</v>
      </c>
      <c r="X8" s="138" t="s">
        <v>464</v>
      </c>
      <c r="Y8" s="143">
        <f>V60</f>
        <v>547.266666666667</v>
      </c>
      <c r="Z8" s="137"/>
      <c r="AA8" s="137"/>
      <c r="AB8" s="137"/>
      <c r="AC8" s="139" t="s">
        <v>274</v>
      </c>
      <c r="AD8" s="138" t="s">
        <v>464</v>
      </c>
      <c r="AE8" s="143">
        <f>W60</f>
        <v>539.833333333333</v>
      </c>
      <c r="AF8" s="137"/>
      <c r="AG8" s="137"/>
      <c r="AH8" s="137"/>
      <c r="AI8" s="139" t="s">
        <v>270</v>
      </c>
      <c r="AJ8" s="138" t="s">
        <v>464</v>
      </c>
      <c r="AK8" s="143">
        <f>X60</f>
        <v>583.566666666667</v>
      </c>
      <c r="AL8" s="137"/>
      <c r="AM8" s="137"/>
      <c r="AN8" s="137"/>
      <c r="AO8" s="139" t="s">
        <v>268</v>
      </c>
      <c r="AP8" s="138" t="s">
        <v>464</v>
      </c>
      <c r="AQ8" s="143">
        <f>Y60</f>
        <v>399.233333333333</v>
      </c>
      <c r="AR8" s="152"/>
      <c r="AS8" s="152"/>
      <c r="AT8" s="137"/>
      <c r="AU8" s="139" t="s">
        <v>263</v>
      </c>
      <c r="AV8" s="138" t="s">
        <v>464</v>
      </c>
      <c r="AW8" s="143">
        <f>Z60</f>
        <v>466.366666666667</v>
      </c>
    </row>
    <row r="9" ht="16" spans="4:49">
      <c r="D9" s="121"/>
      <c r="E9" s="124"/>
      <c r="F9" s="123"/>
      <c r="G9" s="125"/>
      <c r="H9" s="49"/>
      <c r="I9" s="49"/>
      <c r="J9" s="136"/>
      <c r="K9" s="139" t="s">
        <v>271</v>
      </c>
      <c r="L9" s="138" t="s">
        <v>465</v>
      </c>
      <c r="M9" s="140">
        <f>T61</f>
        <v>127.9</v>
      </c>
      <c r="N9" s="137"/>
      <c r="O9" s="137"/>
      <c r="P9" s="137"/>
      <c r="Q9" s="139" t="s">
        <v>272</v>
      </c>
      <c r="R9" s="138" t="s">
        <v>465</v>
      </c>
      <c r="S9" s="143">
        <f>U61</f>
        <v>134.133333333333</v>
      </c>
      <c r="T9" s="137"/>
      <c r="U9" s="137"/>
      <c r="V9" s="137"/>
      <c r="W9" s="139" t="s">
        <v>273</v>
      </c>
      <c r="X9" s="138" t="s">
        <v>465</v>
      </c>
      <c r="Y9" s="143">
        <f>V61</f>
        <v>140.733333333333</v>
      </c>
      <c r="Z9" s="137"/>
      <c r="AA9" s="137"/>
      <c r="AB9" s="137"/>
      <c r="AC9" s="139" t="s">
        <v>274</v>
      </c>
      <c r="AD9" s="138" t="s">
        <v>465</v>
      </c>
      <c r="AE9" s="143">
        <f>W61</f>
        <v>150.333333333333</v>
      </c>
      <c r="AF9" s="137"/>
      <c r="AG9" s="137"/>
      <c r="AH9" s="137"/>
      <c r="AI9" s="139" t="s">
        <v>270</v>
      </c>
      <c r="AJ9" s="138" t="s">
        <v>465</v>
      </c>
      <c r="AK9" s="143">
        <f>X61</f>
        <v>161.266666666667</v>
      </c>
      <c r="AL9" s="137"/>
      <c r="AM9" s="137"/>
      <c r="AN9" s="137"/>
      <c r="AO9" s="139" t="s">
        <v>268</v>
      </c>
      <c r="AP9" s="138" t="s">
        <v>465</v>
      </c>
      <c r="AQ9" s="143">
        <f>Y61</f>
        <v>57.4</v>
      </c>
      <c r="AR9" s="152"/>
      <c r="AS9" s="152"/>
      <c r="AT9" s="137"/>
      <c r="AU9" s="139" t="s">
        <v>263</v>
      </c>
      <c r="AV9" s="138" t="s">
        <v>465</v>
      </c>
      <c r="AW9" s="143">
        <f>Z61</f>
        <v>95.6666666666667</v>
      </c>
    </row>
    <row r="10" ht="16" spans="4:43">
      <c r="D10" s="49"/>
      <c r="E10" s="124"/>
      <c r="F10" s="126"/>
      <c r="G10" s="125"/>
      <c r="H10" s="49"/>
      <c r="I10" s="49"/>
      <c r="J10" s="49"/>
      <c r="K10" s="49"/>
      <c r="L10" s="141"/>
      <c r="M10" s="142"/>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row>
    <row r="11" spans="4:11">
      <c r="D11" s="127"/>
      <c r="E11" s="127"/>
      <c r="G11" s="128"/>
      <c r="H11" s="129"/>
      <c r="I11" s="129"/>
      <c r="J11" s="129"/>
      <c r="K11" s="129"/>
    </row>
    <row r="12" spans="4:11">
      <c r="D12" s="127"/>
      <c r="E12" s="127"/>
      <c r="G12" s="128"/>
      <c r="H12" s="129"/>
      <c r="I12" s="129"/>
      <c r="J12" s="129"/>
      <c r="K12" s="129"/>
    </row>
    <row r="13" customHeight="1" spans="4:11">
      <c r="D13" s="127"/>
      <c r="E13" s="127"/>
      <c r="F13" s="130"/>
      <c r="G13" s="128"/>
      <c r="H13" s="129"/>
      <c r="I13" s="129"/>
      <c r="J13" s="129"/>
      <c r="K13" s="129"/>
    </row>
    <row r="14" spans="4:11">
      <c r="D14" s="127"/>
      <c r="E14" s="127"/>
      <c r="F14" s="130"/>
      <c r="G14" s="128"/>
      <c r="H14" s="129"/>
      <c r="I14" s="129"/>
      <c r="J14" s="129"/>
      <c r="K14" s="129"/>
    </row>
    <row r="15" spans="4:11">
      <c r="D15" s="127"/>
      <c r="E15" s="127"/>
      <c r="F15" s="130"/>
      <c r="G15" s="128"/>
      <c r="H15" s="129"/>
      <c r="I15" s="129"/>
      <c r="J15" s="129"/>
      <c r="K15" s="129"/>
    </row>
    <row r="16" spans="4:11">
      <c r="D16" s="129"/>
      <c r="E16" s="127"/>
      <c r="F16" s="130"/>
      <c r="G16" s="128"/>
      <c r="H16" s="129"/>
      <c r="I16" s="129"/>
      <c r="J16" s="129"/>
      <c r="K16" s="129"/>
    </row>
    <row r="17" spans="4:11">
      <c r="D17" s="131"/>
      <c r="E17" s="127"/>
      <c r="F17" s="132"/>
      <c r="G17" s="131"/>
      <c r="H17" s="129"/>
      <c r="I17" s="129"/>
      <c r="J17" s="129"/>
      <c r="K17" s="129"/>
    </row>
    <row r="18" spans="4:11">
      <c r="D18" s="129"/>
      <c r="E18" s="129"/>
      <c r="F18" s="129"/>
      <c r="G18" s="129"/>
      <c r="H18" s="129"/>
      <c r="I18" s="129"/>
      <c r="J18" s="129"/>
      <c r="K18" s="129"/>
    </row>
    <row r="19" spans="4:11">
      <c r="D19" s="129"/>
      <c r="E19" s="129"/>
      <c r="F19" s="129"/>
      <c r="G19" s="129"/>
      <c r="H19" s="129"/>
      <c r="I19" s="129"/>
      <c r="J19" s="129"/>
      <c r="K19" s="129"/>
    </row>
    <row r="20" spans="4:11">
      <c r="D20" s="129"/>
      <c r="E20" s="129"/>
      <c r="F20" s="129"/>
      <c r="G20" s="129"/>
      <c r="H20" s="129"/>
      <c r="I20" s="129"/>
      <c r="J20" s="129"/>
      <c r="K20" s="129"/>
    </row>
    <row r="21" spans="4:17">
      <c r="D21" s="129"/>
      <c r="E21" s="129"/>
      <c r="F21" s="129"/>
      <c r="G21" s="129"/>
      <c r="H21" s="129"/>
      <c r="I21" s="129"/>
      <c r="J21" s="129"/>
      <c r="K21" s="129"/>
      <c r="Q21" t="s">
        <v>466</v>
      </c>
    </row>
    <row r="22" ht="15.5" spans="4:26">
      <c r="D22" s="133" t="s">
        <v>467</v>
      </c>
      <c r="E22" s="133" t="s">
        <v>468</v>
      </c>
      <c r="F22" s="133"/>
      <c r="G22" s="133"/>
      <c r="H22" s="133" t="s">
        <v>469</v>
      </c>
      <c r="I22" s="133"/>
      <c r="Q22" s="144" t="s">
        <v>470</v>
      </c>
      <c r="R22" s="144" t="s">
        <v>471</v>
      </c>
      <c r="S22" s="145" t="s">
        <v>472</v>
      </c>
      <c r="T22" s="145"/>
      <c r="U22" s="145"/>
      <c r="V22" s="145"/>
      <c r="W22" s="145"/>
      <c r="X22" s="145"/>
      <c r="Y22" s="145"/>
      <c r="Z22" s="145"/>
    </row>
    <row r="23" ht="15.5" spans="4:26">
      <c r="D23" s="133"/>
      <c r="E23" s="133"/>
      <c r="F23" s="133"/>
      <c r="G23" s="133"/>
      <c r="H23" s="133"/>
      <c r="I23" s="133"/>
      <c r="L23" t="s">
        <v>237</v>
      </c>
      <c r="Q23" s="144"/>
      <c r="R23" s="144"/>
      <c r="S23" s="145" t="s">
        <v>473</v>
      </c>
      <c r="T23" s="145" t="s">
        <v>289</v>
      </c>
      <c r="U23" s="145" t="s">
        <v>290</v>
      </c>
      <c r="V23" s="145" t="s">
        <v>291</v>
      </c>
      <c r="W23" s="145" t="s">
        <v>292</v>
      </c>
      <c r="X23" s="145" t="s">
        <v>210</v>
      </c>
      <c r="Y23" s="145" t="s">
        <v>474</v>
      </c>
      <c r="Z23" s="145" t="s">
        <v>475</v>
      </c>
    </row>
    <row r="24" ht="15.5" spans="4:26">
      <c r="D24" s="133"/>
      <c r="E24" s="133"/>
      <c r="F24" s="133"/>
      <c r="G24" s="133"/>
      <c r="H24" s="133"/>
      <c r="I24" s="133"/>
      <c r="L24" t="s">
        <v>239</v>
      </c>
      <c r="Q24" s="144" t="s">
        <v>476</v>
      </c>
      <c r="R24" s="146" t="s">
        <v>477</v>
      </c>
      <c r="S24" s="147">
        <v>1211.3</v>
      </c>
      <c r="T24" s="147">
        <v>990.7</v>
      </c>
      <c r="U24" s="147">
        <v>952.4</v>
      </c>
      <c r="V24" s="147">
        <v>961</v>
      </c>
      <c r="W24" s="147">
        <v>958.7</v>
      </c>
      <c r="X24" s="147">
        <v>1030.2</v>
      </c>
      <c r="Y24" s="147">
        <v>586.1</v>
      </c>
      <c r="Z24" s="147">
        <v>775</v>
      </c>
    </row>
    <row r="25" ht="15.5" spans="4:26">
      <c r="D25" s="133" t="s">
        <v>463</v>
      </c>
      <c r="E25" s="134">
        <v>0.849885259424328</v>
      </c>
      <c r="F25" s="133"/>
      <c r="G25" s="133"/>
      <c r="H25" s="133"/>
      <c r="I25" s="134"/>
      <c r="L25" t="s">
        <v>241</v>
      </c>
      <c r="Q25" s="144"/>
      <c r="R25" s="146" t="s">
        <v>478</v>
      </c>
      <c r="S25" s="147">
        <v>1103.7</v>
      </c>
      <c r="T25" s="147">
        <v>913.9</v>
      </c>
      <c r="U25" s="147">
        <v>881.1</v>
      </c>
      <c r="V25" s="147">
        <v>889.8</v>
      </c>
      <c r="W25" s="147">
        <v>886.2</v>
      </c>
      <c r="X25" s="147">
        <v>953.2</v>
      </c>
      <c r="Y25" s="147">
        <v>543.7</v>
      </c>
      <c r="Z25" s="147">
        <v>727.8</v>
      </c>
    </row>
    <row r="26" ht="16" spans="4:26">
      <c r="D26" s="135" t="s">
        <v>464</v>
      </c>
      <c r="E26" s="134">
        <v>0.3112562174477</v>
      </c>
      <c r="F26" s="133"/>
      <c r="G26" s="133"/>
      <c r="H26" s="135" t="s">
        <v>463</v>
      </c>
      <c r="I26" s="134">
        <v>0.0771418690026146</v>
      </c>
      <c r="L26" t="s">
        <v>243</v>
      </c>
      <c r="Q26" s="144"/>
      <c r="R26" s="146" t="s">
        <v>479</v>
      </c>
      <c r="S26" s="147">
        <v>267.3</v>
      </c>
      <c r="T26" s="147">
        <v>202.6</v>
      </c>
      <c r="U26" s="147">
        <v>191.3</v>
      </c>
      <c r="V26" s="147">
        <v>191.5</v>
      </c>
      <c r="W26" s="147">
        <v>185.9</v>
      </c>
      <c r="X26" s="147">
        <v>198.2</v>
      </c>
      <c r="Y26" s="147">
        <v>76.8</v>
      </c>
      <c r="Z26" s="147">
        <v>155.5</v>
      </c>
    </row>
    <row r="27" ht="15.5" spans="4:26">
      <c r="D27" s="133" t="s">
        <v>465</v>
      </c>
      <c r="E27" s="134">
        <v>0.350548191468732</v>
      </c>
      <c r="F27" s="133"/>
      <c r="G27" s="133"/>
      <c r="H27" s="133" t="s">
        <v>464</v>
      </c>
      <c r="I27" s="134">
        <v>0.173447629484096</v>
      </c>
      <c r="Q27" s="144"/>
      <c r="R27" s="146" t="s">
        <v>480</v>
      </c>
      <c r="S27" s="147">
        <v>692.5</v>
      </c>
      <c r="T27" s="147">
        <v>583.8</v>
      </c>
      <c r="U27" s="147">
        <v>556.1</v>
      </c>
      <c r="V27" s="147">
        <v>557.9</v>
      </c>
      <c r="W27" s="147">
        <v>550.5</v>
      </c>
      <c r="X27" s="147">
        <v>594.2</v>
      </c>
      <c r="Y27" s="147">
        <v>409.9</v>
      </c>
      <c r="Z27" s="147">
        <v>477</v>
      </c>
    </row>
    <row r="28" ht="15.5" spans="4:26">
      <c r="D28" s="133" t="s">
        <v>303</v>
      </c>
      <c r="E28" s="134">
        <v>0.0931782486350968</v>
      </c>
      <c r="F28" s="133"/>
      <c r="G28" s="133"/>
      <c r="H28" s="133" t="s">
        <v>465</v>
      </c>
      <c r="I28" s="134">
        <v>0.164771576734476</v>
      </c>
      <c r="Q28" s="144"/>
      <c r="R28" s="146" t="s">
        <v>481</v>
      </c>
      <c r="S28" s="147">
        <v>144</v>
      </c>
      <c r="T28" s="147">
        <v>127.5</v>
      </c>
      <c r="U28" s="147">
        <v>133.7</v>
      </c>
      <c r="V28" s="147">
        <v>140.3</v>
      </c>
      <c r="W28" s="147">
        <v>149.9</v>
      </c>
      <c r="X28" s="147">
        <v>160.8</v>
      </c>
      <c r="Y28" s="147">
        <v>57</v>
      </c>
      <c r="Z28" s="147">
        <v>95.2</v>
      </c>
    </row>
    <row r="29" ht="15.5" spans="4:26">
      <c r="D29" s="133"/>
      <c r="E29" s="133"/>
      <c r="F29" s="133"/>
      <c r="G29" s="133"/>
      <c r="H29" t="s">
        <v>303</v>
      </c>
      <c r="I29">
        <v>0.0271220715202237</v>
      </c>
      <c r="Q29" s="144" t="s">
        <v>347</v>
      </c>
      <c r="R29" s="146" t="s">
        <v>477</v>
      </c>
      <c r="S29" s="147">
        <v>1217.1</v>
      </c>
      <c r="T29" s="147">
        <v>996.4</v>
      </c>
      <c r="U29" s="147">
        <v>958.2</v>
      </c>
      <c r="V29" s="147">
        <v>966.8</v>
      </c>
      <c r="W29" s="147">
        <v>964.4</v>
      </c>
      <c r="X29" s="147">
        <v>1036</v>
      </c>
      <c r="Y29" s="147">
        <v>591.9</v>
      </c>
      <c r="Z29" s="147">
        <v>780.8</v>
      </c>
    </row>
    <row r="30" ht="15.5" spans="4:26">
      <c r="D30" s="133"/>
      <c r="E30" s="133"/>
      <c r="F30" s="133"/>
      <c r="G30" s="133"/>
      <c r="H30" s="133"/>
      <c r="I30" s="133"/>
      <c r="Q30" s="144"/>
      <c r="R30" s="146" t="s">
        <v>478</v>
      </c>
      <c r="S30" s="147">
        <v>1109.8</v>
      </c>
      <c r="T30" s="147">
        <v>920</v>
      </c>
      <c r="U30" s="147">
        <v>887.2</v>
      </c>
      <c r="V30" s="147">
        <v>895.9</v>
      </c>
      <c r="W30" s="147">
        <v>892.3</v>
      </c>
      <c r="X30" s="147">
        <v>959.3</v>
      </c>
      <c r="Y30" s="147">
        <v>549.8</v>
      </c>
      <c r="Z30" s="147">
        <v>733.9</v>
      </c>
    </row>
    <row r="31" ht="15.5" spans="4:26">
      <c r="D31" s="133" t="s">
        <v>482</v>
      </c>
      <c r="E31" s="133"/>
      <c r="F31" s="133"/>
      <c r="G31" s="133"/>
      <c r="H31" s="133" t="s">
        <v>483</v>
      </c>
      <c r="I31" s="133"/>
      <c r="Q31" s="144"/>
      <c r="R31" s="146" t="s">
        <v>479</v>
      </c>
      <c r="S31" s="147">
        <v>280.2</v>
      </c>
      <c r="T31" s="147">
        <v>215.6</v>
      </c>
      <c r="U31" s="147">
        <v>204.2</v>
      </c>
      <c r="V31" s="147">
        <v>204.5</v>
      </c>
      <c r="W31" s="147">
        <v>198.8</v>
      </c>
      <c r="X31" s="147">
        <v>211.1</v>
      </c>
      <c r="Y31" s="147">
        <v>89.8</v>
      </c>
      <c r="Z31" s="147">
        <v>168.5</v>
      </c>
    </row>
    <row r="32" ht="15.5" spans="4:26">
      <c r="D32" s="133"/>
      <c r="E32" s="133"/>
      <c r="F32" s="133"/>
      <c r="G32" s="133"/>
      <c r="H32" s="133"/>
      <c r="I32" s="133"/>
      <c r="Q32" s="144"/>
      <c r="R32" s="146" t="s">
        <v>480</v>
      </c>
      <c r="S32" s="147">
        <v>684.6</v>
      </c>
      <c r="T32" s="147">
        <v>575.9</v>
      </c>
      <c r="U32" s="147">
        <v>548.2</v>
      </c>
      <c r="V32" s="147">
        <v>550</v>
      </c>
      <c r="W32" s="147">
        <v>542.6</v>
      </c>
      <c r="X32" s="147">
        <v>586.3</v>
      </c>
      <c r="Y32" s="147">
        <v>402</v>
      </c>
      <c r="Z32" s="147">
        <v>469.1</v>
      </c>
    </row>
    <row r="33" ht="15.5" spans="4:26">
      <c r="D33" s="133"/>
      <c r="E33" s="133"/>
      <c r="F33" s="133"/>
      <c r="G33" s="133"/>
      <c r="H33" s="133"/>
      <c r="I33" s="133"/>
      <c r="Q33" s="144"/>
      <c r="R33" s="146" t="s">
        <v>481</v>
      </c>
      <c r="S33" s="147">
        <v>145</v>
      </c>
      <c r="T33" s="147">
        <v>128.5</v>
      </c>
      <c r="U33" s="147">
        <v>134.7</v>
      </c>
      <c r="V33" s="147">
        <v>141.3</v>
      </c>
      <c r="W33" s="147">
        <v>150.9</v>
      </c>
      <c r="X33" s="147">
        <v>161.9</v>
      </c>
      <c r="Y33" s="147">
        <v>58</v>
      </c>
      <c r="Z33" s="147">
        <v>96.3</v>
      </c>
    </row>
    <row r="34" ht="15.5" spans="4:26">
      <c r="D34" s="133"/>
      <c r="E34" s="133"/>
      <c r="F34" s="133"/>
      <c r="G34" s="133"/>
      <c r="H34" s="133"/>
      <c r="I34" s="133"/>
      <c r="Q34" s="144" t="s">
        <v>357</v>
      </c>
      <c r="R34" s="146" t="s">
        <v>477</v>
      </c>
      <c r="S34" s="147">
        <v>1222.2</v>
      </c>
      <c r="T34" s="147">
        <v>1001.5</v>
      </c>
      <c r="U34" s="147">
        <v>963.3</v>
      </c>
      <c r="V34" s="147">
        <v>971.9</v>
      </c>
      <c r="W34" s="147">
        <v>969.5</v>
      </c>
      <c r="X34" s="147">
        <v>1041.1</v>
      </c>
      <c r="Y34" s="147">
        <v>597</v>
      </c>
      <c r="Z34" s="147">
        <v>785.8</v>
      </c>
    </row>
    <row r="35" ht="15.5" spans="4:26">
      <c r="D35" s="133" t="s">
        <v>463</v>
      </c>
      <c r="E35" s="134">
        <v>0.0855073856427328</v>
      </c>
      <c r="F35" s="133"/>
      <c r="G35" s="133"/>
      <c r="H35" s="133" t="s">
        <v>463</v>
      </c>
      <c r="I35" s="134">
        <v>0.00754366993411565</v>
      </c>
      <c r="Q35" s="144"/>
      <c r="R35" s="146" t="s">
        <v>478</v>
      </c>
      <c r="S35" s="147">
        <v>1113.9</v>
      </c>
      <c r="T35" s="147">
        <v>924.1</v>
      </c>
      <c r="U35" s="147">
        <v>891.3</v>
      </c>
      <c r="V35" s="147">
        <v>900</v>
      </c>
      <c r="W35" s="147">
        <v>896.4</v>
      </c>
      <c r="X35" s="147">
        <v>963.4</v>
      </c>
      <c r="Y35" s="147">
        <v>553.9</v>
      </c>
      <c r="Z35" s="147">
        <v>738</v>
      </c>
    </row>
    <row r="36" ht="16" spans="4:26">
      <c r="D36" s="135" t="s">
        <v>464</v>
      </c>
      <c r="E36" s="134">
        <v>0.243549068348169</v>
      </c>
      <c r="F36" s="133"/>
      <c r="G36" s="133"/>
      <c r="H36" s="135" t="s">
        <v>464</v>
      </c>
      <c r="I36" s="134">
        <v>0.00964402202282824</v>
      </c>
      <c r="Q36" s="144"/>
      <c r="R36" s="146" t="s">
        <v>479</v>
      </c>
      <c r="S36" s="147">
        <v>301.2</v>
      </c>
      <c r="T36" s="147">
        <v>236.6</v>
      </c>
      <c r="U36" s="147">
        <v>225.2</v>
      </c>
      <c r="V36" s="147">
        <v>225.5</v>
      </c>
      <c r="W36" s="147">
        <v>219.8</v>
      </c>
      <c r="X36" s="147">
        <v>232.2</v>
      </c>
      <c r="Y36" s="147">
        <v>110.8</v>
      </c>
      <c r="Z36" s="147">
        <v>189.5</v>
      </c>
    </row>
    <row r="37" ht="15.5" spans="4:26">
      <c r="D37" s="133" t="s">
        <v>465</v>
      </c>
      <c r="E37" s="134">
        <v>0.0737387019806453</v>
      </c>
      <c r="F37" s="133"/>
      <c r="G37" s="133"/>
      <c r="H37" s="133" t="s">
        <v>465</v>
      </c>
      <c r="I37" s="134">
        <v>0.0033822506091063</v>
      </c>
      <c r="Q37" s="144"/>
      <c r="R37" s="146" t="s">
        <v>480</v>
      </c>
      <c r="S37" s="147">
        <v>668.4</v>
      </c>
      <c r="T37" s="147">
        <v>559.8</v>
      </c>
      <c r="U37" s="147">
        <v>532.1</v>
      </c>
      <c r="V37" s="147">
        <v>533.9</v>
      </c>
      <c r="W37" s="147">
        <v>526.4</v>
      </c>
      <c r="X37" s="147">
        <v>570.2</v>
      </c>
      <c r="Y37" s="147">
        <v>385.8</v>
      </c>
      <c r="Z37" s="147">
        <v>453</v>
      </c>
    </row>
    <row r="38" ht="15.5" spans="4:26">
      <c r="D38" s="133" t="s">
        <v>303</v>
      </c>
      <c r="E38" s="134">
        <v>0.0493834170867725</v>
      </c>
      <c r="F38" s="133"/>
      <c r="G38" s="133"/>
      <c r="H38" s="133" t="s">
        <v>303</v>
      </c>
      <c r="I38" s="134">
        <v>0.00443422496396983</v>
      </c>
      <c r="Q38" s="144"/>
      <c r="R38" s="146" t="s">
        <v>481</v>
      </c>
      <c r="S38" s="147">
        <v>144.2</v>
      </c>
      <c r="T38" s="147">
        <v>127.7</v>
      </c>
      <c r="U38" s="147">
        <v>134</v>
      </c>
      <c r="V38" s="147">
        <v>140.6</v>
      </c>
      <c r="W38" s="147">
        <v>150.2</v>
      </c>
      <c r="X38" s="147">
        <v>161.1</v>
      </c>
      <c r="Y38" s="147">
        <v>57.2</v>
      </c>
      <c r="Z38" s="147">
        <v>95.5</v>
      </c>
    </row>
    <row r="39" ht="15.5" spans="4:26">
      <c r="D39" s="133"/>
      <c r="E39" s="133"/>
      <c r="F39" s="133"/>
      <c r="G39" s="133"/>
      <c r="H39" s="133"/>
      <c r="I39" s="133"/>
      <c r="Q39" s="145"/>
      <c r="R39" s="145"/>
      <c r="S39" s="147"/>
      <c r="T39" s="147"/>
      <c r="U39" s="147"/>
      <c r="V39" s="147"/>
      <c r="W39" s="147"/>
      <c r="X39" s="147"/>
      <c r="Y39" s="147"/>
      <c r="Z39" s="147"/>
    </row>
    <row r="40" ht="15.5" spans="4:26">
      <c r="D40" s="133"/>
      <c r="E40" s="133"/>
      <c r="F40" s="133"/>
      <c r="G40" s="133"/>
      <c r="H40" s="133"/>
      <c r="I40" s="133"/>
      <c r="Q40" s="145" t="s">
        <v>484</v>
      </c>
      <c r="R40" s="145"/>
      <c r="S40" s="145"/>
      <c r="T40" s="145"/>
      <c r="U40" s="145"/>
      <c r="V40" s="145"/>
      <c r="W40" s="145"/>
      <c r="X40" s="145"/>
      <c r="Y40" s="145"/>
      <c r="Z40" s="145"/>
    </row>
    <row r="41" ht="15.5" spans="4:9">
      <c r="D41" s="133" t="s">
        <v>485</v>
      </c>
      <c r="E41" s="133"/>
      <c r="F41" s="133"/>
      <c r="G41" s="133"/>
      <c r="H41" s="133" t="s">
        <v>486</v>
      </c>
      <c r="I41" s="133"/>
    </row>
    <row r="42" ht="15.5" spans="4:9">
      <c r="D42" s="133"/>
      <c r="E42" s="133"/>
      <c r="F42" s="133"/>
      <c r="G42" s="133"/>
      <c r="H42" s="133"/>
      <c r="I42" s="133"/>
    </row>
    <row r="43" ht="15.5" spans="4:26">
      <c r="D43" s="133"/>
      <c r="E43" s="133"/>
      <c r="F43" s="133"/>
      <c r="G43" s="133"/>
      <c r="H43" s="133"/>
      <c r="I43" s="133"/>
      <c r="S43" s="145" t="s">
        <v>473</v>
      </c>
      <c r="T43" s="145" t="s">
        <v>289</v>
      </c>
      <c r="U43" s="145" t="s">
        <v>290</v>
      </c>
      <c r="V43" s="145" t="s">
        <v>291</v>
      </c>
      <c r="W43" s="145" t="s">
        <v>292</v>
      </c>
      <c r="X43" s="145" t="s">
        <v>210</v>
      </c>
      <c r="Y43" s="145" t="s">
        <v>474</v>
      </c>
      <c r="Z43" s="145" t="s">
        <v>475</v>
      </c>
    </row>
    <row r="44" ht="15.5" spans="4:26">
      <c r="D44" s="133"/>
      <c r="E44" s="133"/>
      <c r="F44" s="133"/>
      <c r="G44" s="133"/>
      <c r="H44" s="133"/>
      <c r="I44" s="133"/>
      <c r="Q44" s="97" t="s">
        <v>476</v>
      </c>
      <c r="R44" s="148" t="s">
        <v>303</v>
      </c>
      <c r="S44" s="149">
        <f>S24-S25</f>
        <v>107.6</v>
      </c>
      <c r="T44" s="150">
        <f t="shared" ref="T44:Z44" si="0">T24-T25</f>
        <v>76.8000000000001</v>
      </c>
      <c r="U44" s="150">
        <f t="shared" si="0"/>
        <v>71.3</v>
      </c>
      <c r="V44" s="150">
        <f t="shared" si="0"/>
        <v>71.2</v>
      </c>
      <c r="W44" s="150">
        <f t="shared" si="0"/>
        <v>72.5</v>
      </c>
      <c r="X44" s="150">
        <f t="shared" si="0"/>
        <v>77</v>
      </c>
      <c r="Y44" s="150">
        <f t="shared" si="0"/>
        <v>42.4</v>
      </c>
      <c r="Z44" s="150">
        <f t="shared" si="0"/>
        <v>47.2</v>
      </c>
    </row>
    <row r="45" ht="15.5" spans="4:26">
      <c r="D45" s="133" t="s">
        <v>463</v>
      </c>
      <c r="E45" s="134">
        <v>0.000928132911392405</v>
      </c>
      <c r="F45" s="133"/>
      <c r="G45" s="133"/>
      <c r="H45" s="133" t="s">
        <v>463</v>
      </c>
      <c r="I45" s="134">
        <v>0.0163858049041521</v>
      </c>
      <c r="Q45" s="97"/>
      <c r="R45" s="151" t="s">
        <v>479</v>
      </c>
      <c r="S45" s="149">
        <f t="shared" ref="S45:S51" si="1">S26</f>
        <v>267.3</v>
      </c>
      <c r="T45" s="150">
        <f t="shared" ref="T45:Z45" si="2">T26</f>
        <v>202.6</v>
      </c>
      <c r="U45" s="150">
        <f t="shared" si="2"/>
        <v>191.3</v>
      </c>
      <c r="V45" s="150">
        <f t="shared" si="2"/>
        <v>191.5</v>
      </c>
      <c r="W45" s="150">
        <f t="shared" si="2"/>
        <v>185.9</v>
      </c>
      <c r="X45" s="150">
        <f t="shared" si="2"/>
        <v>198.2</v>
      </c>
      <c r="Y45" s="150">
        <f t="shared" si="2"/>
        <v>76.8</v>
      </c>
      <c r="Z45" s="150">
        <f t="shared" si="2"/>
        <v>155.5</v>
      </c>
    </row>
    <row r="46" ht="16" spans="4:26">
      <c r="D46" s="135" t="s">
        <v>464</v>
      </c>
      <c r="E46" s="134">
        <v>0.00161588607594937</v>
      </c>
      <c r="F46" s="133"/>
      <c r="G46" s="133"/>
      <c r="H46" s="135" t="s">
        <v>464</v>
      </c>
      <c r="I46" s="134">
        <v>0.0223155838561589</v>
      </c>
      <c r="Q46" s="97"/>
      <c r="R46" s="151" t="s">
        <v>480</v>
      </c>
      <c r="S46" s="149">
        <f t="shared" si="1"/>
        <v>692.5</v>
      </c>
      <c r="T46" s="150">
        <f t="shared" ref="T46:Z46" si="3">T27</f>
        <v>583.8</v>
      </c>
      <c r="U46" s="150">
        <f t="shared" si="3"/>
        <v>556.1</v>
      </c>
      <c r="V46" s="150">
        <f t="shared" si="3"/>
        <v>557.9</v>
      </c>
      <c r="W46" s="150">
        <f t="shared" si="3"/>
        <v>550.5</v>
      </c>
      <c r="X46" s="150">
        <f t="shared" si="3"/>
        <v>594.2</v>
      </c>
      <c r="Y46" s="150">
        <f t="shared" si="3"/>
        <v>409.9</v>
      </c>
      <c r="Z46" s="150">
        <f t="shared" si="3"/>
        <v>477</v>
      </c>
    </row>
    <row r="47" ht="15.5" spans="4:26">
      <c r="D47" s="133" t="s">
        <v>465</v>
      </c>
      <c r="E47" s="134">
        <v>0.00227025316455696</v>
      </c>
      <c r="F47" s="133"/>
      <c r="G47" s="133"/>
      <c r="H47" s="133" t="s">
        <v>465</v>
      </c>
      <c r="I47" s="134">
        <v>0.00895182580411215</v>
      </c>
      <c r="Q47" s="97"/>
      <c r="R47" s="151" t="s">
        <v>481</v>
      </c>
      <c r="S47" s="149">
        <f t="shared" si="1"/>
        <v>144</v>
      </c>
      <c r="T47" s="150">
        <f t="shared" ref="T47:Z47" si="4">T28</f>
        <v>127.5</v>
      </c>
      <c r="U47" s="150">
        <f t="shared" si="4"/>
        <v>133.7</v>
      </c>
      <c r="V47" s="150">
        <f t="shared" si="4"/>
        <v>140.3</v>
      </c>
      <c r="W47" s="150">
        <f t="shared" si="4"/>
        <v>149.9</v>
      </c>
      <c r="X47" s="150">
        <f t="shared" si="4"/>
        <v>160.8</v>
      </c>
      <c r="Y47" s="150">
        <f t="shared" si="4"/>
        <v>57</v>
      </c>
      <c r="Z47" s="150">
        <f t="shared" si="4"/>
        <v>95.2</v>
      </c>
    </row>
    <row r="48" ht="15.5" spans="4:26">
      <c r="D48" s="133" t="s">
        <v>303</v>
      </c>
      <c r="E48" s="134">
        <v>0.000520822784810127</v>
      </c>
      <c r="F48" s="133"/>
      <c r="G48" s="133"/>
      <c r="H48" s="133" t="s">
        <v>303</v>
      </c>
      <c r="I48" s="134">
        <v>0.011493567371473</v>
      </c>
      <c r="Q48" s="97" t="s">
        <v>347</v>
      </c>
      <c r="R48" s="148" t="s">
        <v>303</v>
      </c>
      <c r="S48" s="149">
        <f>S29-S30</f>
        <v>107.3</v>
      </c>
      <c r="T48" s="150">
        <f t="shared" ref="T48:Z48" si="5">T29-T30</f>
        <v>76.4</v>
      </c>
      <c r="U48" s="150">
        <f t="shared" si="5"/>
        <v>71</v>
      </c>
      <c r="V48" s="150">
        <f t="shared" si="5"/>
        <v>70.9</v>
      </c>
      <c r="W48" s="150">
        <f t="shared" si="5"/>
        <v>72.1</v>
      </c>
      <c r="X48" s="150">
        <f t="shared" si="5"/>
        <v>76.7</v>
      </c>
      <c r="Y48" s="150">
        <f t="shared" si="5"/>
        <v>42.1</v>
      </c>
      <c r="Z48" s="150">
        <f t="shared" si="5"/>
        <v>46.9</v>
      </c>
    </row>
    <row r="49" ht="15.5" spans="4:26">
      <c r="D49" s="133"/>
      <c r="E49" s="133"/>
      <c r="F49" s="133"/>
      <c r="G49" s="133"/>
      <c r="H49" s="133"/>
      <c r="I49" s="133"/>
      <c r="Q49" s="97"/>
      <c r="R49" s="151" t="s">
        <v>479</v>
      </c>
      <c r="S49" s="149">
        <f t="shared" ref="S49:S55" si="6">S31</f>
        <v>280.2</v>
      </c>
      <c r="T49" s="150">
        <f t="shared" ref="T49:Z49" si="7">T31</f>
        <v>215.6</v>
      </c>
      <c r="U49" s="150">
        <f t="shared" si="7"/>
        <v>204.2</v>
      </c>
      <c r="V49" s="150">
        <f t="shared" si="7"/>
        <v>204.5</v>
      </c>
      <c r="W49" s="150">
        <f t="shared" si="7"/>
        <v>198.8</v>
      </c>
      <c r="X49" s="150">
        <f t="shared" si="7"/>
        <v>211.1</v>
      </c>
      <c r="Y49" s="150">
        <f t="shared" si="7"/>
        <v>89.8</v>
      </c>
      <c r="Z49" s="150">
        <f t="shared" si="7"/>
        <v>168.5</v>
      </c>
    </row>
    <row r="50" ht="15.5" spans="4:26">
      <c r="D50" s="133"/>
      <c r="E50" s="133"/>
      <c r="F50" s="133"/>
      <c r="G50" s="133"/>
      <c r="H50" s="133"/>
      <c r="I50" s="133"/>
      <c r="Q50" s="97"/>
      <c r="R50" s="151" t="s">
        <v>480</v>
      </c>
      <c r="S50" s="149">
        <f t="shared" si="6"/>
        <v>684.6</v>
      </c>
      <c r="T50" s="150">
        <f t="shared" ref="T50:Z50" si="8">T32</f>
        <v>575.9</v>
      </c>
      <c r="U50" s="150">
        <f t="shared" si="8"/>
        <v>548.2</v>
      </c>
      <c r="V50" s="150">
        <f t="shared" si="8"/>
        <v>550</v>
      </c>
      <c r="W50" s="150">
        <f t="shared" si="8"/>
        <v>542.6</v>
      </c>
      <c r="X50" s="150">
        <f t="shared" si="8"/>
        <v>586.3</v>
      </c>
      <c r="Y50" s="150">
        <f t="shared" si="8"/>
        <v>402</v>
      </c>
      <c r="Z50" s="150">
        <f t="shared" si="8"/>
        <v>469.1</v>
      </c>
    </row>
    <row r="51" ht="15.5" spans="4:26">
      <c r="D51" s="133" t="s">
        <v>487</v>
      </c>
      <c r="E51" s="133"/>
      <c r="F51" s="133"/>
      <c r="G51" s="133"/>
      <c r="H51" s="133"/>
      <c r="I51" s="133"/>
      <c r="Q51" s="97"/>
      <c r="R51" s="151" t="s">
        <v>481</v>
      </c>
      <c r="S51" s="149">
        <f t="shared" si="6"/>
        <v>145</v>
      </c>
      <c r="T51" s="150">
        <f t="shared" ref="T51:Z51" si="9">T33</f>
        <v>128.5</v>
      </c>
      <c r="U51" s="150">
        <f t="shared" si="9"/>
        <v>134.7</v>
      </c>
      <c r="V51" s="150">
        <f t="shared" si="9"/>
        <v>141.3</v>
      </c>
      <c r="W51" s="150">
        <f t="shared" si="9"/>
        <v>150.9</v>
      </c>
      <c r="X51" s="150">
        <f t="shared" si="9"/>
        <v>161.9</v>
      </c>
      <c r="Y51" s="150">
        <f t="shared" si="9"/>
        <v>58</v>
      </c>
      <c r="Z51" s="150">
        <f t="shared" si="9"/>
        <v>96.3</v>
      </c>
    </row>
    <row r="52" ht="15.5" spans="4:26">
      <c r="D52" s="133"/>
      <c r="E52" s="133"/>
      <c r="F52" s="133"/>
      <c r="G52" s="133"/>
      <c r="H52" s="133"/>
      <c r="I52" s="133"/>
      <c r="Q52" s="97" t="s">
        <v>357</v>
      </c>
      <c r="R52" s="148" t="s">
        <v>303</v>
      </c>
      <c r="S52" s="149">
        <f>S34-S35</f>
        <v>108.3</v>
      </c>
      <c r="T52" s="150">
        <f t="shared" ref="T52:Z52" si="10">T34-T35</f>
        <v>77.4</v>
      </c>
      <c r="U52" s="150">
        <f t="shared" si="10"/>
        <v>72</v>
      </c>
      <c r="V52" s="150">
        <f t="shared" si="10"/>
        <v>71.9</v>
      </c>
      <c r="W52" s="150">
        <f t="shared" si="10"/>
        <v>73.1</v>
      </c>
      <c r="X52" s="150">
        <f t="shared" si="10"/>
        <v>77.6999999999999</v>
      </c>
      <c r="Y52" s="150">
        <f t="shared" si="10"/>
        <v>43.1</v>
      </c>
      <c r="Z52" s="150">
        <f t="shared" si="10"/>
        <v>47.8</v>
      </c>
    </row>
    <row r="53" ht="15.5" spans="4:26">
      <c r="D53" s="133"/>
      <c r="E53" s="133"/>
      <c r="F53" s="133"/>
      <c r="G53" s="133"/>
      <c r="H53" s="133"/>
      <c r="I53" s="133"/>
      <c r="Q53" s="97"/>
      <c r="R53" s="151" t="s">
        <v>479</v>
      </c>
      <c r="S53" s="149">
        <f>S36</f>
        <v>301.2</v>
      </c>
      <c r="T53" s="150">
        <f t="shared" ref="T53:Z53" si="11">T36</f>
        <v>236.6</v>
      </c>
      <c r="U53" s="150">
        <f t="shared" si="11"/>
        <v>225.2</v>
      </c>
      <c r="V53" s="150">
        <f t="shared" si="11"/>
        <v>225.5</v>
      </c>
      <c r="W53" s="150">
        <f t="shared" si="11"/>
        <v>219.8</v>
      </c>
      <c r="X53" s="150">
        <f t="shared" si="11"/>
        <v>232.2</v>
      </c>
      <c r="Y53" s="150">
        <f t="shared" si="11"/>
        <v>110.8</v>
      </c>
      <c r="Z53" s="150">
        <f t="shared" si="11"/>
        <v>189.5</v>
      </c>
    </row>
    <row r="54" ht="15.5" spans="4:26">
      <c r="D54" s="133"/>
      <c r="E54" s="133"/>
      <c r="F54" s="133"/>
      <c r="G54" s="133"/>
      <c r="H54" s="133"/>
      <c r="I54" s="133"/>
      <c r="Q54" s="97"/>
      <c r="R54" s="151" t="s">
        <v>480</v>
      </c>
      <c r="S54" s="149">
        <f>S37</f>
        <v>668.4</v>
      </c>
      <c r="T54" s="150">
        <f t="shared" ref="T54:Z54" si="12">T37</f>
        <v>559.8</v>
      </c>
      <c r="U54" s="150">
        <f t="shared" si="12"/>
        <v>532.1</v>
      </c>
      <c r="V54" s="150">
        <f t="shared" si="12"/>
        <v>533.9</v>
      </c>
      <c r="W54" s="150">
        <f t="shared" si="12"/>
        <v>526.4</v>
      </c>
      <c r="X54" s="150">
        <f t="shared" si="12"/>
        <v>570.2</v>
      </c>
      <c r="Y54" s="150">
        <f t="shared" si="12"/>
        <v>385.8</v>
      </c>
      <c r="Z54" s="150">
        <f t="shared" si="12"/>
        <v>453</v>
      </c>
    </row>
    <row r="55" ht="15.5" spans="4:26">
      <c r="D55" s="133" t="s">
        <v>463</v>
      </c>
      <c r="E55" s="134">
        <v>0.012897375</v>
      </c>
      <c r="F55" s="133"/>
      <c r="G55" s="133"/>
      <c r="H55" s="133"/>
      <c r="I55" s="133"/>
      <c r="Q55" s="97"/>
      <c r="R55" s="151" t="s">
        <v>481</v>
      </c>
      <c r="S55" s="149">
        <f>S38</f>
        <v>144.2</v>
      </c>
      <c r="T55" s="150">
        <f t="shared" ref="T55:Z55" si="13">T38</f>
        <v>127.7</v>
      </c>
      <c r="U55" s="150">
        <f t="shared" si="13"/>
        <v>134</v>
      </c>
      <c r="V55" s="150">
        <f t="shared" si="13"/>
        <v>140.6</v>
      </c>
      <c r="W55" s="150">
        <f t="shared" si="13"/>
        <v>150.2</v>
      </c>
      <c r="X55" s="150">
        <f t="shared" si="13"/>
        <v>161.1</v>
      </c>
      <c r="Y55" s="150">
        <f t="shared" si="13"/>
        <v>57.2</v>
      </c>
      <c r="Z55" s="150">
        <f t="shared" si="13"/>
        <v>95.5</v>
      </c>
    </row>
    <row r="56" ht="16" spans="4:9">
      <c r="D56" s="135" t="s">
        <v>464</v>
      </c>
      <c r="E56" s="134">
        <v>0.040563695</v>
      </c>
      <c r="F56" s="133"/>
      <c r="G56" s="133"/>
      <c r="H56" s="133"/>
      <c r="I56" s="133"/>
    </row>
    <row r="57" ht="15.5" spans="4:9">
      <c r="D57" s="133" t="s">
        <v>465</v>
      </c>
      <c r="E57" s="134">
        <v>0.03346882</v>
      </c>
      <c r="F57" s="133"/>
      <c r="G57" s="133"/>
      <c r="H57" s="133"/>
      <c r="I57" s="133"/>
    </row>
    <row r="58" ht="15.5" spans="4:26">
      <c r="D58" s="133" t="s">
        <v>303</v>
      </c>
      <c r="E58" s="134">
        <v>0.004364535</v>
      </c>
      <c r="F58" s="133"/>
      <c r="G58" s="133"/>
      <c r="H58" s="133"/>
      <c r="I58" s="133"/>
      <c r="Q58" s="97" t="s">
        <v>488</v>
      </c>
      <c r="R58" s="148" t="s">
        <v>303</v>
      </c>
      <c r="S58" s="126">
        <f>AVERAGE(S44,S48,S52)</f>
        <v>107.733333333333</v>
      </c>
      <c r="T58">
        <f t="shared" ref="T58:Z58" si="14">AVERAGE(T44,T48,T52)</f>
        <v>76.8666666666667</v>
      </c>
      <c r="U58">
        <f t="shared" si="14"/>
        <v>71.4333333333333</v>
      </c>
      <c r="V58">
        <f t="shared" si="14"/>
        <v>71.3333333333333</v>
      </c>
      <c r="W58">
        <f t="shared" si="14"/>
        <v>72.5666666666667</v>
      </c>
      <c r="X58">
        <f t="shared" si="14"/>
        <v>77.1333333333333</v>
      </c>
      <c r="Y58">
        <f t="shared" si="14"/>
        <v>42.5333333333333</v>
      </c>
      <c r="Z58">
        <f t="shared" si="14"/>
        <v>47.3</v>
      </c>
    </row>
    <row r="59" ht="15.5" spans="17:26">
      <c r="Q59" s="97"/>
      <c r="R59" s="151" t="s">
        <v>479</v>
      </c>
      <c r="S59" s="126">
        <f>AVERAGE(S45,S49,S53)</f>
        <v>282.9</v>
      </c>
      <c r="T59">
        <f t="shared" ref="T59:Z59" si="15">AVERAGE(T45,T49,T53)</f>
        <v>218.266666666667</v>
      </c>
      <c r="U59">
        <f t="shared" si="15"/>
        <v>206.9</v>
      </c>
      <c r="V59">
        <f t="shared" si="15"/>
        <v>207.166666666667</v>
      </c>
      <c r="W59">
        <f t="shared" si="15"/>
        <v>201.5</v>
      </c>
      <c r="X59">
        <f t="shared" si="15"/>
        <v>213.833333333333</v>
      </c>
      <c r="Y59">
        <f t="shared" si="15"/>
        <v>92.4666666666667</v>
      </c>
      <c r="Z59">
        <f t="shared" si="15"/>
        <v>171.166666666667</v>
      </c>
    </row>
    <row r="60" ht="15.5" spans="17:26">
      <c r="Q60" s="97"/>
      <c r="R60" s="151" t="s">
        <v>480</v>
      </c>
      <c r="S60" s="126">
        <f>AVERAGE(S46,S50,S54)</f>
        <v>681.833333333333</v>
      </c>
      <c r="T60">
        <f t="shared" ref="T60:Z60" si="16">AVERAGE(T46,T50,T54)</f>
        <v>573.166666666667</v>
      </c>
      <c r="U60">
        <f t="shared" si="16"/>
        <v>545.466666666667</v>
      </c>
      <c r="V60">
        <f t="shared" si="16"/>
        <v>547.266666666667</v>
      </c>
      <c r="W60">
        <f t="shared" si="16"/>
        <v>539.833333333333</v>
      </c>
      <c r="X60">
        <f t="shared" si="16"/>
        <v>583.566666666667</v>
      </c>
      <c r="Y60">
        <f t="shared" si="16"/>
        <v>399.233333333333</v>
      </c>
      <c r="Z60">
        <f t="shared" si="16"/>
        <v>466.366666666667</v>
      </c>
    </row>
    <row r="61" ht="15.5" spans="17:26">
      <c r="Q61" s="97"/>
      <c r="R61" s="151" t="s">
        <v>481</v>
      </c>
      <c r="S61" s="126">
        <f>AVERAGE(S47,S51,S55)</f>
        <v>144.4</v>
      </c>
      <c r="T61">
        <f t="shared" ref="T61:Z61" si="17">AVERAGE(T47,T51,T55)</f>
        <v>127.9</v>
      </c>
      <c r="U61">
        <f t="shared" si="17"/>
        <v>134.133333333333</v>
      </c>
      <c r="V61">
        <f t="shared" si="17"/>
        <v>140.733333333333</v>
      </c>
      <c r="W61">
        <f t="shared" si="17"/>
        <v>150.333333333333</v>
      </c>
      <c r="X61">
        <f t="shared" si="17"/>
        <v>161.266666666667</v>
      </c>
      <c r="Y61">
        <f t="shared" si="17"/>
        <v>57.4</v>
      </c>
      <c r="Z61">
        <f t="shared" si="17"/>
        <v>95.6666666666667</v>
      </c>
    </row>
    <row r="67" ht="15.5" spans="4:30">
      <c r="D67" s="153"/>
      <c r="E67" s="153" t="s">
        <v>489</v>
      </c>
      <c r="F67" s="153"/>
      <c r="G67" s="154"/>
      <c r="H67" s="153"/>
      <c r="I67" s="153" t="s">
        <v>489</v>
      </c>
      <c r="J67" s="153"/>
      <c r="K67" s="154"/>
      <c r="L67" s="153"/>
      <c r="M67" s="153" t="s">
        <v>489</v>
      </c>
      <c r="N67" s="153"/>
      <c r="O67" s="154"/>
      <c r="P67" s="153"/>
      <c r="Q67" s="153" t="s">
        <v>489</v>
      </c>
      <c r="R67" s="153"/>
      <c r="S67" s="154"/>
      <c r="T67" s="153"/>
      <c r="U67" s="153" t="s">
        <v>489</v>
      </c>
      <c r="V67" s="153"/>
      <c r="W67" s="154"/>
      <c r="X67" s="153"/>
      <c r="Y67" s="153" t="s">
        <v>489</v>
      </c>
      <c r="Z67" s="153"/>
      <c r="AA67" s="154"/>
      <c r="AB67" s="153"/>
      <c r="AC67" s="153" t="s">
        <v>489</v>
      </c>
      <c r="AD67" s="153"/>
    </row>
    <row r="68" ht="15.5" spans="4:30">
      <c r="D68" s="153" t="s">
        <v>79</v>
      </c>
      <c r="E68" s="153" t="s">
        <v>254</v>
      </c>
      <c r="F68" s="153">
        <v>2019</v>
      </c>
      <c r="G68" s="154"/>
      <c r="H68" s="153" t="s">
        <v>79</v>
      </c>
      <c r="I68" s="153" t="s">
        <v>254</v>
      </c>
      <c r="J68" s="153">
        <v>2019</v>
      </c>
      <c r="K68" s="154"/>
      <c r="L68" s="153" t="s">
        <v>79</v>
      </c>
      <c r="M68" s="153" t="s">
        <v>254</v>
      </c>
      <c r="N68" s="153">
        <v>2019</v>
      </c>
      <c r="O68" s="154"/>
      <c r="P68" s="153" t="s">
        <v>79</v>
      </c>
      <c r="Q68" s="153" t="s">
        <v>254</v>
      </c>
      <c r="R68" s="153">
        <v>2019</v>
      </c>
      <c r="S68" s="154"/>
      <c r="T68" s="153" t="s">
        <v>79</v>
      </c>
      <c r="U68" s="153" t="s">
        <v>254</v>
      </c>
      <c r="V68" s="153">
        <v>2019</v>
      </c>
      <c r="W68" s="154"/>
      <c r="X68" s="153" t="s">
        <v>79</v>
      </c>
      <c r="Y68" s="153" t="s">
        <v>254</v>
      </c>
      <c r="Z68" s="153">
        <v>2019</v>
      </c>
      <c r="AA68" s="154"/>
      <c r="AB68" s="153" t="s">
        <v>79</v>
      </c>
      <c r="AC68" s="153" t="s">
        <v>254</v>
      </c>
      <c r="AD68" s="153">
        <v>2019</v>
      </c>
    </row>
    <row r="69" ht="15.5" spans="4:30">
      <c r="D69" s="154" t="s">
        <v>322</v>
      </c>
      <c r="E69" s="155" t="s">
        <v>464</v>
      </c>
      <c r="F69" s="154">
        <v>0.00359735099337748</v>
      </c>
      <c r="G69" s="154"/>
      <c r="H69" s="154" t="s">
        <v>323</v>
      </c>
      <c r="I69" s="155" t="s">
        <v>464</v>
      </c>
      <c r="J69" s="154">
        <v>0.00370884353741497</v>
      </c>
      <c r="K69" s="154"/>
      <c r="L69" s="154" t="s">
        <v>324</v>
      </c>
      <c r="M69" s="155" t="s">
        <v>464</v>
      </c>
      <c r="N69" s="154">
        <v>0.00392167832167832</v>
      </c>
      <c r="O69" s="154"/>
      <c r="P69" s="154" t="s">
        <v>325</v>
      </c>
      <c r="Q69" s="155" t="s">
        <v>464</v>
      </c>
      <c r="R69" s="154">
        <v>0.00403971631205674</v>
      </c>
      <c r="S69" s="154"/>
      <c r="T69" s="154" t="s">
        <v>321</v>
      </c>
      <c r="U69" s="155" t="s">
        <v>464</v>
      </c>
      <c r="V69" s="154">
        <v>0.00413900709219858</v>
      </c>
      <c r="W69" s="154"/>
      <c r="X69" s="154" t="s">
        <v>320</v>
      </c>
      <c r="Y69" s="155" t="s">
        <v>464</v>
      </c>
      <c r="Z69" s="154">
        <v>0.00373591549295775</v>
      </c>
      <c r="AA69" s="154"/>
      <c r="AB69" s="154" t="s">
        <v>319</v>
      </c>
      <c r="AC69" s="155" t="s">
        <v>464</v>
      </c>
      <c r="AD69" s="154">
        <v>0.00525925925925926</v>
      </c>
    </row>
    <row r="70" ht="15.5" spans="4:30">
      <c r="D70" s="154"/>
      <c r="E70" s="155" t="s">
        <v>465</v>
      </c>
      <c r="F70" s="154">
        <v>0.00158940397350993</v>
      </c>
      <c r="G70" s="154"/>
      <c r="H70" s="154"/>
      <c r="I70" s="155" t="s">
        <v>465</v>
      </c>
      <c r="J70" s="154">
        <v>0.00163265306122449</v>
      </c>
      <c r="K70" s="154"/>
      <c r="L70" s="154"/>
      <c r="M70" s="155" t="s">
        <v>465</v>
      </c>
      <c r="N70" s="154">
        <v>0.00167832167832168</v>
      </c>
      <c r="O70" s="154"/>
      <c r="P70" s="154"/>
      <c r="Q70" s="155" t="s">
        <v>465</v>
      </c>
      <c r="R70" s="154">
        <v>0.00170212765957447</v>
      </c>
      <c r="S70" s="154"/>
      <c r="T70" s="154"/>
      <c r="U70" s="155" t="s">
        <v>465</v>
      </c>
      <c r="V70" s="154">
        <v>0.00170212765957447</v>
      </c>
      <c r="W70" s="154"/>
      <c r="X70" s="154"/>
      <c r="Y70" s="155" t="s">
        <v>465</v>
      </c>
      <c r="Z70" s="154">
        <v>0.00211267605633803</v>
      </c>
      <c r="AA70" s="154"/>
      <c r="AB70" s="154"/>
      <c r="AC70" s="155" t="s">
        <v>465</v>
      </c>
      <c r="AD70" s="154">
        <v>0.00296296296296296</v>
      </c>
    </row>
    <row r="71" ht="15.5" spans="4:30">
      <c r="D71" s="154"/>
      <c r="E71" s="155" t="s">
        <v>303</v>
      </c>
      <c r="F71" s="154">
        <v>0.00115761589403974</v>
      </c>
      <c r="G71" s="154"/>
      <c r="H71" s="154"/>
      <c r="I71" s="155" t="s">
        <v>303</v>
      </c>
      <c r="J71" s="154">
        <v>0.0011891156462585</v>
      </c>
      <c r="K71" s="154"/>
      <c r="L71" s="154"/>
      <c r="M71" s="155" t="s">
        <v>303</v>
      </c>
      <c r="N71" s="154">
        <v>0.00123916083916084</v>
      </c>
      <c r="O71" s="154"/>
      <c r="P71" s="154"/>
      <c r="Q71" s="155" t="s">
        <v>303</v>
      </c>
      <c r="R71" s="154">
        <v>0.00126524822695035</v>
      </c>
      <c r="S71" s="154"/>
      <c r="T71" s="154"/>
      <c r="U71" s="155" t="s">
        <v>303</v>
      </c>
      <c r="V71" s="154">
        <v>0.00127943262411348</v>
      </c>
      <c r="W71" s="154"/>
      <c r="X71" s="154"/>
      <c r="Y71" s="155" t="s">
        <v>303</v>
      </c>
      <c r="Z71" s="154">
        <v>0.00138732394366197</v>
      </c>
      <c r="AA71" s="154"/>
      <c r="AB71" s="154"/>
      <c r="AC71" s="155" t="s">
        <v>303</v>
      </c>
      <c r="AD71" s="154">
        <v>0.00197530864197531</v>
      </c>
    </row>
    <row r="72" ht="15.5" spans="4:30">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row>
    <row r="73" ht="15.5" spans="4:30">
      <c r="D73" s="153"/>
      <c r="E73" s="153" t="s">
        <v>489</v>
      </c>
      <c r="F73" s="153"/>
      <c r="G73" s="154"/>
      <c r="H73" s="153"/>
      <c r="I73" s="153" t="s">
        <v>489</v>
      </c>
      <c r="J73" s="153"/>
      <c r="K73" s="154"/>
      <c r="L73" s="153"/>
      <c r="M73" s="153" t="s">
        <v>489</v>
      </c>
      <c r="N73" s="153"/>
      <c r="O73" s="154"/>
      <c r="P73" s="153"/>
      <c r="Q73" s="153" t="s">
        <v>489</v>
      </c>
      <c r="R73" s="153"/>
      <c r="S73" s="154"/>
      <c r="T73" s="153"/>
      <c r="U73" s="153" t="s">
        <v>489</v>
      </c>
      <c r="V73" s="153"/>
      <c r="W73" s="154"/>
      <c r="X73" s="153"/>
      <c r="Y73" s="153" t="s">
        <v>489</v>
      </c>
      <c r="Z73" s="153"/>
      <c r="AA73" s="154"/>
      <c r="AB73" s="153"/>
      <c r="AC73" s="153" t="s">
        <v>489</v>
      </c>
      <c r="AD73" s="153"/>
    </row>
    <row r="74" ht="15.5" spans="4:30">
      <c r="D74" s="153" t="s">
        <v>79</v>
      </c>
      <c r="E74" s="153" t="s">
        <v>254</v>
      </c>
      <c r="F74" s="153">
        <v>2019</v>
      </c>
      <c r="G74" s="154"/>
      <c r="H74" s="153" t="s">
        <v>79</v>
      </c>
      <c r="I74" s="153" t="s">
        <v>254</v>
      </c>
      <c r="J74" s="153">
        <v>2019</v>
      </c>
      <c r="K74" s="154"/>
      <c r="L74" s="153" t="s">
        <v>79</v>
      </c>
      <c r="M74" s="153" t="s">
        <v>254</v>
      </c>
      <c r="N74" s="153">
        <v>2019</v>
      </c>
      <c r="O74" s="154"/>
      <c r="P74" s="153" t="s">
        <v>79</v>
      </c>
      <c r="Q74" s="153" t="s">
        <v>254</v>
      </c>
      <c r="R74" s="153">
        <v>2019</v>
      </c>
      <c r="S74" s="154"/>
      <c r="T74" s="153" t="s">
        <v>79</v>
      </c>
      <c r="U74" s="153" t="s">
        <v>254</v>
      </c>
      <c r="V74" s="153">
        <v>2019</v>
      </c>
      <c r="W74" s="154"/>
      <c r="X74" s="153" t="s">
        <v>79</v>
      </c>
      <c r="Y74" s="153" t="s">
        <v>254</v>
      </c>
      <c r="Z74" s="153">
        <v>2019</v>
      </c>
      <c r="AA74" s="154"/>
      <c r="AB74" s="153" t="s">
        <v>79</v>
      </c>
      <c r="AC74" s="153" t="s">
        <v>254</v>
      </c>
      <c r="AD74" s="153">
        <v>2019</v>
      </c>
    </row>
    <row r="75" ht="15.5" spans="4:30">
      <c r="D75" s="154" t="s">
        <v>319</v>
      </c>
      <c r="E75" s="155" t="s">
        <v>464</v>
      </c>
      <c r="F75" s="154">
        <v>0.0208158940397351</v>
      </c>
      <c r="G75" s="154"/>
      <c r="H75" s="154" t="s">
        <v>330</v>
      </c>
      <c r="I75" s="155" t="s">
        <v>464</v>
      </c>
      <c r="J75" s="154">
        <v>0.0208068027210884</v>
      </c>
      <c r="K75" s="154"/>
      <c r="L75" s="154" t="s">
        <v>331</v>
      </c>
      <c r="M75" s="155" t="s">
        <v>464</v>
      </c>
      <c r="N75" s="154">
        <v>0.021165034965035</v>
      </c>
      <c r="O75" s="154"/>
      <c r="P75" s="154" t="s">
        <v>332</v>
      </c>
      <c r="Q75" s="155" t="s">
        <v>464</v>
      </c>
      <c r="R75" s="154">
        <v>0.0206425531914894</v>
      </c>
      <c r="S75" s="154"/>
      <c r="T75" s="154" t="s">
        <v>328</v>
      </c>
      <c r="U75" s="155" t="s">
        <v>464</v>
      </c>
      <c r="V75" s="154">
        <v>0.0205148936170213</v>
      </c>
      <c r="W75" s="154"/>
      <c r="X75" s="154" t="s">
        <v>327</v>
      </c>
      <c r="Y75" s="155" t="s">
        <v>464</v>
      </c>
      <c r="Z75" s="154">
        <v>0.0303802816901408</v>
      </c>
      <c r="AA75" s="154"/>
      <c r="AB75" s="154" t="s">
        <v>326</v>
      </c>
      <c r="AC75" s="155" t="s">
        <v>464</v>
      </c>
      <c r="AD75" s="154">
        <v>0.0100148148148148</v>
      </c>
    </row>
    <row r="76" ht="15.5" spans="4:30">
      <c r="D76" s="154"/>
      <c r="E76" s="155" t="s">
        <v>465</v>
      </c>
      <c r="F76" s="154">
        <v>0.00158940397350993</v>
      </c>
      <c r="G76" s="154"/>
      <c r="H76" s="154"/>
      <c r="I76" s="155" t="s">
        <v>465</v>
      </c>
      <c r="J76" s="154">
        <v>0.00163265306122449</v>
      </c>
      <c r="K76" s="154"/>
      <c r="L76" s="154"/>
      <c r="M76" s="155" t="s">
        <v>465</v>
      </c>
      <c r="N76" s="154">
        <v>0.00167832167832168</v>
      </c>
      <c r="O76" s="154"/>
      <c r="P76" s="154"/>
      <c r="Q76" s="155" t="s">
        <v>465</v>
      </c>
      <c r="R76" s="154">
        <v>0.00170212765957447</v>
      </c>
      <c r="S76" s="154"/>
      <c r="T76" s="154"/>
      <c r="U76" s="155" t="s">
        <v>465</v>
      </c>
      <c r="V76" s="154">
        <v>0.00170212765957447</v>
      </c>
      <c r="W76" s="154"/>
      <c r="X76" s="154"/>
      <c r="Y76" s="155" t="s">
        <v>465</v>
      </c>
      <c r="Z76" s="154">
        <v>0.00211267605633803</v>
      </c>
      <c r="AA76" s="154"/>
      <c r="AB76" s="154"/>
      <c r="AC76" s="155" t="s">
        <v>465</v>
      </c>
      <c r="AD76" s="154">
        <v>0.00296296296296296</v>
      </c>
    </row>
    <row r="77" ht="15.5" spans="4:30">
      <c r="D77" s="154"/>
      <c r="E77" s="155" t="s">
        <v>303</v>
      </c>
      <c r="F77" s="154">
        <v>0.0378198675496689</v>
      </c>
      <c r="G77" s="154"/>
      <c r="H77" s="154"/>
      <c r="I77" s="155" t="s">
        <v>303</v>
      </c>
      <c r="J77" s="154">
        <v>0.0376013605442177</v>
      </c>
      <c r="K77" s="154"/>
      <c r="L77" s="154"/>
      <c r="M77" s="155" t="s">
        <v>303</v>
      </c>
      <c r="N77" s="154">
        <v>0.0381636363636364</v>
      </c>
      <c r="O77" s="154"/>
      <c r="P77" s="154"/>
      <c r="Q77" s="155" t="s">
        <v>303</v>
      </c>
      <c r="R77" s="154">
        <v>0.0369177304964539</v>
      </c>
      <c r="S77" s="154"/>
      <c r="T77" s="154"/>
      <c r="U77" s="155" t="s">
        <v>303</v>
      </c>
      <c r="V77" s="154">
        <v>0.0365205673758865</v>
      </c>
      <c r="W77" s="154"/>
      <c r="X77" s="154"/>
      <c r="Y77" s="155" t="s">
        <v>303</v>
      </c>
      <c r="Z77" s="154">
        <v>0.0581584507042253</v>
      </c>
      <c r="AA77" s="154"/>
      <c r="AB77" s="154"/>
      <c r="AC77" s="155" t="s">
        <v>303</v>
      </c>
      <c r="AD77" s="154">
        <v>0.00534320987654321</v>
      </c>
    </row>
    <row r="78" ht="15.5" spans="4:30">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row>
    <row r="79" ht="15.5" spans="4:30">
      <c r="D79" s="153"/>
      <c r="E79" s="153" t="s">
        <v>489</v>
      </c>
      <c r="F79" s="153"/>
      <c r="G79" s="154"/>
      <c r="H79" s="153"/>
      <c r="I79" s="153" t="s">
        <v>489</v>
      </c>
      <c r="J79" s="153"/>
      <c r="K79" s="154"/>
      <c r="L79" s="153"/>
      <c r="M79" s="153" t="s">
        <v>489</v>
      </c>
      <c r="N79" s="153"/>
      <c r="O79" s="154"/>
      <c r="P79" s="153"/>
      <c r="Q79" s="153" t="s">
        <v>489</v>
      </c>
      <c r="R79" s="153"/>
      <c r="S79" s="154"/>
      <c r="T79" s="153"/>
      <c r="U79" s="153" t="s">
        <v>489</v>
      </c>
      <c r="V79" s="153"/>
      <c r="W79" s="154"/>
      <c r="X79" s="153"/>
      <c r="Y79" s="153" t="s">
        <v>489</v>
      </c>
      <c r="Z79" s="153"/>
      <c r="AA79" s="154"/>
      <c r="AB79" s="153"/>
      <c r="AC79" s="153" t="s">
        <v>489</v>
      </c>
      <c r="AD79" s="153"/>
    </row>
    <row r="80" ht="15.5" spans="4:30">
      <c r="D80" s="153" t="s">
        <v>79</v>
      </c>
      <c r="E80" s="153" t="s">
        <v>254</v>
      </c>
      <c r="F80" s="153">
        <v>2019</v>
      </c>
      <c r="G80" s="154"/>
      <c r="H80" s="153" t="s">
        <v>79</v>
      </c>
      <c r="I80" s="153" t="s">
        <v>254</v>
      </c>
      <c r="J80" s="153">
        <v>2019</v>
      </c>
      <c r="K80" s="154"/>
      <c r="L80" s="153" t="s">
        <v>79</v>
      </c>
      <c r="M80" s="153" t="s">
        <v>254</v>
      </c>
      <c r="N80" s="153">
        <v>2019</v>
      </c>
      <c r="O80" s="154"/>
      <c r="P80" s="153" t="s">
        <v>79</v>
      </c>
      <c r="Q80" s="153" t="s">
        <v>254</v>
      </c>
      <c r="R80" s="153">
        <v>2019</v>
      </c>
      <c r="S80" s="154"/>
      <c r="T80" s="153" t="s">
        <v>79</v>
      </c>
      <c r="U80" s="153" t="s">
        <v>254</v>
      </c>
      <c r="V80" s="153">
        <v>2019</v>
      </c>
      <c r="W80" s="154"/>
      <c r="X80" s="153" t="s">
        <v>79</v>
      </c>
      <c r="Y80" s="153" t="s">
        <v>254</v>
      </c>
      <c r="Z80" s="153">
        <v>2019</v>
      </c>
      <c r="AA80" s="154"/>
      <c r="AB80" s="153" t="s">
        <v>79</v>
      </c>
      <c r="AC80" s="153" t="s">
        <v>254</v>
      </c>
      <c r="AD80" s="153">
        <v>2019</v>
      </c>
    </row>
    <row r="81" ht="15.5" spans="4:30">
      <c r="D81" s="154" t="s">
        <v>328</v>
      </c>
      <c r="E81" s="155" t="s">
        <v>464</v>
      </c>
      <c r="F81" s="154">
        <v>0.00482119205298013</v>
      </c>
      <c r="G81" s="154"/>
      <c r="H81" s="154" t="s">
        <v>337</v>
      </c>
      <c r="I81" s="155" t="s">
        <v>464</v>
      </c>
      <c r="J81" s="154">
        <v>0.00489795918367347</v>
      </c>
      <c r="K81" s="154"/>
      <c r="L81" s="154" t="s">
        <v>338</v>
      </c>
      <c r="M81" s="155" t="s">
        <v>464</v>
      </c>
      <c r="N81" s="154">
        <v>0.00502097902097902</v>
      </c>
      <c r="O81" s="154"/>
      <c r="P81" s="154" t="s">
        <v>339</v>
      </c>
      <c r="Q81" s="155" t="s">
        <v>464</v>
      </c>
      <c r="R81" s="154">
        <v>0.00502127659574468</v>
      </c>
      <c r="S81" s="154"/>
      <c r="T81" s="154" t="s">
        <v>335</v>
      </c>
      <c r="U81" s="155" t="s">
        <v>464</v>
      </c>
      <c r="V81" s="154">
        <v>0.00504964539007092</v>
      </c>
      <c r="W81" s="154"/>
      <c r="X81" s="154" t="s">
        <v>334</v>
      </c>
      <c r="Y81" s="155" t="s">
        <v>464</v>
      </c>
      <c r="Z81" s="154">
        <v>0.00667253521126761</v>
      </c>
      <c r="AA81" s="154"/>
      <c r="AB81" s="154" t="s">
        <v>333</v>
      </c>
      <c r="AC81" s="155" t="s">
        <v>464</v>
      </c>
      <c r="AD81" s="154">
        <v>0.00906172839506173</v>
      </c>
    </row>
    <row r="82" ht="15.5" spans="4:30">
      <c r="D82" s="154"/>
      <c r="E82" s="155" t="s">
        <v>465</v>
      </c>
      <c r="F82" s="154">
        <v>0.00158940397350993</v>
      </c>
      <c r="G82" s="154"/>
      <c r="H82" s="154"/>
      <c r="I82" s="155" t="s">
        <v>465</v>
      </c>
      <c r="J82" s="154">
        <v>0.00163265306122449</v>
      </c>
      <c r="K82" s="154"/>
      <c r="L82" s="154"/>
      <c r="M82" s="155" t="s">
        <v>465</v>
      </c>
      <c r="N82" s="154">
        <v>0.00167832167832168</v>
      </c>
      <c r="O82" s="154"/>
      <c r="P82" s="154"/>
      <c r="Q82" s="155" t="s">
        <v>465</v>
      </c>
      <c r="R82" s="154">
        <v>0.00170212765957447</v>
      </c>
      <c r="S82" s="154"/>
      <c r="T82" s="154"/>
      <c r="U82" s="155" t="s">
        <v>465</v>
      </c>
      <c r="V82" s="154">
        <v>0.00170212765957447</v>
      </c>
      <c r="W82" s="154"/>
      <c r="X82" s="154"/>
      <c r="Y82" s="155" t="s">
        <v>465</v>
      </c>
      <c r="Z82" s="154">
        <v>0.00211267605633803</v>
      </c>
      <c r="AA82" s="154"/>
      <c r="AB82" s="154"/>
      <c r="AC82" s="155" t="s">
        <v>465</v>
      </c>
      <c r="AD82" s="154">
        <v>0.00296296296296296</v>
      </c>
    </row>
    <row r="83" ht="15.5" spans="4:30">
      <c r="D83" s="154"/>
      <c r="E83" s="155" t="s">
        <v>303</v>
      </c>
      <c r="F83" s="154">
        <v>0.030887417218543</v>
      </c>
      <c r="G83" s="154"/>
      <c r="H83" s="154"/>
      <c r="I83" s="155" t="s">
        <v>303</v>
      </c>
      <c r="J83" s="154">
        <v>0.0306530612244898</v>
      </c>
      <c r="K83" s="154"/>
      <c r="L83" s="154"/>
      <c r="M83" s="155" t="s">
        <v>303</v>
      </c>
      <c r="N83" s="154">
        <v>0.0312727272727273</v>
      </c>
      <c r="O83" s="154"/>
      <c r="P83" s="154"/>
      <c r="Q83" s="155" t="s">
        <v>303</v>
      </c>
      <c r="R83" s="154">
        <v>0.0303404255319149</v>
      </c>
      <c r="S83" s="154"/>
      <c r="T83" s="154"/>
      <c r="U83" s="155" t="s">
        <v>303</v>
      </c>
      <c r="V83" s="154">
        <v>0.031177304964539</v>
      </c>
      <c r="W83" s="154"/>
      <c r="X83" s="154"/>
      <c r="Y83" s="155" t="s">
        <v>303</v>
      </c>
      <c r="Z83" s="154">
        <v>0.0334154929577465</v>
      </c>
      <c r="AA83" s="154"/>
      <c r="AB83" s="154"/>
      <c r="AC83" s="155" t="s">
        <v>303</v>
      </c>
      <c r="AD83" s="154">
        <v>0.0459506172839506</v>
      </c>
    </row>
  </sheetData>
  <mergeCells count="9">
    <mergeCell ref="Q22:Q23"/>
    <mergeCell ref="Q24:Q28"/>
    <mergeCell ref="Q29:Q33"/>
    <mergeCell ref="Q34:Q38"/>
    <mergeCell ref="Q44:Q47"/>
    <mergeCell ref="Q48:Q51"/>
    <mergeCell ref="Q52:Q55"/>
    <mergeCell ref="Q58:Q61"/>
    <mergeCell ref="R22:R23"/>
  </mergeCells>
  <pageMargins left="0.7" right="0.7" top="0.75" bottom="0.75" header="0.3" footer="0.3"/>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48"/>
  <sheetViews>
    <sheetView zoomScale="85" zoomScaleNormal="85" workbookViewId="0">
      <selection activeCell="F14" sqref="F14"/>
    </sheetView>
  </sheetViews>
  <sheetFormatPr defaultColWidth="9" defaultRowHeight="14.5"/>
  <cols>
    <col min="1" max="1" width="9" style="98"/>
    <col min="2" max="2" width="43" style="98" customWidth="1"/>
    <col min="3" max="3" width="7.63636363636364" style="98" customWidth="1"/>
    <col min="4" max="4" width="10.2727272727273" style="98" customWidth="1"/>
    <col min="5" max="5" width="7.63636363636364" style="98" customWidth="1"/>
    <col min="6" max="6" width="10.9090909090909" style="98" customWidth="1"/>
    <col min="7" max="7" width="10.0909090909091" style="98" customWidth="1"/>
    <col min="8" max="8" width="10.9090909090909" style="98" customWidth="1"/>
    <col min="9" max="10" width="9" style="98"/>
    <col min="11" max="11" width="28" style="98" customWidth="1"/>
    <col min="12" max="16384" width="9" style="98"/>
  </cols>
  <sheetData>
    <row r="3" ht="17.15" customHeight="1" spans="2:11">
      <c r="B3" s="99" t="s">
        <v>490</v>
      </c>
      <c r="K3" s="110" t="s">
        <v>491</v>
      </c>
    </row>
    <row r="4" ht="21" customHeight="1" spans="2:11">
      <c r="B4" s="100"/>
      <c r="C4" s="101" t="s">
        <v>200</v>
      </c>
      <c r="D4" s="101" t="s">
        <v>205</v>
      </c>
      <c r="E4" s="101" t="s">
        <v>210</v>
      </c>
      <c r="F4" s="101" t="s">
        <v>215</v>
      </c>
      <c r="G4" s="101" t="s">
        <v>290</v>
      </c>
      <c r="H4" s="101" t="s">
        <v>225</v>
      </c>
      <c r="I4" s="101" t="s">
        <v>230</v>
      </c>
      <c r="K4" s="118" t="s">
        <v>492</v>
      </c>
    </row>
    <row r="5" ht="15.5" spans="2:11">
      <c r="B5" s="102" t="s">
        <v>275</v>
      </c>
      <c r="C5" s="102">
        <v>0.095</v>
      </c>
      <c r="D5" s="102">
        <v>0.106</v>
      </c>
      <c r="E5" s="102">
        <v>0.102</v>
      </c>
      <c r="F5" s="102">
        <v>0.141</v>
      </c>
      <c r="G5" s="102">
        <v>0.136</v>
      </c>
      <c r="H5" s="102">
        <v>0.118</v>
      </c>
      <c r="I5" s="102">
        <v>0.1</v>
      </c>
      <c r="K5" s="110"/>
    </row>
    <row r="6" ht="15.5" spans="2:11">
      <c r="B6" s="102" t="s">
        <v>277</v>
      </c>
      <c r="C6" s="102">
        <v>0</v>
      </c>
      <c r="D6" s="102">
        <v>0</v>
      </c>
      <c r="E6" s="102">
        <v>0.672</v>
      </c>
      <c r="F6" s="102">
        <v>0.351</v>
      </c>
      <c r="G6" s="102">
        <v>0.508</v>
      </c>
      <c r="H6" s="102">
        <v>0.531</v>
      </c>
      <c r="I6" s="102">
        <v>0.6</v>
      </c>
      <c r="K6" s="110"/>
    </row>
    <row r="7" ht="15.5" spans="2:11">
      <c r="B7" s="102" t="s">
        <v>278</v>
      </c>
      <c r="C7" s="102">
        <v>0</v>
      </c>
      <c r="D7" s="102">
        <v>0</v>
      </c>
      <c r="E7" s="102">
        <v>0.127</v>
      </c>
      <c r="F7" s="102">
        <v>0.352</v>
      </c>
      <c r="G7" s="102">
        <v>0.204</v>
      </c>
      <c r="H7" s="102">
        <v>0.178</v>
      </c>
      <c r="I7" s="102">
        <v>0.075</v>
      </c>
      <c r="K7" s="110"/>
    </row>
    <row r="8" ht="15.5" spans="2:11">
      <c r="B8" s="102" t="s">
        <v>286</v>
      </c>
      <c r="C8" s="102">
        <v>0</v>
      </c>
      <c r="D8" s="102">
        <v>1.396</v>
      </c>
      <c r="E8" s="102">
        <v>0</v>
      </c>
      <c r="F8" s="102">
        <v>0.328</v>
      </c>
      <c r="G8" s="102">
        <v>0.285</v>
      </c>
      <c r="H8" s="102">
        <v>0.166</v>
      </c>
      <c r="I8" s="102">
        <v>0.07</v>
      </c>
      <c r="K8" s="110"/>
    </row>
    <row r="9" ht="15.5" spans="2:11">
      <c r="B9" s="102" t="s">
        <v>287</v>
      </c>
      <c r="C9" s="102">
        <v>3.528</v>
      </c>
      <c r="D9" s="102">
        <v>3.369</v>
      </c>
      <c r="E9" s="102">
        <v>2.92</v>
      </c>
      <c r="F9" s="102">
        <v>3.11</v>
      </c>
      <c r="G9" s="102">
        <v>3.07</v>
      </c>
      <c r="H9" s="102">
        <v>3.017</v>
      </c>
      <c r="I9" s="102">
        <v>2.921</v>
      </c>
      <c r="K9" s="110"/>
    </row>
    <row r="10" ht="15.5" spans="2:11">
      <c r="B10" s="102" t="s">
        <v>288</v>
      </c>
      <c r="C10" s="102">
        <v>0.946</v>
      </c>
      <c r="D10" s="102">
        <v>0.863</v>
      </c>
      <c r="E10" s="102">
        <v>0.564</v>
      </c>
      <c r="F10" s="102">
        <v>0.677</v>
      </c>
      <c r="G10" s="102">
        <v>0.661</v>
      </c>
      <c r="H10" s="102">
        <v>0.605</v>
      </c>
      <c r="I10" s="102">
        <v>0.549</v>
      </c>
      <c r="K10" s="110"/>
    </row>
    <row r="11" ht="15.5" spans="2:11">
      <c r="B11" s="102" t="s">
        <v>493</v>
      </c>
      <c r="C11" s="102">
        <v>1.085</v>
      </c>
      <c r="D11" s="102">
        <v>0.911</v>
      </c>
      <c r="E11" s="102">
        <v>0.978</v>
      </c>
      <c r="F11" s="102">
        <v>0.978</v>
      </c>
      <c r="G11" s="102">
        <v>0.981</v>
      </c>
      <c r="H11" s="102">
        <v>0.96</v>
      </c>
      <c r="I11" s="102">
        <v>0.961</v>
      </c>
      <c r="K11" s="110"/>
    </row>
    <row r="12" spans="11:11">
      <c r="K12" s="110"/>
    </row>
    <row r="13" spans="11:11">
      <c r="K13" s="110"/>
    </row>
    <row r="14" spans="11:11">
      <c r="K14" s="110"/>
    </row>
    <row r="15" ht="15.5" spans="2:11">
      <c r="B15" s="99" t="s">
        <v>494</v>
      </c>
      <c r="K15" s="110" t="s">
        <v>491</v>
      </c>
    </row>
    <row r="16" ht="15.5" spans="2:11">
      <c r="B16" s="100"/>
      <c r="C16" s="101" t="s">
        <v>200</v>
      </c>
      <c r="D16" s="101" t="s">
        <v>205</v>
      </c>
      <c r="E16" s="101" t="s">
        <v>210</v>
      </c>
      <c r="F16" s="101" t="s">
        <v>215</v>
      </c>
      <c r="G16" s="101" t="s">
        <v>290</v>
      </c>
      <c r="H16" s="101" t="s">
        <v>225</v>
      </c>
      <c r="I16" s="101" t="s">
        <v>230</v>
      </c>
      <c r="K16" s="110" t="s">
        <v>495</v>
      </c>
    </row>
    <row r="17" spans="2:9">
      <c r="B17" s="103" t="s">
        <v>496</v>
      </c>
      <c r="C17" s="103" t="s">
        <v>497</v>
      </c>
      <c r="D17" s="103" t="s">
        <v>498</v>
      </c>
      <c r="E17" s="103" t="s">
        <v>499</v>
      </c>
      <c r="F17" s="100" t="s">
        <v>499</v>
      </c>
      <c r="G17" s="100"/>
      <c r="H17" s="100"/>
      <c r="I17" s="100"/>
    </row>
    <row r="18" spans="2:9">
      <c r="B18" s="103" t="s">
        <v>500</v>
      </c>
      <c r="C18" s="103" t="s">
        <v>501</v>
      </c>
      <c r="D18" s="103" t="s">
        <v>502</v>
      </c>
      <c r="E18" s="103" t="s">
        <v>503</v>
      </c>
      <c r="F18" s="104" t="s">
        <v>503</v>
      </c>
      <c r="G18" s="105"/>
      <c r="H18" s="105"/>
      <c r="I18" s="119"/>
    </row>
    <row r="24" ht="15.5" spans="2:2">
      <c r="B24" s="99" t="s">
        <v>504</v>
      </c>
    </row>
    <row r="25" ht="15.5" spans="2:9">
      <c r="B25" s="100"/>
      <c r="C25" s="101" t="s">
        <v>200</v>
      </c>
      <c r="D25" s="101" t="s">
        <v>205</v>
      </c>
      <c r="E25" s="101" t="s">
        <v>210</v>
      </c>
      <c r="F25" s="101" t="s">
        <v>215</v>
      </c>
      <c r="G25" s="101" t="s">
        <v>290</v>
      </c>
      <c r="H25" s="101" t="s">
        <v>225</v>
      </c>
      <c r="I25" s="101" t="s">
        <v>230</v>
      </c>
    </row>
    <row r="26" ht="15.5" spans="2:9">
      <c r="B26" s="102"/>
      <c r="C26" s="106">
        <v>0.8</v>
      </c>
      <c r="D26" s="106">
        <v>0.8</v>
      </c>
      <c r="E26" s="106">
        <v>0.8</v>
      </c>
      <c r="F26" s="106">
        <v>0.8</v>
      </c>
      <c r="G26" s="106">
        <v>0.8</v>
      </c>
      <c r="H26" s="106">
        <v>0.8</v>
      </c>
      <c r="I26" s="106">
        <v>0.8</v>
      </c>
    </row>
    <row r="27" ht="15.5" spans="2:9">
      <c r="B27" s="107"/>
      <c r="C27" s="107"/>
      <c r="D27" s="107"/>
      <c r="E27" s="107"/>
      <c r="F27" s="107"/>
      <c r="G27" s="107"/>
      <c r="H27" s="107"/>
      <c r="I27" s="107"/>
    </row>
    <row r="28" spans="2:11">
      <c r="B28" s="108" t="s">
        <v>505</v>
      </c>
      <c r="C28" s="109"/>
      <c r="D28" s="109"/>
      <c r="E28" s="109"/>
      <c r="F28" s="109"/>
      <c r="G28" s="109"/>
      <c r="H28" s="109"/>
      <c r="I28" s="109"/>
      <c r="J28" s="109"/>
      <c r="K28" s="109"/>
    </row>
    <row r="29" spans="2:11">
      <c r="B29" s="109"/>
      <c r="C29" s="109"/>
      <c r="D29" s="109"/>
      <c r="E29" s="109"/>
      <c r="F29" s="109"/>
      <c r="G29" s="109"/>
      <c r="H29" s="109"/>
      <c r="I29" s="109"/>
      <c r="J29" s="109"/>
      <c r="K29" s="109"/>
    </row>
    <row r="30" spans="2:11">
      <c r="B30" s="109"/>
      <c r="C30" s="109"/>
      <c r="D30" s="109"/>
      <c r="E30" s="109"/>
      <c r="F30" s="109"/>
      <c r="G30" s="109"/>
      <c r="H30" s="109"/>
      <c r="I30" s="109"/>
      <c r="J30" s="109"/>
      <c r="K30" s="109"/>
    </row>
    <row r="31" spans="2:11">
      <c r="B31" s="109"/>
      <c r="C31" s="109"/>
      <c r="D31" s="109"/>
      <c r="E31" s="109"/>
      <c r="F31" s="109"/>
      <c r="G31" s="109"/>
      <c r="H31" s="109"/>
      <c r="I31" s="109"/>
      <c r="J31" s="109"/>
      <c r="K31" s="109"/>
    </row>
    <row r="32" spans="2:11">
      <c r="B32" s="109"/>
      <c r="C32" s="109"/>
      <c r="D32" s="109"/>
      <c r="E32" s="109"/>
      <c r="F32" s="109"/>
      <c r="G32" s="109"/>
      <c r="H32" s="109"/>
      <c r="I32" s="109"/>
      <c r="J32" s="109"/>
      <c r="K32" s="109"/>
    </row>
    <row r="33" spans="2:2">
      <c r="B33" s="110" t="s">
        <v>506</v>
      </c>
    </row>
    <row r="35" ht="72" customHeight="1" spans="2:13">
      <c r="B35" s="111" t="s">
        <v>507</v>
      </c>
      <c r="C35" s="111"/>
      <c r="D35" s="111"/>
      <c r="E35" s="111"/>
      <c r="F35" s="111"/>
      <c r="G35" s="111"/>
      <c r="H35" s="111"/>
      <c r="I35" s="111"/>
      <c r="J35" s="111"/>
      <c r="K35" s="111"/>
      <c r="M35" s="120"/>
    </row>
    <row r="40" ht="15.5" spans="2:11">
      <c r="B40" s="99" t="s">
        <v>508</v>
      </c>
      <c r="K40" s="110" t="s">
        <v>491</v>
      </c>
    </row>
    <row r="41" ht="84" spans="2:11">
      <c r="B41" s="112"/>
      <c r="C41" s="113"/>
      <c r="D41" s="113"/>
      <c r="E41" s="113"/>
      <c r="F41" s="113"/>
      <c r="G41" s="113"/>
      <c r="H41" s="113"/>
      <c r="I41" s="113"/>
      <c r="K41" s="118" t="s">
        <v>492</v>
      </c>
    </row>
    <row r="42" ht="15.5" spans="2:9">
      <c r="B42" s="114" t="s">
        <v>275</v>
      </c>
      <c r="C42" s="115">
        <v>0.6</v>
      </c>
      <c r="D42" s="116"/>
      <c r="E42" s="116"/>
      <c r="F42" s="116"/>
      <c r="G42" s="116"/>
      <c r="H42" s="116"/>
      <c r="I42" s="116"/>
    </row>
    <row r="43" ht="15.5" spans="2:3">
      <c r="B43" s="114" t="s">
        <v>277</v>
      </c>
      <c r="C43" s="117">
        <v>0.56</v>
      </c>
    </row>
    <row r="44" ht="15.5" spans="2:3">
      <c r="B44" s="114" t="s">
        <v>278</v>
      </c>
      <c r="C44" s="117">
        <v>0.65</v>
      </c>
    </row>
    <row r="45" ht="15.5" spans="2:3">
      <c r="B45" s="114" t="s">
        <v>286</v>
      </c>
      <c r="C45" s="117">
        <v>0.61</v>
      </c>
    </row>
    <row r="46" ht="15.5" spans="2:3">
      <c r="B46" s="114" t="s">
        <v>287</v>
      </c>
      <c r="C46" s="117">
        <v>0.52</v>
      </c>
    </row>
    <row r="47" ht="15.5" spans="2:3">
      <c r="B47" s="114" t="s">
        <v>288</v>
      </c>
      <c r="C47" s="117">
        <v>0.55</v>
      </c>
    </row>
    <row r="48" ht="15.5" spans="2:2">
      <c r="B48" s="107"/>
    </row>
  </sheetData>
  <mergeCells count="4">
    <mergeCell ref="F17:I17"/>
    <mergeCell ref="F18:I18"/>
    <mergeCell ref="B35:K35"/>
    <mergeCell ref="B28:K32"/>
  </mergeCells>
  <pageMargins left="0.7" right="0.7" top="0.75" bottom="0.75" header="0.3" footer="0.3"/>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51"/>
  <sheetViews>
    <sheetView showGridLines="0" workbookViewId="0">
      <pane ySplit="2" topLeftCell="A3" activePane="bottomLeft" state="frozen"/>
      <selection/>
      <selection pane="bottomLeft" activeCell="H11" sqref="H11"/>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ht="15.75" customHeight="1" spans="2:6">
      <c r="B2" s="80" t="s">
        <v>9</v>
      </c>
      <c r="C2" s="81"/>
      <c r="D2" s="81"/>
      <c r="E2" s="81"/>
      <c r="F2" s="81"/>
    </row>
    <row r="3" ht="19.5" customHeight="1" spans="2:6">
      <c r="B3" s="37" t="s">
        <v>509</v>
      </c>
      <c r="C3" s="38"/>
      <c r="D3" s="38"/>
      <c r="E3" s="38"/>
      <c r="F3" s="39"/>
    </row>
    <row r="5" ht="15" customHeight="1" spans="2:2">
      <c r="B5" s="43" t="s">
        <v>510</v>
      </c>
    </row>
    <row r="6" spans="2:4">
      <c r="B6" s="44">
        <v>2015</v>
      </c>
      <c r="C6" s="44"/>
      <c r="D6" s="44"/>
    </row>
    <row r="7" spans="2:4">
      <c r="B7" s="45" t="s">
        <v>12</v>
      </c>
      <c r="C7" s="46" t="s">
        <v>13</v>
      </c>
      <c r="D7" s="47">
        <v>13.1007452853893</v>
      </c>
    </row>
    <row r="8" spans="2:4">
      <c r="B8" s="45" t="s">
        <v>14</v>
      </c>
      <c r="C8" s="46" t="s">
        <v>15</v>
      </c>
      <c r="D8" s="68">
        <v>63980.0542759221</v>
      </c>
    </row>
    <row r="10" spans="2:6">
      <c r="B10" s="48" t="s">
        <v>21</v>
      </c>
      <c r="C10" s="48" t="s">
        <v>511</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0.0157675203849483</v>
      </c>
      <c r="C14" s="86">
        <v>64374.3177282271</v>
      </c>
      <c r="D14" s="86">
        <v>64374.3177282271</v>
      </c>
      <c r="E14" s="86">
        <v>64374.3177282271</v>
      </c>
      <c r="F14" s="86">
        <v>64374.3177282271</v>
      </c>
    </row>
    <row r="15" spans="2:6">
      <c r="B15" s="85">
        <v>0.0357675203849483</v>
      </c>
      <c r="C15" s="86">
        <v>65660.494231903</v>
      </c>
      <c r="D15" s="86">
        <v>65194.2922983472</v>
      </c>
      <c r="E15" s="86">
        <v>65194.2922983472</v>
      </c>
      <c r="F15" s="86">
        <v>65194.2922983472</v>
      </c>
    </row>
    <row r="16" spans="2:6">
      <c r="B16" s="85">
        <v>0.0657675203849483</v>
      </c>
      <c r="C16" s="86">
        <v>66711.1167972565</v>
      </c>
      <c r="D16" s="86">
        <v>66350.3816880941</v>
      </c>
      <c r="E16" s="86">
        <v>66350.3816880941</v>
      </c>
      <c r="F16" s="86">
        <v>66350.3816880941</v>
      </c>
    </row>
    <row r="17" spans="2:6">
      <c r="B17" s="85">
        <v>0.115767520384948</v>
      </c>
      <c r="C17" s="86">
        <v>68259.4899143091</v>
      </c>
      <c r="D17" s="86">
        <v>67980.3623311395</v>
      </c>
      <c r="E17" s="86">
        <v>67980.3623311395</v>
      </c>
      <c r="F17" s="86">
        <v>67980.3623311395</v>
      </c>
    </row>
    <row r="18" spans="2:6">
      <c r="B18" s="85">
        <v>0.135767520384948</v>
      </c>
      <c r="C18" s="86">
        <v>70494.4682092344</v>
      </c>
      <c r="D18" s="86">
        <v>70278.4864383804</v>
      </c>
      <c r="E18" s="86">
        <v>70278.4864383804</v>
      </c>
      <c r="F18" s="86">
        <v>70278.4864383804</v>
      </c>
    </row>
    <row r="19" spans="2:6">
      <c r="B19" s="85">
        <v>0.185767520384948</v>
      </c>
      <c r="C19" s="86">
        <v>92515.9365866557</v>
      </c>
      <c r="D19" s="86">
        <v>73610.3499548667</v>
      </c>
      <c r="E19" s="86">
        <v>73518.6319179084</v>
      </c>
      <c r="F19" s="86">
        <v>73518.6319179084</v>
      </c>
    </row>
    <row r="20" spans="2:6">
      <c r="B20" s="85">
        <v>0.235767520384948</v>
      </c>
      <c r="C20" s="86">
        <v>104871.409318894</v>
      </c>
      <c r="D20" s="86">
        <v>78216.2557221808</v>
      </c>
      <c r="E20" s="86">
        <v>78086.9416516721</v>
      </c>
      <c r="F20" s="86">
        <v>78086.9416516721</v>
      </c>
    </row>
    <row r="24" ht="15" customHeight="1" spans="2:6">
      <c r="B24" s="48" t="s">
        <v>21</v>
      </c>
      <c r="C24" s="48" t="s">
        <v>512</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v>
      </c>
      <c r="C28" s="86">
        <v>78723.8136345898</v>
      </c>
      <c r="D28" s="86">
        <v>73950.9194443063</v>
      </c>
      <c r="E28" s="86">
        <v>72154.7254150688</v>
      </c>
      <c r="F28" s="86">
        <v>70773.8187079937</v>
      </c>
    </row>
    <row r="29" spans="2:6">
      <c r="B29" s="85">
        <v>0.15</v>
      </c>
      <c r="C29" s="86">
        <v>80807.8528858319</v>
      </c>
      <c r="D29" s="86">
        <v>73962.103778718</v>
      </c>
      <c r="E29" s="86">
        <v>72316.2165549386</v>
      </c>
      <c r="F29" s="86">
        <v>71023.1448337247</v>
      </c>
    </row>
    <row r="30" spans="2:6">
      <c r="B30" s="85">
        <v>0.2</v>
      </c>
      <c r="C30" s="86">
        <v>82891.8921370741</v>
      </c>
      <c r="D30" s="86">
        <v>73993.0415897182</v>
      </c>
      <c r="E30" s="86">
        <v>72497.4014223343</v>
      </c>
      <c r="F30" s="86">
        <v>71295.5977188839</v>
      </c>
    </row>
    <row r="31" spans="2:6">
      <c r="B31" s="85">
        <v>0.25</v>
      </c>
      <c r="C31" s="86">
        <v>84975.9313883163</v>
      </c>
      <c r="D31" s="86">
        <v>74302.434316674</v>
      </c>
      <c r="E31" s="86">
        <v>72923.4010306335</v>
      </c>
      <c r="F31" s="86">
        <v>71788.6996835955</v>
      </c>
    </row>
    <row r="32" spans="2:6">
      <c r="B32" s="85">
        <v>0.3</v>
      </c>
      <c r="C32" s="86">
        <v>87059.9706395585</v>
      </c>
      <c r="D32" s="86">
        <v>74875.6016444532</v>
      </c>
      <c r="E32" s="86">
        <v>73594.7197075219</v>
      </c>
      <c r="F32" s="86">
        <v>72513.6386656581</v>
      </c>
    </row>
    <row r="33" spans="2:6">
      <c r="B33" s="85">
        <v>0.35</v>
      </c>
      <c r="C33" s="86">
        <v>89094.67764987</v>
      </c>
      <c r="D33" s="86">
        <v>75614.9798966327</v>
      </c>
      <c r="E33" s="86">
        <v>74436.8600542189</v>
      </c>
      <c r="F33" s="86">
        <v>73414.2821638472</v>
      </c>
    </row>
    <row r="34" spans="2:6">
      <c r="B34" s="85">
        <v>0.4</v>
      </c>
      <c r="C34" s="86">
        <v>91321.6191919477</v>
      </c>
      <c r="D34" s="86">
        <v>79080.5639060239</v>
      </c>
      <c r="E34" s="86">
        <v>77801.7969902854</v>
      </c>
      <c r="F34" s="86">
        <v>76655.6536398017</v>
      </c>
    </row>
    <row r="35" spans="2:6">
      <c r="B35" s="85">
        <v>0.45</v>
      </c>
      <c r="C35" s="86">
        <v>92643.0984853951</v>
      </c>
      <c r="D35" s="86">
        <v>83271.2655469518</v>
      </c>
      <c r="E35" s="86">
        <v>82851.602700109</v>
      </c>
      <c r="F35" s="86">
        <v>81571.438757518</v>
      </c>
    </row>
    <row r="40" spans="2:2">
      <c r="B40" s="43" t="s">
        <v>513</v>
      </c>
    </row>
    <row r="41" spans="2:4">
      <c r="B41" s="82">
        <v>2015</v>
      </c>
      <c r="C41" s="83"/>
      <c r="D41" s="84"/>
    </row>
    <row r="42" spans="2:4">
      <c r="B42" s="45" t="s">
        <v>12</v>
      </c>
      <c r="C42" s="46" t="s">
        <v>88</v>
      </c>
      <c r="D42" s="47">
        <v>10.8549032364654</v>
      </c>
    </row>
    <row r="43" spans="2:4">
      <c r="B43" s="45" t="s">
        <v>14</v>
      </c>
      <c r="C43" s="46" t="s">
        <v>15</v>
      </c>
      <c r="D43" s="68">
        <v>79811.8928746926</v>
      </c>
    </row>
    <row r="44" ht="15" customHeight="1"/>
    <row r="45" spans="2:6">
      <c r="B45" s="48" t="s">
        <v>514</v>
      </c>
      <c r="C45" s="48" t="s">
        <v>515</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0.0157675203849483</v>
      </c>
      <c r="C49" s="86">
        <v>80206.1563269976</v>
      </c>
      <c r="D49" s="86">
        <v>80206.1563269976</v>
      </c>
      <c r="E49" s="86">
        <v>80206.1563269976</v>
      </c>
      <c r="F49" s="86">
        <v>80206.1563269976</v>
      </c>
    </row>
    <row r="50" spans="2:6">
      <c r="B50" s="85">
        <v>0.0357675203849483</v>
      </c>
      <c r="C50" s="86">
        <v>81492.3328306735</v>
      </c>
      <c r="D50" s="86">
        <v>81026.1308971177</v>
      </c>
      <c r="E50" s="86">
        <v>81026.1308971177</v>
      </c>
      <c r="F50" s="86">
        <v>81026.1308971177</v>
      </c>
    </row>
    <row r="51" spans="2:6">
      <c r="B51" s="85">
        <v>0.0657675203849483</v>
      </c>
      <c r="C51" s="86">
        <v>82542.955396027</v>
      </c>
      <c r="D51" s="86">
        <v>82182.2202868646</v>
      </c>
      <c r="E51" s="86">
        <v>82182.2202868646</v>
      </c>
      <c r="F51" s="86">
        <v>82182.2202868646</v>
      </c>
    </row>
    <row r="52" spans="2:6">
      <c r="B52" s="85">
        <v>0.115767520384948</v>
      </c>
      <c r="C52" s="86">
        <v>84091.3285130796</v>
      </c>
      <c r="D52" s="86">
        <v>83812.20092991</v>
      </c>
      <c r="E52" s="86">
        <v>83812.20092991</v>
      </c>
      <c r="F52" s="86">
        <v>83812.20092991</v>
      </c>
    </row>
    <row r="53" spans="2:6">
      <c r="B53" s="85">
        <v>0.135767520384948</v>
      </c>
      <c r="C53" s="86">
        <v>86326.3068080049</v>
      </c>
      <c r="D53" s="86">
        <v>86110.3250371509</v>
      </c>
      <c r="E53" s="86">
        <v>86110.3250371509</v>
      </c>
      <c r="F53" s="86">
        <v>86110.3250371509</v>
      </c>
    </row>
    <row r="54" spans="2:6">
      <c r="B54" s="85">
        <v>0.185767520384948</v>
      </c>
      <c r="C54" s="86">
        <v>108347.775185426</v>
      </c>
      <c r="D54" s="86">
        <v>89442.1885536372</v>
      </c>
      <c r="E54" s="86">
        <v>89350.4705166789</v>
      </c>
      <c r="F54" s="86">
        <v>89350.4705166789</v>
      </c>
    </row>
    <row r="55" spans="2:6">
      <c r="B55" s="85">
        <v>0.235767520384948</v>
      </c>
      <c r="C55" s="86">
        <v>164339.590633548</v>
      </c>
      <c r="D55" s="86">
        <v>99699.2723738336</v>
      </c>
      <c r="E55" s="86">
        <v>93918.7802504425</v>
      </c>
      <c r="F55" s="86">
        <v>93918.7802504425</v>
      </c>
    </row>
    <row r="60" spans="2:2">
      <c r="B60" s="43" t="s">
        <v>516</v>
      </c>
    </row>
    <row r="61" spans="2:4">
      <c r="B61" s="44">
        <v>2015</v>
      </c>
      <c r="C61" s="44"/>
      <c r="D61" s="44"/>
    </row>
    <row r="62" spans="2:4">
      <c r="B62" s="45" t="s">
        <v>12</v>
      </c>
      <c r="C62" s="46" t="s">
        <v>13</v>
      </c>
      <c r="D62" s="47">
        <v>16.0016245985826</v>
      </c>
    </row>
    <row r="63" spans="2:4">
      <c r="B63" s="45" t="s">
        <v>14</v>
      </c>
      <c r="C63" s="46" t="s">
        <v>15</v>
      </c>
      <c r="D63" s="68">
        <v>70436.7262436661</v>
      </c>
    </row>
    <row r="64" ht="15" customHeight="1"/>
    <row r="65" spans="2:6">
      <c r="B65" s="48" t="s">
        <v>91</v>
      </c>
      <c r="C65" s="48" t="s">
        <v>517</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0.0157675203849483</v>
      </c>
      <c r="C69" s="86">
        <v>70830.9896959711</v>
      </c>
      <c r="D69" s="86">
        <v>70830.9896959711</v>
      </c>
      <c r="E69" s="86">
        <v>70830.9896959711</v>
      </c>
      <c r="F69" s="86">
        <v>70830.9896959711</v>
      </c>
    </row>
    <row r="70" spans="2:6">
      <c r="B70" s="85">
        <v>0.0357675203849483</v>
      </c>
      <c r="C70" s="86">
        <v>72117.166199647</v>
      </c>
      <c r="D70" s="86">
        <v>71650.9642660913</v>
      </c>
      <c r="E70" s="86">
        <v>71650.9642660913</v>
      </c>
      <c r="F70" s="86">
        <v>71650.9642660913</v>
      </c>
    </row>
    <row r="71" spans="2:6">
      <c r="B71" s="85">
        <v>0.0657675203849483</v>
      </c>
      <c r="C71" s="86">
        <v>73167.7887650005</v>
      </c>
      <c r="D71" s="86">
        <v>72807.0536558382</v>
      </c>
      <c r="E71" s="86">
        <v>72807.0536558382</v>
      </c>
      <c r="F71" s="86">
        <v>72807.0536558382</v>
      </c>
    </row>
    <row r="72" spans="2:6">
      <c r="B72" s="85">
        <v>0.115767520384948</v>
      </c>
      <c r="C72" s="86">
        <v>74716.1618820531</v>
      </c>
      <c r="D72" s="86">
        <v>74437.0342988836</v>
      </c>
      <c r="E72" s="86">
        <v>74437.0342988836</v>
      </c>
      <c r="F72" s="86">
        <v>74437.0342988836</v>
      </c>
    </row>
    <row r="73" spans="2:6">
      <c r="B73" s="85">
        <v>0.135767520384948</v>
      </c>
      <c r="C73" s="86">
        <v>76951.1401769784</v>
      </c>
      <c r="D73" s="86">
        <v>76735.1584061245</v>
      </c>
      <c r="E73" s="86">
        <v>76735.1584061245</v>
      </c>
      <c r="F73" s="86">
        <v>76735.1584061245</v>
      </c>
    </row>
    <row r="74" spans="2:6">
      <c r="B74" s="85">
        <v>0.185767520384948</v>
      </c>
      <c r="C74" s="86">
        <v>98972.6085543998</v>
      </c>
      <c r="D74" s="86">
        <v>80067.0219226107</v>
      </c>
      <c r="E74" s="86">
        <v>79975.3038856524</v>
      </c>
      <c r="F74" s="86">
        <v>79975.3038856524</v>
      </c>
    </row>
    <row r="75" spans="2:6">
      <c r="B75" s="85">
        <v>0.235767520384948</v>
      </c>
      <c r="C75" s="86">
        <v>154964.424002522</v>
      </c>
      <c r="D75" s="86">
        <v>90324.1057428072</v>
      </c>
      <c r="E75" s="86">
        <v>84543.6136194161</v>
      </c>
      <c r="F75" s="86">
        <v>84543.6136194161</v>
      </c>
    </row>
    <row r="79" spans="2:4">
      <c r="B79" s="44">
        <v>2020</v>
      </c>
      <c r="C79" s="44"/>
      <c r="D79" s="44"/>
    </row>
    <row r="80" spans="2:4">
      <c r="B80" s="45" t="s">
        <v>518</v>
      </c>
      <c r="C80" s="46" t="s">
        <v>26</v>
      </c>
      <c r="D80" s="74">
        <v>0.56</v>
      </c>
    </row>
    <row r="82" ht="15" customHeight="1" spans="2:6">
      <c r="B82" s="48" t="s">
        <v>27</v>
      </c>
      <c r="C82" s="48" t="s">
        <v>519</v>
      </c>
      <c r="D82" s="48"/>
      <c r="E82" s="48"/>
      <c r="F82" s="48"/>
    </row>
    <row r="83" spans="2:6">
      <c r="B83" s="48"/>
      <c r="C83" s="48"/>
      <c r="D83" s="48"/>
      <c r="E83" s="48"/>
      <c r="F83" s="48"/>
    </row>
    <row r="84" spans="2:6">
      <c r="B84" s="48"/>
      <c r="C84" s="48"/>
      <c r="D84" s="48"/>
      <c r="E84" s="48"/>
      <c r="F84" s="48"/>
    </row>
    <row r="85" spans="2:6">
      <c r="B85" s="88"/>
      <c r="C85" s="50">
        <v>2020</v>
      </c>
      <c r="D85" s="50">
        <v>2030</v>
      </c>
      <c r="E85" s="50">
        <v>2040</v>
      </c>
      <c r="F85" s="50">
        <v>2050</v>
      </c>
    </row>
    <row r="86" spans="2:6">
      <c r="B86" s="66">
        <v>150</v>
      </c>
      <c r="C86" s="86">
        <v>110404.816125858</v>
      </c>
      <c r="D86" s="86">
        <v>76126.9056105161</v>
      </c>
      <c r="E86" s="86">
        <v>72388.4048449149</v>
      </c>
      <c r="F86" s="86">
        <v>71025.7824151683</v>
      </c>
    </row>
    <row r="87" spans="2:6">
      <c r="B87" s="66">
        <v>178.571428571429</v>
      </c>
      <c r="C87" s="86">
        <v>112908.706193007</v>
      </c>
      <c r="D87" s="86">
        <v>77522.6228990699</v>
      </c>
      <c r="E87" s="86">
        <v>73371.5684444036</v>
      </c>
      <c r="F87" s="86">
        <v>71732.0028270847</v>
      </c>
    </row>
    <row r="88" spans="2:6">
      <c r="B88" s="66">
        <v>207.142857142857</v>
      </c>
      <c r="C88" s="86">
        <v>115334.617502218</v>
      </c>
      <c r="D88" s="86">
        <v>79463.3013736219</v>
      </c>
      <c r="E88" s="86">
        <v>74483.9717254974</v>
      </c>
      <c r="F88" s="86">
        <v>72547.4460047787</v>
      </c>
    </row>
    <row r="89" spans="2:6">
      <c r="B89" s="66">
        <v>235.714285714286</v>
      </c>
      <c r="C89" s="86">
        <v>117682.550053493</v>
      </c>
      <c r="D89" s="86">
        <v>80793.3391771838</v>
      </c>
      <c r="E89" s="86">
        <v>75147.4988702716</v>
      </c>
      <c r="F89" s="86">
        <v>73255.503738092</v>
      </c>
    </row>
    <row r="90" spans="2:6">
      <c r="B90" s="66">
        <v>264.285714285714</v>
      </c>
      <c r="C90" s="86">
        <v>119952.50384683</v>
      </c>
      <c r="D90" s="86">
        <v>82148.1741855519</v>
      </c>
      <c r="E90" s="86">
        <v>75737.3218156943</v>
      </c>
      <c r="F90" s="86">
        <v>73859.7468212174</v>
      </c>
    </row>
    <row r="91" spans="2:6">
      <c r="B91" s="66">
        <v>350</v>
      </c>
      <c r="C91" s="86">
        <v>121318.200133822</v>
      </c>
      <c r="D91" s="86">
        <v>84321.2727445944</v>
      </c>
      <c r="E91" s="86">
        <v>77575.207038262</v>
      </c>
      <c r="F91" s="86">
        <v>75506.8288152282</v>
      </c>
    </row>
    <row r="92" spans="2:6">
      <c r="B92" s="66">
        <v>500</v>
      </c>
      <c r="C92" s="86">
        <v>132200.783950421</v>
      </c>
      <c r="D92" s="86">
        <v>92502.4807897268</v>
      </c>
      <c r="E92" s="86">
        <v>81607.2353587759</v>
      </c>
      <c r="F92" s="86">
        <v>78751.7588307156</v>
      </c>
    </row>
    <row r="93" spans="2:6">
      <c r="B93" s="66">
        <v>600</v>
      </c>
      <c r="C93" s="86">
        <v>137349.527614475</v>
      </c>
      <c r="D93" s="86">
        <v>96538.2802435465</v>
      </c>
      <c r="E93" s="86">
        <v>85539.9465619138</v>
      </c>
      <c r="F93" s="86">
        <v>81859.4936310373</v>
      </c>
    </row>
    <row r="96" ht="21.75" customHeight="1"/>
    <row r="97" ht="21.75" customHeight="1" spans="2:6">
      <c r="B97" s="48" t="s">
        <v>29</v>
      </c>
      <c r="C97" s="48" t="s">
        <v>520</v>
      </c>
      <c r="D97" s="48"/>
      <c r="E97" s="48"/>
      <c r="F97" s="48"/>
    </row>
    <row r="98" ht="21.75" customHeight="1" spans="2:6">
      <c r="B98" s="48"/>
      <c r="C98" s="48"/>
      <c r="D98" s="48"/>
      <c r="E98" s="48"/>
      <c r="F98" s="48"/>
    </row>
    <row r="99" spans="2:6">
      <c r="B99" s="48"/>
      <c r="C99" s="48"/>
      <c r="D99" s="48"/>
      <c r="E99" s="48"/>
      <c r="F99" s="48"/>
    </row>
    <row r="100" spans="2:6">
      <c r="B100" s="88"/>
      <c r="C100" s="50">
        <v>2020</v>
      </c>
      <c r="D100" s="50">
        <v>2030</v>
      </c>
      <c r="E100" s="50">
        <v>2040</v>
      </c>
      <c r="F100" s="50">
        <v>2050</v>
      </c>
    </row>
    <row r="101" spans="2:6">
      <c r="B101" s="67">
        <v>2.6</v>
      </c>
      <c r="C101" s="86">
        <v>214118.833991698</v>
      </c>
      <c r="D101" s="86">
        <v>125613.160190713</v>
      </c>
      <c r="E101" s="86">
        <v>97977.6707644034</v>
      </c>
      <c r="F101" s="86">
        <v>88448.219809388</v>
      </c>
    </row>
    <row r="102" spans="2:6">
      <c r="B102" s="67">
        <v>2.52130983679809</v>
      </c>
      <c r="C102" s="86">
        <v>214645.361863809</v>
      </c>
      <c r="D102" s="86">
        <v>125876.981328924</v>
      </c>
      <c r="E102" s="86">
        <v>98241.4919026148</v>
      </c>
      <c r="F102" s="86">
        <v>88712.0409475994</v>
      </c>
    </row>
    <row r="103" spans="2:6">
      <c r="B103" s="67">
        <v>2.44261967359618</v>
      </c>
      <c r="C103" s="86">
        <v>215527.088203243</v>
      </c>
      <c r="D103" s="86">
        <v>127949.286423374</v>
      </c>
      <c r="E103" s="86">
        <v>98505.3130408261</v>
      </c>
      <c r="F103" s="86">
        <v>88975.8620858108</v>
      </c>
    </row>
    <row r="104" spans="2:6">
      <c r="B104" s="67">
        <v>2.36392951039427</v>
      </c>
      <c r="C104" s="86">
        <v>219774.548270079</v>
      </c>
      <c r="D104" s="86">
        <v>130156.458689299</v>
      </c>
      <c r="E104" s="86">
        <v>98769.1341790375</v>
      </c>
      <c r="F104" s="86">
        <v>89239.6832240222</v>
      </c>
    </row>
    <row r="105" spans="2:6">
      <c r="B105" s="67">
        <v>2.28523934719236</v>
      </c>
      <c r="C105" s="86">
        <v>220748.506187701</v>
      </c>
      <c r="D105" s="86">
        <v>133997.94244335</v>
      </c>
      <c r="E105" s="86">
        <v>99032.9553172489</v>
      </c>
      <c r="F105" s="86">
        <v>89503.5043622335</v>
      </c>
    </row>
    <row r="106" spans="2:6">
      <c r="B106" s="67">
        <v>2.20654918399046</v>
      </c>
      <c r="C106" s="86">
        <v>221318.529835846</v>
      </c>
      <c r="D106" s="86">
        <v>134332.239520982</v>
      </c>
      <c r="E106" s="86">
        <v>99296.7764554603</v>
      </c>
      <c r="F106" s="86">
        <v>89767.3255004449</v>
      </c>
    </row>
    <row r="107" spans="2:6">
      <c r="B107" s="67">
        <v>2.12785902078855</v>
      </c>
      <c r="C107" s="86">
        <v>221888.553483991</v>
      </c>
      <c r="D107" s="86">
        <v>134666.536598615</v>
      </c>
      <c r="E107" s="86">
        <v>99560.5975936717</v>
      </c>
      <c r="F107" s="86">
        <v>90031.1466386563</v>
      </c>
    </row>
    <row r="108" spans="2:6">
      <c r="B108" s="67">
        <v>2.04916885758664</v>
      </c>
      <c r="C108" s="86">
        <v>222458.577132136</v>
      </c>
      <c r="D108" s="86">
        <v>135000.833676247</v>
      </c>
      <c r="E108" s="86">
        <v>99824.4187318831</v>
      </c>
      <c r="F108" s="86">
        <v>90294.9677768677</v>
      </c>
    </row>
    <row r="112" ht="18.5" spans="2:6">
      <c r="B112" s="37" t="s">
        <v>112</v>
      </c>
      <c r="C112" s="38"/>
      <c r="D112" s="38"/>
      <c r="E112" s="38"/>
      <c r="F112" s="39"/>
    </row>
    <row r="114" spans="2:2">
      <c r="B114" s="43" t="s">
        <v>116</v>
      </c>
    </row>
    <row r="115" ht="15" customHeight="1" spans="2:4">
      <c r="B115" s="44">
        <v>2015</v>
      </c>
      <c r="C115" s="44"/>
      <c r="D115" s="44"/>
    </row>
    <row r="116" spans="2:4">
      <c r="B116" s="45" t="s">
        <v>12</v>
      </c>
      <c r="C116" s="46" t="s">
        <v>13</v>
      </c>
      <c r="D116" s="47">
        <v>18.8825162842906</v>
      </c>
    </row>
    <row r="117" spans="2:4">
      <c r="B117" s="45" t="s">
        <v>14</v>
      </c>
      <c r="C117" s="46" t="s">
        <v>15</v>
      </c>
      <c r="D117" s="68">
        <v>79045.0684591355</v>
      </c>
    </row>
    <row r="119" spans="2:6">
      <c r="B119" s="48" t="s">
        <v>119</v>
      </c>
      <c r="C119" s="48" t="s">
        <v>110</v>
      </c>
      <c r="D119" s="48"/>
      <c r="E119" s="48"/>
      <c r="F119" s="48"/>
    </row>
    <row r="120" spans="2:6">
      <c r="B120" s="48"/>
      <c r="C120" s="48"/>
      <c r="D120" s="48"/>
      <c r="E120" s="48"/>
      <c r="F120" s="48"/>
    </row>
    <row r="121" spans="2:6">
      <c r="B121" s="48"/>
      <c r="C121" s="48"/>
      <c r="D121" s="48"/>
      <c r="E121" s="48"/>
      <c r="F121" s="48"/>
    </row>
    <row r="122" spans="2:6">
      <c r="B122" s="88"/>
      <c r="C122" s="50">
        <v>2020</v>
      </c>
      <c r="D122" s="50">
        <v>2030</v>
      </c>
      <c r="E122" s="50">
        <v>2040</v>
      </c>
      <c r="F122" s="50">
        <v>2050</v>
      </c>
    </row>
    <row r="123" spans="2:6">
      <c r="B123" s="85">
        <v>0.0441258142145298</v>
      </c>
      <c r="C123" s="86">
        <v>79927.7536460642</v>
      </c>
      <c r="D123" s="86">
        <v>79927.7536460642</v>
      </c>
      <c r="E123" s="86">
        <v>79927.7536460642</v>
      </c>
      <c r="F123" s="86">
        <v>79927.7536460642</v>
      </c>
    </row>
    <row r="124" spans="2:6">
      <c r="B124" s="85">
        <v>0.0941258142145298</v>
      </c>
      <c r="C124" s="86">
        <v>81360.1864067572</v>
      </c>
      <c r="D124" s="86">
        <v>80873.2378673953</v>
      </c>
      <c r="E124" s="86">
        <v>80873.2378673953</v>
      </c>
      <c r="F124" s="86">
        <v>80873.2378673953</v>
      </c>
    </row>
    <row r="125" spans="2:6">
      <c r="B125" s="85">
        <v>0.14412581421453</v>
      </c>
      <c r="C125" s="86">
        <v>82659.1626483237</v>
      </c>
      <c r="D125" s="86">
        <v>82265.6067669513</v>
      </c>
      <c r="E125" s="86">
        <v>82265.6067669513</v>
      </c>
      <c r="F125" s="86">
        <v>82265.6067669513</v>
      </c>
    </row>
    <row r="126" spans="2:6">
      <c r="B126" s="85">
        <v>0.19412581421453</v>
      </c>
      <c r="C126" s="86">
        <v>88191.0297712466</v>
      </c>
      <c r="D126" s="86">
        <v>84316.0811257105</v>
      </c>
      <c r="E126" s="86">
        <v>84316.0811257105</v>
      </c>
      <c r="F126" s="86">
        <v>84316.0811257105</v>
      </c>
    </row>
    <row r="127" spans="2:6">
      <c r="B127" s="85">
        <v>0.24412581421453</v>
      </c>
      <c r="C127" s="86">
        <v>92499.1246257596</v>
      </c>
      <c r="D127" s="86">
        <v>87335.7155755103</v>
      </c>
      <c r="E127" s="86">
        <v>87335.7155755103</v>
      </c>
      <c r="F127" s="86">
        <v>87335.7155755103</v>
      </c>
    </row>
    <row r="128" spans="2:6">
      <c r="B128" s="85">
        <v>0.26412581421453</v>
      </c>
      <c r="C128" s="86">
        <v>115400.251045956</v>
      </c>
      <c r="D128" s="86">
        <v>91896.6101429967</v>
      </c>
      <c r="E128" s="86">
        <v>91782.585233483</v>
      </c>
      <c r="F128" s="86">
        <v>91782.585233483</v>
      </c>
    </row>
    <row r="129" spans="2:6">
      <c r="B129" s="85">
        <v>0.29412581421453</v>
      </c>
      <c r="C129" s="86">
        <v>189775.230098575</v>
      </c>
      <c r="D129" s="86">
        <v>105837.452091052</v>
      </c>
      <c r="E129" s="86">
        <v>98331.2751771647</v>
      </c>
      <c r="F129" s="86">
        <v>98331.2751771647</v>
      </c>
    </row>
    <row r="133" ht="15" customHeight="1" spans="2:6">
      <c r="B133" s="48" t="s">
        <v>119</v>
      </c>
      <c r="C133" s="48" t="s">
        <v>111</v>
      </c>
      <c r="D133" s="48"/>
      <c r="E133" s="48"/>
      <c r="F133" s="48"/>
    </row>
    <row r="134" spans="2:6">
      <c r="B134" s="48"/>
      <c r="C134" s="48"/>
      <c r="D134" s="48"/>
      <c r="E134" s="48"/>
      <c r="F134" s="48"/>
    </row>
    <row r="135" spans="2:6">
      <c r="B135" s="48"/>
      <c r="C135" s="48"/>
      <c r="D135" s="48"/>
      <c r="E135" s="48"/>
      <c r="F135" s="48"/>
    </row>
    <row r="136" spans="2:6">
      <c r="B136" s="88"/>
      <c r="C136" s="50">
        <v>2020</v>
      </c>
      <c r="D136" s="50">
        <v>2030</v>
      </c>
      <c r="E136" s="50">
        <v>2040</v>
      </c>
      <c r="F136" s="50">
        <v>2050</v>
      </c>
    </row>
    <row r="137" spans="2:6">
      <c r="B137" s="85">
        <v>0.1</v>
      </c>
      <c r="C137" s="86">
        <v>88920.6651098532</v>
      </c>
      <c r="D137" s="86">
        <v>85723.7072151163</v>
      </c>
      <c r="E137" s="86">
        <v>84520.5888443088</v>
      </c>
      <c r="F137" s="86">
        <v>83595.636305435</v>
      </c>
    </row>
    <row r="138" spans="2:6">
      <c r="B138" s="85">
        <v>0.15</v>
      </c>
      <c r="C138" s="86">
        <v>90395.0204926283</v>
      </c>
      <c r="D138" s="86">
        <v>85866.8890332981</v>
      </c>
      <c r="E138" s="86">
        <v>84742.0752039553</v>
      </c>
      <c r="F138" s="86">
        <v>83858.3785974444</v>
      </c>
    </row>
    <row r="139" spans="2:6">
      <c r="B139" s="85">
        <v>0.2</v>
      </c>
      <c r="C139" s="86">
        <v>91869.3758754034</v>
      </c>
      <c r="D139" s="86">
        <v>86041.5708514799</v>
      </c>
      <c r="E139" s="86">
        <v>84996.5031128271</v>
      </c>
      <c r="F139" s="86">
        <v>84156.751475997</v>
      </c>
    </row>
    <row r="140" spans="2:6">
      <c r="B140" s="85">
        <v>0.25</v>
      </c>
      <c r="C140" s="86">
        <v>93343.7312581785</v>
      </c>
      <c r="D140" s="86">
        <v>86487.4440572216</v>
      </c>
      <c r="E140" s="86">
        <v>85493.1691287208</v>
      </c>
      <c r="F140" s="86">
        <v>84675.0560982984</v>
      </c>
    </row>
    <row r="141" spans="2:6">
      <c r="B141" s="85">
        <v>0.3</v>
      </c>
      <c r="C141" s="86">
        <v>94818.0866409536</v>
      </c>
      <c r="D141" s="86">
        <v>87242.4966888005</v>
      </c>
      <c r="E141" s="86">
        <v>86278.8059816227</v>
      </c>
      <c r="F141" s="86">
        <v>85465.4384699798</v>
      </c>
    </row>
    <row r="142" spans="2:6">
      <c r="B142" s="85">
        <v>0.35</v>
      </c>
      <c r="C142" s="86">
        <v>96915.1446564834</v>
      </c>
      <c r="D142" s="86">
        <v>88296.0206122455</v>
      </c>
      <c r="E142" s="86">
        <v>87359.2952176801</v>
      </c>
      <c r="F142" s="86">
        <v>86546.2415338802</v>
      </c>
    </row>
    <row r="143" spans="2:6">
      <c r="B143" s="85">
        <v>0.4</v>
      </c>
      <c r="C143" s="86">
        <v>98758.1767482286</v>
      </c>
      <c r="D143" s="86">
        <v>91896.2574543508</v>
      </c>
      <c r="E143" s="86">
        <v>90807.9713158337</v>
      </c>
      <c r="F143" s="86">
        <v>89832.5535866655</v>
      </c>
    </row>
    <row r="144" spans="2:6">
      <c r="B144" s="85">
        <v>0.45</v>
      </c>
      <c r="C144" s="86">
        <v>104720.410736048</v>
      </c>
      <c r="D144" s="86">
        <v>97691.6617605709</v>
      </c>
      <c r="E144" s="86">
        <v>96426.7577972023</v>
      </c>
      <c r="F144" s="86">
        <v>95247.6594290264</v>
      </c>
    </row>
    <row r="149" spans="2:2">
      <c r="B149" s="43" t="s">
        <v>120</v>
      </c>
    </row>
    <row r="150" spans="2:4">
      <c r="B150" s="44">
        <v>2015</v>
      </c>
      <c r="C150" s="44"/>
      <c r="D150" s="44"/>
    </row>
    <row r="151" spans="2:4">
      <c r="B151" s="45" t="s">
        <v>12</v>
      </c>
      <c r="C151" s="46" t="s">
        <v>88</v>
      </c>
      <c r="D151" s="47">
        <v>15.6724885159612</v>
      </c>
    </row>
    <row r="152" spans="2:4">
      <c r="B152" s="45" t="s">
        <v>14</v>
      </c>
      <c r="C152" s="46" t="s">
        <v>15</v>
      </c>
      <c r="D152" s="68">
        <v>97834.8667075987</v>
      </c>
    </row>
    <row r="153" ht="15" customHeight="1"/>
    <row r="154" spans="2:6">
      <c r="B154" s="48" t="s">
        <v>121</v>
      </c>
      <c r="C154" s="48" t="s">
        <v>114</v>
      </c>
      <c r="D154" s="48"/>
      <c r="E154" s="48"/>
      <c r="F154" s="48"/>
    </row>
    <row r="155" spans="2:6">
      <c r="B155" s="48"/>
      <c r="C155" s="48"/>
      <c r="D155" s="48"/>
      <c r="E155" s="48"/>
      <c r="F155" s="48"/>
    </row>
    <row r="156" spans="2:6">
      <c r="B156" s="48"/>
      <c r="C156" s="48"/>
      <c r="D156" s="48"/>
      <c r="E156" s="48"/>
      <c r="F156" s="48"/>
    </row>
    <row r="157" spans="2:6">
      <c r="B157" s="88"/>
      <c r="C157" s="50">
        <v>2020</v>
      </c>
      <c r="D157" s="50">
        <v>2030</v>
      </c>
      <c r="E157" s="50">
        <v>2040</v>
      </c>
      <c r="F157" s="50">
        <v>2050</v>
      </c>
    </row>
    <row r="158" spans="2:6">
      <c r="B158" s="85">
        <v>0.0441258142145298</v>
      </c>
      <c r="C158" s="86">
        <v>98717.5518945274</v>
      </c>
      <c r="D158" s="86">
        <v>98717.5518945274</v>
      </c>
      <c r="E158" s="86">
        <v>98717.5518945274</v>
      </c>
      <c r="F158" s="86">
        <v>98717.5518945274</v>
      </c>
    </row>
    <row r="159" spans="2:6">
      <c r="B159" s="85">
        <v>0.0941258142145298</v>
      </c>
      <c r="C159" s="86">
        <v>100149.98465522</v>
      </c>
      <c r="D159" s="86">
        <v>99663.0361158585</v>
      </c>
      <c r="E159" s="86">
        <v>99663.0361158585</v>
      </c>
      <c r="F159" s="86">
        <v>99663.0361158585</v>
      </c>
    </row>
    <row r="160" spans="2:6">
      <c r="B160" s="85">
        <v>0.14412581421453</v>
      </c>
      <c r="C160" s="86">
        <v>101448.960896787</v>
      </c>
      <c r="D160" s="86">
        <v>101055.405015415</v>
      </c>
      <c r="E160" s="86">
        <v>101055.405015415</v>
      </c>
      <c r="F160" s="86">
        <v>101055.405015415</v>
      </c>
    </row>
    <row r="161" spans="2:6">
      <c r="B161" s="85">
        <v>0.19412581421453</v>
      </c>
      <c r="C161" s="86">
        <v>106980.82801971</v>
      </c>
      <c r="D161" s="86">
        <v>103105.879374174</v>
      </c>
      <c r="E161" s="86">
        <v>103105.879374174</v>
      </c>
      <c r="F161" s="86">
        <v>103105.879374174</v>
      </c>
    </row>
    <row r="162" spans="2:6">
      <c r="B162" s="85">
        <v>0.24412581421453</v>
      </c>
      <c r="C162" s="86">
        <v>111288.922874223</v>
      </c>
      <c r="D162" s="86">
        <v>106125.513823974</v>
      </c>
      <c r="E162" s="86">
        <v>106125.513823974</v>
      </c>
      <c r="F162" s="86">
        <v>106125.513823974</v>
      </c>
    </row>
    <row r="163" spans="2:6">
      <c r="B163" s="85">
        <v>0.26412581421453</v>
      </c>
      <c r="C163" s="86">
        <v>134190.049294419</v>
      </c>
      <c r="D163" s="86">
        <v>110686.40839146</v>
      </c>
      <c r="E163" s="86">
        <v>110572.383481946</v>
      </c>
      <c r="F163" s="86">
        <v>110572.383481946</v>
      </c>
    </row>
    <row r="164" spans="2:6">
      <c r="B164" s="85">
        <v>0.29412581421453</v>
      </c>
      <c r="C164" s="86">
        <v>208565.028347038</v>
      </c>
      <c r="D164" s="86">
        <v>124627.250339516</v>
      </c>
      <c r="E164" s="86">
        <v>117121.073425628</v>
      </c>
      <c r="F164" s="86">
        <v>117121.073425628</v>
      </c>
    </row>
    <row r="169" spans="2:2">
      <c r="B169" s="43" t="s">
        <v>122</v>
      </c>
    </row>
    <row r="170" spans="2:4">
      <c r="B170" s="44">
        <v>2015</v>
      </c>
      <c r="C170" s="44"/>
      <c r="D170" s="44"/>
    </row>
    <row r="171" spans="2:4">
      <c r="B171" s="45" t="s">
        <v>12</v>
      </c>
      <c r="C171" s="46" t="s">
        <v>13</v>
      </c>
      <c r="D171" s="47">
        <v>23.0366698668345</v>
      </c>
    </row>
    <row r="172" ht="15.75" customHeight="1" spans="2:4">
      <c r="B172" s="45" t="s">
        <v>14</v>
      </c>
      <c r="C172" s="46" t="s">
        <v>15</v>
      </c>
      <c r="D172" s="68">
        <v>87115.9084188155</v>
      </c>
    </row>
    <row r="173" ht="15.75" customHeight="1" spans="2:2">
      <c r="B173"/>
    </row>
    <row r="174" ht="15.75" customHeight="1" spans="2:6">
      <c r="B174" s="48" t="s">
        <v>123</v>
      </c>
      <c r="C174" s="48" t="s">
        <v>115</v>
      </c>
      <c r="D174" s="48"/>
      <c r="E174" s="48"/>
      <c r="F174" s="48"/>
    </row>
    <row r="175" spans="2:6">
      <c r="B175" s="48"/>
      <c r="C175" s="48"/>
      <c r="D175" s="48"/>
      <c r="E175" s="48"/>
      <c r="F175" s="48"/>
    </row>
    <row r="176" spans="2:6">
      <c r="B176" s="48"/>
      <c r="C176" s="48"/>
      <c r="D176" s="48"/>
      <c r="E176" s="48"/>
      <c r="F176" s="48"/>
    </row>
    <row r="177" spans="2:6">
      <c r="B177" s="88"/>
      <c r="C177" s="50">
        <v>2020</v>
      </c>
      <c r="D177" s="50">
        <v>2030</v>
      </c>
      <c r="E177" s="50">
        <v>2040</v>
      </c>
      <c r="F177" s="50">
        <v>2050</v>
      </c>
    </row>
    <row r="178" spans="2:6">
      <c r="B178" s="85">
        <v>0.0441258142145298</v>
      </c>
      <c r="C178" s="86">
        <v>87998.5936057443</v>
      </c>
      <c r="D178" s="86">
        <v>87998.5936057443</v>
      </c>
      <c r="E178" s="86">
        <v>87998.5936057443</v>
      </c>
      <c r="F178" s="86">
        <v>87998.5936057443</v>
      </c>
    </row>
    <row r="179" spans="2:6">
      <c r="B179" s="85">
        <v>0.0941258142145298</v>
      </c>
      <c r="C179" s="86">
        <v>89431.0263664373</v>
      </c>
      <c r="D179" s="86">
        <v>88944.0778270753</v>
      </c>
      <c r="E179" s="86">
        <v>88944.0778270753</v>
      </c>
      <c r="F179" s="86">
        <v>88944.0778270753</v>
      </c>
    </row>
    <row r="180" spans="2:6">
      <c r="B180" s="85">
        <v>0.14412581421453</v>
      </c>
      <c r="C180" s="86">
        <v>90730.0026080037</v>
      </c>
      <c r="D180" s="86">
        <v>90336.4467266314</v>
      </c>
      <c r="E180" s="86">
        <v>90336.4467266314</v>
      </c>
      <c r="F180" s="86">
        <v>90336.4467266314</v>
      </c>
    </row>
    <row r="181" spans="2:6">
      <c r="B181" s="85">
        <v>0.19412581421453</v>
      </c>
      <c r="C181" s="86">
        <v>96261.8697309267</v>
      </c>
      <c r="D181" s="86">
        <v>92386.9210853906</v>
      </c>
      <c r="E181" s="86">
        <v>92386.9210853906</v>
      </c>
      <c r="F181" s="86">
        <v>92386.9210853906</v>
      </c>
    </row>
    <row r="182" spans="2:6">
      <c r="B182" s="85">
        <v>0.24412581421453</v>
      </c>
      <c r="C182" s="86">
        <v>100569.96458544</v>
      </c>
      <c r="D182" s="86">
        <v>95406.5555351904</v>
      </c>
      <c r="E182" s="86">
        <v>95406.5555351904</v>
      </c>
      <c r="F182" s="86">
        <v>95406.5555351904</v>
      </c>
    </row>
    <row r="183" spans="2:6">
      <c r="B183" s="85">
        <v>0.26412581421453</v>
      </c>
      <c r="C183" s="86">
        <v>123471.091005636</v>
      </c>
      <c r="D183" s="86">
        <v>99967.4501026767</v>
      </c>
      <c r="E183" s="86">
        <v>99853.4251931631</v>
      </c>
      <c r="F183" s="86">
        <v>99853.4251931631</v>
      </c>
    </row>
    <row r="184" spans="2:6">
      <c r="B184" s="85">
        <v>0.29412581421453</v>
      </c>
      <c r="C184" s="86">
        <v>197846.070058255</v>
      </c>
      <c r="D184" s="86">
        <v>113908.292050733</v>
      </c>
      <c r="E184" s="86">
        <v>106402.115136845</v>
      </c>
      <c r="F184" s="86">
        <v>106402.115136845</v>
      </c>
    </row>
    <row r="188" spans="2:4">
      <c r="B188" s="44">
        <v>2020</v>
      </c>
      <c r="C188" s="44"/>
      <c r="D188" s="44"/>
    </row>
    <row r="189" spans="2:4">
      <c r="B189" s="45" t="s">
        <v>124</v>
      </c>
      <c r="C189" s="46" t="s">
        <v>26</v>
      </c>
      <c r="D189" s="74">
        <v>0.74</v>
      </c>
    </row>
    <row r="192" ht="15" customHeight="1" spans="2:6">
      <c r="B192" s="48" t="s">
        <v>27</v>
      </c>
      <c r="C192" s="48" t="s">
        <v>117</v>
      </c>
      <c r="D192" s="48"/>
      <c r="E192" s="48"/>
      <c r="F192" s="48"/>
    </row>
    <row r="193" spans="2:6">
      <c r="B193" s="48"/>
      <c r="C193" s="48"/>
      <c r="D193" s="48"/>
      <c r="E193" s="48"/>
      <c r="F193" s="48"/>
    </row>
    <row r="194" spans="2:6">
      <c r="B194" s="48"/>
      <c r="C194" s="48"/>
      <c r="D194" s="48"/>
      <c r="E194" s="48"/>
      <c r="F194" s="48"/>
    </row>
    <row r="195" spans="2:6">
      <c r="B195" s="88"/>
      <c r="C195" s="50">
        <v>2020</v>
      </c>
      <c r="D195" s="50">
        <v>2030</v>
      </c>
      <c r="E195" s="50">
        <v>2040</v>
      </c>
      <c r="F195" s="50">
        <v>2050</v>
      </c>
    </row>
    <row r="196" spans="2:6">
      <c r="B196" s="66">
        <v>150</v>
      </c>
      <c r="C196" s="86">
        <v>144373.905423467</v>
      </c>
      <c r="D196" s="86">
        <v>95780.7302979094</v>
      </c>
      <c r="E196" s="86">
        <v>90629.9070208589</v>
      </c>
      <c r="F196" s="86">
        <v>88752.5161176525</v>
      </c>
    </row>
    <row r="197" spans="2:6">
      <c r="B197" s="66">
        <v>178.571428571429</v>
      </c>
      <c r="C197" s="86">
        <v>147802.362213157</v>
      </c>
      <c r="D197" s="86">
        <v>97793.4993710964</v>
      </c>
      <c r="E197" s="86">
        <v>92046.7492662401</v>
      </c>
      <c r="F197" s="86">
        <v>89776.9226508232</v>
      </c>
    </row>
    <row r="198" spans="2:6">
      <c r="B198" s="66">
        <v>207.142857142857</v>
      </c>
      <c r="C198" s="86">
        <v>149288.810561655</v>
      </c>
      <c r="D198" s="86">
        <v>100585.833714969</v>
      </c>
      <c r="E198" s="86">
        <v>93658.4385500626</v>
      </c>
      <c r="F198" s="86">
        <v>90964.2849465796</v>
      </c>
    </row>
    <row r="199" spans="2:6">
      <c r="B199" s="66">
        <v>235.714285714286</v>
      </c>
      <c r="C199" s="86">
        <v>152494.108762408</v>
      </c>
      <c r="D199" s="86">
        <v>102554.343444586</v>
      </c>
      <c r="E199" s="86">
        <v>94660.0138665998</v>
      </c>
      <c r="F199" s="86">
        <v>92014.5204906916</v>
      </c>
    </row>
    <row r="200" spans="2:6">
      <c r="B200" s="66">
        <v>264.285714285714</v>
      </c>
      <c r="C200" s="86">
        <v>155632.353081546</v>
      </c>
      <c r="D200" s="86">
        <v>104580.228913704</v>
      </c>
      <c r="E200" s="86">
        <v>95569.8225134195</v>
      </c>
      <c r="F200" s="86">
        <v>92930.9045082581</v>
      </c>
    </row>
    <row r="201" spans="2:6">
      <c r="B201" s="66">
        <v>350</v>
      </c>
      <c r="C201" s="86">
        <v>159704.765843061</v>
      </c>
      <c r="D201" s="86">
        <v>107786.20577947</v>
      </c>
      <c r="E201" s="86">
        <v>98254.3480327816</v>
      </c>
      <c r="F201" s="86">
        <v>95331.8317326809</v>
      </c>
    </row>
    <row r="202" spans="2:6">
      <c r="B202" s="66">
        <v>500</v>
      </c>
      <c r="C202" s="86">
        <v>179612.758472383</v>
      </c>
      <c r="D202" s="86">
        <v>119565.16497781</v>
      </c>
      <c r="E202" s="86">
        <v>104086.944839593</v>
      </c>
      <c r="F202" s="86">
        <v>100030.341013554</v>
      </c>
    </row>
    <row r="203" spans="2:6">
      <c r="B203" s="66">
        <v>600</v>
      </c>
      <c r="C203" s="86">
        <v>193069.495161372</v>
      </c>
      <c r="D203" s="86">
        <v>125556.819841456</v>
      </c>
      <c r="E203" s="86">
        <v>111128.241503766</v>
      </c>
      <c r="F203" s="86">
        <v>104587.124680729</v>
      </c>
    </row>
    <row r="206" ht="15.75" customHeight="1"/>
    <row r="207" ht="21.75" customHeight="1" spans="2:6">
      <c r="B207" s="71" t="s">
        <v>29</v>
      </c>
      <c r="C207" s="55" t="s">
        <v>118</v>
      </c>
      <c r="D207" s="56"/>
      <c r="E207" s="56"/>
      <c r="F207" s="57"/>
    </row>
    <row r="208" ht="21.75" customHeight="1" spans="2:6">
      <c r="B208" s="72"/>
      <c r="C208" s="58"/>
      <c r="D208" s="59"/>
      <c r="E208" s="59"/>
      <c r="F208" s="60"/>
    </row>
    <row r="209" spans="2:6">
      <c r="B209" s="73"/>
      <c r="C209" s="61"/>
      <c r="D209" s="62"/>
      <c r="E209" s="62"/>
      <c r="F209" s="63"/>
    </row>
    <row r="210" spans="2:6">
      <c r="B210" s="88"/>
      <c r="C210" s="50">
        <v>2020</v>
      </c>
      <c r="D210" s="50">
        <v>2030</v>
      </c>
      <c r="E210" s="50">
        <v>2040</v>
      </c>
      <c r="F210" s="50">
        <v>2050</v>
      </c>
    </row>
    <row r="211" spans="2:6">
      <c r="B211" s="67">
        <v>3.6</v>
      </c>
      <c r="C211" s="86">
        <v>289239.360061222</v>
      </c>
      <c r="D211" s="86">
        <v>165331.416739842</v>
      </c>
      <c r="E211" s="86">
        <v>126641.731543009</v>
      </c>
      <c r="F211" s="86">
        <v>113300.500205988</v>
      </c>
    </row>
    <row r="212" spans="2:6">
      <c r="B212" s="67">
        <v>3.49104438941274</v>
      </c>
      <c r="C212" s="86">
        <v>290124.884209772</v>
      </c>
      <c r="D212" s="86">
        <v>165775.115926834</v>
      </c>
      <c r="E212" s="86">
        <v>127085.430730001</v>
      </c>
      <c r="F212" s="86">
        <v>113744.19939298</v>
      </c>
    </row>
    <row r="213" spans="2:6">
      <c r="B213" s="67">
        <v>3.38208877882548</v>
      </c>
      <c r="C213" s="86">
        <v>291607.78759882</v>
      </c>
      <c r="D213" s="86">
        <v>169260.356312954</v>
      </c>
      <c r="E213" s="86">
        <v>127529.129916993</v>
      </c>
      <c r="F213" s="86">
        <v>114187.898579971</v>
      </c>
    </row>
    <row r="214" spans="2:6">
      <c r="B214" s="67">
        <v>3.27313316823822</v>
      </c>
      <c r="C214" s="86">
        <v>298751.243165772</v>
      </c>
      <c r="D214" s="86">
        <v>172972.418760191</v>
      </c>
      <c r="E214" s="86">
        <v>127972.829103985</v>
      </c>
      <c r="F214" s="86">
        <v>114631.597766963</v>
      </c>
    </row>
    <row r="215" spans="2:6">
      <c r="B215" s="67">
        <v>3.16417755765097</v>
      </c>
      <c r="C215" s="86">
        <v>300389.263299954</v>
      </c>
      <c r="D215" s="86">
        <v>179433.095982914</v>
      </c>
      <c r="E215" s="86">
        <v>128416.528290977</v>
      </c>
      <c r="F215" s="86">
        <v>115075.296953955</v>
      </c>
    </row>
    <row r="216" spans="2:6">
      <c r="B216" s="67">
        <v>3.05522194706371</v>
      </c>
      <c r="C216" s="86">
        <v>301347.939435471</v>
      </c>
      <c r="D216" s="86">
        <v>179995.322886205</v>
      </c>
      <c r="E216" s="86">
        <v>128860.227477969</v>
      </c>
      <c r="F216" s="86">
        <v>115518.996140947</v>
      </c>
    </row>
    <row r="217" spans="2:6">
      <c r="B217" s="67">
        <v>2.94626633647645</v>
      </c>
      <c r="C217" s="86">
        <v>302306.615570987</v>
      </c>
      <c r="D217" s="86">
        <v>180557.549789496</v>
      </c>
      <c r="E217" s="86">
        <v>129303.92666496</v>
      </c>
      <c r="F217" s="86">
        <v>115962.695327939</v>
      </c>
    </row>
    <row r="218" spans="2:6">
      <c r="B218" s="67">
        <v>2.83731072588919</v>
      </c>
      <c r="C218" s="86">
        <v>303265.291706504</v>
      </c>
      <c r="D218" s="86">
        <v>181119.776692787</v>
      </c>
      <c r="E218" s="86">
        <v>129747.625851952</v>
      </c>
      <c r="F218" s="86">
        <v>116406.394514931</v>
      </c>
    </row>
    <row r="249" ht="15" customHeight="1"/>
    <row r="269" ht="15" customHeight="1"/>
    <row r="328" ht="21.75" customHeight="1"/>
    <row r="329" ht="21.75" customHeight="1"/>
    <row r="330" ht="21.75" customHeight="1"/>
    <row r="449" ht="21.75" customHeight="1"/>
    <row r="450" ht="21.75" customHeight="1"/>
    <row r="451" ht="21.75" customHeight="1"/>
  </sheetData>
  <mergeCells count="36">
    <mergeCell ref="B1:F1"/>
    <mergeCell ref="B2:F2"/>
    <mergeCell ref="B3:F3"/>
    <mergeCell ref="B6:D6"/>
    <mergeCell ref="B41:D41"/>
    <mergeCell ref="B61:D61"/>
    <mergeCell ref="B79:D79"/>
    <mergeCell ref="B112:F112"/>
    <mergeCell ref="B115:D115"/>
    <mergeCell ref="B150:D150"/>
    <mergeCell ref="B170:D170"/>
    <mergeCell ref="B188:D188"/>
    <mergeCell ref="B10:B12"/>
    <mergeCell ref="B24:B26"/>
    <mergeCell ref="B45:B47"/>
    <mergeCell ref="B65:B67"/>
    <mergeCell ref="B82:B84"/>
    <mergeCell ref="B97:B99"/>
    <mergeCell ref="B119:B121"/>
    <mergeCell ref="B133:B135"/>
    <mergeCell ref="B154:B156"/>
    <mergeCell ref="B174:B176"/>
    <mergeCell ref="B192:B194"/>
    <mergeCell ref="B207:B209"/>
    <mergeCell ref="C10:F12"/>
    <mergeCell ref="C24:F26"/>
    <mergeCell ref="C82:F84"/>
    <mergeCell ref="C65:F67"/>
    <mergeCell ref="C45:F47"/>
    <mergeCell ref="C207:F209"/>
    <mergeCell ref="C192:F194"/>
    <mergeCell ref="C97:F99"/>
    <mergeCell ref="C154:F156"/>
    <mergeCell ref="C174:F176"/>
    <mergeCell ref="C119:F121"/>
    <mergeCell ref="C133:F135"/>
  </mergeCells>
  <pageMargins left="0.7" right="0.7" top="0.75" bottom="0.75" header="0.3" footer="0.3"/>
  <pageSetup paperSize="1"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27"/>
  <sheetViews>
    <sheetView showGridLines="0" workbookViewId="0">
      <pane ySplit="2" topLeftCell="A3" activePane="bottomLeft" state="frozen"/>
      <selection/>
      <selection pane="bottomLeft" activeCell="B3" sqref="B3:F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80" t="s">
        <v>9</v>
      </c>
      <c r="C2" s="81"/>
      <c r="D2" s="81"/>
      <c r="E2" s="81"/>
      <c r="F2" s="81"/>
    </row>
    <row r="3" ht="18.5" spans="2:6">
      <c r="B3" s="37" t="s">
        <v>521</v>
      </c>
      <c r="C3" s="38"/>
      <c r="D3" s="38"/>
      <c r="E3" s="38"/>
      <c r="F3" s="39"/>
    </row>
    <row r="4" spans="11:20">
      <c r="K4" s="65" t="s">
        <v>522</v>
      </c>
      <c r="L4" s="65"/>
      <c r="M4" s="65"/>
      <c r="N4" s="65"/>
      <c r="O4" s="65"/>
      <c r="P4" s="65"/>
      <c r="Q4" s="65"/>
      <c r="R4" s="65"/>
      <c r="S4" s="65"/>
      <c r="T4" s="65"/>
    </row>
    <row r="5" spans="2:20">
      <c r="B5" s="43" t="s">
        <v>523</v>
      </c>
      <c r="K5" s="65"/>
      <c r="L5" s="65"/>
      <c r="M5" s="65"/>
      <c r="N5" s="65"/>
      <c r="O5" s="65"/>
      <c r="P5" s="65"/>
      <c r="Q5" s="65"/>
      <c r="R5" s="65"/>
      <c r="S5" s="65"/>
      <c r="T5" s="65"/>
    </row>
    <row r="6" spans="2:20">
      <c r="B6" s="82">
        <v>2015</v>
      </c>
      <c r="C6" s="83"/>
      <c r="D6" s="84"/>
      <c r="K6" s="65"/>
      <c r="L6" s="65"/>
      <c r="M6" s="65"/>
      <c r="N6" s="65"/>
      <c r="O6" s="65"/>
      <c r="P6" s="65"/>
      <c r="Q6" s="65"/>
      <c r="R6" s="65"/>
      <c r="S6" s="65"/>
      <c r="T6" s="65"/>
    </row>
    <row r="7" spans="2:20">
      <c r="B7" s="45" t="s">
        <v>12</v>
      </c>
      <c r="C7" s="46" t="s">
        <v>13</v>
      </c>
      <c r="D7" s="47">
        <v>26.4540471693243</v>
      </c>
      <c r="K7" s="65"/>
      <c r="L7" s="65"/>
      <c r="M7" s="65"/>
      <c r="N7" s="65"/>
      <c r="O7" s="65"/>
      <c r="P7" s="65"/>
      <c r="Q7" s="65"/>
      <c r="R7" s="65"/>
      <c r="S7" s="65"/>
      <c r="T7" s="65"/>
    </row>
    <row r="8" spans="2:20">
      <c r="B8" s="45" t="s">
        <v>14</v>
      </c>
      <c r="C8" s="46" t="s">
        <v>15</v>
      </c>
      <c r="D8" s="68">
        <v>104049.009026778</v>
      </c>
      <c r="K8" s="65"/>
      <c r="L8" s="65"/>
      <c r="M8" s="65"/>
      <c r="N8" s="65"/>
      <c r="O8" s="65"/>
      <c r="P8" s="65"/>
      <c r="Q8" s="65"/>
      <c r="R8" s="65"/>
      <c r="S8" s="65"/>
      <c r="T8" s="65"/>
    </row>
    <row r="9" ht="15" customHeight="1" spans="11:20">
      <c r="K9" s="65"/>
      <c r="L9" s="65"/>
      <c r="M9" s="65"/>
      <c r="N9" s="65"/>
      <c r="O9" s="65"/>
      <c r="P9" s="65"/>
      <c r="Q9" s="65"/>
      <c r="R9" s="65"/>
      <c r="S9" s="65"/>
      <c r="T9" s="65"/>
    </row>
    <row r="10" ht="15" customHeight="1" spans="2:20">
      <c r="B10" s="48" t="s">
        <v>119</v>
      </c>
      <c r="C10" s="48" t="s">
        <v>524</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8">
      <c r="B14" s="85">
        <v>0.0326299019680694</v>
      </c>
      <c r="C14" s="86">
        <v>105926.499305968</v>
      </c>
      <c r="D14" s="86">
        <v>104054.749305968</v>
      </c>
      <c r="E14" s="86">
        <v>104018.697266617</v>
      </c>
      <c r="F14" s="86">
        <v>103990.373410703</v>
      </c>
      <c r="H14" s="87"/>
    </row>
    <row r="15" spans="2:8">
      <c r="B15" s="85">
        <v>0.0826299019680694</v>
      </c>
      <c r="C15" s="86">
        <v>107636.923518373</v>
      </c>
      <c r="D15" s="86">
        <v>104296.999305968</v>
      </c>
      <c r="E15" s="86">
        <v>104228.154661354</v>
      </c>
      <c r="F15" s="86">
        <v>104172.835373556</v>
      </c>
      <c r="H15" s="87"/>
    </row>
    <row r="16" spans="2:8">
      <c r="B16" s="85">
        <v>0.132629901968069</v>
      </c>
      <c r="C16" s="86">
        <v>109387.006530653</v>
      </c>
      <c r="D16" s="86">
        <v>104866.999305968</v>
      </c>
      <c r="E16" s="86">
        <v>104729.274729953</v>
      </c>
      <c r="F16" s="86">
        <v>104615.951677126</v>
      </c>
      <c r="H16" s="87"/>
    </row>
    <row r="17" spans="2:8">
      <c r="B17" s="85">
        <v>0.182629901968069</v>
      </c>
      <c r="C17" s="86">
        <v>116593.188161858</v>
      </c>
      <c r="D17" s="86">
        <v>105668.909305968</v>
      </c>
      <c r="E17" s="86">
        <v>105453.443928835</v>
      </c>
      <c r="F17" s="86">
        <v>105271.588343492</v>
      </c>
      <c r="H17" s="87"/>
    </row>
    <row r="18" spans="2:8">
      <c r="B18" s="85">
        <v>0.232629901968069</v>
      </c>
      <c r="C18" s="86">
        <v>123025.977594695</v>
      </c>
      <c r="D18" s="86">
        <v>107051.259305968</v>
      </c>
      <c r="E18" s="86">
        <v>106725.701247755</v>
      </c>
      <c r="F18" s="86">
        <v>106443.125180044</v>
      </c>
      <c r="H18" s="87"/>
    </row>
    <row r="19" spans="2:8">
      <c r="B19" s="85">
        <v>0.282629901968069</v>
      </c>
      <c r="C19" s="86">
        <v>156122.469999119</v>
      </c>
      <c r="D19" s="86">
        <v>110084.629305968</v>
      </c>
      <c r="E19" s="86">
        <v>109555.480712197</v>
      </c>
      <c r="F19" s="86">
        <v>109081.211214992</v>
      </c>
      <c r="H19" s="87"/>
    </row>
    <row r="20" spans="2:8">
      <c r="B20" s="85">
        <v>0.312629901968069</v>
      </c>
      <c r="C20" s="86">
        <v>269188.355780887</v>
      </c>
      <c r="D20" s="86">
        <v>124230.799305968</v>
      </c>
      <c r="E20" s="86">
        <v>122847.311370951</v>
      </c>
      <c r="F20" s="86">
        <v>121557.673253108</v>
      </c>
      <c r="H20" s="87"/>
    </row>
    <row r="24" ht="15" customHeight="1" spans="2:6">
      <c r="B24" s="48" t="s">
        <v>21</v>
      </c>
      <c r="C24" s="48" t="s">
        <v>525</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8">
      <c r="B28" s="85">
        <v>0.05</v>
      </c>
      <c r="C28" s="86">
        <v>117809.007026778</v>
      </c>
      <c r="D28" s="86">
        <v>113354.579026778</v>
      </c>
      <c r="E28" s="86">
        <v>111678.234096787</v>
      </c>
      <c r="F28" s="86">
        <v>110389.466892622</v>
      </c>
      <c r="H28" s="87"/>
    </row>
    <row r="29" spans="2:8">
      <c r="B29" s="85">
        <v>0.1</v>
      </c>
      <c r="C29" s="86">
        <v>119652.333746778</v>
      </c>
      <c r="D29" s="86">
        <v>113554.079026778</v>
      </c>
      <c r="E29" s="86">
        <v>111986.838424561</v>
      </c>
      <c r="F29" s="86">
        <v>110755.554486155</v>
      </c>
      <c r="H29" s="87"/>
    </row>
    <row r="30" spans="2:15">
      <c r="B30" s="85">
        <v>0.15</v>
      </c>
      <c r="C30" s="86">
        <v>121956.492146778</v>
      </c>
      <c r="D30" s="86">
        <v>113797.469026778</v>
      </c>
      <c r="E30" s="86">
        <v>112341.341310922</v>
      </c>
      <c r="F30" s="86">
        <v>111171.287363605</v>
      </c>
      <c r="H30" s="87"/>
      <c r="L30" s="89"/>
      <c r="O30" s="90"/>
    </row>
    <row r="31" spans="2:13">
      <c r="B31" s="85">
        <v>0.2</v>
      </c>
      <c r="C31" s="86">
        <v>124491.066386778</v>
      </c>
      <c r="D31" s="86">
        <v>114418.719026778</v>
      </c>
      <c r="E31" s="86">
        <v>113033.362626401</v>
      </c>
      <c r="F31" s="86">
        <v>111893.458470679</v>
      </c>
      <c r="H31" s="87"/>
      <c r="M31" s="89"/>
    </row>
    <row r="32" spans="2:8">
      <c r="B32" s="85">
        <v>0.25</v>
      </c>
      <c r="C32" s="86">
        <v>127025.640626778</v>
      </c>
      <c r="D32" s="86">
        <v>115470.759026778</v>
      </c>
      <c r="E32" s="86">
        <v>114128.016641444</v>
      </c>
      <c r="F32" s="86">
        <v>112994.724575221</v>
      </c>
      <c r="H32" s="87"/>
    </row>
    <row r="33" spans="2:8">
      <c r="B33" s="85">
        <v>0.3</v>
      </c>
      <c r="C33" s="86">
        <v>129870.643618485</v>
      </c>
      <c r="D33" s="86">
        <v>116938.669026778</v>
      </c>
      <c r="E33" s="86">
        <v>115633.49831035</v>
      </c>
      <c r="F33" s="86">
        <v>114500.643510923</v>
      </c>
      <c r="H33" s="87"/>
    </row>
    <row r="34" spans="2:8">
      <c r="B34" s="85">
        <v>0.35</v>
      </c>
      <c r="C34" s="86">
        <v>132341.870707305</v>
      </c>
      <c r="D34" s="86">
        <v>121954.999026778</v>
      </c>
      <c r="E34" s="86">
        <v>120438.653673778</v>
      </c>
      <c r="F34" s="86">
        <v>119079.571637803</v>
      </c>
      <c r="H34" s="87"/>
    </row>
    <row r="35" spans="2:6">
      <c r="B35" s="85">
        <v>0.4</v>
      </c>
      <c r="C35" s="86">
        <v>140787.309783376</v>
      </c>
      <c r="D35" s="86">
        <v>130029.929026778</v>
      </c>
      <c r="E35" s="86">
        <v>128267.496171151</v>
      </c>
      <c r="F35" s="86">
        <v>126624.619111493</v>
      </c>
    </row>
    <row r="40" spans="2:2">
      <c r="B40" s="43" t="s">
        <v>526</v>
      </c>
    </row>
    <row r="41" spans="2:4">
      <c r="B41" s="82">
        <v>2020</v>
      </c>
      <c r="C41" s="83"/>
      <c r="D41" s="84"/>
    </row>
    <row r="42" spans="2:4">
      <c r="B42" s="45" t="s">
        <v>12</v>
      </c>
      <c r="C42" s="46" t="s">
        <v>88</v>
      </c>
      <c r="D42" s="47">
        <v>23.5955365197922</v>
      </c>
    </row>
    <row r="43" spans="2:4">
      <c r="B43" s="45" t="s">
        <v>14</v>
      </c>
      <c r="C43" s="46" t="s">
        <v>15</v>
      </c>
      <c r="D43" s="68">
        <v>135102.073358062</v>
      </c>
    </row>
    <row r="44" ht="15" customHeight="1"/>
    <row r="45" spans="2:6">
      <c r="B45" s="48" t="s">
        <v>121</v>
      </c>
      <c r="C45" s="48" t="s">
        <v>527</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0.0326299019680694</v>
      </c>
      <c r="C49" s="86">
        <v>136979.563637252</v>
      </c>
      <c r="D49" s="86">
        <v>135107.813637252</v>
      </c>
      <c r="E49" s="86">
        <v>135071.761597901</v>
      </c>
      <c r="F49" s="86">
        <v>135043.437741987</v>
      </c>
    </row>
    <row r="50" spans="2:6">
      <c r="B50" s="85">
        <v>0.0826299019680694</v>
      </c>
      <c r="C50" s="86">
        <v>138689.987849657</v>
      </c>
      <c r="D50" s="86">
        <v>135350.063637252</v>
      </c>
      <c r="E50" s="86">
        <v>135281.218992638</v>
      </c>
      <c r="F50" s="86">
        <v>135225.89970484</v>
      </c>
    </row>
    <row r="51" spans="2:14">
      <c r="B51" s="85">
        <v>0.132629901968069</v>
      </c>
      <c r="C51" s="86">
        <v>140440.070861937</v>
      </c>
      <c r="D51" s="86">
        <v>135920.063637252</v>
      </c>
      <c r="E51" s="86">
        <v>135782.339061237</v>
      </c>
      <c r="F51" s="86">
        <v>135669.01600841</v>
      </c>
      <c r="M51" s="89"/>
      <c r="N51" s="89"/>
    </row>
    <row r="52" spans="2:6">
      <c r="B52" s="85">
        <v>0.182629901968069</v>
      </c>
      <c r="C52" s="86">
        <v>147646.252493142</v>
      </c>
      <c r="D52" s="86">
        <v>136721.973637252</v>
      </c>
      <c r="E52" s="86">
        <v>136506.508260119</v>
      </c>
      <c r="F52" s="86">
        <v>136324.652674776</v>
      </c>
    </row>
    <row r="53" spans="2:6">
      <c r="B53" s="85">
        <v>0.232629901968069</v>
      </c>
      <c r="C53" s="86">
        <v>154079.041925979</v>
      </c>
      <c r="D53" s="86">
        <v>138104.323637252</v>
      </c>
      <c r="E53" s="86">
        <v>137778.765579039</v>
      </c>
      <c r="F53" s="86">
        <v>137496.189511328</v>
      </c>
    </row>
    <row r="54" spans="2:6">
      <c r="B54" s="85">
        <v>0.282629901968069</v>
      </c>
      <c r="C54" s="86">
        <v>187175.534330403</v>
      </c>
      <c r="D54" s="86">
        <v>141137.693637252</v>
      </c>
      <c r="E54" s="86">
        <v>140608.545043481</v>
      </c>
      <c r="F54" s="86">
        <v>140134.275546276</v>
      </c>
    </row>
    <row r="55" spans="2:6">
      <c r="B55" s="85">
        <v>0.312629901968069</v>
      </c>
      <c r="C55" s="86">
        <v>300241.420112171</v>
      </c>
      <c r="D55" s="86">
        <v>155283.863637252</v>
      </c>
      <c r="E55" s="86">
        <v>153900.375702235</v>
      </c>
      <c r="F55" s="86">
        <v>152610.737584392</v>
      </c>
    </row>
    <row r="60" spans="2:2">
      <c r="B60" s="43" t="s">
        <v>528</v>
      </c>
    </row>
    <row r="61" spans="2:4">
      <c r="B61" s="82">
        <v>2015</v>
      </c>
      <c r="C61" s="83"/>
      <c r="D61" s="84"/>
    </row>
    <row r="62" spans="2:4">
      <c r="B62" s="45" t="s">
        <v>12</v>
      </c>
      <c r="C62" s="46" t="s">
        <v>13</v>
      </c>
      <c r="D62" s="47">
        <v>34.6938323532122</v>
      </c>
    </row>
    <row r="63" spans="2:4">
      <c r="B63" s="45" t="s">
        <v>14</v>
      </c>
      <c r="C63" s="46" t="s">
        <v>15</v>
      </c>
      <c r="D63" s="68">
        <v>114810.128973018</v>
      </c>
    </row>
    <row r="64" ht="15" customHeight="1"/>
    <row r="65" spans="2:6">
      <c r="B65" s="48" t="s">
        <v>529</v>
      </c>
      <c r="C65" s="48" t="s">
        <v>530</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0.0326299019680694</v>
      </c>
      <c r="C69" s="86">
        <v>116687.619252208</v>
      </c>
      <c r="D69" s="86">
        <v>114815.869252208</v>
      </c>
      <c r="E69" s="86">
        <v>114779.817212857</v>
      </c>
      <c r="F69" s="86">
        <v>114751.493356943</v>
      </c>
    </row>
    <row r="70" spans="2:6">
      <c r="B70" s="85">
        <v>0.0826299019680694</v>
      </c>
      <c r="C70" s="86">
        <v>118398.043464613</v>
      </c>
      <c r="D70" s="86">
        <v>115058.119252208</v>
      </c>
      <c r="E70" s="86">
        <v>114989.274607594</v>
      </c>
      <c r="F70" s="86">
        <v>114933.955319797</v>
      </c>
    </row>
    <row r="71" spans="2:6">
      <c r="B71" s="85">
        <v>0.132629901968069</v>
      </c>
      <c r="C71" s="86">
        <v>120148.126476893</v>
      </c>
      <c r="D71" s="86">
        <v>115628.119252208</v>
      </c>
      <c r="E71" s="86">
        <v>115490.394676193</v>
      </c>
      <c r="F71" s="86">
        <v>115377.071623366</v>
      </c>
    </row>
    <row r="72" spans="2:6">
      <c r="B72" s="85">
        <v>0.182629901968069</v>
      </c>
      <c r="C72" s="86">
        <v>127354.308108098</v>
      </c>
      <c r="D72" s="86">
        <v>116430.029252208</v>
      </c>
      <c r="E72" s="86">
        <v>116214.563875075</v>
      </c>
      <c r="F72" s="86">
        <v>116032.708289732</v>
      </c>
    </row>
    <row r="73" spans="2:6">
      <c r="B73" s="85">
        <v>0.232629901968069</v>
      </c>
      <c r="C73" s="86">
        <v>133787.097540935</v>
      </c>
      <c r="D73" s="86">
        <v>117812.379252208</v>
      </c>
      <c r="E73" s="86">
        <v>117486.821193995</v>
      </c>
      <c r="F73" s="86">
        <v>117204.245126284</v>
      </c>
    </row>
    <row r="74" spans="2:6">
      <c r="B74" s="85">
        <v>0.282629901968069</v>
      </c>
      <c r="C74" s="86">
        <v>166883.589945359</v>
      </c>
      <c r="D74" s="86">
        <v>120845.749252208</v>
      </c>
      <c r="E74" s="86">
        <v>120316.600658437</v>
      </c>
      <c r="F74" s="86">
        <v>119842.331161232</v>
      </c>
    </row>
    <row r="75" spans="2:6">
      <c r="B75" s="85">
        <v>0.312629901968069</v>
      </c>
      <c r="C75" s="86">
        <v>279949.475727127</v>
      </c>
      <c r="D75" s="86">
        <v>134991.919252208</v>
      </c>
      <c r="E75" s="86">
        <v>133608.431317191</v>
      </c>
      <c r="F75" s="86">
        <v>132318.793199348</v>
      </c>
    </row>
    <row r="79" spans="2:4">
      <c r="B79" s="91">
        <v>2020</v>
      </c>
      <c r="C79" s="92"/>
      <c r="D79" s="93"/>
    </row>
    <row r="80" spans="2:4">
      <c r="B80" s="45" t="s">
        <v>531</v>
      </c>
      <c r="C80" s="46" t="s">
        <v>26</v>
      </c>
      <c r="D80" s="74">
        <v>1.3</v>
      </c>
    </row>
    <row r="82" spans="2:6">
      <c r="B82" s="48" t="s">
        <v>27</v>
      </c>
      <c r="C82" s="48" t="s">
        <v>532</v>
      </c>
      <c r="D82" s="48"/>
      <c r="E82" s="48"/>
      <c r="F82" s="48"/>
    </row>
    <row r="83" ht="15" customHeight="1" spans="2:6">
      <c r="B83" s="48"/>
      <c r="C83" s="48"/>
      <c r="D83" s="48"/>
      <c r="E83" s="48"/>
      <c r="F83" s="48"/>
    </row>
    <row r="84" spans="2:6">
      <c r="B84" s="48"/>
      <c r="C84" s="48"/>
      <c r="D84" s="48"/>
      <c r="E84" s="48"/>
      <c r="F84" s="48"/>
    </row>
    <row r="85" spans="2:6">
      <c r="B85" s="66"/>
      <c r="C85" s="50">
        <v>2020</v>
      </c>
      <c r="D85" s="50">
        <v>2030</v>
      </c>
      <c r="E85" s="50">
        <v>2040</v>
      </c>
      <c r="F85" s="50">
        <v>2050</v>
      </c>
    </row>
    <row r="86" spans="2:6">
      <c r="B86" s="66">
        <v>150</v>
      </c>
      <c r="C86" s="86">
        <v>194972.564441614</v>
      </c>
      <c r="D86" s="86">
        <v>136440.612585696</v>
      </c>
      <c r="E86" s="86">
        <v>126471.277210759</v>
      </c>
      <c r="F86" s="86">
        <v>122837.617398102</v>
      </c>
    </row>
    <row r="87" spans="2:6">
      <c r="B87" s="66">
        <v>171.428571428571</v>
      </c>
      <c r="C87" s="86">
        <v>199855.643981633</v>
      </c>
      <c r="D87" s="86">
        <v>138879.59015816</v>
      </c>
      <c r="E87" s="86">
        <v>128203.355613045</v>
      </c>
      <c r="F87" s="86">
        <v>123986.502455909</v>
      </c>
    </row>
    <row r="88" spans="2:6">
      <c r="B88" s="66">
        <v>192.857142857143</v>
      </c>
      <c r="C88" s="86">
        <v>202024.542673175</v>
      </c>
      <c r="D88" s="86">
        <v>142853.786511138</v>
      </c>
      <c r="E88" s="86">
        <v>130374.377134183</v>
      </c>
      <c r="F88" s="86">
        <v>125520.973373909</v>
      </c>
    </row>
    <row r="89" spans="2:6">
      <c r="B89" s="66">
        <v>214.285714285714</v>
      </c>
      <c r="C89" s="86">
        <v>206583.06180065</v>
      </c>
      <c r="D89" s="86">
        <v>145395.370547528</v>
      </c>
      <c r="E89" s="86">
        <v>131511.411773922</v>
      </c>
      <c r="F89" s="86">
        <v>126858.715100429</v>
      </c>
    </row>
    <row r="90" spans="2:6">
      <c r="B90" s="66">
        <v>235.714285714286</v>
      </c>
      <c r="C90" s="86">
        <v>211042.717339255</v>
      </c>
      <c r="D90" s="86">
        <v>148101.722077533</v>
      </c>
      <c r="E90" s="86">
        <v>132557.161536054</v>
      </c>
      <c r="F90" s="86">
        <v>128004.556595401</v>
      </c>
    </row>
    <row r="91" spans="2:6">
      <c r="B91" s="66">
        <v>350</v>
      </c>
      <c r="C91" s="86">
        <v>227816.022322848</v>
      </c>
      <c r="D91" s="86">
        <v>159633.743041462</v>
      </c>
      <c r="E91" s="86">
        <v>141199.337624226</v>
      </c>
      <c r="F91" s="86">
        <v>135547.254709618</v>
      </c>
    </row>
    <row r="92" spans="2:6">
      <c r="B92" s="66">
        <v>500</v>
      </c>
      <c r="C92" s="86">
        <v>265378.559886786</v>
      </c>
      <c r="D92" s="86">
        <v>182401.058875443</v>
      </c>
      <c r="E92" s="86">
        <v>152471.458997041</v>
      </c>
      <c r="F92" s="86">
        <v>144627.37044588</v>
      </c>
    </row>
    <row r="93" spans="2:6">
      <c r="B93" s="66">
        <v>600</v>
      </c>
      <c r="C93" s="86">
        <v>290084.467711251</v>
      </c>
      <c r="D93" s="86">
        <v>193971.728365932</v>
      </c>
      <c r="E93" s="86">
        <v>163595.378197613</v>
      </c>
      <c r="F93" s="86">
        <v>153430.317721858</v>
      </c>
    </row>
    <row r="96" ht="16.5" customHeight="1"/>
    <row r="97" ht="21.75" customHeight="1" spans="2:6">
      <c r="B97" s="48" t="s">
        <v>29</v>
      </c>
      <c r="C97" s="48" t="s">
        <v>533</v>
      </c>
      <c r="D97" s="48"/>
      <c r="E97" s="48"/>
      <c r="F97" s="48"/>
    </row>
    <row r="98" ht="21.75" customHeight="1" spans="2:6">
      <c r="B98" s="48"/>
      <c r="C98" s="48"/>
      <c r="D98" s="48"/>
      <c r="E98" s="48"/>
      <c r="F98" s="48"/>
    </row>
    <row r="99" spans="2:6">
      <c r="B99" s="48"/>
      <c r="C99" s="48"/>
      <c r="D99" s="48"/>
      <c r="E99" s="48"/>
      <c r="F99" s="48"/>
    </row>
    <row r="100" spans="2:6">
      <c r="B100" s="49"/>
      <c r="C100" s="50">
        <v>2020</v>
      </c>
      <c r="D100" s="50">
        <v>2030</v>
      </c>
      <c r="E100" s="50">
        <v>2040</v>
      </c>
      <c r="F100" s="50">
        <v>2050</v>
      </c>
    </row>
    <row r="101" spans="2:6">
      <c r="B101" s="67">
        <v>5.6</v>
      </c>
      <c r="C101" s="86">
        <v>354280.308553072</v>
      </c>
      <c r="D101" s="86">
        <v>206770.852218096</v>
      </c>
      <c r="E101" s="86">
        <v>160711.703174247</v>
      </c>
      <c r="F101" s="86">
        <v>144829.284915888</v>
      </c>
    </row>
    <row r="102" spans="2:6">
      <c r="B102" s="67">
        <v>5.43051349464204</v>
      </c>
      <c r="C102" s="86">
        <v>355476.962807869</v>
      </c>
      <c r="D102" s="86">
        <v>207370.445714031</v>
      </c>
      <c r="E102" s="86">
        <v>161311.296670182</v>
      </c>
      <c r="F102" s="86">
        <v>145428.878411823</v>
      </c>
    </row>
    <row r="103" spans="2:6">
      <c r="B103" s="67">
        <v>5.26102698928409</v>
      </c>
      <c r="C103" s="86">
        <v>357480.886306583</v>
      </c>
      <c r="D103" s="86">
        <v>212080.230019598</v>
      </c>
      <c r="E103" s="86">
        <v>161910.890166117</v>
      </c>
      <c r="F103" s="86">
        <v>146028.471907758</v>
      </c>
    </row>
    <row r="104" spans="2:6">
      <c r="B104" s="67">
        <v>5.09154048392613</v>
      </c>
      <c r="C104" s="86">
        <v>367134.204640302</v>
      </c>
      <c r="D104" s="86">
        <v>217096.530623973</v>
      </c>
      <c r="E104" s="86">
        <v>162510.483662052</v>
      </c>
      <c r="F104" s="86">
        <v>146628.065403693</v>
      </c>
    </row>
    <row r="105" spans="2:6">
      <c r="B105" s="67">
        <v>4.92205397856817</v>
      </c>
      <c r="C105" s="86">
        <v>369347.74536217</v>
      </c>
      <c r="D105" s="86">
        <v>225827.175519544</v>
      </c>
      <c r="E105" s="86">
        <v>163110.077157987</v>
      </c>
      <c r="F105" s="86">
        <v>147227.658899628</v>
      </c>
    </row>
    <row r="106" spans="2:6">
      <c r="B106" s="67">
        <v>4.75256747321021</v>
      </c>
      <c r="C106" s="86">
        <v>370643.253653408</v>
      </c>
      <c r="D106" s="86">
        <v>226586.941605072</v>
      </c>
      <c r="E106" s="86">
        <v>163709.670653922</v>
      </c>
      <c r="F106" s="86">
        <v>147827.252395563</v>
      </c>
    </row>
    <row r="107" spans="2:6">
      <c r="B107" s="67">
        <v>4.58308096785226</v>
      </c>
      <c r="C107" s="86">
        <v>371938.761944647</v>
      </c>
      <c r="D107" s="86">
        <v>227346.7076906</v>
      </c>
      <c r="E107" s="86">
        <v>164309.264149857</v>
      </c>
      <c r="F107" s="86">
        <v>148426.845891498</v>
      </c>
    </row>
    <row r="108" spans="2:6">
      <c r="B108" s="67">
        <v>4.4135944624943</v>
      </c>
      <c r="C108" s="86">
        <v>373234.270235885</v>
      </c>
      <c r="D108" s="86">
        <v>228106.473776129</v>
      </c>
      <c r="E108" s="86">
        <v>164908.857645792</v>
      </c>
      <c r="F108" s="86">
        <v>149026.439387433</v>
      </c>
    </row>
    <row r="109" spans="2:6">
      <c r="B109" s="94"/>
      <c r="C109" s="95"/>
      <c r="D109" s="95"/>
      <c r="E109" s="95"/>
      <c r="F109" s="95"/>
    </row>
    <row r="112" ht="18.5" spans="2:6">
      <c r="B112" s="37" t="s">
        <v>534</v>
      </c>
      <c r="C112" s="38"/>
      <c r="D112" s="38"/>
      <c r="E112" s="38"/>
      <c r="F112" s="39"/>
    </row>
    <row r="114" spans="2:2">
      <c r="B114" s="43" t="s">
        <v>535</v>
      </c>
    </row>
    <row r="115" spans="2:4">
      <c r="B115" s="44">
        <v>2015</v>
      </c>
      <c r="C115" s="44"/>
      <c r="D115" s="44"/>
    </row>
    <row r="116" spans="2:4">
      <c r="B116" s="45" t="s">
        <v>12</v>
      </c>
      <c r="C116" s="46" t="s">
        <v>13</v>
      </c>
      <c r="D116" s="47">
        <v>36.475426694474</v>
      </c>
    </row>
    <row r="117" ht="15" customHeight="1" spans="2:4">
      <c r="B117" s="45" t="s">
        <v>14</v>
      </c>
      <c r="C117" s="46" t="s">
        <v>15</v>
      </c>
      <c r="D117" s="68">
        <v>145779.657264165</v>
      </c>
    </row>
    <row r="119" spans="2:6">
      <c r="B119" s="48" t="s">
        <v>21</v>
      </c>
      <c r="C119" s="48" t="s">
        <v>536</v>
      </c>
      <c r="D119" s="48"/>
      <c r="E119" s="48"/>
      <c r="F119" s="48"/>
    </row>
    <row r="120" spans="2:6">
      <c r="B120" s="48"/>
      <c r="C120" s="48"/>
      <c r="D120" s="48"/>
      <c r="E120" s="48"/>
      <c r="F120" s="48"/>
    </row>
    <row r="121" spans="2:6">
      <c r="B121" s="48"/>
      <c r="C121" s="48"/>
      <c r="D121" s="48"/>
      <c r="E121" s="48"/>
      <c r="F121" s="48"/>
    </row>
    <row r="122" spans="2:6">
      <c r="B122" s="49"/>
      <c r="C122" s="50">
        <v>2020</v>
      </c>
      <c r="D122" s="50">
        <v>2030</v>
      </c>
      <c r="E122" s="50">
        <v>2040</v>
      </c>
      <c r="F122" s="50">
        <v>2050</v>
      </c>
    </row>
    <row r="123" spans="2:6">
      <c r="B123" s="85">
        <v>0.0838306885426008</v>
      </c>
      <c r="C123" s="86">
        <v>149171.36324076</v>
      </c>
      <c r="D123" s="86">
        <v>146559.079028355</v>
      </c>
      <c r="E123" s="86">
        <v>146381.546778605</v>
      </c>
      <c r="F123" s="86">
        <v>146238.892870342</v>
      </c>
    </row>
    <row r="124" spans="2:6">
      <c r="B124" s="85">
        <v>0.133830688542601</v>
      </c>
      <c r="C124" s="86">
        <v>150921.44625304</v>
      </c>
      <c r="D124" s="86">
        <v>147404.249028355</v>
      </c>
      <c r="E124" s="86">
        <v>147132.552600489</v>
      </c>
      <c r="F124" s="86">
        <v>146908.994325423</v>
      </c>
    </row>
    <row r="125" spans="2:6">
      <c r="B125" s="85">
        <v>0.183830688542601</v>
      </c>
      <c r="C125" s="86">
        <v>158127.627884245</v>
      </c>
      <c r="D125" s="86">
        <v>148744.379028355</v>
      </c>
      <c r="E125" s="86">
        <v>148347.749968068</v>
      </c>
      <c r="F125" s="86">
        <v>148012.989873975</v>
      </c>
    </row>
    <row r="126" spans="2:6">
      <c r="B126" s="85">
        <v>0.233830688542601</v>
      </c>
      <c r="C126" s="86">
        <v>164560.417317082</v>
      </c>
      <c r="D126" s="86">
        <v>152782.849028355</v>
      </c>
      <c r="E126" s="86">
        <v>152032.299366604</v>
      </c>
      <c r="F126" s="86">
        <v>151380.841457059</v>
      </c>
    </row>
    <row r="127" spans="2:6">
      <c r="B127" s="85">
        <v>0.283830688542601</v>
      </c>
      <c r="C127" s="86">
        <v>197656.909721506</v>
      </c>
      <c r="D127" s="86">
        <v>159684.369028355</v>
      </c>
      <c r="E127" s="86">
        <v>158472.221048593</v>
      </c>
      <c r="F127" s="86">
        <v>157385.787446263</v>
      </c>
    </row>
    <row r="128" spans="2:6">
      <c r="B128" s="85">
        <v>0.313830688542601</v>
      </c>
      <c r="C128" s="86">
        <v>310722.795503274</v>
      </c>
      <c r="D128" s="86">
        <v>166585.889028355</v>
      </c>
      <c r="E128" s="86">
        <v>165146.731758958</v>
      </c>
      <c r="F128" s="86">
        <v>163805.200672776</v>
      </c>
    </row>
    <row r="132" spans="2:6">
      <c r="B132" s="48" t="s">
        <v>21</v>
      </c>
      <c r="C132" s="48" t="s">
        <v>537</v>
      </c>
      <c r="D132" s="48"/>
      <c r="E132" s="48"/>
      <c r="F132" s="48"/>
    </row>
    <row r="133" spans="2:6">
      <c r="B133" s="48"/>
      <c r="C133" s="48"/>
      <c r="D133" s="48"/>
      <c r="E133" s="48"/>
      <c r="F133" s="48"/>
    </row>
    <row r="134" spans="2:6">
      <c r="B134" s="48"/>
      <c r="C134" s="48"/>
      <c r="D134" s="48"/>
      <c r="E134" s="48"/>
      <c r="F134" s="48"/>
    </row>
    <row r="135" spans="2:6">
      <c r="B135" s="49"/>
      <c r="C135" s="50">
        <v>2020</v>
      </c>
      <c r="D135" s="50">
        <v>2030</v>
      </c>
      <c r="E135" s="50">
        <v>2040</v>
      </c>
      <c r="F135" s="50">
        <v>2050</v>
      </c>
    </row>
    <row r="136" ht="15" customHeight="1" spans="2:6">
      <c r="B136" s="85">
        <v>0.05</v>
      </c>
      <c r="C136" s="86">
        <v>159779.657264165</v>
      </c>
      <c r="D136" s="86">
        <v>155191.257264165</v>
      </c>
      <c r="E136" s="86">
        <v>153495.811639329</v>
      </c>
      <c r="F136" s="86">
        <v>152192.359898198</v>
      </c>
    </row>
    <row r="137" spans="2:6">
      <c r="B137" s="85">
        <v>0.1</v>
      </c>
      <c r="C137" s="86">
        <v>161574.983584165</v>
      </c>
      <c r="D137" s="86">
        <v>155368.907264165</v>
      </c>
      <c r="E137" s="86">
        <v>153787.786668018</v>
      </c>
      <c r="F137" s="86">
        <v>152545.598077471</v>
      </c>
    </row>
    <row r="138" spans="2:6">
      <c r="B138" s="85">
        <v>0.15</v>
      </c>
      <c r="C138" s="86">
        <v>163370.309904165</v>
      </c>
      <c r="D138" s="86">
        <v>155790.347264165</v>
      </c>
      <c r="E138" s="86">
        <v>154295.050246601</v>
      </c>
      <c r="F138" s="86">
        <v>153093.522277069</v>
      </c>
    </row>
    <row r="139" spans="2:6">
      <c r="B139" s="85">
        <v>0.2</v>
      </c>
      <c r="C139" s="86">
        <v>165165.636224165</v>
      </c>
      <c r="D139" s="86">
        <v>156632.297264165</v>
      </c>
      <c r="E139" s="86">
        <v>155182.423132199</v>
      </c>
      <c r="F139" s="86">
        <v>153989.43225429</v>
      </c>
    </row>
    <row r="140" spans="2:6">
      <c r="B140" s="85">
        <v>0.25</v>
      </c>
      <c r="C140" s="86">
        <v>168756.288864165</v>
      </c>
      <c r="D140" s="86">
        <v>157655.617264165</v>
      </c>
      <c r="E140" s="86">
        <v>156259.477893356</v>
      </c>
      <c r="F140" s="86">
        <v>155081.118075747</v>
      </c>
    </row>
    <row r="141" spans="2:6">
      <c r="B141" s="85">
        <v>0.3</v>
      </c>
      <c r="C141" s="86">
        <v>171601.291855872</v>
      </c>
      <c r="D141" s="86">
        <v>159127.667264165</v>
      </c>
      <c r="E141" s="86">
        <v>157776.085315954</v>
      </c>
      <c r="F141" s="86">
        <v>156602.9467544</v>
      </c>
    </row>
    <row r="142" spans="2:6">
      <c r="B142" s="85">
        <v>0.3253257392</v>
      </c>
      <c r="C142" s="86">
        <v>174072.518944692</v>
      </c>
      <c r="D142" s="86">
        <v>168017.477264165</v>
      </c>
      <c r="E142" s="86">
        <v>166134.296551015</v>
      </c>
      <c r="F142" s="86">
        <v>164446.424409836</v>
      </c>
    </row>
    <row r="143" spans="2:6">
      <c r="B143" s="85">
        <v>0.33196504</v>
      </c>
      <c r="C143" s="86">
        <v>182517.958020763</v>
      </c>
      <c r="D143" s="86">
        <v>171745.007264165</v>
      </c>
      <c r="E143" s="86">
        <v>169983.630609764</v>
      </c>
      <c r="F143" s="86">
        <v>168341.738103225</v>
      </c>
    </row>
    <row r="148" spans="2:2">
      <c r="B148" s="43" t="s">
        <v>538</v>
      </c>
    </row>
    <row r="149" spans="2:4">
      <c r="B149" s="44">
        <v>2020</v>
      </c>
      <c r="C149" s="44"/>
      <c r="D149" s="44"/>
    </row>
    <row r="150" spans="2:4">
      <c r="B150" s="45" t="s">
        <v>12</v>
      </c>
      <c r="C150" s="46" t="s">
        <v>88</v>
      </c>
      <c r="D150" s="47">
        <v>32.5906910301368</v>
      </c>
    </row>
    <row r="151" spans="2:4">
      <c r="B151" s="45" t="s">
        <v>14</v>
      </c>
      <c r="C151" s="46" t="s">
        <v>15</v>
      </c>
      <c r="D151" s="68">
        <v>184053.947327963</v>
      </c>
    </row>
    <row r="153" spans="2:6">
      <c r="B153" s="48" t="s">
        <v>121</v>
      </c>
      <c r="C153" s="48" t="s">
        <v>539</v>
      </c>
      <c r="D153" s="48"/>
      <c r="E153" s="48"/>
      <c r="F153" s="48"/>
    </row>
    <row r="154" spans="2:6">
      <c r="B154" s="48"/>
      <c r="C154" s="48"/>
      <c r="D154" s="48"/>
      <c r="E154" s="48"/>
      <c r="F154" s="48"/>
    </row>
    <row r="155" spans="2:6">
      <c r="B155" s="48"/>
      <c r="C155" s="48"/>
      <c r="D155" s="48"/>
      <c r="E155" s="48"/>
      <c r="F155" s="48"/>
    </row>
    <row r="156" ht="15" customHeight="1" spans="2:6">
      <c r="B156" s="49"/>
      <c r="C156" s="50">
        <v>2020</v>
      </c>
      <c r="D156" s="50">
        <v>2030</v>
      </c>
      <c r="E156" s="50">
        <v>2040</v>
      </c>
      <c r="F156" s="50">
        <v>2050</v>
      </c>
    </row>
    <row r="157" spans="2:6">
      <c r="B157" s="85">
        <v>0.0838306885426008</v>
      </c>
      <c r="C157" s="86">
        <v>190945.653304558</v>
      </c>
      <c r="D157" s="86">
        <v>184833.369092153</v>
      </c>
      <c r="E157" s="86">
        <v>184655.836842402</v>
      </c>
      <c r="F157" s="86">
        <v>184513.18293414</v>
      </c>
    </row>
    <row r="158" spans="2:6">
      <c r="B158" s="85">
        <v>0.133830688542601</v>
      </c>
      <c r="C158" s="86">
        <v>192695.736316838</v>
      </c>
      <c r="D158" s="86">
        <v>185678.539092153</v>
      </c>
      <c r="E158" s="86">
        <v>185406.842664286</v>
      </c>
      <c r="F158" s="86">
        <v>185183.284389221</v>
      </c>
    </row>
    <row r="159" spans="2:6">
      <c r="B159" s="85">
        <v>0.183830688542601</v>
      </c>
      <c r="C159" s="86">
        <v>199901.917948043</v>
      </c>
      <c r="D159" s="86">
        <v>187018.669092153</v>
      </c>
      <c r="E159" s="86">
        <v>186622.040031866</v>
      </c>
      <c r="F159" s="86">
        <v>186287.279937773</v>
      </c>
    </row>
    <row r="160" spans="2:6">
      <c r="B160" s="85">
        <v>0.233830688542601</v>
      </c>
      <c r="C160" s="86">
        <v>206334.70738088</v>
      </c>
      <c r="D160" s="86">
        <v>191057.139092153</v>
      </c>
      <c r="E160" s="86">
        <v>190306.589430402</v>
      </c>
      <c r="F160" s="86">
        <v>189655.131520857</v>
      </c>
    </row>
    <row r="161" spans="2:6">
      <c r="B161" s="85">
        <v>0.283830688542601</v>
      </c>
      <c r="C161" s="86">
        <v>239431.199785304</v>
      </c>
      <c r="D161" s="86">
        <v>197958.659092153</v>
      </c>
      <c r="E161" s="86">
        <v>196746.511112391</v>
      </c>
      <c r="F161" s="86">
        <v>195660.077510061</v>
      </c>
    </row>
    <row r="162" spans="2:6">
      <c r="B162" s="85">
        <v>0.313830688542601</v>
      </c>
      <c r="C162" s="86">
        <v>352497.085567072</v>
      </c>
      <c r="D162" s="86">
        <v>204860.179092153</v>
      </c>
      <c r="E162" s="86">
        <v>203421.021822756</v>
      </c>
      <c r="F162" s="86">
        <v>202079.490736573</v>
      </c>
    </row>
    <row r="167" spans="2:2">
      <c r="B167" s="43" t="s">
        <v>540</v>
      </c>
    </row>
    <row r="168" spans="2:4">
      <c r="B168" s="44">
        <v>2015</v>
      </c>
      <c r="C168" s="44"/>
      <c r="D168" s="44"/>
    </row>
    <row r="169" spans="2:4">
      <c r="B169" s="45" t="s">
        <v>12</v>
      </c>
      <c r="C169" s="46" t="s">
        <v>13</v>
      </c>
      <c r="D169" s="47">
        <v>47.9055143222354</v>
      </c>
    </row>
    <row r="170" spans="2:4">
      <c r="B170" s="45" t="s">
        <v>14</v>
      </c>
      <c r="C170" s="46" t="s">
        <v>15</v>
      </c>
      <c r="D170" s="68">
        <v>160845.225188901</v>
      </c>
    </row>
    <row r="172" spans="2:6">
      <c r="B172" s="48" t="s">
        <v>91</v>
      </c>
      <c r="C172" s="48" t="s">
        <v>541</v>
      </c>
      <c r="D172" s="48"/>
      <c r="E172" s="48"/>
      <c r="F172" s="48"/>
    </row>
    <row r="173" spans="2:6">
      <c r="B173" s="48"/>
      <c r="C173" s="48"/>
      <c r="D173" s="48"/>
      <c r="E173" s="48"/>
      <c r="F173" s="48"/>
    </row>
    <row r="174" spans="2:6">
      <c r="B174" s="48"/>
      <c r="C174" s="48"/>
      <c r="D174" s="48"/>
      <c r="E174" s="48"/>
      <c r="F174" s="48"/>
    </row>
    <row r="175" spans="2:6">
      <c r="B175" s="49"/>
      <c r="C175" s="50">
        <v>2020</v>
      </c>
      <c r="D175" s="50">
        <v>2030</v>
      </c>
      <c r="E175" s="50">
        <v>2040</v>
      </c>
      <c r="F175" s="50">
        <v>2050</v>
      </c>
    </row>
    <row r="176" spans="2:6">
      <c r="B176" s="85">
        <v>0.0838306885426008</v>
      </c>
      <c r="C176" s="86">
        <v>164236.931165496</v>
      </c>
      <c r="D176" s="86">
        <v>161624.646953091</v>
      </c>
      <c r="E176" s="86">
        <v>161447.114703341</v>
      </c>
      <c r="F176" s="86">
        <v>161304.460795078</v>
      </c>
    </row>
    <row r="177" ht="15" customHeight="1" spans="2:6">
      <c r="B177" s="85">
        <v>0.133830688542601</v>
      </c>
      <c r="C177" s="86">
        <v>165987.014177776</v>
      </c>
      <c r="D177" s="86">
        <v>162469.816953091</v>
      </c>
      <c r="E177" s="86">
        <v>162198.120525225</v>
      </c>
      <c r="F177" s="86">
        <v>161974.562250159</v>
      </c>
    </row>
    <row r="178" spans="2:6">
      <c r="B178" s="85">
        <v>0.183830688542601</v>
      </c>
      <c r="C178" s="86">
        <v>173193.195808982</v>
      </c>
      <c r="D178" s="86">
        <v>163809.946953091</v>
      </c>
      <c r="E178" s="86">
        <v>163413.317892804</v>
      </c>
      <c r="F178" s="86">
        <v>163078.557798711</v>
      </c>
    </row>
    <row r="179" spans="2:6">
      <c r="B179" s="85">
        <v>0.233830688542601</v>
      </c>
      <c r="C179" s="86">
        <v>179625.985241818</v>
      </c>
      <c r="D179" s="86">
        <v>167848.416953091</v>
      </c>
      <c r="E179" s="86">
        <v>167097.86729134</v>
      </c>
      <c r="F179" s="86">
        <v>166446.409381795</v>
      </c>
    </row>
    <row r="180" spans="2:6">
      <c r="B180" s="85">
        <v>0.283830688542601</v>
      </c>
      <c r="C180" s="86">
        <v>212722.477646242</v>
      </c>
      <c r="D180" s="86">
        <v>174749.936953091</v>
      </c>
      <c r="E180" s="86">
        <v>173537.788973329</v>
      </c>
      <c r="F180" s="86">
        <v>172451.355370999</v>
      </c>
    </row>
    <row r="181" spans="2:6">
      <c r="B181" s="85">
        <v>0.313830688542601</v>
      </c>
      <c r="C181" s="86">
        <v>325788.36342801</v>
      </c>
      <c r="D181" s="86">
        <v>181651.456953091</v>
      </c>
      <c r="E181" s="86">
        <v>180212.299683694</v>
      </c>
      <c r="F181" s="86">
        <v>178870.768597512</v>
      </c>
    </row>
    <row r="185" spans="2:4">
      <c r="B185" s="44">
        <v>2020</v>
      </c>
      <c r="C185" s="44"/>
      <c r="D185" s="44"/>
    </row>
    <row r="186" spans="2:4">
      <c r="B186" s="45" t="s">
        <v>542</v>
      </c>
      <c r="C186" s="46" t="s">
        <v>26</v>
      </c>
      <c r="D186" s="74">
        <v>1.65</v>
      </c>
    </row>
    <row r="188" spans="2:6">
      <c r="B188" s="48" t="s">
        <v>27</v>
      </c>
      <c r="C188" s="48" t="s">
        <v>543</v>
      </c>
      <c r="D188" s="48"/>
      <c r="E188" s="48"/>
      <c r="F188" s="48"/>
    </row>
    <row r="189" spans="2:6">
      <c r="B189" s="48"/>
      <c r="C189" s="48"/>
      <c r="D189" s="48"/>
      <c r="E189" s="48"/>
      <c r="F189" s="48"/>
    </row>
    <row r="190" spans="2:6">
      <c r="B190" s="48"/>
      <c r="C190" s="48"/>
      <c r="D190" s="48"/>
      <c r="E190" s="48"/>
      <c r="F190" s="48"/>
    </row>
    <row r="191" spans="2:6">
      <c r="B191" s="96"/>
      <c r="C191" s="50">
        <v>2020</v>
      </c>
      <c r="D191" s="50">
        <v>2030</v>
      </c>
      <c r="E191" s="50">
        <v>2040</v>
      </c>
      <c r="F191" s="50">
        <v>2050</v>
      </c>
    </row>
    <row r="192" spans="2:6">
      <c r="B192" s="66">
        <v>150</v>
      </c>
      <c r="C192" s="86">
        <v>249809.101532709</v>
      </c>
      <c r="D192" s="86">
        <v>186269.161712812</v>
      </c>
      <c r="E192" s="86">
        <v>173807.492494141</v>
      </c>
      <c r="F192" s="86">
        <v>169265.417728319</v>
      </c>
    </row>
    <row r="193" spans="2:6">
      <c r="B193" s="66">
        <v>171.428571428571</v>
      </c>
      <c r="C193" s="86">
        <v>255912.950957733</v>
      </c>
      <c r="D193" s="86">
        <v>189317.883678392</v>
      </c>
      <c r="E193" s="86">
        <v>175972.590496999</v>
      </c>
      <c r="F193" s="86">
        <v>170701.524050579</v>
      </c>
    </row>
    <row r="194" spans="2:6">
      <c r="B194" s="66">
        <v>192.857142857143</v>
      </c>
      <c r="C194" s="86">
        <v>258874.074322162</v>
      </c>
      <c r="D194" s="86">
        <v>194285.629119614</v>
      </c>
      <c r="E194" s="86">
        <v>178686.367398421</v>
      </c>
      <c r="F194" s="86">
        <v>172619.612698078</v>
      </c>
    </row>
    <row r="195" ht="15" customHeight="1" spans="2:6">
      <c r="B195" s="66">
        <v>214.285714285714</v>
      </c>
      <c r="C195" s="86">
        <v>264572.223231505</v>
      </c>
      <c r="D195" s="86">
        <v>197462.609165103</v>
      </c>
      <c r="E195" s="86">
        <v>180107.660698095</v>
      </c>
      <c r="F195" s="86">
        <v>174291.789856228</v>
      </c>
    </row>
    <row r="196" spans="2:6">
      <c r="B196" s="66">
        <v>235.714285714286</v>
      </c>
      <c r="C196" s="86">
        <v>270146.792654761</v>
      </c>
      <c r="D196" s="86">
        <v>200845.548577608</v>
      </c>
      <c r="E196" s="86">
        <v>181414.84790076</v>
      </c>
      <c r="F196" s="86">
        <v>175724.091724943</v>
      </c>
    </row>
    <row r="197" spans="2:6">
      <c r="B197" s="66">
        <v>350</v>
      </c>
      <c r="C197" s="86">
        <v>291738.423884253</v>
      </c>
      <c r="D197" s="86">
        <v>215260.57478252</v>
      </c>
      <c r="E197" s="86">
        <v>192217.568010975</v>
      </c>
      <c r="F197" s="86">
        <v>185152.464367715</v>
      </c>
    </row>
    <row r="198" spans="2:6">
      <c r="B198" s="66">
        <v>500</v>
      </c>
      <c r="C198" s="86">
        <v>338441.595839175</v>
      </c>
      <c r="D198" s="86">
        <v>241938.991169345</v>
      </c>
      <c r="E198" s="86">
        <v>206307.719726994</v>
      </c>
      <c r="F198" s="86">
        <v>196502.609038042</v>
      </c>
    </row>
    <row r="199" spans="2:6">
      <c r="B199" s="66">
        <v>600</v>
      </c>
      <c r="C199" s="86">
        <v>369323.980619756</v>
      </c>
      <c r="D199" s="86">
        <v>253499.581472526</v>
      </c>
      <c r="E199" s="86">
        <v>220212.618727708</v>
      </c>
      <c r="F199" s="86">
        <v>207506.293133015</v>
      </c>
    </row>
    <row r="203" spans="2:6">
      <c r="B203" s="48" t="s">
        <v>29</v>
      </c>
      <c r="C203" s="48" t="s">
        <v>544</v>
      </c>
      <c r="D203" s="48"/>
      <c r="E203" s="48"/>
      <c r="F203" s="48"/>
    </row>
    <row r="204" spans="2:6">
      <c r="B204" s="48"/>
      <c r="C204" s="48"/>
      <c r="D204" s="48"/>
      <c r="E204" s="48"/>
      <c r="F204" s="48"/>
    </row>
    <row r="205" spans="2:6">
      <c r="B205" s="48"/>
      <c r="C205" s="48"/>
      <c r="D205" s="48"/>
      <c r="E205" s="48"/>
      <c r="F205" s="48"/>
    </row>
    <row r="206" spans="2:6">
      <c r="B206" s="49"/>
      <c r="C206" s="50">
        <v>2020</v>
      </c>
      <c r="D206" s="50">
        <v>2030</v>
      </c>
      <c r="E206" s="50">
        <v>2040</v>
      </c>
      <c r="F206" s="50">
        <v>2050</v>
      </c>
    </row>
    <row r="207" spans="2:6">
      <c r="B207" s="67">
        <v>7.6</v>
      </c>
      <c r="C207" s="86">
        <v>456066.468676769</v>
      </c>
      <c r="D207" s="86">
        <v>273154.742821399</v>
      </c>
      <c r="E207" s="86">
        <v>216041.398007026</v>
      </c>
      <c r="F207" s="86">
        <v>196347.199366661</v>
      </c>
    </row>
    <row r="208" spans="2:6">
      <c r="B208" s="67">
        <v>7.36998259987134</v>
      </c>
      <c r="C208" s="86">
        <v>457550.319952717</v>
      </c>
      <c r="D208" s="86">
        <v>273898.238756359</v>
      </c>
      <c r="E208" s="86">
        <v>216784.893941986</v>
      </c>
      <c r="F208" s="86">
        <v>197090.695301621</v>
      </c>
    </row>
    <row r="209" spans="2:6">
      <c r="B209" s="67">
        <v>7.13996519974269</v>
      </c>
      <c r="C209" s="86">
        <v>460035.185091123</v>
      </c>
      <c r="D209" s="86">
        <v>279738.371295262</v>
      </c>
      <c r="E209" s="86">
        <v>217528.389876945</v>
      </c>
      <c r="F209" s="86">
        <v>197834.19123658</v>
      </c>
    </row>
    <row r="210" spans="2:6">
      <c r="B210" s="67">
        <v>6.90994779961403</v>
      </c>
      <c r="C210" s="86">
        <v>472005.299824934</v>
      </c>
      <c r="D210" s="86">
        <v>285958.584044687</v>
      </c>
      <c r="E210" s="86">
        <v>218271.885811905</v>
      </c>
      <c r="F210" s="86">
        <v>198577.687171539</v>
      </c>
    </row>
    <row r="211" spans="2:6">
      <c r="B211" s="67">
        <v>6.67993039948537</v>
      </c>
      <c r="C211" s="86">
        <v>474750.090320051</v>
      </c>
      <c r="D211" s="86">
        <v>296784.583715194</v>
      </c>
      <c r="E211" s="86">
        <v>219015.381746864</v>
      </c>
      <c r="F211" s="86">
        <v>199321.183106499</v>
      </c>
    </row>
    <row r="212" spans="2:6">
      <c r="B212" s="67">
        <v>6.44991299935672</v>
      </c>
      <c r="C212" s="86">
        <v>476356.520601186</v>
      </c>
      <c r="D212" s="86">
        <v>297726.693661249</v>
      </c>
      <c r="E212" s="86">
        <v>219758.877681823</v>
      </c>
      <c r="F212" s="86">
        <v>200064.679041458</v>
      </c>
    </row>
    <row r="213" spans="2:6">
      <c r="B213" s="67">
        <v>6.21989559922806</v>
      </c>
      <c r="C213" s="86">
        <v>477962.950882322</v>
      </c>
      <c r="D213" s="86">
        <v>298668.803607305</v>
      </c>
      <c r="E213" s="86">
        <v>220502.373616783</v>
      </c>
      <c r="F213" s="86">
        <v>200808.174976417</v>
      </c>
    </row>
    <row r="214" spans="2:6">
      <c r="B214" s="67">
        <v>5.9898781990994</v>
      </c>
      <c r="C214" s="86">
        <v>479569.381163458</v>
      </c>
      <c r="D214" s="86">
        <v>299610.91355336</v>
      </c>
      <c r="E214" s="86">
        <v>221245.869551742</v>
      </c>
      <c r="F214" s="86">
        <v>201551.670911377</v>
      </c>
    </row>
    <row r="216" ht="21.75" customHeight="1"/>
    <row r="217" ht="21.75" customHeight="1"/>
    <row r="218" ht="21.75" customHeight="1" spans="2:5">
      <c r="B218" s="48" t="s">
        <v>21</v>
      </c>
      <c r="C218" s="55" t="s">
        <v>545</v>
      </c>
      <c r="D218" s="56"/>
      <c r="E218" s="57"/>
    </row>
    <row r="219" spans="2:5">
      <c r="B219" s="48"/>
      <c r="C219" s="58"/>
      <c r="D219" s="59"/>
      <c r="E219" s="60"/>
    </row>
    <row r="220" spans="2:5">
      <c r="B220" s="48"/>
      <c r="C220" s="61"/>
      <c r="D220" s="62"/>
      <c r="E220" s="63"/>
    </row>
    <row r="221" spans="2:5">
      <c r="B221" s="49"/>
      <c r="C221" s="50">
        <v>2030</v>
      </c>
      <c r="D221" s="50">
        <v>2040</v>
      </c>
      <c r="E221" s="50">
        <v>2050</v>
      </c>
    </row>
    <row r="222" spans="2:5">
      <c r="B222" s="85">
        <v>0.5246742608</v>
      </c>
      <c r="C222" s="86">
        <v>164730.198153894</v>
      </c>
      <c r="D222" s="86">
        <v>160787.990178194</v>
      </c>
      <c r="E222" s="86">
        <v>158686.584347121</v>
      </c>
    </row>
    <row r="223" spans="2:5">
      <c r="B223" s="85">
        <v>0.5746742608</v>
      </c>
      <c r="C223" s="86">
        <v>165753.518153894</v>
      </c>
      <c r="D223" s="86">
        <v>161865.044939351</v>
      </c>
      <c r="E223" s="86">
        <v>159778.270168578</v>
      </c>
    </row>
    <row r="224" spans="2:5">
      <c r="B224" s="85">
        <v>0.6246742608</v>
      </c>
      <c r="C224" s="86">
        <v>167225.568153894</v>
      </c>
      <c r="D224" s="86">
        <v>163381.652361949</v>
      </c>
      <c r="E224" s="86">
        <v>161300.098847231</v>
      </c>
    </row>
    <row r="225" spans="2:5">
      <c r="B225" s="85">
        <v>0.65</v>
      </c>
      <c r="C225" s="86">
        <v>176115.378153894</v>
      </c>
      <c r="D225" s="86">
        <v>171739.86359701</v>
      </c>
      <c r="E225" s="86">
        <v>169143.576502667</v>
      </c>
    </row>
    <row r="226" spans="2:2">
      <c r="B226" t="s">
        <v>546</v>
      </c>
    </row>
    <row r="227" spans="2:2">
      <c r="B227" t="s">
        <v>547</v>
      </c>
    </row>
  </sheetData>
  <mergeCells count="39">
    <mergeCell ref="B1:F1"/>
    <mergeCell ref="B2:F2"/>
    <mergeCell ref="B3:F3"/>
    <mergeCell ref="B6:D6"/>
    <mergeCell ref="B41:D41"/>
    <mergeCell ref="B61:D61"/>
    <mergeCell ref="B79:D79"/>
    <mergeCell ref="B112:F112"/>
    <mergeCell ref="B115:D115"/>
    <mergeCell ref="B149:D149"/>
    <mergeCell ref="B168:D168"/>
    <mergeCell ref="B185:D185"/>
    <mergeCell ref="B10:B12"/>
    <mergeCell ref="B24:B26"/>
    <mergeCell ref="B45:B47"/>
    <mergeCell ref="B65:B67"/>
    <mergeCell ref="B82:B84"/>
    <mergeCell ref="B97:B99"/>
    <mergeCell ref="B119:B121"/>
    <mergeCell ref="B132:B134"/>
    <mergeCell ref="B153:B155"/>
    <mergeCell ref="B172:B174"/>
    <mergeCell ref="B188:B190"/>
    <mergeCell ref="B203:B205"/>
    <mergeCell ref="B218:B220"/>
    <mergeCell ref="K4:T13"/>
    <mergeCell ref="C82:F84"/>
    <mergeCell ref="C153:F155"/>
    <mergeCell ref="C172:F174"/>
    <mergeCell ref="C119:F121"/>
    <mergeCell ref="C132:F134"/>
    <mergeCell ref="C45:F47"/>
    <mergeCell ref="C65:F67"/>
    <mergeCell ref="C10:F12"/>
    <mergeCell ref="C24:F26"/>
    <mergeCell ref="C97:F99"/>
    <mergeCell ref="C188:F190"/>
    <mergeCell ref="C218:E220"/>
    <mergeCell ref="C203:F205"/>
  </mergeCells>
  <pageMargins left="0.7" right="0.7" top="0.75" bottom="0.75" header="0.3" footer="0.3"/>
  <pageSetup paperSize="1"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63"/>
  <sheetViews>
    <sheetView showGridLines="0" workbookViewId="0">
      <pane ySplit="2" topLeftCell="A3" activePane="bottomLeft" state="frozen"/>
      <selection/>
      <selection pane="bottomLeft" activeCell="B3" sqref="B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4" ht="16.5" customHeight="1"/>
    <row r="5" ht="15" customHeight="1" spans="2:20">
      <c r="B5" s="43" t="s">
        <v>548</v>
      </c>
      <c r="K5" s="65" t="s">
        <v>549</v>
      </c>
      <c r="L5" s="65"/>
      <c r="M5" s="65"/>
      <c r="N5" s="65"/>
      <c r="O5" s="65"/>
      <c r="P5" s="65"/>
      <c r="Q5" s="65"/>
      <c r="R5" s="65"/>
      <c r="S5" s="65"/>
      <c r="T5" s="65"/>
    </row>
    <row r="6" spans="2:20">
      <c r="B6" s="78">
        <v>2015</v>
      </c>
      <c r="C6" s="78"/>
      <c r="D6" s="78"/>
      <c r="K6" s="65"/>
      <c r="L6" s="65"/>
      <c r="M6" s="65"/>
      <c r="N6" s="65"/>
      <c r="O6" s="65"/>
      <c r="P6" s="65"/>
      <c r="Q6" s="65"/>
      <c r="R6" s="65"/>
      <c r="S6" s="65"/>
      <c r="T6" s="65"/>
    </row>
    <row r="7" spans="2:20">
      <c r="B7" s="45" t="s">
        <v>12</v>
      </c>
      <c r="C7" s="46" t="s">
        <v>550</v>
      </c>
      <c r="D7" s="68">
        <v>3736.18882346745</v>
      </c>
      <c r="K7" s="65"/>
      <c r="L7" s="65"/>
      <c r="M7" s="65"/>
      <c r="N7" s="65"/>
      <c r="O7" s="65"/>
      <c r="P7" s="65"/>
      <c r="Q7" s="65"/>
      <c r="R7" s="65"/>
      <c r="S7" s="65"/>
      <c r="T7" s="65"/>
    </row>
    <row r="8" spans="2:20">
      <c r="B8" s="45" t="s">
        <v>14</v>
      </c>
      <c r="C8" s="46" t="s">
        <v>551</v>
      </c>
      <c r="D8" s="68">
        <v>109.132559812093</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552</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20">
      <c r="B14" s="51">
        <v>0.0244945889723062</v>
      </c>
      <c r="C14" s="66">
        <v>111.115662125928</v>
      </c>
      <c r="D14" s="66">
        <v>110.584463707242</v>
      </c>
      <c r="E14" s="66">
        <v>110.584463707242</v>
      </c>
      <c r="F14" s="66">
        <v>110.584463707242</v>
      </c>
      <c r="K14" s="65"/>
      <c r="L14" s="65"/>
      <c r="M14" s="65"/>
      <c r="N14" s="65"/>
      <c r="O14" s="65"/>
      <c r="P14" s="65"/>
      <c r="Q14" s="65"/>
      <c r="R14" s="65"/>
      <c r="S14" s="65"/>
      <c r="T14" s="65"/>
    </row>
    <row r="15" spans="2:6">
      <c r="B15" s="51">
        <v>0.0944945889723062</v>
      </c>
      <c r="C15" s="66">
        <v>125.711579664595</v>
      </c>
      <c r="D15" s="66">
        <v>114.733676938595</v>
      </c>
      <c r="E15" s="66">
        <v>114.733676938595</v>
      </c>
      <c r="F15" s="66">
        <v>114.733676938595</v>
      </c>
    </row>
    <row r="16" spans="2:6">
      <c r="B16" s="51">
        <v>0.164494588972306</v>
      </c>
      <c r="C16" s="66">
        <v>127.405686435755</v>
      </c>
      <c r="D16" s="66">
        <v>118.882890169948</v>
      </c>
      <c r="E16" s="66">
        <v>118.882890169948</v>
      </c>
      <c r="F16" s="66">
        <v>118.882890169948</v>
      </c>
    </row>
    <row r="17" spans="2:6">
      <c r="B17" s="51">
        <v>0.224494588972306</v>
      </c>
      <c r="C17" s="66">
        <v>136.462078435985</v>
      </c>
      <c r="D17" s="66">
        <v>124.73701588032</v>
      </c>
      <c r="E17" s="66">
        <v>124.73701588032</v>
      </c>
      <c r="F17" s="66">
        <v>124.73701588032</v>
      </c>
    </row>
    <row r="18" spans="2:6">
      <c r="B18" s="51">
        <v>0.274494588972306</v>
      </c>
      <c r="C18" s="66">
        <v>173.923237832791</v>
      </c>
      <c r="D18" s="66">
        <v>130.426979341445</v>
      </c>
      <c r="E18" s="66">
        <v>129.615453972296</v>
      </c>
      <c r="F18" s="66">
        <v>129.615453972296</v>
      </c>
    </row>
    <row r="19" spans="2:6">
      <c r="B19" s="51">
        <v>0.324494588972306</v>
      </c>
      <c r="C19" s="66">
        <v>249.299663362294</v>
      </c>
      <c r="D19" s="66">
        <v>145.019553101598</v>
      </c>
      <c r="E19" s="66">
        <v>134.493892064273</v>
      </c>
      <c r="F19" s="66">
        <v>134.493892064273</v>
      </c>
    </row>
    <row r="20" spans="2:6">
      <c r="B20" s="51">
        <v>0.394494588972306</v>
      </c>
      <c r="C20" s="66">
        <v>326.904386688214</v>
      </c>
      <c r="D20" s="66">
        <v>167.885502783093</v>
      </c>
      <c r="E20" s="66">
        <v>141.323705393039</v>
      </c>
      <c r="F20" s="66">
        <v>141.323705393039</v>
      </c>
    </row>
    <row r="22" ht="15" customHeight="1"/>
    <row r="24" ht="15" customHeight="1" spans="2:5">
      <c r="B24" s="48" t="s">
        <v>140</v>
      </c>
      <c r="C24" s="55" t="s">
        <v>553</v>
      </c>
      <c r="D24" s="56"/>
      <c r="E24" s="57"/>
    </row>
    <row r="25" spans="2:5">
      <c r="B25" s="48"/>
      <c r="C25" s="58"/>
      <c r="D25" s="59"/>
      <c r="E25" s="60"/>
    </row>
    <row r="26" spans="2:5">
      <c r="B26" s="48"/>
      <c r="C26" s="61"/>
      <c r="D26" s="62"/>
      <c r="E26" s="63"/>
    </row>
    <row r="27" spans="2:5">
      <c r="B27" s="49"/>
      <c r="C27" s="50">
        <v>2030</v>
      </c>
      <c r="D27" s="50">
        <v>2040</v>
      </c>
      <c r="E27" s="50">
        <v>2050</v>
      </c>
    </row>
    <row r="28" spans="2:5">
      <c r="B28" s="51">
        <v>0.1392</v>
      </c>
      <c r="C28" s="66">
        <v>121.253155865646</v>
      </c>
      <c r="D28" s="66">
        <v>119.053692296223</v>
      </c>
      <c r="E28" s="66">
        <v>119.053692296223</v>
      </c>
    </row>
    <row r="29" spans="2:5">
      <c r="B29" s="51">
        <v>0.2292</v>
      </c>
      <c r="C29" s="66">
        <v>125.995113844334</v>
      </c>
      <c r="D29" s="66">
        <v>123.795650274912</v>
      </c>
      <c r="E29" s="66">
        <v>123.795650274912</v>
      </c>
    </row>
    <row r="30" spans="2:5">
      <c r="B30" s="51">
        <v>0.2992</v>
      </c>
      <c r="C30" s="66">
        <v>130.144327075687</v>
      </c>
      <c r="D30" s="66">
        <v>127.944863506265</v>
      </c>
      <c r="E30" s="66">
        <v>127.944863506265</v>
      </c>
    </row>
    <row r="31" spans="2:5">
      <c r="B31" s="51">
        <v>0.3492</v>
      </c>
      <c r="C31" s="66">
        <v>134.29354030704</v>
      </c>
      <c r="D31" s="66">
        <v>132.094076737617</v>
      </c>
      <c r="E31" s="66">
        <v>132.094076737617</v>
      </c>
    </row>
    <row r="32" spans="2:5">
      <c r="B32" s="51">
        <v>0.3992</v>
      </c>
      <c r="C32" s="66">
        <v>146.259582635662</v>
      </c>
      <c r="D32" s="66">
        <v>141.416927484762</v>
      </c>
      <c r="E32" s="66">
        <v>141.416927484762</v>
      </c>
    </row>
    <row r="33" spans="2:5">
      <c r="B33" s="51">
        <v>0.4492</v>
      </c>
      <c r="C33" s="66">
        <v>166.024116054188</v>
      </c>
      <c r="D33" s="66">
        <v>146.295365576738</v>
      </c>
      <c r="E33" s="66">
        <v>146.295365576738</v>
      </c>
    </row>
    <row r="34" spans="2:5">
      <c r="B34" s="51">
        <v>0.4992</v>
      </c>
      <c r="C34" s="66">
        <v>187.765102814566</v>
      </c>
      <c r="D34" s="66">
        <v>151.173803668715</v>
      </c>
      <c r="E34" s="66">
        <v>151.173803668715</v>
      </c>
    </row>
    <row r="35" spans="2:5">
      <c r="B35" s="51">
        <v>0.5532</v>
      </c>
      <c r="C35" s="66">
        <v>215.141235301234</v>
      </c>
      <c r="D35" s="66">
        <v>162.103548481462</v>
      </c>
      <c r="E35" s="66">
        <v>162.103548481462</v>
      </c>
    </row>
    <row r="39" spans="2:4">
      <c r="B39" s="44">
        <v>2030</v>
      </c>
      <c r="C39" s="44"/>
      <c r="D39" s="44"/>
    </row>
    <row r="40" spans="2:4">
      <c r="B40" s="45" t="s">
        <v>12</v>
      </c>
      <c r="C40" s="46" t="s">
        <v>550</v>
      </c>
      <c r="D40" s="68">
        <v>2146.17368873603</v>
      </c>
    </row>
    <row r="41" ht="15" customHeight="1"/>
    <row r="42" spans="2:5">
      <c r="B42" s="48" t="s">
        <v>554</v>
      </c>
      <c r="C42" s="55" t="s">
        <v>555</v>
      </c>
      <c r="D42" s="56"/>
      <c r="E42" s="57"/>
    </row>
    <row r="43" spans="2:5">
      <c r="B43" s="48"/>
      <c r="C43" s="58"/>
      <c r="D43" s="59"/>
      <c r="E43" s="60"/>
    </row>
    <row r="44" spans="2:5">
      <c r="B44" s="48"/>
      <c r="C44" s="61"/>
      <c r="D44" s="62"/>
      <c r="E44" s="63"/>
    </row>
    <row r="45" spans="2:5">
      <c r="B45" s="49"/>
      <c r="C45" s="50">
        <v>2030</v>
      </c>
      <c r="D45" s="50">
        <v>2040</v>
      </c>
      <c r="E45" s="50">
        <v>2050</v>
      </c>
    </row>
    <row r="46" spans="2:5">
      <c r="B46" s="66">
        <v>350</v>
      </c>
      <c r="C46" s="66">
        <v>191.636992203033</v>
      </c>
      <c r="D46" s="66">
        <v>160.070692082781</v>
      </c>
      <c r="E46" s="66">
        <v>155.151973642423</v>
      </c>
    </row>
    <row r="47" spans="2:5">
      <c r="B47" s="66">
        <v>500</v>
      </c>
      <c r="C47" s="66">
        <v>203.335445469455</v>
      </c>
      <c r="D47" s="66">
        <v>170.530982171705</v>
      </c>
      <c r="E47" s="66">
        <v>162.356198613482</v>
      </c>
    </row>
    <row r="48" spans="2:5">
      <c r="B48" s="66">
        <v>700</v>
      </c>
      <c r="C48" s="66">
        <v>226.935203719013</v>
      </c>
      <c r="D48" s="66">
        <v>187.751802452669</v>
      </c>
      <c r="E48" s="66">
        <v>176.068156951163</v>
      </c>
    </row>
    <row r="49" spans="2:5">
      <c r="B49" s="66">
        <v>1100</v>
      </c>
      <c r="C49" s="66">
        <v>308.771871310177</v>
      </c>
      <c r="D49" s="66">
        <v>238.775273693841</v>
      </c>
      <c r="E49" s="66">
        <v>221.0005211959</v>
      </c>
    </row>
    <row r="53" spans="2:5">
      <c r="B53" s="48" t="s">
        <v>556</v>
      </c>
      <c r="C53" s="55" t="s">
        <v>557</v>
      </c>
      <c r="D53" s="56">
        <v>0</v>
      </c>
      <c r="E53" s="57">
        <v>0</v>
      </c>
    </row>
    <row r="54" spans="2:5">
      <c r="B54" s="48">
        <v>0</v>
      </c>
      <c r="C54" s="58">
        <v>0</v>
      </c>
      <c r="D54" s="59">
        <v>0</v>
      </c>
      <c r="E54" s="60">
        <v>0</v>
      </c>
    </row>
    <row r="55" spans="2:5">
      <c r="B55" s="48">
        <v>0</v>
      </c>
      <c r="C55" s="61">
        <v>0</v>
      </c>
      <c r="D55" s="62">
        <v>0</v>
      </c>
      <c r="E55" s="63">
        <v>0</v>
      </c>
    </row>
    <row r="56" spans="2:5">
      <c r="B56" s="49"/>
      <c r="C56" s="50">
        <v>2030</v>
      </c>
      <c r="D56" s="50">
        <v>2040</v>
      </c>
      <c r="E56" s="50">
        <v>2050</v>
      </c>
    </row>
    <row r="57" spans="2:5">
      <c r="B57" s="79">
        <v>2652.69406466189</v>
      </c>
      <c r="C57" s="66">
        <v>144.614878177242</v>
      </c>
      <c r="D57" s="66">
        <v>135.666753504071</v>
      </c>
      <c r="E57" s="66">
        <v>132.802826638925</v>
      </c>
    </row>
    <row r="58" spans="2:5">
      <c r="B58" s="79">
        <v>2600.71274403535</v>
      </c>
      <c r="C58" s="66">
        <v>151.213592601941</v>
      </c>
      <c r="D58" s="66">
        <v>139.815966735424</v>
      </c>
      <c r="E58" s="66">
        <v>136.952039870278</v>
      </c>
    </row>
    <row r="59" spans="2:5">
      <c r="B59" s="79">
        <v>2452.16187641429</v>
      </c>
      <c r="C59" s="66">
        <v>154.066739686549</v>
      </c>
      <c r="D59" s="66">
        <v>143.965179966777</v>
      </c>
      <c r="E59" s="66">
        <v>141.101253101631</v>
      </c>
    </row>
    <row r="60" spans="2:5">
      <c r="B60" s="79">
        <v>2303.61100879322</v>
      </c>
      <c r="C60" s="66">
        <v>159.729882094067</v>
      </c>
      <c r="D60" s="66">
        <v>149.819305677149</v>
      </c>
      <c r="E60" s="66">
        <v>146.955378812003</v>
      </c>
    </row>
    <row r="61" spans="2:5">
      <c r="B61" s="79">
        <v>2176.28169368945</v>
      </c>
      <c r="C61" s="66">
        <v>179.94579120844</v>
      </c>
      <c r="D61" s="66">
        <v>154.697743769125</v>
      </c>
      <c r="E61" s="66">
        <v>151.833816903979</v>
      </c>
    </row>
    <row r="62" spans="2:5">
      <c r="B62" s="79">
        <v>2070.17393110297</v>
      </c>
      <c r="C62" s="66">
        <v>218.115346666695</v>
      </c>
      <c r="D62" s="66">
        <v>159.8607569166</v>
      </c>
      <c r="E62" s="66">
        <v>156.712254995955</v>
      </c>
    </row>
    <row r="63" spans="2:5">
      <c r="B63" s="79">
        <v>1964.0661685165</v>
      </c>
      <c r="C63" s="66">
        <v>256.007151487446</v>
      </c>
      <c r="D63" s="66">
        <v>166.508636964094</v>
      </c>
      <c r="E63" s="66">
        <v>163.542068324722</v>
      </c>
    </row>
  </sheetData>
  <mergeCells count="13">
    <mergeCell ref="B1:F1"/>
    <mergeCell ref="B2:F2"/>
    <mergeCell ref="B6:D6"/>
    <mergeCell ref="B39:D39"/>
    <mergeCell ref="B10:B12"/>
    <mergeCell ref="B24:B26"/>
    <mergeCell ref="B42:B44"/>
    <mergeCell ref="B53:B55"/>
    <mergeCell ref="K5:T14"/>
    <mergeCell ref="C10:F12"/>
    <mergeCell ref="C42:E44"/>
    <mergeCell ref="C24:E26"/>
    <mergeCell ref="C53:E55"/>
  </mergeCells>
  <pageMargins left="0.7" right="0.7" top="0.75" bottom="0.75" header="0.3" footer="0.3"/>
  <pageSetup paperSize="1"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31"/>
  <sheetViews>
    <sheetView showGridLines="0" workbookViewId="0">
      <pane ySplit="2" topLeftCell="A3" activePane="bottomLeft" state="frozen"/>
      <selection/>
      <selection pane="bottomLeft" activeCell="B1" sqref="B1:F1"/>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5" spans="2:2">
      <c r="B5" s="43" t="s">
        <v>558</v>
      </c>
    </row>
    <row r="6" ht="15" customHeight="1" spans="2:4">
      <c r="B6" s="44">
        <v>2015</v>
      </c>
      <c r="C6" s="44"/>
      <c r="D6" s="44"/>
    </row>
    <row r="7" spans="2:10">
      <c r="B7" s="45" t="s">
        <v>12</v>
      </c>
      <c r="C7" s="46" t="s">
        <v>559</v>
      </c>
      <c r="D7" s="68">
        <v>11.1115917749527</v>
      </c>
      <c r="J7" s="77"/>
    </row>
    <row r="8" spans="2:10">
      <c r="B8" s="45" t="s">
        <v>14</v>
      </c>
      <c r="C8" s="46" t="s">
        <v>551</v>
      </c>
      <c r="D8" s="68">
        <v>8.51985777210084</v>
      </c>
      <c r="J8" s="77"/>
    </row>
    <row r="10" spans="2:6">
      <c r="B10" s="48" t="s">
        <v>140</v>
      </c>
      <c r="C10" s="48" t="s">
        <v>560</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12">
      <c r="B14" s="51">
        <v>0.05</v>
      </c>
      <c r="C14" s="75">
        <v>8.7076566191047</v>
      </c>
      <c r="D14" s="75">
        <v>8.7076566191047</v>
      </c>
      <c r="E14" s="75">
        <v>8.7076566191047</v>
      </c>
      <c r="F14" s="75">
        <v>8.7076566191047</v>
      </c>
      <c r="H14" s="76"/>
      <c r="I14" s="77"/>
      <c r="J14" s="77"/>
      <c r="K14" s="77"/>
      <c r="L14" s="77"/>
    </row>
    <row r="15" spans="2:12">
      <c r="B15" s="51">
        <v>0.1</v>
      </c>
      <c r="C15" s="75">
        <v>8.91415537417893</v>
      </c>
      <c r="D15" s="75">
        <v>8.89545546610856</v>
      </c>
      <c r="E15" s="75">
        <v>8.89545546610856</v>
      </c>
      <c r="F15" s="75">
        <v>8.89545546610856</v>
      </c>
      <c r="H15" s="76"/>
      <c r="I15" s="77"/>
      <c r="J15" s="77"/>
      <c r="K15" s="77"/>
      <c r="L15" s="77"/>
    </row>
    <row r="16" spans="2:12">
      <c r="B16" s="51">
        <v>0.15</v>
      </c>
      <c r="C16" s="75">
        <v>9.50062873616284</v>
      </c>
      <c r="D16" s="75">
        <v>9.08325431311241</v>
      </c>
      <c r="E16" s="75">
        <v>9.08325431311241</v>
      </c>
      <c r="F16" s="75">
        <v>9.08325431311241</v>
      </c>
      <c r="H16" s="76"/>
      <c r="I16" s="77"/>
      <c r="J16" s="77"/>
      <c r="K16" s="77"/>
      <c r="L16" s="77"/>
    </row>
    <row r="17" spans="2:12">
      <c r="B17" s="51">
        <v>0.22</v>
      </c>
      <c r="C17" s="75">
        <v>9.9000681587017</v>
      </c>
      <c r="D17" s="75">
        <v>9.34617269891781</v>
      </c>
      <c r="E17" s="75">
        <v>9.34617269891781</v>
      </c>
      <c r="F17" s="75">
        <v>9.34617269891781</v>
      </c>
      <c r="H17" s="76"/>
      <c r="I17" s="77"/>
      <c r="J17" s="77"/>
      <c r="K17" s="77"/>
      <c r="L17" s="77"/>
    </row>
    <row r="18" spans="2:12">
      <c r="B18" s="51">
        <v>0.26</v>
      </c>
      <c r="C18" s="75">
        <v>10.316341855611</v>
      </c>
      <c r="D18" s="75">
        <v>9.73999149502857</v>
      </c>
      <c r="E18" s="75">
        <v>9.73999149502857</v>
      </c>
      <c r="F18" s="75">
        <v>9.73999149502857</v>
      </c>
      <c r="H18" s="76"/>
      <c r="I18" s="77"/>
      <c r="J18" s="77"/>
      <c r="K18" s="77"/>
      <c r="L18" s="77"/>
    </row>
    <row r="19" spans="2:12">
      <c r="B19" s="51">
        <v>0.32</v>
      </c>
      <c r="C19" s="75">
        <v>13.0322082211334</v>
      </c>
      <c r="D19" s="75">
        <v>10.3801991776078</v>
      </c>
      <c r="E19" s="75">
        <v>10.3307196891947</v>
      </c>
      <c r="F19" s="75">
        <v>10.3307196891947</v>
      </c>
      <c r="H19" s="76"/>
      <c r="I19" s="77"/>
      <c r="J19" s="77"/>
      <c r="K19" s="77"/>
      <c r="L19" s="77"/>
    </row>
    <row r="20" spans="2:12">
      <c r="B20" s="51">
        <v>0.38</v>
      </c>
      <c r="C20" s="75">
        <v>21.2715939211452</v>
      </c>
      <c r="D20" s="75">
        <v>13.6375776507097</v>
      </c>
      <c r="E20" s="75">
        <v>10.9215433052777</v>
      </c>
      <c r="F20" s="75">
        <v>10.9214478833609</v>
      </c>
      <c r="H20" s="76"/>
      <c r="I20" s="77"/>
      <c r="J20" s="77"/>
      <c r="K20" s="77"/>
      <c r="L20" s="77"/>
    </row>
    <row r="21" spans="2:12">
      <c r="B21" s="51">
        <v>0.48</v>
      </c>
      <c r="C21" s="75">
        <v>33.8031437546533</v>
      </c>
      <c r="D21" s="75">
        <v>26.0740676061676</v>
      </c>
      <c r="E21" s="75">
        <v>13.4274843498302</v>
      </c>
      <c r="F21" s="75">
        <v>11.9059948736377</v>
      </c>
      <c r="H21" s="76"/>
      <c r="I21" s="77"/>
      <c r="J21" s="77"/>
      <c r="K21" s="77"/>
      <c r="L21" s="77"/>
    </row>
    <row r="25" spans="2:2">
      <c r="B25" s="43" t="s">
        <v>561</v>
      </c>
    </row>
    <row r="26" spans="2:4">
      <c r="B26" s="44">
        <v>2015</v>
      </c>
      <c r="C26" s="44"/>
      <c r="D26" s="44"/>
    </row>
    <row r="27" spans="2:10">
      <c r="B27" s="45" t="s">
        <v>12</v>
      </c>
      <c r="C27" s="46" t="s">
        <v>559</v>
      </c>
      <c r="D27" s="68">
        <v>6.93017681650736</v>
      </c>
      <c r="J27" s="77"/>
    </row>
    <row r="28" spans="2:10">
      <c r="B28" s="45" t="s">
        <v>14</v>
      </c>
      <c r="C28" s="46" t="s">
        <v>551</v>
      </c>
      <c r="D28" s="68">
        <v>11.6296058589177</v>
      </c>
      <c r="J28" s="77"/>
    </row>
    <row r="29" ht="15" customHeight="1"/>
    <row r="30" spans="2:6">
      <c r="B30" s="48" t="s">
        <v>140</v>
      </c>
      <c r="C30" s="48" t="s">
        <v>562</v>
      </c>
      <c r="D30" s="48"/>
      <c r="E30" s="48"/>
      <c r="F30" s="48"/>
    </row>
    <row r="31" spans="2:6">
      <c r="B31" s="48"/>
      <c r="C31" s="48"/>
      <c r="D31" s="48"/>
      <c r="E31" s="48"/>
      <c r="F31" s="48"/>
    </row>
    <row r="32" spans="2:6">
      <c r="B32" s="48"/>
      <c r="C32" s="48"/>
      <c r="D32" s="48"/>
      <c r="E32" s="48"/>
      <c r="F32" s="48"/>
    </row>
    <row r="33" spans="2:6">
      <c r="B33" s="49"/>
      <c r="C33" s="50">
        <v>2020</v>
      </c>
      <c r="D33" s="50">
        <v>2030</v>
      </c>
      <c r="E33" s="50">
        <v>2040</v>
      </c>
      <c r="F33" s="50">
        <v>2050</v>
      </c>
    </row>
    <row r="34" spans="2:12">
      <c r="B34" s="51">
        <v>0.07</v>
      </c>
      <c r="C34" s="52">
        <v>11.9003066289429</v>
      </c>
      <c r="D34" s="52">
        <v>11.9003066289429</v>
      </c>
      <c r="E34" s="52">
        <v>11.9003066289429</v>
      </c>
      <c r="F34" s="52">
        <v>11.9003066289429</v>
      </c>
      <c r="H34" s="76"/>
      <c r="I34" s="77"/>
      <c r="J34" s="77"/>
      <c r="K34" s="77"/>
      <c r="L34" s="77"/>
    </row>
    <row r="35" spans="2:12">
      <c r="B35" s="51">
        <v>0.12</v>
      </c>
      <c r="C35" s="52">
        <v>12.1167684322372</v>
      </c>
      <c r="D35" s="52">
        <v>12.0936643218181</v>
      </c>
      <c r="E35" s="52">
        <v>12.0936643218181</v>
      </c>
      <c r="F35" s="52">
        <v>12.0936643218181</v>
      </c>
      <c r="H35" s="76"/>
      <c r="I35" s="77"/>
      <c r="J35" s="77"/>
      <c r="K35" s="77"/>
      <c r="L35" s="77"/>
    </row>
    <row r="36" spans="2:12">
      <c r="B36" s="51">
        <v>0.2</v>
      </c>
      <c r="C36" s="52">
        <v>12.976008238382</v>
      </c>
      <c r="D36" s="52">
        <v>12.4030366304183</v>
      </c>
      <c r="E36" s="52">
        <v>12.4030366304183</v>
      </c>
      <c r="F36" s="52">
        <v>12.4030366304183</v>
      </c>
      <c r="H36" s="76"/>
      <c r="I36" s="77"/>
      <c r="J36" s="77"/>
      <c r="K36" s="77"/>
      <c r="L36" s="77"/>
    </row>
    <row r="37" spans="2:12">
      <c r="B37" s="51">
        <v>0.28</v>
      </c>
      <c r="C37" s="52">
        <v>13.4382335495194</v>
      </c>
      <c r="D37" s="52">
        <v>12.7124089390186</v>
      </c>
      <c r="E37" s="52">
        <v>12.7124089390186</v>
      </c>
      <c r="F37" s="52">
        <v>12.7124089390186</v>
      </c>
      <c r="H37" s="76"/>
      <c r="I37" s="77"/>
      <c r="J37" s="77"/>
      <c r="K37" s="77"/>
      <c r="L37" s="77"/>
    </row>
    <row r="38" spans="2:12">
      <c r="B38" s="51">
        <v>0.36</v>
      </c>
      <c r="C38" s="52">
        <v>14.7931646932154</v>
      </c>
      <c r="D38" s="52">
        <v>13.7782276327608</v>
      </c>
      <c r="E38" s="52">
        <v>13.7782276327608</v>
      </c>
      <c r="F38" s="52">
        <v>13.7782276327608</v>
      </c>
      <c r="H38" s="76"/>
      <c r="I38" s="77"/>
      <c r="J38" s="77"/>
      <c r="K38" s="77"/>
      <c r="L38" s="77"/>
    </row>
    <row r="39" spans="2:12">
      <c r="B39" s="51">
        <v>0.42</v>
      </c>
      <c r="C39" s="52">
        <v>18.9754696690758</v>
      </c>
      <c r="D39" s="52">
        <v>14.6581415986854</v>
      </c>
      <c r="E39" s="52">
        <v>14.5775916530675</v>
      </c>
      <c r="F39" s="52">
        <v>14.5775916530675</v>
      </c>
      <c r="H39" s="76"/>
      <c r="I39" s="77"/>
      <c r="J39" s="77"/>
      <c r="K39" s="77"/>
      <c r="L39" s="77"/>
    </row>
    <row r="40" spans="2:12">
      <c r="B40" s="51">
        <v>0.47</v>
      </c>
      <c r="C40" s="52">
        <v>30.8195317460936</v>
      </c>
      <c r="D40" s="52">
        <v>19.3311975507431</v>
      </c>
      <c r="E40" s="52">
        <v>15.243871935888</v>
      </c>
      <c r="F40" s="52">
        <v>15.2437283366563</v>
      </c>
      <c r="H40" s="76"/>
      <c r="I40" s="77"/>
      <c r="J40" s="77"/>
      <c r="K40" s="77"/>
      <c r="L40" s="77"/>
    </row>
    <row r="41" spans="2:12">
      <c r="B41" s="51">
        <v>0.53</v>
      </c>
      <c r="C41" s="52">
        <v>44.583806461004</v>
      </c>
      <c r="D41" s="52">
        <v>34.5097391090876</v>
      </c>
      <c r="E41" s="52">
        <v>18.0261996732751</v>
      </c>
      <c r="F41" s="52">
        <v>16.043092356963</v>
      </c>
      <c r="H41" s="76"/>
      <c r="I41" s="77"/>
      <c r="J41" s="77"/>
      <c r="K41" s="77"/>
      <c r="L41" s="77"/>
    </row>
    <row r="45" spans="2:2">
      <c r="B45" s="43" t="s">
        <v>563</v>
      </c>
    </row>
    <row r="46" spans="2:4">
      <c r="B46" s="44">
        <v>2015</v>
      </c>
      <c r="C46" s="44"/>
      <c r="D46" s="44"/>
    </row>
    <row r="47" spans="2:10">
      <c r="B47" s="45" t="s">
        <v>12</v>
      </c>
      <c r="C47" s="46" t="s">
        <v>559</v>
      </c>
      <c r="D47" s="68">
        <v>2.00511882895014</v>
      </c>
      <c r="J47" s="77"/>
    </row>
    <row r="48" spans="2:10">
      <c r="B48" s="45" t="s">
        <v>14</v>
      </c>
      <c r="C48" s="46" t="s">
        <v>551</v>
      </c>
      <c r="D48" s="68">
        <v>27.1827732017803</v>
      </c>
      <c r="J48" s="77"/>
    </row>
    <row r="49" ht="15" customHeight="1"/>
    <row r="50" spans="2:6">
      <c r="B50" s="48" t="s">
        <v>140</v>
      </c>
      <c r="C50" s="48" t="s">
        <v>564</v>
      </c>
      <c r="D50" s="48"/>
      <c r="E50" s="48"/>
      <c r="F50" s="48"/>
    </row>
    <row r="51" spans="2:6">
      <c r="B51" s="48"/>
      <c r="C51" s="48"/>
      <c r="D51" s="48"/>
      <c r="E51" s="48"/>
      <c r="F51" s="48"/>
    </row>
    <row r="52" spans="2:6">
      <c r="B52" s="48"/>
      <c r="C52" s="48"/>
      <c r="D52" s="48"/>
      <c r="E52" s="48"/>
      <c r="F52" s="48"/>
    </row>
    <row r="53" spans="2:6">
      <c r="B53" s="49"/>
      <c r="C53" s="50">
        <v>2020</v>
      </c>
      <c r="D53" s="50">
        <v>2030</v>
      </c>
      <c r="E53" s="50">
        <v>2040</v>
      </c>
      <c r="F53" s="50">
        <v>2050</v>
      </c>
    </row>
    <row r="54" spans="2:12">
      <c r="B54" s="51">
        <v>0.07</v>
      </c>
      <c r="C54" s="52">
        <v>27.7100479955559</v>
      </c>
      <c r="D54" s="52">
        <v>27.7100479955559</v>
      </c>
      <c r="E54" s="52">
        <v>27.7100479955559</v>
      </c>
      <c r="F54" s="52">
        <v>27.7100479955559</v>
      </c>
      <c r="H54" s="76"/>
      <c r="I54" s="77"/>
      <c r="J54" s="77"/>
      <c r="K54" s="77"/>
      <c r="L54" s="77"/>
    </row>
    <row r="55" spans="2:12">
      <c r="B55" s="51">
        <v>0.12</v>
      </c>
      <c r="C55" s="52">
        <v>28.1316753617494</v>
      </c>
      <c r="D55" s="52">
        <v>28.0866728482528</v>
      </c>
      <c r="E55" s="52">
        <v>28.0866728482528</v>
      </c>
      <c r="F55" s="52">
        <v>28.0866728482528</v>
      </c>
      <c r="H55" s="76"/>
      <c r="I55" s="77"/>
      <c r="J55" s="77"/>
      <c r="K55" s="77"/>
      <c r="L55" s="77"/>
    </row>
    <row r="56" spans="2:12">
      <c r="B56" s="51">
        <v>0.2</v>
      </c>
      <c r="C56" s="52">
        <v>29.8053148255255</v>
      </c>
      <c r="D56" s="52">
        <v>28.6892726125678</v>
      </c>
      <c r="E56" s="52">
        <v>28.6892726125678</v>
      </c>
      <c r="F56" s="52">
        <v>28.6892726125678</v>
      </c>
      <c r="H56" s="76"/>
      <c r="I56" s="77"/>
      <c r="J56" s="77"/>
      <c r="K56" s="77"/>
      <c r="L56" s="77"/>
    </row>
    <row r="57" spans="2:12">
      <c r="B57" s="51">
        <v>0.28</v>
      </c>
      <c r="C57" s="52">
        <v>30.7056438330313</v>
      </c>
      <c r="D57" s="52">
        <v>29.2918723768828</v>
      </c>
      <c r="E57" s="52">
        <v>29.2918723768828</v>
      </c>
      <c r="F57" s="52">
        <v>29.2918723768828</v>
      </c>
      <c r="H57" s="76"/>
      <c r="I57" s="77"/>
      <c r="J57" s="77"/>
      <c r="K57" s="77"/>
      <c r="L57" s="77"/>
    </row>
    <row r="58" spans="2:12">
      <c r="B58" s="51">
        <v>0.36</v>
      </c>
      <c r="C58" s="52">
        <v>33.2628593867376</v>
      </c>
      <c r="D58" s="52">
        <v>31.3122382277539</v>
      </c>
      <c r="E58" s="52">
        <v>31.3122382277539</v>
      </c>
      <c r="F58" s="52">
        <v>31.3122382277539</v>
      </c>
      <c r="H58" s="76"/>
      <c r="I58" s="77"/>
      <c r="J58" s="77"/>
      <c r="K58" s="77"/>
      <c r="L58" s="77"/>
    </row>
    <row r="59" spans="2:12">
      <c r="B59" s="51">
        <v>0.42</v>
      </c>
      <c r="C59" s="52">
        <v>41.2484742856507</v>
      </c>
      <c r="D59" s="52">
        <v>32.981747908946</v>
      </c>
      <c r="E59" s="52">
        <v>32.8275126159071</v>
      </c>
      <c r="F59" s="52">
        <v>32.8275126159071</v>
      </c>
      <c r="H59" s="76"/>
      <c r="I59" s="77"/>
      <c r="J59" s="77"/>
      <c r="K59" s="77"/>
      <c r="L59" s="77"/>
    </row>
    <row r="60" spans="2:12">
      <c r="B60" s="51">
        <v>0.47</v>
      </c>
      <c r="C60" s="52">
        <v>63.8593941977434</v>
      </c>
      <c r="D60" s="52">
        <v>41.9023902137203</v>
      </c>
      <c r="E60" s="52">
        <v>34.0905157257987</v>
      </c>
      <c r="F60" s="52">
        <v>34.0902412727015</v>
      </c>
      <c r="H60" s="76"/>
      <c r="I60" s="77"/>
      <c r="J60" s="77"/>
      <c r="K60" s="77"/>
      <c r="L60" s="77"/>
    </row>
    <row r="61" spans="2:12">
      <c r="B61" s="51">
        <v>0.53</v>
      </c>
      <c r="C61" s="52">
        <v>90.0729043348383</v>
      </c>
      <c r="D61" s="52">
        <v>70.8474518817398</v>
      </c>
      <c r="E61" s="52">
        <v>39.3900978050169</v>
      </c>
      <c r="F61" s="52">
        <v>35.6055156608548</v>
      </c>
      <c r="H61" s="76"/>
      <c r="I61" s="77"/>
      <c r="J61" s="77"/>
      <c r="K61" s="77"/>
      <c r="L61" s="77"/>
    </row>
    <row r="65" spans="2:2">
      <c r="B65" s="43" t="s">
        <v>565</v>
      </c>
    </row>
    <row r="66" spans="2:4">
      <c r="B66" s="44">
        <v>2015</v>
      </c>
      <c r="C66" s="44"/>
      <c r="D66" s="44"/>
    </row>
    <row r="67" spans="2:10">
      <c r="B67" s="45" t="s">
        <v>12</v>
      </c>
      <c r="C67" s="46" t="s">
        <v>566</v>
      </c>
      <c r="D67" s="68">
        <v>21.7610759732877</v>
      </c>
      <c r="J67" s="77"/>
    </row>
    <row r="68" ht="15" customHeight="1" spans="2:10">
      <c r="B68" s="45" t="s">
        <v>14</v>
      </c>
      <c r="C68" s="46" t="s">
        <v>551</v>
      </c>
      <c r="D68" s="68">
        <v>8.8007828121539</v>
      </c>
      <c r="J68" s="77"/>
    </row>
    <row r="70" spans="2:6">
      <c r="B70" s="48" t="s">
        <v>140</v>
      </c>
      <c r="C70" s="48" t="s">
        <v>567</v>
      </c>
      <c r="D70" s="48"/>
      <c r="E70" s="48"/>
      <c r="F70" s="48"/>
    </row>
    <row r="71" spans="2:6">
      <c r="B71" s="48"/>
      <c r="C71" s="48"/>
      <c r="D71" s="48"/>
      <c r="E71" s="48"/>
      <c r="F71" s="48"/>
    </row>
    <row r="72" spans="2:6">
      <c r="B72" s="48"/>
      <c r="C72" s="48"/>
      <c r="D72" s="48"/>
      <c r="E72" s="48"/>
      <c r="F72" s="48"/>
    </row>
    <row r="73" spans="2:6">
      <c r="B73" s="49"/>
      <c r="C73" s="50">
        <v>2020</v>
      </c>
      <c r="D73" s="50">
        <v>2030</v>
      </c>
      <c r="E73" s="50">
        <v>2040</v>
      </c>
      <c r="F73" s="50">
        <v>2050</v>
      </c>
    </row>
    <row r="74" spans="2:12">
      <c r="B74" s="51">
        <v>0.05</v>
      </c>
      <c r="C74" s="52">
        <v>9.15169121774217</v>
      </c>
      <c r="D74" s="52">
        <v>9.15169121774217</v>
      </c>
      <c r="E74" s="52">
        <v>9.15169121774217</v>
      </c>
      <c r="F74" s="52">
        <v>9.15169121774217</v>
      </c>
      <c r="H74" s="76"/>
      <c r="I74" s="77"/>
      <c r="J74" s="77"/>
      <c r="K74" s="77"/>
      <c r="L74" s="77"/>
    </row>
    <row r="75" spans="2:12">
      <c r="B75" s="51">
        <v>0.12</v>
      </c>
      <c r="C75" s="52">
        <v>9.68489266743747</v>
      </c>
      <c r="D75" s="52">
        <v>9.64296298556575</v>
      </c>
      <c r="E75" s="52">
        <v>9.64296298556575</v>
      </c>
      <c r="F75" s="52">
        <v>9.64296298556575</v>
      </c>
      <c r="H75" s="76"/>
      <c r="I75" s="77"/>
      <c r="J75" s="77"/>
      <c r="K75" s="77"/>
      <c r="L75" s="77"/>
    </row>
    <row r="76" spans="2:12">
      <c r="B76" s="51">
        <v>0.2</v>
      </c>
      <c r="C76" s="52">
        <v>11.2442537971076</v>
      </c>
      <c r="D76" s="52">
        <v>10.204416434507</v>
      </c>
      <c r="E76" s="52">
        <v>10.204416434507</v>
      </c>
      <c r="F76" s="52">
        <v>10.204416434507</v>
      </c>
      <c r="H76" s="76"/>
      <c r="I76" s="77"/>
      <c r="J76" s="77"/>
      <c r="K76" s="77"/>
      <c r="L76" s="77"/>
    </row>
    <row r="77" spans="2:12">
      <c r="B77" s="51">
        <v>0.27</v>
      </c>
      <c r="C77" s="52">
        <v>11.965881270707</v>
      </c>
      <c r="D77" s="52">
        <v>10.6956882023306</v>
      </c>
      <c r="E77" s="52">
        <v>10.6956882023306</v>
      </c>
      <c r="F77" s="52">
        <v>10.6956882023306</v>
      </c>
      <c r="H77" s="76"/>
      <c r="I77" s="77"/>
      <c r="J77" s="77"/>
      <c r="K77" s="77"/>
      <c r="L77" s="77"/>
    </row>
    <row r="78" spans="2:12">
      <c r="B78" s="51">
        <v>0.33</v>
      </c>
      <c r="C78" s="52">
        <v>12.8890788081864</v>
      </c>
      <c r="D78" s="52">
        <v>11.5774663685832</v>
      </c>
      <c r="E78" s="52">
        <v>11.5774663685832</v>
      </c>
      <c r="F78" s="52">
        <v>11.5774663685832</v>
      </c>
      <c r="H78" s="76"/>
      <c r="I78" s="77"/>
      <c r="J78" s="77"/>
      <c r="K78" s="77"/>
      <c r="L78" s="77"/>
    </row>
    <row r="79" spans="2:12">
      <c r="B79" s="51">
        <v>0.39</v>
      </c>
      <c r="C79" s="52">
        <v>17.9170280881081</v>
      </c>
      <c r="D79" s="52">
        <v>12.5592073275305</v>
      </c>
      <c r="E79" s="52">
        <v>12.4592445348359</v>
      </c>
      <c r="F79" s="52">
        <v>12.4592445348359</v>
      </c>
      <c r="H79" s="76"/>
      <c r="I79" s="77"/>
      <c r="J79" s="77"/>
      <c r="K79" s="77"/>
      <c r="L79" s="77"/>
    </row>
    <row r="80" spans="2:12">
      <c r="B80" s="51">
        <v>0.44</v>
      </c>
      <c r="C80" s="52">
        <v>32.1277889908483</v>
      </c>
      <c r="D80" s="52">
        <v>18.1627302233762</v>
      </c>
      <c r="E80" s="52">
        <v>13.1942342306023</v>
      </c>
      <c r="F80" s="52">
        <v>13.1940596733797</v>
      </c>
      <c r="H80" s="76"/>
      <c r="I80" s="77"/>
      <c r="J80" s="77"/>
      <c r="K80" s="77"/>
      <c r="L80" s="77"/>
    </row>
    <row r="81" spans="2:12">
      <c r="B81" s="51">
        <v>0.5</v>
      </c>
      <c r="C81" s="52">
        <v>48.1880612460087</v>
      </c>
      <c r="D81" s="52">
        <v>36.1474082032455</v>
      </c>
      <c r="E81" s="52">
        <v>16.4460728507906</v>
      </c>
      <c r="F81" s="52">
        <v>14.0758378396324</v>
      </c>
      <c r="H81" s="76"/>
      <c r="I81" s="77"/>
      <c r="J81" s="77"/>
      <c r="K81" s="77"/>
      <c r="L81" s="77"/>
    </row>
    <row r="83" ht="15" customHeight="1"/>
    <row r="85" spans="2:2">
      <c r="B85" s="43" t="s">
        <v>568</v>
      </c>
    </row>
    <row r="86" spans="2:4">
      <c r="B86" s="44">
        <v>2015</v>
      </c>
      <c r="C86" s="44"/>
      <c r="D86" s="44"/>
    </row>
    <row r="87" spans="2:10">
      <c r="B87" s="45" t="s">
        <v>12</v>
      </c>
      <c r="C87" s="46" t="s">
        <v>566</v>
      </c>
      <c r="D87" s="68">
        <v>6.89988772048606</v>
      </c>
      <c r="J87" s="77"/>
    </row>
    <row r="88" spans="2:10">
      <c r="B88" s="45" t="s">
        <v>14</v>
      </c>
      <c r="C88" s="46" t="s">
        <v>551</v>
      </c>
      <c r="D88" s="68">
        <v>11.5840303764976</v>
      </c>
      <c r="J88" s="77"/>
    </row>
    <row r="90" spans="2:6">
      <c r="B90" s="48" t="s">
        <v>140</v>
      </c>
      <c r="C90" s="48" t="s">
        <v>569</v>
      </c>
      <c r="D90" s="48"/>
      <c r="E90" s="48"/>
      <c r="F90" s="48"/>
    </row>
    <row r="91" spans="2:6">
      <c r="B91" s="48"/>
      <c r="C91" s="48"/>
      <c r="D91" s="48"/>
      <c r="E91" s="48"/>
      <c r="F91" s="48"/>
    </row>
    <row r="92" spans="2:6">
      <c r="B92" s="48"/>
      <c r="C92" s="48"/>
      <c r="D92" s="48"/>
      <c r="E92" s="48"/>
      <c r="F92" s="48"/>
    </row>
    <row r="93" spans="2:6">
      <c r="B93" s="49"/>
      <c r="C93" s="50">
        <v>2020</v>
      </c>
      <c r="D93" s="50">
        <v>2030</v>
      </c>
      <c r="E93" s="50">
        <v>2040</v>
      </c>
      <c r="F93" s="50">
        <v>2050</v>
      </c>
    </row>
    <row r="94" spans="2:12">
      <c r="B94" s="51">
        <v>0.07</v>
      </c>
      <c r="C94" s="52">
        <v>12.0103840892873</v>
      </c>
      <c r="D94" s="52">
        <v>12.0103840892873</v>
      </c>
      <c r="E94" s="52">
        <v>12.0103840892873</v>
      </c>
      <c r="F94" s="52">
        <v>12.0103840892873</v>
      </c>
      <c r="H94" s="76"/>
      <c r="I94" s="77"/>
      <c r="J94" s="77"/>
      <c r="K94" s="77"/>
      <c r="L94" s="77"/>
    </row>
    <row r="95" spans="2:12">
      <c r="B95" s="51">
        <v>0.12</v>
      </c>
      <c r="C95" s="52">
        <v>12.3513114294758</v>
      </c>
      <c r="D95" s="52">
        <v>12.3149224555657</v>
      </c>
      <c r="E95" s="52">
        <v>12.3149224555657</v>
      </c>
      <c r="F95" s="52">
        <v>12.3149224555657</v>
      </c>
      <c r="H95" s="76"/>
      <c r="I95" s="77"/>
      <c r="J95" s="77"/>
      <c r="K95" s="77"/>
      <c r="L95" s="77"/>
    </row>
    <row r="96" spans="2:12">
      <c r="B96" s="51">
        <v>0.2</v>
      </c>
      <c r="C96" s="52">
        <v>13.7046141241539</v>
      </c>
      <c r="D96" s="52">
        <v>12.8021838416111</v>
      </c>
      <c r="E96" s="52">
        <v>12.8021838416111</v>
      </c>
      <c r="F96" s="52">
        <v>12.8021838416111</v>
      </c>
      <c r="H96" s="76"/>
      <c r="I96" s="77"/>
      <c r="J96" s="77"/>
      <c r="K96" s="77"/>
      <c r="L96" s="77"/>
    </row>
    <row r="97" spans="2:12">
      <c r="B97" s="51">
        <v>0.28</v>
      </c>
      <c r="C97" s="52">
        <v>14.4326189891953</v>
      </c>
      <c r="D97" s="52">
        <v>13.2894452276566</v>
      </c>
      <c r="E97" s="52">
        <v>13.2894452276566</v>
      </c>
      <c r="F97" s="52">
        <v>13.2894452276566</v>
      </c>
      <c r="H97" s="76"/>
      <c r="I97" s="77"/>
      <c r="J97" s="77"/>
      <c r="K97" s="77"/>
      <c r="L97" s="77"/>
    </row>
    <row r="98" spans="2:12">
      <c r="B98" s="51">
        <v>0.35</v>
      </c>
      <c r="C98" s="52">
        <v>15.5096075480178</v>
      </c>
      <c r="D98" s="52">
        <v>14.2501987733633</v>
      </c>
      <c r="E98" s="52">
        <v>14.2501987733633</v>
      </c>
      <c r="F98" s="52">
        <v>14.2501987733633</v>
      </c>
      <c r="H98" s="76"/>
      <c r="I98" s="77"/>
      <c r="J98" s="77"/>
      <c r="K98" s="77"/>
      <c r="L98" s="77"/>
    </row>
    <row r="99" spans="2:12">
      <c r="B99" s="51">
        <v>0.42</v>
      </c>
      <c r="C99" s="52">
        <v>20.6216840494166</v>
      </c>
      <c r="D99" s="52">
        <v>15.3100533275668</v>
      </c>
      <c r="E99" s="52">
        <v>15.21095231907</v>
      </c>
      <c r="F99" s="52">
        <v>15.21095231907</v>
      </c>
      <c r="H99" s="76"/>
      <c r="I99" s="77"/>
      <c r="J99" s="77"/>
      <c r="K99" s="77"/>
      <c r="L99" s="77"/>
    </row>
    <row r="100" spans="2:12">
      <c r="B100" s="51">
        <v>0.48</v>
      </c>
      <c r="C100" s="52">
        <v>35.2144762433037</v>
      </c>
      <c r="D100" s="52">
        <v>21.067758799</v>
      </c>
      <c r="E100" s="52">
        <v>16.034632186125</v>
      </c>
      <c r="F100" s="52">
        <v>16.0344553582472</v>
      </c>
      <c r="H100" s="76"/>
      <c r="I100" s="77"/>
      <c r="J100" s="77"/>
      <c r="K100" s="77"/>
      <c r="L100" s="77"/>
    </row>
    <row r="101" spans="2:12">
      <c r="B101" s="51">
        <v>0.53</v>
      </c>
      <c r="C101" s="52">
        <v>49.9380847760393</v>
      </c>
      <c r="D101" s="52">
        <v>38.2132873244031</v>
      </c>
      <c r="E101" s="52">
        <v>19.0287658774432</v>
      </c>
      <c r="F101" s="52">
        <v>16.7207078908948</v>
      </c>
      <c r="H101" s="76"/>
      <c r="I101" s="77"/>
      <c r="J101" s="77"/>
      <c r="K101" s="77"/>
      <c r="L101" s="77"/>
    </row>
    <row r="104" spans="2:2">
      <c r="B104" s="43" t="s">
        <v>570</v>
      </c>
    </row>
    <row r="105" spans="2:6">
      <c r="B105" s="48" t="s">
        <v>571</v>
      </c>
      <c r="C105" s="48" t="s">
        <v>572</v>
      </c>
      <c r="D105" s="48">
        <v>0</v>
      </c>
      <c r="E105" s="48">
        <v>0</v>
      </c>
      <c r="F105" s="48">
        <v>0</v>
      </c>
    </row>
    <row r="106" spans="2:6">
      <c r="B106" s="48">
        <v>0</v>
      </c>
      <c r="C106" s="48">
        <v>0</v>
      </c>
      <c r="D106" s="48">
        <v>0</v>
      </c>
      <c r="E106" s="48">
        <v>0</v>
      </c>
      <c r="F106" s="48">
        <v>0</v>
      </c>
    </row>
    <row r="107" spans="2:6">
      <c r="B107" s="48">
        <v>0</v>
      </c>
      <c r="C107" s="48">
        <v>0</v>
      </c>
      <c r="D107" s="48">
        <v>0</v>
      </c>
      <c r="E107" s="48">
        <v>0</v>
      </c>
      <c r="F107" s="48">
        <v>0</v>
      </c>
    </row>
    <row r="108" spans="2:6">
      <c r="B108" s="49"/>
      <c r="C108" s="50">
        <v>2020</v>
      </c>
      <c r="D108" s="50">
        <v>2030</v>
      </c>
      <c r="E108" s="50">
        <v>2040</v>
      </c>
      <c r="F108" s="50">
        <v>2050</v>
      </c>
    </row>
    <row r="109" spans="2:6">
      <c r="B109" s="69">
        <v>11.7698993850639</v>
      </c>
      <c r="C109" s="52">
        <v>15.1608998553899</v>
      </c>
      <c r="D109" s="52">
        <v>12.8322959619936</v>
      </c>
      <c r="E109" s="52">
        <v>11.8686517664214</v>
      </c>
      <c r="F109" s="52">
        <v>11.5602288732518</v>
      </c>
    </row>
    <row r="110" spans="2:6">
      <c r="B110" s="69">
        <v>11.1085431339031</v>
      </c>
      <c r="C110" s="52">
        <v>15.7180953703215</v>
      </c>
      <c r="D110" s="52">
        <v>13.3456749593693</v>
      </c>
      <c r="E110" s="52">
        <v>12.382030763797</v>
      </c>
      <c r="F110" s="52">
        <v>12.0736078706274</v>
      </c>
    </row>
    <row r="111" spans="2:6">
      <c r="B111" s="69">
        <v>10.3827326718242</v>
      </c>
      <c r="C111" s="52">
        <v>17.3476277508268</v>
      </c>
      <c r="D111" s="52">
        <v>13.9323938135129</v>
      </c>
      <c r="E111" s="52">
        <v>12.9687496179406</v>
      </c>
      <c r="F111" s="52">
        <v>12.660326724771</v>
      </c>
    </row>
    <row r="112" spans="2:6">
      <c r="B112" s="69">
        <v>9.78232768533612</v>
      </c>
      <c r="C112" s="52">
        <v>18.1017284607381</v>
      </c>
      <c r="D112" s="52">
        <v>14.4457728108885</v>
      </c>
      <c r="E112" s="52">
        <v>13.4821286153163</v>
      </c>
      <c r="F112" s="52">
        <v>13.1737057221467</v>
      </c>
    </row>
    <row r="113" spans="2:6">
      <c r="B113" s="69">
        <v>9.3010228711969</v>
      </c>
      <c r="C113" s="52">
        <v>19.0664698874041</v>
      </c>
      <c r="D113" s="52">
        <v>15.3672309946225</v>
      </c>
      <c r="E113" s="52">
        <v>14.4035867990503</v>
      </c>
      <c r="F113" s="52">
        <v>14.0951639058807</v>
      </c>
    </row>
    <row r="114" spans="2:6">
      <c r="B114" s="69">
        <v>8.84493927002568</v>
      </c>
      <c r="C114" s="52">
        <v>24.3206768849222</v>
      </c>
      <c r="D114" s="52">
        <v>16.3931502967224</v>
      </c>
      <c r="E114" s="52">
        <v>15.3250449827843</v>
      </c>
      <c r="F114" s="52">
        <v>15.0166220896147</v>
      </c>
    </row>
    <row r="115" spans="2:6">
      <c r="B115" s="69">
        <v>8.49954877021398</v>
      </c>
      <c r="C115" s="52">
        <v>39.1709220282858</v>
      </c>
      <c r="D115" s="52">
        <v>22.2488317228812</v>
      </c>
      <c r="E115" s="52">
        <v>16.0931092148602</v>
      </c>
      <c r="F115" s="52">
        <v>15.7845039093931</v>
      </c>
    </row>
    <row r="116" spans="2:6">
      <c r="B116" s="69">
        <v>8.09180582723141</v>
      </c>
      <c r="C116" s="52">
        <v>55.9539065349284</v>
      </c>
      <c r="D116" s="52">
        <v>41.0428202118447</v>
      </c>
      <c r="E116" s="52">
        <v>19.491280572957</v>
      </c>
      <c r="F116" s="52">
        <v>16.7059620931271</v>
      </c>
    </row>
    <row r="119" spans="2:2">
      <c r="B119" s="43" t="s">
        <v>573</v>
      </c>
    </row>
    <row r="120" spans="2:6">
      <c r="B120" s="48" t="s">
        <v>574</v>
      </c>
      <c r="C120" s="48" t="s">
        <v>575</v>
      </c>
      <c r="D120" s="48">
        <v>0</v>
      </c>
      <c r="E120" s="48">
        <v>0</v>
      </c>
      <c r="F120" s="48">
        <v>0</v>
      </c>
    </row>
    <row r="121" spans="2:6">
      <c r="B121" s="48">
        <v>0</v>
      </c>
      <c r="C121" s="48">
        <v>0</v>
      </c>
      <c r="D121" s="48">
        <v>0</v>
      </c>
      <c r="E121" s="48">
        <v>0</v>
      </c>
      <c r="F121" s="48">
        <v>0</v>
      </c>
    </row>
    <row r="122" spans="2:6">
      <c r="B122" s="48">
        <v>0</v>
      </c>
      <c r="C122" s="48">
        <v>0</v>
      </c>
      <c r="D122" s="48">
        <v>0</v>
      </c>
      <c r="E122" s="48">
        <v>0</v>
      </c>
      <c r="F122" s="48">
        <v>0</v>
      </c>
    </row>
    <row r="123" spans="2:6">
      <c r="B123" s="49"/>
      <c r="C123" s="50">
        <v>2020</v>
      </c>
      <c r="D123" s="50">
        <v>2030</v>
      </c>
      <c r="E123" s="50">
        <v>2040</v>
      </c>
      <c r="F123" s="50">
        <v>2050</v>
      </c>
    </row>
    <row r="124" spans="2:6">
      <c r="B124" s="69">
        <v>6.95885428380178</v>
      </c>
      <c r="C124" s="52">
        <v>13.7917668147899</v>
      </c>
      <c r="D124" s="52">
        <v>11.9288837000729</v>
      </c>
      <c r="E124" s="52">
        <v>11.1579683436151</v>
      </c>
      <c r="F124" s="52">
        <v>10.9112300290795</v>
      </c>
    </row>
    <row r="125" spans="2:6">
      <c r="B125" s="69">
        <v>6.6813285474835</v>
      </c>
      <c r="C125" s="52">
        <v>14.0075580138425</v>
      </c>
      <c r="D125" s="52">
        <v>12.125133495192</v>
      </c>
      <c r="E125" s="52">
        <v>11.3542181387342</v>
      </c>
      <c r="F125" s="52">
        <v>11.1074798241985</v>
      </c>
    </row>
    <row r="126" spans="2:6">
      <c r="B126" s="69">
        <v>6.416229336672</v>
      </c>
      <c r="C126" s="52">
        <v>14.6204226771157</v>
      </c>
      <c r="D126" s="52">
        <v>12.321383290311</v>
      </c>
      <c r="E126" s="52">
        <v>11.5504679338532</v>
      </c>
      <c r="F126" s="52">
        <v>11.3037296193175</v>
      </c>
    </row>
    <row r="127" spans="2:6">
      <c r="B127" s="69">
        <v>6.05503166194134</v>
      </c>
      <c r="C127" s="52">
        <v>15.0378368736688</v>
      </c>
      <c r="D127" s="52">
        <v>12.5961330034776</v>
      </c>
      <c r="E127" s="52">
        <v>11.8252176470198</v>
      </c>
      <c r="F127" s="52">
        <v>11.5784793324842</v>
      </c>
    </row>
    <row r="128" spans="2:6">
      <c r="B128" s="69">
        <v>5.87029064940707</v>
      </c>
      <c r="C128" s="52">
        <v>15.472842886939</v>
      </c>
      <c r="D128" s="52">
        <v>13.0076736454134</v>
      </c>
      <c r="E128" s="52">
        <v>12.2367582889556</v>
      </c>
      <c r="F128" s="52">
        <v>11.9900199744199</v>
      </c>
    </row>
    <row r="129" spans="2:6">
      <c r="B129" s="69">
        <v>5.591936478055</v>
      </c>
      <c r="C129" s="52">
        <v>18.3109232389099</v>
      </c>
      <c r="D129" s="52">
        <v>13.6766906737086</v>
      </c>
      <c r="E129" s="52">
        <v>12.8540692518592</v>
      </c>
      <c r="F129" s="52">
        <v>12.6073309373235</v>
      </c>
    </row>
    <row r="130" spans="2:6">
      <c r="B130" s="69">
        <v>5.32849413731108</v>
      </c>
      <c r="C130" s="52">
        <v>26.9210812954222</v>
      </c>
      <c r="D130" s="52">
        <v>17.0806511781001</v>
      </c>
      <c r="E130" s="52">
        <v>13.471479930666</v>
      </c>
      <c r="F130" s="52">
        <v>13.2246419002271</v>
      </c>
    </row>
    <row r="131" spans="2:6">
      <c r="B131" s="69">
        <v>4.88279608913425</v>
      </c>
      <c r="C131" s="52">
        <v>40.0165508714382</v>
      </c>
      <c r="D131" s="52">
        <v>30.0767831815537</v>
      </c>
      <c r="E131" s="52">
        <v>16.0901883222233</v>
      </c>
      <c r="F131" s="52">
        <v>14.2534935050665</v>
      </c>
    </row>
  </sheetData>
  <mergeCells count="21">
    <mergeCell ref="B1:F1"/>
    <mergeCell ref="B2:F2"/>
    <mergeCell ref="B6:D6"/>
    <mergeCell ref="B26:D26"/>
    <mergeCell ref="B46:D46"/>
    <mergeCell ref="B66:D66"/>
    <mergeCell ref="B86:D86"/>
    <mergeCell ref="B10:B12"/>
    <mergeCell ref="B30:B32"/>
    <mergeCell ref="B50:B52"/>
    <mergeCell ref="B70:B72"/>
    <mergeCell ref="B90:B92"/>
    <mergeCell ref="B105:B107"/>
    <mergeCell ref="B120:B122"/>
    <mergeCell ref="C70:F72"/>
    <mergeCell ref="C10:F12"/>
    <mergeCell ref="C30:F32"/>
    <mergeCell ref="C50:F52"/>
    <mergeCell ref="C105:F107"/>
    <mergeCell ref="C120:F122"/>
    <mergeCell ref="C90:F92"/>
  </mergeCells>
  <pageMargins left="0.7" right="0.7" top="0.75" bottom="0.75" header="0.3" footer="0.3"/>
  <pageSetup paperSize="1" orientation="portrait" horizontalDpi="300" verticalDpi="300"/>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B3" sqref="B3:F3"/>
    </sheetView>
  </sheetViews>
  <sheetFormatPr defaultColWidth="9" defaultRowHeight="14.5" outlineLevelCol="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3" ht="18.5" spans="2:6">
      <c r="B3" s="37" t="s">
        <v>576</v>
      </c>
      <c r="C3" s="38"/>
      <c r="D3" s="38"/>
      <c r="E3" s="38"/>
      <c r="F3" s="39"/>
    </row>
    <row r="4" ht="15" customHeight="1"/>
    <row r="5" ht="15" customHeight="1" spans="2:2">
      <c r="B5" s="43" t="s">
        <v>577</v>
      </c>
    </row>
    <row r="6" spans="2:4">
      <c r="B6" s="44">
        <v>2015</v>
      </c>
      <c r="C6" s="44"/>
      <c r="D6" s="44"/>
    </row>
    <row r="7" spans="2:4">
      <c r="B7" s="45" t="s">
        <v>12</v>
      </c>
      <c r="C7" s="46" t="s">
        <v>559</v>
      </c>
      <c r="D7" s="68">
        <v>29.6118330510177</v>
      </c>
    </row>
    <row r="8" spans="2:4">
      <c r="B8" s="45" t="s">
        <v>14</v>
      </c>
      <c r="C8" s="46" t="s">
        <v>578</v>
      </c>
      <c r="D8" s="47">
        <v>6.45525065406382</v>
      </c>
    </row>
    <row r="10" spans="2:6">
      <c r="B10" s="48" t="s">
        <v>140</v>
      </c>
      <c r="C10" s="48" t="s">
        <v>579</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6">
      <c r="B14" s="51">
        <v>0.05</v>
      </c>
      <c r="C14" s="52">
        <v>7.68293636127841</v>
      </c>
      <c r="D14" s="52">
        <v>7.68293636127841</v>
      </c>
      <c r="E14" s="52">
        <v>7.68293636127841</v>
      </c>
      <c r="F14" s="52">
        <v>7.68293636127841</v>
      </c>
    </row>
    <row r="15" spans="2:6">
      <c r="B15" s="51">
        <v>0.1</v>
      </c>
      <c r="C15" s="52">
        <v>7.9556013965743</v>
      </c>
      <c r="D15" s="52">
        <v>7.80174465552499</v>
      </c>
      <c r="E15" s="52">
        <v>7.80174465552499</v>
      </c>
      <c r="F15" s="52">
        <v>7.80174465552499</v>
      </c>
    </row>
    <row r="16" spans="2:6">
      <c r="B16" s="51">
        <v>0.15</v>
      </c>
      <c r="C16" s="52">
        <v>8.22826643187018</v>
      </c>
      <c r="D16" s="52">
        <v>7.92055294977156</v>
      </c>
      <c r="E16" s="52">
        <v>7.92055294977156</v>
      </c>
      <c r="F16" s="52">
        <v>7.92055294977156</v>
      </c>
    </row>
    <row r="17" spans="2:6">
      <c r="B17" s="51">
        <v>0.18</v>
      </c>
      <c r="C17" s="52">
        <v>9.7627785432518</v>
      </c>
      <c r="D17" s="52">
        <v>8.48246533107087</v>
      </c>
      <c r="E17" s="52">
        <v>8.21757368538799</v>
      </c>
      <c r="F17" s="52">
        <v>8.21757368538799</v>
      </c>
    </row>
    <row r="18" spans="2:6">
      <c r="B18" s="51">
        <v>0.2</v>
      </c>
      <c r="C18" s="52">
        <v>10.7275199699178</v>
      </c>
      <c r="D18" s="52">
        <v>9.04437771237018</v>
      </c>
      <c r="E18" s="52">
        <v>8.51459442100443</v>
      </c>
      <c r="F18" s="52">
        <v>8.51459442100443</v>
      </c>
    </row>
    <row r="19" spans="2:6">
      <c r="B19" s="51">
        <v>0.25</v>
      </c>
      <c r="C19" s="52">
        <v>15.9817269674359</v>
      </c>
      <c r="D19" s="52">
        <v>9.60629009366949</v>
      </c>
      <c r="E19" s="52">
        <v>8.81161515662086</v>
      </c>
      <c r="F19" s="52">
        <v>8.81161515662086</v>
      </c>
    </row>
    <row r="20" spans="2:6">
      <c r="B20" s="51">
        <v>0.265</v>
      </c>
      <c r="C20" s="52">
        <v>20.9572653020809</v>
      </c>
      <c r="D20" s="52">
        <v>10.1682024749688</v>
      </c>
      <c r="E20" s="52">
        <v>9.10863589223729</v>
      </c>
      <c r="F20" s="52">
        <v>9.10863589223729</v>
      </c>
    </row>
    <row r="24" ht="15" customHeight="1" spans="2:2">
      <c r="B24" s="43" t="s">
        <v>580</v>
      </c>
    </row>
    <row r="25" spans="2:4">
      <c r="B25" s="44">
        <v>2015</v>
      </c>
      <c r="C25" s="44"/>
      <c r="D25" s="44"/>
    </row>
    <row r="26" spans="2:4">
      <c r="B26" s="45" t="s">
        <v>12</v>
      </c>
      <c r="C26" s="46" t="s">
        <v>559</v>
      </c>
      <c r="D26" s="68">
        <v>31.0823526515104</v>
      </c>
    </row>
    <row r="27" spans="2:4">
      <c r="B27" s="45" t="s">
        <v>14</v>
      </c>
      <c r="C27" s="46" t="s">
        <v>578</v>
      </c>
      <c r="D27" s="47">
        <v>7.51561465406382</v>
      </c>
    </row>
    <row r="29" spans="2:6">
      <c r="B29" s="48" t="s">
        <v>140</v>
      </c>
      <c r="C29" s="48" t="s">
        <v>581</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8.74330036127841</v>
      </c>
      <c r="D33" s="52">
        <v>8.74330036127841</v>
      </c>
      <c r="E33" s="52">
        <v>8.74330036127841</v>
      </c>
      <c r="F33" s="52">
        <v>8.74330036127841</v>
      </c>
    </row>
    <row r="34" spans="2:6">
      <c r="B34" s="51">
        <v>0.1</v>
      </c>
      <c r="C34" s="52">
        <v>9.0159653965743</v>
      </c>
      <c r="D34" s="52">
        <v>8.86210865552499</v>
      </c>
      <c r="E34" s="52">
        <v>8.86210865552499</v>
      </c>
      <c r="F34" s="52">
        <v>8.86210865552499</v>
      </c>
    </row>
    <row r="35" spans="2:6">
      <c r="B35" s="51">
        <v>0.15</v>
      </c>
      <c r="C35" s="52">
        <v>9.28863043187018</v>
      </c>
      <c r="D35" s="52">
        <v>8.98091694977156</v>
      </c>
      <c r="E35" s="52">
        <v>8.98091694977156</v>
      </c>
      <c r="F35" s="52">
        <v>8.98091694977156</v>
      </c>
    </row>
    <row r="36" spans="2:6">
      <c r="B36" s="51">
        <v>0.18</v>
      </c>
      <c r="C36" s="52">
        <v>10.8231425432518</v>
      </c>
      <c r="D36" s="52">
        <v>9.54282933107087</v>
      </c>
      <c r="E36" s="52">
        <v>9.27793768538799</v>
      </c>
      <c r="F36" s="52">
        <v>9.27793768538799</v>
      </c>
    </row>
    <row r="37" spans="2:6">
      <c r="B37" s="51">
        <v>0.2</v>
      </c>
      <c r="C37" s="52">
        <v>11.7878839699178</v>
      </c>
      <c r="D37" s="52">
        <v>10.1047417123702</v>
      </c>
      <c r="E37" s="52">
        <v>9.57495842100443</v>
      </c>
      <c r="F37" s="52">
        <v>9.57495842100443</v>
      </c>
    </row>
    <row r="38" spans="2:6">
      <c r="B38" s="51">
        <v>0.25</v>
      </c>
      <c r="C38" s="52">
        <v>17.0420909674359</v>
      </c>
      <c r="D38" s="52">
        <v>10.6666540936695</v>
      </c>
      <c r="E38" s="52">
        <v>9.87197915662086</v>
      </c>
      <c r="F38" s="52">
        <v>9.87197915662086</v>
      </c>
    </row>
    <row r="39" spans="2:6">
      <c r="B39" s="51">
        <v>0.265</v>
      </c>
      <c r="C39" s="52">
        <v>22.0176293020809</v>
      </c>
      <c r="D39" s="52">
        <v>11.2285664749688</v>
      </c>
      <c r="E39" s="52">
        <v>10.1689998922373</v>
      </c>
      <c r="F39" s="52">
        <v>10.1689998922373</v>
      </c>
    </row>
    <row r="43" spans="2:4">
      <c r="B43" s="44">
        <v>2030</v>
      </c>
      <c r="C43" s="44"/>
      <c r="D43" s="44"/>
    </row>
    <row r="44" spans="2:4">
      <c r="B44" s="45" t="s">
        <v>582</v>
      </c>
      <c r="C44" s="46" t="s">
        <v>559</v>
      </c>
      <c r="D44" s="47">
        <v>11.0548632360586</v>
      </c>
    </row>
    <row r="46" spans="2:5">
      <c r="B46" s="48" t="s">
        <v>27</v>
      </c>
      <c r="C46" s="55" t="s">
        <v>583</v>
      </c>
      <c r="D46" s="56"/>
      <c r="E46" s="57"/>
    </row>
    <row r="47" spans="2:5">
      <c r="B47" s="48"/>
      <c r="C47" s="58"/>
      <c r="D47" s="59"/>
      <c r="E47" s="60"/>
    </row>
    <row r="48" ht="15" customHeight="1" spans="2:5">
      <c r="B48" s="48"/>
      <c r="C48" s="61"/>
      <c r="D48" s="62"/>
      <c r="E48" s="63"/>
    </row>
    <row r="49" spans="2:5">
      <c r="B49" s="49"/>
      <c r="C49" s="50">
        <v>2030</v>
      </c>
      <c r="D49" s="50">
        <v>2040</v>
      </c>
      <c r="E49" s="50">
        <v>2050</v>
      </c>
    </row>
    <row r="50" spans="2:5">
      <c r="B50" s="66">
        <v>150</v>
      </c>
      <c r="C50" s="67">
        <v>9.08114584560639</v>
      </c>
      <c r="D50" s="67">
        <v>7.86751224122225</v>
      </c>
      <c r="E50" s="67">
        <v>7.50480714713661</v>
      </c>
    </row>
    <row r="51" spans="2:5">
      <c r="B51" s="66">
        <v>200</v>
      </c>
      <c r="C51" s="67">
        <v>9.95093987439559</v>
      </c>
      <c r="D51" s="67">
        <v>8.23635547106486</v>
      </c>
      <c r="E51" s="67">
        <v>7.68787577637147</v>
      </c>
    </row>
    <row r="52" spans="2:5">
      <c r="B52" s="66">
        <v>360</v>
      </c>
      <c r="C52" s="67">
        <v>16.7349687956114</v>
      </c>
      <c r="D52" s="67">
        <v>11.2993996645625</v>
      </c>
      <c r="E52" s="67">
        <v>9.13851547625727</v>
      </c>
    </row>
    <row r="56" ht="15" customHeight="1" spans="2:5">
      <c r="B56" s="48" t="s">
        <v>574</v>
      </c>
      <c r="C56" s="55" t="s">
        <v>584</v>
      </c>
      <c r="D56" s="56"/>
      <c r="E56" s="57"/>
    </row>
    <row r="57" spans="2:5">
      <c r="B57" s="48"/>
      <c r="C57" s="58"/>
      <c r="D57" s="59"/>
      <c r="E57" s="60"/>
    </row>
    <row r="58" spans="2:5">
      <c r="B58" s="48"/>
      <c r="C58" s="61"/>
      <c r="D58" s="62"/>
      <c r="E58" s="63"/>
    </row>
    <row r="59" spans="2:5">
      <c r="B59" s="49"/>
      <c r="C59" s="50">
        <v>2030</v>
      </c>
      <c r="D59" s="50">
        <v>2040</v>
      </c>
      <c r="E59" s="50">
        <v>2050</v>
      </c>
    </row>
    <row r="60" spans="2:5">
      <c r="B60" s="69">
        <v>16.4054144155296</v>
      </c>
      <c r="C60" s="52">
        <v>12.5493437852784</v>
      </c>
      <c r="D60" s="52">
        <v>10.0317628477816</v>
      </c>
      <c r="E60" s="52">
        <v>9.45791517679782</v>
      </c>
    </row>
    <row r="61" spans="2:5">
      <c r="B61" s="69">
        <v>15.5419715515544</v>
      </c>
      <c r="C61" s="52">
        <v>12.668152079525</v>
      </c>
      <c r="D61" s="52">
        <v>10.1505711420282</v>
      </c>
      <c r="E61" s="52">
        <v>9.57672347104439</v>
      </c>
    </row>
    <row r="62" spans="2:5">
      <c r="B62" s="69">
        <v>14.6785286875791</v>
      </c>
      <c r="C62" s="52">
        <v>12.7869603737716</v>
      </c>
      <c r="D62" s="52">
        <v>10.2693794362748</v>
      </c>
      <c r="E62" s="52">
        <v>9.69553176529097</v>
      </c>
    </row>
    <row r="63" spans="2:5">
      <c r="B63" s="69">
        <v>14.160462969194</v>
      </c>
      <c r="C63" s="52">
        <v>13.3488727550709</v>
      </c>
      <c r="D63" s="52">
        <v>10.5664001718912</v>
      </c>
      <c r="E63" s="52">
        <v>9.9925525009074</v>
      </c>
    </row>
    <row r="64" spans="2:5">
      <c r="B64" s="69">
        <v>13.8150858236039</v>
      </c>
      <c r="C64" s="52">
        <v>13.9107851363702</v>
      </c>
      <c r="D64" s="52">
        <v>10.8634209075077</v>
      </c>
      <c r="E64" s="52">
        <v>10.2895732365238</v>
      </c>
    </row>
    <row r="65" spans="2:5">
      <c r="B65" s="69">
        <v>12.9516429596286</v>
      </c>
      <c r="C65" s="52">
        <v>14.4726975176695</v>
      </c>
      <c r="D65" s="52">
        <v>11.1604416431241</v>
      </c>
      <c r="E65" s="52">
        <v>10.5865939721403</v>
      </c>
    </row>
    <row r="66" spans="2:5">
      <c r="B66" s="69">
        <v>12.6926101004361</v>
      </c>
      <c r="C66" s="52">
        <v>15.0346098989688</v>
      </c>
      <c r="D66" s="52">
        <v>11.4574623787405</v>
      </c>
      <c r="E66" s="52">
        <v>10.8836147077567</v>
      </c>
    </row>
    <row r="67" spans="2:6">
      <c r="B67" s="70"/>
      <c r="C67" s="54"/>
      <c r="D67" s="54"/>
      <c r="E67" s="54"/>
      <c r="F67" s="54"/>
    </row>
    <row r="68" spans="2:6">
      <c r="B68" s="70"/>
      <c r="C68" s="54"/>
      <c r="D68" s="54"/>
      <c r="E68" s="54"/>
      <c r="F68" s="54"/>
    </row>
    <row r="69" ht="18.5" spans="2:6">
      <c r="B69" s="37" t="s">
        <v>585</v>
      </c>
      <c r="C69" s="38"/>
      <c r="D69" s="38"/>
      <c r="E69" s="38"/>
      <c r="F69" s="39"/>
    </row>
    <row r="71" spans="2:2">
      <c r="B71" s="43" t="s">
        <v>586</v>
      </c>
    </row>
    <row r="72" spans="2:4">
      <c r="B72" s="44">
        <v>2015</v>
      </c>
      <c r="C72" s="44"/>
      <c r="D72" s="44"/>
    </row>
    <row r="73" spans="2:4">
      <c r="B73" s="45" t="s">
        <v>12</v>
      </c>
      <c r="C73" s="46" t="s">
        <v>566</v>
      </c>
      <c r="D73" s="47">
        <v>10.6749229595463</v>
      </c>
    </row>
    <row r="74" spans="2:4">
      <c r="B74" s="45" t="s">
        <v>14</v>
      </c>
      <c r="C74" s="46" t="s">
        <v>578</v>
      </c>
      <c r="D74" s="68">
        <v>7.015484</v>
      </c>
    </row>
    <row r="76" ht="15" customHeight="1" spans="2:6">
      <c r="B76" s="71" t="s">
        <v>140</v>
      </c>
      <c r="C76" s="55" t="s">
        <v>587</v>
      </c>
      <c r="D76" s="56"/>
      <c r="E76" s="56"/>
      <c r="F76" s="57"/>
    </row>
    <row r="77" spans="2:6">
      <c r="B77" s="72"/>
      <c r="C77" s="58"/>
      <c r="D77" s="59"/>
      <c r="E77" s="59"/>
      <c r="F77" s="60"/>
    </row>
    <row r="78" spans="2:6">
      <c r="B78" s="73"/>
      <c r="C78" s="61"/>
      <c r="D78" s="62"/>
      <c r="E78" s="62"/>
      <c r="F78" s="63"/>
    </row>
    <row r="79" spans="2:6">
      <c r="B79" s="49"/>
      <c r="C79" s="50">
        <v>2020</v>
      </c>
      <c r="D79" s="50">
        <v>2030</v>
      </c>
      <c r="E79" s="50">
        <v>2040</v>
      </c>
      <c r="F79" s="50">
        <v>2050</v>
      </c>
    </row>
    <row r="80" spans="2:6">
      <c r="B80" s="51">
        <v>0.05</v>
      </c>
      <c r="C80" s="52">
        <v>8.63869692995413</v>
      </c>
      <c r="D80" s="52">
        <v>8.20389932240437</v>
      </c>
      <c r="E80" s="52">
        <v>8.20389932240437</v>
      </c>
      <c r="F80" s="52">
        <v>8.20389932240437</v>
      </c>
    </row>
    <row r="81" spans="2:6">
      <c r="B81" s="51">
        <v>0.1</v>
      </c>
      <c r="C81" s="52">
        <v>9.06920494460621</v>
      </c>
      <c r="D81" s="52">
        <v>8.3189072568306</v>
      </c>
      <c r="E81" s="52">
        <v>8.3189072568306</v>
      </c>
      <c r="F81" s="52">
        <v>8.3189072568306</v>
      </c>
    </row>
    <row r="82" spans="2:6">
      <c r="B82" s="51">
        <v>0.15</v>
      </c>
      <c r="C82" s="52">
        <v>9.49971295925829</v>
      </c>
      <c r="D82" s="52">
        <v>8.43391519125683</v>
      </c>
      <c r="E82" s="52">
        <v>8.43391519125683</v>
      </c>
      <c r="F82" s="52">
        <v>8.43391519125683</v>
      </c>
    </row>
    <row r="83" spans="2:6">
      <c r="B83" s="51">
        <v>0.18</v>
      </c>
      <c r="C83" s="52">
        <v>11.8204186526425</v>
      </c>
      <c r="D83" s="52">
        <v>9.1778015504075</v>
      </c>
      <c r="E83" s="52">
        <v>8.75018701092896</v>
      </c>
      <c r="F83" s="52">
        <v>8.75018701092896</v>
      </c>
    </row>
    <row r="84" spans="2:6">
      <c r="B84" s="51">
        <v>0.2</v>
      </c>
      <c r="C84" s="52">
        <v>14.1411243460267</v>
      </c>
      <c r="D84" s="52">
        <v>9.92168790955818</v>
      </c>
      <c r="E84" s="52">
        <v>9.06645883060109</v>
      </c>
      <c r="F84" s="52">
        <v>9.06645883060109</v>
      </c>
    </row>
    <row r="85" spans="2:6">
      <c r="B85" s="51">
        <v>0.25</v>
      </c>
      <c r="C85" s="52">
        <v>16.4618300394109</v>
      </c>
      <c r="D85" s="52">
        <v>10.6655742687089</v>
      </c>
      <c r="E85" s="52">
        <v>9.38273065027322</v>
      </c>
      <c r="F85" s="52">
        <v>9.38273065027322</v>
      </c>
    </row>
    <row r="86" spans="2:6">
      <c r="B86" s="51">
        <v>0.265</v>
      </c>
      <c r="C86" s="52">
        <v>18.7825357327951</v>
      </c>
      <c r="D86" s="52">
        <v>11.4094606278595</v>
      </c>
      <c r="E86" s="52">
        <v>9.69900246994535</v>
      </c>
      <c r="F86" s="52">
        <v>9.69900246994535</v>
      </c>
    </row>
    <row r="90" spans="2:2">
      <c r="B90" s="43" t="s">
        <v>588</v>
      </c>
    </row>
    <row r="91" spans="2:4">
      <c r="B91" s="44">
        <v>2015</v>
      </c>
      <c r="C91" s="44"/>
      <c r="D91" s="44"/>
    </row>
    <row r="92" spans="2:4">
      <c r="B92" s="45" t="s">
        <v>12</v>
      </c>
      <c r="C92" s="46" t="s">
        <v>566</v>
      </c>
      <c r="D92" s="47">
        <v>11.2050381813469</v>
      </c>
    </row>
    <row r="93" spans="2:4">
      <c r="B93" s="45" t="s">
        <v>14</v>
      </c>
      <c r="C93" s="46" t="s">
        <v>578</v>
      </c>
      <c r="D93" s="68">
        <v>10.553001</v>
      </c>
    </row>
    <row r="94" ht="15" customHeight="1"/>
    <row r="95" spans="2:6">
      <c r="B95" s="71" t="s">
        <v>140</v>
      </c>
      <c r="C95" s="55" t="s">
        <v>589</v>
      </c>
      <c r="D95" s="56"/>
      <c r="E95" s="56"/>
      <c r="F95" s="57"/>
    </row>
    <row r="96" spans="2:6">
      <c r="B96" s="72"/>
      <c r="C96" s="58"/>
      <c r="D96" s="59"/>
      <c r="E96" s="59"/>
      <c r="F96" s="60"/>
    </row>
    <row r="97" spans="2:6">
      <c r="B97" s="73"/>
      <c r="C97" s="61"/>
      <c r="D97" s="62"/>
      <c r="E97" s="62"/>
      <c r="F97" s="63"/>
    </row>
    <row r="98" spans="2:6">
      <c r="B98" s="49"/>
      <c r="C98" s="50">
        <v>2020</v>
      </c>
      <c r="D98" s="50">
        <v>2030</v>
      </c>
      <c r="E98" s="50">
        <v>2040</v>
      </c>
      <c r="F98" s="50">
        <v>2050</v>
      </c>
    </row>
    <row r="99" spans="2:6">
      <c r="B99" s="51">
        <v>0.05</v>
      </c>
      <c r="C99" s="52">
        <v>8.63869692995413</v>
      </c>
      <c r="D99" s="52">
        <v>8.20389932240437</v>
      </c>
      <c r="E99" s="52">
        <v>8.20389932240437</v>
      </c>
      <c r="F99" s="52">
        <v>8.20389932240437</v>
      </c>
    </row>
    <row r="100" spans="2:6">
      <c r="B100" s="51">
        <v>0.1</v>
      </c>
      <c r="C100" s="52">
        <v>9.06920494460621</v>
      </c>
      <c r="D100" s="52">
        <v>8.3189072568306</v>
      </c>
      <c r="E100" s="52">
        <v>8.3189072568306</v>
      </c>
      <c r="F100" s="52">
        <v>8.3189072568306</v>
      </c>
    </row>
    <row r="101" spans="2:6">
      <c r="B101" s="51">
        <v>0.15</v>
      </c>
      <c r="C101" s="52">
        <v>9.49971295925829</v>
      </c>
      <c r="D101" s="52">
        <v>8.43391519125683</v>
      </c>
      <c r="E101" s="52">
        <v>8.43391519125683</v>
      </c>
      <c r="F101" s="52">
        <v>8.43391519125683</v>
      </c>
    </row>
    <row r="102" spans="2:6">
      <c r="B102" s="51">
        <v>0.18</v>
      </c>
      <c r="C102" s="52">
        <v>11.8204186526425</v>
      </c>
      <c r="D102" s="52">
        <v>9.1778015504075</v>
      </c>
      <c r="E102" s="52">
        <v>8.75018701092896</v>
      </c>
      <c r="F102" s="52">
        <v>8.75018701092896</v>
      </c>
    </row>
    <row r="103" spans="2:6">
      <c r="B103" s="51">
        <v>0.2</v>
      </c>
      <c r="C103" s="52">
        <v>14.1411243460267</v>
      </c>
      <c r="D103" s="52">
        <v>9.92168790955818</v>
      </c>
      <c r="E103" s="52">
        <v>9.06645883060109</v>
      </c>
      <c r="F103" s="52">
        <v>9.06645883060109</v>
      </c>
    </row>
    <row r="104" spans="2:6">
      <c r="B104" s="51">
        <v>0.25</v>
      </c>
      <c r="C104" s="52">
        <v>16.4618300394109</v>
      </c>
      <c r="D104" s="52">
        <v>10.6655742687089</v>
      </c>
      <c r="E104" s="52">
        <v>9.38273065027322</v>
      </c>
      <c r="F104" s="52">
        <v>9.38273065027322</v>
      </c>
    </row>
    <row r="105" spans="2:6">
      <c r="B105" s="51">
        <v>0.265</v>
      </c>
      <c r="C105" s="52">
        <v>18.7825357327951</v>
      </c>
      <c r="D105" s="52">
        <v>11.4094606278595</v>
      </c>
      <c r="E105" s="52">
        <v>9.69900246994535</v>
      </c>
      <c r="F105" s="52">
        <v>9.69900246994535</v>
      </c>
    </row>
    <row r="109" spans="2:4">
      <c r="B109" s="44">
        <v>2030</v>
      </c>
      <c r="C109" s="44"/>
      <c r="D109" s="44"/>
    </row>
    <row r="110" spans="2:4">
      <c r="B110" s="45" t="s">
        <v>590</v>
      </c>
      <c r="C110" s="46" t="s">
        <v>566</v>
      </c>
      <c r="D110" s="74">
        <v>3.63868357239443</v>
      </c>
    </row>
    <row r="112" spans="2:5">
      <c r="B112" s="48" t="s">
        <v>27</v>
      </c>
      <c r="C112" s="55" t="s">
        <v>591</v>
      </c>
      <c r="D112" s="56"/>
      <c r="E112" s="57"/>
    </row>
    <row r="113" spans="2:5">
      <c r="B113" s="48"/>
      <c r="C113" s="58"/>
      <c r="D113" s="59"/>
      <c r="E113" s="60"/>
    </row>
    <row r="114" spans="2:5">
      <c r="B114" s="48"/>
      <c r="C114" s="61"/>
      <c r="D114" s="62"/>
      <c r="E114" s="63"/>
    </row>
    <row r="115" ht="15" customHeight="1" spans="2:5">
      <c r="B115" s="49"/>
      <c r="C115" s="50">
        <v>2030</v>
      </c>
      <c r="D115" s="50">
        <v>2040</v>
      </c>
      <c r="E115" s="50">
        <v>2050</v>
      </c>
    </row>
    <row r="116" spans="2:5">
      <c r="B116" s="66">
        <v>150</v>
      </c>
      <c r="C116" s="67">
        <v>15.8896157630356</v>
      </c>
      <c r="D116" s="67">
        <v>13.4231445074681</v>
      </c>
      <c r="E116" s="67">
        <v>12.6860178445458</v>
      </c>
    </row>
    <row r="117" spans="2:5">
      <c r="B117" s="66">
        <v>200</v>
      </c>
      <c r="C117" s="67">
        <v>16.9657187671797</v>
      </c>
      <c r="D117" s="67">
        <v>13.8203745521912</v>
      </c>
      <c r="E117" s="67">
        <v>12.8142080249609</v>
      </c>
    </row>
    <row r="118" spans="2:5">
      <c r="B118" s="66">
        <v>360</v>
      </c>
      <c r="C118" s="67">
        <v>23.1339602761499</v>
      </c>
      <c r="D118" s="67">
        <v>16.4815722496696</v>
      </c>
      <c r="E118" s="67">
        <v>13.8369476014833</v>
      </c>
    </row>
    <row r="122" ht="15" customHeight="1" spans="2:5">
      <c r="B122" s="48" t="s">
        <v>571</v>
      </c>
      <c r="C122" s="55" t="s">
        <v>592</v>
      </c>
      <c r="D122" s="56"/>
      <c r="E122" s="57"/>
    </row>
    <row r="123" spans="2:5">
      <c r="B123" s="48"/>
      <c r="C123" s="58"/>
      <c r="D123" s="59"/>
      <c r="E123" s="60"/>
    </row>
    <row r="124" spans="2:5">
      <c r="B124" s="48"/>
      <c r="C124" s="61"/>
      <c r="D124" s="62"/>
      <c r="E124" s="63"/>
    </row>
    <row r="125" spans="2:5">
      <c r="B125" s="49"/>
      <c r="C125" s="50">
        <v>2030</v>
      </c>
      <c r="D125" s="50">
        <v>2040</v>
      </c>
      <c r="E125" s="50">
        <v>2050</v>
      </c>
    </row>
    <row r="126" spans="2:5">
      <c r="B126" s="69">
        <v>6.0143112739557</v>
      </c>
      <c r="C126" s="67">
        <v>16.5123130824044</v>
      </c>
      <c r="D126" s="67">
        <v>13.7590439521979</v>
      </c>
      <c r="E126" s="67">
        <v>12.8778356859991</v>
      </c>
    </row>
    <row r="127" spans="2:5">
      <c r="B127" s="69">
        <v>5.69776857532645</v>
      </c>
      <c r="C127" s="67">
        <v>16.6273210168306</v>
      </c>
      <c r="D127" s="67">
        <v>13.8740518866241</v>
      </c>
      <c r="E127" s="67">
        <v>12.9928436204253</v>
      </c>
    </row>
    <row r="128" spans="2:5">
      <c r="B128" s="69">
        <v>5.38122587669721</v>
      </c>
      <c r="C128" s="67">
        <v>16.7423289512568</v>
      </c>
      <c r="D128" s="67">
        <v>13.9890598210504</v>
      </c>
      <c r="E128" s="67">
        <v>13.1078515548516</v>
      </c>
    </row>
    <row r="129" spans="2:5">
      <c r="B129" s="69">
        <v>5.19130025751966</v>
      </c>
      <c r="C129" s="67">
        <v>17.4862153104075</v>
      </c>
      <c r="D129" s="67">
        <v>14.3053316407225</v>
      </c>
      <c r="E129" s="67">
        <v>13.4241233745237</v>
      </c>
    </row>
    <row r="130" spans="2:5">
      <c r="B130" s="69">
        <v>5.06468317806796</v>
      </c>
      <c r="C130" s="67">
        <v>18.2301016695582</v>
      </c>
      <c r="D130" s="67">
        <v>14.6216034603946</v>
      </c>
      <c r="E130" s="67">
        <v>13.7403951941958</v>
      </c>
    </row>
    <row r="131" spans="2:5">
      <c r="B131" s="69">
        <v>4.74814047943871</v>
      </c>
      <c r="C131" s="67">
        <v>18.9739880287089</v>
      </c>
      <c r="D131" s="67">
        <v>14.9378752800668</v>
      </c>
      <c r="E131" s="67">
        <v>14.056667013868</v>
      </c>
    </row>
    <row r="132" spans="2:5">
      <c r="B132" s="69">
        <v>4.65317766984994</v>
      </c>
      <c r="C132" s="67">
        <v>19.7178743878595</v>
      </c>
      <c r="D132" s="67">
        <v>15.2541470997389</v>
      </c>
      <c r="E132" s="67">
        <v>14.3729388335401</v>
      </c>
    </row>
  </sheetData>
  <mergeCells count="26">
    <mergeCell ref="B1:F1"/>
    <mergeCell ref="B2:F2"/>
    <mergeCell ref="B3:F3"/>
    <mergeCell ref="B6:D6"/>
    <mergeCell ref="B25:D25"/>
    <mergeCell ref="B43:D43"/>
    <mergeCell ref="B69:F69"/>
    <mergeCell ref="B72:D72"/>
    <mergeCell ref="B91:D91"/>
    <mergeCell ref="B109:D109"/>
    <mergeCell ref="B10:B12"/>
    <mergeCell ref="B29:B31"/>
    <mergeCell ref="B46:B48"/>
    <mergeCell ref="B56:B58"/>
    <mergeCell ref="B76:B78"/>
    <mergeCell ref="B95:B97"/>
    <mergeCell ref="B112:B114"/>
    <mergeCell ref="B122:B124"/>
    <mergeCell ref="C10:F12"/>
    <mergeCell ref="C46:E48"/>
    <mergeCell ref="C29:F31"/>
    <mergeCell ref="C56:E58"/>
    <mergeCell ref="C76:F78"/>
    <mergeCell ref="C95:F97"/>
    <mergeCell ref="C112:E114"/>
    <mergeCell ref="C122:E124"/>
  </mergeCells>
  <pageMargins left="0.7" right="0.7" top="0.75" bottom="0.75" header="0.3" footer="0.3"/>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84"/>
  <sheetViews>
    <sheetView showGridLines="0" workbookViewId="0">
      <pane ySplit="2" topLeftCell="A3" activePane="bottomLeft" state="frozen"/>
      <selection/>
      <selection pane="bottomLeft" activeCell="B3" sqref="B3:F3"/>
    </sheetView>
  </sheetViews>
  <sheetFormatPr defaultColWidth="9.09090909090909" defaultRowHeight="14.5"/>
  <cols>
    <col min="1" max="1" width="7.63636363636364" customWidth="1"/>
    <col min="2" max="2" width="38.2727272727273" customWidth="1"/>
    <col min="3" max="6" width="13.6363636363636" customWidth="1"/>
  </cols>
  <sheetData>
    <row r="1" ht="30.75" customHeight="1" spans="2:6">
      <c r="B1" s="1" t="s">
        <v>10</v>
      </c>
      <c r="C1" s="2"/>
      <c r="D1" s="2"/>
      <c r="E1" s="2"/>
      <c r="F1" s="3"/>
    </row>
    <row r="2" spans="2:6">
      <c r="B2" s="35" t="s">
        <v>9</v>
      </c>
      <c r="C2" s="36"/>
      <c r="D2" s="36"/>
      <c r="E2" s="36"/>
      <c r="F2" s="36"/>
    </row>
    <row r="3" ht="18.5" spans="2:6">
      <c r="B3" s="37" t="s">
        <v>593</v>
      </c>
      <c r="C3" s="38"/>
      <c r="D3" s="38"/>
      <c r="E3" s="38"/>
      <c r="F3" s="39"/>
    </row>
    <row r="4" spans="2:20">
      <c r="B4" s="40" t="s">
        <v>594</v>
      </c>
      <c r="C4" s="41"/>
      <c r="D4" s="41"/>
      <c r="E4" s="41"/>
      <c r="F4" s="42"/>
      <c r="K4" s="65" t="s">
        <v>595</v>
      </c>
      <c r="L4" s="65"/>
      <c r="M4" s="65"/>
      <c r="N4" s="65"/>
      <c r="O4" s="65"/>
      <c r="P4" s="65"/>
      <c r="Q4" s="65"/>
      <c r="R4" s="65"/>
      <c r="S4" s="65"/>
      <c r="T4" s="65"/>
    </row>
    <row r="5" spans="2:20">
      <c r="B5" s="43" t="s">
        <v>596</v>
      </c>
      <c r="K5" s="65"/>
      <c r="L5" s="65"/>
      <c r="M5" s="65"/>
      <c r="N5" s="65"/>
      <c r="O5" s="65"/>
      <c r="P5" s="65"/>
      <c r="Q5" s="65"/>
      <c r="R5" s="65"/>
      <c r="S5" s="65"/>
      <c r="T5" s="65"/>
    </row>
    <row r="6" ht="15" customHeight="1" spans="2:20">
      <c r="B6" s="44">
        <v>2015</v>
      </c>
      <c r="C6" s="44"/>
      <c r="D6" s="44"/>
      <c r="K6" s="65"/>
      <c r="L6" s="65"/>
      <c r="M6" s="65"/>
      <c r="N6" s="65"/>
      <c r="O6" s="65"/>
      <c r="P6" s="65"/>
      <c r="Q6" s="65"/>
      <c r="R6" s="65"/>
      <c r="S6" s="65"/>
      <c r="T6" s="65"/>
    </row>
    <row r="7" spans="2:20">
      <c r="B7" s="45" t="s">
        <v>12</v>
      </c>
      <c r="C7" s="46" t="s">
        <v>566</v>
      </c>
      <c r="D7" s="47">
        <v>8.98575339925204</v>
      </c>
      <c r="K7" s="65"/>
      <c r="L7" s="65"/>
      <c r="M7" s="65"/>
      <c r="N7" s="65"/>
      <c r="O7" s="65"/>
      <c r="P7" s="65"/>
      <c r="Q7" s="65"/>
      <c r="R7" s="65"/>
      <c r="S7" s="65"/>
      <c r="T7" s="65"/>
    </row>
    <row r="8" spans="2:20">
      <c r="B8" s="45" t="s">
        <v>14</v>
      </c>
      <c r="C8" s="46" t="s">
        <v>578</v>
      </c>
      <c r="D8" s="47">
        <v>21.5</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597</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6">
      <c r="B14" s="51">
        <v>0.05</v>
      </c>
      <c r="C14" s="52">
        <v>21.5084888011775</v>
      </c>
      <c r="D14" s="52">
        <v>21.5084888011775</v>
      </c>
      <c r="E14" s="52">
        <v>21.5084888011775</v>
      </c>
      <c r="F14" s="52">
        <v>21.5084888011775</v>
      </c>
    </row>
    <row r="15" spans="2:6">
      <c r="B15" s="51">
        <v>0.1</v>
      </c>
      <c r="C15" s="52">
        <v>21.5429103516932</v>
      </c>
      <c r="D15" s="52">
        <v>21.5429103516932</v>
      </c>
      <c r="E15" s="52">
        <v>21.5429103516932</v>
      </c>
      <c r="F15" s="52">
        <v>21.5429103516932</v>
      </c>
    </row>
    <row r="16" spans="2:6">
      <c r="B16" s="51">
        <v>0.12</v>
      </c>
      <c r="C16" s="52">
        <v>21.9757899795747</v>
      </c>
      <c r="D16" s="52">
        <v>21.9325363450679</v>
      </c>
      <c r="E16" s="52">
        <v>21.9325363450679</v>
      </c>
      <c r="F16" s="52">
        <v>21.9325363450679</v>
      </c>
    </row>
    <row r="17" spans="2:6">
      <c r="B17" s="51">
        <v>0.15</v>
      </c>
      <c r="C17" s="52">
        <v>22.9142054019477</v>
      </c>
      <c r="D17" s="52">
        <v>22.6966353401096</v>
      </c>
      <c r="E17" s="52">
        <v>22.5878503091905</v>
      </c>
      <c r="F17" s="52">
        <v>22.5878503091905</v>
      </c>
    </row>
    <row r="18" spans="2:6">
      <c r="B18" s="51">
        <v>0.2</v>
      </c>
      <c r="C18" s="52">
        <v>25.3310361991727</v>
      </c>
      <c r="D18" s="52">
        <v>24.8202313726163</v>
      </c>
      <c r="E18" s="52">
        <v>24.30942654606</v>
      </c>
      <c r="F18" s="52">
        <v>24.0540241327818</v>
      </c>
    </row>
    <row r="19" spans="2:6">
      <c r="B19" s="51">
        <v>0.25</v>
      </c>
      <c r="C19" s="52">
        <v>38.8119744380722</v>
      </c>
      <c r="D19" s="52">
        <v>35.9266453650602</v>
      </c>
      <c r="E19" s="52">
        <v>34.9648690073895</v>
      </c>
      <c r="F19" s="52">
        <v>33.0413162920482</v>
      </c>
    </row>
    <row r="20" spans="2:6">
      <c r="B20" s="51">
        <v>0.3</v>
      </c>
      <c r="C20" s="52">
        <v>51.5857142857143</v>
      </c>
      <c r="D20" s="52">
        <v>44.3651428571428</v>
      </c>
      <c r="E20" s="52">
        <v>40.7548571428571</v>
      </c>
      <c r="F20" s="52">
        <v>39.5514285714286</v>
      </c>
    </row>
    <row r="24" spans="2:2">
      <c r="B24" s="43" t="s">
        <v>598</v>
      </c>
    </row>
    <row r="25" spans="2:4">
      <c r="B25" s="44">
        <v>2015</v>
      </c>
      <c r="C25" s="44"/>
      <c r="D25" s="44"/>
    </row>
    <row r="26" spans="2:4">
      <c r="B26" s="45" t="s">
        <v>12</v>
      </c>
      <c r="C26" s="46" t="s">
        <v>566</v>
      </c>
      <c r="D26" s="47">
        <v>9.4319846905074</v>
      </c>
    </row>
    <row r="27" spans="2:4">
      <c r="B27" s="45" t="s">
        <v>14</v>
      </c>
      <c r="C27" s="46" t="s">
        <v>578</v>
      </c>
      <c r="D27" s="47">
        <v>24.00125</v>
      </c>
    </row>
    <row r="29" ht="15" customHeight="1" spans="2:6">
      <c r="B29" s="48" t="s">
        <v>599</v>
      </c>
      <c r="C29" s="48" t="s">
        <v>600</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24.0097388011775</v>
      </c>
      <c r="D33" s="52">
        <v>24.0097388011775</v>
      </c>
      <c r="E33" s="52">
        <v>24.0097388011775</v>
      </c>
      <c r="F33" s="52">
        <v>24.0097388011775</v>
      </c>
    </row>
    <row r="34" spans="2:6">
      <c r="B34" s="51">
        <v>0.1</v>
      </c>
      <c r="C34" s="52">
        <v>24.0441603516932</v>
      </c>
      <c r="D34" s="52">
        <v>24.0441603516932</v>
      </c>
      <c r="E34" s="52">
        <v>24.0441603516932</v>
      </c>
      <c r="F34" s="52">
        <v>24.0441603516932</v>
      </c>
    </row>
    <row r="35" spans="2:6">
      <c r="B35" s="51">
        <v>0.12</v>
      </c>
      <c r="C35" s="52">
        <v>24.4770399795747</v>
      </c>
      <c r="D35" s="52">
        <v>24.4337863450679</v>
      </c>
      <c r="E35" s="52">
        <v>24.4337863450679</v>
      </c>
      <c r="F35" s="52">
        <v>24.4337863450679</v>
      </c>
    </row>
    <row r="36" spans="2:6">
      <c r="B36" s="51">
        <v>0.15</v>
      </c>
      <c r="C36" s="52">
        <v>25.4154554019477</v>
      </c>
      <c r="D36" s="52">
        <v>25.1978853401096</v>
      </c>
      <c r="E36" s="52">
        <v>25.0891003091905</v>
      </c>
      <c r="F36" s="52">
        <v>25.0891003091905</v>
      </c>
    </row>
    <row r="37" spans="2:6">
      <c r="B37" s="51">
        <v>0.2</v>
      </c>
      <c r="C37" s="52">
        <v>27.8322861991727</v>
      </c>
      <c r="D37" s="52">
        <v>27.3214813726163</v>
      </c>
      <c r="E37" s="52">
        <v>26.81067654606</v>
      </c>
      <c r="F37" s="52">
        <v>26.5552741327818</v>
      </c>
    </row>
    <row r="38" spans="2:6">
      <c r="B38" s="51">
        <v>0.25</v>
      </c>
      <c r="C38" s="52">
        <v>41.3132244380722</v>
      </c>
      <c r="D38" s="52">
        <v>38.4278953650602</v>
      </c>
      <c r="E38" s="52">
        <v>37.4661190073895</v>
      </c>
      <c r="F38" s="52">
        <v>35.5425662920482</v>
      </c>
    </row>
    <row r="39" spans="2:6">
      <c r="B39" s="51">
        <v>0.3</v>
      </c>
      <c r="C39" s="52">
        <v>54.0869642857143</v>
      </c>
      <c r="D39" s="52">
        <v>46.8663928571428</v>
      </c>
      <c r="E39" s="52">
        <v>43.2561071428571</v>
      </c>
      <c r="F39" s="52">
        <v>42.0526785714286</v>
      </c>
    </row>
    <row r="42" spans="2:6">
      <c r="B42" s="53"/>
      <c r="C42" s="54"/>
      <c r="D42" s="54"/>
      <c r="E42" s="54"/>
      <c r="F42" s="54"/>
    </row>
    <row r="43" spans="2:6">
      <c r="B43" s="43" t="s">
        <v>601</v>
      </c>
      <c r="E43" s="54"/>
      <c r="F43" s="54"/>
    </row>
    <row r="44" spans="2:4">
      <c r="B44" s="44">
        <v>2030</v>
      </c>
      <c r="C44" s="44"/>
      <c r="D44" s="44"/>
    </row>
    <row r="45" spans="2:4">
      <c r="B45" s="45" t="s">
        <v>12</v>
      </c>
      <c r="C45" s="46" t="s">
        <v>566</v>
      </c>
      <c r="D45" s="47">
        <v>5.4752275318979</v>
      </c>
    </row>
    <row r="47" ht="15" customHeight="1" spans="2:5">
      <c r="B47" s="48" t="s">
        <v>602</v>
      </c>
      <c r="C47" s="55" t="s">
        <v>603</v>
      </c>
      <c r="D47" s="56"/>
      <c r="E47" s="57"/>
    </row>
    <row r="48" spans="2:5">
      <c r="B48" s="48"/>
      <c r="C48" s="58"/>
      <c r="D48" s="59"/>
      <c r="E48" s="60"/>
    </row>
    <row r="49" spans="2:5">
      <c r="B49" s="48"/>
      <c r="C49" s="61"/>
      <c r="D49" s="62"/>
      <c r="E49" s="63"/>
    </row>
    <row r="50" spans="2:5">
      <c r="B50" s="49"/>
      <c r="C50" s="50">
        <v>2030</v>
      </c>
      <c r="D50" s="50">
        <v>2040</v>
      </c>
      <c r="E50" s="50">
        <v>2050</v>
      </c>
    </row>
    <row r="51" spans="2:10">
      <c r="B51" s="51">
        <v>0.05</v>
      </c>
      <c r="C51" s="52">
        <v>33.0264752371775</v>
      </c>
      <c r="D51" s="52">
        <v>29.9978791939504</v>
      </c>
      <c r="E51" s="52">
        <v>29.0285501011317</v>
      </c>
      <c r="H51" s="64"/>
      <c r="I51" s="64"/>
      <c r="J51" s="64"/>
    </row>
    <row r="52" spans="2:5">
      <c r="B52" s="51">
        <v>0.08</v>
      </c>
      <c r="C52" s="52">
        <v>33.0608967876932</v>
      </c>
      <c r="D52" s="52">
        <v>30.0323007444661</v>
      </c>
      <c r="E52" s="52">
        <v>29.0629716516475</v>
      </c>
    </row>
    <row r="53" spans="2:5">
      <c r="B53" s="51">
        <v>0.084</v>
      </c>
      <c r="C53" s="52">
        <v>33.4505227810679</v>
      </c>
      <c r="D53" s="52">
        <v>30.4219267378408</v>
      </c>
      <c r="E53" s="52">
        <v>29.4525976450221</v>
      </c>
    </row>
    <row r="54" spans="2:5">
      <c r="B54" s="51">
        <v>0.09</v>
      </c>
      <c r="C54" s="52">
        <v>34.2146217761096</v>
      </c>
      <c r="D54" s="52">
        <v>31.0772407019634</v>
      </c>
      <c r="E54" s="52">
        <v>30.1079116091448</v>
      </c>
    </row>
    <row r="55" spans="2:5">
      <c r="B55" s="51">
        <v>0.1</v>
      </c>
      <c r="C55" s="52">
        <v>36.3382178086163</v>
      </c>
      <c r="D55" s="52">
        <v>32.7988169388329</v>
      </c>
      <c r="E55" s="52">
        <v>31.574085432736</v>
      </c>
    </row>
    <row r="56" spans="2:5">
      <c r="B56" s="51">
        <v>0.125</v>
      </c>
      <c r="C56" s="52">
        <v>47.4446318010602</v>
      </c>
      <c r="D56" s="52">
        <v>43.4542594001624</v>
      </c>
      <c r="E56" s="52">
        <v>40.5613775920024</v>
      </c>
    </row>
    <row r="57" spans="2:5">
      <c r="B57" s="51">
        <v>0.15</v>
      </c>
      <c r="C57" s="52">
        <v>55.8831292931428</v>
      </c>
      <c r="D57" s="52">
        <v>49.24424753563</v>
      </c>
      <c r="E57" s="52">
        <v>47.0714898713828</v>
      </c>
    </row>
    <row r="58" spans="2:6">
      <c r="B58" s="53"/>
      <c r="C58" s="54"/>
      <c r="D58" s="54"/>
      <c r="E58" s="54"/>
      <c r="F58" s="54"/>
    </row>
    <row r="59" spans="2:6">
      <c r="B59" s="53"/>
      <c r="C59" s="54"/>
      <c r="D59" s="54"/>
      <c r="E59" s="54"/>
      <c r="F59" s="54"/>
    </row>
    <row r="61" spans="2:2">
      <c r="B61" s="43" t="s">
        <v>604</v>
      </c>
    </row>
    <row r="62" spans="2:4">
      <c r="B62" s="44">
        <v>2030</v>
      </c>
      <c r="C62" s="44"/>
      <c r="D62" s="44"/>
    </row>
    <row r="63" spans="2:4">
      <c r="B63" s="45" t="s">
        <v>12</v>
      </c>
      <c r="C63" s="46" t="s">
        <v>566</v>
      </c>
      <c r="D63" s="47">
        <v>3.06290859459612</v>
      </c>
    </row>
    <row r="65" spans="2:5">
      <c r="B65" s="48" t="s">
        <v>27</v>
      </c>
      <c r="C65" s="55" t="s">
        <v>605</v>
      </c>
      <c r="D65" s="56"/>
      <c r="E65" s="57"/>
    </row>
    <row r="66" spans="2:5">
      <c r="B66" s="48"/>
      <c r="C66" s="58"/>
      <c r="D66" s="59"/>
      <c r="E66" s="60"/>
    </row>
    <row r="67" spans="2:5">
      <c r="B67" s="48"/>
      <c r="C67" s="61"/>
      <c r="D67" s="62"/>
      <c r="E67" s="63"/>
    </row>
    <row r="68" spans="2:5">
      <c r="B68" s="49"/>
      <c r="C68" s="50">
        <v>2030</v>
      </c>
      <c r="D68" s="50">
        <v>2040</v>
      </c>
      <c r="E68" s="50">
        <v>2050</v>
      </c>
    </row>
    <row r="69" spans="2:5">
      <c r="B69" s="66">
        <v>150</v>
      </c>
      <c r="C69" s="67">
        <v>36.1702762393391</v>
      </c>
      <c r="D69" s="67">
        <v>32.3571578582149</v>
      </c>
      <c r="E69" s="67">
        <v>31.5463185290004</v>
      </c>
    </row>
    <row r="70" spans="2:5">
      <c r="B70" s="66">
        <v>200</v>
      </c>
      <c r="C70" s="67">
        <v>38.7463792434833</v>
      </c>
      <c r="D70" s="67">
        <v>34.254387902938</v>
      </c>
      <c r="E70" s="67">
        <v>33.1745087094155</v>
      </c>
    </row>
    <row r="71" spans="2:5">
      <c r="B71" s="66">
        <v>360</v>
      </c>
      <c r="C71" s="67">
        <v>45.4146207524535</v>
      </c>
      <c r="D71" s="67">
        <v>37.4155856004164</v>
      </c>
      <c r="E71" s="67">
        <v>34.6972482859379</v>
      </c>
    </row>
    <row r="72" ht="15" customHeight="1"/>
    <row r="75" spans="2:6">
      <c r="B75" s="40" t="s">
        <v>606</v>
      </c>
      <c r="C75" s="41"/>
      <c r="D75" s="41"/>
      <c r="E75" s="41"/>
      <c r="F75" s="42"/>
    </row>
    <row r="76" spans="2:2">
      <c r="B76" s="43" t="s">
        <v>607</v>
      </c>
    </row>
    <row r="77" spans="2:4">
      <c r="B77" s="44">
        <v>2015</v>
      </c>
      <c r="C77" s="44"/>
      <c r="D77" s="44"/>
    </row>
    <row r="78" spans="2:4">
      <c r="B78" s="45" t="s">
        <v>12</v>
      </c>
      <c r="C78" s="46" t="s">
        <v>566</v>
      </c>
      <c r="D78" s="47">
        <v>4.05687418177868</v>
      </c>
    </row>
    <row r="79" spans="2:4">
      <c r="B79" s="45" t="s">
        <v>14</v>
      </c>
      <c r="C79" s="46" t="s">
        <v>578</v>
      </c>
      <c r="D79" s="47">
        <v>25.175</v>
      </c>
    </row>
    <row r="81" spans="2:6">
      <c r="B81" s="48" t="s">
        <v>140</v>
      </c>
      <c r="C81" s="48" t="s">
        <v>608</v>
      </c>
      <c r="D81" s="48"/>
      <c r="E81" s="48"/>
      <c r="F81" s="48"/>
    </row>
    <row r="82" spans="2:6">
      <c r="B82" s="48"/>
      <c r="C82" s="48"/>
      <c r="D82" s="48"/>
      <c r="E82" s="48"/>
      <c r="F82" s="48"/>
    </row>
    <row r="83" spans="2:6">
      <c r="B83" s="48"/>
      <c r="C83" s="48"/>
      <c r="D83" s="48"/>
      <c r="E83" s="48"/>
      <c r="F83" s="48"/>
    </row>
    <row r="84" spans="2:6">
      <c r="B84" s="49"/>
      <c r="C84" s="50">
        <v>2020</v>
      </c>
      <c r="D84" s="50">
        <v>2030</v>
      </c>
      <c r="E84" s="50">
        <v>2040</v>
      </c>
      <c r="F84" s="50">
        <v>2050</v>
      </c>
    </row>
    <row r="85" spans="2:6">
      <c r="B85" s="51">
        <v>0.05</v>
      </c>
      <c r="C85" s="52">
        <v>25.1799273903368</v>
      </c>
      <c r="D85" s="52">
        <v>25.1799273903368</v>
      </c>
      <c r="E85" s="52">
        <v>25.1799273903368</v>
      </c>
      <c r="F85" s="52">
        <v>25.1799273903368</v>
      </c>
    </row>
    <row r="86" spans="2:6">
      <c r="B86" s="51">
        <v>0.1</v>
      </c>
      <c r="C86" s="52">
        <v>25.2193465130313</v>
      </c>
      <c r="D86" s="52">
        <v>25.2193465130313</v>
      </c>
      <c r="E86" s="52">
        <v>25.2193465130313</v>
      </c>
      <c r="F86" s="52">
        <v>25.2193465130313</v>
      </c>
    </row>
    <row r="87" spans="2:6">
      <c r="B87" s="51">
        <v>0.2</v>
      </c>
      <c r="C87" s="52">
        <v>26.5408726013644</v>
      </c>
      <c r="D87" s="52">
        <v>26.4167023648767</v>
      </c>
      <c r="E87" s="52">
        <v>26.4167023648767</v>
      </c>
      <c r="F87" s="52">
        <v>26.4167023648767</v>
      </c>
    </row>
    <row r="88" spans="2:6">
      <c r="B88" s="51">
        <v>0.25</v>
      </c>
      <c r="C88" s="52">
        <v>28.518727082561</v>
      </c>
      <c r="D88" s="52">
        <v>28.0043075313977</v>
      </c>
      <c r="E88" s="52">
        <v>27.7470977558161</v>
      </c>
      <c r="F88" s="52">
        <v>27.7470977558161</v>
      </c>
    </row>
    <row r="89" spans="2:6">
      <c r="B89" s="51">
        <v>0.3</v>
      </c>
      <c r="C89" s="52">
        <v>33.3791049107928</v>
      </c>
      <c r="D89" s="52">
        <v>32.2852242560204</v>
      </c>
      <c r="E89" s="52">
        <v>31.1913436012481</v>
      </c>
      <c r="F89" s="52">
        <v>30.6444032738619</v>
      </c>
    </row>
    <row r="90" spans="2:6">
      <c r="B90" s="51">
        <v>0.35</v>
      </c>
      <c r="C90" s="52">
        <v>43.758425</v>
      </c>
      <c r="D90" s="52">
        <v>40.6611875</v>
      </c>
      <c r="E90" s="52">
        <v>39.628775</v>
      </c>
      <c r="F90" s="52">
        <v>37.56395</v>
      </c>
    </row>
    <row r="91" spans="2:6">
      <c r="B91" s="51">
        <v>0.4</v>
      </c>
      <c r="C91" s="52">
        <v>74.88375</v>
      </c>
      <c r="D91" s="52">
        <v>62.95365</v>
      </c>
      <c r="E91" s="52">
        <v>56.9886</v>
      </c>
      <c r="F91" s="52">
        <v>55.00025</v>
      </c>
    </row>
    <row r="95" ht="15" customHeight="1" spans="2:2">
      <c r="B95" s="43" t="s">
        <v>609</v>
      </c>
    </row>
    <row r="96" spans="2:4">
      <c r="B96" s="44">
        <v>2015</v>
      </c>
      <c r="C96" s="44"/>
      <c r="D96" s="44"/>
    </row>
    <row r="97" spans="2:4">
      <c r="B97" s="45" t="s">
        <v>12</v>
      </c>
      <c r="C97" s="46" t="s">
        <v>566</v>
      </c>
      <c r="D97" s="47">
        <v>4.25833800169013</v>
      </c>
    </row>
    <row r="98" spans="2:4">
      <c r="B98" s="45" t="s">
        <v>14</v>
      </c>
      <c r="C98" s="46" t="s">
        <v>578</v>
      </c>
      <c r="D98" s="47">
        <v>32.05</v>
      </c>
    </row>
    <row r="100" spans="2:6">
      <c r="B100" s="48" t="s">
        <v>599</v>
      </c>
      <c r="C100" s="48" t="s">
        <v>610</v>
      </c>
      <c r="D100" s="48"/>
      <c r="E100" s="48"/>
      <c r="F100" s="48"/>
    </row>
    <row r="101" spans="2:6">
      <c r="B101" s="48"/>
      <c r="C101" s="48"/>
      <c r="D101" s="48"/>
      <c r="E101" s="48"/>
      <c r="F101" s="48"/>
    </row>
    <row r="102" spans="2:6">
      <c r="B102" s="48"/>
      <c r="C102" s="48"/>
      <c r="D102" s="48"/>
      <c r="E102" s="48"/>
      <c r="F102" s="48"/>
    </row>
    <row r="103" spans="2:6">
      <c r="B103" s="49"/>
      <c r="C103" s="50">
        <v>2020</v>
      </c>
      <c r="D103" s="50">
        <v>2030</v>
      </c>
      <c r="E103" s="50">
        <v>2040</v>
      </c>
      <c r="F103" s="50">
        <v>2050</v>
      </c>
    </row>
    <row r="104" spans="2:6">
      <c r="B104" s="51">
        <v>0.05</v>
      </c>
      <c r="C104" s="52">
        <v>32.0549273903368</v>
      </c>
      <c r="D104" s="52">
        <v>32.0549273903368</v>
      </c>
      <c r="E104" s="52">
        <v>32.0549273903368</v>
      </c>
      <c r="F104" s="52">
        <v>32.0549273903368</v>
      </c>
    </row>
    <row r="105" spans="2:6">
      <c r="B105" s="51">
        <v>0.1</v>
      </c>
      <c r="C105" s="52">
        <v>32.0943465130313</v>
      </c>
      <c r="D105" s="52">
        <v>32.0943465130313</v>
      </c>
      <c r="E105" s="52">
        <v>32.0943465130313</v>
      </c>
      <c r="F105" s="52">
        <v>32.0943465130313</v>
      </c>
    </row>
    <row r="106" spans="2:6">
      <c r="B106" s="51">
        <v>0.2</v>
      </c>
      <c r="C106" s="52">
        <v>33.4158726013644</v>
      </c>
      <c r="D106" s="52">
        <v>33.2917023648767</v>
      </c>
      <c r="E106" s="52">
        <v>33.2917023648767</v>
      </c>
      <c r="F106" s="52">
        <v>33.2917023648767</v>
      </c>
    </row>
    <row r="107" spans="2:6">
      <c r="B107" s="51">
        <v>0.25</v>
      </c>
      <c r="C107" s="52">
        <v>35.393727082561</v>
      </c>
      <c r="D107" s="52">
        <v>34.8793075313977</v>
      </c>
      <c r="E107" s="52">
        <v>34.6220977558161</v>
      </c>
      <c r="F107" s="52">
        <v>34.6220977558161</v>
      </c>
    </row>
    <row r="108" spans="2:6">
      <c r="B108" s="51">
        <v>0.3</v>
      </c>
      <c r="C108" s="52">
        <v>40.2541049107928</v>
      </c>
      <c r="D108" s="52">
        <v>39.1602242560204</v>
      </c>
      <c r="E108" s="52">
        <v>38.0663436012481</v>
      </c>
      <c r="F108" s="52">
        <v>37.5194032738619</v>
      </c>
    </row>
    <row r="109" spans="2:6">
      <c r="B109" s="51">
        <v>0.35</v>
      </c>
      <c r="C109" s="52">
        <v>50.633425</v>
      </c>
      <c r="D109" s="52">
        <v>47.5361875</v>
      </c>
      <c r="E109" s="52">
        <v>46.503775</v>
      </c>
      <c r="F109" s="52">
        <v>44.43895</v>
      </c>
    </row>
    <row r="110" spans="2:6">
      <c r="B110" s="51">
        <v>0.4</v>
      </c>
      <c r="C110" s="52">
        <v>81.75875</v>
      </c>
      <c r="D110" s="52">
        <v>69.82865</v>
      </c>
      <c r="E110" s="52">
        <v>63.8636</v>
      </c>
      <c r="F110" s="52">
        <v>61.87525</v>
      </c>
    </row>
    <row r="114" spans="2:6">
      <c r="B114" s="43" t="s">
        <v>611</v>
      </c>
      <c r="E114" s="54"/>
      <c r="F114" s="54"/>
    </row>
    <row r="115" spans="2:4">
      <c r="B115" s="44">
        <v>2030</v>
      </c>
      <c r="C115" s="44"/>
      <c r="D115" s="44"/>
    </row>
    <row r="116" spans="2:4">
      <c r="B116" s="45" t="s">
        <v>12</v>
      </c>
      <c r="C116" s="46" t="s">
        <v>566</v>
      </c>
      <c r="D116" s="47">
        <v>2.51994631751468</v>
      </c>
    </row>
    <row r="117" ht="15" customHeight="1"/>
    <row r="118" spans="2:5">
      <c r="B118" s="48" t="s">
        <v>602</v>
      </c>
      <c r="C118" s="55" t="s">
        <v>612</v>
      </c>
      <c r="D118" s="56"/>
      <c r="E118" s="57"/>
    </row>
    <row r="119" spans="2:5">
      <c r="B119" s="48"/>
      <c r="C119" s="58"/>
      <c r="D119" s="59"/>
      <c r="E119" s="60"/>
    </row>
    <row r="120" spans="2:5">
      <c r="B120" s="48"/>
      <c r="C120" s="61"/>
      <c r="D120" s="62"/>
      <c r="E120" s="63"/>
    </row>
    <row r="121" spans="2:5">
      <c r="B121" s="49"/>
      <c r="C121" s="50">
        <v>2030</v>
      </c>
      <c r="D121" s="50">
        <v>2040</v>
      </c>
      <c r="E121" s="50">
        <v>2050</v>
      </c>
    </row>
    <row r="122" spans="2:5">
      <c r="B122" s="51">
        <v>0.05</v>
      </c>
      <c r="C122" s="52">
        <v>37.7450035023368</v>
      </c>
      <c r="D122" s="52">
        <v>34.4410805460891</v>
      </c>
      <c r="E122" s="52">
        <v>33.3836306266505</v>
      </c>
    </row>
    <row r="123" spans="2:5">
      <c r="B123" s="51">
        <v>0.08</v>
      </c>
      <c r="C123" s="52">
        <v>37.7844226250313</v>
      </c>
      <c r="D123" s="52">
        <v>34.4804996687836</v>
      </c>
      <c r="E123" s="52">
        <v>33.423049749345</v>
      </c>
    </row>
    <row r="124" spans="2:5">
      <c r="B124" s="51">
        <v>0.14</v>
      </c>
      <c r="C124" s="52">
        <v>38.9817784768768</v>
      </c>
      <c r="D124" s="52">
        <v>35.677855520629</v>
      </c>
      <c r="E124" s="52">
        <v>34.6204056011904</v>
      </c>
    </row>
    <row r="125" spans="2:5">
      <c r="B125" s="51">
        <v>0.15</v>
      </c>
      <c r="C125" s="52">
        <v>40.5693836433977</v>
      </c>
      <c r="D125" s="52">
        <v>37.0082509115684</v>
      </c>
      <c r="E125" s="52">
        <v>35.9508009921298</v>
      </c>
    </row>
    <row r="126" spans="2:5">
      <c r="B126" s="51">
        <v>0.15</v>
      </c>
      <c r="C126" s="52">
        <v>44.8503003680204</v>
      </c>
      <c r="D126" s="52">
        <v>40.4524967570003</v>
      </c>
      <c r="E126" s="52">
        <v>38.8481065101756</v>
      </c>
    </row>
    <row r="127" spans="2:5">
      <c r="B127" s="51">
        <v>0.175</v>
      </c>
      <c r="C127" s="52">
        <v>53.226263612</v>
      </c>
      <c r="D127" s="52">
        <v>48.8899281557523</v>
      </c>
      <c r="E127" s="52">
        <v>45.7676532363137</v>
      </c>
    </row>
    <row r="128" spans="2:5">
      <c r="B128" s="51">
        <v>0.2</v>
      </c>
      <c r="C128" s="52">
        <v>75.518726112</v>
      </c>
      <c r="D128" s="52">
        <v>66.2497531557523</v>
      </c>
      <c r="E128" s="52">
        <v>63.2039532363137</v>
      </c>
    </row>
    <row r="132" spans="2:2">
      <c r="B132" s="43" t="s">
        <v>613</v>
      </c>
    </row>
    <row r="133" spans="2:4">
      <c r="B133" s="44">
        <v>2030</v>
      </c>
      <c r="C133" s="44"/>
      <c r="D133" s="44"/>
    </row>
    <row r="134" spans="2:4">
      <c r="B134" s="45" t="s">
        <v>12</v>
      </c>
      <c r="C134" s="46" t="s">
        <v>566</v>
      </c>
      <c r="D134" s="47">
        <v>1.38283728102302</v>
      </c>
    </row>
    <row r="136" spans="2:5">
      <c r="B136" s="48" t="s">
        <v>27</v>
      </c>
      <c r="C136" s="55" t="s">
        <v>614</v>
      </c>
      <c r="D136" s="56"/>
      <c r="E136" s="57"/>
    </row>
    <row r="137" spans="2:5">
      <c r="B137" s="48"/>
      <c r="C137" s="58"/>
      <c r="D137" s="59"/>
      <c r="E137" s="60"/>
    </row>
    <row r="138" spans="2:5">
      <c r="B138" s="48"/>
      <c r="C138" s="61"/>
      <c r="D138" s="62"/>
      <c r="E138" s="63"/>
    </row>
    <row r="139" spans="2:5">
      <c r="B139" s="49"/>
      <c r="C139" s="50">
        <v>2030</v>
      </c>
      <c r="D139" s="50">
        <v>2040</v>
      </c>
      <c r="E139" s="50">
        <v>2050</v>
      </c>
    </row>
    <row r="140" ht="15" customHeight="1" spans="2:5">
      <c r="B140" s="66">
        <v>150</v>
      </c>
      <c r="C140" s="67">
        <v>41.1789377156427</v>
      </c>
      <c r="D140" s="67">
        <v>37.0191722089618</v>
      </c>
      <c r="E140" s="67">
        <v>36.1346202134549</v>
      </c>
    </row>
    <row r="141" spans="2:5">
      <c r="B141" s="66">
        <v>200</v>
      </c>
      <c r="C141" s="67">
        <v>43.7550407197868</v>
      </c>
      <c r="D141" s="67">
        <v>38.9164022536848</v>
      </c>
      <c r="E141" s="67">
        <v>37.7628103938701</v>
      </c>
    </row>
    <row r="142" spans="2:5">
      <c r="B142" s="66">
        <v>360</v>
      </c>
      <c r="C142" s="67">
        <v>50.423282228757</v>
      </c>
      <c r="D142" s="67">
        <v>42.0775999511632</v>
      </c>
      <c r="E142" s="67">
        <v>39.2855499703925</v>
      </c>
    </row>
    <row r="146" spans="2:6">
      <c r="B146" s="40" t="s">
        <v>615</v>
      </c>
      <c r="C146" s="41"/>
      <c r="D146" s="41"/>
      <c r="E146" s="41"/>
      <c r="F146" s="42"/>
    </row>
    <row r="147" spans="2:2">
      <c r="B147" s="43" t="s">
        <v>616</v>
      </c>
    </row>
    <row r="148" spans="2:4">
      <c r="B148" s="44">
        <v>2015</v>
      </c>
      <c r="C148" s="44"/>
      <c r="D148" s="44"/>
    </row>
    <row r="149" spans="2:4">
      <c r="B149" s="45" t="s">
        <v>12</v>
      </c>
      <c r="C149" s="46" t="s">
        <v>566</v>
      </c>
      <c r="D149" s="47">
        <v>3.86183190615419</v>
      </c>
    </row>
    <row r="150" spans="2:4">
      <c r="B150" s="45" t="s">
        <v>14</v>
      </c>
      <c r="C150" s="46" t="s">
        <v>578</v>
      </c>
      <c r="D150" s="47">
        <v>17.0208333333333</v>
      </c>
    </row>
    <row r="152" spans="2:6">
      <c r="B152" s="48" t="s">
        <v>140</v>
      </c>
      <c r="C152" s="48" t="s">
        <v>617</v>
      </c>
      <c r="D152" s="48"/>
      <c r="E152" s="48"/>
      <c r="F152" s="48"/>
    </row>
    <row r="153" spans="2:6">
      <c r="B153" s="48"/>
      <c r="C153" s="48"/>
      <c r="D153" s="48"/>
      <c r="E153" s="48"/>
      <c r="F153" s="48"/>
    </row>
    <row r="154" spans="2:6">
      <c r="B154" s="48"/>
      <c r="C154" s="48"/>
      <c r="D154" s="48"/>
      <c r="E154" s="48"/>
      <c r="F154" s="48"/>
    </row>
    <row r="155" spans="2:6">
      <c r="B155" s="49"/>
      <c r="C155" s="50">
        <v>2020</v>
      </c>
      <c r="D155" s="50">
        <v>2030</v>
      </c>
      <c r="E155" s="50">
        <v>2040</v>
      </c>
      <c r="F155" s="50">
        <v>2050</v>
      </c>
    </row>
    <row r="156" spans="2:6">
      <c r="B156" s="51">
        <v>0.05</v>
      </c>
      <c r="C156" s="52">
        <v>17.0263353340965</v>
      </c>
      <c r="D156" s="52">
        <v>17.0263353340965</v>
      </c>
      <c r="E156" s="52">
        <v>17.0263353340965</v>
      </c>
      <c r="F156" s="52">
        <v>17.0263353340965</v>
      </c>
    </row>
    <row r="157" spans="2:6">
      <c r="B157" s="51">
        <v>0.1</v>
      </c>
      <c r="C157" s="52">
        <v>17.0486455983197</v>
      </c>
      <c r="D157" s="52">
        <v>17.0486455983197</v>
      </c>
      <c r="E157" s="52">
        <v>17.0486455983197</v>
      </c>
      <c r="F157" s="52">
        <v>17.0486455983197</v>
      </c>
    </row>
    <row r="158" spans="2:6">
      <c r="B158" s="51">
        <v>0.2</v>
      </c>
      <c r="C158" s="52">
        <v>17.4834069245865</v>
      </c>
      <c r="D158" s="52">
        <v>17.4413547799271</v>
      </c>
      <c r="E158" s="52">
        <v>17.4413547799271</v>
      </c>
      <c r="F158" s="52">
        <v>17.4413547799271</v>
      </c>
    </row>
    <row r="159" spans="2:6">
      <c r="B159" s="51">
        <v>0.25</v>
      </c>
      <c r="C159" s="52">
        <v>18.4874167131309</v>
      </c>
      <c r="D159" s="52">
        <v>18.2617885008544</v>
      </c>
      <c r="E159" s="52">
        <v>18.1489743947161</v>
      </c>
      <c r="F159" s="52">
        <v>18.1489743947161</v>
      </c>
    </row>
    <row r="160" spans="2:6">
      <c r="B160" s="51">
        <v>0.3</v>
      </c>
      <c r="C160" s="52">
        <v>21.9869913692979</v>
      </c>
      <c r="D160" s="52">
        <v>21.3248369645026</v>
      </c>
      <c r="E160" s="52">
        <v>20.6626825597073</v>
      </c>
      <c r="F160" s="52">
        <v>20.3316053573097</v>
      </c>
    </row>
    <row r="161" spans="2:6">
      <c r="B161" s="51">
        <v>0.35</v>
      </c>
      <c r="C161" s="52">
        <v>28.2415575061579</v>
      </c>
      <c r="D161" s="52">
        <v>26.3714368106871</v>
      </c>
      <c r="E161" s="52">
        <v>25.7480632455302</v>
      </c>
      <c r="F161" s="52">
        <v>24.5013161152163</v>
      </c>
    </row>
    <row r="162" spans="2:6">
      <c r="B162" s="51">
        <v>0.4</v>
      </c>
      <c r="C162" s="52">
        <v>49.5208333333333</v>
      </c>
      <c r="D162" s="52">
        <v>41.7208333333333</v>
      </c>
      <c r="E162" s="52">
        <v>37.8208333333333</v>
      </c>
      <c r="F162" s="52">
        <v>36.5208333333333</v>
      </c>
    </row>
    <row r="166" spans="2:2">
      <c r="B166" s="43" t="s">
        <v>618</v>
      </c>
    </row>
    <row r="167" spans="2:4">
      <c r="B167" s="44">
        <v>2015</v>
      </c>
      <c r="C167" s="44"/>
      <c r="D167" s="44"/>
    </row>
    <row r="168" spans="2:4">
      <c r="B168" s="45" t="s">
        <v>12</v>
      </c>
      <c r="C168" s="46" t="s">
        <v>566</v>
      </c>
      <c r="D168" s="47">
        <v>4.05360995319449</v>
      </c>
    </row>
    <row r="169" spans="2:4">
      <c r="B169" s="45" t="s">
        <v>14</v>
      </c>
      <c r="C169" s="46" t="s">
        <v>578</v>
      </c>
      <c r="D169" s="47">
        <v>20.9958333333333</v>
      </c>
    </row>
    <row r="171" spans="2:6">
      <c r="B171" s="48" t="s">
        <v>599</v>
      </c>
      <c r="C171" s="48" t="s">
        <v>619</v>
      </c>
      <c r="D171" s="48"/>
      <c r="E171" s="48"/>
      <c r="F171" s="48"/>
    </row>
    <row r="172" spans="2:6">
      <c r="B172" s="48"/>
      <c r="C172" s="48"/>
      <c r="D172" s="48"/>
      <c r="E172" s="48"/>
      <c r="F172" s="48"/>
    </row>
    <row r="173" spans="2:6">
      <c r="B173" s="48"/>
      <c r="C173" s="48"/>
      <c r="D173" s="48"/>
      <c r="E173" s="48"/>
      <c r="F173" s="48"/>
    </row>
    <row r="174" spans="2:6">
      <c r="B174" s="49"/>
      <c r="C174" s="50">
        <v>2020</v>
      </c>
      <c r="D174" s="50">
        <v>2030</v>
      </c>
      <c r="E174" s="50">
        <v>2040</v>
      </c>
      <c r="F174" s="50">
        <v>2050</v>
      </c>
    </row>
    <row r="175" spans="2:6">
      <c r="B175" s="51">
        <v>0.05</v>
      </c>
      <c r="C175" s="52">
        <v>21.0013353340965</v>
      </c>
      <c r="D175" s="52">
        <v>21.0013353340965</v>
      </c>
      <c r="E175" s="52">
        <v>21.0013353340965</v>
      </c>
      <c r="F175" s="52">
        <v>21.0013353340965</v>
      </c>
    </row>
    <row r="176" spans="2:6">
      <c r="B176" s="51">
        <v>0.1</v>
      </c>
      <c r="C176" s="52">
        <v>21.0236455983197</v>
      </c>
      <c r="D176" s="52">
        <v>21.0236455983197</v>
      </c>
      <c r="E176" s="52">
        <v>21.0236455983197</v>
      </c>
      <c r="F176" s="52">
        <v>21.0236455983197</v>
      </c>
    </row>
    <row r="177" spans="2:6">
      <c r="B177" s="51">
        <v>0.2</v>
      </c>
      <c r="C177" s="52">
        <v>21.4584069245865</v>
      </c>
      <c r="D177" s="52">
        <v>21.4163547799271</v>
      </c>
      <c r="E177" s="52">
        <v>21.4163547799271</v>
      </c>
      <c r="F177" s="52">
        <v>21.4163547799271</v>
      </c>
    </row>
    <row r="178" spans="2:6">
      <c r="B178" s="51">
        <v>0.25</v>
      </c>
      <c r="C178" s="52">
        <v>22.4624167131309</v>
      </c>
      <c r="D178" s="52">
        <v>22.2367885008544</v>
      </c>
      <c r="E178" s="52">
        <v>22.1239743947161</v>
      </c>
      <c r="F178" s="52">
        <v>22.1239743947161</v>
      </c>
    </row>
    <row r="179" spans="2:6">
      <c r="B179" s="51">
        <v>0.3</v>
      </c>
      <c r="C179" s="52">
        <v>25.9619913692979</v>
      </c>
      <c r="D179" s="52">
        <v>25.2998369645026</v>
      </c>
      <c r="E179" s="52">
        <v>24.6376825597073</v>
      </c>
      <c r="F179" s="52">
        <v>24.3066053573097</v>
      </c>
    </row>
    <row r="180" spans="2:6">
      <c r="B180" s="51">
        <v>0.35</v>
      </c>
      <c r="C180" s="52">
        <v>32.2165575061579</v>
      </c>
      <c r="D180" s="52">
        <v>30.3464368106871</v>
      </c>
      <c r="E180" s="52">
        <v>29.7230632455302</v>
      </c>
      <c r="F180" s="52">
        <v>28.4763161152163</v>
      </c>
    </row>
    <row r="181" spans="2:6">
      <c r="B181" s="51">
        <v>0.4</v>
      </c>
      <c r="C181" s="52">
        <v>53.4958333333333</v>
      </c>
      <c r="D181" s="52">
        <v>45.6958333333333</v>
      </c>
      <c r="E181" s="52">
        <v>41.7958333333333</v>
      </c>
      <c r="F181" s="52">
        <v>40.4958333333333</v>
      </c>
    </row>
    <row r="185" spans="2:2">
      <c r="B185" s="43" t="s">
        <v>620</v>
      </c>
    </row>
    <row r="186" spans="2:4">
      <c r="B186" s="44">
        <v>2030</v>
      </c>
      <c r="C186" s="44"/>
      <c r="D186" s="44"/>
    </row>
    <row r="187" spans="2:4">
      <c r="B187" s="45" t="s">
        <v>12</v>
      </c>
      <c r="C187" s="46" t="s">
        <v>566</v>
      </c>
      <c r="D187" s="47">
        <v>2.2845665699218</v>
      </c>
    </row>
    <row r="189" spans="2:5">
      <c r="B189" s="48" t="s">
        <v>602</v>
      </c>
      <c r="C189" s="55" t="s">
        <v>621</v>
      </c>
      <c r="D189" s="56"/>
      <c r="E189" s="57"/>
    </row>
    <row r="190" spans="2:5">
      <c r="B190" s="48"/>
      <c r="C190" s="58"/>
      <c r="D190" s="59"/>
      <c r="E190" s="60"/>
    </row>
    <row r="191" spans="2:5">
      <c r="B191" s="48"/>
      <c r="C191" s="61"/>
      <c r="D191" s="62"/>
      <c r="E191" s="63"/>
    </row>
    <row r="192" spans="2:5">
      <c r="B192" s="49"/>
      <c r="C192" s="50">
        <v>2030</v>
      </c>
      <c r="D192" s="50">
        <v>2040</v>
      </c>
      <c r="E192" s="50">
        <v>2050</v>
      </c>
    </row>
    <row r="193" spans="2:5">
      <c r="B193" s="51">
        <v>0.05</v>
      </c>
      <c r="C193" s="52">
        <v>29.5914114460965</v>
      </c>
      <c r="D193" s="52">
        <v>26.2874884898487</v>
      </c>
      <c r="E193" s="52">
        <v>25.2300385704102</v>
      </c>
    </row>
    <row r="194" spans="2:5">
      <c r="B194" s="51">
        <v>0.08</v>
      </c>
      <c r="C194" s="52">
        <v>29.6137217103197</v>
      </c>
      <c r="D194" s="52">
        <v>26.3097987540719</v>
      </c>
      <c r="E194" s="52">
        <v>25.2523488346334</v>
      </c>
    </row>
    <row r="195" spans="2:5">
      <c r="B195" s="51">
        <v>0.14</v>
      </c>
      <c r="C195" s="52">
        <v>30.0064308919271</v>
      </c>
      <c r="D195" s="52">
        <v>26.7025079356793</v>
      </c>
      <c r="E195" s="52">
        <v>25.6450580162408</v>
      </c>
    </row>
    <row r="196" spans="2:5">
      <c r="B196" s="51">
        <v>0.15</v>
      </c>
      <c r="C196" s="52">
        <v>30.8268646128544</v>
      </c>
      <c r="D196" s="52">
        <v>27.4101275504683</v>
      </c>
      <c r="E196" s="52">
        <v>26.3526776310298</v>
      </c>
    </row>
    <row r="197" spans="2:5">
      <c r="B197" s="51">
        <v>0.15</v>
      </c>
      <c r="C197" s="52">
        <v>33.8899130765026</v>
      </c>
      <c r="D197" s="52">
        <v>29.9238357154596</v>
      </c>
      <c r="E197" s="52">
        <v>28.5353085936234</v>
      </c>
    </row>
    <row r="198" spans="2:5">
      <c r="B198" s="51">
        <v>0.175</v>
      </c>
      <c r="C198" s="52">
        <v>38.9365129226871</v>
      </c>
      <c r="D198" s="52">
        <v>35.0092164012824</v>
      </c>
      <c r="E198" s="52">
        <v>32.70501935153</v>
      </c>
    </row>
    <row r="199" spans="2:5">
      <c r="B199" s="51">
        <v>0.2</v>
      </c>
      <c r="C199" s="52">
        <v>54.2859094453333</v>
      </c>
      <c r="D199" s="52">
        <v>47.0819864890856</v>
      </c>
      <c r="E199" s="52">
        <v>44.724536569647</v>
      </c>
    </row>
    <row r="203" spans="2:2">
      <c r="B203" s="43" t="s">
        <v>622</v>
      </c>
    </row>
    <row r="204" spans="2:4">
      <c r="B204" s="44">
        <v>2030</v>
      </c>
      <c r="C204" s="44"/>
      <c r="D204" s="44"/>
    </row>
    <row r="205" spans="2:4">
      <c r="B205" s="45" t="s">
        <v>12</v>
      </c>
      <c r="C205" s="46" t="s">
        <v>566</v>
      </c>
      <c r="D205" s="47">
        <v>1.31635463501922</v>
      </c>
    </row>
    <row r="207" spans="2:5">
      <c r="B207" s="48" t="s">
        <v>27</v>
      </c>
      <c r="C207" s="55" t="s">
        <v>623</v>
      </c>
      <c r="D207" s="56"/>
      <c r="E207" s="57"/>
    </row>
    <row r="208" spans="2:5">
      <c r="B208" s="48"/>
      <c r="C208" s="58"/>
      <c r="D208" s="59"/>
      <c r="E208" s="60"/>
    </row>
    <row r="209" spans="2:5">
      <c r="B209" s="48"/>
      <c r="C209" s="61"/>
      <c r="D209" s="62"/>
      <c r="E209" s="63"/>
    </row>
    <row r="210" spans="2:5">
      <c r="B210" s="49"/>
      <c r="C210" s="50">
        <v>2030</v>
      </c>
      <c r="D210" s="50">
        <v>2040</v>
      </c>
      <c r="E210" s="50">
        <v>2050</v>
      </c>
    </row>
    <row r="211" spans="2:5">
      <c r="B211" s="66">
        <v>150</v>
      </c>
      <c r="C211" s="67">
        <v>33.024771048976</v>
      </c>
      <c r="D211" s="67">
        <v>28.8650055422951</v>
      </c>
      <c r="E211" s="67">
        <v>27.9804535467882</v>
      </c>
    </row>
    <row r="212" spans="2:5">
      <c r="B212" s="66">
        <v>200</v>
      </c>
      <c r="C212" s="67">
        <v>35.6008740531201</v>
      </c>
      <c r="D212" s="67">
        <v>30.7622355870181</v>
      </c>
      <c r="E212" s="67">
        <v>29.6086437272034</v>
      </c>
    </row>
    <row r="213" spans="2:5">
      <c r="B213" s="66">
        <v>360</v>
      </c>
      <c r="C213" s="67">
        <v>42.2691155620903</v>
      </c>
      <c r="D213" s="67">
        <v>33.9234332844965</v>
      </c>
      <c r="E213" s="67">
        <v>31.1313833037258</v>
      </c>
    </row>
    <row r="217" spans="2:6">
      <c r="B217" s="40" t="s">
        <v>624</v>
      </c>
      <c r="C217" s="41"/>
      <c r="D217" s="41"/>
      <c r="E217" s="41"/>
      <c r="F217" s="42"/>
    </row>
    <row r="218" spans="2:2">
      <c r="B218" s="43" t="s">
        <v>625</v>
      </c>
    </row>
    <row r="219" spans="2:4">
      <c r="B219" s="44">
        <v>2015</v>
      </c>
      <c r="C219" s="44"/>
      <c r="D219" s="44"/>
    </row>
    <row r="220" spans="2:4">
      <c r="B220" s="45" t="s">
        <v>12</v>
      </c>
      <c r="C220" s="46" t="s">
        <v>566</v>
      </c>
      <c r="D220" s="47">
        <v>6.49602034731251</v>
      </c>
    </row>
    <row r="221" spans="2:4">
      <c r="B221" s="45" t="s">
        <v>14</v>
      </c>
      <c r="C221" s="46" t="s">
        <v>578</v>
      </c>
      <c r="D221" s="47">
        <v>29.9166666666667</v>
      </c>
    </row>
    <row r="223" spans="2:6">
      <c r="B223" s="48" t="s">
        <v>140</v>
      </c>
      <c r="C223" s="48" t="s">
        <v>626</v>
      </c>
      <c r="D223" s="48"/>
      <c r="E223" s="48"/>
      <c r="F223" s="48"/>
    </row>
    <row r="224" spans="2:6">
      <c r="B224" s="48"/>
      <c r="C224" s="48"/>
      <c r="D224" s="48"/>
      <c r="E224" s="48"/>
      <c r="F224" s="48"/>
    </row>
    <row r="225" spans="2:6">
      <c r="B225" s="48"/>
      <c r="C225" s="48"/>
      <c r="D225" s="48"/>
      <c r="E225" s="48"/>
      <c r="F225" s="48"/>
    </row>
    <row r="226" spans="2:6">
      <c r="B226" s="49"/>
      <c r="C226" s="50">
        <v>2020</v>
      </c>
      <c r="D226" s="50">
        <v>2030</v>
      </c>
      <c r="E226" s="50">
        <v>2040</v>
      </c>
      <c r="F226" s="50">
        <v>2050</v>
      </c>
    </row>
    <row r="227" spans="2:6">
      <c r="B227" s="51">
        <v>0.03</v>
      </c>
      <c r="C227" s="52">
        <v>29.9284342392602</v>
      </c>
      <c r="D227" s="52">
        <v>29.9284342392602</v>
      </c>
      <c r="E227" s="52">
        <v>29.9284342392602</v>
      </c>
      <c r="F227" s="52">
        <v>29.9284342392602</v>
      </c>
    </row>
    <row r="228" spans="2:6">
      <c r="B228" s="51">
        <v>0.05</v>
      </c>
      <c r="C228" s="52">
        <v>30.0815338641667</v>
      </c>
      <c r="D228" s="52">
        <v>30.0815338641667</v>
      </c>
      <c r="E228" s="52">
        <v>30.0815338641667</v>
      </c>
      <c r="F228" s="52">
        <v>30.0815338641667</v>
      </c>
    </row>
    <row r="229" spans="2:6">
      <c r="B229" s="51">
        <v>0.07</v>
      </c>
      <c r="C229" s="52">
        <v>31.2322807737309</v>
      </c>
      <c r="D229" s="52">
        <v>31.1126794912705</v>
      </c>
      <c r="E229" s="52">
        <v>31.1126794912705</v>
      </c>
      <c r="F229" s="52">
        <v>31.1126794912705</v>
      </c>
    </row>
    <row r="230" spans="2:6">
      <c r="B230" s="51">
        <v>0.1</v>
      </c>
      <c r="C230" s="52">
        <v>32.8945564977637</v>
      </c>
      <c r="D230" s="52">
        <v>32.4364196006718</v>
      </c>
      <c r="E230" s="52">
        <v>32.2073511521259</v>
      </c>
      <c r="F230" s="52">
        <v>32.2073511521259</v>
      </c>
    </row>
    <row r="231" spans="2:6">
      <c r="B231" s="51">
        <v>0.15</v>
      </c>
      <c r="C231" s="52">
        <v>38.1149058777839</v>
      </c>
      <c r="D231" s="52">
        <v>37.0218073163016</v>
      </c>
      <c r="E231" s="52">
        <v>35.9287087548193</v>
      </c>
      <c r="F231" s="52">
        <v>35.3821594740782</v>
      </c>
    </row>
    <row r="232" spans="2:6">
      <c r="B232" s="51">
        <v>0.2</v>
      </c>
      <c r="C232" s="52">
        <v>47.1966666666667</v>
      </c>
      <c r="D232" s="52">
        <v>44.3166666666667</v>
      </c>
      <c r="E232" s="52">
        <v>43.3566666666667</v>
      </c>
      <c r="F232" s="52">
        <v>41.4366666666667</v>
      </c>
    </row>
    <row r="233" spans="2:6">
      <c r="B233" s="51">
        <v>0.25</v>
      </c>
      <c r="C233" s="52">
        <v>78.9166666666667</v>
      </c>
      <c r="D233" s="52">
        <v>67.1566666666667</v>
      </c>
      <c r="E233" s="52">
        <v>61.2766666666667</v>
      </c>
      <c r="F233" s="52">
        <v>59.3166666666667</v>
      </c>
    </row>
    <row r="237" spans="2:2">
      <c r="B237" s="43" t="s">
        <v>627</v>
      </c>
    </row>
    <row r="238" spans="2:4">
      <c r="B238" s="44">
        <v>2015</v>
      </c>
      <c r="C238" s="44"/>
      <c r="D238" s="44"/>
    </row>
    <row r="239" spans="2:4">
      <c r="B239" s="45" t="s">
        <v>12</v>
      </c>
      <c r="C239" s="46" t="s">
        <v>566</v>
      </c>
      <c r="D239" s="47">
        <v>6.81861183394774</v>
      </c>
    </row>
    <row r="240" spans="2:4">
      <c r="B240" s="45" t="s">
        <v>14</v>
      </c>
      <c r="C240" s="46" t="s">
        <v>578</v>
      </c>
      <c r="D240" s="47">
        <v>36.1041666666667</v>
      </c>
    </row>
    <row r="242" spans="2:6">
      <c r="B242" s="48" t="s">
        <v>599</v>
      </c>
      <c r="C242" s="48" t="s">
        <v>628</v>
      </c>
      <c r="D242" s="48"/>
      <c r="E242" s="48"/>
      <c r="F242" s="48"/>
    </row>
    <row r="243" spans="2:6">
      <c r="B243" s="48"/>
      <c r="C243" s="48"/>
      <c r="D243" s="48"/>
      <c r="E243" s="48"/>
      <c r="F243" s="48"/>
    </row>
    <row r="244" spans="2:6">
      <c r="B244" s="48"/>
      <c r="C244" s="48"/>
      <c r="D244" s="48"/>
      <c r="E244" s="48"/>
      <c r="F244" s="48"/>
    </row>
    <row r="245" spans="2:6">
      <c r="B245" s="49"/>
      <c r="C245" s="50">
        <v>2020</v>
      </c>
      <c r="D245" s="50">
        <v>2030</v>
      </c>
      <c r="E245" s="50">
        <v>2040</v>
      </c>
      <c r="F245" s="50">
        <v>2050</v>
      </c>
    </row>
    <row r="246" spans="2:6">
      <c r="B246" s="51">
        <v>0.03</v>
      </c>
      <c r="C246" s="52">
        <v>36.1159342392602</v>
      </c>
      <c r="D246" s="52">
        <v>36.1159342392602</v>
      </c>
      <c r="E246" s="52">
        <v>36.1159342392602</v>
      </c>
      <c r="F246" s="52">
        <v>36.1159342392602</v>
      </c>
    </row>
    <row r="247" spans="2:6">
      <c r="B247" s="51">
        <v>0.05</v>
      </c>
      <c r="C247" s="52">
        <v>36.2690338641667</v>
      </c>
      <c r="D247" s="52">
        <v>36.2690338641667</v>
      </c>
      <c r="E247" s="52">
        <v>36.2690338641667</v>
      </c>
      <c r="F247" s="52">
        <v>36.2690338641667</v>
      </c>
    </row>
    <row r="248" spans="2:6">
      <c r="B248" s="51">
        <v>0.07</v>
      </c>
      <c r="C248" s="52">
        <v>37.4197807737309</v>
      </c>
      <c r="D248" s="52">
        <v>37.3001794912705</v>
      </c>
      <c r="E248" s="52">
        <v>37.3001794912705</v>
      </c>
      <c r="F248" s="52">
        <v>37.3001794912705</v>
      </c>
    </row>
    <row r="249" spans="2:6">
      <c r="B249" s="51">
        <v>0.1</v>
      </c>
      <c r="C249" s="52">
        <v>39.0820564977637</v>
      </c>
      <c r="D249" s="52">
        <v>38.6239196006718</v>
      </c>
      <c r="E249" s="52">
        <v>38.3948511521259</v>
      </c>
      <c r="F249" s="52">
        <v>38.3948511521259</v>
      </c>
    </row>
    <row r="250" spans="2:6">
      <c r="B250" s="51">
        <v>0.15</v>
      </c>
      <c r="C250" s="52">
        <v>44.3024058777839</v>
      </c>
      <c r="D250" s="52">
        <v>43.2093073163016</v>
      </c>
      <c r="E250" s="52">
        <v>42.1162087548193</v>
      </c>
      <c r="F250" s="52">
        <v>41.5696594740782</v>
      </c>
    </row>
    <row r="251" spans="2:6">
      <c r="B251" s="51">
        <v>0.2</v>
      </c>
      <c r="C251" s="52">
        <v>53.3841666666667</v>
      </c>
      <c r="D251" s="52">
        <v>50.5041666666667</v>
      </c>
      <c r="E251" s="52">
        <v>49.5441666666667</v>
      </c>
      <c r="F251" s="52">
        <v>47.6241666666667</v>
      </c>
    </row>
    <row r="252" spans="2:6">
      <c r="B252" s="51">
        <v>0.25</v>
      </c>
      <c r="C252" s="52">
        <v>85.1041666666667</v>
      </c>
      <c r="D252" s="52">
        <v>73.3441666666667</v>
      </c>
      <c r="E252" s="52">
        <v>67.4641666666667</v>
      </c>
      <c r="F252" s="52">
        <v>65.5041666666667</v>
      </c>
    </row>
    <row r="256" spans="2:2">
      <c r="B256" s="43" t="s">
        <v>629</v>
      </c>
    </row>
    <row r="257" spans="2:4">
      <c r="B257" s="44">
        <v>2030</v>
      </c>
      <c r="C257" s="44"/>
      <c r="D257" s="44"/>
    </row>
    <row r="258" spans="2:4">
      <c r="B258" s="45" t="s">
        <v>12</v>
      </c>
      <c r="C258" s="46" t="s">
        <v>566</v>
      </c>
      <c r="D258" s="47">
        <v>3.84288888891101</v>
      </c>
    </row>
    <row r="260" spans="2:5">
      <c r="B260" s="48" t="s">
        <v>602</v>
      </c>
      <c r="C260" s="55" t="s">
        <v>630</v>
      </c>
      <c r="D260" s="56"/>
      <c r="E260" s="57"/>
    </row>
    <row r="261" spans="2:5">
      <c r="B261" s="48"/>
      <c r="C261" s="58"/>
      <c r="D261" s="59"/>
      <c r="E261" s="60"/>
    </row>
    <row r="262" spans="2:5">
      <c r="B262" s="48"/>
      <c r="C262" s="61"/>
      <c r="D262" s="62"/>
      <c r="E262" s="63"/>
    </row>
    <row r="263" spans="2:5">
      <c r="B263" s="49"/>
      <c r="C263" s="50">
        <v>2030</v>
      </c>
      <c r="D263" s="50">
        <v>2040</v>
      </c>
      <c r="E263" s="50">
        <v>2050</v>
      </c>
    </row>
    <row r="264" spans="2:5">
      <c r="B264" s="51">
        <v>0.03</v>
      </c>
      <c r="C264" s="52">
        <v>42.4935103512602</v>
      </c>
      <c r="D264" s="52">
        <v>39.1895873950125</v>
      </c>
      <c r="E264" s="52">
        <v>38.1321374755739</v>
      </c>
    </row>
    <row r="265" spans="2:5">
      <c r="B265" s="51">
        <v>0.04</v>
      </c>
      <c r="C265" s="52">
        <v>42.6466099761667</v>
      </c>
      <c r="D265" s="52">
        <v>39.3426870199189</v>
      </c>
      <c r="E265" s="52">
        <v>38.2852371004804</v>
      </c>
    </row>
    <row r="266" spans="2:5">
      <c r="B266" s="51">
        <v>0.049</v>
      </c>
      <c r="C266" s="52">
        <v>43.6777556032705</v>
      </c>
      <c r="D266" s="52">
        <v>40.3738326470228</v>
      </c>
      <c r="E266" s="52">
        <v>39.3163827275842</v>
      </c>
    </row>
    <row r="267" spans="2:5">
      <c r="B267" s="51">
        <v>0.06</v>
      </c>
      <c r="C267" s="52">
        <v>45.0014957126718</v>
      </c>
      <c r="D267" s="52">
        <v>41.4685043078782</v>
      </c>
      <c r="E267" s="52">
        <v>40.4110543884396</v>
      </c>
    </row>
    <row r="268" spans="2:5">
      <c r="B268" s="51">
        <v>0.075</v>
      </c>
      <c r="C268" s="52">
        <v>49.5868834283016</v>
      </c>
      <c r="D268" s="52">
        <v>45.1898619105716</v>
      </c>
      <c r="E268" s="52">
        <v>43.5858627103919</v>
      </c>
    </row>
    <row r="269" spans="2:5">
      <c r="B269" s="51">
        <v>0.1</v>
      </c>
      <c r="C269" s="52">
        <v>56.8817427786667</v>
      </c>
      <c r="D269" s="52">
        <v>52.617819822419</v>
      </c>
      <c r="E269" s="52">
        <v>49.6403699029804</v>
      </c>
    </row>
    <row r="270" spans="2:5">
      <c r="B270" s="51">
        <v>0.125</v>
      </c>
      <c r="C270" s="52">
        <v>79.7217427786667</v>
      </c>
      <c r="D270" s="52">
        <v>70.537819822419</v>
      </c>
      <c r="E270" s="52">
        <v>67.5203699029804</v>
      </c>
    </row>
    <row r="274" spans="2:2">
      <c r="B274" s="43" t="s">
        <v>631</v>
      </c>
    </row>
    <row r="275" spans="2:4">
      <c r="B275" s="44">
        <v>2030</v>
      </c>
      <c r="C275" s="44"/>
      <c r="D275" s="44"/>
    </row>
    <row r="276" spans="2:4">
      <c r="B276" s="45" t="s">
        <v>12</v>
      </c>
      <c r="C276" s="46" t="s">
        <v>566</v>
      </c>
      <c r="D276" s="47">
        <v>2.21425134525847</v>
      </c>
    </row>
    <row r="278" spans="2:5">
      <c r="B278" s="48" t="s">
        <v>27</v>
      </c>
      <c r="C278" s="55" t="s">
        <v>632</v>
      </c>
      <c r="D278" s="56"/>
      <c r="E278" s="57"/>
    </row>
    <row r="279" spans="2:5">
      <c r="B279" s="48"/>
      <c r="C279" s="58"/>
      <c r="D279" s="59"/>
      <c r="E279" s="60"/>
    </row>
    <row r="280" spans="2:5">
      <c r="B280" s="48"/>
      <c r="C280" s="61"/>
      <c r="D280" s="62"/>
      <c r="E280" s="63"/>
    </row>
    <row r="281" spans="2:5">
      <c r="B281" s="49"/>
      <c r="C281" s="50">
        <v>2030</v>
      </c>
      <c r="D281" s="50">
        <v>2040</v>
      </c>
      <c r="E281" s="50">
        <v>2050</v>
      </c>
    </row>
    <row r="282" spans="2:5">
      <c r="B282" s="66">
        <v>150</v>
      </c>
      <c r="C282" s="67">
        <v>45.9206043823094</v>
      </c>
      <c r="D282" s="67">
        <v>41.7608388756285</v>
      </c>
      <c r="E282" s="67">
        <v>40.8762868801216</v>
      </c>
    </row>
    <row r="283" spans="2:5">
      <c r="B283" s="66">
        <v>200</v>
      </c>
      <c r="C283" s="67">
        <v>48.4967073864535</v>
      </c>
      <c r="D283" s="67">
        <v>43.6580689203515</v>
      </c>
      <c r="E283" s="67">
        <v>42.514963781575</v>
      </c>
    </row>
    <row r="284" spans="2:5">
      <c r="B284" s="66">
        <v>360</v>
      </c>
      <c r="C284" s="67">
        <v>55.1649488954237</v>
      </c>
      <c r="D284" s="67">
        <v>46.8192666178299</v>
      </c>
      <c r="E284" s="67">
        <v>45.1739991129326</v>
      </c>
    </row>
  </sheetData>
  <mergeCells count="56">
    <mergeCell ref="B1:F1"/>
    <mergeCell ref="B2:F2"/>
    <mergeCell ref="B3:F3"/>
    <mergeCell ref="B4:F4"/>
    <mergeCell ref="B6:D6"/>
    <mergeCell ref="B25:D25"/>
    <mergeCell ref="B44:D44"/>
    <mergeCell ref="B62:D62"/>
    <mergeCell ref="B75:F75"/>
    <mergeCell ref="B77:D77"/>
    <mergeCell ref="B96:D96"/>
    <mergeCell ref="B115:D115"/>
    <mergeCell ref="B133:D133"/>
    <mergeCell ref="B146:F146"/>
    <mergeCell ref="B148:D148"/>
    <mergeCell ref="B167:D167"/>
    <mergeCell ref="B186:D186"/>
    <mergeCell ref="B204:D204"/>
    <mergeCell ref="B217:F217"/>
    <mergeCell ref="B219:D219"/>
    <mergeCell ref="B238:D238"/>
    <mergeCell ref="B257:D257"/>
    <mergeCell ref="B275:D275"/>
    <mergeCell ref="B10:B12"/>
    <mergeCell ref="B29:B31"/>
    <mergeCell ref="B47:B49"/>
    <mergeCell ref="B65:B67"/>
    <mergeCell ref="B81:B83"/>
    <mergeCell ref="B100:B102"/>
    <mergeCell ref="B118:B120"/>
    <mergeCell ref="B136:B138"/>
    <mergeCell ref="B152:B154"/>
    <mergeCell ref="B171:B173"/>
    <mergeCell ref="B189:B191"/>
    <mergeCell ref="B207:B209"/>
    <mergeCell ref="B223:B225"/>
    <mergeCell ref="B242:B244"/>
    <mergeCell ref="B260:B262"/>
    <mergeCell ref="B278:B280"/>
    <mergeCell ref="C152:F154"/>
    <mergeCell ref="C207:E209"/>
    <mergeCell ref="C118:E120"/>
    <mergeCell ref="C171:F173"/>
    <mergeCell ref="K4:T13"/>
    <mergeCell ref="C100:F102"/>
    <mergeCell ref="C47:E49"/>
    <mergeCell ref="C65:E67"/>
    <mergeCell ref="C10:F12"/>
    <mergeCell ref="C136:E138"/>
    <mergeCell ref="C29:F31"/>
    <mergeCell ref="C81:F83"/>
    <mergeCell ref="C278:E280"/>
    <mergeCell ref="C223:F225"/>
    <mergeCell ref="C260:E262"/>
    <mergeCell ref="C242:F244"/>
    <mergeCell ref="C189:E191"/>
  </mergeCell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7"/>
  <sheetViews>
    <sheetView showGridLines="0" workbookViewId="0">
      <pane ySplit="2" topLeftCell="A3" activePane="bottomLeft" state="frozen"/>
      <selection/>
      <selection pane="bottomLeft" activeCell="B2" sqref="B2"/>
    </sheetView>
  </sheetViews>
  <sheetFormatPr defaultColWidth="9" defaultRowHeight="14.5"/>
  <cols>
    <col min="1" max="1" width="7.63636363636364" customWidth="1"/>
    <col min="2" max="2" width="59" customWidth="1"/>
    <col min="3" max="8" width="13.3636363636364" customWidth="1"/>
    <col min="9" max="10" width="8.27272727272727" customWidth="1"/>
    <col min="11" max="11" width="10.3636363636364" customWidth="1"/>
    <col min="12" max="17" width="8.27272727272727" customWidth="1"/>
  </cols>
  <sheetData>
    <row r="1" ht="33.75" customHeight="1" spans="3:8">
      <c r="C1" s="1" t="s">
        <v>10</v>
      </c>
      <c r="D1" s="2"/>
      <c r="E1" s="2"/>
      <c r="F1" s="2"/>
      <c r="G1" s="2"/>
      <c r="H1" s="3"/>
    </row>
    <row r="2" ht="26.25" customHeight="1" spans="3:23">
      <c r="C2" s="4" t="s">
        <v>9</v>
      </c>
      <c r="D2" s="5"/>
      <c r="E2" s="5"/>
      <c r="F2" s="5"/>
      <c r="G2" s="5"/>
      <c r="H2" s="5"/>
      <c r="W2" s="34"/>
    </row>
    <row r="3" ht="39" customHeight="1" spans="2:8">
      <c r="B3" s="6" t="s">
        <v>633</v>
      </c>
      <c r="C3" s="7" t="s">
        <v>634</v>
      </c>
      <c r="D3" s="7">
        <v>0</v>
      </c>
      <c r="E3" s="7">
        <v>0</v>
      </c>
      <c r="F3" s="7" t="s">
        <v>635</v>
      </c>
      <c r="G3" s="7">
        <v>0</v>
      </c>
      <c r="H3" s="7">
        <v>0</v>
      </c>
    </row>
    <row r="4" spans="2:8">
      <c r="B4" s="8"/>
      <c r="C4" s="9">
        <v>2015</v>
      </c>
      <c r="D4" s="9">
        <v>2030</v>
      </c>
      <c r="E4" s="9" t="s">
        <v>636</v>
      </c>
      <c r="F4" s="9">
        <v>2015</v>
      </c>
      <c r="G4" s="9">
        <v>2030</v>
      </c>
      <c r="H4" s="9" t="s">
        <v>636</v>
      </c>
    </row>
    <row r="5" ht="15.75" customHeight="1" spans="2:8">
      <c r="B5" s="10" t="s">
        <v>637</v>
      </c>
      <c r="C5" s="11">
        <v>114</v>
      </c>
      <c r="D5" s="11">
        <v>102</v>
      </c>
      <c r="E5" s="11">
        <v>91</v>
      </c>
      <c r="F5" s="11">
        <v>0.4</v>
      </c>
      <c r="G5" s="11">
        <v>0.4</v>
      </c>
      <c r="H5" s="11">
        <v>0.4</v>
      </c>
    </row>
    <row r="6" ht="15.75" customHeight="1" spans="2:8">
      <c r="B6" s="12" t="s">
        <v>638</v>
      </c>
      <c r="C6" s="13">
        <v>761</v>
      </c>
      <c r="D6" s="13">
        <v>635</v>
      </c>
      <c r="E6" s="13">
        <v>457</v>
      </c>
      <c r="F6" s="13">
        <v>23</v>
      </c>
      <c r="G6" s="13">
        <v>23</v>
      </c>
      <c r="H6" s="13">
        <v>23</v>
      </c>
    </row>
    <row r="7" ht="15.75" customHeight="1" spans="2:8">
      <c r="B7" s="10" t="s">
        <v>639</v>
      </c>
      <c r="C7" s="11">
        <v>855</v>
      </c>
      <c r="D7" s="11">
        <v>759</v>
      </c>
      <c r="E7" s="11">
        <v>568</v>
      </c>
      <c r="F7" s="11">
        <v>1.6</v>
      </c>
      <c r="G7" s="11">
        <v>1.4</v>
      </c>
      <c r="H7" s="11">
        <v>1.1</v>
      </c>
    </row>
    <row r="8" ht="15.75" customHeight="1" spans="2:8">
      <c r="B8" s="12" t="s">
        <v>640</v>
      </c>
      <c r="C8" s="14">
        <v>2652.5198938992</v>
      </c>
      <c r="D8" s="14">
        <v>2279.22175224045</v>
      </c>
      <c r="E8" s="14">
        <v>2111.76336052451</v>
      </c>
      <c r="F8" s="14">
        <v>106.100795755968</v>
      </c>
      <c r="G8" s="14">
        <v>91.1688700896178</v>
      </c>
      <c r="H8" s="14">
        <v>84.4705344209804</v>
      </c>
    </row>
    <row r="9" ht="15.75" customHeight="1" spans="2:8">
      <c r="B9" s="15" t="s">
        <v>641</v>
      </c>
      <c r="C9" s="16">
        <v>1666.66666666667</v>
      </c>
      <c r="D9" s="16">
        <v>1266.91266912669</v>
      </c>
      <c r="E9" s="16">
        <v>1190.49815498155</v>
      </c>
      <c r="F9" s="16">
        <v>66.6666666666667</v>
      </c>
      <c r="G9" s="16">
        <v>50.6765067650676</v>
      </c>
      <c r="H9" s="16">
        <v>47.619926199262</v>
      </c>
    </row>
    <row r="10" ht="15.75" customHeight="1" spans="2:8">
      <c r="B10" s="17" t="s">
        <v>642</v>
      </c>
      <c r="C10" s="18">
        <v>1055.55555555556</v>
      </c>
      <c r="D10" s="18">
        <v>802.222222222222</v>
      </c>
      <c r="E10" s="18">
        <v>688.222222222222</v>
      </c>
      <c r="F10" s="18">
        <v>42.2222222222222</v>
      </c>
      <c r="G10" s="18">
        <v>32.0888888888889</v>
      </c>
      <c r="H10" s="18">
        <v>27.5288888888889</v>
      </c>
    </row>
    <row r="11" spans="2:8">
      <c r="B11" s="19" t="s">
        <v>643</v>
      </c>
      <c r="C11" s="20">
        <v>285.454545454545</v>
      </c>
      <c r="D11" s="20">
        <v>226.069396266082</v>
      </c>
      <c r="E11" s="20">
        <v>200.125375263235</v>
      </c>
      <c r="F11" s="21">
        <v>4.56727272727273</v>
      </c>
      <c r="G11" s="21">
        <v>3.61711034025732</v>
      </c>
      <c r="H11" s="21">
        <v>3.20200600421175</v>
      </c>
    </row>
    <row r="12" spans="2:8">
      <c r="B12" s="22" t="s">
        <v>644</v>
      </c>
      <c r="C12" s="23">
        <v>900</v>
      </c>
      <c r="D12" s="23">
        <v>680.375387446444</v>
      </c>
      <c r="E12" s="23">
        <v>588.444975252103</v>
      </c>
      <c r="F12" s="24">
        <v>10.8</v>
      </c>
      <c r="G12" s="24">
        <v>8.16450464935733</v>
      </c>
      <c r="H12" s="24">
        <v>7.06133970302523</v>
      </c>
    </row>
    <row r="13" spans="2:8">
      <c r="B13" s="22" t="s">
        <v>645</v>
      </c>
      <c r="C13" s="23">
        <v>600</v>
      </c>
      <c r="D13" s="23">
        <v>425.044594838561</v>
      </c>
      <c r="E13" s="23">
        <v>354.091974213288</v>
      </c>
      <c r="F13" s="24">
        <v>7.2</v>
      </c>
      <c r="G13" s="24">
        <v>5.10053513806273</v>
      </c>
      <c r="H13" s="24">
        <v>4.24910369055946</v>
      </c>
    </row>
    <row r="14" spans="2:8">
      <c r="B14" s="25" t="s">
        <v>646</v>
      </c>
      <c r="C14" s="26">
        <v>657.142857142857</v>
      </c>
      <c r="D14" s="26">
        <v>470.961031831262</v>
      </c>
      <c r="E14" s="26">
        <v>395.092100510703</v>
      </c>
      <c r="F14" s="27">
        <v>7.88571428571429</v>
      </c>
      <c r="G14" s="27">
        <v>5.65153238197515</v>
      </c>
      <c r="H14" s="27">
        <v>4.74110520612843</v>
      </c>
    </row>
    <row r="15" spans="2:8">
      <c r="B15" s="28" t="s">
        <v>647</v>
      </c>
      <c r="C15" s="29">
        <v>89</v>
      </c>
      <c r="D15" s="29">
        <v>89</v>
      </c>
      <c r="E15" s="29">
        <v>89</v>
      </c>
      <c r="F15" s="30">
        <v>3.56</v>
      </c>
      <c r="G15" s="30">
        <v>3.56</v>
      </c>
      <c r="H15" s="30">
        <v>3.56</v>
      </c>
    </row>
    <row r="16" spans="2:8">
      <c r="B16" s="31" t="s">
        <v>648</v>
      </c>
      <c r="C16" s="32">
        <v>197</v>
      </c>
      <c r="D16" s="32">
        <v>197</v>
      </c>
      <c r="E16" s="32">
        <v>197</v>
      </c>
      <c r="F16" s="33">
        <v>7.88</v>
      </c>
      <c r="G16" s="33">
        <v>7.88</v>
      </c>
      <c r="H16" s="33">
        <v>7.88</v>
      </c>
    </row>
    <row r="17" spans="2:8">
      <c r="B17" s="28" t="s">
        <v>649</v>
      </c>
      <c r="C17" s="29">
        <v>120</v>
      </c>
      <c r="D17" s="29">
        <v>120</v>
      </c>
      <c r="E17" s="29">
        <v>120</v>
      </c>
      <c r="F17" s="29">
        <v>4.8</v>
      </c>
      <c r="G17" s="29">
        <v>4.8</v>
      </c>
      <c r="H17" s="29">
        <v>4.8</v>
      </c>
    </row>
  </sheetData>
  <mergeCells count="4">
    <mergeCell ref="C1:H1"/>
    <mergeCell ref="C2:H2"/>
    <mergeCell ref="C3:E3"/>
    <mergeCell ref="F3:H3"/>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17DC26-DCEA-4E6B-A7AA-D29914C7725A}">
  <ds:schemaRefs/>
</ds:datastoreItem>
</file>

<file path=customXml/itemProps2.xml><?xml version="1.0" encoding="utf-8"?>
<ds:datastoreItem xmlns:ds="http://schemas.openxmlformats.org/officeDocument/2006/customXml" ds:itemID="{B9553712-D58A-4CDE-99C2-262D82C4B60C}">
  <ds:schemaRefs/>
</ds:datastoreItem>
</file>

<file path=customXml/itemProps3.xml><?xml version="1.0" encoding="utf-8"?>
<ds:datastoreItem xmlns:ds="http://schemas.openxmlformats.org/officeDocument/2006/customXml" ds:itemID="{DA1A3B8B-F4C8-4D02-99CE-92C1CB940F40}">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Discuss_log</vt:lpstr>
      <vt:lpstr>Cover</vt:lpstr>
      <vt:lpstr>Small_cars</vt:lpstr>
      <vt:lpstr>Large_cars</vt:lpstr>
      <vt:lpstr>Medium_cars</vt:lpstr>
      <vt:lpstr>LCVs</vt:lpstr>
      <vt:lpstr>Hdt</vt:lpstr>
      <vt:lpstr>2-3wheelers</vt:lpstr>
      <vt:lpstr>Bus_coach</vt:lpstr>
      <vt:lpstr>R_strategies_n_GridBattery</vt:lpstr>
      <vt:lpstr>EnergyUseFromEverBatt_Min_recy</vt:lpstr>
      <vt:lpstr>LIB mass distribution</vt:lpstr>
      <vt:lpstr>HGVs&lt;16t</vt:lpstr>
      <vt:lpstr>HGVs&gt;16t</vt:lpstr>
      <vt:lpstr>Aviation</vt:lpstr>
      <vt:lpstr>Rail</vt:lpstr>
      <vt:lpstr>Inland_navigation</vt:lpstr>
      <vt:lpstr>Maritime</vt:lpstr>
      <vt:lpstr>Infrastructure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李潇</cp:lastModifiedBy>
  <dcterms:created xsi:type="dcterms:W3CDTF">2021-07-19T13:22:00Z</dcterms:created>
  <dcterms:modified xsi:type="dcterms:W3CDTF">2025-12-03T21:47:12Z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0x010100E2B1BA0128C8824692540477CACFD64B</vt:lpwstr>
  </property>
  <property fmtid="{D5CDD505-2E9C-101B-9397-08002B2CF9AE}" pid="4" name="{A44787D4-0540-4523-9961-78E4036D8C6D}">
    <vt:lpwstr>{B74A5AFF-9B1B-4317-A7EF-AB9BD18E6407}</vt:lpwstr>
  </property>
  <property fmtid="{D5CDD505-2E9C-101B-9397-08002B2CF9AE}" pid="5" name="SaveCode">
    <vt:r8>745281381466112</vt:r8>
  </property>
  <property fmtid="{D5CDD505-2E9C-101B-9397-08002B2CF9AE}" pid="6" name="ICV">
    <vt:lpwstr>03662DD572BD4B95A7FA5233D9224151_12</vt:lpwstr>
  </property>
  <property fmtid="{D5CDD505-2E9C-101B-9397-08002B2CF9AE}" pid="7" name="KSOProductBuildVer">
    <vt:lpwstr>1033-12.2.0.23155</vt:lpwstr>
  </property>
</Properties>
</file>