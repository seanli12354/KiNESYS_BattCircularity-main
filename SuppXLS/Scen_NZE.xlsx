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Sheet1" sheetId="1" r:id="rId1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sharedStrings.xml><?xml version="1.0" encoding="utf-8"?>
<sst xmlns="http://schemas.openxmlformats.org/spreadsheetml/2006/main" count="98" uniqueCount="23">
  <si>
    <t>~UC_Sets: R_S: AllRegions</t>
  </si>
  <si>
    <t>~UC_Sets: T_S:</t>
  </si>
  <si>
    <t>~UC_T:UC_RHS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</si>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</sst>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_);[Red]\(0.00\)"/>
    <numFmt numFmtId="180" formatCode="0_ "/>
  </numFmts>
  <fonts count="26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3" fillId="0" borderId="0"/>
  </cellStyleXfs>
  <cellXfs count="17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178" fontId="0" fillId="0" borderId="0" xfId="0" applyNumberFormat="1" applyFont="1" applyFill="1" applyAlignment="1"/>
    <xf numFmtId="0" fontId="0" fillId="2" borderId="0" xfId="0" applyFont="1" applyFill="1" applyAlignment="1"/>
    <xf numFmtId="179" fontId="0" fillId="0" borderId="0" xfId="0" applyNumberFormat="1" applyFont="1" applyFill="1" applyAlignment="1"/>
    <xf numFmtId="0" fontId="0" fillId="0" borderId="1" xfId="0" applyFont="1" applyFill="1" applyBorder="1" applyAlignment="1"/>
    <xf numFmtId="178" fontId="0" fillId="0" borderId="1" xfId="0" applyNumberFormat="1" applyFont="1" applyFill="1" applyBorder="1" applyAlignment="1"/>
    <xf numFmtId="178" fontId="2" fillId="3" borderId="0" xfId="49" applyNumberFormat="1" applyFont="1" applyFill="1" applyAlignment="1">
      <alignment horizontal="right" vertical="center"/>
    </xf>
    <xf numFmtId="178" fontId="2" fillId="0" borderId="0" xfId="49" applyNumberFormat="1" applyFont="1" applyFill="1" applyAlignment="1">
      <alignment horizontal="right" vertical="center"/>
    </xf>
    <xf numFmtId="178" fontId="2" fillId="3" borderId="2" xfId="49" applyNumberFormat="1" applyFont="1" applyFill="1" applyBorder="1" applyAlignment="1">
      <alignment horizontal="right" vertical="center"/>
    </xf>
    <xf numFmtId="179" fontId="0" fillId="0" borderId="1" xfId="0" applyNumberFormat="1" applyFont="1" applyFill="1" applyBorder="1" applyAlignment="1"/>
    <xf numFmtId="180" fontId="0" fillId="0" borderId="0" xfId="0" applyNumberFormat="1" applyFont="1" applyFill="1" applyAlignment="1"/>
    <xf numFmtId="0" fontId="3" fillId="0" borderId="0" xfId="0" applyFont="1" applyFill="1" applyAlignment="1"/>
    <xf numFmtId="0" fontId="0" fillId="0" borderId="0" xfId="0" applyFont="1" applyFill="1" applyAlignment="1">
      <alignment vertical="center"/>
    </xf>
    <xf numFmtId="179" fontId="2" fillId="3" borderId="0" xfId="49" applyNumberFormat="1" applyFont="1" applyFill="1" applyAlignment="1">
      <alignment horizontal="right" vertical="center"/>
    </xf>
    <xf numFmtId="179" fontId="2" fillId="0" borderId="0" xfId="49" applyNumberFormat="1" applyFont="1" applyFill="1" applyAlignment="1">
      <alignment horizontal="right"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tabSelected="1" zoomScale="80" zoomScaleNormal="80" workbookViewId="0">
      <selection activeCell="N16" sqref="N16"/>
    </sheetView>
  </sheetViews>
  <sheetFormatPr defaultColWidth="9" defaultRowHeight="14.5"/>
  <cols>
    <col min="1" max="1" width="9" style="1"/>
    <col min="2" max="6" width="8.72727272727273" style="1"/>
    <col min="7" max="7" width="12.0909090909091" style="1" customWidth="1"/>
    <col min="8" max="10" width="8.72727272727273" style="1"/>
    <col min="11" max="11" width="11.5454545454545" style="1" customWidth="1"/>
    <col min="12" max="18" width="14" style="1"/>
    <col min="19" max="19" width="12.8181818181818" style="1"/>
    <col min="20" max="20" width="14" style="1"/>
    <col min="21" max="22" width="20.5454545454545" style="1" customWidth="1"/>
    <col min="23" max="24" width="19.2727272727273" style="1" customWidth="1"/>
    <col min="25" max="27" width="9.27272727272727" style="1"/>
    <col min="28" max="37" width="8.72727272727273" style="1"/>
    <col min="38" max="38" width="12.7272727272727" style="1" customWidth="1"/>
    <col min="39" max="42" width="12.8181818181818" style="1" customWidth="1"/>
    <col min="43" max="43" width="8.72727272727273" style="1"/>
    <col min="44" max="45" width="14" style="1"/>
    <col min="46" max="46" width="8.72727272727273" style="1"/>
    <col min="47" max="47" width="14" style="1"/>
    <col min="48" max="49" width="20.5454545454545" style="1" customWidth="1"/>
    <col min="50" max="51" width="19.2727272727273" style="1" customWidth="1"/>
    <col min="52" max="52" width="9.27272727272727" style="1"/>
    <col min="53" max="59" width="8.72727272727273" style="1"/>
  </cols>
  <sheetData>
    <row r="4" spans="2:2">
      <c r="B4" s="2" t="s">
        <v>0</v>
      </c>
    </row>
    <row r="5" spans="2:2">
      <c r="B5" s="1" t="s">
        <v>1</v>
      </c>
    </row>
    <row r="6" spans="29:29">
      <c r="AC6" s="13"/>
    </row>
    <row r="9" spans="10:37">
      <c r="J9" s="1" t="s">
        <v>2</v>
      </c>
      <c r="AK9" s="1" t="s">
        <v>3</v>
      </c>
    </row>
    <row r="10" spans="2:52">
      <c r="B10" s="1" t="s">
        <v>4</v>
      </c>
      <c r="C10" s="1" t="s">
        <v>5</v>
      </c>
      <c r="D10" s="1" t="s">
        <v>6</v>
      </c>
      <c r="E10" s="1" t="s">
        <v>7</v>
      </c>
      <c r="F10" s="1" t="s">
        <v>8</v>
      </c>
      <c r="G10" s="1" t="s">
        <v>9</v>
      </c>
      <c r="H10" s="1" t="s">
        <v>10</v>
      </c>
      <c r="I10" s="1" t="s">
        <v>11</v>
      </c>
      <c r="J10" s="1" t="s">
        <v>12</v>
      </c>
      <c r="K10" s="1" t="s">
        <v>13</v>
      </c>
      <c r="L10" s="1" t="s">
        <v>14</v>
      </c>
      <c r="U10" s="1" t="s">
        <v>15</v>
      </c>
      <c r="W10" s="1" t="s">
        <v>16</v>
      </c>
      <c r="Y10" s="1" t="s">
        <v>17</v>
      </c>
      <c r="AB10" s="14"/>
      <c r="AC10" s="1" t="s">
        <v>4</v>
      </c>
      <c r="AD10" s="1" t="s">
        <v>5</v>
      </c>
      <c r="AE10" s="1" t="s">
        <v>6</v>
      </c>
      <c r="AF10" s="1" t="s">
        <v>7</v>
      </c>
      <c r="AG10" s="1" t="s">
        <v>8</v>
      </c>
      <c r="AH10" s="1" t="s">
        <v>9</v>
      </c>
      <c r="AI10" s="1" t="s">
        <v>10</v>
      </c>
      <c r="AJ10" s="1" t="s">
        <v>11</v>
      </c>
      <c r="AK10" s="1" t="s">
        <v>12</v>
      </c>
      <c r="AL10" s="1" t="s">
        <v>13</v>
      </c>
      <c r="AM10" s="1" t="s">
        <v>14</v>
      </c>
      <c r="AV10" s="1" t="s">
        <v>15</v>
      </c>
      <c r="AX10" s="1" t="s">
        <v>16</v>
      </c>
      <c r="AZ10" s="1" t="s">
        <v>17</v>
      </c>
    </row>
    <row r="11" spans="2:52">
      <c r="B11" s="1" t="s">
        <v>18</v>
      </c>
      <c r="G11" s="1" t="s">
        <v>19</v>
      </c>
      <c r="I11" s="1">
        <v>2020</v>
      </c>
      <c r="J11" s="1" t="s">
        <v>20</v>
      </c>
      <c r="K11" s="1">
        <v>1</v>
      </c>
      <c r="L11" s="3">
        <f>S11</f>
        <v>1453</v>
      </c>
      <c r="Q11" s="6">
        <f>T11</f>
        <v>1453</v>
      </c>
      <c r="R11" s="7">
        <f>V11</f>
        <v>1453</v>
      </c>
      <c r="S11" s="7">
        <f>X11</f>
        <v>1453</v>
      </c>
      <c r="T11" s="1">
        <v>1453</v>
      </c>
      <c r="U11" s="8">
        <v>15587.85</v>
      </c>
      <c r="V11" s="9">
        <f>T11</f>
        <v>1453</v>
      </c>
      <c r="W11" s="10">
        <v>15587.85</v>
      </c>
      <c r="X11" s="9">
        <f>V11</f>
        <v>1453</v>
      </c>
      <c r="Y11" s="8">
        <v>15587.85</v>
      </c>
      <c r="Z11" s="9"/>
      <c r="AA11" s="9"/>
      <c r="AB11" s="14"/>
      <c r="AC11" s="1" t="s">
        <v>21</v>
      </c>
      <c r="AH11" s="1" t="s">
        <v>22</v>
      </c>
      <c r="AJ11" s="1">
        <v>2020</v>
      </c>
      <c r="AK11" s="1" t="s">
        <v>20</v>
      </c>
      <c r="AL11" s="1">
        <v>1</v>
      </c>
      <c r="AM11" s="3">
        <f>AT11</f>
        <v>8304</v>
      </c>
      <c r="AR11" s="6">
        <f>AU11</f>
        <v>8304</v>
      </c>
      <c r="AS11" s="7">
        <f>AW11</f>
        <v>8304</v>
      </c>
      <c r="AT11" s="7">
        <f>AY11</f>
        <v>8304</v>
      </c>
      <c r="AU11" s="1">
        <v>8304</v>
      </c>
      <c r="AV11" s="8">
        <v>8358.32</v>
      </c>
      <c r="AW11" s="9">
        <f>AU11</f>
        <v>8304</v>
      </c>
      <c r="AX11" s="8">
        <v>8358.32</v>
      </c>
      <c r="AY11" s="9">
        <f>AW11</f>
        <v>8304</v>
      </c>
      <c r="AZ11" s="8">
        <v>8358.32</v>
      </c>
    </row>
    <row r="12" spans="7:52">
      <c r="G12" s="1" t="str">
        <f t="shared" ref="G12:G75" si="0">G11</f>
        <v>NetCO2_ELC</v>
      </c>
      <c r="I12" s="1">
        <v>2021</v>
      </c>
      <c r="J12" s="1" t="s">
        <v>20</v>
      </c>
      <c r="K12" s="1">
        <v>1</v>
      </c>
      <c r="L12" s="3">
        <f t="shared" ref="L12:L41" si="1">S12</f>
        <v>1382.06517730155</v>
      </c>
      <c r="Q12" s="6">
        <f t="shared" ref="Q12:S12" si="2">Q11-(Q11-Q26)/15</f>
        <v>1448.06582998938</v>
      </c>
      <c r="R12" s="6">
        <f t="shared" si="2"/>
        <v>1435.57010859954</v>
      </c>
      <c r="S12" s="6">
        <f t="shared" si="2"/>
        <v>1382.06517730155</v>
      </c>
      <c r="AH12" s="1" t="str">
        <f t="shared" ref="AH12:AH75" si="3">AH11</f>
        <v>NetCO2_TRA</v>
      </c>
      <c r="AJ12" s="1">
        <v>2021</v>
      </c>
      <c r="AK12" s="1" t="s">
        <v>20</v>
      </c>
      <c r="AL12" s="1">
        <v>1</v>
      </c>
      <c r="AM12" s="3">
        <f t="shared" ref="AM12:AM41" si="4">AT12</f>
        <v>8097.81275854478</v>
      </c>
      <c r="AR12" s="6">
        <f t="shared" ref="AR12:AT12" si="5">AR11-(AR11-AR26)/15</f>
        <v>8336.95840503833</v>
      </c>
      <c r="AS12" s="6">
        <f t="shared" si="5"/>
        <v>8310.12857703462</v>
      </c>
      <c r="AT12" s="6">
        <f t="shared" si="5"/>
        <v>8097.81275854478</v>
      </c>
      <c r="AV12" s="8">
        <v>8855.93</v>
      </c>
      <c r="AX12" s="8">
        <v>8450.85</v>
      </c>
      <c r="AZ12" s="8">
        <v>5245.28</v>
      </c>
    </row>
    <row r="13" spans="7:52">
      <c r="G13" s="1" t="str">
        <f t="shared" si="0"/>
        <v>NetCO2_ELC</v>
      </c>
      <c r="I13" s="1">
        <v>2022</v>
      </c>
      <c r="J13" s="1" t="s">
        <v>20</v>
      </c>
      <c r="K13" s="1">
        <v>1</v>
      </c>
      <c r="L13" s="3">
        <f t="shared" si="1"/>
        <v>1311.1303546031</v>
      </c>
      <c r="Q13" s="6">
        <f t="shared" ref="Q13:S13" si="6">Q12-Q11+Q12</f>
        <v>1443.13165997877</v>
      </c>
      <c r="R13" s="6">
        <f t="shared" si="6"/>
        <v>1418.14021719908</v>
      </c>
      <c r="S13" s="6">
        <f t="shared" si="6"/>
        <v>1311.1303546031</v>
      </c>
      <c r="AH13" s="1" t="str">
        <f t="shared" si="3"/>
        <v>NetCO2_TRA</v>
      </c>
      <c r="AJ13" s="1">
        <v>2022</v>
      </c>
      <c r="AK13" s="1" t="s">
        <v>20</v>
      </c>
      <c r="AL13" s="1">
        <v>1</v>
      </c>
      <c r="AM13" s="3">
        <f t="shared" si="4"/>
        <v>7891.62551708956</v>
      </c>
      <c r="AR13" s="6">
        <f t="shared" ref="AR13:AT13" si="7">AR12-AR11+AR12</f>
        <v>8369.91681007667</v>
      </c>
      <c r="AS13" s="6">
        <f t="shared" si="7"/>
        <v>8316.25715406924</v>
      </c>
      <c r="AT13" s="6">
        <f t="shared" si="7"/>
        <v>7891.62551708956</v>
      </c>
      <c r="AV13" s="8">
        <v>9016.87</v>
      </c>
      <c r="AX13" s="8">
        <v>8201.3</v>
      </c>
      <c r="AZ13" s="8">
        <v>3254.48</v>
      </c>
    </row>
    <row r="14" spans="7:52">
      <c r="G14" s="1" t="str">
        <f t="shared" si="0"/>
        <v>NetCO2_ELC</v>
      </c>
      <c r="I14" s="1">
        <v>2023</v>
      </c>
      <c r="J14" s="1" t="s">
        <v>20</v>
      </c>
      <c r="K14" s="1">
        <v>1</v>
      </c>
      <c r="L14" s="3">
        <f t="shared" si="1"/>
        <v>1240.19553190466</v>
      </c>
      <c r="Q14" s="6">
        <f t="shared" ref="Q14:S14" si="8">Q13-Q12+Q13</f>
        <v>1438.19748996815</v>
      </c>
      <c r="R14" s="6">
        <f t="shared" si="8"/>
        <v>1400.71032579862</v>
      </c>
      <c r="S14" s="6">
        <f t="shared" si="8"/>
        <v>1240.19553190466</v>
      </c>
      <c r="AB14" s="14"/>
      <c r="AH14" s="1" t="str">
        <f t="shared" si="3"/>
        <v>NetCO2_TRA</v>
      </c>
      <c r="AJ14" s="1">
        <v>2023</v>
      </c>
      <c r="AK14" s="1" t="s">
        <v>20</v>
      </c>
      <c r="AL14" s="1">
        <v>1</v>
      </c>
      <c r="AM14" s="3">
        <f t="shared" si="4"/>
        <v>7685.43827563434</v>
      </c>
      <c r="AR14" s="6">
        <f t="shared" ref="AR14:AT14" si="9">AR13-AR12+AR13</f>
        <v>8402.875215115</v>
      </c>
      <c r="AS14" s="6">
        <f t="shared" si="9"/>
        <v>8322.38573110386</v>
      </c>
      <c r="AT14" s="6">
        <f t="shared" si="9"/>
        <v>7685.43827563434</v>
      </c>
      <c r="AV14" s="8">
        <v>9625.7</v>
      </c>
      <c r="AX14" s="8">
        <v>7988.52</v>
      </c>
      <c r="AZ14" s="8">
        <v>892.73</v>
      </c>
    </row>
    <row r="15" spans="7:46">
      <c r="G15" s="1" t="str">
        <f t="shared" si="0"/>
        <v>NetCO2_ELC</v>
      </c>
      <c r="I15" s="1">
        <v>2024</v>
      </c>
      <c r="J15" s="1" t="s">
        <v>20</v>
      </c>
      <c r="K15" s="1">
        <v>1</v>
      </c>
      <c r="L15" s="3">
        <f t="shared" si="1"/>
        <v>1169.26070920621</v>
      </c>
      <c r="Q15" s="6">
        <f t="shared" ref="Q15:S15" si="10">Q14-Q13+Q14</f>
        <v>1433.26331995753</v>
      </c>
      <c r="R15" s="6">
        <f t="shared" si="10"/>
        <v>1383.28043439816</v>
      </c>
      <c r="S15" s="6">
        <f t="shared" si="10"/>
        <v>1169.26070920621</v>
      </c>
      <c r="AH15" s="1" t="str">
        <f t="shared" si="3"/>
        <v>NetCO2_TRA</v>
      </c>
      <c r="AJ15" s="1">
        <v>2024</v>
      </c>
      <c r="AK15" s="1" t="s">
        <v>20</v>
      </c>
      <c r="AL15" s="1">
        <v>1</v>
      </c>
      <c r="AM15" s="3">
        <f t="shared" si="4"/>
        <v>7479.25103417912</v>
      </c>
      <c r="AR15" s="6">
        <f t="shared" ref="AR15:AT15" si="11">AR14-AR13+AR14</f>
        <v>8435.83362015333</v>
      </c>
      <c r="AS15" s="6">
        <f t="shared" si="11"/>
        <v>8328.51430813848</v>
      </c>
      <c r="AT15" s="6">
        <f t="shared" si="11"/>
        <v>7479.25103417912</v>
      </c>
    </row>
    <row r="16" spans="7:46">
      <c r="G16" s="1" t="str">
        <f t="shared" si="0"/>
        <v>NetCO2_ELC</v>
      </c>
      <c r="I16" s="1">
        <v>2025</v>
      </c>
      <c r="J16" s="1" t="s">
        <v>20</v>
      </c>
      <c r="K16" s="1">
        <v>1</v>
      </c>
      <c r="L16" s="3">
        <f t="shared" si="1"/>
        <v>1098.32588650776</v>
      </c>
      <c r="Q16" s="6">
        <f t="shared" ref="Q16:S16" si="12">Q15-Q14+Q15</f>
        <v>1428.32914994691</v>
      </c>
      <c r="R16" s="6">
        <f t="shared" si="12"/>
        <v>1365.8505429977</v>
      </c>
      <c r="S16" s="6">
        <f t="shared" si="12"/>
        <v>1098.32588650776</v>
      </c>
      <c r="AH16" s="1" t="str">
        <f t="shared" si="3"/>
        <v>NetCO2_TRA</v>
      </c>
      <c r="AJ16" s="1">
        <v>2025</v>
      </c>
      <c r="AK16" s="1" t="s">
        <v>20</v>
      </c>
      <c r="AL16" s="1">
        <v>1</v>
      </c>
      <c r="AM16" s="3">
        <f t="shared" si="4"/>
        <v>7273.0637927239</v>
      </c>
      <c r="AR16" s="6">
        <f t="shared" ref="AR16:AT16" si="13">AR15-AR14+AR15</f>
        <v>8468.79202519166</v>
      </c>
      <c r="AS16" s="6">
        <f t="shared" si="13"/>
        <v>8334.6428851731</v>
      </c>
      <c r="AT16" s="6">
        <f t="shared" si="13"/>
        <v>7273.0637927239</v>
      </c>
    </row>
    <row r="17" spans="7:46">
      <c r="G17" s="1" t="str">
        <f t="shared" si="0"/>
        <v>NetCO2_ELC</v>
      </c>
      <c r="I17" s="1">
        <v>2026</v>
      </c>
      <c r="J17" s="1" t="s">
        <v>20</v>
      </c>
      <c r="K17" s="1">
        <v>1</v>
      </c>
      <c r="L17" s="3">
        <f t="shared" si="1"/>
        <v>1027.39106380931</v>
      </c>
      <c r="Q17" s="6">
        <f t="shared" ref="Q17:S17" si="14">Q16-Q15+Q16</f>
        <v>1423.3949799363</v>
      </c>
      <c r="R17" s="6">
        <f t="shared" si="14"/>
        <v>1348.42065159724</v>
      </c>
      <c r="S17" s="6">
        <f t="shared" si="14"/>
        <v>1027.39106380931</v>
      </c>
      <c r="AB17" s="14"/>
      <c r="AH17" s="1" t="str">
        <f t="shared" si="3"/>
        <v>NetCO2_TRA</v>
      </c>
      <c r="AJ17" s="1">
        <v>2026</v>
      </c>
      <c r="AK17" s="1" t="s">
        <v>20</v>
      </c>
      <c r="AL17" s="1">
        <v>1</v>
      </c>
      <c r="AM17" s="3">
        <f t="shared" si="4"/>
        <v>7066.87655126868</v>
      </c>
      <c r="AR17" s="6">
        <f t="shared" ref="AR17:AT17" si="15">AR16-AR15+AR16</f>
        <v>8501.75043023</v>
      </c>
      <c r="AS17" s="6">
        <f t="shared" si="15"/>
        <v>8340.77146220772</v>
      </c>
      <c r="AT17" s="6">
        <f t="shared" si="15"/>
        <v>7066.87655126868</v>
      </c>
    </row>
    <row r="18" spans="7:46">
      <c r="G18" s="1" t="str">
        <f t="shared" si="0"/>
        <v>NetCO2_ELC</v>
      </c>
      <c r="I18" s="1">
        <v>2027</v>
      </c>
      <c r="J18" s="1" t="s">
        <v>20</v>
      </c>
      <c r="K18" s="1">
        <v>1</v>
      </c>
      <c r="L18" s="3">
        <f t="shared" si="1"/>
        <v>956.456241110866</v>
      </c>
      <c r="Q18" s="6">
        <f t="shared" ref="Q18:S18" si="16">Q17-Q16+Q17</f>
        <v>1418.46080992568</v>
      </c>
      <c r="R18" s="6">
        <f t="shared" si="16"/>
        <v>1330.99076019678</v>
      </c>
      <c r="S18" s="6">
        <f t="shared" si="16"/>
        <v>956.456241110866</v>
      </c>
      <c r="AH18" s="1" t="str">
        <f t="shared" si="3"/>
        <v>NetCO2_TRA</v>
      </c>
      <c r="AJ18" s="1">
        <v>2027</v>
      </c>
      <c r="AK18" s="1" t="s">
        <v>20</v>
      </c>
      <c r="AL18" s="1">
        <v>1</v>
      </c>
      <c r="AM18" s="3">
        <f t="shared" si="4"/>
        <v>6860.68930981345</v>
      </c>
      <c r="AR18" s="6">
        <f t="shared" ref="AR18:AT18" si="17">AR17-AR16+AR17</f>
        <v>8534.70883526833</v>
      </c>
      <c r="AS18" s="6">
        <f t="shared" si="17"/>
        <v>8346.90003924234</v>
      </c>
      <c r="AT18" s="6">
        <f t="shared" si="17"/>
        <v>6860.68930981345</v>
      </c>
    </row>
    <row r="19" spans="7:46">
      <c r="G19" s="1" t="str">
        <f t="shared" si="0"/>
        <v>NetCO2_ELC</v>
      </c>
      <c r="I19" s="1">
        <v>2028</v>
      </c>
      <c r="J19" s="1" t="s">
        <v>20</v>
      </c>
      <c r="K19" s="1">
        <v>1</v>
      </c>
      <c r="L19" s="3">
        <f t="shared" si="1"/>
        <v>885.521418412418</v>
      </c>
      <c r="Q19" s="6">
        <f t="shared" ref="Q19:S19" si="18">Q18-Q17+Q18</f>
        <v>1413.52663991506</v>
      </c>
      <c r="R19" s="6">
        <f t="shared" si="18"/>
        <v>1313.56086879632</v>
      </c>
      <c r="S19" s="6">
        <f t="shared" si="18"/>
        <v>885.521418412418</v>
      </c>
      <c r="AH19" s="1" t="str">
        <f t="shared" si="3"/>
        <v>NetCO2_TRA</v>
      </c>
      <c r="AJ19" s="1">
        <v>2028</v>
      </c>
      <c r="AK19" s="1" t="s">
        <v>20</v>
      </c>
      <c r="AL19" s="1">
        <v>1</v>
      </c>
      <c r="AM19" s="3">
        <f t="shared" si="4"/>
        <v>6654.50206835823</v>
      </c>
      <c r="AR19" s="6">
        <f t="shared" ref="AR19:AT19" si="19">AR18-AR17+AR18</f>
        <v>8567.66724030666</v>
      </c>
      <c r="AS19" s="6">
        <f t="shared" si="19"/>
        <v>8353.02861627696</v>
      </c>
      <c r="AT19" s="6">
        <f t="shared" si="19"/>
        <v>6654.50206835823</v>
      </c>
    </row>
    <row r="20" spans="7:46">
      <c r="G20" s="1" t="str">
        <f t="shared" si="0"/>
        <v>NetCO2_ELC</v>
      </c>
      <c r="I20" s="1">
        <v>2029</v>
      </c>
      <c r="J20" s="1" t="s">
        <v>20</v>
      </c>
      <c r="K20" s="1">
        <v>1</v>
      </c>
      <c r="L20" s="3">
        <f t="shared" si="1"/>
        <v>814.58659571397</v>
      </c>
      <c r="Q20" s="6">
        <f t="shared" ref="Q20:S20" si="20">Q19-Q18+Q19</f>
        <v>1408.59246990445</v>
      </c>
      <c r="R20" s="6">
        <f t="shared" si="20"/>
        <v>1296.13097739586</v>
      </c>
      <c r="S20" s="6">
        <f t="shared" si="20"/>
        <v>814.58659571397</v>
      </c>
      <c r="AB20" s="14"/>
      <c r="AH20" s="1" t="str">
        <f t="shared" si="3"/>
        <v>NetCO2_TRA</v>
      </c>
      <c r="AJ20" s="1">
        <v>2029</v>
      </c>
      <c r="AK20" s="1" t="s">
        <v>20</v>
      </c>
      <c r="AL20" s="1">
        <v>1</v>
      </c>
      <c r="AM20" s="3">
        <f t="shared" si="4"/>
        <v>6448.31482690301</v>
      </c>
      <c r="AR20" s="6">
        <f t="shared" ref="AR20:AT20" si="21">AR19-AR18+AR19</f>
        <v>8600.625645345</v>
      </c>
      <c r="AS20" s="6">
        <f t="shared" si="21"/>
        <v>8359.15719331158</v>
      </c>
      <c r="AT20" s="6">
        <f t="shared" si="21"/>
        <v>6448.31482690301</v>
      </c>
    </row>
    <row r="21" spans="7:46">
      <c r="G21" s="1" t="str">
        <f t="shared" si="0"/>
        <v>NetCO2_ELC</v>
      </c>
      <c r="I21" s="1">
        <v>2030</v>
      </c>
      <c r="J21" s="1" t="s">
        <v>20</v>
      </c>
      <c r="K21" s="1">
        <v>1</v>
      </c>
      <c r="L21" s="3">
        <f t="shared" si="1"/>
        <v>743.651773015522</v>
      </c>
      <c r="Q21" s="6">
        <f t="shared" ref="Q21:S21" si="22">Q20-Q19+Q20</f>
        <v>1403.65829989383</v>
      </c>
      <c r="R21" s="6">
        <f t="shared" si="22"/>
        <v>1278.7010859954</v>
      </c>
      <c r="S21" s="6">
        <f t="shared" si="22"/>
        <v>743.651773015522</v>
      </c>
      <c r="AH21" s="1" t="str">
        <f t="shared" si="3"/>
        <v>NetCO2_TRA</v>
      </c>
      <c r="AJ21" s="1">
        <v>2030</v>
      </c>
      <c r="AK21" s="1" t="s">
        <v>20</v>
      </c>
      <c r="AL21" s="1">
        <v>1</v>
      </c>
      <c r="AM21" s="3">
        <f t="shared" si="4"/>
        <v>6242.12758544779</v>
      </c>
      <c r="AR21" s="6">
        <f t="shared" ref="AR21:AT21" si="23">AR20-AR19+AR20</f>
        <v>8633.58405038333</v>
      </c>
      <c r="AS21" s="6">
        <f t="shared" si="23"/>
        <v>8365.2857703462</v>
      </c>
      <c r="AT21" s="6">
        <f t="shared" si="23"/>
        <v>6242.12758544779</v>
      </c>
    </row>
    <row r="22" spans="7:46">
      <c r="G22" s="1" t="str">
        <f t="shared" si="0"/>
        <v>NetCO2_ELC</v>
      </c>
      <c r="I22" s="1">
        <v>2031</v>
      </c>
      <c r="J22" s="1" t="s">
        <v>20</v>
      </c>
      <c r="K22" s="1">
        <v>1</v>
      </c>
      <c r="L22" s="3">
        <f t="shared" si="1"/>
        <v>672.716950317075</v>
      </c>
      <c r="Q22" s="6">
        <f t="shared" ref="Q22:S22" si="24">Q21-Q20+Q21</f>
        <v>1398.72412988321</v>
      </c>
      <c r="R22" s="6">
        <f t="shared" si="24"/>
        <v>1261.27119459494</v>
      </c>
      <c r="S22" s="6">
        <f t="shared" si="24"/>
        <v>672.716950317075</v>
      </c>
      <c r="AH22" s="1" t="str">
        <f t="shared" si="3"/>
        <v>NetCO2_TRA</v>
      </c>
      <c r="AJ22" s="1">
        <v>2031</v>
      </c>
      <c r="AK22" s="1" t="s">
        <v>20</v>
      </c>
      <c r="AL22" s="1">
        <v>1</v>
      </c>
      <c r="AM22" s="3">
        <f t="shared" si="4"/>
        <v>6035.94034399257</v>
      </c>
      <c r="AR22" s="6">
        <f t="shared" ref="AR22:AT22" si="25">AR21-AR20+AR21</f>
        <v>8666.54245542166</v>
      </c>
      <c r="AS22" s="6">
        <f t="shared" si="25"/>
        <v>8371.41434738082</v>
      </c>
      <c r="AT22" s="6">
        <f t="shared" si="25"/>
        <v>6035.94034399257</v>
      </c>
    </row>
    <row r="23" spans="7:46">
      <c r="G23" s="1" t="str">
        <f t="shared" si="0"/>
        <v>NetCO2_ELC</v>
      </c>
      <c r="I23" s="1">
        <v>2032</v>
      </c>
      <c r="J23" s="1" t="s">
        <v>20</v>
      </c>
      <c r="K23" s="1">
        <v>1</v>
      </c>
      <c r="L23" s="3">
        <f t="shared" si="1"/>
        <v>601.782127618627</v>
      </c>
      <c r="Q23" s="6">
        <f t="shared" ref="Q23:S23" si="26">Q22-Q21+Q22</f>
        <v>1393.78995987259</v>
      </c>
      <c r="R23" s="6">
        <f t="shared" si="26"/>
        <v>1243.84130319448</v>
      </c>
      <c r="S23" s="6">
        <f t="shared" si="26"/>
        <v>601.782127618627</v>
      </c>
      <c r="AB23" s="14"/>
      <c r="AH23" s="1" t="str">
        <f t="shared" si="3"/>
        <v>NetCO2_TRA</v>
      </c>
      <c r="AJ23" s="1">
        <v>2032</v>
      </c>
      <c r="AK23" s="1" t="s">
        <v>20</v>
      </c>
      <c r="AL23" s="1">
        <v>1</v>
      </c>
      <c r="AM23" s="3">
        <f t="shared" si="4"/>
        <v>5829.75310253735</v>
      </c>
      <c r="AR23" s="6">
        <f t="shared" ref="AR23:AT23" si="27">AR22-AR21+AR22</f>
        <v>8699.50086045999</v>
      </c>
      <c r="AS23" s="6">
        <f t="shared" si="27"/>
        <v>8377.54292441544</v>
      </c>
      <c r="AT23" s="6">
        <f t="shared" si="27"/>
        <v>5829.75310253735</v>
      </c>
    </row>
    <row r="24" spans="7:46">
      <c r="G24" s="1" t="str">
        <f t="shared" si="0"/>
        <v>NetCO2_ELC</v>
      </c>
      <c r="I24" s="1">
        <v>2033</v>
      </c>
      <c r="J24" s="1" t="s">
        <v>20</v>
      </c>
      <c r="K24" s="1">
        <v>1</v>
      </c>
      <c r="L24" s="3">
        <f t="shared" si="1"/>
        <v>530.847304920179</v>
      </c>
      <c r="Q24" s="6">
        <f t="shared" ref="Q24:S24" si="28">Q23-Q22+Q23</f>
        <v>1388.85578986198</v>
      </c>
      <c r="R24" s="6">
        <f t="shared" si="28"/>
        <v>1226.41141179402</v>
      </c>
      <c r="S24" s="6">
        <f t="shared" si="28"/>
        <v>530.847304920179</v>
      </c>
      <c r="AH24" s="1" t="str">
        <f t="shared" si="3"/>
        <v>NetCO2_TRA</v>
      </c>
      <c r="AJ24" s="1">
        <v>2033</v>
      </c>
      <c r="AK24" s="1" t="s">
        <v>20</v>
      </c>
      <c r="AL24" s="1">
        <v>1</v>
      </c>
      <c r="AM24" s="3">
        <f t="shared" si="4"/>
        <v>5623.56586108213</v>
      </c>
      <c r="AR24" s="6">
        <f t="shared" ref="AR24:AT24" si="29">AR23-AR22+AR23</f>
        <v>8732.45926549833</v>
      </c>
      <c r="AS24" s="6">
        <f t="shared" si="29"/>
        <v>8383.67150145006</v>
      </c>
      <c r="AT24" s="6">
        <f t="shared" si="29"/>
        <v>5623.56586108213</v>
      </c>
    </row>
    <row r="25" spans="7:46">
      <c r="G25" s="1" t="str">
        <f t="shared" si="0"/>
        <v>NetCO2_ELC</v>
      </c>
      <c r="I25" s="1">
        <v>2034</v>
      </c>
      <c r="J25" s="1" t="s">
        <v>20</v>
      </c>
      <c r="K25" s="1">
        <v>1</v>
      </c>
      <c r="L25" s="3">
        <f t="shared" si="1"/>
        <v>459.912482221731</v>
      </c>
      <c r="Q25" s="6">
        <f t="shared" ref="Q25:S25" si="30">Q24-Q23+Q24</f>
        <v>1383.92161985136</v>
      </c>
      <c r="R25" s="6">
        <f t="shared" si="30"/>
        <v>1208.98152039356</v>
      </c>
      <c r="S25" s="6">
        <f t="shared" si="30"/>
        <v>459.912482221731</v>
      </c>
      <c r="AH25" s="1" t="str">
        <f t="shared" si="3"/>
        <v>NetCO2_TRA</v>
      </c>
      <c r="AJ25" s="1">
        <v>2034</v>
      </c>
      <c r="AK25" s="1" t="s">
        <v>20</v>
      </c>
      <c r="AL25" s="1">
        <v>1</v>
      </c>
      <c r="AM25" s="3">
        <f t="shared" si="4"/>
        <v>5417.37861962691</v>
      </c>
      <c r="AR25" s="6">
        <f t="shared" ref="AR25:AT25" si="31">AR24-AR23+AR24</f>
        <v>8765.41767053666</v>
      </c>
      <c r="AS25" s="6">
        <f t="shared" si="31"/>
        <v>8389.80007848468</v>
      </c>
      <c r="AT25" s="6">
        <f t="shared" si="31"/>
        <v>5417.37861962691</v>
      </c>
    </row>
    <row r="26" spans="7:52">
      <c r="G26" s="1" t="str">
        <f t="shared" si="0"/>
        <v>NetCO2_ELC</v>
      </c>
      <c r="I26" s="4">
        <v>2035</v>
      </c>
      <c r="J26" s="4" t="s">
        <v>20</v>
      </c>
      <c r="K26" s="4">
        <v>1</v>
      </c>
      <c r="L26" s="3">
        <f t="shared" si="1"/>
        <v>388.977659523283</v>
      </c>
      <c r="Q26" s="6">
        <f>T26</f>
        <v>1378.98744984074</v>
      </c>
      <c r="R26" s="7">
        <f>V26</f>
        <v>1191.55162899309</v>
      </c>
      <c r="S26" s="7">
        <f>X26</f>
        <v>388.977659523283</v>
      </c>
      <c r="T26" s="3">
        <f t="shared" ref="T26:X26" si="32">T11*U26/U11</f>
        <v>1378.98744984074</v>
      </c>
      <c r="U26" s="8">
        <v>14793.84</v>
      </c>
      <c r="V26" s="3">
        <f t="shared" si="32"/>
        <v>1191.55162899309</v>
      </c>
      <c r="W26" s="10">
        <v>12783.02</v>
      </c>
      <c r="X26" s="3">
        <f t="shared" si="32"/>
        <v>388.977659523283</v>
      </c>
      <c r="Y26" s="8">
        <v>4172.97</v>
      </c>
      <c r="Z26" s="9"/>
      <c r="AA26" s="9"/>
      <c r="AB26" s="14"/>
      <c r="AH26" s="1" t="str">
        <f t="shared" si="3"/>
        <v>NetCO2_TRA</v>
      </c>
      <c r="AJ26" s="4">
        <v>2035</v>
      </c>
      <c r="AK26" s="4" t="s">
        <v>20</v>
      </c>
      <c r="AL26" s="4">
        <v>1</v>
      </c>
      <c r="AM26" s="3">
        <f t="shared" si="4"/>
        <v>5211.19137817169</v>
      </c>
      <c r="AR26" s="6">
        <f>AU26</f>
        <v>8798.376075575</v>
      </c>
      <c r="AS26" s="7">
        <f>AW26</f>
        <v>8395.92865551929</v>
      </c>
      <c r="AT26" s="7">
        <f>AY26</f>
        <v>5211.19137817169</v>
      </c>
      <c r="AU26" s="3">
        <f t="shared" ref="AU26:AY26" si="33">AU11*AV26/AV11</f>
        <v>8798.376075575</v>
      </c>
      <c r="AV26" s="8">
        <f t="shared" ref="AV26:AZ26" si="34">AV12</f>
        <v>8855.93</v>
      </c>
      <c r="AW26" s="3">
        <f t="shared" si="33"/>
        <v>8395.92865551929</v>
      </c>
      <c r="AX26" s="10">
        <f t="shared" si="34"/>
        <v>8450.85</v>
      </c>
      <c r="AY26" s="3">
        <f t="shared" si="33"/>
        <v>5211.19137817169</v>
      </c>
      <c r="AZ26" s="8">
        <f t="shared" si="34"/>
        <v>5245.28</v>
      </c>
    </row>
    <row r="27" spans="7:46">
      <c r="G27" s="1" t="str">
        <f t="shared" si="0"/>
        <v>NetCO2_ELC</v>
      </c>
      <c r="I27" s="1">
        <v>2036</v>
      </c>
      <c r="J27" s="1" t="s">
        <v>20</v>
      </c>
      <c r="K27" s="1">
        <v>1</v>
      </c>
      <c r="L27" s="3">
        <f t="shared" si="1"/>
        <v>318.756293908397</v>
      </c>
      <c r="Q27" s="6">
        <f t="shared" ref="Q27:S27" si="35">Q26-(Q26-Q31)/5</f>
        <v>1364.8488072441</v>
      </c>
      <c r="R27" s="6">
        <f t="shared" si="35"/>
        <v>1153.6606634013</v>
      </c>
      <c r="S27" s="6">
        <f t="shared" si="35"/>
        <v>318.756293908397</v>
      </c>
      <c r="AH27" s="1" t="str">
        <f t="shared" si="3"/>
        <v>NetCO2_TRA</v>
      </c>
      <c r="AJ27" s="1">
        <v>2036</v>
      </c>
      <c r="AK27" s="1" t="s">
        <v>20</v>
      </c>
      <c r="AL27" s="1">
        <v>1</v>
      </c>
      <c r="AM27" s="3">
        <f t="shared" si="4"/>
        <v>4815.61898563348</v>
      </c>
      <c r="AR27" s="6">
        <f t="shared" ref="AR27:AT27" si="36">AR26-(AR26-AR31)/5</f>
        <v>8830.3548885422</v>
      </c>
      <c r="AS27" s="6">
        <f t="shared" si="36"/>
        <v>8346.34301629993</v>
      </c>
      <c r="AT27" s="6">
        <f t="shared" si="36"/>
        <v>4815.61898563348</v>
      </c>
    </row>
    <row r="28" spans="7:46">
      <c r="G28" s="1" t="str">
        <f t="shared" si="0"/>
        <v>NetCO2_ELC</v>
      </c>
      <c r="I28" s="1">
        <v>2037</v>
      </c>
      <c r="J28" s="1" t="s">
        <v>20</v>
      </c>
      <c r="K28" s="1">
        <v>1</v>
      </c>
      <c r="L28" s="3">
        <f t="shared" si="1"/>
        <v>248.534928293511</v>
      </c>
      <c r="Q28" s="6">
        <f t="shared" ref="Q28:S28" si="37">Q27-Q26+Q27</f>
        <v>1350.71016464747</v>
      </c>
      <c r="R28" s="6">
        <f t="shared" si="37"/>
        <v>1115.76969780951</v>
      </c>
      <c r="S28" s="6">
        <f t="shared" si="37"/>
        <v>248.534928293511</v>
      </c>
      <c r="AH28" s="1" t="str">
        <f t="shared" si="3"/>
        <v>NetCO2_TRA</v>
      </c>
      <c r="AJ28" s="1">
        <v>2037</v>
      </c>
      <c r="AK28" s="1" t="s">
        <v>20</v>
      </c>
      <c r="AL28" s="1">
        <v>1</v>
      </c>
      <c r="AM28" s="3">
        <f t="shared" si="4"/>
        <v>4420.04659309526</v>
      </c>
      <c r="AR28" s="6">
        <f t="shared" ref="AR28:AT28" si="38">AR27-AR26+AR27</f>
        <v>8862.33370150939</v>
      </c>
      <c r="AS28" s="6">
        <f t="shared" si="38"/>
        <v>8296.75737708056</v>
      </c>
      <c r="AT28" s="6">
        <f t="shared" si="38"/>
        <v>4420.04659309526</v>
      </c>
    </row>
    <row r="29" spans="7:46">
      <c r="G29" s="1" t="str">
        <f t="shared" si="0"/>
        <v>NetCO2_ELC</v>
      </c>
      <c r="I29" s="1">
        <v>2038</v>
      </c>
      <c r="J29" s="1" t="s">
        <v>20</v>
      </c>
      <c r="K29" s="1">
        <v>1</v>
      </c>
      <c r="L29" s="3">
        <f t="shared" si="1"/>
        <v>178.313562678625</v>
      </c>
      <c r="Q29" s="6">
        <f t="shared" ref="Q29:S29" si="39">Q28-Q27+Q28</f>
        <v>1336.57152205083</v>
      </c>
      <c r="R29" s="6">
        <f t="shared" si="39"/>
        <v>1077.87873221772</v>
      </c>
      <c r="S29" s="6">
        <f t="shared" si="39"/>
        <v>178.313562678625</v>
      </c>
      <c r="AB29" s="14"/>
      <c r="AH29" s="1" t="str">
        <f t="shared" si="3"/>
        <v>NetCO2_TRA</v>
      </c>
      <c r="AJ29" s="1">
        <v>2038</v>
      </c>
      <c r="AK29" s="1" t="s">
        <v>20</v>
      </c>
      <c r="AL29" s="1">
        <v>1</v>
      </c>
      <c r="AM29" s="3">
        <f t="shared" si="4"/>
        <v>4024.47420055705</v>
      </c>
      <c r="AR29" s="6">
        <f t="shared" ref="AR29:AT29" si="40">AR28-AR27+AR28</f>
        <v>8894.31251447659</v>
      </c>
      <c r="AS29" s="6">
        <f t="shared" si="40"/>
        <v>8247.1717378612</v>
      </c>
      <c r="AT29" s="6">
        <f t="shared" si="40"/>
        <v>4024.47420055705</v>
      </c>
    </row>
    <row r="30" spans="7:46">
      <c r="G30" s="1" t="str">
        <f t="shared" si="0"/>
        <v>NetCO2_ELC</v>
      </c>
      <c r="I30" s="1">
        <v>2039</v>
      </c>
      <c r="J30" s="1" t="s">
        <v>20</v>
      </c>
      <c r="K30" s="1">
        <v>1</v>
      </c>
      <c r="L30" s="3">
        <f t="shared" si="1"/>
        <v>108.092197063739</v>
      </c>
      <c r="Q30" s="6">
        <f t="shared" ref="Q30:S30" si="41">Q29-Q28+Q29</f>
        <v>1322.43287945419</v>
      </c>
      <c r="R30" s="6">
        <f t="shared" si="41"/>
        <v>1039.98776662593</v>
      </c>
      <c r="S30" s="6">
        <f t="shared" si="41"/>
        <v>108.092197063739</v>
      </c>
      <c r="AH30" s="1" t="str">
        <f t="shared" si="3"/>
        <v>NetCO2_TRA</v>
      </c>
      <c r="AJ30" s="1">
        <v>2039</v>
      </c>
      <c r="AK30" s="1" t="s">
        <v>20</v>
      </c>
      <c r="AL30" s="1">
        <v>1</v>
      </c>
      <c r="AM30" s="3">
        <f t="shared" si="4"/>
        <v>3628.90180801884</v>
      </c>
      <c r="AR30" s="6">
        <f t="shared" ref="AR30:AT30" si="42">AR29-AR28+AR29</f>
        <v>8926.29132744379</v>
      </c>
      <c r="AS30" s="6">
        <f t="shared" si="42"/>
        <v>8197.58609864183</v>
      </c>
      <c r="AT30" s="6">
        <f t="shared" si="42"/>
        <v>3628.90180801884</v>
      </c>
    </row>
    <row r="31" spans="7:52">
      <c r="G31" s="1" t="str">
        <f t="shared" si="0"/>
        <v>NetCO2_ELC</v>
      </c>
      <c r="I31" s="4">
        <v>2040</v>
      </c>
      <c r="J31" s="4" t="s">
        <v>20</v>
      </c>
      <c r="K31" s="4">
        <v>1</v>
      </c>
      <c r="L31" s="3">
        <f t="shared" si="1"/>
        <v>37.8708314488528</v>
      </c>
      <c r="Q31" s="6">
        <f>T31</f>
        <v>1308.29423685755</v>
      </c>
      <c r="R31" s="7">
        <f>V31</f>
        <v>1002.09680103414</v>
      </c>
      <c r="S31" s="7">
        <f>X31</f>
        <v>37.8708314488528</v>
      </c>
      <c r="T31" s="3">
        <f t="shared" ref="T31:X31" si="43">T11*U31/U11</f>
        <v>1308.29423685755</v>
      </c>
      <c r="U31" s="8">
        <v>14035.44</v>
      </c>
      <c r="V31" s="3">
        <f t="shared" si="43"/>
        <v>1002.09680103414</v>
      </c>
      <c r="W31" s="10">
        <v>10750.54</v>
      </c>
      <c r="X31" s="3">
        <f t="shared" si="43"/>
        <v>37.8708314488528</v>
      </c>
      <c r="Y31" s="8">
        <v>406.28</v>
      </c>
      <c r="Z31" s="9"/>
      <c r="AA31" s="9"/>
      <c r="AH31" s="1" t="str">
        <f t="shared" si="3"/>
        <v>NetCO2_TRA</v>
      </c>
      <c r="AJ31" s="1">
        <v>2040</v>
      </c>
      <c r="AK31" s="1" t="s">
        <v>20</v>
      </c>
      <c r="AL31" s="1">
        <v>1</v>
      </c>
      <c r="AM31" s="3">
        <f t="shared" si="4"/>
        <v>3233.32941548062</v>
      </c>
      <c r="AR31" s="6">
        <f>AU31</f>
        <v>8958.27014041099</v>
      </c>
      <c r="AS31" s="7">
        <f>AW31</f>
        <v>8148.00045942247</v>
      </c>
      <c r="AT31" s="7">
        <f>AY31</f>
        <v>3233.32941548062</v>
      </c>
      <c r="AU31" s="3">
        <f t="shared" ref="AU31:AY31" si="44">AU11*AV31/AV11</f>
        <v>8958.27014041099</v>
      </c>
      <c r="AV31" s="8">
        <f t="shared" ref="AV31:AZ31" si="45">AV13</f>
        <v>9016.87</v>
      </c>
      <c r="AW31" s="3">
        <f t="shared" si="44"/>
        <v>8148.00045942247</v>
      </c>
      <c r="AX31" s="10">
        <f t="shared" si="45"/>
        <v>8201.3</v>
      </c>
      <c r="AY31" s="3">
        <f t="shared" si="44"/>
        <v>3233.32941548062</v>
      </c>
      <c r="AZ31" s="8">
        <f t="shared" si="45"/>
        <v>3254.48</v>
      </c>
    </row>
    <row r="32" spans="7:46">
      <c r="G32" s="1" t="str">
        <f t="shared" si="0"/>
        <v>NetCO2_ELC</v>
      </c>
      <c r="I32" s="1">
        <v>2041</v>
      </c>
      <c r="J32" s="1" t="s">
        <v>20</v>
      </c>
      <c r="K32" s="1">
        <v>1</v>
      </c>
      <c r="L32" s="3">
        <f t="shared" si="1"/>
        <v>34.0837483039675</v>
      </c>
      <c r="Q32" s="6">
        <f t="shared" ref="Q32:S32" si="46">Q31-(Q31-Q41)/10</f>
        <v>1296.86279756349</v>
      </c>
      <c r="R32" s="6">
        <f t="shared" si="46"/>
        <v>980.64004997482</v>
      </c>
      <c r="S32" s="6">
        <f t="shared" si="46"/>
        <v>34.0837483039675</v>
      </c>
      <c r="AB32" s="14"/>
      <c r="AH32" s="1" t="str">
        <f t="shared" si="3"/>
        <v>NetCO2_TRA</v>
      </c>
      <c r="AJ32" s="1">
        <v>2041</v>
      </c>
      <c r="AK32" s="1" t="s">
        <v>20</v>
      </c>
      <c r="AL32" s="1">
        <v>1</v>
      </c>
      <c r="AM32" s="3">
        <f t="shared" si="4"/>
        <v>2998.68929641363</v>
      </c>
      <c r="AR32" s="6">
        <f t="shared" ref="AR32:AT32" si="47">AR31-(AR31-AR41)/10</f>
        <v>9018.75746705079</v>
      </c>
      <c r="AS32" s="6">
        <f t="shared" si="47"/>
        <v>8126.86074330727</v>
      </c>
      <c r="AT32" s="6">
        <f t="shared" si="47"/>
        <v>2998.68929641363</v>
      </c>
    </row>
    <row r="33" spans="7:46">
      <c r="G33" s="1" t="str">
        <f t="shared" si="0"/>
        <v>NetCO2_ELC</v>
      </c>
      <c r="I33" s="1">
        <v>2042</v>
      </c>
      <c r="J33" s="1" t="s">
        <v>20</v>
      </c>
      <c r="K33" s="1">
        <v>1</v>
      </c>
      <c r="L33" s="3">
        <f t="shared" si="1"/>
        <v>30.2966651590822</v>
      </c>
      <c r="Q33" s="6">
        <f t="shared" ref="Q33:S33" si="48">Q32-Q31+Q32</f>
        <v>1285.43135826942</v>
      </c>
      <c r="R33" s="6">
        <f t="shared" si="48"/>
        <v>959.183298915501</v>
      </c>
      <c r="S33" s="6">
        <f t="shared" si="48"/>
        <v>30.2966651590822</v>
      </c>
      <c r="AH33" s="1" t="str">
        <f t="shared" si="3"/>
        <v>NetCO2_TRA</v>
      </c>
      <c r="AJ33" s="1">
        <v>2042</v>
      </c>
      <c r="AK33" s="1" t="s">
        <v>20</v>
      </c>
      <c r="AL33" s="1">
        <v>1</v>
      </c>
      <c r="AM33" s="3">
        <f t="shared" si="4"/>
        <v>2764.04917734664</v>
      </c>
      <c r="AR33" s="6">
        <f t="shared" ref="AR33:AT33" si="49">AR32-AR31+AR32</f>
        <v>9079.2447936906</v>
      </c>
      <c r="AS33" s="6">
        <f t="shared" si="49"/>
        <v>8105.72102719207</v>
      </c>
      <c r="AT33" s="6">
        <f t="shared" si="49"/>
        <v>2764.04917734664</v>
      </c>
    </row>
    <row r="34" spans="7:46">
      <c r="G34" s="1" t="str">
        <f t="shared" si="0"/>
        <v>NetCO2_ELC</v>
      </c>
      <c r="I34" s="1">
        <v>2043</v>
      </c>
      <c r="J34" s="1" t="s">
        <v>20</v>
      </c>
      <c r="K34" s="1">
        <v>1</v>
      </c>
      <c r="L34" s="3">
        <f t="shared" si="1"/>
        <v>26.509582014197</v>
      </c>
      <c r="Q34" s="6">
        <f t="shared" ref="Q34:S34" si="50">Q33-Q32+Q33</f>
        <v>1273.99991897536</v>
      </c>
      <c r="R34" s="6">
        <f t="shared" si="50"/>
        <v>937.726547856183</v>
      </c>
      <c r="S34" s="6">
        <f t="shared" si="50"/>
        <v>26.509582014197</v>
      </c>
      <c r="AH34" s="1" t="str">
        <f t="shared" si="3"/>
        <v>NetCO2_TRA</v>
      </c>
      <c r="AJ34" s="1">
        <v>2043</v>
      </c>
      <c r="AK34" s="1" t="s">
        <v>20</v>
      </c>
      <c r="AL34" s="1">
        <v>1</v>
      </c>
      <c r="AM34" s="3">
        <f t="shared" si="4"/>
        <v>2529.40905827965</v>
      </c>
      <c r="AR34" s="6">
        <f t="shared" ref="AR34:AT34" si="51">AR33-AR32+AR33</f>
        <v>9139.7321203304</v>
      </c>
      <c r="AS34" s="6">
        <f t="shared" si="51"/>
        <v>8084.58131107687</v>
      </c>
      <c r="AT34" s="6">
        <f t="shared" si="51"/>
        <v>2529.40905827965</v>
      </c>
    </row>
    <row r="35" spans="7:46">
      <c r="G35" s="1" t="str">
        <f t="shared" si="0"/>
        <v>NetCO2_ELC</v>
      </c>
      <c r="I35" s="1">
        <v>2044</v>
      </c>
      <c r="J35" s="1" t="s">
        <v>20</v>
      </c>
      <c r="K35" s="1">
        <v>1</v>
      </c>
      <c r="L35" s="3">
        <f t="shared" si="1"/>
        <v>22.7224988693117</v>
      </c>
      <c r="Q35" s="6">
        <f t="shared" ref="Q35:S35" si="52">Q34-Q33+Q34</f>
        <v>1262.56847968129</v>
      </c>
      <c r="R35" s="6">
        <f t="shared" si="52"/>
        <v>916.269796796864</v>
      </c>
      <c r="S35" s="6">
        <f t="shared" si="52"/>
        <v>22.7224988693117</v>
      </c>
      <c r="AB35" s="14"/>
      <c r="AH35" s="1" t="str">
        <f t="shared" si="3"/>
        <v>NetCO2_TRA</v>
      </c>
      <c r="AJ35" s="1">
        <v>2044</v>
      </c>
      <c r="AK35" s="1" t="s">
        <v>20</v>
      </c>
      <c r="AL35" s="1">
        <v>1</v>
      </c>
      <c r="AM35" s="3">
        <f t="shared" si="4"/>
        <v>2294.76893921267</v>
      </c>
      <c r="AR35" s="6">
        <f t="shared" ref="AR35:AT35" si="53">AR34-AR33+AR34</f>
        <v>9200.2194469702</v>
      </c>
      <c r="AS35" s="6">
        <f t="shared" si="53"/>
        <v>8063.44159496167</v>
      </c>
      <c r="AT35" s="6">
        <f t="shared" si="53"/>
        <v>2294.76893921267</v>
      </c>
    </row>
    <row r="36" spans="7:46">
      <c r="G36" s="1" t="str">
        <f t="shared" si="0"/>
        <v>NetCO2_ELC</v>
      </c>
      <c r="I36" s="1">
        <v>2045</v>
      </c>
      <c r="J36" s="1" t="s">
        <v>20</v>
      </c>
      <c r="K36" s="1">
        <v>1</v>
      </c>
      <c r="L36" s="3">
        <f t="shared" si="1"/>
        <v>18.9354157244264</v>
      </c>
      <c r="Q36" s="6">
        <f t="shared" ref="Q36:S36" si="54">Q35-Q34+Q35</f>
        <v>1251.13704038722</v>
      </c>
      <c r="R36" s="6">
        <f t="shared" si="54"/>
        <v>894.813045737546</v>
      </c>
      <c r="S36" s="6">
        <f t="shared" si="54"/>
        <v>18.9354157244264</v>
      </c>
      <c r="AH36" s="1" t="str">
        <f t="shared" si="3"/>
        <v>NetCO2_TRA</v>
      </c>
      <c r="AJ36" s="1">
        <v>2045</v>
      </c>
      <c r="AK36" s="1" t="s">
        <v>20</v>
      </c>
      <c r="AL36" s="1">
        <v>1</v>
      </c>
      <c r="AM36" s="3">
        <f t="shared" si="4"/>
        <v>2060.12882014568</v>
      </c>
      <c r="AR36" s="6">
        <f t="shared" ref="AR36:AT36" si="55">AR35-AR34+AR35</f>
        <v>9260.70677361001</v>
      </c>
      <c r="AS36" s="6">
        <f t="shared" si="55"/>
        <v>8042.30187884647</v>
      </c>
      <c r="AT36" s="6">
        <f t="shared" si="55"/>
        <v>2060.12882014568</v>
      </c>
    </row>
    <row r="37" spans="7:46">
      <c r="G37" s="1" t="str">
        <f t="shared" si="0"/>
        <v>NetCO2_ELC</v>
      </c>
      <c r="I37" s="1">
        <v>2046</v>
      </c>
      <c r="J37" s="1" t="s">
        <v>20</v>
      </c>
      <c r="K37" s="1">
        <v>1</v>
      </c>
      <c r="L37" s="3">
        <f t="shared" si="1"/>
        <v>15.1483325795411</v>
      </c>
      <c r="Q37" s="6">
        <f t="shared" ref="Q37:S37" si="56">Q36-Q35+Q36</f>
        <v>1239.70560109316</v>
      </c>
      <c r="R37" s="6">
        <f t="shared" si="56"/>
        <v>873.356294678227</v>
      </c>
      <c r="S37" s="6">
        <f t="shared" si="56"/>
        <v>15.1483325795411</v>
      </c>
      <c r="AH37" s="1" t="str">
        <f t="shared" si="3"/>
        <v>NetCO2_TRA</v>
      </c>
      <c r="AJ37" s="1">
        <v>2046</v>
      </c>
      <c r="AK37" s="1" t="s">
        <v>20</v>
      </c>
      <c r="AL37" s="1">
        <v>1</v>
      </c>
      <c r="AM37" s="3">
        <f t="shared" si="4"/>
        <v>1825.48870107869</v>
      </c>
      <c r="AR37" s="6">
        <f t="shared" ref="AR37:AT37" si="57">AR36-AR35+AR36</f>
        <v>9321.19410024981</v>
      </c>
      <c r="AS37" s="6">
        <f t="shared" si="57"/>
        <v>8021.16216273127</v>
      </c>
      <c r="AT37" s="6">
        <f t="shared" si="57"/>
        <v>1825.48870107869</v>
      </c>
    </row>
    <row r="38" spans="7:46">
      <c r="G38" s="1" t="str">
        <f t="shared" si="0"/>
        <v>NetCO2_ELC</v>
      </c>
      <c r="I38" s="1">
        <v>2047</v>
      </c>
      <c r="J38" s="1" t="s">
        <v>20</v>
      </c>
      <c r="K38" s="1">
        <v>1</v>
      </c>
      <c r="L38" s="3">
        <f t="shared" si="1"/>
        <v>11.3612494346558</v>
      </c>
      <c r="Q38" s="6">
        <f t="shared" ref="Q38:S38" si="58">Q37-Q36+Q37</f>
        <v>1228.27416179909</v>
      </c>
      <c r="R38" s="6">
        <f t="shared" si="58"/>
        <v>851.899543618908</v>
      </c>
      <c r="S38" s="6">
        <f t="shared" si="58"/>
        <v>11.3612494346558</v>
      </c>
      <c r="AB38" s="14"/>
      <c r="AH38" s="1" t="str">
        <f t="shared" si="3"/>
        <v>NetCO2_TRA</v>
      </c>
      <c r="AJ38" s="1">
        <v>2047</v>
      </c>
      <c r="AK38" s="1" t="s">
        <v>20</v>
      </c>
      <c r="AL38" s="1">
        <v>1</v>
      </c>
      <c r="AM38" s="3">
        <f t="shared" si="4"/>
        <v>1590.8485820117</v>
      </c>
      <c r="AR38" s="6">
        <f t="shared" ref="AR38:AT38" si="59">AR37-AR36+AR37</f>
        <v>9381.68142688961</v>
      </c>
      <c r="AS38" s="6">
        <f t="shared" si="59"/>
        <v>8000.02244661607</v>
      </c>
      <c r="AT38" s="6">
        <f t="shared" si="59"/>
        <v>1590.8485820117</v>
      </c>
    </row>
    <row r="39" spans="7:46">
      <c r="G39" s="1" t="str">
        <f t="shared" si="0"/>
        <v>NetCO2_ELC</v>
      </c>
      <c r="I39" s="1">
        <v>2048</v>
      </c>
      <c r="J39" s="1" t="s">
        <v>20</v>
      </c>
      <c r="K39" s="1">
        <v>1</v>
      </c>
      <c r="L39" s="3">
        <f t="shared" si="1"/>
        <v>7.57416628977055</v>
      </c>
      <c r="Q39" s="6">
        <f t="shared" ref="Q39:S39" si="60">Q38-Q37+Q38</f>
        <v>1216.84272250503</v>
      </c>
      <c r="R39" s="6">
        <f t="shared" si="60"/>
        <v>830.44279255959</v>
      </c>
      <c r="S39" s="6">
        <f t="shared" si="60"/>
        <v>7.57416628977055</v>
      </c>
      <c r="AH39" s="1" t="str">
        <f t="shared" si="3"/>
        <v>NetCO2_TRA</v>
      </c>
      <c r="AJ39" s="1">
        <v>2048</v>
      </c>
      <c r="AK39" s="1" t="s">
        <v>20</v>
      </c>
      <c r="AL39" s="1">
        <v>1</v>
      </c>
      <c r="AM39" s="3">
        <f t="shared" si="4"/>
        <v>1356.20846294471</v>
      </c>
      <c r="AR39" s="6">
        <f t="shared" ref="AR39:AT39" si="61">AR38-AR37+AR38</f>
        <v>9442.16875352941</v>
      </c>
      <c r="AS39" s="6">
        <f t="shared" si="61"/>
        <v>7978.88273050087</v>
      </c>
      <c r="AT39" s="6">
        <f t="shared" si="61"/>
        <v>1356.20846294471</v>
      </c>
    </row>
    <row r="40" spans="7:46">
      <c r="G40" s="1" t="str">
        <f t="shared" si="0"/>
        <v>NetCO2_ELC</v>
      </c>
      <c r="I40" s="1">
        <v>2049</v>
      </c>
      <c r="J40" s="1" t="s">
        <v>20</v>
      </c>
      <c r="K40" s="1">
        <v>1</v>
      </c>
      <c r="L40" s="3">
        <f t="shared" si="1"/>
        <v>3.78708314488527</v>
      </c>
      <c r="Q40" s="6">
        <f t="shared" ref="Q40:S40" si="62">Q39-Q38+Q39</f>
        <v>1205.41128321096</v>
      </c>
      <c r="R40" s="6">
        <f t="shared" si="62"/>
        <v>808.986041500271</v>
      </c>
      <c r="S40" s="6">
        <f t="shared" si="62"/>
        <v>3.78708314488527</v>
      </c>
      <c r="AH40" s="1" t="str">
        <f t="shared" si="3"/>
        <v>NetCO2_TRA</v>
      </c>
      <c r="AJ40" s="1">
        <v>2049</v>
      </c>
      <c r="AK40" s="1" t="s">
        <v>20</v>
      </c>
      <c r="AL40" s="1">
        <v>1</v>
      </c>
      <c r="AM40" s="3">
        <f t="shared" si="4"/>
        <v>1121.56834387772</v>
      </c>
      <c r="AR40" s="6">
        <f t="shared" ref="AR40:AT40" si="63">AR39-AR38+AR39</f>
        <v>9502.65608016922</v>
      </c>
      <c r="AS40" s="6">
        <f t="shared" si="63"/>
        <v>7957.74301438567</v>
      </c>
      <c r="AT40" s="6">
        <f t="shared" si="63"/>
        <v>1121.56834387772</v>
      </c>
    </row>
    <row r="41" spans="7:52">
      <c r="G41" s="1" t="str">
        <f t="shared" si="0"/>
        <v>NetCO2_ELC</v>
      </c>
      <c r="I41" s="4">
        <v>2050</v>
      </c>
      <c r="J41" s="4" t="s">
        <v>20</v>
      </c>
      <c r="K41" s="4">
        <v>1</v>
      </c>
      <c r="L41" s="5">
        <f t="shared" si="1"/>
        <v>0</v>
      </c>
      <c r="M41" s="3"/>
      <c r="N41" s="3"/>
      <c r="O41" s="3"/>
      <c r="P41" s="3"/>
      <c r="Q41" s="6">
        <f>T41</f>
        <v>1193.9798439169</v>
      </c>
      <c r="R41" s="7">
        <f>V41</f>
        <v>787.529290440952</v>
      </c>
      <c r="S41" s="11">
        <f>X41</f>
        <v>0</v>
      </c>
      <c r="T41" s="3">
        <f t="shared" ref="T41:X41" si="64">T11*U41/U11</f>
        <v>1193.9798439169</v>
      </c>
      <c r="U41" s="8">
        <v>12809.07</v>
      </c>
      <c r="V41" s="3">
        <f t="shared" si="64"/>
        <v>787.529290440952</v>
      </c>
      <c r="W41" s="10">
        <v>8448.65</v>
      </c>
      <c r="X41" s="5">
        <f t="shared" si="64"/>
        <v>0</v>
      </c>
      <c r="Y41" s="15">
        <f>0</f>
        <v>0</v>
      </c>
      <c r="Z41" s="16"/>
      <c r="AA41" s="16"/>
      <c r="AB41" s="14"/>
      <c r="AH41" s="1" t="str">
        <f t="shared" si="3"/>
        <v>NetCO2_TRA</v>
      </c>
      <c r="AJ41" s="4">
        <v>2050</v>
      </c>
      <c r="AK41" s="4" t="s">
        <v>20</v>
      </c>
      <c r="AL41" s="4">
        <v>1</v>
      </c>
      <c r="AM41" s="3">
        <f t="shared" si="4"/>
        <v>886.928224810728</v>
      </c>
      <c r="AN41" s="3"/>
      <c r="AO41" s="3"/>
      <c r="AP41" s="3"/>
      <c r="AR41" s="6">
        <f>AU41</f>
        <v>9563.14340680903</v>
      </c>
      <c r="AS41" s="7">
        <f>AW41</f>
        <v>7936.60329827047</v>
      </c>
      <c r="AT41" s="11">
        <f>AY41</f>
        <v>886.928224810728</v>
      </c>
      <c r="AU41" s="3">
        <f t="shared" ref="AU41:AY41" si="65">AU11*AV41/AV11</f>
        <v>9563.14340680903</v>
      </c>
      <c r="AV41" s="8">
        <f t="shared" ref="AV41:AZ41" si="66">AV14</f>
        <v>9625.7</v>
      </c>
      <c r="AW41" s="3">
        <f t="shared" si="65"/>
        <v>7936.60329827047</v>
      </c>
      <c r="AX41" s="10">
        <f t="shared" si="66"/>
        <v>7988.52</v>
      </c>
      <c r="AY41" s="5">
        <f t="shared" si="65"/>
        <v>886.928224810728</v>
      </c>
      <c r="AZ41" s="15">
        <f t="shared" si="66"/>
        <v>892.73</v>
      </c>
    </row>
    <row r="42" spans="7:47">
      <c r="G42" s="1" t="str">
        <f t="shared" si="0"/>
        <v>NetCO2_ELC</v>
      </c>
      <c r="I42" s="1">
        <v>2051</v>
      </c>
      <c r="J42" s="1" t="str">
        <f t="shared" ref="J42:L42" si="67">J41</f>
        <v>UP</v>
      </c>
      <c r="K42" s="1">
        <f t="shared" si="67"/>
        <v>1</v>
      </c>
      <c r="L42" s="1">
        <f t="shared" si="67"/>
        <v>0</v>
      </c>
      <c r="Q42" s="6"/>
      <c r="R42" s="6"/>
      <c r="S42" s="6"/>
      <c r="T42" s="12"/>
      <c r="AH42" s="1" t="str">
        <f t="shared" si="3"/>
        <v>NetCO2_TRA</v>
      </c>
      <c r="AJ42" s="1">
        <v>2051</v>
      </c>
      <c r="AK42" s="1" t="str">
        <f t="shared" ref="AK42:AM42" si="68">AK41</f>
        <v>UP</v>
      </c>
      <c r="AL42" s="1">
        <f t="shared" si="68"/>
        <v>1</v>
      </c>
      <c r="AM42" s="1">
        <f t="shared" si="68"/>
        <v>886.928224810728</v>
      </c>
      <c r="AR42" s="6"/>
      <c r="AS42" s="6"/>
      <c r="AT42" s="6"/>
      <c r="AU42" s="12"/>
    </row>
    <row r="43" spans="7:47">
      <c r="G43" s="1" t="str">
        <f t="shared" si="0"/>
        <v>NetCO2_ELC</v>
      </c>
      <c r="I43" s="1">
        <v>2052</v>
      </c>
      <c r="J43" s="1" t="str">
        <f t="shared" ref="J43:L43" si="69">J42</f>
        <v>UP</v>
      </c>
      <c r="K43" s="1">
        <f t="shared" si="69"/>
        <v>1</v>
      </c>
      <c r="L43" s="1">
        <f t="shared" si="69"/>
        <v>0</v>
      </c>
      <c r="Q43" s="6"/>
      <c r="R43" s="6"/>
      <c r="S43" s="6"/>
      <c r="T43" s="12"/>
      <c r="AH43" s="1" t="str">
        <f t="shared" si="3"/>
        <v>NetCO2_TRA</v>
      </c>
      <c r="AJ43" s="1">
        <v>2052</v>
      </c>
      <c r="AK43" s="1" t="str">
        <f t="shared" ref="AK43:AM43" si="70">AK42</f>
        <v>UP</v>
      </c>
      <c r="AL43" s="1">
        <f t="shared" si="70"/>
        <v>1</v>
      </c>
      <c r="AM43" s="1">
        <f t="shared" si="70"/>
        <v>886.928224810728</v>
      </c>
      <c r="AR43" s="6"/>
      <c r="AS43" s="6"/>
      <c r="AT43" s="6"/>
      <c r="AU43" s="12"/>
    </row>
    <row r="44" spans="7:47">
      <c r="G44" s="1" t="str">
        <f t="shared" si="0"/>
        <v>NetCO2_ELC</v>
      </c>
      <c r="I44" s="1">
        <v>2053</v>
      </c>
      <c r="J44" s="1" t="str">
        <f t="shared" ref="J44:L44" si="71">J43</f>
        <v>UP</v>
      </c>
      <c r="K44" s="1">
        <f t="shared" si="71"/>
        <v>1</v>
      </c>
      <c r="L44" s="1">
        <f t="shared" si="71"/>
        <v>0</v>
      </c>
      <c r="Q44" s="6"/>
      <c r="R44" s="6"/>
      <c r="S44" s="6"/>
      <c r="T44" s="12"/>
      <c r="AH44" s="1" t="str">
        <f t="shared" si="3"/>
        <v>NetCO2_TRA</v>
      </c>
      <c r="AJ44" s="1">
        <v>2053</v>
      </c>
      <c r="AK44" s="1" t="str">
        <f t="shared" ref="AK44:AM44" si="72">AK43</f>
        <v>UP</v>
      </c>
      <c r="AL44" s="1">
        <f t="shared" si="72"/>
        <v>1</v>
      </c>
      <c r="AM44" s="1">
        <f t="shared" si="72"/>
        <v>886.928224810728</v>
      </c>
      <c r="AR44" s="6"/>
      <c r="AS44" s="6"/>
      <c r="AT44" s="6"/>
      <c r="AU44" s="12"/>
    </row>
    <row r="45" spans="7:47">
      <c r="G45" s="1" t="str">
        <f t="shared" si="0"/>
        <v>NetCO2_ELC</v>
      </c>
      <c r="I45" s="1">
        <v>2054</v>
      </c>
      <c r="J45" s="1" t="str">
        <f t="shared" ref="J45:L45" si="73">J44</f>
        <v>UP</v>
      </c>
      <c r="K45" s="1">
        <f t="shared" si="73"/>
        <v>1</v>
      </c>
      <c r="L45" s="1">
        <f t="shared" si="73"/>
        <v>0</v>
      </c>
      <c r="Q45" s="6"/>
      <c r="R45" s="6"/>
      <c r="S45" s="6"/>
      <c r="T45" s="12"/>
      <c r="AH45" s="1" t="str">
        <f t="shared" si="3"/>
        <v>NetCO2_TRA</v>
      </c>
      <c r="AJ45" s="1">
        <v>2054</v>
      </c>
      <c r="AK45" s="1" t="str">
        <f t="shared" ref="AK45:AM45" si="74">AK44</f>
        <v>UP</v>
      </c>
      <c r="AL45" s="1">
        <f t="shared" si="74"/>
        <v>1</v>
      </c>
      <c r="AM45" s="1">
        <f t="shared" si="74"/>
        <v>886.928224810728</v>
      </c>
      <c r="AR45" s="6"/>
      <c r="AS45" s="6"/>
      <c r="AT45" s="6"/>
      <c r="AU45" s="12"/>
    </row>
    <row r="46" spans="7:47">
      <c r="G46" s="1" t="str">
        <f t="shared" si="0"/>
        <v>NetCO2_ELC</v>
      </c>
      <c r="I46" s="1">
        <v>2055</v>
      </c>
      <c r="J46" s="1" t="str">
        <f t="shared" ref="J46:L46" si="75">J45</f>
        <v>UP</v>
      </c>
      <c r="K46" s="1">
        <f t="shared" si="75"/>
        <v>1</v>
      </c>
      <c r="L46" s="1">
        <f t="shared" si="75"/>
        <v>0</v>
      </c>
      <c r="Q46" s="6"/>
      <c r="R46" s="6"/>
      <c r="S46" s="6"/>
      <c r="T46" s="12"/>
      <c r="AH46" s="1" t="str">
        <f t="shared" si="3"/>
        <v>NetCO2_TRA</v>
      </c>
      <c r="AJ46" s="1">
        <v>2055</v>
      </c>
      <c r="AK46" s="1" t="str">
        <f t="shared" ref="AK46:AM46" si="76">AK45</f>
        <v>UP</v>
      </c>
      <c r="AL46" s="1">
        <f t="shared" si="76"/>
        <v>1</v>
      </c>
      <c r="AM46" s="1">
        <f t="shared" si="76"/>
        <v>886.928224810728</v>
      </c>
      <c r="AR46" s="6"/>
      <c r="AS46" s="6"/>
      <c r="AT46" s="6"/>
      <c r="AU46" s="12"/>
    </row>
    <row r="47" spans="7:47">
      <c r="G47" s="1" t="str">
        <f t="shared" si="0"/>
        <v>NetCO2_ELC</v>
      </c>
      <c r="I47" s="1">
        <v>2056</v>
      </c>
      <c r="J47" s="1" t="str">
        <f t="shared" ref="J47:L47" si="77">J46</f>
        <v>UP</v>
      </c>
      <c r="K47" s="1">
        <f t="shared" si="77"/>
        <v>1</v>
      </c>
      <c r="L47" s="1">
        <f t="shared" si="77"/>
        <v>0</v>
      </c>
      <c r="Q47" s="6"/>
      <c r="R47" s="6"/>
      <c r="S47" s="6"/>
      <c r="T47" s="12"/>
      <c r="AH47" s="1" t="str">
        <f t="shared" si="3"/>
        <v>NetCO2_TRA</v>
      </c>
      <c r="AJ47" s="1">
        <v>2056</v>
      </c>
      <c r="AK47" s="1" t="str">
        <f t="shared" ref="AK47:AM47" si="78">AK46</f>
        <v>UP</v>
      </c>
      <c r="AL47" s="1">
        <f t="shared" si="78"/>
        <v>1</v>
      </c>
      <c r="AM47" s="1">
        <f t="shared" si="78"/>
        <v>886.928224810728</v>
      </c>
      <c r="AR47" s="6"/>
      <c r="AS47" s="6"/>
      <c r="AT47" s="6"/>
      <c r="AU47" s="12"/>
    </row>
    <row r="48" spans="7:47">
      <c r="G48" s="1" t="str">
        <f t="shared" si="0"/>
        <v>NetCO2_ELC</v>
      </c>
      <c r="I48" s="1">
        <v>2057</v>
      </c>
      <c r="J48" s="1" t="str">
        <f t="shared" ref="J48:L48" si="79">J47</f>
        <v>UP</v>
      </c>
      <c r="K48" s="1">
        <f t="shared" si="79"/>
        <v>1</v>
      </c>
      <c r="L48" s="1">
        <f t="shared" si="79"/>
        <v>0</v>
      </c>
      <c r="Q48" s="6"/>
      <c r="R48" s="6"/>
      <c r="S48" s="6"/>
      <c r="T48" s="12"/>
      <c r="AH48" s="1" t="str">
        <f t="shared" si="3"/>
        <v>NetCO2_TRA</v>
      </c>
      <c r="AJ48" s="1">
        <v>2057</v>
      </c>
      <c r="AK48" s="1" t="str">
        <f t="shared" ref="AK48:AM48" si="80">AK47</f>
        <v>UP</v>
      </c>
      <c r="AL48" s="1">
        <f t="shared" si="80"/>
        <v>1</v>
      </c>
      <c r="AM48" s="1">
        <f t="shared" si="80"/>
        <v>886.928224810728</v>
      </c>
      <c r="AR48" s="6"/>
      <c r="AS48" s="6"/>
      <c r="AT48" s="6"/>
      <c r="AU48" s="12"/>
    </row>
    <row r="49" spans="7:47">
      <c r="G49" s="1" t="str">
        <f t="shared" si="0"/>
        <v>NetCO2_ELC</v>
      </c>
      <c r="I49" s="1">
        <v>2058</v>
      </c>
      <c r="J49" s="1" t="str">
        <f t="shared" ref="J49:L49" si="81">J48</f>
        <v>UP</v>
      </c>
      <c r="K49" s="1">
        <f t="shared" si="81"/>
        <v>1</v>
      </c>
      <c r="L49" s="1">
        <f t="shared" si="81"/>
        <v>0</v>
      </c>
      <c r="Q49" s="6"/>
      <c r="R49" s="6"/>
      <c r="S49" s="6"/>
      <c r="T49" s="12"/>
      <c r="AH49" s="1" t="str">
        <f t="shared" si="3"/>
        <v>NetCO2_TRA</v>
      </c>
      <c r="AJ49" s="1">
        <v>2058</v>
      </c>
      <c r="AK49" s="1" t="str">
        <f t="shared" ref="AK49:AM49" si="82">AK48</f>
        <v>UP</v>
      </c>
      <c r="AL49" s="1">
        <f t="shared" si="82"/>
        <v>1</v>
      </c>
      <c r="AM49" s="1">
        <f t="shared" si="82"/>
        <v>886.928224810728</v>
      </c>
      <c r="AR49" s="6"/>
      <c r="AS49" s="6"/>
      <c r="AT49" s="6"/>
      <c r="AU49" s="12"/>
    </row>
    <row r="50" spans="7:47">
      <c r="G50" s="1" t="str">
        <f t="shared" si="0"/>
        <v>NetCO2_ELC</v>
      </c>
      <c r="I50" s="1">
        <v>2059</v>
      </c>
      <c r="J50" s="1" t="str">
        <f t="shared" ref="J50:L50" si="83">J49</f>
        <v>UP</v>
      </c>
      <c r="K50" s="1">
        <f t="shared" si="83"/>
        <v>1</v>
      </c>
      <c r="L50" s="1">
        <f t="shared" si="83"/>
        <v>0</v>
      </c>
      <c r="Q50" s="6"/>
      <c r="R50" s="6"/>
      <c r="S50" s="6"/>
      <c r="T50" s="12"/>
      <c r="AH50" s="1" t="str">
        <f t="shared" si="3"/>
        <v>NetCO2_TRA</v>
      </c>
      <c r="AJ50" s="1">
        <v>2059</v>
      </c>
      <c r="AK50" s="1" t="str">
        <f t="shared" ref="AK50:AM50" si="84">AK49</f>
        <v>UP</v>
      </c>
      <c r="AL50" s="1">
        <f t="shared" si="84"/>
        <v>1</v>
      </c>
      <c r="AM50" s="1">
        <f t="shared" si="84"/>
        <v>886.928224810728</v>
      </c>
      <c r="AR50" s="6"/>
      <c r="AS50" s="6"/>
      <c r="AT50" s="6"/>
      <c r="AU50" s="12"/>
    </row>
    <row r="51" spans="7:47">
      <c r="G51" s="1" t="str">
        <f t="shared" si="0"/>
        <v>NetCO2_ELC</v>
      </c>
      <c r="I51" s="1">
        <v>2060</v>
      </c>
      <c r="J51" s="1" t="str">
        <f t="shared" ref="J51:L51" si="85">J50</f>
        <v>UP</v>
      </c>
      <c r="K51" s="1">
        <f t="shared" si="85"/>
        <v>1</v>
      </c>
      <c r="L51" s="1">
        <f t="shared" si="85"/>
        <v>0</v>
      </c>
      <c r="Q51" s="6"/>
      <c r="R51" s="6"/>
      <c r="S51" s="6"/>
      <c r="T51" s="12"/>
      <c r="AH51" s="1" t="str">
        <f t="shared" si="3"/>
        <v>NetCO2_TRA</v>
      </c>
      <c r="AJ51" s="1">
        <v>2060</v>
      </c>
      <c r="AK51" s="1" t="str">
        <f t="shared" ref="AK51:AM51" si="86">AK50</f>
        <v>UP</v>
      </c>
      <c r="AL51" s="1">
        <f t="shared" si="86"/>
        <v>1</v>
      </c>
      <c r="AM51" s="1">
        <f t="shared" si="86"/>
        <v>886.928224810728</v>
      </c>
      <c r="AR51" s="6"/>
      <c r="AS51" s="6"/>
      <c r="AT51" s="6"/>
      <c r="AU51" s="12"/>
    </row>
    <row r="52" spans="7:47">
      <c r="G52" s="1" t="str">
        <f t="shared" si="0"/>
        <v>NetCO2_ELC</v>
      </c>
      <c r="I52" s="1">
        <v>2061</v>
      </c>
      <c r="J52" s="1" t="str">
        <f t="shared" ref="J52:L52" si="87">J51</f>
        <v>UP</v>
      </c>
      <c r="K52" s="1">
        <f t="shared" si="87"/>
        <v>1</v>
      </c>
      <c r="L52" s="1">
        <f t="shared" si="87"/>
        <v>0</v>
      </c>
      <c r="Q52" s="6"/>
      <c r="R52" s="6"/>
      <c r="S52" s="6"/>
      <c r="T52" s="12"/>
      <c r="AH52" s="1" t="str">
        <f t="shared" si="3"/>
        <v>NetCO2_TRA</v>
      </c>
      <c r="AJ52" s="1">
        <v>2061</v>
      </c>
      <c r="AK52" s="1" t="str">
        <f t="shared" ref="AK52:AM52" si="88">AK51</f>
        <v>UP</v>
      </c>
      <c r="AL52" s="1">
        <f t="shared" si="88"/>
        <v>1</v>
      </c>
      <c r="AM52" s="1">
        <f t="shared" si="88"/>
        <v>886.928224810728</v>
      </c>
      <c r="AR52" s="6"/>
      <c r="AS52" s="6"/>
      <c r="AT52" s="6"/>
      <c r="AU52" s="12"/>
    </row>
    <row r="53" spans="7:47">
      <c r="G53" s="1" t="str">
        <f t="shared" si="0"/>
        <v>NetCO2_ELC</v>
      </c>
      <c r="I53" s="1">
        <v>2062</v>
      </c>
      <c r="J53" s="1" t="str">
        <f t="shared" ref="J53:L53" si="89">J52</f>
        <v>UP</v>
      </c>
      <c r="K53" s="1">
        <f t="shared" si="89"/>
        <v>1</v>
      </c>
      <c r="L53" s="1">
        <f t="shared" si="89"/>
        <v>0</v>
      </c>
      <c r="Q53" s="6"/>
      <c r="R53" s="6"/>
      <c r="S53" s="6"/>
      <c r="T53" s="12"/>
      <c r="AH53" s="1" t="str">
        <f t="shared" si="3"/>
        <v>NetCO2_TRA</v>
      </c>
      <c r="AJ53" s="1">
        <v>2062</v>
      </c>
      <c r="AK53" s="1" t="str">
        <f t="shared" ref="AK53:AM53" si="90">AK52</f>
        <v>UP</v>
      </c>
      <c r="AL53" s="1">
        <f t="shared" si="90"/>
        <v>1</v>
      </c>
      <c r="AM53" s="1">
        <f t="shared" si="90"/>
        <v>886.928224810728</v>
      </c>
      <c r="AR53" s="6"/>
      <c r="AS53" s="6"/>
      <c r="AT53" s="6"/>
      <c r="AU53" s="12"/>
    </row>
    <row r="54" spans="7:47">
      <c r="G54" s="1" t="str">
        <f t="shared" si="0"/>
        <v>NetCO2_ELC</v>
      </c>
      <c r="I54" s="1">
        <v>2063</v>
      </c>
      <c r="J54" s="1" t="str">
        <f t="shared" ref="J54:L54" si="91">J53</f>
        <v>UP</v>
      </c>
      <c r="K54" s="1">
        <f t="shared" si="91"/>
        <v>1</v>
      </c>
      <c r="L54" s="1">
        <f t="shared" si="91"/>
        <v>0</v>
      </c>
      <c r="Q54" s="6"/>
      <c r="R54" s="6"/>
      <c r="S54" s="6"/>
      <c r="T54" s="12"/>
      <c r="AH54" s="1" t="str">
        <f t="shared" si="3"/>
        <v>NetCO2_TRA</v>
      </c>
      <c r="AJ54" s="1">
        <v>2063</v>
      </c>
      <c r="AK54" s="1" t="str">
        <f t="shared" ref="AK54:AM54" si="92">AK53</f>
        <v>UP</v>
      </c>
      <c r="AL54" s="1">
        <f t="shared" si="92"/>
        <v>1</v>
      </c>
      <c r="AM54" s="1">
        <f t="shared" si="92"/>
        <v>886.928224810728</v>
      </c>
      <c r="AR54" s="6"/>
      <c r="AS54" s="6"/>
      <c r="AT54" s="6"/>
      <c r="AU54" s="12"/>
    </row>
    <row r="55" spans="7:47">
      <c r="G55" s="1" t="str">
        <f t="shared" si="0"/>
        <v>NetCO2_ELC</v>
      </c>
      <c r="I55" s="1">
        <v>2064</v>
      </c>
      <c r="J55" s="1" t="str">
        <f t="shared" ref="J55:L55" si="93">J54</f>
        <v>UP</v>
      </c>
      <c r="K55" s="1">
        <f t="shared" si="93"/>
        <v>1</v>
      </c>
      <c r="L55" s="1">
        <f t="shared" si="93"/>
        <v>0</v>
      </c>
      <c r="Q55" s="6"/>
      <c r="R55" s="6"/>
      <c r="S55" s="6"/>
      <c r="T55" s="12"/>
      <c r="AH55" s="1" t="str">
        <f t="shared" si="3"/>
        <v>NetCO2_TRA</v>
      </c>
      <c r="AJ55" s="1">
        <v>2064</v>
      </c>
      <c r="AK55" s="1" t="str">
        <f t="shared" ref="AK55:AM55" si="94">AK54</f>
        <v>UP</v>
      </c>
      <c r="AL55" s="1">
        <f t="shared" si="94"/>
        <v>1</v>
      </c>
      <c r="AM55" s="1">
        <f t="shared" si="94"/>
        <v>886.928224810728</v>
      </c>
      <c r="AR55" s="6"/>
      <c r="AS55" s="6"/>
      <c r="AT55" s="6"/>
      <c r="AU55" s="12"/>
    </row>
    <row r="56" spans="7:47">
      <c r="G56" s="1" t="str">
        <f t="shared" si="0"/>
        <v>NetCO2_ELC</v>
      </c>
      <c r="I56" s="1">
        <v>2065</v>
      </c>
      <c r="J56" s="1" t="str">
        <f t="shared" ref="J56:L56" si="95">J55</f>
        <v>UP</v>
      </c>
      <c r="K56" s="1">
        <f t="shared" si="95"/>
        <v>1</v>
      </c>
      <c r="L56" s="1">
        <f t="shared" si="95"/>
        <v>0</v>
      </c>
      <c r="Q56" s="6"/>
      <c r="R56" s="6"/>
      <c r="S56" s="6"/>
      <c r="T56" s="12"/>
      <c r="AH56" s="1" t="str">
        <f t="shared" si="3"/>
        <v>NetCO2_TRA</v>
      </c>
      <c r="AJ56" s="1">
        <v>2065</v>
      </c>
      <c r="AK56" s="1" t="str">
        <f t="shared" ref="AK56:AM56" si="96">AK55</f>
        <v>UP</v>
      </c>
      <c r="AL56" s="1">
        <f t="shared" si="96"/>
        <v>1</v>
      </c>
      <c r="AM56" s="1">
        <f t="shared" si="96"/>
        <v>886.928224810728</v>
      </c>
      <c r="AR56" s="6"/>
      <c r="AS56" s="6"/>
      <c r="AT56" s="6"/>
      <c r="AU56" s="12"/>
    </row>
    <row r="57" spans="7:47">
      <c r="G57" s="1" t="str">
        <f t="shared" si="0"/>
        <v>NetCO2_ELC</v>
      </c>
      <c r="I57" s="1">
        <v>2066</v>
      </c>
      <c r="J57" s="1" t="str">
        <f t="shared" ref="J57:L57" si="97">J56</f>
        <v>UP</v>
      </c>
      <c r="K57" s="1">
        <f t="shared" si="97"/>
        <v>1</v>
      </c>
      <c r="L57" s="1">
        <f t="shared" si="97"/>
        <v>0</v>
      </c>
      <c r="Q57" s="6"/>
      <c r="R57" s="6"/>
      <c r="S57" s="6"/>
      <c r="T57" s="12"/>
      <c r="AH57" s="1" t="str">
        <f t="shared" si="3"/>
        <v>NetCO2_TRA</v>
      </c>
      <c r="AJ57" s="1">
        <v>2066</v>
      </c>
      <c r="AK57" s="1" t="str">
        <f t="shared" ref="AK57:AM57" si="98">AK56</f>
        <v>UP</v>
      </c>
      <c r="AL57" s="1">
        <f t="shared" si="98"/>
        <v>1</v>
      </c>
      <c r="AM57" s="1">
        <f t="shared" si="98"/>
        <v>886.928224810728</v>
      </c>
      <c r="AR57" s="6"/>
      <c r="AS57" s="6"/>
      <c r="AT57" s="6"/>
      <c r="AU57" s="12"/>
    </row>
    <row r="58" spans="7:47">
      <c r="G58" s="1" t="str">
        <f t="shared" si="0"/>
        <v>NetCO2_ELC</v>
      </c>
      <c r="I58" s="1">
        <v>2067</v>
      </c>
      <c r="J58" s="1" t="str">
        <f t="shared" ref="J58:L58" si="99">J57</f>
        <v>UP</v>
      </c>
      <c r="K58" s="1">
        <f t="shared" si="99"/>
        <v>1</v>
      </c>
      <c r="L58" s="1">
        <f t="shared" si="99"/>
        <v>0</v>
      </c>
      <c r="Q58" s="6"/>
      <c r="R58" s="6"/>
      <c r="S58" s="6"/>
      <c r="T58" s="12"/>
      <c r="AH58" s="1" t="str">
        <f t="shared" si="3"/>
        <v>NetCO2_TRA</v>
      </c>
      <c r="AJ58" s="1">
        <v>2067</v>
      </c>
      <c r="AK58" s="1" t="str">
        <f t="shared" ref="AK58:AM58" si="100">AK57</f>
        <v>UP</v>
      </c>
      <c r="AL58" s="1">
        <f t="shared" si="100"/>
        <v>1</v>
      </c>
      <c r="AM58" s="1">
        <f t="shared" si="100"/>
        <v>886.928224810728</v>
      </c>
      <c r="AR58" s="6"/>
      <c r="AS58" s="6"/>
      <c r="AT58" s="6"/>
      <c r="AU58" s="12"/>
    </row>
    <row r="59" spans="7:47">
      <c r="G59" s="1" t="str">
        <f t="shared" si="0"/>
        <v>NetCO2_ELC</v>
      </c>
      <c r="I59" s="1">
        <v>2068</v>
      </c>
      <c r="J59" s="1" t="str">
        <f t="shared" ref="J59:L59" si="101">J58</f>
        <v>UP</v>
      </c>
      <c r="K59" s="1">
        <f t="shared" si="101"/>
        <v>1</v>
      </c>
      <c r="L59" s="1">
        <f t="shared" si="101"/>
        <v>0</v>
      </c>
      <c r="Q59" s="6"/>
      <c r="R59" s="6"/>
      <c r="S59" s="6"/>
      <c r="T59" s="12"/>
      <c r="AH59" s="1" t="str">
        <f t="shared" si="3"/>
        <v>NetCO2_TRA</v>
      </c>
      <c r="AJ59" s="1">
        <v>2068</v>
      </c>
      <c r="AK59" s="1" t="str">
        <f t="shared" ref="AK59:AM59" si="102">AK58</f>
        <v>UP</v>
      </c>
      <c r="AL59" s="1">
        <f t="shared" si="102"/>
        <v>1</v>
      </c>
      <c r="AM59" s="1">
        <f t="shared" si="102"/>
        <v>886.928224810728</v>
      </c>
      <c r="AR59" s="6"/>
      <c r="AS59" s="6"/>
      <c r="AT59" s="6"/>
      <c r="AU59" s="12"/>
    </row>
    <row r="60" spans="7:47">
      <c r="G60" s="1" t="str">
        <f t="shared" si="0"/>
        <v>NetCO2_ELC</v>
      </c>
      <c r="I60" s="1">
        <v>2069</v>
      </c>
      <c r="J60" s="1" t="str">
        <f t="shared" ref="J60:L60" si="103">J59</f>
        <v>UP</v>
      </c>
      <c r="K60" s="1">
        <f t="shared" si="103"/>
        <v>1</v>
      </c>
      <c r="L60" s="1">
        <f t="shared" si="103"/>
        <v>0</v>
      </c>
      <c r="Q60" s="6"/>
      <c r="R60" s="6"/>
      <c r="S60" s="6"/>
      <c r="T60" s="12"/>
      <c r="AH60" s="1" t="str">
        <f t="shared" si="3"/>
        <v>NetCO2_TRA</v>
      </c>
      <c r="AJ60" s="1">
        <v>2069</v>
      </c>
      <c r="AK60" s="1" t="str">
        <f t="shared" ref="AK60:AM60" si="104">AK59</f>
        <v>UP</v>
      </c>
      <c r="AL60" s="1">
        <f t="shared" si="104"/>
        <v>1</v>
      </c>
      <c r="AM60" s="1">
        <f t="shared" si="104"/>
        <v>886.928224810728</v>
      </c>
      <c r="AR60" s="6"/>
      <c r="AS60" s="6"/>
      <c r="AT60" s="6"/>
      <c r="AU60" s="12"/>
    </row>
    <row r="61" spans="7:47">
      <c r="G61" s="1" t="str">
        <f t="shared" si="0"/>
        <v>NetCO2_ELC</v>
      </c>
      <c r="I61" s="1">
        <v>2070</v>
      </c>
      <c r="J61" s="1" t="str">
        <f t="shared" ref="J61:L61" si="105">J60</f>
        <v>UP</v>
      </c>
      <c r="K61" s="1">
        <f t="shared" si="105"/>
        <v>1</v>
      </c>
      <c r="L61" s="1">
        <f t="shared" si="105"/>
        <v>0</v>
      </c>
      <c r="Q61" s="6"/>
      <c r="R61" s="6"/>
      <c r="S61" s="6"/>
      <c r="T61" s="12"/>
      <c r="AH61" s="1" t="str">
        <f t="shared" si="3"/>
        <v>NetCO2_TRA</v>
      </c>
      <c r="AJ61" s="1">
        <v>2070</v>
      </c>
      <c r="AK61" s="1" t="str">
        <f t="shared" ref="AK61:AM61" si="106">AK60</f>
        <v>UP</v>
      </c>
      <c r="AL61" s="1">
        <f t="shared" si="106"/>
        <v>1</v>
      </c>
      <c r="AM61" s="1">
        <f t="shared" si="106"/>
        <v>886.928224810728</v>
      </c>
      <c r="AR61" s="6"/>
      <c r="AS61" s="6"/>
      <c r="AT61" s="6"/>
      <c r="AU61" s="12"/>
    </row>
    <row r="62" spans="7:47">
      <c r="G62" s="1" t="str">
        <f t="shared" si="0"/>
        <v>NetCO2_ELC</v>
      </c>
      <c r="I62" s="1">
        <v>2071</v>
      </c>
      <c r="J62" s="1" t="str">
        <f t="shared" ref="J62:L62" si="107">J61</f>
        <v>UP</v>
      </c>
      <c r="K62" s="1">
        <f t="shared" si="107"/>
        <v>1</v>
      </c>
      <c r="L62" s="1">
        <f t="shared" si="107"/>
        <v>0</v>
      </c>
      <c r="Q62" s="6"/>
      <c r="R62" s="6"/>
      <c r="S62" s="6"/>
      <c r="T62" s="12"/>
      <c r="AH62" s="1" t="str">
        <f t="shared" si="3"/>
        <v>NetCO2_TRA</v>
      </c>
      <c r="AJ62" s="1">
        <v>2071</v>
      </c>
      <c r="AK62" s="1" t="str">
        <f t="shared" ref="AK62:AM62" si="108">AK61</f>
        <v>UP</v>
      </c>
      <c r="AL62" s="1">
        <f t="shared" si="108"/>
        <v>1</v>
      </c>
      <c r="AM62" s="1">
        <f t="shared" si="108"/>
        <v>886.928224810728</v>
      </c>
      <c r="AR62" s="6"/>
      <c r="AS62" s="6"/>
      <c r="AT62" s="6"/>
      <c r="AU62" s="12"/>
    </row>
    <row r="63" spans="7:47">
      <c r="G63" s="1" t="str">
        <f t="shared" si="0"/>
        <v>NetCO2_ELC</v>
      </c>
      <c r="I63" s="1">
        <v>2072</v>
      </c>
      <c r="J63" s="1" t="str">
        <f t="shared" ref="J63:L63" si="109">J62</f>
        <v>UP</v>
      </c>
      <c r="K63" s="1">
        <f t="shared" si="109"/>
        <v>1</v>
      </c>
      <c r="L63" s="1">
        <f t="shared" si="109"/>
        <v>0</v>
      </c>
      <c r="Q63" s="6"/>
      <c r="R63" s="6"/>
      <c r="S63" s="6"/>
      <c r="T63" s="12"/>
      <c r="AH63" s="1" t="str">
        <f t="shared" si="3"/>
        <v>NetCO2_TRA</v>
      </c>
      <c r="AJ63" s="1">
        <v>2072</v>
      </c>
      <c r="AK63" s="1" t="str">
        <f t="shared" ref="AK63:AM63" si="110">AK62</f>
        <v>UP</v>
      </c>
      <c r="AL63" s="1">
        <f t="shared" si="110"/>
        <v>1</v>
      </c>
      <c r="AM63" s="1">
        <f t="shared" si="110"/>
        <v>886.928224810728</v>
      </c>
      <c r="AR63" s="6"/>
      <c r="AS63" s="6"/>
      <c r="AT63" s="6"/>
      <c r="AU63" s="12"/>
    </row>
    <row r="64" spans="7:47">
      <c r="G64" s="1" t="str">
        <f t="shared" si="0"/>
        <v>NetCO2_ELC</v>
      </c>
      <c r="I64" s="1">
        <v>2073</v>
      </c>
      <c r="J64" s="1" t="str">
        <f t="shared" ref="J64:L64" si="111">J63</f>
        <v>UP</v>
      </c>
      <c r="K64" s="1">
        <f t="shared" si="111"/>
        <v>1</v>
      </c>
      <c r="L64" s="1">
        <f t="shared" si="111"/>
        <v>0</v>
      </c>
      <c r="Q64" s="6"/>
      <c r="R64" s="6"/>
      <c r="S64" s="6"/>
      <c r="T64" s="12"/>
      <c r="AH64" s="1" t="str">
        <f t="shared" si="3"/>
        <v>NetCO2_TRA</v>
      </c>
      <c r="AJ64" s="1">
        <v>2073</v>
      </c>
      <c r="AK64" s="1" t="str">
        <f t="shared" ref="AK64:AM64" si="112">AK63</f>
        <v>UP</v>
      </c>
      <c r="AL64" s="1">
        <f t="shared" si="112"/>
        <v>1</v>
      </c>
      <c r="AM64" s="1">
        <f t="shared" si="112"/>
        <v>886.928224810728</v>
      </c>
      <c r="AR64" s="6"/>
      <c r="AS64" s="6"/>
      <c r="AT64" s="6"/>
      <c r="AU64" s="12"/>
    </row>
    <row r="65" spans="7:47">
      <c r="G65" s="1" t="str">
        <f t="shared" si="0"/>
        <v>NetCO2_ELC</v>
      </c>
      <c r="I65" s="1">
        <v>2074</v>
      </c>
      <c r="J65" s="1" t="str">
        <f t="shared" ref="J65:L65" si="113">J64</f>
        <v>UP</v>
      </c>
      <c r="K65" s="1">
        <f t="shared" si="113"/>
        <v>1</v>
      </c>
      <c r="L65" s="1">
        <f t="shared" si="113"/>
        <v>0</v>
      </c>
      <c r="Q65" s="6"/>
      <c r="R65" s="6"/>
      <c r="S65" s="6"/>
      <c r="T65" s="12"/>
      <c r="AH65" s="1" t="str">
        <f t="shared" si="3"/>
        <v>NetCO2_TRA</v>
      </c>
      <c r="AJ65" s="1">
        <v>2074</v>
      </c>
      <c r="AK65" s="1" t="str">
        <f t="shared" ref="AK65:AM65" si="114">AK64</f>
        <v>UP</v>
      </c>
      <c r="AL65" s="1">
        <f t="shared" si="114"/>
        <v>1</v>
      </c>
      <c r="AM65" s="1">
        <f t="shared" si="114"/>
        <v>886.928224810728</v>
      </c>
      <c r="AR65" s="6"/>
      <c r="AS65" s="6"/>
      <c r="AT65" s="6"/>
      <c r="AU65" s="12"/>
    </row>
    <row r="66" spans="7:47">
      <c r="G66" s="1" t="str">
        <f t="shared" si="0"/>
        <v>NetCO2_ELC</v>
      </c>
      <c r="I66" s="1">
        <v>2075</v>
      </c>
      <c r="J66" s="1" t="str">
        <f t="shared" ref="J66:L66" si="115">J65</f>
        <v>UP</v>
      </c>
      <c r="K66" s="1">
        <f t="shared" si="115"/>
        <v>1</v>
      </c>
      <c r="L66" s="1">
        <f t="shared" si="115"/>
        <v>0</v>
      </c>
      <c r="Q66" s="6"/>
      <c r="R66" s="6"/>
      <c r="S66" s="6"/>
      <c r="T66" s="12"/>
      <c r="AH66" s="1" t="str">
        <f t="shared" si="3"/>
        <v>NetCO2_TRA</v>
      </c>
      <c r="AJ66" s="1">
        <v>2075</v>
      </c>
      <c r="AK66" s="1" t="str">
        <f t="shared" ref="AK66:AM66" si="116">AK65</f>
        <v>UP</v>
      </c>
      <c r="AL66" s="1">
        <f t="shared" si="116"/>
        <v>1</v>
      </c>
      <c r="AM66" s="1">
        <f t="shared" si="116"/>
        <v>886.928224810728</v>
      </c>
      <c r="AR66" s="6"/>
      <c r="AS66" s="6"/>
      <c r="AT66" s="6"/>
      <c r="AU66" s="12"/>
    </row>
    <row r="67" spans="7:47">
      <c r="G67" s="1" t="str">
        <f t="shared" si="0"/>
        <v>NetCO2_ELC</v>
      </c>
      <c r="I67" s="1">
        <v>2076</v>
      </c>
      <c r="J67" s="1" t="str">
        <f t="shared" ref="J67:L67" si="117">J66</f>
        <v>UP</v>
      </c>
      <c r="K67" s="1">
        <f t="shared" si="117"/>
        <v>1</v>
      </c>
      <c r="L67" s="1">
        <f t="shared" si="117"/>
        <v>0</v>
      </c>
      <c r="Q67" s="6"/>
      <c r="R67" s="6"/>
      <c r="S67" s="6"/>
      <c r="T67" s="12"/>
      <c r="AH67" s="1" t="str">
        <f t="shared" si="3"/>
        <v>NetCO2_TRA</v>
      </c>
      <c r="AJ67" s="1">
        <v>2076</v>
      </c>
      <c r="AK67" s="1" t="str">
        <f t="shared" ref="AK67:AM67" si="118">AK66</f>
        <v>UP</v>
      </c>
      <c r="AL67" s="1">
        <f t="shared" si="118"/>
        <v>1</v>
      </c>
      <c r="AM67" s="1">
        <f t="shared" si="118"/>
        <v>886.928224810728</v>
      </c>
      <c r="AR67" s="6"/>
      <c r="AS67" s="6"/>
      <c r="AT67" s="6"/>
      <c r="AU67" s="12"/>
    </row>
    <row r="68" spans="7:47">
      <c r="G68" s="1" t="str">
        <f t="shared" si="0"/>
        <v>NetCO2_ELC</v>
      </c>
      <c r="I68" s="1">
        <v>2077</v>
      </c>
      <c r="J68" s="1" t="str">
        <f t="shared" ref="J68:L68" si="119">J67</f>
        <v>UP</v>
      </c>
      <c r="K68" s="1">
        <f t="shared" si="119"/>
        <v>1</v>
      </c>
      <c r="L68" s="1">
        <f t="shared" si="119"/>
        <v>0</v>
      </c>
      <c r="Q68" s="6"/>
      <c r="R68" s="6"/>
      <c r="S68" s="6"/>
      <c r="T68" s="12"/>
      <c r="AH68" s="1" t="str">
        <f t="shared" si="3"/>
        <v>NetCO2_TRA</v>
      </c>
      <c r="AJ68" s="1">
        <v>2077</v>
      </c>
      <c r="AK68" s="1" t="str">
        <f t="shared" ref="AK68:AM68" si="120">AK67</f>
        <v>UP</v>
      </c>
      <c r="AL68" s="1">
        <f t="shared" si="120"/>
        <v>1</v>
      </c>
      <c r="AM68" s="1">
        <f t="shared" si="120"/>
        <v>886.928224810728</v>
      </c>
      <c r="AR68" s="6"/>
      <c r="AS68" s="6"/>
      <c r="AT68" s="6"/>
      <c r="AU68" s="12"/>
    </row>
    <row r="69" spans="7:47">
      <c r="G69" s="1" t="str">
        <f t="shared" si="0"/>
        <v>NetCO2_ELC</v>
      </c>
      <c r="I69" s="1">
        <v>2078</v>
      </c>
      <c r="J69" s="1" t="str">
        <f t="shared" ref="J69:L69" si="121">J68</f>
        <v>UP</v>
      </c>
      <c r="K69" s="1">
        <f t="shared" si="121"/>
        <v>1</v>
      </c>
      <c r="L69" s="1">
        <f t="shared" si="121"/>
        <v>0</v>
      </c>
      <c r="Q69" s="6"/>
      <c r="R69" s="6"/>
      <c r="S69" s="6"/>
      <c r="T69" s="12"/>
      <c r="AH69" s="1" t="str">
        <f t="shared" si="3"/>
        <v>NetCO2_TRA</v>
      </c>
      <c r="AJ69" s="1">
        <v>2078</v>
      </c>
      <c r="AK69" s="1" t="str">
        <f t="shared" ref="AK69:AM69" si="122">AK68</f>
        <v>UP</v>
      </c>
      <c r="AL69" s="1">
        <f t="shared" si="122"/>
        <v>1</v>
      </c>
      <c r="AM69" s="1">
        <f t="shared" si="122"/>
        <v>886.928224810728</v>
      </c>
      <c r="AR69" s="6"/>
      <c r="AS69" s="6"/>
      <c r="AT69" s="6"/>
      <c r="AU69" s="12"/>
    </row>
    <row r="70" spans="7:47">
      <c r="G70" s="1" t="str">
        <f t="shared" si="0"/>
        <v>NetCO2_ELC</v>
      </c>
      <c r="I70" s="1">
        <v>2079</v>
      </c>
      <c r="J70" s="1" t="str">
        <f t="shared" ref="J70:L70" si="123">J69</f>
        <v>UP</v>
      </c>
      <c r="K70" s="1">
        <f t="shared" si="123"/>
        <v>1</v>
      </c>
      <c r="L70" s="1">
        <f t="shared" si="123"/>
        <v>0</v>
      </c>
      <c r="Q70" s="6"/>
      <c r="R70" s="6"/>
      <c r="S70" s="6"/>
      <c r="T70" s="12"/>
      <c r="AH70" s="1" t="str">
        <f t="shared" si="3"/>
        <v>NetCO2_TRA</v>
      </c>
      <c r="AJ70" s="1">
        <v>2079</v>
      </c>
      <c r="AK70" s="1" t="str">
        <f t="shared" ref="AK70:AM70" si="124">AK69</f>
        <v>UP</v>
      </c>
      <c r="AL70" s="1">
        <f t="shared" si="124"/>
        <v>1</v>
      </c>
      <c r="AM70" s="1">
        <f t="shared" si="124"/>
        <v>886.928224810728</v>
      </c>
      <c r="AR70" s="6"/>
      <c r="AS70" s="6"/>
      <c r="AT70" s="6"/>
      <c r="AU70" s="12"/>
    </row>
    <row r="71" spans="7:47">
      <c r="G71" s="1" t="str">
        <f t="shared" si="0"/>
        <v>NetCO2_ELC</v>
      </c>
      <c r="I71" s="1">
        <v>2080</v>
      </c>
      <c r="J71" s="1" t="str">
        <f t="shared" ref="J71:L71" si="125">J70</f>
        <v>UP</v>
      </c>
      <c r="K71" s="1">
        <f t="shared" si="125"/>
        <v>1</v>
      </c>
      <c r="L71" s="1">
        <f t="shared" si="125"/>
        <v>0</v>
      </c>
      <c r="Q71" s="6"/>
      <c r="R71" s="6"/>
      <c r="S71" s="6"/>
      <c r="T71" s="12"/>
      <c r="AH71" s="1" t="str">
        <f t="shared" si="3"/>
        <v>NetCO2_TRA</v>
      </c>
      <c r="AJ71" s="1">
        <v>2080</v>
      </c>
      <c r="AK71" s="1" t="str">
        <f t="shared" ref="AK71:AM71" si="126">AK70</f>
        <v>UP</v>
      </c>
      <c r="AL71" s="1">
        <f t="shared" si="126"/>
        <v>1</v>
      </c>
      <c r="AM71" s="1">
        <f t="shared" si="126"/>
        <v>886.928224810728</v>
      </c>
      <c r="AR71" s="6"/>
      <c r="AS71" s="6"/>
      <c r="AT71" s="6"/>
      <c r="AU71" s="12"/>
    </row>
    <row r="72" spans="7:47">
      <c r="G72" s="1" t="str">
        <f t="shared" si="0"/>
        <v>NetCO2_ELC</v>
      </c>
      <c r="I72" s="1">
        <v>2081</v>
      </c>
      <c r="J72" s="1" t="str">
        <f t="shared" ref="J72:L72" si="127">J71</f>
        <v>UP</v>
      </c>
      <c r="K72" s="1">
        <f t="shared" si="127"/>
        <v>1</v>
      </c>
      <c r="L72" s="1">
        <f t="shared" si="127"/>
        <v>0</v>
      </c>
      <c r="Q72" s="6"/>
      <c r="R72" s="6"/>
      <c r="S72" s="6"/>
      <c r="T72" s="12"/>
      <c r="AH72" s="1" t="str">
        <f t="shared" si="3"/>
        <v>NetCO2_TRA</v>
      </c>
      <c r="AJ72" s="1">
        <v>2081</v>
      </c>
      <c r="AK72" s="1" t="str">
        <f t="shared" ref="AK72:AM72" si="128">AK71</f>
        <v>UP</v>
      </c>
      <c r="AL72" s="1">
        <f t="shared" si="128"/>
        <v>1</v>
      </c>
      <c r="AM72" s="1">
        <f t="shared" si="128"/>
        <v>886.928224810728</v>
      </c>
      <c r="AR72" s="6"/>
      <c r="AS72" s="6"/>
      <c r="AT72" s="6"/>
      <c r="AU72" s="12"/>
    </row>
    <row r="73" spans="7:47">
      <c r="G73" s="1" t="str">
        <f t="shared" si="0"/>
        <v>NetCO2_ELC</v>
      </c>
      <c r="I73" s="1">
        <v>2082</v>
      </c>
      <c r="J73" s="1" t="str">
        <f t="shared" ref="J73:L73" si="129">J72</f>
        <v>UP</v>
      </c>
      <c r="K73" s="1">
        <f t="shared" si="129"/>
        <v>1</v>
      </c>
      <c r="L73" s="1">
        <f t="shared" si="129"/>
        <v>0</v>
      </c>
      <c r="Q73" s="6"/>
      <c r="R73" s="6"/>
      <c r="S73" s="6"/>
      <c r="T73" s="12"/>
      <c r="AH73" s="1" t="str">
        <f t="shared" si="3"/>
        <v>NetCO2_TRA</v>
      </c>
      <c r="AJ73" s="1">
        <v>2082</v>
      </c>
      <c r="AK73" s="1" t="str">
        <f t="shared" ref="AK73:AM73" si="130">AK72</f>
        <v>UP</v>
      </c>
      <c r="AL73" s="1">
        <f t="shared" si="130"/>
        <v>1</v>
      </c>
      <c r="AM73" s="1">
        <f t="shared" si="130"/>
        <v>886.928224810728</v>
      </c>
      <c r="AR73" s="6"/>
      <c r="AS73" s="6"/>
      <c r="AT73" s="6"/>
      <c r="AU73" s="12"/>
    </row>
    <row r="74" spans="7:47">
      <c r="G74" s="1" t="str">
        <f t="shared" si="0"/>
        <v>NetCO2_ELC</v>
      </c>
      <c r="I74" s="1">
        <v>2083</v>
      </c>
      <c r="J74" s="1" t="str">
        <f t="shared" ref="J74:L74" si="131">J73</f>
        <v>UP</v>
      </c>
      <c r="K74" s="1">
        <f t="shared" si="131"/>
        <v>1</v>
      </c>
      <c r="L74" s="1">
        <f t="shared" si="131"/>
        <v>0</v>
      </c>
      <c r="Q74" s="6"/>
      <c r="R74" s="6"/>
      <c r="S74" s="6"/>
      <c r="T74" s="12"/>
      <c r="AH74" s="1" t="str">
        <f t="shared" si="3"/>
        <v>NetCO2_TRA</v>
      </c>
      <c r="AJ74" s="1">
        <v>2083</v>
      </c>
      <c r="AK74" s="1" t="str">
        <f t="shared" ref="AK74:AM74" si="132">AK73</f>
        <v>UP</v>
      </c>
      <c r="AL74" s="1">
        <f t="shared" si="132"/>
        <v>1</v>
      </c>
      <c r="AM74" s="1">
        <f t="shared" si="132"/>
        <v>886.928224810728</v>
      </c>
      <c r="AR74" s="6"/>
      <c r="AS74" s="6"/>
      <c r="AT74" s="6"/>
      <c r="AU74" s="12"/>
    </row>
    <row r="75" spans="7:47">
      <c r="G75" s="1" t="str">
        <f t="shared" si="0"/>
        <v>NetCO2_ELC</v>
      </c>
      <c r="I75" s="1">
        <v>2084</v>
      </c>
      <c r="J75" s="1" t="str">
        <f t="shared" ref="J75:L75" si="133">J74</f>
        <v>UP</v>
      </c>
      <c r="K75" s="1">
        <f t="shared" si="133"/>
        <v>1</v>
      </c>
      <c r="L75" s="1">
        <f t="shared" si="133"/>
        <v>0</v>
      </c>
      <c r="Q75" s="6"/>
      <c r="R75" s="6"/>
      <c r="S75" s="6"/>
      <c r="T75" s="12"/>
      <c r="AH75" s="1" t="str">
        <f t="shared" si="3"/>
        <v>NetCO2_TRA</v>
      </c>
      <c r="AJ75" s="1">
        <v>2084</v>
      </c>
      <c r="AK75" s="1" t="str">
        <f t="shared" ref="AK75:AM75" si="134">AK74</f>
        <v>UP</v>
      </c>
      <c r="AL75" s="1">
        <f t="shared" si="134"/>
        <v>1</v>
      </c>
      <c r="AM75" s="1">
        <f t="shared" si="134"/>
        <v>886.928224810728</v>
      </c>
      <c r="AR75" s="6"/>
      <c r="AS75" s="6"/>
      <c r="AT75" s="6"/>
      <c r="AU75" s="12"/>
    </row>
    <row r="76" spans="7:47">
      <c r="G76" s="1" t="str">
        <f t="shared" ref="G76:L76" si="135">G75</f>
        <v>NetCO2_ELC</v>
      </c>
      <c r="I76" s="1">
        <v>2085</v>
      </c>
      <c r="J76" s="1" t="str">
        <f t="shared" si="135"/>
        <v>UP</v>
      </c>
      <c r="K76" s="1">
        <f t="shared" si="135"/>
        <v>1</v>
      </c>
      <c r="L76" s="1">
        <f t="shared" si="135"/>
        <v>0</v>
      </c>
      <c r="Q76" s="6"/>
      <c r="R76" s="6"/>
      <c r="S76" s="6"/>
      <c r="T76" s="12"/>
      <c r="AH76" s="1" t="str">
        <f t="shared" ref="AH76:AM76" si="136">AH75</f>
        <v>NetCO2_TRA</v>
      </c>
      <c r="AJ76" s="1">
        <v>2085</v>
      </c>
      <c r="AK76" s="1" t="str">
        <f t="shared" si="136"/>
        <v>UP</v>
      </c>
      <c r="AL76" s="1">
        <f t="shared" si="136"/>
        <v>1</v>
      </c>
      <c r="AM76" s="1">
        <f t="shared" si="136"/>
        <v>886.928224810728</v>
      </c>
      <c r="AR76" s="6"/>
      <c r="AS76" s="6"/>
      <c r="AT76" s="6"/>
      <c r="AU76" s="12"/>
    </row>
    <row r="77" spans="7:47">
      <c r="G77" s="1" t="str">
        <f t="shared" ref="G77:L77" si="137">G76</f>
        <v>NetCO2_ELC</v>
      </c>
      <c r="I77" s="1">
        <v>2086</v>
      </c>
      <c r="J77" s="1" t="str">
        <f t="shared" si="137"/>
        <v>UP</v>
      </c>
      <c r="K77" s="1">
        <f t="shared" si="137"/>
        <v>1</v>
      </c>
      <c r="L77" s="1">
        <f t="shared" si="137"/>
        <v>0</v>
      </c>
      <c r="Q77" s="6"/>
      <c r="R77" s="6"/>
      <c r="S77" s="6"/>
      <c r="T77" s="12"/>
      <c r="AH77" s="1" t="str">
        <f t="shared" ref="AH77:AM77" si="138">AH76</f>
        <v>NetCO2_TRA</v>
      </c>
      <c r="AJ77" s="1">
        <v>2086</v>
      </c>
      <c r="AK77" s="1" t="str">
        <f t="shared" si="138"/>
        <v>UP</v>
      </c>
      <c r="AL77" s="1">
        <f t="shared" si="138"/>
        <v>1</v>
      </c>
      <c r="AM77" s="1">
        <f t="shared" si="138"/>
        <v>886.928224810728</v>
      </c>
      <c r="AR77" s="6"/>
      <c r="AS77" s="6"/>
      <c r="AT77" s="6"/>
      <c r="AU77" s="12"/>
    </row>
    <row r="78" spans="7:47">
      <c r="G78" s="1" t="str">
        <f t="shared" ref="G78:L78" si="139">G77</f>
        <v>NetCO2_ELC</v>
      </c>
      <c r="I78" s="1">
        <v>2087</v>
      </c>
      <c r="J78" s="1" t="str">
        <f t="shared" si="139"/>
        <v>UP</v>
      </c>
      <c r="K78" s="1">
        <f t="shared" si="139"/>
        <v>1</v>
      </c>
      <c r="L78" s="1">
        <f t="shared" si="139"/>
        <v>0</v>
      </c>
      <c r="Q78" s="6"/>
      <c r="R78" s="6"/>
      <c r="S78" s="6"/>
      <c r="T78" s="12"/>
      <c r="AH78" s="1" t="str">
        <f t="shared" ref="AH78:AM78" si="140">AH77</f>
        <v>NetCO2_TRA</v>
      </c>
      <c r="AJ78" s="1">
        <v>2087</v>
      </c>
      <c r="AK78" s="1" t="str">
        <f t="shared" si="140"/>
        <v>UP</v>
      </c>
      <c r="AL78" s="1">
        <f t="shared" si="140"/>
        <v>1</v>
      </c>
      <c r="AM78" s="1">
        <f t="shared" si="140"/>
        <v>886.928224810728</v>
      </c>
      <c r="AR78" s="6"/>
      <c r="AS78" s="6"/>
      <c r="AT78" s="6"/>
      <c r="AU78" s="12"/>
    </row>
    <row r="79" spans="7:47">
      <c r="G79" s="1" t="str">
        <f t="shared" ref="G79:L79" si="141">G78</f>
        <v>NetCO2_ELC</v>
      </c>
      <c r="I79" s="1">
        <v>2088</v>
      </c>
      <c r="J79" s="1" t="str">
        <f t="shared" si="141"/>
        <v>UP</v>
      </c>
      <c r="K79" s="1">
        <f t="shared" si="141"/>
        <v>1</v>
      </c>
      <c r="L79" s="1">
        <f t="shared" si="141"/>
        <v>0</v>
      </c>
      <c r="Q79" s="6"/>
      <c r="R79" s="6"/>
      <c r="S79" s="6"/>
      <c r="T79" s="12"/>
      <c r="AH79" s="1" t="str">
        <f t="shared" ref="AH79:AM79" si="142">AH78</f>
        <v>NetCO2_TRA</v>
      </c>
      <c r="AJ79" s="1">
        <v>2088</v>
      </c>
      <c r="AK79" s="1" t="str">
        <f t="shared" si="142"/>
        <v>UP</v>
      </c>
      <c r="AL79" s="1">
        <f t="shared" si="142"/>
        <v>1</v>
      </c>
      <c r="AM79" s="1">
        <f t="shared" si="142"/>
        <v>886.928224810728</v>
      </c>
      <c r="AR79" s="6"/>
      <c r="AS79" s="6"/>
      <c r="AT79" s="6"/>
      <c r="AU79" s="12"/>
    </row>
    <row r="80" spans="7:47">
      <c r="G80" s="1" t="str">
        <f t="shared" ref="G80:L80" si="143">G79</f>
        <v>NetCO2_ELC</v>
      </c>
      <c r="I80" s="1">
        <v>2089</v>
      </c>
      <c r="J80" s="1" t="str">
        <f t="shared" si="143"/>
        <v>UP</v>
      </c>
      <c r="K80" s="1">
        <f t="shared" si="143"/>
        <v>1</v>
      </c>
      <c r="L80" s="1">
        <f t="shared" si="143"/>
        <v>0</v>
      </c>
      <c r="Q80" s="6"/>
      <c r="R80" s="6"/>
      <c r="S80" s="6"/>
      <c r="T80" s="12"/>
      <c r="AH80" s="1" t="str">
        <f t="shared" ref="AH80:AM80" si="144">AH79</f>
        <v>NetCO2_TRA</v>
      </c>
      <c r="AJ80" s="1">
        <v>2089</v>
      </c>
      <c r="AK80" s="1" t="str">
        <f t="shared" si="144"/>
        <v>UP</v>
      </c>
      <c r="AL80" s="1">
        <f t="shared" si="144"/>
        <v>1</v>
      </c>
      <c r="AM80" s="1">
        <f t="shared" si="144"/>
        <v>886.928224810728</v>
      </c>
      <c r="AR80" s="6"/>
      <c r="AS80" s="6"/>
      <c r="AT80" s="6"/>
      <c r="AU80" s="12"/>
    </row>
    <row r="81" spans="7:47">
      <c r="G81" s="1" t="str">
        <f t="shared" ref="G81:L81" si="145">G80</f>
        <v>NetCO2_ELC</v>
      </c>
      <c r="I81" s="1">
        <v>2090</v>
      </c>
      <c r="J81" s="1" t="str">
        <f t="shared" si="145"/>
        <v>UP</v>
      </c>
      <c r="K81" s="1">
        <f t="shared" si="145"/>
        <v>1</v>
      </c>
      <c r="L81" s="1">
        <f t="shared" si="145"/>
        <v>0</v>
      </c>
      <c r="Q81" s="6"/>
      <c r="R81" s="6"/>
      <c r="S81" s="6"/>
      <c r="T81" s="12"/>
      <c r="AH81" s="1" t="str">
        <f t="shared" ref="AH81:AM81" si="146">AH80</f>
        <v>NetCO2_TRA</v>
      </c>
      <c r="AJ81" s="1">
        <v>2090</v>
      </c>
      <c r="AK81" s="1" t="str">
        <f t="shared" si="146"/>
        <v>UP</v>
      </c>
      <c r="AL81" s="1">
        <f t="shared" si="146"/>
        <v>1</v>
      </c>
      <c r="AM81" s="1">
        <f t="shared" si="146"/>
        <v>886.928224810728</v>
      </c>
      <c r="AR81" s="6"/>
      <c r="AS81" s="6"/>
      <c r="AT81" s="6"/>
      <c r="AU81" s="12"/>
    </row>
    <row r="82" spans="7:47">
      <c r="G82" s="1" t="str">
        <f t="shared" ref="G82:L82" si="147">G81</f>
        <v>NetCO2_ELC</v>
      </c>
      <c r="I82" s="1">
        <v>2091</v>
      </c>
      <c r="J82" s="1" t="str">
        <f t="shared" si="147"/>
        <v>UP</v>
      </c>
      <c r="K82" s="1">
        <f t="shared" si="147"/>
        <v>1</v>
      </c>
      <c r="L82" s="1">
        <f t="shared" si="147"/>
        <v>0</v>
      </c>
      <c r="Q82" s="6"/>
      <c r="R82" s="6"/>
      <c r="S82" s="6"/>
      <c r="T82" s="12"/>
      <c r="AH82" s="1" t="str">
        <f t="shared" ref="AH82:AM82" si="148">AH81</f>
        <v>NetCO2_TRA</v>
      </c>
      <c r="AJ82" s="1">
        <v>2091</v>
      </c>
      <c r="AK82" s="1" t="str">
        <f t="shared" si="148"/>
        <v>UP</v>
      </c>
      <c r="AL82" s="1">
        <f t="shared" si="148"/>
        <v>1</v>
      </c>
      <c r="AM82" s="1">
        <f t="shared" si="148"/>
        <v>886.928224810728</v>
      </c>
      <c r="AR82" s="6"/>
      <c r="AS82" s="6"/>
      <c r="AT82" s="6"/>
      <c r="AU82" s="12"/>
    </row>
    <row r="83" spans="7:47">
      <c r="G83" s="1" t="str">
        <f t="shared" ref="G83:L83" si="149">G82</f>
        <v>NetCO2_ELC</v>
      </c>
      <c r="I83" s="1">
        <v>2092</v>
      </c>
      <c r="J83" s="1" t="str">
        <f t="shared" si="149"/>
        <v>UP</v>
      </c>
      <c r="K83" s="1">
        <f t="shared" si="149"/>
        <v>1</v>
      </c>
      <c r="L83" s="1">
        <f t="shared" si="149"/>
        <v>0</v>
      </c>
      <c r="Q83" s="6"/>
      <c r="R83" s="6"/>
      <c r="S83" s="6"/>
      <c r="T83" s="12"/>
      <c r="AH83" s="1" t="str">
        <f t="shared" ref="AH83:AM83" si="150">AH82</f>
        <v>NetCO2_TRA</v>
      </c>
      <c r="AJ83" s="1">
        <v>2092</v>
      </c>
      <c r="AK83" s="1" t="str">
        <f t="shared" si="150"/>
        <v>UP</v>
      </c>
      <c r="AL83" s="1">
        <f t="shared" si="150"/>
        <v>1</v>
      </c>
      <c r="AM83" s="1">
        <f t="shared" si="150"/>
        <v>886.928224810728</v>
      </c>
      <c r="AR83" s="6"/>
      <c r="AS83" s="6"/>
      <c r="AT83" s="6"/>
      <c r="AU83" s="12"/>
    </row>
    <row r="84" spans="7:47">
      <c r="G84" s="1" t="str">
        <f t="shared" ref="G84:L84" si="151">G83</f>
        <v>NetCO2_ELC</v>
      </c>
      <c r="I84" s="1">
        <v>2093</v>
      </c>
      <c r="J84" s="1" t="str">
        <f t="shared" si="151"/>
        <v>UP</v>
      </c>
      <c r="K84" s="1">
        <f t="shared" si="151"/>
        <v>1</v>
      </c>
      <c r="L84" s="1">
        <f t="shared" si="151"/>
        <v>0</v>
      </c>
      <c r="Q84" s="6"/>
      <c r="R84" s="6"/>
      <c r="S84" s="6"/>
      <c r="T84" s="12"/>
      <c r="AH84" s="1" t="str">
        <f t="shared" ref="AH84:AM84" si="152">AH83</f>
        <v>NetCO2_TRA</v>
      </c>
      <c r="AJ84" s="1">
        <v>2093</v>
      </c>
      <c r="AK84" s="1" t="str">
        <f t="shared" si="152"/>
        <v>UP</v>
      </c>
      <c r="AL84" s="1">
        <f t="shared" si="152"/>
        <v>1</v>
      </c>
      <c r="AM84" s="1">
        <f t="shared" si="152"/>
        <v>886.928224810728</v>
      </c>
      <c r="AR84" s="6"/>
      <c r="AS84" s="6"/>
      <c r="AT84" s="6"/>
      <c r="AU84" s="12"/>
    </row>
    <row r="85" spans="7:47">
      <c r="G85" s="1" t="str">
        <f t="shared" ref="G85:L85" si="153">G84</f>
        <v>NetCO2_ELC</v>
      </c>
      <c r="I85" s="1">
        <v>2094</v>
      </c>
      <c r="J85" s="1" t="str">
        <f t="shared" si="153"/>
        <v>UP</v>
      </c>
      <c r="K85" s="1">
        <f t="shared" si="153"/>
        <v>1</v>
      </c>
      <c r="L85" s="1">
        <f t="shared" si="153"/>
        <v>0</v>
      </c>
      <c r="Q85" s="6"/>
      <c r="R85" s="6"/>
      <c r="S85" s="6"/>
      <c r="T85" s="12"/>
      <c r="AH85" s="1" t="str">
        <f t="shared" ref="AH85:AM85" si="154">AH84</f>
        <v>NetCO2_TRA</v>
      </c>
      <c r="AJ85" s="1">
        <v>2094</v>
      </c>
      <c r="AK85" s="1" t="str">
        <f t="shared" si="154"/>
        <v>UP</v>
      </c>
      <c r="AL85" s="1">
        <f t="shared" si="154"/>
        <v>1</v>
      </c>
      <c r="AM85" s="1">
        <f t="shared" si="154"/>
        <v>886.928224810728</v>
      </c>
      <c r="AR85" s="6"/>
      <c r="AS85" s="6"/>
      <c r="AT85" s="6"/>
      <c r="AU85" s="12"/>
    </row>
    <row r="86" spans="7:47">
      <c r="G86" s="1" t="str">
        <f t="shared" ref="G86:L86" si="155">G85</f>
        <v>NetCO2_ELC</v>
      </c>
      <c r="I86" s="1">
        <v>2095</v>
      </c>
      <c r="J86" s="1" t="str">
        <f t="shared" si="155"/>
        <v>UP</v>
      </c>
      <c r="K86" s="1">
        <f t="shared" si="155"/>
        <v>1</v>
      </c>
      <c r="L86" s="1">
        <f t="shared" si="155"/>
        <v>0</v>
      </c>
      <c r="Q86" s="6"/>
      <c r="R86" s="6"/>
      <c r="S86" s="6"/>
      <c r="T86" s="12"/>
      <c r="AH86" s="1" t="str">
        <f t="shared" ref="AH86:AM86" si="156">AH85</f>
        <v>NetCO2_TRA</v>
      </c>
      <c r="AJ86" s="1">
        <v>2095</v>
      </c>
      <c r="AK86" s="1" t="str">
        <f t="shared" si="156"/>
        <v>UP</v>
      </c>
      <c r="AL86" s="1">
        <f t="shared" si="156"/>
        <v>1</v>
      </c>
      <c r="AM86" s="1">
        <f t="shared" si="156"/>
        <v>886.928224810728</v>
      </c>
      <c r="AR86" s="6"/>
      <c r="AS86" s="6"/>
      <c r="AT86" s="6"/>
      <c r="AU86" s="12"/>
    </row>
    <row r="87" spans="7:47">
      <c r="G87" s="1" t="str">
        <f t="shared" ref="G87:L87" si="157">G86</f>
        <v>NetCO2_ELC</v>
      </c>
      <c r="I87" s="1">
        <v>2096</v>
      </c>
      <c r="J87" s="1" t="str">
        <f t="shared" si="157"/>
        <v>UP</v>
      </c>
      <c r="K87" s="1">
        <f t="shared" si="157"/>
        <v>1</v>
      </c>
      <c r="L87" s="1">
        <f t="shared" si="157"/>
        <v>0</v>
      </c>
      <c r="Q87" s="6"/>
      <c r="R87" s="6"/>
      <c r="S87" s="6"/>
      <c r="T87" s="12"/>
      <c r="AH87" s="1" t="str">
        <f t="shared" ref="AH87:AM87" si="158">AH86</f>
        <v>NetCO2_TRA</v>
      </c>
      <c r="AJ87" s="1">
        <v>2096</v>
      </c>
      <c r="AK87" s="1" t="str">
        <f t="shared" si="158"/>
        <v>UP</v>
      </c>
      <c r="AL87" s="1">
        <f t="shared" si="158"/>
        <v>1</v>
      </c>
      <c r="AM87" s="1">
        <f t="shared" si="158"/>
        <v>886.928224810728</v>
      </c>
      <c r="AR87" s="6"/>
      <c r="AS87" s="6"/>
      <c r="AT87" s="6"/>
      <c r="AU87" s="12"/>
    </row>
    <row r="88" spans="7:47">
      <c r="G88" s="1" t="str">
        <f t="shared" ref="G88:L88" si="159">G87</f>
        <v>NetCO2_ELC</v>
      </c>
      <c r="I88" s="1">
        <v>2097</v>
      </c>
      <c r="J88" s="1" t="str">
        <f t="shared" si="159"/>
        <v>UP</v>
      </c>
      <c r="K88" s="1">
        <f t="shared" si="159"/>
        <v>1</v>
      </c>
      <c r="L88" s="1">
        <f t="shared" si="159"/>
        <v>0</v>
      </c>
      <c r="Q88" s="6"/>
      <c r="R88" s="6"/>
      <c r="S88" s="6"/>
      <c r="T88" s="12"/>
      <c r="AH88" s="1" t="str">
        <f t="shared" ref="AH88:AM88" si="160">AH87</f>
        <v>NetCO2_TRA</v>
      </c>
      <c r="AJ88" s="1">
        <v>2097</v>
      </c>
      <c r="AK88" s="1" t="str">
        <f t="shared" si="160"/>
        <v>UP</v>
      </c>
      <c r="AL88" s="1">
        <f t="shared" si="160"/>
        <v>1</v>
      </c>
      <c r="AM88" s="1">
        <f t="shared" si="160"/>
        <v>886.928224810728</v>
      </c>
      <c r="AR88" s="6"/>
      <c r="AS88" s="6"/>
      <c r="AT88" s="6"/>
      <c r="AU88" s="12"/>
    </row>
    <row r="89" spans="7:47">
      <c r="G89" s="1" t="str">
        <f t="shared" ref="G89:L89" si="161">G88</f>
        <v>NetCO2_ELC</v>
      </c>
      <c r="I89" s="1">
        <v>2098</v>
      </c>
      <c r="J89" s="1" t="str">
        <f t="shared" si="161"/>
        <v>UP</v>
      </c>
      <c r="K89" s="1">
        <f t="shared" si="161"/>
        <v>1</v>
      </c>
      <c r="L89" s="1">
        <f t="shared" si="161"/>
        <v>0</v>
      </c>
      <c r="Q89" s="6"/>
      <c r="R89" s="6"/>
      <c r="S89" s="6"/>
      <c r="T89" s="12"/>
      <c r="AH89" s="1" t="str">
        <f t="shared" ref="AH89:AM89" si="162">AH88</f>
        <v>NetCO2_TRA</v>
      </c>
      <c r="AJ89" s="1">
        <v>2098</v>
      </c>
      <c r="AK89" s="1" t="str">
        <f t="shared" si="162"/>
        <v>UP</v>
      </c>
      <c r="AL89" s="1">
        <f t="shared" si="162"/>
        <v>1</v>
      </c>
      <c r="AM89" s="1">
        <f t="shared" si="162"/>
        <v>886.928224810728</v>
      </c>
      <c r="AR89" s="6"/>
      <c r="AS89" s="6"/>
      <c r="AT89" s="6"/>
      <c r="AU89" s="12"/>
    </row>
    <row r="90" spans="7:47">
      <c r="G90" s="1" t="str">
        <f t="shared" ref="G90:L90" si="163">G89</f>
        <v>NetCO2_ELC</v>
      </c>
      <c r="I90" s="1">
        <v>2099</v>
      </c>
      <c r="J90" s="1" t="str">
        <f t="shared" si="163"/>
        <v>UP</v>
      </c>
      <c r="K90" s="1">
        <f t="shared" si="163"/>
        <v>1</v>
      </c>
      <c r="L90" s="1">
        <f t="shared" si="163"/>
        <v>0</v>
      </c>
      <c r="Q90" s="6"/>
      <c r="R90" s="6"/>
      <c r="S90" s="6"/>
      <c r="T90" s="12"/>
      <c r="AH90" s="1" t="str">
        <f t="shared" ref="AH90:AM90" si="164">AH89</f>
        <v>NetCO2_TRA</v>
      </c>
      <c r="AJ90" s="1">
        <v>2099</v>
      </c>
      <c r="AK90" s="1" t="str">
        <f t="shared" si="164"/>
        <v>UP</v>
      </c>
      <c r="AL90" s="1">
        <f t="shared" si="164"/>
        <v>1</v>
      </c>
      <c r="AM90" s="1">
        <f t="shared" si="164"/>
        <v>886.928224810728</v>
      </c>
      <c r="AR90" s="6"/>
      <c r="AS90" s="6"/>
      <c r="AT90" s="6"/>
      <c r="AU90" s="12"/>
    </row>
    <row r="91" spans="7:47">
      <c r="G91" s="1" t="str">
        <f t="shared" ref="G91:L91" si="165">G90</f>
        <v>NetCO2_ELC</v>
      </c>
      <c r="I91" s="1">
        <v>2100</v>
      </c>
      <c r="J91" s="1" t="str">
        <f t="shared" si="165"/>
        <v>UP</v>
      </c>
      <c r="K91" s="1">
        <f t="shared" si="165"/>
        <v>1</v>
      </c>
      <c r="L91" s="1">
        <f t="shared" si="165"/>
        <v>0</v>
      </c>
      <c r="Q91" s="6"/>
      <c r="R91" s="6"/>
      <c r="S91" s="6"/>
      <c r="T91" s="12"/>
      <c r="AH91" s="1" t="str">
        <f t="shared" ref="AH91:AM91" si="166">AH90</f>
        <v>NetCO2_TRA</v>
      </c>
      <c r="AJ91" s="1">
        <v>2100</v>
      </c>
      <c r="AK91" s="1" t="str">
        <f t="shared" si="166"/>
        <v>UP</v>
      </c>
      <c r="AL91" s="1">
        <f t="shared" si="166"/>
        <v>1</v>
      </c>
      <c r="AM91" s="1">
        <f t="shared" si="166"/>
        <v>886.928224810728</v>
      </c>
      <c r="AR91" s="6"/>
      <c r="AS91" s="6"/>
      <c r="AT91" s="6"/>
      <c r="AU91" s="1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2026-02-11T22:35:12Z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