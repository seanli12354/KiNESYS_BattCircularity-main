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9" activeTab="12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<sst xmlns="http://schemas.openxmlformats.org/spreadsheetml/2006/main" count="3971" uniqueCount="749">
  <si>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</si>
  <si>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</si>
  <si>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</si>
  <si>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</si>
  <si>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</si>
  <si>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</si>
  <si>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</si>
  <si>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</si>
  <si>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</si>
  <si>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</si>
  <si>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</si>
  <si>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</si>
  <si>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</si>
  <si>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</si>
  <si>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</si>
  <si>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</si>
  <si>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</si>
  <si>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</si>
  <si>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</si>
  <si>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</si>
  <si>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</si>
  <si>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</si>
  <si>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</si>
  <si>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</si>
  <si>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</si>
  <si>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</si>
  <si>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</si>
  <si>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</si>
  <si>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</si>
  <si>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</si>
  <si>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</si>
  <si>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</si>
  <si>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</si>
  <si>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</si>
  <si>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</si>
  <si>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</si>
  <si>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</si>
  <si>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</si>
  <si>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</si>
  <si>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</si>
  <si>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</si>
  <si>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</si>
  <si>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</si>
  <si>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</si>
  <si>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</si>
  <si>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</si>
  <si>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</si>
  <si>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</si>
  <si>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</si>
  <si>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</si>
  <si>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</si>
  <si>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</si>
  <si>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</si>
  <si>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</si>
  <si>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</si>
  <si>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</si>
  <si>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</si>
  <si>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</si>
  <si>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</si>
  <si>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</si>
  <si>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</si>
  <si>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</si>
  <si>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</si>
  <si>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</si>
  <si>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</si>
  <si>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</si>
  <si>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</si>
  <si>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</si>
  <si>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</si>
  <si>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</si>
  <si>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</si>
  <si>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</si>
  <si>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</si>
  <si>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</si>
  <si>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</si>
  <si>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</si>
  <si>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</si>
  <si>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</si>
  <si>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</si>
  <si>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</si>
  <si>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</si>
  <si>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</si>
  <si>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</si>
  <si>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</si>
  <si>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</si>
  <si>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</si>
  <si>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</si>
  <si>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</si>
  <si>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</si>
  <si>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</si>
  <si>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</si>
  <si>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</si>
  <si>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</si>
  <si>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</si>
  <si>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</si>
  <si>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</si>
  <si>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</si>
  <si>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</si>
  <si>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</si>
  <si>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</si>
  <si>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</si>
  <si>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</si>
  <si>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</si>
  <si>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</si>
  <si>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</si>
  <si>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</si>
  <si>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</si>
  <si>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</si>
  <si>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</si>
  <si>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</si>
  <si>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</si>
  <si>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</si>
  <si>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</si>
  <si>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</si>
  <si>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</si>
  <si>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</si>
  <si>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</si>
  <si>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</si>
  <si>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</si>
  <si>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</si>
  <si>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</si>
  <si>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</si>
  <si>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</si>
  <si>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</si>
  <si>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</si>
  <si>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</si>
  <si>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</si>
  <si>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</si>
  <si>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</si>
  <si>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</si>
  <si>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</si>
  <si>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</si>
  <si>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</si>
  <si>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</si>
  <si>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</si>
  <si>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</si>
  <si>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</si>
  <si>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</si>
  <si>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</si>
  <si>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</si>
  <si>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</si>
  <si>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</si>
  <si>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</si>
  <si>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</si>
  <si>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</si>
  <si>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</si>
  <si>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</si>
  <si>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</si>
  <si>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</si>
  <si>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</si>
  <si>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</si>
  <si>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</si>
  <si>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</si>
  <si>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</si>
  <si>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</si>
  <si>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</si>
  <si>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</si>
  <si>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</si>
  <si>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</si>
  <si>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</si>
  <si>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</si>
  <si>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</si>
  <si>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</si>
  <si>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</si>
  <si>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</si>
  <si>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</si>
  <si>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</si>
  <si>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</si>
  <si>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</si>
  <si>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</si>
  <si>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</si>
  <si>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</si>
  <si>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</si>
  <si>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</si>
  <si>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</si>
  <si>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</si>
  <si>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</si>
  <si>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</si>
  <si>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</si>
  <si>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</si>
  <si>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</si>
  <si>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</si>
  <si>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</si>
  <si>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</si>
  <si>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</si>
  <si>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</si>
  <si>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</si>
  <si>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</si>
  <si>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</si>
  <si>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</si>
  <si>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</si>
  <si>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</si>
  <si>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</si>
  <si>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</si>
  <si>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</si>
  <si>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</si>
  <si>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</si>
  <si>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</si>
  <si>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</si>
  <si>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</si>
  <si>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</si>
  <si>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</si>
  <si>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</si>
  <si>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</si>
  <si>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</si>
  <si>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</si>
  <si>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</si>
  <si>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</si>
  <si>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</si>
  <si>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</si>
  <si>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</si>
  <si>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</si>
  <si>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</si>
  <si>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</si>
  <si>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</si>
  <si>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</si>
  <si>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</si>
  <si>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</si>
  <si>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</si>
  <si>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</si>
  <si>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</si>
  <si>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</si>
  <si>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</si>
  <si>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</si>
  <si>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</si>
  <si>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</si>
  <si>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</si>
  <si>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</si>
  <si>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</si>
  <si>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</si>
  <si>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</si>
  <si>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</si>
  <si>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</si>
  <si>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</si>
  <si>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</si>
  <si>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</si>
  <si>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</si>
  <si>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</si>
  <si>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</si>
  <si>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</si>
  <si>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</si>
  <si>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</si>
  <si>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</si>
  <si>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</si>
  <si>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</si>
  <si>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</si>
  <si>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</si>
  <si>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</si>
  <si>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</si>
  <si>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</si>
  <si>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</si>
  <si>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</si>
  <si>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</si>
  <si>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</si>
  <si>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</si>
  <si>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</si>
  <si>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</si>
  <si>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</si>
  <si>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</si>
  <si>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</si>
  <si>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</si>
  <si>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</si>
  <si>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</si>
  <si>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</si>
  <si>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</si>
  <si>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</si>
  <si>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</si>
  <si>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</si>
  <si>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</si>
  <si>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</si>
  <si>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</si>
  <si>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</si>
  <si>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</si>
  <si>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</si>
  <si>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</si>
  <si>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</si>
  <si>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</si>
  <si>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</si>
  <si>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</si>
  <si>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</si>
  <si>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</si>
  <si>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</si>
  <si>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</si>
  <si>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</si>
  <si>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</si>
  <si>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</si>
  <si>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</si>
  <si>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</si>
  <si>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</si>
  <si>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</si>
  <si>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</si>
  <si>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</si>
  <si>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</si>
  <si>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</si>
  <si>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</si>
  <si>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</si>
  <si>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</si>
  <si>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</si>
  <si>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</si>
  <si>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</si>
  <si>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</si>
  <si>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</si>
  <si>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</si>
  <si>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</si>
  <si>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</si>
  <si>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</si>
  <si>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</si>
  <si>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</si>
  <si>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</si>
  <si>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</si>
  <si>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</si>
  <si>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</si>
  <si>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</si>
  <si>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</si>
  <si>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</si>
  <si>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</si>
  <si>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</si>
  <si>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</si>
  <si>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</si>
  <si>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</si>
  <si>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</si>
  <si>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</si>
  <si>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</si>
  <si>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</si>
  <si>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</si>
  <si>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</si>
  <si>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</si>
  <si>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</si>
  <si>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</si>
  <si>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</si>
  <si>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</si>
  <si>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</si>
  <si>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</si>
  <si>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</si>
  <si>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</si>
  <si>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</si>
  <si>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</si>
  <si>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</si>
  <si>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</si>
  <si>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</si>
  <si>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</si>
  <si>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</si>
  <si>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</si>
  <si>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</si>
  <si>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</si>
  <si>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</si>
  <si>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</si>
  <si>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</si>
  <si>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</si>
  <si>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</si>
  <si>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</si>
  <si>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</si>
  <si>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</si>
  <si>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</si>
  <si>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</si>
  <si>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</si>
  <si>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</si>
  <si>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</si>
  <si>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</si>
  <si>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</si>
  <si>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</si>
  <si>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</si>
  <si>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</si>
  <si>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</si>
  <si>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</si>
  <si>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</si>
  <si>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</si>
  <si>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</si>
  <si>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</si>
  <si>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</si>
  <si>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</si>
  <si>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</si>
  <si>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</si>
  <si>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</si>
  <si>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</si>
  <si>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</si>
  <si>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</si>
  <si>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</si>
  <si>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</si>
  <si>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</si>
  <si>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</si>
  <si>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</si>
  <si>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</si>
  <si>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</si>
  <si>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</si>
  <si>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</si>
  <si>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</si>
  <si>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</si>
  <si>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</si>
  <si>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</si>
  <si>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</si>
  <si>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</si>
  <si>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</si>
  <si>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</si>
  <si>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</si>
  <si>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</si>
  <si>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</si>
  <si>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</si>
  <si>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</si>
  <si>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</si>
  <si>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</si>
  <si>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</si>
  <si>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</si>
  <si>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</si>
  <si>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</si>
  <si>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</si>
  <si>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</si>
  <si>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</si>
  <si>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</si>
  <si>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</si>
  <si>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</si>
  <si>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</si>
  <si>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</si>
  <si>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</si>
  <si>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</si>
  <si>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</si>
  <si>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</si>
  <si>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</si>
  <si>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</si>
  <si>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</si>
  <si>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</si>
  <si>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</si>
  <si>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</si>
  <si>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</si>
  <si>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</si>
  <si>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</si>
  <si>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</si>
  <si>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</si>
  <si>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</si>
  <si>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</si>
  <si>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</si>
  <si>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</si>
  <si>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</si>
  <si>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</si>
  <si>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</si>
  <si>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</si>
  <si>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</si>
  <si>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</si>
  <si>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</si>
  <si>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</si>
  <si>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</si>
  <si>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</si>
  <si>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</si>
  <si>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</si>
  <si>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</si>
  <si>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</si>
  <si>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</si>
  <si>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</si>
  <si>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</si>
  <si>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</si>
  <si>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</si>
  <si>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</si>
  <si>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</si>
  <si>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</si>
  <si>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</si>
  <si>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</si>
  <si>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</si>
  <si>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</si>
  <si>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</si>
  <si>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</si>
  <si>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</si>
  <si>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</si>
  <si>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</si>
  <si>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</si>
  <si>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</si>
  <si>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</si>
  <si>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</si>
  <si>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</si>
  <si>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</si>
  <si>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</si>
  <si>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</si>
  <si>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</si>
  <si>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</si>
  <si>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</si>
  <si>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</si>
  <si>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</si>
  <si>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</si>
  <si>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</si>
  <si>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</si>
  <si>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</si>
  <si>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</si>
  <si>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</si>
  <si>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</si>
  <si>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</si>
  <si>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</si>
  <si>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</si>
  <si>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</si>
  <si>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</si>
  <si>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</si>
  <si>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</si>
  <si>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</si>
  <si>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</si>
  <si>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</si>
  <si>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</si>
  <si>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</si>
  <si>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</si>
  <si>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</si>
  <si>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</si>
  <si>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</si>
  <si>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</si>
  <si>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</si>
  <si>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</si>
  <si>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</si>
  <si>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</si>
  <si>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</si>
  <si>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</si>
  <si>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</si>
  <si>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</si>
  <si>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</si>
  <si>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</si>
  <si>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</si>
  <si>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</si>
  <si>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</si>
  <si>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</si>
  <si>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</si>
  <si>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</si>
  <si>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</si>
  <si>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</si>
  <si>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</si>
  <si>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</si>
  <si>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</si>
  <si>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</si>
  <si>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</si>
  <si>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</si>
  <si>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</si>
  <si>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</si>
  <si>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</si>
  <si>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</si>
  <si>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</si>
  <si>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</si>
  <si>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</si>
  <si>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</si>
  <si>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</si>
  <si>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</si>
  <si>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</si>
  <si>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</si>
  <si>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</si>
  <si>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</si>
  <si>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</si>
  <si>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</si>
  <si>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</si>
  <si>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</si>
  <si>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</si>
  <si>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</si>
  <si>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</si>
  <si>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</si>
  <si>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</si>
  <si>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</si>
  <si>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</si>
  <si>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</si>
  <si>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</si>
  <si>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</si>
  <si>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</si>
  <si>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</si>
  <si>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</si>
  <si>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</si>
  <si>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</si>
  <si>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</si>
  <si>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</si>
  <si>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</si>
  <si>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</si>
  <si>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</si>
  <si>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</si>
  <si>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</si>
  <si>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</si>
  <si>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</si>
  <si>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</si>
  <si>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</si>
  <si>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</si>
  <si>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</si>
  <si>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</si>
  <si>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</si>
  <si>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</si>
  <si>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</si>
  <si>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</si>
  <si>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</si>
  <si>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</si>
  <si>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</si>
  <si>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</si>
  <si>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</si>
  <si>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</si>
  <si>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</si>
  <si>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</si>
  <si>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</si>
  <si>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</si>
  <si>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</si>
  <si>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</si>
  <si>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</si>
  <si>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</si>
  <si>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</si>
  <si>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</si>
  <si>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</si>
  <si>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</si>
  <si>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</si>
  <si>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</si>
  <si>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</si>
  <si>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</si>
  <si>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</si>
  <si>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</si>
  <si>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</si>
  <si>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</si>
  <si>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</si>
  <si>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</si>
  <si>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</si>
  <si>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</si>
  <si>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</si>
  <si>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</si>
  <si>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</si>
  <si>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</si>
  <si>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</si>
  <si>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</si>
  <si>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</si>
  <si>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</si>
  <si>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</si>
  <si>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</si>
  <si>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</si>
  <si>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</si>
  <si>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</si>
  <si>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</si>
  <si>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</si>
  <si>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</si>
  <si>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</si>
  <si>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</si>
  <si>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</si>
  <si>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</si>
  <si>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</si>
  <si>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</si>
  <si>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</si>
  <si>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</si>
  <si>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</si>
  <si>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</si>
  <si>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</si>
  <si>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</si>
  <si>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</si>
  <si>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</si>
  <si>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</si>
  <si>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</si>
  <si>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</si>
  <si>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</si>
  <si>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</si>
  <si>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</si>
  <si>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</si>
  <si>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</si>
  <si>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</si>
  <si>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</si>
  <si>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</si>
  <si>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</si>
  <si>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</si>
  <si>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</si>
  <si>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</si>
  <si>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</si>
  <si>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</si>
  <si>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</si>
  <si>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</si>
  <si>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</si>
  <si>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</si>
  <si>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</si>
  <si>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</si>
  <si>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</si>
  <si>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</si>
  <si>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</si>
  <si>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</si>
  <si>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</si>
  <si>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</si>
  <si>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</si>
  <si>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</si>
  <si>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</si>
  <si>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</si>
  <si>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</si>
  <si>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</si>
  <si>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</si>
  <si>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</si>
  <si>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</si>
  <si>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</si>
  <si>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</si>
  <si>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</si>
  <si>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</si>
  <si>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</si>
  <si>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</si>
  <si>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</si>
  <si>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</si>
  <si>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</si>
  <si>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</si>
  <si>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</si>
  <si>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</si>
  <si>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</si>
  <si>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</si>
  <si>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</si>
  <si>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</si>
  <si>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</si>
  <si>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</si>
  <si>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</si>
  <si>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</si>
  <si>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</si>
  <si>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</si>
  <si>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</si>
  <si>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</si>
  <si>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</si>
  <si>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</si>
  <si>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</si>
  <si>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</si>
  <si>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</si>
  <si>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</si>
  <si>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</si>
  <si>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</si>
  <si>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</si>
  <si>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</si>
  <si>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</si>
  <si>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</si>
  <si>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</si>
  <si>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</si>
  <si>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</si>
  <si>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</si>
  <si>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</si>
  <si>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</si>
  <si>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</si>
  <si>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</si>
  <si>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</si>
  <si>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</si>
  <si>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</si>
  <si>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</si>
  <si>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</si>
  <si>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</si>
  <si>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</si>
  <si>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</si>
  <si>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</si>
  <si>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</si>
  <si>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</si>
  <si>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</si>
  <si>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</si>
  <si>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</si>
  <si>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</si>
  <si>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</si>
  <si>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</si>
  <si>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</si>
  <si>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</si>
  <si>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</si>
  <si>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</si>
  <si>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</si>
  <si>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</si>
  <si>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</si>
  <si>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</si>
  <si>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</si>
  <si>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</si>
  <si>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</si>
  <si>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</si>
  <si>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</si>
  <si>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STG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</si>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</sst>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5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imes New Roman"/>
      <charset val="0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ahoma"/>
      <charset val="1"/>
    </font>
  </fonts>
  <fills count="7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9" borderId="1" applyNumberFormat="0" applyAlignment="0" applyProtection="0"/>
    <xf numFmtId="0" fontId="23" fillId="17" borderId="7" applyNumberFormat="0" applyAlignment="0" applyProtection="0">
      <alignment vertical="center"/>
    </xf>
    <xf numFmtId="0" fontId="24" fillId="17" borderId="1" applyNumberFormat="0" applyAlignment="0" applyProtection="0">
      <alignment vertical="center"/>
    </xf>
    <xf numFmtId="0" fontId="25" fillId="1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8" fillId="19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9" fillId="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4" fontId="33" fillId="49" borderId="11">
      <alignment horizontal="right" vertical="center"/>
    </xf>
    <xf numFmtId="4" fontId="33" fillId="49" borderId="11">
      <alignment horizontal="right" vertical="center"/>
    </xf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5" fillId="19" borderId="0" applyNumberFormat="0" applyBorder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49" fontId="14" fillId="50" borderId="14">
      <alignment vertical="top" wrapText="1"/>
    </xf>
    <xf numFmtId="49" fontId="14" fillId="50" borderId="14">
      <alignment vertical="top" wrapText="1"/>
    </xf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4" fillId="0" borderId="0" applyFont="0" applyFill="0" applyBorder="0" applyAlignment="0" applyProtection="0"/>
    <xf numFmtId="180" fontId="14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6" fillId="56" borderId="11">
      <alignment horizontal="centerContinuous" vertical="top" wrapText="1"/>
    </xf>
    <xf numFmtId="0" fontId="43" fillId="0" borderId="0">
      <alignment vertical="top" wrapText="1"/>
    </xf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5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5" fillId="7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9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9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49" borderId="12" applyNumberFormat="0" applyAlignment="0" applyProtection="0"/>
    <xf numFmtId="0" fontId="54" fillId="14" borderId="12" applyNumberFormat="0" applyAlignment="0" applyProtection="0"/>
    <xf numFmtId="0" fontId="7" fillId="9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4" fillId="0" borderId="0" applyFont="0" applyFill="0" applyBorder="0" applyAlignment="0" applyProtection="0"/>
    <xf numFmtId="0" fontId="58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60" fillId="14" borderId="0" applyNumberFormat="0" applyBorder="0" applyAlignment="0" applyProtection="0"/>
    <xf numFmtId="0" fontId="59" fillId="14" borderId="0" applyNumberFormat="0" applyBorder="0" applyAlignment="0" applyProtection="0"/>
    <xf numFmtId="0" fontId="58" fillId="14" borderId="0" applyNumberFormat="0" applyBorder="0" applyAlignment="0" applyProtection="0"/>
    <xf numFmtId="0" fontId="4" fillId="6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8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91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31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 applyNumberFormat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63" fillId="0" borderId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192" fontId="64" fillId="0" borderId="0">
      <alignment horizontal="right"/>
    </xf>
    <xf numFmtId="193" fontId="14" fillId="0" borderId="0" applyFont="0" applyFill="0" applyBorder="0" applyAlignment="0" applyProtection="0"/>
    <xf numFmtId="193" fontId="14" fillId="0" borderId="0" applyFont="0" applyFill="0" applyBorder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4" fillId="0" borderId="0"/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16" fillId="66" borderId="11" applyNumberFormat="0" applyProtection="0">
      <alignment horizontal="right"/>
    </xf>
    <xf numFmtId="0" fontId="67" fillId="66" borderId="0" applyNumberFormat="0" applyBorder="0" applyProtection="0">
      <alignment horizontal="left"/>
    </xf>
    <xf numFmtId="0" fontId="16" fillId="66" borderId="11" applyNumberFormat="0" applyProtection="0">
      <alignment horizontal="left"/>
    </xf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68" fillId="58" borderId="0" applyNumberFormat="0" applyBorder="0" applyProtection="0">
      <alignment horizontal="left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9" fillId="67" borderId="27">
      <alignment vertical="center"/>
    </xf>
    <xf numFmtId="178" fontId="70" fillId="67" borderId="27">
      <alignment vertical="center"/>
    </xf>
    <xf numFmtId="197" fontId="71" fillId="68" borderId="27">
      <alignment vertical="center"/>
    </xf>
    <xf numFmtId="0" fontId="14" fillId="69" borderId="28" applyBorder="0">
      <alignment horizontal="left" vertical="center"/>
    </xf>
    <xf numFmtId="0" fontId="14" fillId="69" borderId="28" applyBorder="0">
      <alignment horizontal="left" vertical="center"/>
    </xf>
    <xf numFmtId="49" fontId="14" fillId="70" borderId="11">
      <alignment vertical="center" wrapText="1"/>
    </xf>
    <xf numFmtId="49" fontId="14" fillId="70" borderId="11">
      <alignment vertical="center" wrapText="1"/>
    </xf>
    <xf numFmtId="0" fontId="14" fillId="71" borderId="29">
      <alignment horizontal="left" vertical="center" wrapText="1"/>
    </xf>
    <xf numFmtId="0" fontId="14" fillId="71" borderId="29">
      <alignment horizontal="left" vertical="center" wrapText="1"/>
    </xf>
    <xf numFmtId="0" fontId="72" fillId="72" borderId="11">
      <alignment horizontal="left" vertical="center" wrapText="1"/>
    </xf>
    <xf numFmtId="0" fontId="14" fillId="57" borderId="11">
      <alignment horizontal="left" vertical="center" wrapText="1"/>
    </xf>
    <xf numFmtId="0" fontId="14" fillId="57" borderId="11">
      <alignment horizontal="left" vertical="center" wrapText="1"/>
    </xf>
    <xf numFmtId="0" fontId="14" fillId="73" borderId="11">
      <alignment horizontal="left" vertical="center" wrapText="1"/>
    </xf>
    <xf numFmtId="0" fontId="14" fillId="73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0" xfId="0" applyFont="1" applyFill="1"/>
    <xf numFmtId="199" fontId="6" fillId="8" borderId="0" xfId="0" applyNumberFormat="1" applyFont="1" applyFill="1"/>
    <xf numFmtId="0" fontId="7" fillId="9" borderId="1" xfId="16"/>
    <xf numFmtId="0" fontId="0" fillId="8" borderId="0" xfId="0" applyFill="1"/>
    <xf numFmtId="0" fontId="8" fillId="0" borderId="0" xfId="0" applyFont="1"/>
    <xf numFmtId="0" fontId="9" fillId="0" borderId="2" xfId="13"/>
    <xf numFmtId="0" fontId="10" fillId="0" borderId="3" xfId="14"/>
    <xf numFmtId="0" fontId="11" fillId="10" borderId="0" xfId="0" applyFont="1" applyFill="1"/>
    <xf numFmtId="9" fontId="0" fillId="0" borderId="0" xfId="3" applyFont="1"/>
    <xf numFmtId="0" fontId="0" fillId="11" borderId="0" xfId="0" applyFill="1"/>
    <xf numFmtId="9" fontId="0" fillId="0" borderId="0" xfId="0" applyNumberFormat="1"/>
    <xf numFmtId="9" fontId="0" fillId="11" borderId="0" xfId="0" applyNumberFormat="1" applyFill="1"/>
    <xf numFmtId="9" fontId="0" fillId="12" borderId="0" xfId="0" applyNumberFormat="1" applyFill="1"/>
    <xf numFmtId="9" fontId="0" fillId="13" borderId="0" xfId="0" applyNumberFormat="1" applyFill="1"/>
    <xf numFmtId="200" fontId="0" fillId="0" borderId="0" xfId="0" applyNumberFormat="1"/>
    <xf numFmtId="9" fontId="12" fillId="0" borderId="0" xfId="0" applyNumberFormat="1" applyFont="1"/>
    <xf numFmtId="9" fontId="2" fillId="0" borderId="0" xfId="3" applyFont="1"/>
    <xf numFmtId="9" fontId="8" fillId="0" borderId="0" xfId="0" applyNumberFormat="1" applyFont="1"/>
    <xf numFmtId="0" fontId="0" fillId="0" borderId="0" xfId="0" applyAlignment="1">
      <alignment wrapText="1"/>
    </xf>
    <xf numFmtId="0" fontId="13" fillId="0" borderId="0" xfId="6" applyAlignment="1"/>
    <xf numFmtId="0" fontId="14" fillId="0" borderId="0" xfId="1755"/>
    <xf numFmtId="0" fontId="14" fillId="11" borderId="0" xfId="1755" applyFill="1"/>
    <xf numFmtId="0" fontId="15" fillId="0" borderId="0" xfId="1755" applyFont="1"/>
    <xf numFmtId="0" fontId="16" fillId="0" borderId="0" xfId="1755" applyFont="1"/>
    <xf numFmtId="11" fontId="0" fillId="0" borderId="0" xfId="0" applyNumberFormat="1"/>
    <xf numFmtId="0" fontId="17" fillId="0" borderId="0" xfId="0" applyFont="1"/>
    <xf numFmtId="0" fontId="16" fillId="14" borderId="4" xfId="0" applyFont="1" applyFill="1" applyBorder="1"/>
    <xf numFmtId="0" fontId="16" fillId="15" borderId="4" xfId="0" applyFont="1" applyFill="1" applyBorder="1"/>
    <xf numFmtId="0" fontId="12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4" fillId="14" borderId="4" xfId="0" applyFont="1" applyFill="1" applyBorder="1"/>
    <xf numFmtId="201" fontId="2" fillId="0" borderId="0" xfId="0" applyNumberFormat="1" applyFont="1"/>
    <xf numFmtId="0" fontId="0" fillId="12" borderId="0" xfId="0" applyFill="1"/>
    <xf numFmtId="0" fontId="10" fillId="12" borderId="0" xfId="15" applyFill="1"/>
    <xf numFmtId="0" fontId="12" fillId="12" borderId="0" xfId="0" applyFont="1" applyFill="1"/>
    <xf numFmtId="0" fontId="0" fillId="0" borderId="0" xfId="0" quotePrefix="1"/>
    <xf numFmtId="0" fontId="14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74" zoomScaleNormal="74" workbookViewId="0">
      <selection activeCell="S25" sqref="S25"/>
    </sheetView>
  </sheetViews>
  <sheetFormatPr defaultColWidth="9" defaultRowHeight="14.5"/>
  <cols>
    <col min="2" max="2" width="18.7272727272727" customWidth="1"/>
  </cols>
  <sheetData>
    <row r="1" spans="1:13">
      <c r="A1" s="19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AM38" sqref="AM3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40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2:21">
      <c r="B3" s="41" t="s">
        <v>54</v>
      </c>
      <c r="C3" s="41" t="s">
        <v>55</v>
      </c>
      <c r="D3" s="41" t="s">
        <v>56</v>
      </c>
      <c r="E3" s="41" t="s">
        <v>57</v>
      </c>
      <c r="F3" s="41" t="s">
        <v>58</v>
      </c>
      <c r="G3" s="41" t="s">
        <v>59</v>
      </c>
      <c r="H3" s="42" t="s">
        <v>60</v>
      </c>
      <c r="I3" s="46" t="s">
        <v>61</v>
      </c>
      <c r="J3" s="46" t="s">
        <v>62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67</v>
      </c>
      <c r="P3" s="46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1" t="s">
        <v>129</v>
      </c>
      <c r="AA21" t="str">
        <f t="shared" ref="AA21:AA26" si="0">X21</f>
        <v>HH2</v>
      </c>
      <c r="AB21" s="51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1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51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1" t="s">
        <v>141</v>
      </c>
      <c r="AC26" t="s">
        <v>99</v>
      </c>
    </row>
    <row r="27" spans="4:12">
      <c r="D27" t="s">
        <v>143</v>
      </c>
      <c r="E27">
        <v>2050</v>
      </c>
      <c r="H27" s="51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3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51" t="s">
        <v>75</v>
      </c>
    </row>
    <row r="41" spans="10:13">
      <c r="J41" t="s">
        <v>257</v>
      </c>
      <c r="K41" t="s">
        <v>258</v>
      </c>
      <c r="L41" t="s">
        <v>81</v>
      </c>
      <c r="M41" s="51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M21" sqref="M21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51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51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51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51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51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51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Q29" sqref="Q29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51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9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9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Z32" sqref="Z32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2:2">
      <c r="B1" s="11" t="e">
        <f>VLOOKUP(P1,$Q$4:$R$33,2,FALSE)</f>
        <v>#N/A</v>
      </c>
    </row>
    <row r="3" spans="2:24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7" t="s">
        <v>327</v>
      </c>
    </row>
    <row r="5" ht="14.5" spans="1:27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2" t="s">
        <v>331</v>
      </c>
      <c r="Z5" s="35" t="s">
        <v>332</v>
      </c>
      <c r="AA5" s="35">
        <v>2150</v>
      </c>
    </row>
    <row r="6" ht="14.5" spans="1:18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5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8"/>
    </row>
    <row r="8" ht="14.5" spans="1:18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18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18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18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18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18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18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18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18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6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6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6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6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6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7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7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7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7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7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7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6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6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6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6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6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6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6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6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6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6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6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6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6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6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6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6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6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6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6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6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6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6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6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8" sqref="N2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13:15">
      <c r="M1" t="s">
        <v>373</v>
      </c>
      <c r="N1" t="s">
        <v>374</v>
      </c>
      <c r="O1" t="s">
        <v>375</v>
      </c>
    </row>
    <row r="2" ht="34" customHeight="1" spans="13:15">
      <c r="M2" t="s">
        <v>376</v>
      </c>
      <c r="N2" s="33" t="s">
        <v>377</v>
      </c>
      <c r="O2" s="33" t="s">
        <v>378</v>
      </c>
    </row>
    <row r="3" ht="58" spans="13:15">
      <c r="M3" t="s">
        <v>379</v>
      </c>
      <c r="N3" s="33" t="s">
        <v>380</v>
      </c>
      <c r="O3" s="34" t="s">
        <v>381</v>
      </c>
    </row>
    <row r="11" spans="2:2">
      <c r="B11" t="s">
        <v>53</v>
      </c>
    </row>
    <row r="12" spans="2:11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3:11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3:11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U33" sqref="U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388</v>
      </c>
    </row>
    <row r="6" spans="1:11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1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400</v>
      </c>
    </row>
    <row r="13" spans="4:4">
      <c r="D13" t="s">
        <v>401</v>
      </c>
    </row>
    <row r="14" spans="1:11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8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W37" sqref="W37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423</v>
      </c>
      <c r="L8" t="s">
        <v>424</v>
      </c>
      <c r="M8">
        <v>1</v>
      </c>
      <c r="O8">
        <v>2</v>
      </c>
    </row>
    <row r="9" spans="11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1">
      <c r="B14" t="s">
        <v>420</v>
      </c>
      <c r="D14">
        <v>10</v>
      </c>
      <c r="G14" t="s">
        <v>429</v>
      </c>
      <c r="K14" t="s">
        <v>277</v>
      </c>
    </row>
    <row r="15" spans="11:15">
      <c r="K15" t="s">
        <v>434</v>
      </c>
      <c r="L15" t="s">
        <v>435</v>
      </c>
      <c r="M15">
        <v>1</v>
      </c>
      <c r="O15">
        <v>2</v>
      </c>
    </row>
    <row r="16" spans="11:15">
      <c r="K16" t="s">
        <v>434</v>
      </c>
      <c r="L16" t="s">
        <v>436</v>
      </c>
      <c r="M16">
        <v>1</v>
      </c>
      <c r="O16">
        <v>2</v>
      </c>
    </row>
    <row r="17" spans="11:15">
      <c r="K17" t="s">
        <v>437</v>
      </c>
      <c r="L17" t="s">
        <v>438</v>
      </c>
      <c r="M17">
        <v>1</v>
      </c>
      <c r="O17">
        <v>2</v>
      </c>
    </row>
    <row r="18" spans="11:15">
      <c r="K18" t="s">
        <v>437</v>
      </c>
      <c r="L18" t="s">
        <v>439</v>
      </c>
      <c r="M18">
        <v>1</v>
      </c>
      <c r="O18">
        <v>2</v>
      </c>
    </row>
    <row r="19" spans="11:15">
      <c r="K19" t="s">
        <v>440</v>
      </c>
      <c r="L19" t="s">
        <v>441</v>
      </c>
      <c r="M19">
        <v>1</v>
      </c>
      <c r="O19">
        <v>2</v>
      </c>
    </row>
    <row r="20" spans="11:15">
      <c r="K20" t="s">
        <v>442</v>
      </c>
      <c r="L20" t="s">
        <v>443</v>
      </c>
      <c r="M20">
        <v>1</v>
      </c>
      <c r="O20">
        <v>2</v>
      </c>
    </row>
    <row r="23" spans="2:12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4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12:15">
      <c r="L26" t="s">
        <v>451</v>
      </c>
      <c r="M26">
        <v>1</v>
      </c>
      <c r="O26" t="s">
        <v>452</v>
      </c>
    </row>
    <row r="27" spans="1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6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AK77" sqref="AK77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5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466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401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467</v>
      </c>
      <c r="DL15" s="25" t="s">
        <v>402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404</v>
      </c>
      <c r="D16" t="str">
        <f t="shared" ref="D16:D22" si="4">A4</f>
        <v>???COB</v>
      </c>
      <c r="E16" s="51" t="s">
        <v>468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404</v>
      </c>
      <c r="D17" t="str">
        <f t="shared" si="4"/>
        <v>???COA</v>
      </c>
      <c r="E17" s="51" t="s">
        <v>468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404</v>
      </c>
      <c r="D18" t="str">
        <f t="shared" si="4"/>
        <v>???NGA</v>
      </c>
      <c r="E18" s="51" t="s">
        <v>468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404</v>
      </c>
      <c r="D19" t="str">
        <f t="shared" si="4"/>
        <v>???OIL</v>
      </c>
      <c r="E19" s="51" t="s">
        <v>468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404</v>
      </c>
      <c r="D20" t="str">
        <f t="shared" si="4"/>
        <v>???OIL_CRD</v>
      </c>
      <c r="E20" s="51" t="s">
        <v>468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404</v>
      </c>
      <c r="D21" t="str">
        <f t="shared" si="4"/>
        <v>???OIL_DST</v>
      </c>
      <c r="E21" s="51" t="s">
        <v>468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404</v>
      </c>
      <c r="D22" t="str">
        <f t="shared" si="4"/>
        <v>???BSL</v>
      </c>
      <c r="E22" s="51" t="s">
        <v>468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401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467</v>
      </c>
      <c r="DL26" s="25" t="s">
        <v>402</v>
      </c>
      <c r="DM26" s="25" t="s">
        <v>42</v>
      </c>
      <c r="DP26" s="32" t="s">
        <v>469</v>
      </c>
    </row>
    <row r="27" spans="1:117">
      <c r="A27">
        <v>2030</v>
      </c>
      <c r="B27" t="s">
        <v>470</v>
      </c>
      <c r="C27" t="s">
        <v>404</v>
      </c>
      <c r="D27" t="str">
        <f>D16</f>
        <v>???COB</v>
      </c>
      <c r="E27" s="51" t="s">
        <v>468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1" t="s">
        <v>468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1" t="s">
        <v>468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1" t="s">
        <v>468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1" t="s">
        <v>468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1" t="s">
        <v>468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1" t="s">
        <v>468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471</v>
      </c>
    </row>
    <row r="37" spans="2:123">
      <c r="B37" s="22" t="s">
        <v>472</v>
      </c>
      <c r="C37" s="22"/>
      <c r="DS37" t="s">
        <v>473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467</v>
      </c>
      <c r="DL38" s="25" t="s">
        <v>402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404</v>
      </c>
      <c r="HY42" t="s">
        <v>477</v>
      </c>
    </row>
    <row r="44" spans="2:114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482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483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467</v>
      </c>
      <c r="DL51" s="25" t="s">
        <v>402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484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482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483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467</v>
      </c>
      <c r="DL62" s="25" t="s">
        <v>402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484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485</v>
      </c>
    </row>
    <row r="74" spans="2:2">
      <c r="B74" t="s">
        <v>486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2:7">
      <c r="B77" t="s">
        <v>489</v>
      </c>
      <c r="C77" t="s">
        <v>488</v>
      </c>
      <c r="D77" t="s">
        <v>50</v>
      </c>
      <c r="E77">
        <v>0.4</v>
      </c>
      <c r="F77">
        <v>3</v>
      </c>
      <c r="G77" s="51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AH34" sqref="AH34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9" t="s">
        <v>491</v>
      </c>
      <c r="AC1" s="20" t="s">
        <v>492</v>
      </c>
    </row>
    <row r="2" ht="16" spans="1:44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7">
        <v>39.18</v>
      </c>
      <c r="G3" s="7" t="s">
        <v>507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7">
        <v>19.34</v>
      </c>
      <c r="G4" s="7" t="s">
        <v>507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513</v>
      </c>
    </row>
    <row r="13" spans="1:3">
      <c r="A13" s="13" t="s">
        <v>514</v>
      </c>
      <c r="B13" s="13"/>
      <c r="C13" s="13"/>
    </row>
    <row r="14" spans="1:3">
      <c r="A14" s="13" t="s">
        <v>515</v>
      </c>
      <c r="B14" s="13"/>
      <c r="C14" s="13"/>
    </row>
    <row r="15" spans="1:3">
      <c r="A15" s="13" t="s">
        <v>516</v>
      </c>
      <c r="B15" s="13"/>
      <c r="C15" s="13"/>
    </row>
    <row r="17" spans="1:3">
      <c r="A17" s="13" t="s">
        <v>517</v>
      </c>
      <c r="B17" s="13" t="s">
        <v>518</v>
      </c>
      <c r="C17" s="13" t="s">
        <v>519</v>
      </c>
    </row>
    <row r="18" spans="1:3">
      <c r="A18" s="13" t="s">
        <v>520</v>
      </c>
      <c r="B18" s="13" t="s">
        <v>521</v>
      </c>
      <c r="C18" s="13">
        <v>253</v>
      </c>
    </row>
    <row r="19" spans="1:7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3">
      <c r="A25" s="13" t="s">
        <v>535</v>
      </c>
      <c r="B25" s="13" t="s">
        <v>536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537</v>
      </c>
      <c r="C31" t="s">
        <v>57</v>
      </c>
      <c r="D31" t="s">
        <v>60</v>
      </c>
    </row>
    <row r="32" spans="1:6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4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4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J34" sqref="AJ3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4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4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21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556</v>
      </c>
      <c r="Y6" s="15"/>
      <c r="Z6" s="15" t="s">
        <v>573</v>
      </c>
      <c r="AA6" s="15" t="s">
        <v>422</v>
      </c>
      <c r="AB6" s="16">
        <v>-0.001</v>
      </c>
    </row>
    <row r="7" spans="1:21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2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4">
        <v>4631.5</v>
      </c>
      <c r="I11" s="13" t="s">
        <v>591</v>
      </c>
      <c r="J11" s="14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29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29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29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21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649</v>
      </c>
      <c r="H29" s="14">
        <v>5685</v>
      </c>
      <c r="I29" s="13" t="s">
        <v>591</v>
      </c>
      <c r="J29" s="14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4">
        <v>4931.3</v>
      </c>
      <c r="I30" s="13" t="s">
        <v>591</v>
      </c>
      <c r="J30" s="14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24">
      <c r="A31" t="s">
        <v>654</v>
      </c>
      <c r="B31" t="str">
        <f t="shared" si="0"/>
        <v>OVC</v>
      </c>
      <c r="G31" s="13" t="s">
        <v>655</v>
      </c>
      <c r="H31" s="14">
        <v>3715.9</v>
      </c>
      <c r="I31" s="13" t="s">
        <v>591</v>
      </c>
      <c r="J31" s="14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656</v>
      </c>
      <c r="B32" t="str">
        <f t="shared" si="0"/>
        <v>PTC</v>
      </c>
      <c r="G32" s="13" t="s">
        <v>657</v>
      </c>
      <c r="H32" s="14">
        <v>2791.6</v>
      </c>
      <c r="I32" s="13" t="s">
        <v>591</v>
      </c>
      <c r="J32" s="14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27">
      <c r="A33" t="s">
        <v>660</v>
      </c>
      <c r="B33" t="str">
        <f t="shared" si="0"/>
        <v>COA</v>
      </c>
      <c r="G33" s="13" t="s">
        <v>661</v>
      </c>
      <c r="H33" s="14">
        <v>6239.68</v>
      </c>
      <c r="I33" s="13" t="s">
        <v>591</v>
      </c>
      <c r="J33" s="14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24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27">
      <c r="A36" t="s">
        <v>670</v>
      </c>
      <c r="B36" t="str">
        <f t="shared" si="0"/>
        <v>LPG</v>
      </c>
      <c r="G36" s="13" t="s">
        <v>671</v>
      </c>
      <c r="H36" s="14">
        <v>5771</v>
      </c>
      <c r="I36" s="13" t="s">
        <v>591</v>
      </c>
      <c r="J36" s="14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673</v>
      </c>
      <c r="H37" s="14">
        <v>6160</v>
      </c>
      <c r="I37" s="13" t="s">
        <v>591</v>
      </c>
      <c r="J37" s="14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27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24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27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21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8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B27" sqref="AB27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702</v>
      </c>
      <c r="S1" s="10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709</v>
      </c>
    </row>
    <row r="140" spans="2:5">
      <c r="B140" t="s">
        <v>11</v>
      </c>
      <c r="C140" t="s">
        <v>558</v>
      </c>
      <c r="D140">
        <v>0.08</v>
      </c>
      <c r="E140" t="s">
        <v>710</v>
      </c>
    </row>
    <row r="141" spans="2:5">
      <c r="B141" t="s">
        <v>712</v>
      </c>
      <c r="C141" t="s">
        <v>558</v>
      </c>
      <c r="D141">
        <v>0.05</v>
      </c>
      <c r="E141" t="s">
        <v>710</v>
      </c>
    </row>
    <row r="142" spans="2:5">
      <c r="B142" t="s">
        <v>711</v>
      </c>
      <c r="C142" t="s">
        <v>558</v>
      </c>
      <c r="D142">
        <v>0.1</v>
      </c>
      <c r="E142" t="s">
        <v>710</v>
      </c>
    </row>
    <row r="143" spans="2:5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tabSelected="1" zoomScale="66" zoomScaleNormal="66" workbookViewId="0">
      <selection activeCell="I32" sqref="I32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2">
      <c r="B3" t="s">
        <v>1</v>
      </c>
    </row>
    <row r="5" spans="3:3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281</v>
      </c>
      <c r="D7" s="1" t="s">
        <v>738</v>
      </c>
      <c r="E7" s="2">
        <v>10</v>
      </c>
      <c r="F7" s="1">
        <v>0</v>
      </c>
      <c r="G7" s="1">
        <v>3</v>
      </c>
      <c r="I7" s="1" t="s">
        <v>739</v>
      </c>
    </row>
    <row r="8" spans="3:8">
      <c r="C8" s="3" t="s">
        <v>470</v>
      </c>
      <c r="D8" s="4" t="s">
        <v>740</v>
      </c>
      <c r="E8" s="4">
        <v>-60</v>
      </c>
      <c r="F8" s="4"/>
      <c r="G8" s="4"/>
      <c r="H8" s="4" t="s">
        <v>738</v>
      </c>
    </row>
    <row r="9" spans="3:8">
      <c r="C9" s="3" t="s">
        <v>470</v>
      </c>
      <c r="D9" s="4" t="s">
        <v>741</v>
      </c>
      <c r="E9" s="4">
        <v>-180</v>
      </c>
      <c r="F9" s="4"/>
      <c r="G9" s="4"/>
      <c r="H9" s="4" t="s">
        <v>738</v>
      </c>
    </row>
    <row r="10" spans="3:8">
      <c r="C10" t="s">
        <v>112</v>
      </c>
      <c r="D10" t="s">
        <v>742</v>
      </c>
      <c r="E10">
        <v>-600</v>
      </c>
      <c r="H10" t="s">
        <v>738</v>
      </c>
    </row>
    <row r="11" spans="3:8">
      <c r="C11" t="s">
        <v>112</v>
      </c>
      <c r="D11" t="s">
        <v>743</v>
      </c>
      <c r="E11">
        <v>-600</v>
      </c>
      <c r="H11" t="s">
        <v>738</v>
      </c>
    </row>
    <row r="12" s="1" customFormat="1" spans="3:8">
      <c r="C12" s="1" t="s">
        <v>112</v>
      </c>
      <c r="D12" s="1" t="s">
        <v>744</v>
      </c>
      <c r="E12" s="1">
        <v>-14.7692307692308</v>
      </c>
      <c r="H12" s="1" t="s">
        <v>738</v>
      </c>
    </row>
    <row r="13" spans="3:8">
      <c r="C13" t="s">
        <v>112</v>
      </c>
      <c r="D13" t="s">
        <v>745</v>
      </c>
      <c r="E13">
        <v>-16.8421052631579</v>
      </c>
      <c r="H13" t="s">
        <v>738</v>
      </c>
    </row>
    <row r="17" spans="3:3">
      <c r="C17" t="s">
        <v>736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746</v>
      </c>
      <c r="C19" t="s">
        <v>747</v>
      </c>
      <c r="D19" t="s">
        <v>738</v>
      </c>
      <c r="E19">
        <v>1</v>
      </c>
      <c r="F19">
        <v>0</v>
      </c>
      <c r="G19">
        <v>3</v>
      </c>
      <c r="I19" t="s">
        <v>748</v>
      </c>
    </row>
    <row r="20" spans="3:8">
      <c r="C20" t="s">
        <v>112</v>
      </c>
      <c r="D20" t="s">
        <v>740</v>
      </c>
      <c r="E20">
        <v>-60</v>
      </c>
      <c r="H20" t="s">
        <v>738</v>
      </c>
    </row>
    <row r="21" spans="3:8">
      <c r="C21" t="s">
        <v>112</v>
      </c>
      <c r="D21" t="s">
        <v>741</v>
      </c>
      <c r="E21">
        <v>-180</v>
      </c>
      <c r="H21" t="s">
        <v>738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2026-04-18T17:39:21Z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